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2A06FFD4-840C-4A09-A940-B9631DA0B7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3" l="1"/>
  <c r="D19" i="3"/>
  <c r="C19" i="3"/>
  <c r="B19" i="3"/>
  <c r="T103" i="3"/>
  <c r="T102" i="3"/>
  <c r="S102" i="3"/>
  <c r="T100" i="3"/>
  <c r="S100" i="3"/>
  <c r="T98" i="3"/>
  <c r="S98" i="3"/>
  <c r="T85" i="3"/>
  <c r="S85" i="3"/>
  <c r="T81" i="3"/>
  <c r="S81" i="3"/>
  <c r="T79" i="3"/>
  <c r="S79" i="3"/>
  <c r="T69" i="3"/>
  <c r="S69" i="3"/>
  <c r="T55" i="3"/>
  <c r="S55" i="3"/>
  <c r="T51" i="3"/>
  <c r="S51" i="3"/>
  <c r="T47" i="3"/>
  <c r="S47" i="3"/>
  <c r="T39" i="3"/>
  <c r="S39" i="3"/>
  <c r="T26" i="3"/>
  <c r="S26" i="3"/>
  <c r="T21" i="3"/>
  <c r="S21" i="3"/>
  <c r="T16" i="3"/>
  <c r="S16" i="3"/>
  <c r="T7" i="3"/>
  <c r="S7" i="3"/>
  <c r="T4" i="3"/>
  <c r="S4" i="3"/>
  <c r="S103" i="3" s="1"/>
  <c r="U118" i="1"/>
  <c r="A241" i="1" l="1"/>
  <c r="AU910" i="3"/>
  <c r="AS910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S1192" i="3"/>
  <c r="BR1192" i="3"/>
  <c r="BS1187" i="3"/>
  <c r="BR1187" i="3"/>
  <c r="BS1185" i="3"/>
  <c r="BR1185" i="3"/>
  <c r="BS1171" i="3"/>
  <c r="BR1171" i="3"/>
  <c r="BS1153" i="3"/>
  <c r="BR1153" i="3"/>
  <c r="BS1142" i="3"/>
  <c r="BR1142" i="3"/>
  <c r="BS1108" i="3"/>
  <c r="BR1108" i="3"/>
  <c r="BS1095" i="3"/>
  <c r="BR1095" i="3"/>
  <c r="BS1057" i="3"/>
  <c r="BR1057" i="3"/>
  <c r="BS1048" i="3"/>
  <c r="BR1048" i="3"/>
  <c r="BS1034" i="3"/>
  <c r="BR1034" i="3"/>
  <c r="BS1001" i="3"/>
  <c r="BR1001" i="3"/>
  <c r="BS948" i="3"/>
  <c r="BR948" i="3"/>
  <c r="BS936" i="3"/>
  <c r="BR936" i="3"/>
  <c r="BS913" i="3"/>
  <c r="BR913" i="3"/>
  <c r="BS898" i="3"/>
  <c r="BR898" i="3"/>
  <c r="BS874" i="3"/>
  <c r="BR874" i="3"/>
  <c r="BS856" i="3"/>
  <c r="BR856" i="3"/>
  <c r="BS836" i="3"/>
  <c r="BR836" i="3"/>
  <c r="BS822" i="3"/>
  <c r="BR822" i="3"/>
  <c r="BS813" i="3"/>
  <c r="BR813" i="3"/>
  <c r="BS739" i="3"/>
  <c r="BR739" i="3"/>
  <c r="B61" i="1"/>
  <c r="A151" i="1"/>
  <c r="AB43" i="1"/>
  <c r="BR1193" i="3" l="1"/>
  <c r="BS1193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<sst xmlns="http://schemas.openxmlformats.org/spreadsheetml/2006/main" count="2270" uniqueCount="306">
  <si>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</si>
  <si>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</si>
  <si>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</si>
  <si>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</si>
  <si>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</si>
  <si>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</si>
  <si>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</si>
  <si>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</si>
  <si>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</si>
  <si>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</si>
  <si>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</si>
  <si>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</si>
  <si>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</si>
  <si>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</si>
  <si>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</si>
  <si>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</si>
  <si>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</si>
  <si>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</si>
  <si>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</si>
  <si>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</si>
  <si>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</si>
  <si>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</si>
  <si>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</si>
  <si>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</si>
  <si>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</si>
  <si>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</si>
  <si>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</si>
  <si>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</si>
  <si>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</si>
  <si>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</si>
  <si>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</si>
  <si>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</si>
  <si>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</si>
  <si>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</si>
  <si>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</si>
  <si>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</si>
  <si>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</si>
  <si>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</si>
  <si>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</si>
  <si>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</si>
  <si>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</si>
  <si>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</si>
  <si>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</si>
  <si>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</si>
  <si>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</si>
  <si>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</si>
  <si>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</si>
  <si>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</si>
  <si>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</si>
  <si>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</si>
  <si>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</si>
  <si>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</si>
  <si>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</si>
  <si>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</si>
  <si>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</si>
  <si>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</si>
  <si>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</si>
  <si>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</si>
  <si>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</si>
  <si>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</si>
  <si>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</si>
  <si>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</si>
  <si>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</si>
  <si>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</si>
  <si>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</si>
  <si>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</si>
  <si>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</si>
  <si>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</si>
  <si>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</si>
  <si>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</si>
  <si>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</si>
  <si>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</si>
  <si>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</si>
  <si>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</si>
  <si>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</si>
  <si>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</si>
  <si>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</si>
  <si>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</si>
  <si>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</si>
  <si>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</si>
  <si>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</si>
  <si>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</si>
  <si>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</si>
  <si>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</si>
  <si>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</si>
  <si>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</si>
  <si>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</si>
  <si>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</si>
  <si>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</si>
  <si>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</si>
  <si>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</si>
  <si>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</si>
  <si>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</si>
  <si>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</si>
  <si>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</si>
  <si>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</si>
  <si>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</si>
  <si>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</si>
  <si>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</si>
  <si>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</si>
  <si>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</si>
  <si>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</si>
  <si>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</si>
  <si>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</si>
  <si>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</si>
  <si>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</si>
  <si>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</si>
  <si>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</si>
  <si>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</si>
  <si>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</si>
  <si>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</si>
  <si>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</si>
  <si>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</si>
  <si>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</si>
  <si>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</si>
  <si>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</si>
  <si>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</si>
  <si>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</si>
  <si>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</si>
  <si>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</si>
  <si>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</si>
  <si>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</si>
  <si>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</si>
  <si>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</si>
  <si>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</si>
  <si>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</si>
  <si>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</si>
  <si>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</si>
  <si>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</si>
  <si>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</si>
  <si>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</si>
  <si>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</si>
  <si>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</si>
  <si>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</si>
  <si>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</si>
  <si>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</si>
  <si>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</si>
  <si>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</si>
  <si>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</si>
  <si>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</si>
  <si>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</si>
  <si>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</si>
  <si>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</si>
  <si>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</si>
  <si>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</si>
  <si>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</si>
  <si>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</si>
  <si>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</si>
  <si>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</si>
  <si>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</si>
  <si>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</si>
  <si>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</si>
  <si>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</si>
  <si>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</si>
  <si>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</si>
  <si>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</si>
  <si>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</si>
  <si>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</si>
  <si>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</si>
  <si>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</si>
  <si>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</si>
  <si>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</si>
  <si>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</si>
  <si>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</si>
  <si>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</si>
  <si>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</si>
  <si>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</si>
  <si>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</si>
  <si>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</si>
  <si>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</si>
  <si>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</si>
  <si>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</si>
  <si>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</si>
  <si>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</si>
  <si>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</si>
  <si>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</si>
  <si>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</si>
  <si>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</si>
  <si>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</si>
  <si>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</si>
  <si>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</si>
  <si>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</si>
  <si>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</si>
  <si>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</si>
  <si>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</si>
  <si>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M070</t>
    <phoneticPr fontId="1"/>
  </si>
  <si>
    <t>A550</t>
    <phoneticPr fontId="1"/>
  </si>
  <si>
    <t>M037</t>
    <phoneticPr fontId="1"/>
  </si>
  <si>
    <t>2026/1/11 個数</t>
  </si>
  <si>
    <t>2026/1/12 個数</t>
  </si>
  <si>
    <t>2026/1/13 個数</t>
  </si>
  <si>
    <t>2026/1/14 個数</t>
  </si>
  <si>
    <t>2026/1/18 個数</t>
  </si>
  <si>
    <t>2026/1/21 個数</t>
  </si>
  <si>
    <t>2026/1/25 個数</t>
  </si>
  <si>
    <t>2026/1/29 個数</t>
  </si>
  <si>
    <t>AYG128</t>
    <phoneticPr fontId="1"/>
  </si>
  <si>
    <t>07120049</t>
    <phoneticPr fontId="1"/>
  </si>
  <si>
    <t>07120055</t>
    <phoneticPr fontId="1"/>
  </si>
  <si>
    <t>07120122</t>
    <phoneticPr fontId="1"/>
  </si>
  <si>
    <t>07120123</t>
    <phoneticPr fontId="1"/>
  </si>
  <si>
    <t>07120124</t>
    <phoneticPr fontId="1"/>
  </si>
  <si>
    <t>07120179</t>
    <phoneticPr fontId="1"/>
  </si>
  <si>
    <t>07120180</t>
    <phoneticPr fontId="1"/>
  </si>
  <si>
    <t>A680</t>
    <phoneticPr fontId="1"/>
  </si>
  <si>
    <t>07120184</t>
    <phoneticPr fontId="1"/>
  </si>
  <si>
    <t>07120187</t>
    <phoneticPr fontId="1"/>
  </si>
  <si>
    <t>07120188</t>
    <phoneticPr fontId="1"/>
  </si>
  <si>
    <t>07120189</t>
    <phoneticPr fontId="1"/>
  </si>
  <si>
    <t>A330</t>
    <phoneticPr fontId="1"/>
  </si>
  <si>
    <t>07120190</t>
    <phoneticPr fontId="1"/>
  </si>
  <si>
    <t>07120191</t>
    <phoneticPr fontId="1"/>
  </si>
  <si>
    <t>07120193</t>
    <phoneticPr fontId="1"/>
  </si>
  <si>
    <t>07120194</t>
    <phoneticPr fontId="1"/>
  </si>
  <si>
    <t>07110466</t>
    <phoneticPr fontId="1"/>
  </si>
  <si>
    <t>07120039</t>
    <phoneticPr fontId="1"/>
  </si>
  <si>
    <t>07120080</t>
    <phoneticPr fontId="1"/>
  </si>
  <si>
    <t>07120082</t>
    <phoneticPr fontId="1"/>
  </si>
  <si>
    <t>07120083</t>
    <phoneticPr fontId="1"/>
  </si>
  <si>
    <t>07120084</t>
    <phoneticPr fontId="1"/>
  </si>
  <si>
    <t>07120086</t>
    <phoneticPr fontId="1"/>
  </si>
  <si>
    <t>07120105</t>
    <phoneticPr fontId="1"/>
  </si>
  <si>
    <t>07120109</t>
    <phoneticPr fontId="1"/>
  </si>
  <si>
    <t>07120110</t>
    <phoneticPr fontId="1"/>
  </si>
  <si>
    <t>07120182</t>
    <phoneticPr fontId="1"/>
  </si>
  <si>
    <t>07120183</t>
    <phoneticPr fontId="1"/>
  </si>
  <si>
    <t>07120186</t>
    <phoneticPr fontId="1"/>
  </si>
  <si>
    <t>A654</t>
    <phoneticPr fontId="1"/>
  </si>
  <si>
    <t>07120211</t>
    <phoneticPr fontId="1"/>
  </si>
  <si>
    <t>07120212</t>
    <phoneticPr fontId="1"/>
  </si>
  <si>
    <t>A657</t>
    <phoneticPr fontId="1"/>
  </si>
  <si>
    <t>07120213</t>
    <phoneticPr fontId="1"/>
  </si>
  <si>
    <t>07120071</t>
    <phoneticPr fontId="1"/>
  </si>
  <si>
    <t>M079</t>
    <phoneticPr fontId="1"/>
  </si>
  <si>
    <t>07120081</t>
    <phoneticPr fontId="1"/>
  </si>
  <si>
    <t>07120185</t>
    <phoneticPr fontId="1"/>
  </si>
  <si>
    <t>07120198</t>
    <phoneticPr fontId="1"/>
  </si>
  <si>
    <t>07120200</t>
    <phoneticPr fontId="1"/>
  </si>
  <si>
    <t>07120209</t>
    <phoneticPr fontId="1"/>
  </si>
  <si>
    <t>A529</t>
    <phoneticPr fontId="1"/>
  </si>
  <si>
    <t>07120210</t>
    <phoneticPr fontId="1"/>
  </si>
  <si>
    <t>07120214</t>
    <phoneticPr fontId="1"/>
  </si>
  <si>
    <t>A335</t>
    <phoneticPr fontId="1"/>
  </si>
  <si>
    <t>07120215</t>
    <phoneticPr fontId="1"/>
  </si>
  <si>
    <t>07120216</t>
    <phoneticPr fontId="1"/>
  </si>
  <si>
    <t>07120217</t>
    <phoneticPr fontId="1"/>
  </si>
  <si>
    <t>07120219</t>
    <phoneticPr fontId="1"/>
  </si>
  <si>
    <t>07120225</t>
    <phoneticPr fontId="1"/>
  </si>
  <si>
    <t>M078</t>
    <phoneticPr fontId="1"/>
  </si>
  <si>
    <t>07120228</t>
    <phoneticPr fontId="1"/>
  </si>
  <si>
    <t>A318</t>
    <phoneticPr fontId="1"/>
  </si>
  <si>
    <t>07120229</t>
    <phoneticPr fontId="1"/>
  </si>
  <si>
    <t>07120242</t>
    <phoneticPr fontId="1"/>
  </si>
  <si>
    <t>07110511</t>
    <phoneticPr fontId="1"/>
  </si>
  <si>
    <t>A700</t>
    <phoneticPr fontId="1"/>
  </si>
  <si>
    <t>07110512</t>
    <phoneticPr fontId="1"/>
  </si>
  <si>
    <t>07110513</t>
    <phoneticPr fontId="1"/>
  </si>
  <si>
    <t>07120236</t>
    <phoneticPr fontId="1"/>
  </si>
  <si>
    <t>07120237</t>
    <phoneticPr fontId="1"/>
  </si>
  <si>
    <t>07120246</t>
    <phoneticPr fontId="1"/>
  </si>
  <si>
    <t>07120248</t>
    <phoneticPr fontId="1"/>
  </si>
  <si>
    <t>A545</t>
    <phoneticPr fontId="1"/>
  </si>
  <si>
    <t>07100235</t>
    <phoneticPr fontId="1"/>
  </si>
  <si>
    <t>07110193</t>
    <phoneticPr fontId="1"/>
  </si>
  <si>
    <t>07110252</t>
    <phoneticPr fontId="1"/>
  </si>
  <si>
    <t>07110253</t>
    <phoneticPr fontId="1"/>
  </si>
  <si>
    <t>07120247</t>
    <phoneticPr fontId="1"/>
  </si>
  <si>
    <t>A328</t>
    <phoneticPr fontId="1"/>
  </si>
  <si>
    <t>07120249</t>
    <phoneticPr fontId="1"/>
  </si>
  <si>
    <t>07120253</t>
    <phoneticPr fontId="1"/>
  </si>
  <si>
    <t>07120255</t>
    <phoneticPr fontId="1"/>
  </si>
  <si>
    <t>07120254</t>
    <phoneticPr fontId="1"/>
  </si>
  <si>
    <t>07120256</t>
    <phoneticPr fontId="1"/>
  </si>
  <si>
    <t>07120257</t>
  </si>
  <si>
    <t>07120258</t>
  </si>
  <si>
    <t>07120259</t>
  </si>
  <si>
    <t>07120260</t>
  </si>
  <si>
    <t>A120</t>
    <phoneticPr fontId="1"/>
  </si>
  <si>
    <t>07120262</t>
    <phoneticPr fontId="1"/>
  </si>
  <si>
    <t>07120263</t>
    <phoneticPr fontId="1"/>
  </si>
  <si>
    <t>07120264</t>
    <phoneticPr fontId="1"/>
  </si>
  <si>
    <t>A997</t>
    <phoneticPr fontId="1"/>
  </si>
  <si>
    <t>07120218</t>
    <phoneticPr fontId="1"/>
  </si>
  <si>
    <t>07120230</t>
    <phoneticPr fontId="1"/>
  </si>
  <si>
    <t>07120235</t>
    <phoneticPr fontId="1"/>
  </si>
  <si>
    <t>A505</t>
    <phoneticPr fontId="1"/>
  </si>
  <si>
    <t>07120261</t>
    <phoneticPr fontId="1"/>
  </si>
  <si>
    <t>07120277</t>
    <phoneticPr fontId="1"/>
  </si>
  <si>
    <t>07120278</t>
    <phoneticPr fontId="1"/>
  </si>
  <si>
    <t>07120281</t>
    <phoneticPr fontId="1"/>
  </si>
  <si>
    <t>M025</t>
    <phoneticPr fontId="1"/>
  </si>
  <si>
    <t>07120288</t>
    <phoneticPr fontId="1"/>
  </si>
  <si>
    <t>07120294</t>
    <phoneticPr fontId="1"/>
  </si>
  <si>
    <t>07120295</t>
    <phoneticPr fontId="1"/>
  </si>
  <si>
    <t>07120296</t>
    <phoneticPr fontId="1"/>
  </si>
  <si>
    <t>07120297</t>
    <phoneticPr fontId="1"/>
  </si>
  <si>
    <t>07120298</t>
    <phoneticPr fontId="1"/>
  </si>
  <si>
    <t>07120299</t>
    <phoneticPr fontId="1"/>
  </si>
  <si>
    <t>2026/1/17 個数</t>
  </si>
  <si>
    <t>2026/1/19 個数</t>
  </si>
  <si>
    <t>2026/1/20 個数</t>
  </si>
  <si>
    <t>2026/1/24 個数</t>
  </si>
  <si>
    <t>2026/1/27 個数</t>
  </si>
  <si>
    <t>2026/1/28 個数</t>
  </si>
  <si>
    <t>2026/1/31 個数</t>
  </si>
  <si>
    <t>2026/2/16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</si>
</sst>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I11" sqref="I11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196</v>
      </c>
      <c r="B1" s="24">
        <v>46007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2" t="s">
        <v>105</v>
      </c>
      <c r="Y2" s="143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4">
        <v>1</v>
      </c>
      <c r="B3" s="147"/>
      <c r="C3" s="85" t="s">
        <v>197</v>
      </c>
      <c r="D3" s="109" t="s">
        <v>183</v>
      </c>
      <c r="E3" s="15" t="s">
        <v>75</v>
      </c>
      <c r="F3" s="14"/>
      <c r="G3" s="12" t="s">
        <v>180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46053</v>
      </c>
      <c r="U3" s="13" t="s">
        <v>147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5"/>
      <c r="B4" s="148"/>
      <c r="C4" s="85" t="s">
        <v>198</v>
      </c>
      <c r="D4" s="109" t="s">
        <v>185</v>
      </c>
      <c r="E4" s="15" t="s">
        <v>75</v>
      </c>
      <c r="F4" s="16"/>
      <c r="G4" s="12" t="s">
        <v>180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/>
      <c r="T4" s="25">
        <v>46036</v>
      </c>
      <c r="U4" s="13" t="s">
        <v>147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5"/>
      <c r="B5" s="148"/>
      <c r="C5" s="85" t="s">
        <v>199</v>
      </c>
      <c r="D5" s="109" t="s">
        <v>181</v>
      </c>
      <c r="E5" s="15" t="s">
        <v>36</v>
      </c>
      <c r="F5" s="16"/>
      <c r="G5" s="12" t="s">
        <v>180</v>
      </c>
      <c r="H5" s="13"/>
      <c r="I5" s="13"/>
      <c r="J5" s="13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46039</v>
      </c>
      <c r="U5" s="13" t="s">
        <v>147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5"/>
      <c r="B6" s="148"/>
      <c r="C6" s="85" t="s">
        <v>200</v>
      </c>
      <c r="D6" s="109" t="s">
        <v>182</v>
      </c>
      <c r="E6" s="15" t="s">
        <v>78</v>
      </c>
      <c r="F6" s="16"/>
      <c r="G6" s="12" t="s">
        <v>180</v>
      </c>
      <c r="H6" s="15"/>
      <c r="I6" s="13"/>
      <c r="J6" s="13">
        <v>1</v>
      </c>
      <c r="K6" s="15">
        <v>1</v>
      </c>
      <c r="L6" s="17"/>
      <c r="M6" s="17"/>
      <c r="N6" s="13"/>
      <c r="O6" s="17"/>
      <c r="P6" s="17"/>
      <c r="Q6" s="17"/>
      <c r="R6" s="17"/>
      <c r="S6" s="15"/>
      <c r="T6" s="25">
        <v>46040</v>
      </c>
      <c r="U6" s="13" t="s">
        <v>146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5"/>
      <c r="B7" s="148"/>
      <c r="C7" s="85" t="s">
        <v>201</v>
      </c>
      <c r="D7" s="109" t="s">
        <v>182</v>
      </c>
      <c r="E7" s="15" t="s">
        <v>78</v>
      </c>
      <c r="F7" s="16"/>
      <c r="G7" s="12" t="s">
        <v>180</v>
      </c>
      <c r="H7" s="15"/>
      <c r="I7" s="13"/>
      <c r="J7" s="13">
        <v>1</v>
      </c>
      <c r="K7" s="15">
        <v>1</v>
      </c>
      <c r="L7" s="17"/>
      <c r="M7" s="17"/>
      <c r="N7" s="13"/>
      <c r="O7" s="17"/>
      <c r="P7" s="17"/>
      <c r="Q7" s="17"/>
      <c r="R7" s="17"/>
      <c r="S7" s="15"/>
      <c r="T7" s="25">
        <v>46040</v>
      </c>
      <c r="U7" s="13" t="s">
        <v>146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5"/>
      <c r="B8" s="148"/>
      <c r="C8" s="85" t="s">
        <v>202</v>
      </c>
      <c r="D8" s="109" t="s">
        <v>186</v>
      </c>
      <c r="E8" s="15" t="s">
        <v>38</v>
      </c>
      <c r="F8" s="16"/>
      <c r="G8" s="12" t="s">
        <v>180</v>
      </c>
      <c r="H8" s="13"/>
      <c r="I8" s="13"/>
      <c r="J8" s="13">
        <v>1</v>
      </c>
      <c r="K8" s="15">
        <v>1</v>
      </c>
      <c r="L8" s="17"/>
      <c r="M8" s="17"/>
      <c r="N8" s="13"/>
      <c r="O8" s="17"/>
      <c r="P8" s="17"/>
      <c r="Q8" s="17"/>
      <c r="R8" s="17"/>
      <c r="S8" s="15"/>
      <c r="T8" s="25">
        <v>46041</v>
      </c>
      <c r="U8" s="13" t="s">
        <v>146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5"/>
      <c r="B9" s="148"/>
      <c r="C9" s="85" t="s">
        <v>203</v>
      </c>
      <c r="D9" s="109" t="s">
        <v>186</v>
      </c>
      <c r="E9" s="15" t="s">
        <v>36</v>
      </c>
      <c r="F9" s="16"/>
      <c r="G9" s="12" t="s">
        <v>180</v>
      </c>
      <c r="H9" s="15"/>
      <c r="I9" s="13"/>
      <c r="J9" s="13"/>
      <c r="K9" s="15"/>
      <c r="L9" s="17"/>
      <c r="M9" s="17">
        <v>1</v>
      </c>
      <c r="N9" s="13"/>
      <c r="O9" s="17"/>
      <c r="P9" s="17"/>
      <c r="Q9" s="17"/>
      <c r="R9" s="17"/>
      <c r="S9" s="15"/>
      <c r="T9" s="25">
        <v>46041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5"/>
      <c r="B10" s="148"/>
      <c r="C10" s="85" t="s">
        <v>205</v>
      </c>
      <c r="D10" s="109" t="s">
        <v>204</v>
      </c>
      <c r="E10" s="15" t="s">
        <v>37</v>
      </c>
      <c r="F10" s="16"/>
      <c r="G10" s="12" t="s">
        <v>180</v>
      </c>
      <c r="H10" s="15"/>
      <c r="I10" s="13"/>
      <c r="J10" s="13"/>
      <c r="K10" s="15"/>
      <c r="L10" s="17"/>
      <c r="M10" s="17">
        <v>1</v>
      </c>
      <c r="N10" s="13"/>
      <c r="O10" s="17"/>
      <c r="P10" s="17"/>
      <c r="Q10" s="17">
        <v>1</v>
      </c>
      <c r="R10" s="17"/>
      <c r="S10" s="15"/>
      <c r="T10" s="25">
        <v>46051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5"/>
      <c r="B11" s="148"/>
      <c r="C11" s="85" t="s">
        <v>206</v>
      </c>
      <c r="D11" s="109" t="s">
        <v>204</v>
      </c>
      <c r="E11" s="15" t="s">
        <v>36</v>
      </c>
      <c r="F11" s="16"/>
      <c r="G11" s="12" t="s">
        <v>180</v>
      </c>
      <c r="H11" s="15"/>
      <c r="I11" s="13"/>
      <c r="J11" s="13"/>
      <c r="K11" s="15">
        <v>1</v>
      </c>
      <c r="L11" s="17"/>
      <c r="M11" s="17"/>
      <c r="N11" s="13"/>
      <c r="O11" s="17"/>
      <c r="P11" s="17"/>
      <c r="Q11" s="17"/>
      <c r="R11" s="17"/>
      <c r="S11" s="15"/>
      <c r="T11" s="25">
        <v>46051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5"/>
      <c r="B12" s="148"/>
      <c r="C12" s="85" t="s">
        <v>207</v>
      </c>
      <c r="D12" s="109" t="s">
        <v>204</v>
      </c>
      <c r="E12" s="15" t="s">
        <v>39</v>
      </c>
      <c r="F12" s="16"/>
      <c r="G12" s="12" t="s">
        <v>180</v>
      </c>
      <c r="H12" s="15"/>
      <c r="I12" s="15"/>
      <c r="J12" s="13">
        <v>1</v>
      </c>
      <c r="K12" s="15">
        <v>1</v>
      </c>
      <c r="L12" s="17"/>
      <c r="M12" s="17"/>
      <c r="N12" s="17"/>
      <c r="O12" s="17"/>
      <c r="P12" s="17"/>
      <c r="Q12" s="17"/>
      <c r="R12" s="17"/>
      <c r="S12" s="15"/>
      <c r="T12" s="25">
        <v>46051</v>
      </c>
      <c r="U12" s="13" t="s">
        <v>146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5"/>
      <c r="B13" s="148"/>
      <c r="C13" s="85" t="s">
        <v>208</v>
      </c>
      <c r="D13" s="109" t="s">
        <v>204</v>
      </c>
      <c r="E13" s="15" t="s">
        <v>36</v>
      </c>
      <c r="F13" s="16"/>
      <c r="G13" s="12" t="s">
        <v>180</v>
      </c>
      <c r="H13" s="15"/>
      <c r="I13" s="15"/>
      <c r="J13" s="13"/>
      <c r="K13" s="15"/>
      <c r="L13" s="17"/>
      <c r="M13" s="17">
        <v>1</v>
      </c>
      <c r="N13" s="17"/>
      <c r="O13" s="17"/>
      <c r="P13" s="17"/>
      <c r="Q13" s="17">
        <v>1</v>
      </c>
      <c r="R13" s="17"/>
      <c r="S13" s="15"/>
      <c r="T13" s="25">
        <v>46051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5"/>
      <c r="B14" s="148"/>
      <c r="C14" s="85" t="s">
        <v>210</v>
      </c>
      <c r="D14" s="109" t="s">
        <v>209</v>
      </c>
      <c r="E14" s="15" t="s">
        <v>38</v>
      </c>
      <c r="F14" s="16"/>
      <c r="G14" s="12" t="s">
        <v>180</v>
      </c>
      <c r="H14" s="15"/>
      <c r="I14" s="15"/>
      <c r="J14" s="13">
        <v>1</v>
      </c>
      <c r="K14" s="15">
        <v>1</v>
      </c>
      <c r="L14" s="17"/>
      <c r="M14" s="17"/>
      <c r="N14" s="17"/>
      <c r="O14" s="17"/>
      <c r="P14" s="17"/>
      <c r="Q14" s="17"/>
      <c r="R14" s="17"/>
      <c r="S14" s="15"/>
      <c r="T14" s="25">
        <v>46041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5"/>
      <c r="B15" s="148"/>
      <c r="C15" s="85" t="s">
        <v>211</v>
      </c>
      <c r="D15" s="109" t="s">
        <v>209</v>
      </c>
      <c r="E15" s="15" t="s">
        <v>38</v>
      </c>
      <c r="F15" s="16"/>
      <c r="G15" s="12" t="s">
        <v>180</v>
      </c>
      <c r="H15" s="15"/>
      <c r="I15" s="15"/>
      <c r="J15" s="13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46041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5"/>
      <c r="B16" s="148"/>
      <c r="C16" s="85" t="s">
        <v>212</v>
      </c>
      <c r="D16" s="109" t="s">
        <v>204</v>
      </c>
      <c r="E16" s="15" t="s">
        <v>133</v>
      </c>
      <c r="F16" s="16"/>
      <c r="G16" s="12" t="s">
        <v>180</v>
      </c>
      <c r="H16" s="15"/>
      <c r="I16" s="15"/>
      <c r="J16" s="13"/>
      <c r="K16" s="15"/>
      <c r="L16" s="17"/>
      <c r="M16" s="17"/>
      <c r="N16" s="17"/>
      <c r="O16" s="17">
        <v>1</v>
      </c>
      <c r="P16" s="17">
        <v>1</v>
      </c>
      <c r="Q16" s="17">
        <v>1</v>
      </c>
      <c r="R16" s="17">
        <v>1</v>
      </c>
      <c r="S16" s="15"/>
      <c r="T16" s="25">
        <v>46051</v>
      </c>
      <c r="U16" s="13" t="s">
        <v>148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5"/>
      <c r="B17" s="148"/>
      <c r="C17" s="85" t="s">
        <v>213</v>
      </c>
      <c r="D17" s="109" t="s">
        <v>204</v>
      </c>
      <c r="E17" s="15" t="s">
        <v>40</v>
      </c>
      <c r="F17" s="16"/>
      <c r="G17" s="12" t="s">
        <v>184</v>
      </c>
      <c r="H17" s="15"/>
      <c r="I17" s="15"/>
      <c r="J17" s="13"/>
      <c r="K17" s="15"/>
      <c r="L17" s="17"/>
      <c r="M17" s="17"/>
      <c r="N17" s="17"/>
      <c r="O17" s="17">
        <v>1</v>
      </c>
      <c r="P17" s="17">
        <v>1</v>
      </c>
      <c r="Q17" s="17"/>
      <c r="R17" s="17"/>
      <c r="S17" s="15"/>
      <c r="T17" s="25">
        <v>46051</v>
      </c>
      <c r="U17" s="13" t="s">
        <v>148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5"/>
      <c r="B18" s="148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5"/>
      <c r="B19" s="148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5"/>
      <c r="B20" s="148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5"/>
      <c r="B21" s="148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5"/>
      <c r="B22" s="148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5"/>
      <c r="B23" s="148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5"/>
      <c r="B24" s="148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5"/>
      <c r="B25" s="148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153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5"/>
      <c r="B26" s="148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6"/>
      <c r="B27" s="149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85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14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7</v>
      </c>
      <c r="L28" s="29">
        <f t="shared" si="0"/>
        <v>0</v>
      </c>
      <c r="M28" s="29">
        <f t="shared" si="0"/>
        <v>4</v>
      </c>
      <c r="N28" s="29">
        <f t="shared" si="0"/>
        <v>1</v>
      </c>
      <c r="O28" s="29">
        <f t="shared" si="0"/>
        <v>2</v>
      </c>
      <c r="P28" s="29">
        <f t="shared" si="0"/>
        <v>2</v>
      </c>
      <c r="Q28" s="29">
        <f t="shared" si="0"/>
        <v>4</v>
      </c>
      <c r="R28" s="29">
        <f t="shared" si="0"/>
        <v>1</v>
      </c>
      <c r="S28" s="29">
        <f t="shared" si="0"/>
        <v>0</v>
      </c>
      <c r="T28" s="29" t="s">
        <v>64</v>
      </c>
      <c r="U28" s="29">
        <f>COUNTIF(H3:H27,"M")</f>
        <v>0</v>
      </c>
      <c r="AA28" s="158" t="s">
        <v>104</v>
      </c>
      <c r="AB28" s="159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1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27</v>
      </c>
      <c r="T29" s="29"/>
      <c r="U29" s="29"/>
      <c r="X29" t="s">
        <v>136</v>
      </c>
      <c r="AA29" s="160"/>
      <c r="AB29" s="161"/>
      <c r="AC29" s="153">
        <f>SUM(AC28:AE28)</f>
        <v>0</v>
      </c>
      <c r="AD29" s="154"/>
      <c r="AE29" s="15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AYG128</v>
      </c>
      <c r="B31" s="24">
        <f>B1</f>
        <v>46007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2" t="s">
        <v>119</v>
      </c>
      <c r="Y32" s="143"/>
      <c r="AA32" s="162" t="s">
        <v>47</v>
      </c>
      <c r="AB32" s="163"/>
    </row>
    <row r="33" spans="1:29" ht="19.5" thickTop="1" x14ac:dyDescent="0.4">
      <c r="A33" s="144">
        <v>2</v>
      </c>
      <c r="B33" s="147"/>
      <c r="C33" s="85" t="s">
        <v>214</v>
      </c>
      <c r="D33" s="109" t="s">
        <v>187</v>
      </c>
      <c r="E33" s="15" t="s">
        <v>36</v>
      </c>
      <c r="F33" s="14"/>
      <c r="G33" s="12" t="s">
        <v>180</v>
      </c>
      <c r="H33" s="13"/>
      <c r="I33" s="13"/>
      <c r="J33" s="13"/>
      <c r="K33" s="13"/>
      <c r="L33" s="13"/>
      <c r="M33" s="13">
        <v>1</v>
      </c>
      <c r="N33" s="13">
        <v>1</v>
      </c>
      <c r="O33" s="13"/>
      <c r="P33" s="13"/>
      <c r="Q33" s="13">
        <v>1</v>
      </c>
      <c r="R33" s="13"/>
      <c r="S33" s="13"/>
      <c r="T33" s="25">
        <v>46035</v>
      </c>
      <c r="U33" s="13" t="s">
        <v>147</v>
      </c>
      <c r="V33">
        <v>1</v>
      </c>
      <c r="X33" s="51" t="s">
        <v>106</v>
      </c>
      <c r="Y33" s="52">
        <f>COUNTIF(U33:U57,"K")</f>
        <v>2</v>
      </c>
      <c r="AA33" s="31" t="s">
        <v>46</v>
      </c>
      <c r="AB33" s="32">
        <f>J28+J178+J148+J118+J208+J238+J268+J298+J328+J358</f>
        <v>29</v>
      </c>
    </row>
    <row r="34" spans="1:29" x14ac:dyDescent="0.4">
      <c r="A34" s="145"/>
      <c r="B34" s="148"/>
      <c r="C34" s="85" t="s">
        <v>215</v>
      </c>
      <c r="D34" s="109" t="s">
        <v>181</v>
      </c>
      <c r="E34" s="15" t="s">
        <v>37</v>
      </c>
      <c r="F34" s="16"/>
      <c r="G34" s="12" t="s">
        <v>180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46036</v>
      </c>
      <c r="U34" s="13" t="s">
        <v>147</v>
      </c>
      <c r="V34">
        <v>2</v>
      </c>
      <c r="X34" s="51" t="s">
        <v>107</v>
      </c>
      <c r="Y34" s="52">
        <f>COUNTIF(U33:U57,"R")</f>
        <v>13</v>
      </c>
      <c r="AA34" s="31" t="s">
        <v>48</v>
      </c>
      <c r="AB34" s="32">
        <f>K28+K178+K148+K118+K208+K238+K268+K298+K328+K358</f>
        <v>19</v>
      </c>
    </row>
    <row r="35" spans="1:29" ht="19.5" thickBot="1" x14ac:dyDescent="0.45">
      <c r="A35" s="145"/>
      <c r="B35" s="148"/>
      <c r="C35" s="85" t="s">
        <v>216</v>
      </c>
      <c r="D35" s="109" t="s">
        <v>181</v>
      </c>
      <c r="E35" s="15" t="s">
        <v>36</v>
      </c>
      <c r="F35" s="16"/>
      <c r="G35" s="12" t="s">
        <v>180</v>
      </c>
      <c r="H35" s="13"/>
      <c r="I35" s="13"/>
      <c r="J35" s="15"/>
      <c r="K35" s="15"/>
      <c r="L35" s="17"/>
      <c r="M35" s="17">
        <v>1</v>
      </c>
      <c r="N35" s="13">
        <v>1</v>
      </c>
      <c r="O35" s="17"/>
      <c r="P35" s="17"/>
      <c r="Q35" s="17">
        <v>1</v>
      </c>
      <c r="R35" s="17"/>
      <c r="S35" s="15"/>
      <c r="T35" s="25">
        <v>46036</v>
      </c>
      <c r="U35" s="13" t="s">
        <v>147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3</v>
      </c>
    </row>
    <row r="36" spans="1:29" x14ac:dyDescent="0.4">
      <c r="A36" s="145"/>
      <c r="B36" s="148"/>
      <c r="C36" s="85" t="s">
        <v>217</v>
      </c>
      <c r="D36" s="109" t="s">
        <v>181</v>
      </c>
      <c r="E36" s="15" t="s">
        <v>37</v>
      </c>
      <c r="F36" s="16"/>
      <c r="G36" s="12" t="s">
        <v>180</v>
      </c>
      <c r="H36" s="15"/>
      <c r="I36" s="13"/>
      <c r="J36" s="13"/>
      <c r="K36" s="15"/>
      <c r="L36" s="17"/>
      <c r="M36" s="17">
        <v>1</v>
      </c>
      <c r="N36" s="13">
        <v>1</v>
      </c>
      <c r="O36" s="17"/>
      <c r="P36" s="17"/>
      <c r="Q36" s="17"/>
      <c r="R36" s="17"/>
      <c r="S36" s="15"/>
      <c r="T36" s="25">
        <v>46039</v>
      </c>
      <c r="U36" s="13" t="s">
        <v>147</v>
      </c>
      <c r="V36">
        <v>4</v>
      </c>
      <c r="AA36" s="31" t="s">
        <v>50</v>
      </c>
      <c r="AB36" s="32">
        <f>M28+M178+M148+M118+M208+M238+M268+M298+M328+M358</f>
        <v>11</v>
      </c>
    </row>
    <row r="37" spans="1:29" x14ac:dyDescent="0.4">
      <c r="A37" s="145"/>
      <c r="B37" s="148"/>
      <c r="C37" s="85" t="s">
        <v>218</v>
      </c>
      <c r="D37" s="109" t="s">
        <v>187</v>
      </c>
      <c r="E37" s="15" t="s">
        <v>37</v>
      </c>
      <c r="F37" s="16"/>
      <c r="G37" s="12" t="s">
        <v>180</v>
      </c>
      <c r="H37" s="15"/>
      <c r="I37" s="13"/>
      <c r="J37" s="15"/>
      <c r="K37" s="15"/>
      <c r="L37" s="17"/>
      <c r="M37" s="17">
        <v>1</v>
      </c>
      <c r="N37" s="13">
        <v>1</v>
      </c>
      <c r="O37" s="17"/>
      <c r="P37" s="17"/>
      <c r="Q37" s="17">
        <v>1</v>
      </c>
      <c r="R37" s="17"/>
      <c r="S37" s="15"/>
      <c r="T37" s="25">
        <v>46034</v>
      </c>
      <c r="U37" s="13" t="s">
        <v>147</v>
      </c>
      <c r="V37">
        <v>5</v>
      </c>
      <c r="AA37" s="31" t="s">
        <v>51</v>
      </c>
      <c r="AB37" s="32">
        <f>N28+N178+N148+N118+N208+N238+N268+N298+N328+N358</f>
        <v>7</v>
      </c>
    </row>
    <row r="38" spans="1:29" x14ac:dyDescent="0.4">
      <c r="A38" s="145"/>
      <c r="B38" s="148"/>
      <c r="C38" s="85" t="s">
        <v>219</v>
      </c>
      <c r="D38" s="109" t="s">
        <v>187</v>
      </c>
      <c r="E38" s="15" t="s">
        <v>75</v>
      </c>
      <c r="F38" s="16"/>
      <c r="G38" s="12" t="s">
        <v>180</v>
      </c>
      <c r="H38" s="13"/>
      <c r="I38" s="13"/>
      <c r="J38" s="15"/>
      <c r="K38" s="15"/>
      <c r="L38" s="17"/>
      <c r="M38" s="17"/>
      <c r="N38" s="13"/>
      <c r="O38" s="17"/>
      <c r="P38" s="17"/>
      <c r="Q38" s="17"/>
      <c r="R38" s="17"/>
      <c r="S38" s="15"/>
      <c r="T38" s="25">
        <v>46034</v>
      </c>
      <c r="U38" s="13" t="s">
        <v>147</v>
      </c>
      <c r="V38">
        <v>6</v>
      </c>
      <c r="AA38" s="31" t="s">
        <v>52</v>
      </c>
      <c r="AB38" s="32">
        <f>O28+O178+O148+O118+O208+O238+O268+O298+O328+O358</f>
        <v>5</v>
      </c>
    </row>
    <row r="39" spans="1:29" x14ac:dyDescent="0.4">
      <c r="A39" s="145"/>
      <c r="B39" s="148"/>
      <c r="C39" s="85" t="s">
        <v>220</v>
      </c>
      <c r="D39" s="109" t="s">
        <v>181</v>
      </c>
      <c r="E39" s="15" t="s">
        <v>36</v>
      </c>
      <c r="F39" s="16"/>
      <c r="G39" s="12" t="s">
        <v>180</v>
      </c>
      <c r="H39" s="15"/>
      <c r="I39" s="13"/>
      <c r="J39" s="15"/>
      <c r="K39" s="15"/>
      <c r="L39" s="17"/>
      <c r="M39" s="17">
        <v>1</v>
      </c>
      <c r="N39" s="13">
        <v>1</v>
      </c>
      <c r="O39" s="17"/>
      <c r="P39" s="17"/>
      <c r="Q39" s="17"/>
      <c r="R39" s="17"/>
      <c r="S39" s="15"/>
      <c r="T39" s="25">
        <v>46036</v>
      </c>
      <c r="U39" s="13" t="s">
        <v>147</v>
      </c>
      <c r="V39">
        <v>7</v>
      </c>
      <c r="AA39" s="31" t="s">
        <v>53</v>
      </c>
      <c r="AB39" s="32">
        <f>P28+P178+P148+P118+P208+P238+P268+P298+P328+P358</f>
        <v>6</v>
      </c>
    </row>
    <row r="40" spans="1:29" x14ac:dyDescent="0.4">
      <c r="A40" s="145"/>
      <c r="B40" s="148"/>
      <c r="C40" s="85" t="s">
        <v>221</v>
      </c>
      <c r="D40" s="109" t="s">
        <v>181</v>
      </c>
      <c r="E40" s="15" t="s">
        <v>36</v>
      </c>
      <c r="F40" s="16"/>
      <c r="G40" s="12" t="s">
        <v>180</v>
      </c>
      <c r="H40" s="15"/>
      <c r="I40" s="13"/>
      <c r="J40" s="15"/>
      <c r="K40" s="15"/>
      <c r="L40" s="17"/>
      <c r="M40" s="17">
        <v>1</v>
      </c>
      <c r="N40" s="13">
        <v>1</v>
      </c>
      <c r="O40" s="17"/>
      <c r="P40" s="17"/>
      <c r="Q40" s="17">
        <v>1</v>
      </c>
      <c r="R40" s="17"/>
      <c r="S40" s="15"/>
      <c r="T40" s="25">
        <v>46033</v>
      </c>
      <c r="U40" s="13" t="s">
        <v>147</v>
      </c>
      <c r="V40">
        <v>8</v>
      </c>
      <c r="AA40" s="31" t="s">
        <v>54</v>
      </c>
      <c r="AB40" s="32">
        <f>Q28+Q178+Q148+Q118+Q208+Q238+Q268+Q298+Q328+Q358</f>
        <v>9</v>
      </c>
    </row>
    <row r="41" spans="1:29" x14ac:dyDescent="0.4">
      <c r="A41" s="145"/>
      <c r="B41" s="148"/>
      <c r="C41" s="85" t="s">
        <v>222</v>
      </c>
      <c r="D41" s="109" t="s">
        <v>181</v>
      </c>
      <c r="E41" s="15" t="s">
        <v>36</v>
      </c>
      <c r="F41" s="16"/>
      <c r="G41" s="12" t="s">
        <v>180</v>
      </c>
      <c r="H41" s="15"/>
      <c r="I41" s="13"/>
      <c r="J41" s="15"/>
      <c r="K41" s="15"/>
      <c r="L41" s="17"/>
      <c r="M41" s="17">
        <v>1</v>
      </c>
      <c r="N41" s="13">
        <v>1</v>
      </c>
      <c r="O41" s="17"/>
      <c r="P41" s="17"/>
      <c r="Q41" s="17">
        <v>1</v>
      </c>
      <c r="R41" s="17"/>
      <c r="S41" s="15"/>
      <c r="T41" s="25">
        <v>46035</v>
      </c>
      <c r="U41" s="13" t="s">
        <v>147</v>
      </c>
      <c r="V41">
        <v>9</v>
      </c>
      <c r="AA41" s="31" t="s">
        <v>55</v>
      </c>
      <c r="AB41" s="32">
        <f>R28+R178+R148+R118+R208+R238+R268+R298+R328+R358</f>
        <v>3</v>
      </c>
      <c r="AC41" t="s">
        <v>123</v>
      </c>
    </row>
    <row r="42" spans="1:29" ht="19.5" thickBot="1" x14ac:dyDescent="0.45">
      <c r="A42" s="145"/>
      <c r="B42" s="148"/>
      <c r="C42" s="85" t="s">
        <v>223</v>
      </c>
      <c r="D42" s="109" t="s">
        <v>181</v>
      </c>
      <c r="E42" s="15" t="s">
        <v>36</v>
      </c>
      <c r="F42" s="16"/>
      <c r="G42" s="12" t="s">
        <v>180</v>
      </c>
      <c r="H42" s="15"/>
      <c r="I42" s="15"/>
      <c r="J42" s="15"/>
      <c r="K42" s="15"/>
      <c r="L42" s="17"/>
      <c r="M42" s="17">
        <v>1</v>
      </c>
      <c r="N42" s="17">
        <v>1</v>
      </c>
      <c r="O42" s="17"/>
      <c r="P42" s="17"/>
      <c r="Q42" s="17">
        <v>1</v>
      </c>
      <c r="R42" s="17"/>
      <c r="S42" s="15"/>
      <c r="T42" s="25">
        <v>46041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2</v>
      </c>
      <c r="AC42" s="73">
        <f>SUM(AB33:AB42)</f>
        <v>94</v>
      </c>
    </row>
    <row r="43" spans="1:29" ht="19.5" thickBot="1" x14ac:dyDescent="0.45">
      <c r="A43" s="145"/>
      <c r="B43" s="148"/>
      <c r="C43" s="85" t="s">
        <v>224</v>
      </c>
      <c r="D43" s="109" t="s">
        <v>204</v>
      </c>
      <c r="E43" s="15" t="s">
        <v>74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46041</v>
      </c>
      <c r="U43" s="13" t="s">
        <v>142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5"/>
      <c r="B44" s="148"/>
      <c r="C44" s="85" t="s">
        <v>225</v>
      </c>
      <c r="D44" s="109" t="s">
        <v>204</v>
      </c>
      <c r="E44" s="15" t="s">
        <v>40</v>
      </c>
      <c r="F44" s="16"/>
      <c r="G44" s="12" t="s">
        <v>180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>
        <v>1</v>
      </c>
      <c r="R44" s="17">
        <v>1</v>
      </c>
      <c r="S44" s="15"/>
      <c r="T44" s="25">
        <v>46051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5"/>
      <c r="B45" s="148"/>
      <c r="C45" s="85" t="s">
        <v>226</v>
      </c>
      <c r="D45" s="109" t="s">
        <v>204</v>
      </c>
      <c r="E45" s="15" t="s">
        <v>74</v>
      </c>
      <c r="F45" s="16"/>
      <c r="G45" s="12" t="s">
        <v>180</v>
      </c>
      <c r="H45" s="15"/>
      <c r="I45" s="15"/>
      <c r="J45" s="15"/>
      <c r="K45" s="15"/>
      <c r="L45" s="17"/>
      <c r="M45" s="17">
        <v>1</v>
      </c>
      <c r="N45" s="17">
        <v>1</v>
      </c>
      <c r="O45" s="17"/>
      <c r="P45" s="17"/>
      <c r="Q45" s="17"/>
      <c r="R45" s="17"/>
      <c r="S45" s="15"/>
      <c r="T45" s="25">
        <v>46051</v>
      </c>
      <c r="U45" s="13" t="s">
        <v>147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5"/>
      <c r="B46" s="148"/>
      <c r="C46" s="85" t="s">
        <v>228</v>
      </c>
      <c r="D46" s="109" t="s">
        <v>227</v>
      </c>
      <c r="E46" s="15" t="s">
        <v>38</v>
      </c>
      <c r="F46" s="16"/>
      <c r="G46" s="12" t="s">
        <v>180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46039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5"/>
      <c r="B47" s="148"/>
      <c r="C47" s="85" t="s">
        <v>229</v>
      </c>
      <c r="D47" s="109" t="s">
        <v>230</v>
      </c>
      <c r="E47" s="15" t="s">
        <v>58</v>
      </c>
      <c r="F47" s="16"/>
      <c r="G47" s="12" t="s">
        <v>180</v>
      </c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>
        <v>46042</v>
      </c>
      <c r="U47" s="15" t="s">
        <v>147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5"/>
      <c r="B48" s="148"/>
      <c r="C48" s="85" t="s">
        <v>231</v>
      </c>
      <c r="D48" s="110" t="s">
        <v>230</v>
      </c>
      <c r="E48" s="18" t="s">
        <v>58</v>
      </c>
      <c r="F48" s="16"/>
      <c r="G48" s="18" t="s">
        <v>180</v>
      </c>
      <c r="H48" s="15"/>
      <c r="I48" s="15"/>
      <c r="J48" s="18"/>
      <c r="K48" s="15"/>
      <c r="L48" s="19"/>
      <c r="M48" s="19"/>
      <c r="N48" s="19"/>
      <c r="O48" s="19"/>
      <c r="P48" s="19"/>
      <c r="Q48" s="19"/>
      <c r="R48" s="19"/>
      <c r="S48" s="15"/>
      <c r="T48" s="25">
        <v>46042</v>
      </c>
      <c r="U48" s="15" t="s">
        <v>147</v>
      </c>
      <c r="V48" s="73">
        <v>16</v>
      </c>
    </row>
    <row r="49" spans="1:28" x14ac:dyDescent="0.4">
      <c r="A49" s="145"/>
      <c r="B49" s="148"/>
      <c r="C49" s="85"/>
      <c r="D49" s="110"/>
      <c r="E49" s="18"/>
      <c r="F49" s="16"/>
      <c r="G49" s="18"/>
      <c r="H49" s="15"/>
      <c r="I49" s="15"/>
      <c r="J49" s="18"/>
      <c r="K49" s="15"/>
      <c r="L49" s="19"/>
      <c r="M49" s="19"/>
      <c r="N49" s="19"/>
      <c r="O49" s="19"/>
      <c r="P49" s="19"/>
      <c r="Q49" s="19"/>
      <c r="R49" s="19"/>
      <c r="S49" s="15"/>
      <c r="T49" s="26"/>
      <c r="U49" s="15"/>
      <c r="V49">
        <v>17</v>
      </c>
      <c r="AA49" s="39" t="s">
        <v>70</v>
      </c>
      <c r="AB49" s="40">
        <f>G28+G58+G88+G118+G148+G178+G208+G238+G268+G298+G328+G358</f>
        <v>83</v>
      </c>
    </row>
    <row r="50" spans="1:28" ht="19.5" thickBot="1" x14ac:dyDescent="0.45">
      <c r="A50" s="145"/>
      <c r="B50" s="148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5"/>
      <c r="B51" s="148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45"/>
      <c r="B52" s="148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4">
        <v>76</v>
      </c>
    </row>
    <row r="53" spans="1:28" ht="19.5" thickBot="1" x14ac:dyDescent="0.45">
      <c r="A53" s="145"/>
      <c r="B53" s="148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5"/>
    </row>
    <row r="54" spans="1:28" ht="19.5" thickBot="1" x14ac:dyDescent="0.45">
      <c r="A54" s="145"/>
      <c r="B54" s="148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5"/>
      <c r="B55" s="148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2" t="s">
        <v>73</v>
      </c>
      <c r="AB55" s="45"/>
    </row>
    <row r="56" spans="1:28" ht="19.5" thickBot="1" x14ac:dyDescent="0.45">
      <c r="A56" s="145"/>
      <c r="B56" s="148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7"/>
      <c r="AB56" s="46"/>
    </row>
    <row r="57" spans="1:28" ht="19.5" thickBot="1" x14ac:dyDescent="0.45">
      <c r="A57" s="146"/>
      <c r="B57" s="149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2"/>
      <c r="AB57" s="45">
        <v>7</v>
      </c>
    </row>
    <row r="58" spans="1:28" ht="19.5" thickBot="1" x14ac:dyDescent="0.45">
      <c r="A58" s="27"/>
      <c r="B58" s="28"/>
      <c r="C58" s="88">
        <f>COUNTA(C33:C57)</f>
        <v>16</v>
      </c>
      <c r="D58" s="112"/>
      <c r="E58" s="29"/>
      <c r="F58" s="29" t="s">
        <v>34</v>
      </c>
      <c r="G58" s="29">
        <f>COUNTIF(G33:G57,"S")</f>
        <v>16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2</v>
      </c>
      <c r="K58" s="29">
        <f t="shared" si="1"/>
        <v>2</v>
      </c>
      <c r="L58" s="29">
        <f t="shared" si="1"/>
        <v>0</v>
      </c>
      <c r="M58" s="29">
        <f t="shared" si="1"/>
        <v>10</v>
      </c>
      <c r="N58" s="29">
        <f t="shared" si="1"/>
        <v>10</v>
      </c>
      <c r="O58" s="29">
        <f t="shared" si="1"/>
        <v>1</v>
      </c>
      <c r="P58" s="29">
        <f t="shared" si="1"/>
        <v>1</v>
      </c>
      <c r="Q58" s="29">
        <f t="shared" si="1"/>
        <v>8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57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35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AYG128</v>
      </c>
      <c r="B61" s="24">
        <f>B1</f>
        <v>46007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2" t="s">
        <v>118</v>
      </c>
      <c r="Y62" s="143"/>
    </row>
    <row r="63" spans="1:28" ht="20.25" thickTop="1" thickBot="1" x14ac:dyDescent="0.45">
      <c r="A63" s="144">
        <v>3</v>
      </c>
      <c r="B63" s="150"/>
      <c r="C63" s="85" t="s">
        <v>232</v>
      </c>
      <c r="D63" s="109" t="s">
        <v>233</v>
      </c>
      <c r="E63" s="15" t="s">
        <v>37</v>
      </c>
      <c r="F63" s="16"/>
      <c r="G63" s="12" t="s">
        <v>180</v>
      </c>
      <c r="H63" s="15"/>
      <c r="I63" s="13"/>
      <c r="J63" s="15">
        <v>1</v>
      </c>
      <c r="K63" s="15">
        <v>1</v>
      </c>
      <c r="L63" s="17"/>
      <c r="M63" s="17"/>
      <c r="N63" s="13"/>
      <c r="O63" s="17"/>
      <c r="P63" s="17"/>
      <c r="Q63" s="17"/>
      <c r="R63" s="17"/>
      <c r="S63" s="15"/>
      <c r="T63" s="25">
        <v>46069</v>
      </c>
      <c r="U63" s="13" t="s">
        <v>142</v>
      </c>
      <c r="V63">
        <v>1</v>
      </c>
      <c r="X63" s="51" t="s">
        <v>106</v>
      </c>
      <c r="Y63" s="52">
        <f>COUNTIF(U63:U87,"K")</f>
        <v>9</v>
      </c>
      <c r="AA63" s="59" t="s">
        <v>120</v>
      </c>
      <c r="AB63" s="60" t="s">
        <v>121</v>
      </c>
    </row>
    <row r="64" spans="1:28" x14ac:dyDescent="0.4">
      <c r="A64" s="145"/>
      <c r="B64" s="151"/>
      <c r="C64" s="85" t="s">
        <v>234</v>
      </c>
      <c r="D64" s="109" t="s">
        <v>181</v>
      </c>
      <c r="E64" s="15" t="s">
        <v>37</v>
      </c>
      <c r="F64" s="16"/>
      <c r="G64" s="12" t="s">
        <v>180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>
        <v>1</v>
      </c>
      <c r="R64" s="17"/>
      <c r="S64" s="15"/>
      <c r="T64" s="25">
        <v>46033</v>
      </c>
      <c r="U64" s="13" t="s">
        <v>147</v>
      </c>
      <c r="V64">
        <v>2</v>
      </c>
      <c r="X64" s="51" t="s">
        <v>107</v>
      </c>
      <c r="Y64" s="52">
        <f>COUNTIF(U63:U87,"R")</f>
        <v>6</v>
      </c>
      <c r="AA64" s="47" t="s">
        <v>81</v>
      </c>
      <c r="AB64" s="48" t="s">
        <v>60</v>
      </c>
    </row>
    <row r="65" spans="1:28" ht="19.5" thickBot="1" x14ac:dyDescent="0.45">
      <c r="A65" s="145"/>
      <c r="B65" s="151"/>
      <c r="C65" s="85" t="s">
        <v>235</v>
      </c>
      <c r="D65" s="109" t="s">
        <v>204</v>
      </c>
      <c r="E65" s="15" t="s">
        <v>37</v>
      </c>
      <c r="F65" s="16"/>
      <c r="G65" s="12" t="s">
        <v>180</v>
      </c>
      <c r="H65" s="15"/>
      <c r="I65" s="13"/>
      <c r="J65" s="15">
        <v>1</v>
      </c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46050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5"/>
      <c r="B66" s="151"/>
      <c r="C66" s="85" t="s">
        <v>236</v>
      </c>
      <c r="D66" s="109" t="s">
        <v>182</v>
      </c>
      <c r="E66" s="15" t="s">
        <v>58</v>
      </c>
      <c r="F66" s="16"/>
      <c r="G66" s="12" t="s">
        <v>180</v>
      </c>
      <c r="H66" s="15"/>
      <c r="I66" s="15"/>
      <c r="J66" s="15"/>
      <c r="K66" s="15"/>
      <c r="L66" s="17"/>
      <c r="M66" s="17"/>
      <c r="N66" s="17"/>
      <c r="O66" s="17"/>
      <c r="P66" s="17"/>
      <c r="Q66" s="17"/>
      <c r="R66" s="17"/>
      <c r="S66" s="15">
        <v>1</v>
      </c>
      <c r="T66" s="25">
        <v>46041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45"/>
      <c r="B67" s="151"/>
      <c r="C67" s="85" t="s">
        <v>237</v>
      </c>
      <c r="D67" s="109" t="s">
        <v>182</v>
      </c>
      <c r="E67" s="15" t="s">
        <v>40</v>
      </c>
      <c r="F67" s="16"/>
      <c r="G67" s="12" t="s">
        <v>180</v>
      </c>
      <c r="H67" s="15"/>
      <c r="I67" s="15"/>
      <c r="J67" s="15"/>
      <c r="K67" s="15"/>
      <c r="L67" s="17"/>
      <c r="M67" s="17"/>
      <c r="N67" s="17"/>
      <c r="O67" s="17">
        <v>1</v>
      </c>
      <c r="P67" s="17">
        <v>1</v>
      </c>
      <c r="Q67" s="17"/>
      <c r="R67" s="17"/>
      <c r="S67" s="15"/>
      <c r="T67" s="25">
        <v>46040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45"/>
      <c r="B68" s="151"/>
      <c r="C68" s="85" t="s">
        <v>238</v>
      </c>
      <c r="D68" s="109" t="s">
        <v>239</v>
      </c>
      <c r="E68" s="15" t="s">
        <v>74</v>
      </c>
      <c r="F68" s="16"/>
      <c r="G68" s="12" t="s">
        <v>180</v>
      </c>
      <c r="H68" s="15"/>
      <c r="I68" s="15"/>
      <c r="J68" s="15">
        <v>1</v>
      </c>
      <c r="K68" s="15">
        <v>1</v>
      </c>
      <c r="L68" s="17"/>
      <c r="M68" s="17"/>
      <c r="N68" s="17"/>
      <c r="O68" s="17"/>
      <c r="P68" s="17"/>
      <c r="Q68" s="17"/>
      <c r="R68" s="17"/>
      <c r="S68" s="15"/>
      <c r="T68" s="25">
        <v>46040</v>
      </c>
      <c r="U68" s="13" t="s">
        <v>146</v>
      </c>
      <c r="V68">
        <v>6</v>
      </c>
      <c r="AA68" s="49" t="s">
        <v>85</v>
      </c>
      <c r="AB68" s="50" t="s">
        <v>43</v>
      </c>
    </row>
    <row r="69" spans="1:28" x14ac:dyDescent="0.4">
      <c r="A69" s="145"/>
      <c r="B69" s="151"/>
      <c r="C69" s="85" t="s">
        <v>240</v>
      </c>
      <c r="D69" s="109" t="s">
        <v>239</v>
      </c>
      <c r="E69" s="15" t="s">
        <v>38</v>
      </c>
      <c r="F69" s="16"/>
      <c r="G69" s="12" t="s">
        <v>180</v>
      </c>
      <c r="H69" s="15"/>
      <c r="I69" s="15"/>
      <c r="J69" s="15">
        <v>1</v>
      </c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46040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5"/>
      <c r="B70" s="151"/>
      <c r="C70" s="85" t="s">
        <v>241</v>
      </c>
      <c r="D70" s="109" t="s">
        <v>242</v>
      </c>
      <c r="E70" s="15" t="s">
        <v>36</v>
      </c>
      <c r="F70" s="16"/>
      <c r="G70" s="12" t="s">
        <v>180</v>
      </c>
      <c r="H70" s="15"/>
      <c r="I70" s="15"/>
      <c r="J70" s="15"/>
      <c r="K70" s="15"/>
      <c r="L70" s="17"/>
      <c r="M70" s="17">
        <v>1</v>
      </c>
      <c r="N70" s="17">
        <v>1</v>
      </c>
      <c r="O70" s="17"/>
      <c r="P70" s="17"/>
      <c r="Q70" s="17"/>
      <c r="R70" s="17"/>
      <c r="S70" s="15"/>
      <c r="T70" s="25">
        <v>46047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5"/>
      <c r="B71" s="151"/>
      <c r="C71" s="85" t="s">
        <v>243</v>
      </c>
      <c r="D71" s="109" t="s">
        <v>242</v>
      </c>
      <c r="E71" s="15" t="s">
        <v>37</v>
      </c>
      <c r="F71" s="16"/>
      <c r="G71" s="12" t="s">
        <v>180</v>
      </c>
      <c r="H71" s="15"/>
      <c r="I71" s="15"/>
      <c r="J71" s="15"/>
      <c r="K71" s="15"/>
      <c r="L71" s="17"/>
      <c r="M71" s="17"/>
      <c r="N71" s="17"/>
      <c r="O71" s="17"/>
      <c r="P71" s="17"/>
      <c r="Q71" s="17"/>
      <c r="R71" s="17"/>
      <c r="S71" s="15"/>
      <c r="T71" s="25">
        <v>46047</v>
      </c>
      <c r="U71" s="15" t="s">
        <v>147</v>
      </c>
      <c r="V71">
        <v>9</v>
      </c>
      <c r="AA71" s="49" t="s">
        <v>88</v>
      </c>
      <c r="AB71" s="50" t="s">
        <v>74</v>
      </c>
    </row>
    <row r="72" spans="1:28" x14ac:dyDescent="0.4">
      <c r="A72" s="145"/>
      <c r="B72" s="151"/>
      <c r="C72" s="85" t="s">
        <v>244</v>
      </c>
      <c r="D72" s="109" t="s">
        <v>242</v>
      </c>
      <c r="E72" s="18" t="s">
        <v>36</v>
      </c>
      <c r="F72" s="16"/>
      <c r="G72" s="12" t="s">
        <v>180</v>
      </c>
      <c r="H72" s="15"/>
      <c r="I72" s="15"/>
      <c r="J72" s="18">
        <v>1</v>
      </c>
      <c r="K72" s="15">
        <v>1</v>
      </c>
      <c r="L72" s="19"/>
      <c r="M72" s="19"/>
      <c r="N72" s="19"/>
      <c r="O72" s="19"/>
      <c r="P72" s="19"/>
      <c r="Q72" s="19"/>
      <c r="R72" s="19"/>
      <c r="S72" s="15"/>
      <c r="T72" s="25">
        <v>46047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5"/>
      <c r="B73" s="151"/>
      <c r="C73" s="85" t="s">
        <v>245</v>
      </c>
      <c r="D73" s="109" t="s">
        <v>181</v>
      </c>
      <c r="E73" s="18" t="s">
        <v>75</v>
      </c>
      <c r="F73" s="16"/>
      <c r="G73" s="12" t="s">
        <v>180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6">
        <v>46040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5"/>
      <c r="B74" s="151"/>
      <c r="C74" s="85" t="s">
        <v>246</v>
      </c>
      <c r="D74" s="109" t="s">
        <v>181</v>
      </c>
      <c r="E74" s="18" t="s">
        <v>40</v>
      </c>
      <c r="F74" s="16"/>
      <c r="G74" s="12" t="s">
        <v>180</v>
      </c>
      <c r="H74" s="15"/>
      <c r="I74" s="15"/>
      <c r="J74" s="18"/>
      <c r="K74" s="15"/>
      <c r="L74" s="19"/>
      <c r="M74" s="19"/>
      <c r="N74" s="19"/>
      <c r="O74" s="19">
        <v>1</v>
      </c>
      <c r="P74" s="19">
        <v>1</v>
      </c>
      <c r="Q74" s="19"/>
      <c r="R74" s="19"/>
      <c r="S74" s="15"/>
      <c r="T74" s="26">
        <v>46039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45"/>
      <c r="B75" s="151"/>
      <c r="C75" s="85" t="s">
        <v>247</v>
      </c>
      <c r="D75" s="109" t="s">
        <v>248</v>
      </c>
      <c r="E75" s="18" t="s">
        <v>40</v>
      </c>
      <c r="F75" s="16"/>
      <c r="G75" s="12" t="s">
        <v>184</v>
      </c>
      <c r="H75" s="15"/>
      <c r="I75" s="15"/>
      <c r="J75" s="18"/>
      <c r="K75" s="15"/>
      <c r="L75" s="19"/>
      <c r="M75" s="19"/>
      <c r="N75" s="19"/>
      <c r="O75" s="19">
        <v>1</v>
      </c>
      <c r="P75" s="19">
        <v>1</v>
      </c>
      <c r="Q75" s="19"/>
      <c r="R75" s="19"/>
      <c r="S75" s="15"/>
      <c r="T75" s="26">
        <v>46049</v>
      </c>
      <c r="U75" s="15" t="s">
        <v>147</v>
      </c>
      <c r="V75">
        <v>13</v>
      </c>
      <c r="AA75" s="49" t="s">
        <v>92</v>
      </c>
      <c r="AB75" s="50" t="s">
        <v>40</v>
      </c>
    </row>
    <row r="76" spans="1:28" x14ac:dyDescent="0.4">
      <c r="A76" s="145"/>
      <c r="B76" s="151"/>
      <c r="C76" s="86" t="s">
        <v>249</v>
      </c>
      <c r="D76" s="109" t="s">
        <v>250</v>
      </c>
      <c r="E76" s="18" t="s">
        <v>38</v>
      </c>
      <c r="F76" s="16"/>
      <c r="G76" s="12" t="s">
        <v>180</v>
      </c>
      <c r="H76" s="15"/>
      <c r="I76" s="15"/>
      <c r="J76" s="18">
        <v>1</v>
      </c>
      <c r="K76" s="15">
        <v>1</v>
      </c>
      <c r="L76" s="19"/>
      <c r="M76" s="19"/>
      <c r="N76" s="19"/>
      <c r="O76" s="19"/>
      <c r="P76" s="19"/>
      <c r="Q76" s="19"/>
      <c r="R76" s="19"/>
      <c r="S76" s="15"/>
      <c r="T76" s="26">
        <v>46040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5"/>
      <c r="B77" s="151"/>
      <c r="C77" s="86" t="s">
        <v>251</v>
      </c>
      <c r="D77" s="110" t="s">
        <v>250</v>
      </c>
      <c r="E77" s="18" t="s">
        <v>40</v>
      </c>
      <c r="F77" s="16"/>
      <c r="G77" s="18" t="s">
        <v>180</v>
      </c>
      <c r="H77" s="15"/>
      <c r="I77" s="15"/>
      <c r="J77" s="18"/>
      <c r="K77" s="15"/>
      <c r="L77" s="19"/>
      <c r="M77" s="19"/>
      <c r="N77" s="19"/>
      <c r="O77" s="19">
        <v>1</v>
      </c>
      <c r="P77" s="19">
        <v>1</v>
      </c>
      <c r="Q77" s="19">
        <v>1</v>
      </c>
      <c r="R77" s="19">
        <v>1</v>
      </c>
      <c r="S77" s="15"/>
      <c r="T77" s="26">
        <v>46040</v>
      </c>
      <c r="U77" s="15" t="s">
        <v>147</v>
      </c>
      <c r="V77">
        <v>15</v>
      </c>
      <c r="AA77" s="49" t="s">
        <v>94</v>
      </c>
      <c r="AB77" s="50" t="s">
        <v>41</v>
      </c>
    </row>
    <row r="78" spans="1:28" x14ac:dyDescent="0.4">
      <c r="A78" s="145"/>
      <c r="B78" s="151"/>
      <c r="C78" s="86" t="s">
        <v>252</v>
      </c>
      <c r="D78" s="106" t="s">
        <v>182</v>
      </c>
      <c r="E78" s="15" t="s">
        <v>37</v>
      </c>
      <c r="F78" s="16"/>
      <c r="G78" s="15" t="s">
        <v>180</v>
      </c>
      <c r="H78" s="15"/>
      <c r="I78" s="15"/>
      <c r="J78" s="15">
        <v>1</v>
      </c>
      <c r="K78" s="15">
        <v>1</v>
      </c>
      <c r="L78" s="17"/>
      <c r="M78" s="17"/>
      <c r="N78" s="17"/>
      <c r="O78" s="17"/>
      <c r="P78" s="17"/>
      <c r="Q78" s="17"/>
      <c r="R78" s="17"/>
      <c r="S78" s="15"/>
      <c r="T78" s="26">
        <v>46043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45"/>
      <c r="B79" s="151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5"/>
      <c r="B80" s="151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5"/>
      <c r="B81" s="151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5"/>
      <c r="B82" s="151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5"/>
      <c r="B83" s="151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5"/>
      <c r="B84" s="151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5"/>
      <c r="B85" s="151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5"/>
      <c r="B86" s="151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6"/>
      <c r="B87" s="152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16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7</v>
      </c>
      <c r="L88" s="29">
        <f t="shared" si="2"/>
        <v>0</v>
      </c>
      <c r="M88" s="29">
        <f t="shared" si="2"/>
        <v>2</v>
      </c>
      <c r="N88" s="29">
        <f t="shared" si="2"/>
        <v>2</v>
      </c>
      <c r="O88" s="29">
        <f t="shared" si="2"/>
        <v>4</v>
      </c>
      <c r="P88" s="29">
        <f t="shared" si="2"/>
        <v>4</v>
      </c>
      <c r="Q88" s="29">
        <f t="shared" si="2"/>
        <v>2</v>
      </c>
      <c r="R88" s="29">
        <f t="shared" si="2"/>
        <v>1</v>
      </c>
      <c r="S88" s="29">
        <f t="shared" si="2"/>
        <v>2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24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AYG128</v>
      </c>
      <c r="B91" s="24">
        <f>B1</f>
        <v>46007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2" t="s">
        <v>117</v>
      </c>
      <c r="Y92" s="143"/>
    </row>
    <row r="93" spans="1:28" ht="20.25" thickTop="1" thickBot="1" x14ac:dyDescent="0.45">
      <c r="A93" s="144">
        <v>4</v>
      </c>
      <c r="B93" s="147"/>
      <c r="C93" s="85" t="s">
        <v>253</v>
      </c>
      <c r="D93" s="109" t="s">
        <v>254</v>
      </c>
      <c r="E93" s="15" t="s">
        <v>60</v>
      </c>
      <c r="F93" s="14"/>
      <c r="G93" s="12" t="s">
        <v>180</v>
      </c>
      <c r="H93" s="13"/>
      <c r="I93" s="13"/>
      <c r="J93" s="13">
        <v>1</v>
      </c>
      <c r="K93" s="13"/>
      <c r="L93" s="13">
        <v>1</v>
      </c>
      <c r="M93" s="13"/>
      <c r="N93" s="13"/>
      <c r="O93" s="13"/>
      <c r="P93" s="13"/>
      <c r="Q93" s="13"/>
      <c r="R93" s="13"/>
      <c r="S93" s="13"/>
      <c r="T93" s="25">
        <v>46035</v>
      </c>
      <c r="U93" s="13" t="s">
        <v>146</v>
      </c>
      <c r="V93">
        <v>1</v>
      </c>
      <c r="X93" s="51" t="s">
        <v>106</v>
      </c>
      <c r="Y93" s="52">
        <f>COUNTIF(U93:U117,"K")</f>
        <v>6</v>
      </c>
      <c r="AA93" s="59" t="s">
        <v>120</v>
      </c>
      <c r="AB93" s="60" t="s">
        <v>121</v>
      </c>
    </row>
    <row r="94" spans="1:28" x14ac:dyDescent="0.4">
      <c r="A94" s="145"/>
      <c r="B94" s="148"/>
      <c r="C94" s="85" t="s">
        <v>255</v>
      </c>
      <c r="D94" s="109" t="s">
        <v>254</v>
      </c>
      <c r="E94" s="15" t="s">
        <v>60</v>
      </c>
      <c r="F94" s="16"/>
      <c r="G94" s="12" t="s">
        <v>180</v>
      </c>
      <c r="H94" s="15"/>
      <c r="I94" s="15"/>
      <c r="J94" s="13">
        <v>1</v>
      </c>
      <c r="K94" s="15"/>
      <c r="L94" s="13">
        <v>1</v>
      </c>
      <c r="M94" s="17"/>
      <c r="N94" s="17"/>
      <c r="O94" s="17"/>
      <c r="P94" s="17"/>
      <c r="Q94" s="17"/>
      <c r="R94" s="17"/>
      <c r="S94" s="15"/>
      <c r="T94" s="25">
        <v>46035</v>
      </c>
      <c r="U94" s="13" t="s">
        <v>146</v>
      </c>
      <c r="V94">
        <v>2</v>
      </c>
      <c r="X94" s="51" t="s">
        <v>107</v>
      </c>
      <c r="Y94" s="52">
        <f>COUNTIF(U93:U117,"R")</f>
        <v>1</v>
      </c>
      <c r="AA94" s="47" t="s">
        <v>81</v>
      </c>
      <c r="AB94" s="48" t="s">
        <v>60</v>
      </c>
    </row>
    <row r="95" spans="1:28" ht="19.5" thickBot="1" x14ac:dyDescent="0.45">
      <c r="A95" s="145"/>
      <c r="B95" s="148"/>
      <c r="C95" s="85" t="s">
        <v>256</v>
      </c>
      <c r="D95" s="109" t="s">
        <v>254</v>
      </c>
      <c r="E95" s="15" t="s">
        <v>60</v>
      </c>
      <c r="F95" s="16"/>
      <c r="G95" s="12" t="s">
        <v>180</v>
      </c>
      <c r="H95" s="15"/>
      <c r="I95" s="15"/>
      <c r="J95" s="13">
        <v>1</v>
      </c>
      <c r="K95" s="15"/>
      <c r="L95" s="13">
        <v>1</v>
      </c>
      <c r="M95" s="17"/>
      <c r="N95" s="17"/>
      <c r="O95" s="17"/>
      <c r="P95" s="17"/>
      <c r="Q95" s="17"/>
      <c r="R95" s="17"/>
      <c r="S95" s="15"/>
      <c r="T95" s="25">
        <v>46035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5"/>
      <c r="B96" s="148"/>
      <c r="C96" s="85" t="s">
        <v>257</v>
      </c>
      <c r="D96" s="109" t="s">
        <v>254</v>
      </c>
      <c r="E96" s="15" t="s">
        <v>59</v>
      </c>
      <c r="F96" s="16"/>
      <c r="G96" s="12" t="s">
        <v>180</v>
      </c>
      <c r="H96" s="15"/>
      <c r="I96" s="15"/>
      <c r="J96" s="13">
        <v>2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46046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5"/>
      <c r="B97" s="148"/>
      <c r="C97" s="85" t="s">
        <v>258</v>
      </c>
      <c r="D97" s="109" t="s">
        <v>254</v>
      </c>
      <c r="E97" s="15" t="s">
        <v>59</v>
      </c>
      <c r="F97" s="16"/>
      <c r="G97" s="12" t="s">
        <v>180</v>
      </c>
      <c r="H97" s="15"/>
      <c r="I97" s="15"/>
      <c r="J97" s="13">
        <v>2</v>
      </c>
      <c r="K97" s="15"/>
      <c r="L97" s="13"/>
      <c r="M97" s="17"/>
      <c r="N97" s="17"/>
      <c r="O97" s="17"/>
      <c r="P97" s="17"/>
      <c r="Q97" s="17"/>
      <c r="R97" s="17"/>
      <c r="S97" s="15"/>
      <c r="T97" s="25">
        <v>46046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5"/>
      <c r="B98" s="148"/>
      <c r="C98" s="85" t="s">
        <v>259</v>
      </c>
      <c r="D98" s="109" t="s">
        <v>254</v>
      </c>
      <c r="E98" s="15" t="s">
        <v>59</v>
      </c>
      <c r="F98" s="16"/>
      <c r="G98" s="12" t="s">
        <v>180</v>
      </c>
      <c r="H98" s="13"/>
      <c r="I98" s="15"/>
      <c r="J98" s="13">
        <v>2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46047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5"/>
      <c r="B99" s="148"/>
      <c r="C99" s="85" t="s">
        <v>260</v>
      </c>
      <c r="D99" s="109" t="s">
        <v>261</v>
      </c>
      <c r="E99" s="15" t="s">
        <v>75</v>
      </c>
      <c r="F99" s="16"/>
      <c r="G99" s="12" t="s">
        <v>180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/>
      <c r="T99" s="25">
        <v>46051</v>
      </c>
      <c r="U99" s="13" t="s">
        <v>147</v>
      </c>
      <c r="V99">
        <v>7</v>
      </c>
      <c r="AA99" s="49" t="s">
        <v>86</v>
      </c>
      <c r="AB99" s="50" t="s">
        <v>45</v>
      </c>
    </row>
    <row r="100" spans="1:28" x14ac:dyDescent="0.4">
      <c r="A100" s="145"/>
      <c r="B100" s="148"/>
      <c r="C100" s="85"/>
      <c r="D100" s="109"/>
      <c r="E100" s="15"/>
      <c r="F100" s="16"/>
      <c r="G100" s="12"/>
      <c r="H100" s="15"/>
      <c r="I100" s="15"/>
      <c r="J100" s="13"/>
      <c r="K100" s="15"/>
      <c r="L100" s="13"/>
      <c r="M100" s="17"/>
      <c r="N100" s="17"/>
      <c r="O100" s="17"/>
      <c r="P100" s="17"/>
      <c r="Q100" s="17"/>
      <c r="R100" s="17"/>
      <c r="S100" s="15"/>
      <c r="T100" s="25"/>
      <c r="U100" s="13"/>
      <c r="V100">
        <v>8</v>
      </c>
      <c r="AA100" s="49" t="s">
        <v>87</v>
      </c>
      <c r="AB100" s="50" t="s">
        <v>37</v>
      </c>
    </row>
    <row r="101" spans="1:28" x14ac:dyDescent="0.4">
      <c r="A101" s="145"/>
      <c r="B101" s="148"/>
      <c r="C101" s="85"/>
      <c r="D101" s="109"/>
      <c r="E101" s="15"/>
      <c r="F101" s="16"/>
      <c r="G101" s="12"/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/>
      <c r="T101" s="25"/>
      <c r="U101" s="13"/>
      <c r="V101">
        <v>9</v>
      </c>
      <c r="AA101" s="49" t="s">
        <v>88</v>
      </c>
      <c r="AB101" s="50" t="s">
        <v>74</v>
      </c>
    </row>
    <row r="102" spans="1:28" x14ac:dyDescent="0.4">
      <c r="A102" s="145"/>
      <c r="B102" s="148"/>
      <c r="C102" s="85"/>
      <c r="D102" s="109"/>
      <c r="E102" s="15"/>
      <c r="F102" s="16"/>
      <c r="G102" s="12"/>
      <c r="H102" s="15"/>
      <c r="I102" s="15"/>
      <c r="J102" s="13"/>
      <c r="K102" s="15"/>
      <c r="L102" s="13"/>
      <c r="M102" s="17"/>
      <c r="N102" s="17"/>
      <c r="O102" s="17"/>
      <c r="P102" s="17"/>
      <c r="Q102" s="17"/>
      <c r="R102" s="17"/>
      <c r="S102" s="15"/>
      <c r="T102" s="25"/>
      <c r="U102" s="13"/>
      <c r="V102">
        <v>10</v>
      </c>
      <c r="AA102" s="49" t="s">
        <v>89</v>
      </c>
      <c r="AB102" s="50" t="s">
        <v>36</v>
      </c>
    </row>
    <row r="103" spans="1:28" x14ac:dyDescent="0.4">
      <c r="A103" s="145"/>
      <c r="B103" s="148"/>
      <c r="C103" s="85"/>
      <c r="D103" s="109"/>
      <c r="E103" s="15"/>
      <c r="F103" s="16"/>
      <c r="G103" s="12"/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/>
      <c r="T103" s="25"/>
      <c r="U103" s="13"/>
      <c r="V103">
        <v>11</v>
      </c>
      <c r="AA103" s="49" t="s">
        <v>90</v>
      </c>
      <c r="AB103" s="50" t="s">
        <v>58</v>
      </c>
    </row>
    <row r="104" spans="1:28" x14ac:dyDescent="0.4">
      <c r="A104" s="145"/>
      <c r="B104" s="148"/>
      <c r="C104" s="85"/>
      <c r="D104" s="109"/>
      <c r="E104" s="15"/>
      <c r="F104" s="16"/>
      <c r="G104" s="12"/>
      <c r="H104" s="15"/>
      <c r="I104" s="15"/>
      <c r="J104" s="13"/>
      <c r="K104" s="15"/>
      <c r="L104" s="13"/>
      <c r="M104" s="17"/>
      <c r="N104" s="17"/>
      <c r="O104" s="17"/>
      <c r="P104" s="17"/>
      <c r="Q104" s="17"/>
      <c r="R104" s="17"/>
      <c r="S104" s="15"/>
      <c r="T104" s="25"/>
      <c r="U104" s="13"/>
      <c r="V104">
        <v>12</v>
      </c>
      <c r="AA104" s="49" t="s">
        <v>91</v>
      </c>
      <c r="AB104" s="50" t="s">
        <v>75</v>
      </c>
    </row>
    <row r="105" spans="1:28" x14ac:dyDescent="0.4">
      <c r="A105" s="145"/>
      <c r="B105" s="148"/>
      <c r="C105" s="85"/>
      <c r="D105" s="109"/>
      <c r="E105" s="15"/>
      <c r="F105" s="16"/>
      <c r="G105" s="12"/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/>
      <c r="T105" s="25"/>
      <c r="U105" s="132"/>
      <c r="V105">
        <v>13</v>
      </c>
      <c r="AA105" s="49" t="s">
        <v>92</v>
      </c>
      <c r="AB105" s="50" t="s">
        <v>40</v>
      </c>
    </row>
    <row r="106" spans="1:28" x14ac:dyDescent="0.4">
      <c r="A106" s="145"/>
      <c r="B106" s="148"/>
      <c r="C106" s="85"/>
      <c r="D106" s="109"/>
      <c r="E106" s="15"/>
      <c r="F106" s="16"/>
      <c r="G106" s="12"/>
      <c r="H106" s="15"/>
      <c r="I106" s="15"/>
      <c r="J106" s="15"/>
      <c r="K106" s="15"/>
      <c r="L106" s="17"/>
      <c r="M106" s="17"/>
      <c r="N106" s="17"/>
      <c r="O106" s="17"/>
      <c r="P106" s="17"/>
      <c r="Q106" s="17"/>
      <c r="R106" s="17"/>
      <c r="S106" s="15"/>
      <c r="T106" s="25"/>
      <c r="U106" s="15"/>
      <c r="V106">
        <v>14</v>
      </c>
      <c r="AA106" s="49" t="s">
        <v>93</v>
      </c>
      <c r="AB106" s="50" t="s">
        <v>57</v>
      </c>
    </row>
    <row r="107" spans="1:28" x14ac:dyDescent="0.4">
      <c r="A107" s="145"/>
      <c r="B107" s="148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45"/>
      <c r="B108" s="148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45"/>
      <c r="B109" s="148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5"/>
      <c r="B110" s="148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5"/>
      <c r="B111" s="148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5"/>
      <c r="B112" s="148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5"/>
      <c r="B113" s="148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5"/>
      <c r="B114" s="148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5"/>
      <c r="B115" s="148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5"/>
      <c r="B116" s="148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6"/>
      <c r="B117" s="149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7</v>
      </c>
      <c r="D118" s="112"/>
      <c r="E118" s="29"/>
      <c r="F118" s="29" t="s">
        <v>34</v>
      </c>
      <c r="G118" s="29">
        <f>COUNTIF(G93:G117,"S")</f>
        <v>7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9</v>
      </c>
      <c r="K118" s="29">
        <f t="shared" ref="K118" si="4">SUM(K93:K117)</f>
        <v>0</v>
      </c>
      <c r="L118" s="29">
        <f t="shared" ref="L118" si="5">SUM(L93:L117)</f>
        <v>3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0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AYG128</v>
      </c>
      <c r="B121" s="24">
        <f>B1</f>
        <v>46007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2" t="s">
        <v>116</v>
      </c>
      <c r="Y122" s="143"/>
    </row>
    <row r="123" spans="1:28" ht="20.25" thickTop="1" thickBot="1" x14ac:dyDescent="0.45">
      <c r="A123" s="144">
        <v>5</v>
      </c>
      <c r="B123" s="147"/>
      <c r="C123" s="85" t="s">
        <v>262</v>
      </c>
      <c r="D123" s="109" t="s">
        <v>233</v>
      </c>
      <c r="E123" s="15" t="s">
        <v>74</v>
      </c>
      <c r="F123" s="14"/>
      <c r="G123" s="12" t="s">
        <v>180</v>
      </c>
      <c r="H123" s="13"/>
      <c r="I123" s="13"/>
      <c r="J123" s="13">
        <v>1</v>
      </c>
      <c r="K123" s="13">
        <v>1</v>
      </c>
      <c r="L123" s="13"/>
      <c r="M123" s="13"/>
      <c r="N123" s="13"/>
      <c r="O123" s="13"/>
      <c r="P123" s="13"/>
      <c r="Q123" s="13"/>
      <c r="R123" s="13"/>
      <c r="S123" s="13"/>
      <c r="T123" s="25">
        <v>46035</v>
      </c>
      <c r="U123" s="13" t="s">
        <v>146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45"/>
      <c r="B124" s="148"/>
      <c r="C124" s="85" t="s">
        <v>263</v>
      </c>
      <c r="D124" s="109" t="s">
        <v>181</v>
      </c>
      <c r="E124" s="15" t="s">
        <v>36</v>
      </c>
      <c r="F124" s="16"/>
      <c r="G124" s="12" t="s">
        <v>180</v>
      </c>
      <c r="H124" s="15"/>
      <c r="I124" s="15"/>
      <c r="J124" s="15">
        <v>1</v>
      </c>
      <c r="K124" s="15">
        <v>1</v>
      </c>
      <c r="L124" s="17"/>
      <c r="M124" s="17"/>
      <c r="N124" s="17"/>
      <c r="O124" s="17"/>
      <c r="P124" s="17"/>
      <c r="Q124" s="17"/>
      <c r="R124" s="17"/>
      <c r="S124" s="15"/>
      <c r="T124" s="25">
        <v>46035</v>
      </c>
      <c r="U124" s="13" t="s">
        <v>146</v>
      </c>
      <c r="V124">
        <v>2</v>
      </c>
      <c r="X124" s="51" t="s">
        <v>107</v>
      </c>
      <c r="Y124" s="52">
        <f>COUNTIF(U123:U147,"R")</f>
        <v>6</v>
      </c>
      <c r="AA124" s="47" t="s">
        <v>81</v>
      </c>
      <c r="AB124" s="48" t="s">
        <v>60</v>
      </c>
    </row>
    <row r="125" spans="1:28" ht="19.5" thickBot="1" x14ac:dyDescent="0.45">
      <c r="A125" s="145"/>
      <c r="B125" s="148"/>
      <c r="C125" s="85" t="s">
        <v>264</v>
      </c>
      <c r="D125" s="109" t="s">
        <v>261</v>
      </c>
      <c r="E125" s="15" t="s">
        <v>44</v>
      </c>
      <c r="F125" s="16"/>
      <c r="G125" s="12" t="s">
        <v>180</v>
      </c>
      <c r="H125" s="15"/>
      <c r="I125" s="15"/>
      <c r="J125" s="13">
        <v>1</v>
      </c>
      <c r="K125" s="13"/>
      <c r="L125" s="13"/>
      <c r="M125" s="17"/>
      <c r="N125" s="17"/>
      <c r="O125" s="17"/>
      <c r="P125" s="17"/>
      <c r="Q125" s="17"/>
      <c r="R125" s="17"/>
      <c r="S125" s="15"/>
      <c r="T125" s="25">
        <v>46051</v>
      </c>
      <c r="U125" s="13" t="s">
        <v>146</v>
      </c>
      <c r="V125">
        <v>3</v>
      </c>
      <c r="X125" s="53" t="s">
        <v>108</v>
      </c>
      <c r="Y125" s="54">
        <f>COUNTIF(U123:U147,"J")</f>
        <v>2</v>
      </c>
      <c r="AA125" s="49" t="s">
        <v>82</v>
      </c>
      <c r="AB125" s="50" t="s">
        <v>39</v>
      </c>
    </row>
    <row r="126" spans="1:28" x14ac:dyDescent="0.4">
      <c r="A126" s="145"/>
      <c r="B126" s="148"/>
      <c r="C126" s="85" t="s">
        <v>265</v>
      </c>
      <c r="D126" s="109" t="s">
        <v>261</v>
      </c>
      <c r="E126" s="15" t="s">
        <v>44</v>
      </c>
      <c r="F126" s="16"/>
      <c r="G126" s="12" t="s">
        <v>180</v>
      </c>
      <c r="H126" s="15"/>
      <c r="I126" s="15"/>
      <c r="J126" s="15">
        <v>1</v>
      </c>
      <c r="K126" s="15">
        <v>1</v>
      </c>
      <c r="L126" s="17"/>
      <c r="M126" s="17"/>
      <c r="N126" s="17"/>
      <c r="O126" s="17"/>
      <c r="P126" s="17"/>
      <c r="Q126" s="17"/>
      <c r="R126" s="17"/>
      <c r="S126" s="15"/>
      <c r="T126" s="25">
        <v>46051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45"/>
      <c r="B127" s="148"/>
      <c r="C127" s="85" t="s">
        <v>266</v>
      </c>
      <c r="D127" s="109" t="s">
        <v>267</v>
      </c>
      <c r="E127" s="15" t="s">
        <v>58</v>
      </c>
      <c r="F127" s="16"/>
      <c r="G127" s="12" t="s">
        <v>180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/>
      <c r="T127" s="25">
        <v>46043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5"/>
      <c r="B128" s="148"/>
      <c r="C128" s="85" t="s">
        <v>268</v>
      </c>
      <c r="D128" s="109" t="s">
        <v>267</v>
      </c>
      <c r="E128" s="15" t="s">
        <v>74</v>
      </c>
      <c r="F128" s="16"/>
      <c r="G128" s="12" t="s">
        <v>180</v>
      </c>
      <c r="H128" s="13"/>
      <c r="I128" s="15"/>
      <c r="J128" s="15">
        <v>1</v>
      </c>
      <c r="K128" s="15">
        <v>1</v>
      </c>
      <c r="L128" s="17"/>
      <c r="M128" s="17"/>
      <c r="N128" s="17"/>
      <c r="O128" s="17"/>
      <c r="P128" s="17"/>
      <c r="Q128" s="17"/>
      <c r="R128" s="17"/>
      <c r="S128" s="15"/>
      <c r="T128" s="25">
        <v>46043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45"/>
      <c r="B129" s="148"/>
      <c r="C129" s="85" t="s">
        <v>269</v>
      </c>
      <c r="D129" s="109" t="s">
        <v>242</v>
      </c>
      <c r="E129" s="15" t="s">
        <v>41</v>
      </c>
      <c r="F129" s="16"/>
      <c r="G129" s="12" t="s">
        <v>180</v>
      </c>
      <c r="H129" s="15"/>
      <c r="I129" s="15"/>
      <c r="J129" s="13">
        <v>1</v>
      </c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46040</v>
      </c>
      <c r="U129" s="13" t="s">
        <v>146</v>
      </c>
      <c r="V129">
        <v>7</v>
      </c>
      <c r="AA129" s="49" t="s">
        <v>86</v>
      </c>
      <c r="AB129" s="50" t="s">
        <v>45</v>
      </c>
    </row>
    <row r="130" spans="1:28" x14ac:dyDescent="0.4">
      <c r="A130" s="145"/>
      <c r="B130" s="148"/>
      <c r="C130" s="85" t="s">
        <v>270</v>
      </c>
      <c r="D130" s="109" t="s">
        <v>242</v>
      </c>
      <c r="E130" s="15" t="s">
        <v>36</v>
      </c>
      <c r="F130" s="16"/>
      <c r="G130" s="12" t="s">
        <v>180</v>
      </c>
      <c r="H130" s="15"/>
      <c r="I130" s="15"/>
      <c r="J130" s="15">
        <v>1</v>
      </c>
      <c r="K130" s="15">
        <v>1</v>
      </c>
      <c r="L130" s="17"/>
      <c r="M130" s="17"/>
      <c r="N130" s="17"/>
      <c r="O130" s="17"/>
      <c r="P130" s="17"/>
      <c r="Q130" s="17"/>
      <c r="R130" s="17"/>
      <c r="S130" s="15"/>
      <c r="T130" s="25">
        <v>46040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5"/>
      <c r="B131" s="148"/>
      <c r="C131" s="85" t="s">
        <v>271</v>
      </c>
      <c r="D131" s="109" t="s">
        <v>242</v>
      </c>
      <c r="E131" s="15" t="s">
        <v>75</v>
      </c>
      <c r="F131" s="16"/>
      <c r="G131" s="12" t="s">
        <v>180</v>
      </c>
      <c r="H131" s="15"/>
      <c r="I131" s="15"/>
      <c r="J131" s="13"/>
      <c r="K131" s="13"/>
      <c r="L131" s="13"/>
      <c r="M131" s="17"/>
      <c r="N131" s="17"/>
      <c r="O131" s="17"/>
      <c r="P131" s="17"/>
      <c r="Q131" s="17"/>
      <c r="R131" s="17"/>
      <c r="S131" s="15">
        <v>1</v>
      </c>
      <c r="T131" s="25">
        <v>46040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5"/>
      <c r="B132" s="148"/>
      <c r="C132" s="85" t="s">
        <v>272</v>
      </c>
      <c r="D132" s="109" t="s">
        <v>242</v>
      </c>
      <c r="E132" s="15" t="s">
        <v>44</v>
      </c>
      <c r="F132" s="16"/>
      <c r="G132" s="12" t="s">
        <v>180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46040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5"/>
      <c r="B133" s="148"/>
      <c r="C133" s="85" t="s">
        <v>273</v>
      </c>
      <c r="D133" s="109" t="s">
        <v>242</v>
      </c>
      <c r="E133" s="15" t="s">
        <v>37</v>
      </c>
      <c r="F133" s="16"/>
      <c r="G133" s="12" t="s">
        <v>180</v>
      </c>
      <c r="H133" s="15"/>
      <c r="I133" s="15"/>
      <c r="J133" s="13"/>
      <c r="K133" s="13"/>
      <c r="L133" s="13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46047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5"/>
      <c r="B134" s="148"/>
      <c r="C134" s="85" t="s">
        <v>274</v>
      </c>
      <c r="D134" s="109" t="s">
        <v>242</v>
      </c>
      <c r="E134" s="15" t="s">
        <v>40</v>
      </c>
      <c r="F134" s="16"/>
      <c r="G134" s="12" t="s">
        <v>180</v>
      </c>
      <c r="H134" s="15"/>
      <c r="I134" s="15"/>
      <c r="J134" s="15"/>
      <c r="K134" s="15"/>
      <c r="L134" s="17"/>
      <c r="M134" s="17"/>
      <c r="N134" s="17"/>
      <c r="O134" s="17"/>
      <c r="P134" s="17">
        <v>1</v>
      </c>
      <c r="Q134" s="17"/>
      <c r="R134" s="17"/>
      <c r="S134" s="15"/>
      <c r="T134" s="25">
        <v>46047</v>
      </c>
      <c r="U134" s="13" t="s">
        <v>148</v>
      </c>
      <c r="V134">
        <v>12</v>
      </c>
      <c r="AA134" s="49" t="s">
        <v>91</v>
      </c>
      <c r="AB134" s="50" t="s">
        <v>75</v>
      </c>
    </row>
    <row r="135" spans="1:28" x14ac:dyDescent="0.4">
      <c r="A135" s="145"/>
      <c r="B135" s="148"/>
      <c r="C135" s="85" t="s">
        <v>275</v>
      </c>
      <c r="D135" s="109" t="s">
        <v>242</v>
      </c>
      <c r="E135" s="15" t="s">
        <v>40</v>
      </c>
      <c r="F135" s="16"/>
      <c r="G135" s="12" t="s">
        <v>180</v>
      </c>
      <c r="H135" s="15"/>
      <c r="I135" s="15"/>
      <c r="J135" s="15"/>
      <c r="K135" s="15"/>
      <c r="L135" s="17"/>
      <c r="M135" s="17"/>
      <c r="N135" s="17"/>
      <c r="O135" s="17"/>
      <c r="P135" s="17">
        <v>1</v>
      </c>
      <c r="Q135" s="17"/>
      <c r="R135" s="17"/>
      <c r="S135" s="15"/>
      <c r="T135" s="25">
        <v>46047</v>
      </c>
      <c r="U135" s="132" t="s">
        <v>148</v>
      </c>
      <c r="V135">
        <v>13</v>
      </c>
      <c r="AA135" s="49" t="s">
        <v>92</v>
      </c>
      <c r="AB135" s="50" t="s">
        <v>40</v>
      </c>
    </row>
    <row r="136" spans="1:28" x14ac:dyDescent="0.4">
      <c r="A136" s="145"/>
      <c r="B136" s="148"/>
      <c r="C136" s="85" t="s">
        <v>276</v>
      </c>
      <c r="D136" s="109" t="s">
        <v>277</v>
      </c>
      <c r="E136" s="15" t="s">
        <v>36</v>
      </c>
      <c r="F136" s="16"/>
      <c r="G136" s="12" t="s">
        <v>180</v>
      </c>
      <c r="H136" s="15"/>
      <c r="I136" s="15"/>
      <c r="J136" s="15"/>
      <c r="K136" s="15"/>
      <c r="L136" s="17"/>
      <c r="M136" s="17">
        <v>1</v>
      </c>
      <c r="N136" s="17">
        <v>1</v>
      </c>
      <c r="O136" s="17"/>
      <c r="P136" s="17"/>
      <c r="Q136" s="17">
        <v>1</v>
      </c>
      <c r="R136" s="17"/>
      <c r="S136" s="15"/>
      <c r="T136" s="25">
        <v>46050</v>
      </c>
      <c r="U136" s="15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5"/>
      <c r="B137" s="148"/>
      <c r="C137" s="85" t="s">
        <v>278</v>
      </c>
      <c r="D137" s="109" t="s">
        <v>277</v>
      </c>
      <c r="E137" s="15" t="s">
        <v>37</v>
      </c>
      <c r="F137" s="16"/>
      <c r="G137" s="15" t="s">
        <v>180</v>
      </c>
      <c r="H137" s="15"/>
      <c r="I137" s="15"/>
      <c r="J137" s="15"/>
      <c r="K137" s="15"/>
      <c r="L137" s="17"/>
      <c r="M137" s="17">
        <v>1</v>
      </c>
      <c r="N137" s="17">
        <v>1</v>
      </c>
      <c r="O137" s="17"/>
      <c r="P137" s="17"/>
      <c r="Q137" s="17">
        <v>1</v>
      </c>
      <c r="R137" s="17"/>
      <c r="S137" s="15"/>
      <c r="T137" s="25">
        <v>46046</v>
      </c>
      <c r="U137" s="15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5"/>
      <c r="B138" s="148"/>
      <c r="C138" s="85" t="s">
        <v>279</v>
      </c>
      <c r="D138" s="106" t="s">
        <v>277</v>
      </c>
      <c r="E138" s="15" t="s">
        <v>37</v>
      </c>
      <c r="F138" s="16"/>
      <c r="G138" s="12" t="s">
        <v>180</v>
      </c>
      <c r="H138" s="15"/>
      <c r="I138" s="15"/>
      <c r="J138" s="18"/>
      <c r="K138" s="15"/>
      <c r="L138" s="19"/>
      <c r="M138" s="19">
        <v>1</v>
      </c>
      <c r="N138" s="13">
        <v>1</v>
      </c>
      <c r="O138" s="19"/>
      <c r="P138" s="19"/>
      <c r="Q138" s="19">
        <v>1</v>
      </c>
      <c r="R138" s="19"/>
      <c r="S138" s="15"/>
      <c r="T138" s="25">
        <v>46046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5"/>
      <c r="B139" s="148"/>
      <c r="C139" s="85" t="s">
        <v>280</v>
      </c>
      <c r="D139" s="106" t="s">
        <v>281</v>
      </c>
      <c r="E139" s="15" t="s">
        <v>75</v>
      </c>
      <c r="F139" s="16"/>
      <c r="G139" s="12" t="s">
        <v>180</v>
      </c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>
        <v>46046</v>
      </c>
      <c r="U139" s="13" t="s">
        <v>147</v>
      </c>
      <c r="V139">
        <v>17</v>
      </c>
      <c r="AA139" s="49" t="s">
        <v>96</v>
      </c>
      <c r="AB139" s="50" t="s">
        <v>61</v>
      </c>
    </row>
    <row r="140" spans="1:28" x14ac:dyDescent="0.4">
      <c r="A140" s="145"/>
      <c r="B140" s="148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5"/>
      <c r="B141" s="148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5"/>
      <c r="B142" s="148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5"/>
      <c r="B143" s="148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5"/>
      <c r="B144" s="148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5"/>
      <c r="B145" s="148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5"/>
      <c r="B146" s="148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6"/>
      <c r="B147" s="149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17</v>
      </c>
      <c r="D148" s="112"/>
      <c r="E148" s="29"/>
      <c r="F148" s="29" t="s">
        <v>34</v>
      </c>
      <c r="G148" s="29">
        <f>COUNTIF(G123:G147,"S")</f>
        <v>17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8</v>
      </c>
      <c r="K148" s="29">
        <f t="shared" ref="K148" si="14">SUM(K123:K147)</f>
        <v>6</v>
      </c>
      <c r="L148" s="29">
        <f t="shared" ref="L148" si="15">SUM(L123:L147)</f>
        <v>0</v>
      </c>
      <c r="M148" s="29">
        <f t="shared" ref="M148" si="16">SUM(M123:M147)</f>
        <v>4</v>
      </c>
      <c r="N148" s="29">
        <f t="shared" ref="N148" si="17">SUM(N123:N147)</f>
        <v>4</v>
      </c>
      <c r="O148" s="29">
        <f t="shared" ref="O148" si="18">SUM(O123:O147)</f>
        <v>0</v>
      </c>
      <c r="P148" s="29">
        <f t="shared" ref="P148" si="19">SUM(P123:P147)</f>
        <v>2</v>
      </c>
      <c r="Q148" s="29">
        <f t="shared" ref="Q148" si="20">SUM(Q123:Q147)</f>
        <v>4</v>
      </c>
      <c r="R148" s="29">
        <f t="shared" ref="R148" si="21">SUM(R123:R147)</f>
        <v>0</v>
      </c>
      <c r="S148" s="29">
        <f t="shared" ref="S148" si="22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29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AYG128</v>
      </c>
      <c r="B151" s="24">
        <f>B1</f>
        <v>46007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2" t="s">
        <v>115</v>
      </c>
      <c r="Y152" s="143"/>
    </row>
    <row r="153" spans="1:28" ht="20.25" thickTop="1" thickBot="1" x14ac:dyDescent="0.45">
      <c r="A153" s="144">
        <v>6</v>
      </c>
      <c r="B153" s="150"/>
      <c r="C153" s="85" t="s">
        <v>282</v>
      </c>
      <c r="D153" s="109" t="s">
        <v>185</v>
      </c>
      <c r="E153" s="13" t="s">
        <v>75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>
        <v>1</v>
      </c>
      <c r="T153" s="26">
        <v>46042</v>
      </c>
      <c r="U153" s="13" t="s">
        <v>147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45"/>
      <c r="B154" s="151"/>
      <c r="C154" s="85" t="s">
        <v>283</v>
      </c>
      <c r="D154" s="109" t="s">
        <v>250</v>
      </c>
      <c r="E154" s="13" t="s">
        <v>36</v>
      </c>
      <c r="F154" s="16"/>
      <c r="G154" s="12" t="s">
        <v>180</v>
      </c>
      <c r="H154" s="15"/>
      <c r="I154" s="15"/>
      <c r="J154" s="15"/>
      <c r="K154" s="15">
        <v>1</v>
      </c>
      <c r="L154" s="17"/>
      <c r="M154" s="17">
        <v>1</v>
      </c>
      <c r="N154" s="17"/>
      <c r="O154" s="17"/>
      <c r="P154" s="17"/>
      <c r="Q154" s="17"/>
      <c r="R154" s="17"/>
      <c r="S154" s="15"/>
      <c r="T154" s="26">
        <v>46051</v>
      </c>
      <c r="U154" s="13" t="s">
        <v>147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45"/>
      <c r="B155" s="151"/>
      <c r="C155" s="85" t="s">
        <v>284</v>
      </c>
      <c r="D155" s="109" t="s">
        <v>285</v>
      </c>
      <c r="E155" s="13" t="s">
        <v>40</v>
      </c>
      <c r="F155" s="16"/>
      <c r="G155" s="12" t="s">
        <v>180</v>
      </c>
      <c r="H155" s="13"/>
      <c r="I155" s="15"/>
      <c r="J155" s="13"/>
      <c r="K155" s="13"/>
      <c r="L155" s="13"/>
      <c r="M155" s="17"/>
      <c r="N155" s="17"/>
      <c r="O155" s="17">
        <v>1</v>
      </c>
      <c r="P155" s="17">
        <v>1</v>
      </c>
      <c r="Q155" s="17"/>
      <c r="R155" s="17"/>
      <c r="S155" s="15"/>
      <c r="T155" s="26">
        <v>46035</v>
      </c>
      <c r="U155" s="13" t="s">
        <v>148</v>
      </c>
      <c r="V155">
        <v>3</v>
      </c>
      <c r="X155" s="53" t="s">
        <v>108</v>
      </c>
      <c r="Y155" s="54">
        <f>COUNTIF(U153:U177,"J")</f>
        <v>3</v>
      </c>
      <c r="AA155" s="49" t="s">
        <v>82</v>
      </c>
      <c r="AB155" s="50" t="s">
        <v>39</v>
      </c>
    </row>
    <row r="156" spans="1:28" x14ac:dyDescent="0.4">
      <c r="A156" s="145"/>
      <c r="B156" s="151"/>
      <c r="C156" s="85" t="s">
        <v>286</v>
      </c>
      <c r="D156" s="109" t="s">
        <v>277</v>
      </c>
      <c r="E156" s="13" t="s">
        <v>37</v>
      </c>
      <c r="F156" s="16"/>
      <c r="G156" s="12" t="s">
        <v>180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/>
      <c r="R156" s="17"/>
      <c r="S156" s="15"/>
      <c r="T156" s="26">
        <v>46050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5"/>
      <c r="B157" s="151"/>
      <c r="C157" s="85" t="s">
        <v>287</v>
      </c>
      <c r="D157" s="109" t="s">
        <v>182</v>
      </c>
      <c r="E157" s="13" t="s">
        <v>36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46046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5"/>
      <c r="B158" s="151"/>
      <c r="C158" s="85" t="s">
        <v>288</v>
      </c>
      <c r="D158" s="109" t="s">
        <v>182</v>
      </c>
      <c r="E158" s="13" t="s">
        <v>78</v>
      </c>
      <c r="F158" s="16"/>
      <c r="G158" s="12" t="s">
        <v>180</v>
      </c>
      <c r="H158" s="13"/>
      <c r="I158" s="15"/>
      <c r="J158" s="13">
        <v>1</v>
      </c>
      <c r="K158" s="15"/>
      <c r="L158" s="13"/>
      <c r="M158" s="17"/>
      <c r="N158" s="17"/>
      <c r="O158" s="17"/>
      <c r="P158" s="17"/>
      <c r="Q158" s="17"/>
      <c r="R158" s="17"/>
      <c r="S158" s="15"/>
      <c r="T158" s="26">
        <v>46046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5"/>
      <c r="B159" s="151"/>
      <c r="C159" s="85" t="s">
        <v>289</v>
      </c>
      <c r="D159" s="109" t="s">
        <v>181</v>
      </c>
      <c r="E159" s="13" t="s">
        <v>37</v>
      </c>
      <c r="F159" s="16"/>
      <c r="G159" s="12" t="s">
        <v>180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6">
        <v>46047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5"/>
      <c r="B160" s="151"/>
      <c r="C160" s="85" t="s">
        <v>291</v>
      </c>
      <c r="D160" s="109" t="s">
        <v>290</v>
      </c>
      <c r="E160" s="13" t="s">
        <v>75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6">
        <v>46046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5"/>
      <c r="B161" s="151"/>
      <c r="C161" s="85" t="s">
        <v>292</v>
      </c>
      <c r="D161" s="109" t="s">
        <v>204</v>
      </c>
      <c r="E161" s="13" t="s">
        <v>37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46046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5"/>
      <c r="B162" s="151"/>
      <c r="C162" s="85" t="s">
        <v>293</v>
      </c>
      <c r="D162" s="109" t="s">
        <v>204</v>
      </c>
      <c r="E162" s="13" t="s">
        <v>40</v>
      </c>
      <c r="F162" s="138"/>
      <c r="G162" s="12" t="s">
        <v>180</v>
      </c>
      <c r="H162" s="15"/>
      <c r="I162" s="15"/>
      <c r="J162" s="13"/>
      <c r="K162" s="15"/>
      <c r="L162" s="13"/>
      <c r="M162" s="17"/>
      <c r="N162" s="17"/>
      <c r="O162" s="17">
        <v>1</v>
      </c>
      <c r="P162" s="17"/>
      <c r="Q162" s="17">
        <v>1</v>
      </c>
      <c r="R162" s="17">
        <v>1</v>
      </c>
      <c r="S162" s="15"/>
      <c r="T162" s="26">
        <v>46046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45"/>
      <c r="B163" s="151"/>
      <c r="C163" s="85" t="s">
        <v>294</v>
      </c>
      <c r="D163" s="109" t="s">
        <v>204</v>
      </c>
      <c r="E163" s="13" t="s">
        <v>39</v>
      </c>
      <c r="F163" s="16"/>
      <c r="G163" s="12" t="s">
        <v>180</v>
      </c>
      <c r="H163" s="15"/>
      <c r="I163" s="15"/>
      <c r="J163" s="15">
        <v>1</v>
      </c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6">
        <v>46046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45"/>
      <c r="B164" s="151"/>
      <c r="C164" s="85" t="s">
        <v>295</v>
      </c>
      <c r="D164" s="109" t="s">
        <v>204</v>
      </c>
      <c r="E164" s="13" t="s">
        <v>39</v>
      </c>
      <c r="F164" s="16"/>
      <c r="G164" s="12" t="s">
        <v>180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6">
        <v>46046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5"/>
      <c r="B165" s="151"/>
      <c r="C165" s="85" t="s">
        <v>296</v>
      </c>
      <c r="D165" s="109" t="s">
        <v>204</v>
      </c>
      <c r="E165" s="13" t="s">
        <v>133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/>
      <c r="R165" s="17">
        <v>1</v>
      </c>
      <c r="S165" s="15"/>
      <c r="T165" s="26">
        <v>46046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45"/>
      <c r="B166" s="151"/>
      <c r="C166" s="85" t="s">
        <v>297</v>
      </c>
      <c r="D166" s="109" t="s">
        <v>267</v>
      </c>
      <c r="E166" s="13" t="s">
        <v>37</v>
      </c>
      <c r="F166" s="16"/>
      <c r="G166" s="12" t="s">
        <v>180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/>
      <c r="R166" s="17"/>
      <c r="S166" s="15"/>
      <c r="T166" s="26">
        <v>46047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5"/>
      <c r="B167" s="151"/>
      <c r="C167" s="85"/>
      <c r="D167" s="109"/>
      <c r="E167" s="13"/>
      <c r="F167" s="16"/>
      <c r="G167" s="12"/>
      <c r="H167" s="15"/>
      <c r="I167" s="15"/>
      <c r="J167" s="15"/>
      <c r="K167" s="15"/>
      <c r="L167" s="17"/>
      <c r="M167" s="17"/>
      <c r="N167" s="17"/>
      <c r="O167" s="17"/>
      <c r="P167" s="17"/>
      <c r="Q167" s="17"/>
      <c r="R167" s="17"/>
      <c r="S167" s="15"/>
      <c r="T167" s="26"/>
      <c r="U167" s="13"/>
      <c r="V167">
        <v>15</v>
      </c>
      <c r="AA167" s="49" t="s">
        <v>94</v>
      </c>
      <c r="AB167" s="50" t="s">
        <v>41</v>
      </c>
    </row>
    <row r="168" spans="1:28" x14ac:dyDescent="0.4">
      <c r="A168" s="145"/>
      <c r="B168" s="151"/>
      <c r="C168" s="85"/>
      <c r="D168" s="106"/>
      <c r="E168" s="106"/>
      <c r="F168" s="16"/>
      <c r="G168" s="12"/>
      <c r="H168" s="15"/>
      <c r="I168" s="15"/>
      <c r="J168" s="18"/>
      <c r="K168" s="15"/>
      <c r="L168" s="19"/>
      <c r="M168" s="19"/>
      <c r="N168" s="19"/>
      <c r="O168" s="19"/>
      <c r="P168" s="19"/>
      <c r="Q168" s="19"/>
      <c r="R168" s="19"/>
      <c r="S168" s="15"/>
      <c r="T168" s="25"/>
      <c r="U168" s="13"/>
      <c r="V168">
        <v>16</v>
      </c>
      <c r="AA168" s="49" t="s">
        <v>95</v>
      </c>
      <c r="AB168" s="50" t="s">
        <v>42</v>
      </c>
    </row>
    <row r="169" spans="1:28" x14ac:dyDescent="0.4">
      <c r="A169" s="145"/>
      <c r="B169" s="151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5"/>
      <c r="B170" s="151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5"/>
      <c r="B171" s="151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5"/>
      <c r="B172" s="151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5"/>
      <c r="B173" s="151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5"/>
      <c r="B174" s="151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5"/>
      <c r="B175" s="151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5"/>
      <c r="B176" s="151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6"/>
      <c r="B177" s="152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14</v>
      </c>
      <c r="D178" s="112"/>
      <c r="E178" s="29"/>
      <c r="F178" s="29" t="s">
        <v>34</v>
      </c>
      <c r="G178" s="29">
        <f>COUNTIF(G153:G177,"S")</f>
        <v>14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6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3</v>
      </c>
      <c r="N178" s="29">
        <f t="shared" ref="N178" si="27">SUM(N153:N177)</f>
        <v>2</v>
      </c>
      <c r="O178" s="29">
        <f t="shared" ref="O178" si="28">SUM(O153:O177)</f>
        <v>3</v>
      </c>
      <c r="P178" s="29">
        <f t="shared" ref="P178" si="29">SUM(P153:P177)</f>
        <v>2</v>
      </c>
      <c r="Q178" s="29">
        <f t="shared" ref="Q178" si="30">SUM(Q153:Q177)</f>
        <v>1</v>
      </c>
      <c r="R178" s="29">
        <f t="shared" ref="R178" si="31">SUM(R153:R177)</f>
        <v>2</v>
      </c>
      <c r="S178" s="29">
        <f t="shared" ref="S178" si="32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26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2" t="s">
        <v>114</v>
      </c>
      <c r="Y182" s="143"/>
    </row>
    <row r="183" spans="1:28" ht="20.25" thickTop="1" thickBot="1" x14ac:dyDescent="0.45">
      <c r="A183" s="144">
        <v>7</v>
      </c>
      <c r="B183" s="150"/>
      <c r="C183" s="85"/>
      <c r="D183" s="110"/>
      <c r="E183" s="18"/>
      <c r="F183" s="16"/>
      <c r="G183" s="18"/>
      <c r="H183" s="15"/>
      <c r="I183" s="15"/>
      <c r="J183" s="18"/>
      <c r="K183" s="15"/>
      <c r="L183" s="19"/>
      <c r="M183" s="19"/>
      <c r="N183" s="19"/>
      <c r="O183" s="19"/>
      <c r="P183" s="19"/>
      <c r="Q183" s="19"/>
      <c r="R183" s="19"/>
      <c r="S183" s="15"/>
      <c r="T183" s="25"/>
      <c r="U183" s="15"/>
      <c r="V183">
        <v>1</v>
      </c>
      <c r="X183" s="51" t="s">
        <v>106</v>
      </c>
      <c r="Y183" s="52">
        <f>COUNTIF(U183:U207,"K")</f>
        <v>0</v>
      </c>
      <c r="AA183" s="59" t="s">
        <v>120</v>
      </c>
      <c r="AB183" s="60" t="s">
        <v>121</v>
      </c>
    </row>
    <row r="184" spans="1:28" x14ac:dyDescent="0.4">
      <c r="A184" s="145"/>
      <c r="B184" s="151"/>
      <c r="C184" s="85"/>
      <c r="D184" s="110"/>
      <c r="E184" s="18"/>
      <c r="F184" s="16"/>
      <c r="G184" s="18"/>
      <c r="H184" s="15"/>
      <c r="I184" s="15"/>
      <c r="J184" s="18"/>
      <c r="K184" s="15"/>
      <c r="L184" s="19"/>
      <c r="M184" s="19"/>
      <c r="N184" s="19"/>
      <c r="O184" s="19"/>
      <c r="P184" s="19"/>
      <c r="Q184" s="19"/>
      <c r="R184" s="19"/>
      <c r="S184" s="132"/>
      <c r="T184" s="25"/>
      <c r="U184" s="15"/>
      <c r="V184">
        <v>2</v>
      </c>
      <c r="X184" s="51" t="s">
        <v>107</v>
      </c>
      <c r="Y184" s="52">
        <f>COUNTIF(U183:U207,"R")</f>
        <v>0</v>
      </c>
      <c r="AA184" s="47" t="s">
        <v>81</v>
      </c>
      <c r="AB184" s="48" t="s">
        <v>60</v>
      </c>
    </row>
    <row r="185" spans="1:28" ht="19.5" thickBot="1" x14ac:dyDescent="0.45">
      <c r="A185" s="145"/>
      <c r="B185" s="151"/>
      <c r="C185" s="85"/>
      <c r="D185" s="110"/>
      <c r="E185" s="18"/>
      <c r="F185" s="16"/>
      <c r="G185" s="18"/>
      <c r="H185" s="15"/>
      <c r="I185" s="15"/>
      <c r="J185" s="18"/>
      <c r="K185" s="15"/>
      <c r="L185" s="19"/>
      <c r="M185" s="17"/>
      <c r="N185" s="17"/>
      <c r="O185" s="17"/>
      <c r="P185" s="17"/>
      <c r="Q185" s="17"/>
      <c r="R185" s="17"/>
      <c r="S185" s="15"/>
      <c r="T185" s="25"/>
      <c r="U185" s="15"/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5"/>
      <c r="B186" s="151"/>
      <c r="C186" s="85"/>
      <c r="D186" s="110"/>
      <c r="E186" s="18"/>
      <c r="F186" s="16"/>
      <c r="G186" s="18"/>
      <c r="H186" s="15"/>
      <c r="I186" s="15"/>
      <c r="J186" s="18"/>
      <c r="K186" s="15"/>
      <c r="L186" s="19"/>
      <c r="M186" s="17"/>
      <c r="N186" s="17"/>
      <c r="O186" s="17"/>
      <c r="P186" s="17"/>
      <c r="Q186" s="17"/>
      <c r="R186" s="17"/>
      <c r="S186" s="15"/>
      <c r="T186" s="25"/>
      <c r="U186" s="15"/>
      <c r="V186">
        <v>4</v>
      </c>
      <c r="AA186" s="49" t="s">
        <v>83</v>
      </c>
      <c r="AB186" s="50" t="s">
        <v>38</v>
      </c>
    </row>
    <row r="187" spans="1:28" x14ac:dyDescent="0.4">
      <c r="A187" s="145"/>
      <c r="B187" s="151"/>
      <c r="C187" s="85"/>
      <c r="D187" s="110"/>
      <c r="E187" s="18"/>
      <c r="F187" s="16"/>
      <c r="G187" s="18"/>
      <c r="H187" s="15"/>
      <c r="I187" s="15"/>
      <c r="J187" s="18"/>
      <c r="K187" s="15"/>
      <c r="L187" s="19"/>
      <c r="M187" s="17"/>
      <c r="N187" s="17"/>
      <c r="O187" s="17"/>
      <c r="P187" s="17"/>
      <c r="Q187" s="17"/>
      <c r="R187" s="17"/>
      <c r="S187" s="15"/>
      <c r="T187" s="25"/>
      <c r="U187" s="15"/>
      <c r="V187">
        <v>5</v>
      </c>
      <c r="AA187" s="49" t="s">
        <v>84</v>
      </c>
      <c r="AB187" s="50" t="s">
        <v>44</v>
      </c>
    </row>
    <row r="188" spans="1:28" x14ac:dyDescent="0.4">
      <c r="A188" s="145"/>
      <c r="B188" s="151"/>
      <c r="C188" s="85"/>
      <c r="D188" s="110"/>
      <c r="E188" s="18"/>
      <c r="F188" s="16"/>
      <c r="G188" s="18"/>
      <c r="H188" s="13"/>
      <c r="I188" s="15"/>
      <c r="J188" s="18"/>
      <c r="K188" s="15"/>
      <c r="L188" s="19"/>
      <c r="M188" s="17"/>
      <c r="N188" s="17"/>
      <c r="O188" s="17"/>
      <c r="P188" s="17"/>
      <c r="Q188" s="17"/>
      <c r="R188" s="17"/>
      <c r="S188" s="15"/>
      <c r="T188" s="25"/>
      <c r="U188" s="15"/>
      <c r="V188">
        <v>6</v>
      </c>
      <c r="AA188" s="49" t="s">
        <v>85</v>
      </c>
      <c r="AB188" s="50" t="s">
        <v>43</v>
      </c>
    </row>
    <row r="189" spans="1:28" x14ac:dyDescent="0.4">
      <c r="A189" s="145"/>
      <c r="B189" s="151"/>
      <c r="C189" s="85"/>
      <c r="D189" s="110"/>
      <c r="E189" s="18"/>
      <c r="F189" s="16"/>
      <c r="G189" s="18"/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/>
      <c r="T189" s="25"/>
      <c r="U189" s="15"/>
      <c r="V189">
        <v>7</v>
      </c>
      <c r="AA189" s="49" t="s">
        <v>86</v>
      </c>
      <c r="AB189" s="50" t="s">
        <v>45</v>
      </c>
    </row>
    <row r="190" spans="1:28" x14ac:dyDescent="0.4">
      <c r="A190" s="145"/>
      <c r="B190" s="151"/>
      <c r="C190" s="85"/>
      <c r="D190" s="110"/>
      <c r="E190" s="18"/>
      <c r="F190" s="16"/>
      <c r="G190" s="18"/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/>
      <c r="U190" s="15"/>
      <c r="V190">
        <v>8</v>
      </c>
      <c r="AA190" s="49" t="s">
        <v>87</v>
      </c>
      <c r="AB190" s="50" t="s">
        <v>37</v>
      </c>
    </row>
    <row r="191" spans="1:28" x14ac:dyDescent="0.4">
      <c r="A191" s="145"/>
      <c r="B191" s="151"/>
      <c r="C191" s="85"/>
      <c r="D191" s="110"/>
      <c r="E191" s="18"/>
      <c r="F191" s="16"/>
      <c r="G191" s="18"/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/>
      <c r="U191" s="15"/>
      <c r="V191">
        <v>9</v>
      </c>
      <c r="AA191" s="49" t="s">
        <v>88</v>
      </c>
      <c r="AB191" s="50" t="s">
        <v>74</v>
      </c>
    </row>
    <row r="192" spans="1:28" x14ac:dyDescent="0.4">
      <c r="A192" s="145"/>
      <c r="B192" s="151"/>
      <c r="C192" s="85"/>
      <c r="D192" s="110"/>
      <c r="E192" s="18"/>
      <c r="F192" s="16"/>
      <c r="G192" s="18"/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/>
      <c r="T192" s="25"/>
      <c r="U192" s="15"/>
      <c r="V192">
        <v>10</v>
      </c>
      <c r="AA192" s="49" t="s">
        <v>89</v>
      </c>
      <c r="AB192" s="50" t="s">
        <v>36</v>
      </c>
    </row>
    <row r="193" spans="1:28" x14ac:dyDescent="0.4">
      <c r="A193" s="145"/>
      <c r="B193" s="151"/>
      <c r="C193" s="85"/>
      <c r="D193" s="110"/>
      <c r="E193" s="18"/>
      <c r="F193" s="16"/>
      <c r="G193" s="18"/>
      <c r="H193" s="15"/>
      <c r="I193" s="15"/>
      <c r="J193" s="18"/>
      <c r="K193" s="15"/>
      <c r="L193" s="19"/>
      <c r="M193" s="17"/>
      <c r="N193" s="17"/>
      <c r="O193" s="17"/>
      <c r="P193" s="17"/>
      <c r="Q193" s="17"/>
      <c r="R193" s="17"/>
      <c r="S193" s="15"/>
      <c r="T193" s="25"/>
      <c r="U193" s="15"/>
      <c r="V193">
        <v>11</v>
      </c>
      <c r="AA193" s="49" t="s">
        <v>90</v>
      </c>
      <c r="AB193" s="50" t="s">
        <v>58</v>
      </c>
    </row>
    <row r="194" spans="1:28" x14ac:dyDescent="0.4">
      <c r="A194" s="145"/>
      <c r="B194" s="151"/>
      <c r="C194" s="85"/>
      <c r="D194" s="110"/>
      <c r="E194" s="18"/>
      <c r="F194" s="16"/>
      <c r="G194" s="18"/>
      <c r="H194" s="15"/>
      <c r="I194" s="15"/>
      <c r="J194" s="18"/>
      <c r="K194" s="15"/>
      <c r="L194" s="19"/>
      <c r="M194" s="17"/>
      <c r="N194" s="17"/>
      <c r="O194" s="17"/>
      <c r="P194" s="17"/>
      <c r="Q194" s="17"/>
      <c r="R194" s="17"/>
      <c r="S194" s="15"/>
      <c r="T194" s="25"/>
      <c r="U194" s="15"/>
      <c r="V194">
        <v>12</v>
      </c>
      <c r="AA194" s="49" t="s">
        <v>91</v>
      </c>
      <c r="AB194" s="50" t="s">
        <v>75</v>
      </c>
    </row>
    <row r="195" spans="1:28" x14ac:dyDescent="0.4">
      <c r="A195" s="145"/>
      <c r="B195" s="151"/>
      <c r="C195" s="85"/>
      <c r="D195" s="106"/>
      <c r="E195" s="15"/>
      <c r="F195" s="16"/>
      <c r="G195" s="18"/>
      <c r="H195" s="15"/>
      <c r="I195" s="15"/>
      <c r="J195" s="15"/>
      <c r="K195" s="15"/>
      <c r="L195" s="17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5"/>
      <c r="B196" s="151"/>
      <c r="C196" s="85"/>
      <c r="D196" s="106"/>
      <c r="E196" s="15"/>
      <c r="F196" s="16"/>
      <c r="G196" s="18"/>
      <c r="H196" s="15"/>
      <c r="I196" s="15"/>
      <c r="J196" s="15"/>
      <c r="K196" s="15"/>
      <c r="L196" s="17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5"/>
      <c r="B197" s="151"/>
      <c r="C197" s="85"/>
      <c r="D197" s="106"/>
      <c r="E197" s="15"/>
      <c r="F197" s="16"/>
      <c r="G197" s="15"/>
      <c r="H197" s="15"/>
      <c r="I197" s="15"/>
      <c r="J197" s="15"/>
      <c r="K197" s="15"/>
      <c r="L197" s="17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5"/>
      <c r="B198" s="151"/>
      <c r="C198" s="85"/>
      <c r="D198" s="106"/>
      <c r="E198" s="15"/>
      <c r="F198" s="16"/>
      <c r="G198" s="15"/>
      <c r="H198" s="15"/>
      <c r="I198" s="15"/>
      <c r="J198" s="15"/>
      <c r="K198" s="15"/>
      <c r="L198" s="19"/>
      <c r="M198" s="19"/>
      <c r="N198" s="19"/>
      <c r="O198" s="19"/>
      <c r="P198" s="19"/>
      <c r="Q198" s="19"/>
      <c r="R198" s="19"/>
      <c r="S198" s="15"/>
      <c r="T198" s="25"/>
      <c r="U198" s="15"/>
      <c r="V198">
        <v>16</v>
      </c>
      <c r="AA198" s="49" t="s">
        <v>95</v>
      </c>
      <c r="AB198" s="50" t="s">
        <v>42</v>
      </c>
    </row>
    <row r="199" spans="1:28" x14ac:dyDescent="0.4">
      <c r="A199" s="145"/>
      <c r="B199" s="151"/>
      <c r="C199" s="85"/>
      <c r="D199" s="106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25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5"/>
      <c r="B200" s="151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5"/>
      <c r="B201" s="151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5"/>
      <c r="B202" s="151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5"/>
      <c r="B203" s="151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5"/>
      <c r="B204" s="151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5"/>
      <c r="B205" s="151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5"/>
      <c r="B206" s="151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6"/>
      <c r="B207" s="152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0</v>
      </c>
      <c r="D208" s="112"/>
      <c r="E208" s="29"/>
      <c r="F208" s="29" t="s">
        <v>34</v>
      </c>
      <c r="G208" s="29">
        <f>COUNTIF(G183:G207,"S")</f>
        <v>0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0</v>
      </c>
      <c r="K208" s="29">
        <f t="shared" ref="K208" si="34">SUM(K183:K207)</f>
        <v>0</v>
      </c>
      <c r="L208" s="29">
        <f t="shared" ref="L208" si="35">SUM(L183:L207)</f>
        <v>0</v>
      </c>
      <c r="M208" s="29">
        <f t="shared" ref="M208" si="36">SUM(M183:M207)</f>
        <v>0</v>
      </c>
      <c r="N208" s="29">
        <f t="shared" ref="N208" si="37">SUM(N183:N207)</f>
        <v>0</v>
      </c>
      <c r="O208" s="29">
        <f t="shared" ref="O208" si="38">SUM(O183:O207)</f>
        <v>0</v>
      </c>
      <c r="P208" s="29">
        <f t="shared" ref="P208" si="39">SUM(P183:P207)</f>
        <v>0</v>
      </c>
      <c r="Q208" s="29">
        <f t="shared" ref="Q208" si="40">SUM(Q183:Q207)</f>
        <v>0</v>
      </c>
      <c r="R208" s="29">
        <f t="shared" ref="R208" si="41">SUM(R183:R207)</f>
        <v>0</v>
      </c>
      <c r="S208" s="29">
        <f t="shared" ref="S208" si="42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0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AYG128</v>
      </c>
      <c r="B211" s="24">
        <f>B1</f>
        <v>46007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2" t="s">
        <v>113</v>
      </c>
      <c r="Y212" s="143"/>
    </row>
    <row r="213" spans="1:28" ht="20.25" thickTop="1" thickBot="1" x14ac:dyDescent="0.45">
      <c r="A213" s="144">
        <v>8</v>
      </c>
      <c r="B213" s="150"/>
      <c r="C213" s="85"/>
      <c r="D213" s="106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45"/>
      <c r="B214" s="151"/>
      <c r="C214" s="85"/>
      <c r="D214" s="106"/>
      <c r="E214" s="15"/>
      <c r="F214" s="16"/>
      <c r="G214" s="15"/>
      <c r="H214" s="15"/>
      <c r="I214" s="15"/>
      <c r="J214" s="15"/>
      <c r="K214" s="15"/>
      <c r="L214" s="19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5"/>
      <c r="B215" s="151"/>
      <c r="C215" s="85"/>
      <c r="D215" s="106"/>
      <c r="E215" s="15"/>
      <c r="F215" s="16"/>
      <c r="G215" s="15"/>
      <c r="H215" s="15"/>
      <c r="I215" s="15"/>
      <c r="J215" s="18"/>
      <c r="K215" s="15"/>
      <c r="L215" s="19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5"/>
      <c r="B216" s="151"/>
      <c r="C216" s="85"/>
      <c r="D216" s="106"/>
      <c r="E216" s="15"/>
      <c r="F216" s="16"/>
      <c r="G216" s="15"/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45"/>
      <c r="B217" s="151"/>
      <c r="C217" s="85"/>
      <c r="D217" s="106"/>
      <c r="E217" s="15"/>
      <c r="F217" s="16"/>
      <c r="G217" s="15"/>
      <c r="H217" s="15"/>
      <c r="I217" s="15"/>
      <c r="J217" s="18"/>
      <c r="K217" s="15"/>
      <c r="L217" s="19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45"/>
      <c r="B218" s="151"/>
      <c r="C218" s="85"/>
      <c r="D218" s="106"/>
      <c r="E218" s="15"/>
      <c r="F218" s="16"/>
      <c r="G218" s="15"/>
      <c r="H218" s="15"/>
      <c r="I218" s="15"/>
      <c r="J218" s="18"/>
      <c r="K218" s="15"/>
      <c r="L218" s="19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45"/>
      <c r="B219" s="151"/>
      <c r="C219" s="85"/>
      <c r="D219" s="106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45"/>
      <c r="B220" s="151"/>
      <c r="C220" s="85"/>
      <c r="D220" s="106"/>
      <c r="E220" s="15"/>
      <c r="F220" s="16"/>
      <c r="G220" s="15"/>
      <c r="H220" s="15"/>
      <c r="I220" s="15"/>
      <c r="J220" s="13"/>
      <c r="K220" s="15"/>
      <c r="L220" s="13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45"/>
      <c r="B221" s="151"/>
      <c r="C221" s="85"/>
      <c r="D221" s="106"/>
      <c r="E221" s="15"/>
      <c r="F221" s="16"/>
      <c r="G221" s="15"/>
      <c r="H221" s="15"/>
      <c r="I221" s="15"/>
      <c r="J221" s="13"/>
      <c r="K221" s="15"/>
      <c r="L221" s="13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45"/>
      <c r="B222" s="151"/>
      <c r="C222" s="85"/>
      <c r="D222" s="106"/>
      <c r="E222" s="15"/>
      <c r="F222" s="138"/>
      <c r="G222" s="15"/>
      <c r="H222" s="15"/>
      <c r="I222" s="15"/>
      <c r="J222" s="13"/>
      <c r="K222" s="15"/>
      <c r="L222" s="13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45"/>
      <c r="B223" s="151"/>
      <c r="C223" s="85"/>
      <c r="D223" s="106"/>
      <c r="E223" s="15"/>
      <c r="F223" s="16"/>
      <c r="G223" s="15"/>
      <c r="H223" s="15"/>
      <c r="I223" s="15"/>
      <c r="J223" s="15"/>
      <c r="K223" s="15"/>
      <c r="L223" s="17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45"/>
      <c r="B224" s="151"/>
      <c r="C224" s="85"/>
      <c r="D224" s="106"/>
      <c r="E224" s="15"/>
      <c r="F224" s="16"/>
      <c r="G224" s="15"/>
      <c r="H224" s="15"/>
      <c r="I224" s="15"/>
      <c r="J224" s="15"/>
      <c r="K224" s="15"/>
      <c r="L224" s="17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45"/>
      <c r="B225" s="151"/>
      <c r="C225" s="85"/>
      <c r="D225" s="106"/>
      <c r="E225" s="15"/>
      <c r="F225" s="16"/>
      <c r="G225" s="15"/>
      <c r="H225" s="15"/>
      <c r="I225" s="15"/>
      <c r="J225" s="15"/>
      <c r="K225" s="15"/>
      <c r="L225" s="17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45"/>
      <c r="B226" s="151"/>
      <c r="C226" s="85"/>
      <c r="D226" s="106"/>
      <c r="E226" s="106"/>
      <c r="F226" s="16"/>
      <c r="G226" s="15"/>
      <c r="H226" s="15"/>
      <c r="I226" s="15"/>
      <c r="J226" s="15"/>
      <c r="K226" s="15"/>
      <c r="L226" s="17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5"/>
      <c r="B227" s="151"/>
      <c r="C227" s="85"/>
      <c r="D227" s="106"/>
      <c r="E227" s="106"/>
      <c r="F227" s="16"/>
      <c r="G227" s="15"/>
      <c r="H227" s="15"/>
      <c r="I227" s="15"/>
      <c r="J227" s="15"/>
      <c r="K227" s="15"/>
      <c r="L227" s="17"/>
      <c r="M227" s="17"/>
      <c r="N227" s="17"/>
      <c r="O227" s="17"/>
      <c r="P227" s="17"/>
      <c r="Q227" s="17"/>
      <c r="R227" s="17"/>
      <c r="S227" s="15"/>
      <c r="T227" s="25"/>
      <c r="U227" s="13"/>
      <c r="V227">
        <v>15</v>
      </c>
      <c r="AA227" s="49" t="s">
        <v>94</v>
      </c>
      <c r="AB227" s="50" t="s">
        <v>41</v>
      </c>
    </row>
    <row r="228" spans="1:28" x14ac:dyDescent="0.4">
      <c r="A228" s="145"/>
      <c r="B228" s="151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45"/>
      <c r="B229" s="151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5"/>
      <c r="B230" s="151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5"/>
      <c r="B231" s="151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5"/>
      <c r="B232" s="151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5"/>
      <c r="B233" s="151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5"/>
      <c r="B234" s="151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5"/>
      <c r="B235" s="151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5"/>
      <c r="B236" s="151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6"/>
      <c r="B237" s="152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0</v>
      </c>
      <c r="K238" s="29">
        <f t="shared" ref="K238" si="44">SUM(K213:K237)</f>
        <v>0</v>
      </c>
      <c r="L238" s="29">
        <f t="shared" ref="L238" si="45">SUM(L213:L237)</f>
        <v>0</v>
      </c>
      <c r="M238" s="29">
        <f t="shared" ref="M238" si="46">SUM(M213:M237)</f>
        <v>0</v>
      </c>
      <c r="N238" s="29">
        <f t="shared" ref="N238" si="47">SUM(N213:N237)</f>
        <v>0</v>
      </c>
      <c r="O238" s="29">
        <f t="shared" ref="O238" si="48">SUM(O213:O237)</f>
        <v>0</v>
      </c>
      <c r="P238" s="29">
        <f t="shared" ref="P238" si="49">SUM(P213:P237)</f>
        <v>0</v>
      </c>
      <c r="Q238" s="29">
        <f t="shared" ref="Q238" si="50">SUM(Q213:Q237)</f>
        <v>0</v>
      </c>
      <c r="R238" s="29">
        <f t="shared" ref="R238" si="51">SUM(R213:R237)</f>
        <v>0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AYG128</v>
      </c>
      <c r="B241" s="24">
        <f>B1</f>
        <v>46007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6" t="s">
        <v>112</v>
      </c>
      <c r="Y242" s="156"/>
    </row>
    <row r="243" spans="1:28" ht="20.25" thickTop="1" thickBot="1" x14ac:dyDescent="0.45">
      <c r="A243" s="144">
        <v>9</v>
      </c>
      <c r="B243" s="150"/>
      <c r="C243" s="85"/>
      <c r="D243" s="106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5"/>
      <c r="B244" s="151"/>
      <c r="C244" s="85"/>
      <c r="D244" s="106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5"/>
      <c r="B245" s="151"/>
      <c r="C245" s="85"/>
      <c r="D245" s="106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5"/>
      <c r="B246" s="151"/>
      <c r="C246" s="85"/>
      <c r="D246" s="106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5"/>
      <c r="B247" s="151"/>
      <c r="C247" s="85"/>
      <c r="D247" s="106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5"/>
      <c r="B248" s="151"/>
      <c r="C248" s="85"/>
      <c r="D248" s="106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3"/>
      <c r="V248">
        <v>6</v>
      </c>
      <c r="AA248" s="49" t="s">
        <v>85</v>
      </c>
      <c r="AB248" s="50" t="s">
        <v>43</v>
      </c>
    </row>
    <row r="249" spans="1:28" x14ac:dyDescent="0.4">
      <c r="A249" s="145"/>
      <c r="B249" s="151"/>
      <c r="C249" s="85"/>
      <c r="D249" s="106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5"/>
      <c r="B250" s="151"/>
      <c r="C250" s="85"/>
      <c r="D250" s="106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5"/>
      <c r="B251" s="151"/>
      <c r="C251" s="85"/>
      <c r="D251" s="106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5"/>
      <c r="B252" s="151"/>
      <c r="C252" s="85"/>
      <c r="D252" s="106"/>
      <c r="E252" s="106"/>
      <c r="F252" s="138"/>
      <c r="G252" s="137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5"/>
      <c r="B253" s="151"/>
      <c r="C253" s="85"/>
      <c r="D253" s="106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5"/>
      <c r="B254" s="151"/>
      <c r="C254" s="85"/>
      <c r="D254" s="106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5"/>
      <c r="B255" s="151"/>
      <c r="C255" s="85"/>
      <c r="D255" s="106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5"/>
      <c r="B256" s="151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5"/>
      <c r="B257" s="151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5"/>
      <c r="B258" s="151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5"/>
      <c r="B259" s="151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5"/>
      <c r="B260" s="151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5"/>
      <c r="B261" s="151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5"/>
      <c r="B262" s="151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5"/>
      <c r="B263" s="151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5"/>
      <c r="B264" s="151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5"/>
      <c r="B265" s="151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5"/>
      <c r="B266" s="151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6"/>
      <c r="B267" s="152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0</v>
      </c>
      <c r="K268" s="29">
        <f t="shared" ref="K268" si="54">SUM(K243:K267)</f>
        <v>0</v>
      </c>
      <c r="L268" s="29">
        <f t="shared" ref="L268" si="55">SUM(L243:L267)</f>
        <v>0</v>
      </c>
      <c r="M268" s="29">
        <f t="shared" ref="M268" si="56">SUM(M243:M267)</f>
        <v>0</v>
      </c>
      <c r="N268" s="29">
        <f t="shared" ref="N268" si="57">SUM(N243:N267)</f>
        <v>0</v>
      </c>
      <c r="O268" s="29">
        <f t="shared" ref="O268" si="58">SUM(O243:O267)</f>
        <v>0</v>
      </c>
      <c r="P268" s="29">
        <f t="shared" ref="P268" si="59">SUM(P243:P267)</f>
        <v>0</v>
      </c>
      <c r="Q268" s="29">
        <f t="shared" ref="Q268" si="60">SUM(Q243:Q267)</f>
        <v>0</v>
      </c>
      <c r="R268" s="29">
        <f t="shared" ref="R268" si="61">SUM(R243:R267)</f>
        <v>0</v>
      </c>
      <c r="S268" s="29">
        <f t="shared" ref="S268" si="62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AYG128</v>
      </c>
      <c r="B271" s="24">
        <f>B1</f>
        <v>46007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2" t="s">
        <v>111</v>
      </c>
      <c r="Y272" s="143"/>
    </row>
    <row r="273" spans="1:28" ht="20.25" thickTop="1" thickBot="1" x14ac:dyDescent="0.45">
      <c r="A273" s="144">
        <v>10</v>
      </c>
      <c r="B273" s="150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5"/>
      <c r="B274" s="151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5"/>
      <c r="B275" s="151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5"/>
      <c r="B276" s="151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5"/>
      <c r="B277" s="151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5"/>
      <c r="B278" s="151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5"/>
      <c r="B279" s="151"/>
      <c r="C279" s="85"/>
      <c r="D279" s="109"/>
      <c r="E279" s="13"/>
      <c r="F279" s="16"/>
      <c r="G279" s="12"/>
      <c r="H279" s="15"/>
      <c r="I279" s="15"/>
      <c r="J279" s="15"/>
      <c r="K279" s="15"/>
      <c r="L279" s="17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5"/>
      <c r="B280" s="151"/>
      <c r="C280" s="85"/>
      <c r="D280" s="109"/>
      <c r="E280" s="13"/>
      <c r="F280" s="16"/>
      <c r="G280" s="12"/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5"/>
      <c r="B281" s="151"/>
      <c r="C281" s="85"/>
      <c r="D281" s="109"/>
      <c r="E281" s="13"/>
      <c r="F281" s="16"/>
      <c r="G281" s="12"/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5"/>
      <c r="B282" s="151"/>
      <c r="C282" s="85"/>
      <c r="D282" s="109"/>
      <c r="E282" s="13"/>
      <c r="F282" s="16"/>
      <c r="G282" s="12"/>
      <c r="H282" s="15"/>
      <c r="I282" s="15"/>
      <c r="J282" s="15"/>
      <c r="K282" s="15"/>
      <c r="L282" s="17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5"/>
      <c r="B283" s="151"/>
      <c r="C283" s="85"/>
      <c r="D283" s="109"/>
      <c r="E283" s="13"/>
      <c r="F283" s="16"/>
      <c r="G283" s="12"/>
      <c r="H283" s="15"/>
      <c r="I283" s="15"/>
      <c r="J283" s="15"/>
      <c r="K283" s="15"/>
      <c r="L283" s="17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5"/>
      <c r="B284" s="151"/>
      <c r="C284" s="85"/>
      <c r="D284" s="109"/>
      <c r="E284" s="13"/>
      <c r="F284" s="16"/>
      <c r="G284" s="12"/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5"/>
      <c r="B285" s="151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5"/>
      <c r="B286" s="151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5"/>
      <c r="B287" s="151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45"/>
      <c r="B288" s="151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5"/>
      <c r="B289" s="151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5"/>
      <c r="B290" s="151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5"/>
      <c r="B291" s="151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5"/>
      <c r="B292" s="151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5"/>
      <c r="B293" s="151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5"/>
      <c r="B294" s="151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5"/>
      <c r="B295" s="151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5"/>
      <c r="B296" s="151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6"/>
      <c r="B297" s="152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0</v>
      </c>
      <c r="K298" s="29">
        <f t="shared" ref="K298" si="64">SUM(K273:K297)</f>
        <v>0</v>
      </c>
      <c r="L298" s="29">
        <f t="shared" ref="L298" si="65">SUM(L273:L297)</f>
        <v>0</v>
      </c>
      <c r="M298" s="29">
        <f t="shared" ref="M298" si="66">SUM(M273:M297)</f>
        <v>0</v>
      </c>
      <c r="N298" s="29">
        <f t="shared" ref="N298" si="67">SUM(N273:N297)</f>
        <v>0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AYG128</v>
      </c>
      <c r="B301" s="24">
        <f>B1</f>
        <v>46007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2" t="s">
        <v>110</v>
      </c>
      <c r="Y302" s="143"/>
    </row>
    <row r="303" spans="1:28" ht="20.25" thickTop="1" thickBot="1" x14ac:dyDescent="0.45">
      <c r="A303" s="144">
        <v>11</v>
      </c>
      <c r="B303" s="150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5"/>
      <c r="B304" s="151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5"/>
      <c r="B305" s="151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5"/>
      <c r="B306" s="151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5"/>
      <c r="B307" s="151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5"/>
      <c r="B308" s="151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5"/>
      <c r="B309" s="151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5"/>
      <c r="B310" s="151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5"/>
      <c r="B311" s="151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5"/>
      <c r="B312" s="151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5"/>
      <c r="B313" s="151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5"/>
      <c r="B314" s="151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5"/>
      <c r="B315" s="151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5"/>
      <c r="B316" s="151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5"/>
      <c r="B317" s="151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5"/>
      <c r="B318" s="151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5"/>
      <c r="B319" s="151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5"/>
      <c r="B320" s="151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5"/>
      <c r="B321" s="151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5"/>
      <c r="B322" s="151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5"/>
      <c r="B323" s="151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5"/>
      <c r="B324" s="151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5"/>
      <c r="B325" s="151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5"/>
      <c r="B326" s="151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6"/>
      <c r="B327" s="152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AYG128</v>
      </c>
      <c r="B331" s="24">
        <f>B151</f>
        <v>46007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2" t="s">
        <v>109</v>
      </c>
      <c r="Y332" s="143"/>
    </row>
    <row r="333" spans="1:28" ht="20.25" thickTop="1" thickBot="1" x14ac:dyDescent="0.45">
      <c r="A333" s="144">
        <v>12</v>
      </c>
      <c r="B333" s="150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5"/>
      <c r="B334" s="151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5"/>
      <c r="B335" s="151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5"/>
      <c r="B336" s="151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5"/>
      <c r="B337" s="151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5"/>
      <c r="B338" s="151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5"/>
      <c r="B339" s="151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5"/>
      <c r="B340" s="151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5"/>
      <c r="B341" s="151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5"/>
      <c r="B342" s="151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5"/>
      <c r="B343" s="151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5"/>
      <c r="B344" s="151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5"/>
      <c r="B345" s="151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5"/>
      <c r="B346" s="151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5"/>
      <c r="B347" s="151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5"/>
      <c r="B348" s="151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5"/>
      <c r="B349" s="151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5"/>
      <c r="B350" s="151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5"/>
      <c r="B351" s="151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5"/>
      <c r="B352" s="151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5"/>
      <c r="B353" s="151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5"/>
      <c r="B354" s="151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5"/>
      <c r="B355" s="151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5"/>
      <c r="B356" s="151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6"/>
      <c r="B357" s="152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2" t="s">
        <v>138</v>
      </c>
      <c r="Y362" s="143"/>
    </row>
    <row r="363" spans="1:28" ht="19.5" thickTop="1" x14ac:dyDescent="0.4">
      <c r="A363" s="144">
        <v>13</v>
      </c>
      <c r="B363" s="150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5"/>
      <c r="B364" s="151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5"/>
      <c r="B365" s="151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5"/>
      <c r="B366" s="151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5"/>
      <c r="B367" s="151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5"/>
      <c r="B368" s="151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5"/>
      <c r="B369" s="151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5"/>
      <c r="B370" s="151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5"/>
      <c r="B371" s="151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5"/>
      <c r="B372" s="151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5"/>
      <c r="B373" s="151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5"/>
      <c r="B374" s="151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5"/>
      <c r="B375" s="151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5"/>
      <c r="B376" s="151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5"/>
      <c r="B377" s="151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5"/>
      <c r="B378" s="151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5"/>
      <c r="B379" s="151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5"/>
      <c r="B380" s="151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5"/>
      <c r="B381" s="151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5"/>
      <c r="B382" s="151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5"/>
      <c r="B383" s="151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5"/>
      <c r="B384" s="151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5"/>
      <c r="B385" s="151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5"/>
      <c r="B386" s="151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6"/>
      <c r="B387" s="152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2" t="s">
        <v>139</v>
      </c>
      <c r="Y392" s="143"/>
    </row>
    <row r="393" spans="1:25" ht="19.5" thickTop="1" x14ac:dyDescent="0.4">
      <c r="A393" s="144">
        <v>14</v>
      </c>
      <c r="B393" s="150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5"/>
      <c r="B394" s="151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5"/>
      <c r="B395" s="151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5"/>
      <c r="B396" s="151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5"/>
      <c r="B397" s="151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5"/>
      <c r="B398" s="151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5"/>
      <c r="B399" s="151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5"/>
      <c r="B400" s="151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5"/>
      <c r="B401" s="151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5"/>
      <c r="B402" s="151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5"/>
      <c r="B403" s="151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5"/>
      <c r="B404" s="151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5"/>
      <c r="B405" s="151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5"/>
      <c r="B406" s="151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5"/>
      <c r="B407" s="151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5"/>
      <c r="B408" s="151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5"/>
      <c r="B409" s="151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5"/>
      <c r="B410" s="151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5"/>
      <c r="B411" s="151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5"/>
      <c r="B412" s="151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5"/>
      <c r="B413" s="151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5"/>
      <c r="B414" s="151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5"/>
      <c r="B415" s="151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5"/>
      <c r="B416" s="151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6"/>
      <c r="B417" s="152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2" t="s">
        <v>140</v>
      </c>
      <c r="Y422" s="143"/>
    </row>
    <row r="423" spans="1:25" ht="19.5" thickTop="1" x14ac:dyDescent="0.4">
      <c r="A423" s="144">
        <v>15</v>
      </c>
      <c r="B423" s="150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5"/>
      <c r="B424" s="151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5"/>
      <c r="B425" s="151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5"/>
      <c r="B426" s="151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5"/>
      <c r="B427" s="151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5"/>
      <c r="B428" s="151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5"/>
      <c r="B429" s="151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5"/>
      <c r="B430" s="151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5"/>
      <c r="B431" s="151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5"/>
      <c r="B432" s="151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5"/>
      <c r="B433" s="151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5"/>
      <c r="B434" s="151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5"/>
      <c r="B435" s="151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5"/>
      <c r="B436" s="151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5"/>
      <c r="B437" s="151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5"/>
      <c r="B438" s="151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5"/>
      <c r="B439" s="151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5"/>
      <c r="B440" s="151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5"/>
      <c r="B441" s="151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5"/>
      <c r="B442" s="151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5"/>
      <c r="B443" s="151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5"/>
      <c r="B444" s="151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5"/>
      <c r="B445" s="151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5"/>
      <c r="B446" s="151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6"/>
      <c r="B447" s="152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2" t="s">
        <v>105</v>
      </c>
      <c r="Y451" s="143"/>
    </row>
    <row r="452" spans="1:25" ht="19.5" thickTop="1" x14ac:dyDescent="0.4">
      <c r="A452" s="144">
        <v>16</v>
      </c>
      <c r="B452" s="147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5"/>
      <c r="B453" s="148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5"/>
      <c r="B454" s="148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5"/>
      <c r="B455" s="148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5"/>
      <c r="B456" s="148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5"/>
      <c r="B457" s="148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5"/>
      <c r="B458" s="148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5"/>
      <c r="B459" s="148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5"/>
      <c r="B460" s="148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5"/>
      <c r="B461" s="148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5"/>
      <c r="B462" s="148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5"/>
      <c r="B463" s="148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5"/>
      <c r="B464" s="148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5"/>
      <c r="B465" s="148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5"/>
      <c r="B466" s="148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5"/>
      <c r="B467" s="148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5"/>
      <c r="B468" s="148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5"/>
      <c r="B469" s="148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5"/>
      <c r="B470" s="148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5"/>
      <c r="B471" s="148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5"/>
      <c r="B472" s="148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5"/>
      <c r="B473" s="148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5"/>
      <c r="B474" s="148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5"/>
      <c r="B475" s="148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6"/>
      <c r="B476" s="149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BZ1875"/>
  <sheetViews>
    <sheetView zoomScaleNormal="100" workbookViewId="0">
      <selection sqref="A1:E23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1" width="16.625" customWidth="1"/>
    <col min="52" max="52" width="11" customWidth="1"/>
    <col min="53" max="53" width="10.5" style="121" customWidth="1"/>
    <col min="54" max="54" width="10.25" style="121" customWidth="1"/>
    <col min="55" max="55" width="10.875" style="121" customWidth="1"/>
    <col min="56" max="69" width="16.625" customWidth="1"/>
    <col min="70" max="70" width="20.5" customWidth="1"/>
    <col min="75" max="75" width="12.375" customWidth="1"/>
    <col min="76" max="76" width="11.25" customWidth="1"/>
    <col min="77" max="77" width="10.5" customWidth="1"/>
    <col min="78" max="78" width="10.25" customWidth="1"/>
  </cols>
  <sheetData>
    <row r="1" spans="1:74" x14ac:dyDescent="0.4">
      <c r="A1" s="120" t="s">
        <v>196</v>
      </c>
      <c r="B1" s="121"/>
      <c r="C1" s="121"/>
      <c r="D1" s="121"/>
      <c r="S1" t="s">
        <v>143</v>
      </c>
      <c r="T1" t="s">
        <v>144</v>
      </c>
      <c r="AT1" t="s">
        <v>143</v>
      </c>
      <c r="AU1" t="s">
        <v>144</v>
      </c>
      <c r="AZ1" s="120"/>
      <c r="BR1" t="s">
        <v>143</v>
      </c>
      <c r="BS1" t="s">
        <v>144</v>
      </c>
    </row>
    <row r="2" spans="1:74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S2" s="25">
        <v>46033</v>
      </c>
      <c r="T2" s="13" t="s">
        <v>147</v>
      </c>
      <c r="AI2" s="127"/>
      <c r="AJ2" s="29"/>
      <c r="AT2" s="25">
        <v>45669</v>
      </c>
      <c r="AU2" s="13" t="s">
        <v>147</v>
      </c>
      <c r="AZ2" s="116"/>
      <c r="BA2" s="123"/>
      <c r="BB2" s="123"/>
      <c r="BC2" s="123"/>
      <c r="BH2" s="115"/>
      <c r="BI2" s="115"/>
      <c r="BJ2" s="115"/>
      <c r="BK2" s="115"/>
      <c r="BL2" s="115"/>
      <c r="BM2" s="115"/>
      <c r="BN2" s="115"/>
      <c r="BO2" s="115"/>
      <c r="BP2" s="115"/>
      <c r="BQ2" s="115"/>
      <c r="BR2" s="25">
        <v>45258</v>
      </c>
      <c r="BS2" s="13" t="s">
        <v>162</v>
      </c>
      <c r="BV2" s="114"/>
    </row>
    <row r="3" spans="1:74" ht="20.100000000000001" customHeight="1" x14ac:dyDescent="0.4">
      <c r="A3" s="117">
        <v>45668</v>
      </c>
      <c r="B3" s="123"/>
      <c r="C3" s="123">
        <v>2</v>
      </c>
      <c r="D3" s="123"/>
      <c r="O3" s="115"/>
      <c r="P3" s="115"/>
      <c r="Q3" s="115"/>
      <c r="R3" s="115"/>
      <c r="S3" s="25">
        <v>46033</v>
      </c>
      <c r="T3" s="13" t="s">
        <v>147</v>
      </c>
      <c r="AI3" s="127"/>
      <c r="AJ3" s="29"/>
      <c r="AT3" s="25"/>
      <c r="AU3" s="13"/>
      <c r="AZ3" s="116"/>
      <c r="BA3" s="123"/>
      <c r="BB3" s="123"/>
      <c r="BC3" s="123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25"/>
      <c r="BS3" s="13"/>
      <c r="BV3" s="114"/>
    </row>
    <row r="4" spans="1:74" ht="20.100000000000001" customHeight="1" x14ac:dyDescent="0.4">
      <c r="A4" s="117">
        <v>45669</v>
      </c>
      <c r="B4" s="123"/>
      <c r="C4" s="123">
        <v>2</v>
      </c>
      <c r="D4" s="123"/>
      <c r="O4" s="115"/>
      <c r="P4" s="115"/>
      <c r="Q4" s="115"/>
      <c r="R4" s="115" t="s">
        <v>188</v>
      </c>
      <c r="S4" s="13">
        <f>SUBTOTAL(3,S2:S3)</f>
        <v>2</v>
      </c>
      <c r="T4" s="13">
        <f>SUBTOTAL(3,T2:T3)</f>
        <v>2</v>
      </c>
      <c r="AI4" s="127"/>
      <c r="AJ4" s="29"/>
      <c r="AT4" s="25"/>
      <c r="AU4" s="13"/>
      <c r="AZ4" s="116"/>
      <c r="BA4" s="123"/>
      <c r="BB4" s="123"/>
      <c r="BC4" s="123"/>
      <c r="BH4" s="115"/>
      <c r="BI4" s="115"/>
      <c r="BJ4" s="115"/>
      <c r="BK4" s="115"/>
      <c r="BL4" s="115"/>
      <c r="BM4" s="115"/>
      <c r="BN4" s="115"/>
      <c r="BO4" s="115"/>
      <c r="BP4" s="115"/>
      <c r="BQ4" s="115"/>
      <c r="BR4" s="25"/>
      <c r="BS4" s="13"/>
      <c r="BV4" s="114"/>
    </row>
    <row r="5" spans="1:74" ht="20.100000000000001" customHeight="1" x14ac:dyDescent="0.4">
      <c r="A5" s="117">
        <v>45670</v>
      </c>
      <c r="B5" s="123">
        <v>5</v>
      </c>
      <c r="C5" s="123">
        <v>2</v>
      </c>
      <c r="D5" s="123">
        <v>1</v>
      </c>
      <c r="O5" s="115"/>
      <c r="P5" s="115"/>
      <c r="Q5" s="115"/>
      <c r="R5" s="115"/>
      <c r="S5" s="25">
        <v>46034</v>
      </c>
      <c r="T5" s="13" t="s">
        <v>147</v>
      </c>
      <c r="AI5" s="127"/>
      <c r="AJ5" s="29"/>
      <c r="AT5" s="25"/>
      <c r="AU5" s="13"/>
      <c r="AZ5" s="116"/>
      <c r="BA5" s="123"/>
      <c r="BB5" s="123"/>
      <c r="BC5" s="123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25"/>
      <c r="BS5" s="13"/>
      <c r="BV5" s="114"/>
    </row>
    <row r="6" spans="1:74" ht="20.100000000000001" customHeight="1" x14ac:dyDescent="0.4">
      <c r="A6" s="117">
        <v>45671</v>
      </c>
      <c r="B6" s="123"/>
      <c r="C6" s="123">
        <v>4</v>
      </c>
      <c r="D6" s="123"/>
      <c r="O6" s="115"/>
      <c r="P6" s="115"/>
      <c r="Q6" s="115"/>
      <c r="R6" s="115"/>
      <c r="S6" s="25">
        <v>46034</v>
      </c>
      <c r="T6" s="13" t="s">
        <v>147</v>
      </c>
      <c r="AI6" s="127"/>
      <c r="AJ6" s="29"/>
      <c r="AT6" s="25"/>
      <c r="AU6" s="13"/>
      <c r="AZ6" s="116"/>
      <c r="BA6" s="123"/>
      <c r="BB6" s="123"/>
      <c r="BC6" s="123"/>
      <c r="BH6" s="115"/>
      <c r="BI6" s="115"/>
      <c r="BJ6" s="115"/>
      <c r="BK6" s="115"/>
      <c r="BL6" s="115"/>
      <c r="BM6" s="115"/>
      <c r="BN6" s="115"/>
      <c r="BO6" s="115"/>
      <c r="BP6" s="115"/>
      <c r="BQ6" s="115"/>
      <c r="BR6" s="25"/>
      <c r="BS6" s="13"/>
      <c r="BV6" s="114"/>
    </row>
    <row r="7" spans="1:74" ht="20.100000000000001" customHeight="1" x14ac:dyDescent="0.4">
      <c r="A7" s="117">
        <v>45674</v>
      </c>
      <c r="B7" s="123">
        <v>1</v>
      </c>
      <c r="C7" s="123">
        <v>3</v>
      </c>
      <c r="D7" s="123"/>
      <c r="O7" s="115"/>
      <c r="P7" s="115"/>
      <c r="Q7" s="115"/>
      <c r="R7" s="115" t="s">
        <v>189</v>
      </c>
      <c r="S7" s="13">
        <f>SUBTOTAL(3,S5:S6)</f>
        <v>2</v>
      </c>
      <c r="T7" s="13">
        <f>SUBTOTAL(3,T5:T6)</f>
        <v>2</v>
      </c>
      <c r="AI7" s="127"/>
      <c r="AJ7" s="29"/>
      <c r="AT7" s="25"/>
      <c r="AU7" s="13"/>
      <c r="AZ7" s="116"/>
      <c r="BA7" s="123"/>
      <c r="BB7" s="123"/>
      <c r="BC7" s="123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25"/>
      <c r="BS7" s="13"/>
      <c r="BV7" s="114"/>
    </row>
    <row r="8" spans="1:74" ht="20.100000000000001" customHeight="1" x14ac:dyDescent="0.4">
      <c r="A8" s="117">
        <v>45675</v>
      </c>
      <c r="B8" s="123">
        <v>10</v>
      </c>
      <c r="C8" s="123">
        <v>1</v>
      </c>
      <c r="D8" s="123">
        <v>1</v>
      </c>
      <c r="O8" s="115"/>
      <c r="P8" s="115"/>
      <c r="Q8" s="115"/>
      <c r="R8" s="115"/>
      <c r="S8" s="25">
        <v>46035</v>
      </c>
      <c r="T8" s="13" t="s">
        <v>147</v>
      </c>
      <c r="AI8" s="127"/>
      <c r="AJ8" s="29"/>
      <c r="AT8" s="25"/>
      <c r="AU8" s="13"/>
      <c r="AZ8" s="116"/>
      <c r="BA8" s="123"/>
      <c r="BB8" s="123"/>
      <c r="BC8" s="123"/>
      <c r="BH8" s="115"/>
      <c r="BI8" s="115"/>
      <c r="BJ8" s="115"/>
      <c r="BK8" s="115"/>
      <c r="BL8" s="115"/>
      <c r="BM8" s="115"/>
      <c r="BN8" s="115"/>
      <c r="BO8" s="115"/>
      <c r="BP8" s="115"/>
      <c r="BQ8" s="115"/>
      <c r="BR8" s="25"/>
      <c r="BS8" s="13"/>
      <c r="BV8" s="114"/>
    </row>
    <row r="9" spans="1:74" ht="20.100000000000001" customHeight="1" x14ac:dyDescent="0.4">
      <c r="A9" s="117">
        <v>45676</v>
      </c>
      <c r="B9" s="123">
        <v>5</v>
      </c>
      <c r="C9" s="123">
        <v>2</v>
      </c>
      <c r="D9" s="123"/>
      <c r="N9" s="115"/>
      <c r="O9" s="115"/>
      <c r="P9" s="115"/>
      <c r="Q9" s="115"/>
      <c r="R9" s="115"/>
      <c r="S9" s="25">
        <v>46035</v>
      </c>
      <c r="T9" s="13" t="s">
        <v>147</v>
      </c>
      <c r="AI9" s="127"/>
      <c r="AJ9" s="29"/>
      <c r="AT9" s="25"/>
      <c r="AU9" s="13"/>
      <c r="AZ9" s="116"/>
      <c r="BA9" s="123"/>
      <c r="BB9" s="123"/>
      <c r="BC9" s="123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25"/>
      <c r="BS9" s="13"/>
      <c r="BV9" s="114"/>
    </row>
    <row r="10" spans="1:74" ht="20.100000000000001" customHeight="1" x14ac:dyDescent="0.4">
      <c r="A10" s="117">
        <v>45677</v>
      </c>
      <c r="B10" s="123"/>
      <c r="C10" s="123">
        <v>3</v>
      </c>
      <c r="D10" s="123"/>
      <c r="N10" s="115"/>
      <c r="O10" s="115"/>
      <c r="P10" s="115"/>
      <c r="Q10" s="115"/>
      <c r="R10" s="115"/>
      <c r="S10" s="25">
        <v>46035</v>
      </c>
      <c r="T10" s="13" t="s">
        <v>146</v>
      </c>
      <c r="AI10" s="127"/>
      <c r="AJ10" s="29"/>
      <c r="AT10" s="25"/>
      <c r="AU10" s="13"/>
      <c r="AZ10" s="116"/>
      <c r="BA10" s="123"/>
      <c r="BB10" s="123"/>
      <c r="BC10" s="123"/>
      <c r="BH10" s="115"/>
      <c r="BI10" s="115"/>
      <c r="BJ10" s="115"/>
      <c r="BK10" s="115"/>
      <c r="BL10" s="115"/>
      <c r="BM10" s="115"/>
      <c r="BN10" s="115"/>
      <c r="BO10" s="115"/>
      <c r="BP10" s="115"/>
      <c r="BQ10" s="115"/>
      <c r="BR10" s="25"/>
      <c r="BS10" s="13"/>
      <c r="BV10" s="114"/>
    </row>
    <row r="11" spans="1:74" ht="20.100000000000001" customHeight="1" x14ac:dyDescent="0.4">
      <c r="A11" s="117">
        <v>45678</v>
      </c>
      <c r="B11" s="123">
        <v>2</v>
      </c>
      <c r="C11" s="123">
        <v>1</v>
      </c>
      <c r="D11" s="123"/>
      <c r="N11" s="115"/>
      <c r="O11" s="115"/>
      <c r="P11" s="115"/>
      <c r="Q11" s="115"/>
      <c r="R11" s="115"/>
      <c r="S11" s="25">
        <v>46035</v>
      </c>
      <c r="T11" s="13" t="s">
        <v>146</v>
      </c>
      <c r="AI11" s="127"/>
      <c r="AJ11" s="29"/>
      <c r="AT11" s="25"/>
      <c r="AU11" s="13"/>
      <c r="AZ11" s="116"/>
      <c r="BA11" s="123"/>
      <c r="BB11" s="123"/>
      <c r="BC11" s="123"/>
      <c r="BH11" s="115"/>
      <c r="BI11" s="115"/>
      <c r="BJ11" s="115"/>
      <c r="BK11" s="115"/>
      <c r="BL11" s="115"/>
      <c r="BM11" s="115"/>
      <c r="BN11" s="115"/>
      <c r="BO11" s="115"/>
      <c r="BP11" s="115"/>
      <c r="BQ11" s="115"/>
      <c r="BR11" s="25"/>
      <c r="BS11" s="13"/>
      <c r="BV11" s="114"/>
    </row>
    <row r="12" spans="1:74" ht="20.100000000000001" customHeight="1" x14ac:dyDescent="0.4">
      <c r="A12" s="117">
        <v>45681</v>
      </c>
      <c r="B12" s="123">
        <v>7</v>
      </c>
      <c r="C12" s="123">
        <v>4</v>
      </c>
      <c r="D12" s="123">
        <v>2</v>
      </c>
      <c r="N12" s="115"/>
      <c r="O12" s="115"/>
      <c r="P12" s="115"/>
      <c r="Q12" s="115"/>
      <c r="R12" s="115"/>
      <c r="S12" s="25">
        <v>46035</v>
      </c>
      <c r="T12" s="13" t="s">
        <v>146</v>
      </c>
      <c r="AI12" s="127"/>
      <c r="AJ12" s="29"/>
      <c r="AT12" s="25"/>
      <c r="AU12" s="13"/>
      <c r="AZ12" s="116"/>
      <c r="BA12" s="123"/>
      <c r="BB12" s="123"/>
      <c r="BC12" s="123"/>
      <c r="BH12" s="115"/>
      <c r="BI12" s="115"/>
      <c r="BJ12" s="115"/>
      <c r="BK12" s="115"/>
      <c r="BL12" s="115"/>
      <c r="BM12" s="115"/>
      <c r="BN12" s="115"/>
      <c r="BO12" s="115"/>
      <c r="BP12" s="115"/>
      <c r="BQ12" s="115"/>
      <c r="BR12" s="25"/>
      <c r="BS12" s="13"/>
      <c r="BV12" s="114"/>
    </row>
    <row r="13" spans="1:74" ht="20.100000000000001" customHeight="1" x14ac:dyDescent="0.4">
      <c r="A13" s="117">
        <v>45682</v>
      </c>
      <c r="B13" s="123">
        <v>3</v>
      </c>
      <c r="C13" s="123">
        <v>4</v>
      </c>
      <c r="D13" s="123">
        <v>2</v>
      </c>
      <c r="M13" s="115"/>
      <c r="N13" s="115"/>
      <c r="O13" s="115"/>
      <c r="P13" s="115"/>
      <c r="Q13" s="115"/>
      <c r="R13" s="115"/>
      <c r="S13" s="25">
        <v>46035</v>
      </c>
      <c r="T13" s="13" t="s">
        <v>146</v>
      </c>
      <c r="AI13" s="127"/>
      <c r="AJ13" s="29"/>
      <c r="AT13" s="25"/>
      <c r="AU13" s="13"/>
      <c r="AZ13" s="116"/>
      <c r="BA13" s="123"/>
      <c r="BB13" s="123"/>
      <c r="BC13" s="123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25"/>
      <c r="BS13" s="13"/>
      <c r="BV13" s="114"/>
    </row>
    <row r="14" spans="1:74" ht="20.100000000000001" customHeight="1" x14ac:dyDescent="0.4">
      <c r="A14" s="117">
        <v>45684</v>
      </c>
      <c r="B14" s="123"/>
      <c r="C14" s="123">
        <v>1</v>
      </c>
      <c r="D14" s="123"/>
      <c r="L14" s="115"/>
      <c r="M14" s="115"/>
      <c r="N14" s="115"/>
      <c r="O14" s="115"/>
      <c r="P14" s="115"/>
      <c r="Q14" s="115"/>
      <c r="R14" s="115"/>
      <c r="S14" s="25">
        <v>46035</v>
      </c>
      <c r="T14" s="13" t="s">
        <v>146</v>
      </c>
      <c r="AI14" s="127"/>
      <c r="AJ14" s="29"/>
      <c r="AT14" s="25"/>
      <c r="AU14" s="13"/>
      <c r="AZ14" s="116"/>
      <c r="BA14" s="123"/>
      <c r="BB14" s="123"/>
      <c r="BC14" s="123"/>
      <c r="BH14" s="115"/>
      <c r="BI14" s="115"/>
      <c r="BJ14" s="115"/>
      <c r="BK14" s="115"/>
      <c r="BL14" s="115"/>
      <c r="BM14" s="115"/>
      <c r="BN14" s="115"/>
      <c r="BO14" s="115"/>
      <c r="BP14" s="115"/>
      <c r="BQ14" s="115"/>
      <c r="BR14" s="25"/>
      <c r="BS14" s="13"/>
      <c r="BV14" s="114"/>
    </row>
    <row r="15" spans="1:74" ht="20.100000000000001" customHeight="1" x14ac:dyDescent="0.4">
      <c r="A15" s="117">
        <v>45685</v>
      </c>
      <c r="B15" s="123">
        <v>1</v>
      </c>
      <c r="C15" s="123">
        <v>2</v>
      </c>
      <c r="D15" s="123"/>
      <c r="L15" s="115"/>
      <c r="M15" s="115"/>
      <c r="N15" s="115"/>
      <c r="O15" s="115"/>
      <c r="P15" s="115"/>
      <c r="Q15" s="115"/>
      <c r="R15" s="115"/>
      <c r="S15" s="25">
        <v>46035</v>
      </c>
      <c r="T15" s="13" t="s">
        <v>148</v>
      </c>
      <c r="AI15" s="127"/>
      <c r="AJ15" s="29"/>
      <c r="AT15" s="25"/>
      <c r="AU15" s="13"/>
      <c r="AZ15" s="116"/>
      <c r="BA15" s="123"/>
      <c r="BB15" s="123"/>
      <c r="BC15" s="123"/>
      <c r="BH15" s="115"/>
      <c r="BI15" s="115"/>
      <c r="BJ15" s="115"/>
      <c r="BK15" s="115"/>
      <c r="BL15" s="115"/>
      <c r="BM15" s="115"/>
      <c r="BN15" s="115"/>
      <c r="BO15" s="115"/>
      <c r="BP15" s="115"/>
      <c r="BQ15" s="115"/>
      <c r="BR15" s="25"/>
      <c r="BS15" s="13"/>
      <c r="BV15" s="114"/>
    </row>
    <row r="16" spans="1:74" ht="20.100000000000001" customHeight="1" x14ac:dyDescent="0.4">
      <c r="A16" s="117">
        <v>45686</v>
      </c>
      <c r="B16" s="123">
        <v>3</v>
      </c>
      <c r="C16" s="123">
        <v>6</v>
      </c>
      <c r="D16" s="123">
        <v>3</v>
      </c>
      <c r="L16" s="115"/>
      <c r="M16" s="115"/>
      <c r="N16" s="115"/>
      <c r="O16" s="115"/>
      <c r="P16" s="115"/>
      <c r="Q16" s="115"/>
      <c r="R16" s="115" t="s">
        <v>190</v>
      </c>
      <c r="S16" s="13">
        <f>SUBTOTAL(3,S8:S15)</f>
        <v>8</v>
      </c>
      <c r="T16" s="13">
        <f>SUBTOTAL(3,T8:T15)</f>
        <v>8</v>
      </c>
      <c r="AI16" s="127"/>
      <c r="AJ16" s="29"/>
      <c r="AT16" s="25"/>
      <c r="AU16" s="13"/>
      <c r="AZ16" s="116"/>
      <c r="BA16" s="123"/>
      <c r="BB16" s="123"/>
      <c r="BC16" s="123"/>
      <c r="BH16" s="115"/>
      <c r="BI16" s="115"/>
      <c r="BJ16" s="115"/>
      <c r="BK16" s="115"/>
      <c r="BL16" s="115"/>
      <c r="BM16" s="115"/>
      <c r="BN16" s="115"/>
      <c r="BO16" s="115"/>
      <c r="BP16" s="115"/>
      <c r="BQ16" s="115"/>
      <c r="BR16" s="25"/>
      <c r="BS16" s="13"/>
      <c r="BV16" s="114"/>
    </row>
    <row r="17" spans="1:74" ht="20.100000000000001" customHeight="1" x14ac:dyDescent="0.4">
      <c r="A17" s="117">
        <v>45688</v>
      </c>
      <c r="B17" s="123"/>
      <c r="C17" s="123">
        <v>1</v>
      </c>
      <c r="D17" s="123"/>
      <c r="J17" s="115"/>
      <c r="K17" s="115"/>
      <c r="L17" s="115"/>
      <c r="M17" s="115"/>
      <c r="N17" s="115"/>
      <c r="O17" s="115"/>
      <c r="P17" s="115"/>
      <c r="Q17" s="115"/>
      <c r="R17" s="115"/>
      <c r="S17" s="25">
        <v>46036</v>
      </c>
      <c r="T17" s="13" t="s">
        <v>147</v>
      </c>
      <c r="AI17" s="127"/>
      <c r="AJ17" s="29"/>
      <c r="AT17" s="25"/>
      <c r="AU17" s="13"/>
      <c r="AZ17" s="116"/>
      <c r="BA17" s="123"/>
      <c r="BB17" s="123"/>
      <c r="BC17" s="123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25"/>
      <c r="BS17" s="13"/>
      <c r="BV17" s="114"/>
    </row>
    <row r="18" spans="1:74" ht="20.100000000000001" customHeight="1" x14ac:dyDescent="0.4">
      <c r="A18" s="117">
        <v>45704</v>
      </c>
      <c r="B18" s="123">
        <v>1</v>
      </c>
      <c r="C18" s="123"/>
      <c r="D18" s="123"/>
      <c r="J18" s="115"/>
      <c r="K18" s="115"/>
      <c r="L18" s="115"/>
      <c r="M18" s="115"/>
      <c r="N18" s="115"/>
      <c r="O18" s="115"/>
      <c r="P18" s="115"/>
      <c r="Q18" s="115"/>
      <c r="R18" s="115"/>
      <c r="S18" s="25">
        <v>46036</v>
      </c>
      <c r="T18" s="13" t="s">
        <v>147</v>
      </c>
      <c r="AI18" s="127"/>
      <c r="AJ18" s="29"/>
      <c r="AT18" s="25"/>
      <c r="AU18" s="13"/>
      <c r="AZ18" s="116"/>
      <c r="BA18" s="123"/>
      <c r="BB18" s="123"/>
      <c r="BC18" s="123"/>
      <c r="BH18" s="115"/>
      <c r="BI18" s="115"/>
      <c r="BJ18" s="115"/>
      <c r="BK18" s="115"/>
      <c r="BL18" s="115"/>
      <c r="BM18" s="115"/>
      <c r="BN18" s="115"/>
      <c r="BO18" s="115"/>
      <c r="BP18" s="115"/>
      <c r="BQ18" s="115"/>
      <c r="BR18" s="25"/>
      <c r="BS18" s="13"/>
      <c r="BV18" s="114"/>
    </row>
    <row r="19" spans="1:74" ht="20.100000000000001" customHeight="1" x14ac:dyDescent="0.4">
      <c r="A19" s="117"/>
      <c r="B19" s="123">
        <f>SUM(B3:B18)</f>
        <v>38</v>
      </c>
      <c r="C19" s="123">
        <f>SUM(C3:C18)</f>
        <v>38</v>
      </c>
      <c r="D19" s="123">
        <f>SUM(D3:D18)</f>
        <v>9</v>
      </c>
      <c r="J19" s="115"/>
      <c r="K19" s="115"/>
      <c r="L19" s="115"/>
      <c r="M19" s="115"/>
      <c r="N19" s="115"/>
      <c r="O19" s="115"/>
      <c r="P19" s="115"/>
      <c r="Q19" s="115"/>
      <c r="R19" s="115"/>
      <c r="S19" s="25">
        <v>46036</v>
      </c>
      <c r="T19" s="13" t="s">
        <v>147</v>
      </c>
      <c r="AI19" s="127"/>
      <c r="AJ19" s="29"/>
      <c r="AT19" s="25"/>
      <c r="AU19" s="13"/>
      <c r="AZ19" s="116"/>
      <c r="BA19" s="123"/>
      <c r="BB19" s="123"/>
      <c r="BC19" s="123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25"/>
      <c r="BS19" s="13"/>
      <c r="BV19" s="114"/>
    </row>
    <row r="20" spans="1:74" ht="20.100000000000001" customHeight="1" x14ac:dyDescent="0.4">
      <c r="A20" s="117"/>
      <c r="B20" s="123"/>
      <c r="C20" s="123"/>
      <c r="D20" s="123">
        <f>SUM(B19:D19)</f>
        <v>85</v>
      </c>
      <c r="J20" s="115"/>
      <c r="K20" s="115"/>
      <c r="L20" s="115"/>
      <c r="M20" s="115"/>
      <c r="N20" s="115"/>
      <c r="O20" s="115"/>
      <c r="P20" s="115"/>
      <c r="Q20" s="115"/>
      <c r="R20" s="115"/>
      <c r="S20" s="25">
        <v>46036</v>
      </c>
      <c r="T20" s="13" t="s">
        <v>147</v>
      </c>
      <c r="AI20" s="127"/>
      <c r="AJ20" s="29"/>
      <c r="AT20" s="25"/>
      <c r="AU20" s="13"/>
      <c r="AZ20" s="116"/>
      <c r="BA20" s="123"/>
      <c r="BB20" s="123"/>
      <c r="BC20" s="123"/>
      <c r="BH20" s="115"/>
      <c r="BI20" s="115"/>
      <c r="BJ20" s="115"/>
      <c r="BK20" s="115"/>
      <c r="BL20" s="115"/>
      <c r="BM20" s="115"/>
      <c r="BN20" s="115"/>
      <c r="BO20" s="115"/>
      <c r="BP20" s="115"/>
      <c r="BQ20" s="115"/>
      <c r="BR20" s="25"/>
      <c r="BS20" s="13"/>
      <c r="BV20" s="114"/>
    </row>
    <row r="21" spans="1:74" ht="20.100000000000001" customHeight="1" x14ac:dyDescent="0.4">
      <c r="A21" s="117"/>
      <c r="B21" s="123"/>
      <c r="C21" s="123"/>
      <c r="D21" s="123"/>
      <c r="J21" s="115"/>
      <c r="K21" s="115"/>
      <c r="L21" s="115"/>
      <c r="M21" s="115"/>
      <c r="N21" s="115"/>
      <c r="O21" s="115"/>
      <c r="P21" s="115"/>
      <c r="Q21" s="115"/>
      <c r="R21" s="115" t="s">
        <v>191</v>
      </c>
      <c r="S21" s="13">
        <f>SUBTOTAL(3,S17:S20)</f>
        <v>4</v>
      </c>
      <c r="T21" s="13">
        <f>SUBTOTAL(3,T17:T20)</f>
        <v>4</v>
      </c>
      <c r="AI21" s="127"/>
      <c r="AJ21" s="29"/>
      <c r="AT21" s="25"/>
      <c r="AU21" s="13"/>
      <c r="AZ21" s="116"/>
      <c r="BA21" s="123"/>
      <c r="BB21" s="123"/>
      <c r="BC21" s="123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25"/>
      <c r="BS21" s="13"/>
      <c r="BV21" s="114"/>
    </row>
    <row r="22" spans="1:74" ht="20.100000000000001" customHeight="1" x14ac:dyDescent="0.4">
      <c r="A22" s="117"/>
      <c r="B22" s="123"/>
      <c r="C22" s="123"/>
      <c r="D22" s="123"/>
      <c r="J22" s="115"/>
      <c r="K22" s="115"/>
      <c r="L22" s="115"/>
      <c r="M22" s="115"/>
      <c r="N22" s="115"/>
      <c r="O22" s="115"/>
      <c r="P22" s="115"/>
      <c r="Q22" s="115"/>
      <c r="R22" s="115"/>
      <c r="S22" s="25">
        <v>46039</v>
      </c>
      <c r="T22" s="13" t="s">
        <v>147</v>
      </c>
      <c r="AI22" s="127"/>
      <c r="AJ22" s="29"/>
      <c r="AT22" s="25"/>
      <c r="AU22" s="13"/>
      <c r="AZ22" s="116"/>
      <c r="BA22" s="123"/>
      <c r="BB22" s="123"/>
      <c r="BC22" s="123"/>
      <c r="BH22" s="115"/>
      <c r="BI22" s="115"/>
      <c r="BJ22" s="115"/>
      <c r="BK22" s="115"/>
      <c r="BL22" s="115"/>
      <c r="BM22" s="115"/>
      <c r="BN22" s="115"/>
      <c r="BO22" s="115"/>
      <c r="BP22" s="115"/>
      <c r="BQ22" s="115"/>
      <c r="BR22" s="25"/>
      <c r="BS22" s="13"/>
      <c r="BV22" s="114"/>
    </row>
    <row r="23" spans="1:74" ht="20.100000000000001" customHeight="1" x14ac:dyDescent="0.4">
      <c r="A23" s="117"/>
      <c r="B23" s="123"/>
      <c r="C23" s="123"/>
      <c r="D23" s="123"/>
      <c r="J23" s="115"/>
      <c r="K23" s="115"/>
      <c r="L23" s="115"/>
      <c r="M23" s="115"/>
      <c r="N23" s="115"/>
      <c r="O23" s="115"/>
      <c r="P23" s="115"/>
      <c r="Q23" s="115"/>
      <c r="R23" s="115"/>
      <c r="S23" s="25">
        <v>46039</v>
      </c>
      <c r="T23" s="13" t="s">
        <v>147</v>
      </c>
      <c r="AI23" s="127"/>
      <c r="AJ23" s="29"/>
      <c r="AT23" s="25"/>
      <c r="AU23" s="13"/>
      <c r="AZ23" s="116"/>
      <c r="BA23" s="123"/>
      <c r="BB23" s="123"/>
      <c r="BC23" s="123"/>
      <c r="BH23" s="115"/>
      <c r="BI23" s="115"/>
      <c r="BJ23" s="115"/>
      <c r="BK23" s="115"/>
      <c r="BL23" s="115"/>
      <c r="BM23" s="115"/>
      <c r="BN23" s="115"/>
      <c r="BO23" s="115"/>
      <c r="BP23" s="115"/>
      <c r="BQ23" s="115"/>
      <c r="BR23" s="25"/>
      <c r="BS23" s="13"/>
      <c r="BV23" s="114"/>
    </row>
    <row r="24" spans="1:74" ht="20.100000000000001" customHeight="1" x14ac:dyDescent="0.4">
      <c r="A24" s="117"/>
      <c r="B24" s="123"/>
      <c r="C24" s="123"/>
      <c r="D24" s="123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25">
        <v>46039</v>
      </c>
      <c r="T24" s="13" t="s">
        <v>146</v>
      </c>
      <c r="AI24" s="127"/>
      <c r="AJ24" s="29"/>
      <c r="AT24" s="25"/>
      <c r="AU24" s="13"/>
      <c r="AZ24" s="116"/>
      <c r="BA24" s="123"/>
      <c r="BB24" s="123"/>
      <c r="BC24" s="123"/>
      <c r="BH24" s="115"/>
      <c r="BI24" s="115"/>
      <c r="BJ24" s="115"/>
      <c r="BK24" s="115"/>
      <c r="BL24" s="115"/>
      <c r="BM24" s="115"/>
      <c r="BN24" s="115"/>
      <c r="BO24" s="115"/>
      <c r="BP24" s="115"/>
      <c r="BQ24" s="115"/>
      <c r="BR24" s="25"/>
      <c r="BS24" s="13"/>
      <c r="BV24" s="114"/>
    </row>
    <row r="25" spans="1:74" ht="20.100000000000001" customHeight="1" x14ac:dyDescent="0.4">
      <c r="A25" s="117"/>
      <c r="B25" s="123"/>
      <c r="C25" s="123"/>
      <c r="D25" s="123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25">
        <v>46039</v>
      </c>
      <c r="T25" s="13" t="s">
        <v>147</v>
      </c>
      <c r="AI25" s="127"/>
      <c r="AJ25" s="29"/>
      <c r="AT25" s="25"/>
      <c r="AU25" s="13"/>
      <c r="AZ25" s="116"/>
      <c r="BA25" s="123"/>
      <c r="BB25" s="123"/>
      <c r="BC25" s="123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25"/>
      <c r="BS25" s="13"/>
      <c r="BV25" s="114"/>
    </row>
    <row r="26" spans="1:74" ht="20.100000000000001" customHeight="1" x14ac:dyDescent="0.4">
      <c r="A26" s="117"/>
      <c r="B26" s="123"/>
      <c r="C26" s="123"/>
      <c r="D26" s="123"/>
      <c r="I26" s="115"/>
      <c r="J26" s="115"/>
      <c r="K26" s="115"/>
      <c r="L26" s="115"/>
      <c r="M26" s="115"/>
      <c r="N26" s="115"/>
      <c r="O26" s="115"/>
      <c r="P26" s="115"/>
      <c r="Q26" s="115"/>
      <c r="R26" s="115" t="s">
        <v>298</v>
      </c>
      <c r="S26" s="13">
        <f>SUBTOTAL(3,S22:S25)</f>
        <v>4</v>
      </c>
      <c r="T26" s="13">
        <f>SUBTOTAL(3,T22:T25)</f>
        <v>4</v>
      </c>
      <c r="AI26" s="127"/>
      <c r="AJ26" s="29"/>
      <c r="AT26" s="25"/>
      <c r="AU26" s="13"/>
      <c r="AZ26" s="116"/>
      <c r="BA26" s="123"/>
      <c r="BB26" s="123"/>
      <c r="BC26" s="123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25"/>
      <c r="BS26" s="13"/>
      <c r="BV26" s="114"/>
    </row>
    <row r="27" spans="1:74" ht="20.100000000000001" customHeight="1" x14ac:dyDescent="0.4">
      <c r="A27" s="117"/>
      <c r="B27" s="123"/>
      <c r="C27" s="123"/>
      <c r="D27" s="123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25">
        <v>46040</v>
      </c>
      <c r="T27" s="13" t="s">
        <v>146</v>
      </c>
      <c r="AI27" s="127"/>
      <c r="AJ27" s="29"/>
      <c r="AT27" s="25"/>
      <c r="AU27" s="13"/>
      <c r="AZ27" s="116"/>
      <c r="BA27" s="123"/>
      <c r="BB27" s="123"/>
      <c r="BC27" s="123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25"/>
      <c r="BS27" s="13"/>
      <c r="BV27" s="114"/>
    </row>
    <row r="28" spans="1:74" ht="20.100000000000001" customHeight="1" x14ac:dyDescent="0.4">
      <c r="A28" s="117"/>
      <c r="B28" s="123"/>
      <c r="C28" s="123"/>
      <c r="D28" s="123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25">
        <v>46040</v>
      </c>
      <c r="T28" s="13" t="s">
        <v>146</v>
      </c>
      <c r="AI28" s="127"/>
      <c r="AJ28" s="29"/>
      <c r="AT28" s="25"/>
      <c r="AU28" s="13"/>
      <c r="AZ28" s="116"/>
      <c r="BA28" s="123"/>
      <c r="BB28" s="123"/>
      <c r="BC28" s="123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25"/>
      <c r="BS28" s="13"/>
      <c r="BV28" s="114"/>
    </row>
    <row r="29" spans="1:74" ht="20.100000000000001" customHeight="1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25">
        <v>46040</v>
      </c>
      <c r="T29" s="13" t="s">
        <v>148</v>
      </c>
      <c r="AI29" s="127"/>
      <c r="AJ29" s="29"/>
      <c r="AT29" s="25"/>
      <c r="AU29" s="13"/>
      <c r="AZ29" s="116"/>
      <c r="BA29" s="123"/>
      <c r="BB29" s="123"/>
      <c r="BC29" s="123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25"/>
      <c r="BS29" s="13"/>
      <c r="BV29" s="114"/>
    </row>
    <row r="30" spans="1:74" ht="20.100000000000001" customHeight="1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25">
        <v>46040</v>
      </c>
      <c r="T30" s="13" t="s">
        <v>146</v>
      </c>
      <c r="AI30" s="127"/>
      <c r="AJ30" s="29"/>
      <c r="AT30" s="25"/>
      <c r="AU30" s="13"/>
      <c r="AZ30" s="116"/>
      <c r="BA30" s="123"/>
      <c r="BB30" s="123"/>
      <c r="BC30" s="123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25"/>
      <c r="BS30" s="13"/>
      <c r="BV30" s="114"/>
    </row>
    <row r="31" spans="1:74" ht="20.100000000000001" customHeight="1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25">
        <v>46040</v>
      </c>
      <c r="T31" s="13" t="s">
        <v>146</v>
      </c>
      <c r="AI31" s="127"/>
      <c r="AJ31" s="29"/>
      <c r="AT31" s="25"/>
      <c r="AU31" s="13"/>
      <c r="AZ31" s="116"/>
      <c r="BA31" s="123"/>
      <c r="BB31" s="123"/>
      <c r="BC31" s="123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25"/>
      <c r="BS31" s="13"/>
      <c r="BV31" s="114"/>
    </row>
    <row r="32" spans="1:74" ht="20.100000000000001" customHeight="1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25">
        <v>46040</v>
      </c>
      <c r="T32" s="13" t="s">
        <v>146</v>
      </c>
      <c r="AI32" s="127"/>
      <c r="AJ32" s="29"/>
      <c r="AT32" s="25"/>
      <c r="AU32" s="13"/>
      <c r="AZ32" s="116"/>
      <c r="BA32" s="123"/>
      <c r="BB32" s="123"/>
      <c r="BC32" s="123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25"/>
      <c r="BS32" s="13"/>
      <c r="BV32" s="114"/>
    </row>
    <row r="33" spans="1:74" ht="20.100000000000001" customHeight="1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25">
        <v>46040</v>
      </c>
      <c r="T33" s="13" t="s">
        <v>146</v>
      </c>
      <c r="AI33" s="127"/>
      <c r="AJ33" s="29"/>
      <c r="AT33" s="25"/>
      <c r="AU33" s="13"/>
      <c r="AZ33" s="116"/>
      <c r="BA33" s="123"/>
      <c r="BB33" s="123"/>
      <c r="BC33" s="123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25"/>
      <c r="BS33" s="13"/>
      <c r="BV33" s="114"/>
    </row>
    <row r="34" spans="1:74" ht="20.100000000000001" customHeight="1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25">
        <v>46040</v>
      </c>
      <c r="T34" s="13" t="s">
        <v>147</v>
      </c>
      <c r="AI34" s="127"/>
      <c r="AJ34" s="29"/>
      <c r="AT34" s="25"/>
      <c r="AU34" s="13"/>
      <c r="AZ34" s="116"/>
      <c r="BA34" s="123"/>
      <c r="BB34" s="123"/>
      <c r="BC34" s="123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25"/>
      <c r="BS34" s="13"/>
      <c r="BV34" s="114"/>
    </row>
    <row r="35" spans="1:74" ht="20.100000000000001" customHeight="1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25">
        <v>46040</v>
      </c>
      <c r="T35" s="13" t="s">
        <v>146</v>
      </c>
      <c r="AI35" s="127"/>
      <c r="AJ35" s="29"/>
      <c r="AT35" s="25"/>
      <c r="AU35" s="13"/>
      <c r="AZ35" s="116"/>
      <c r="BA35" s="123"/>
      <c r="BB35" s="123"/>
      <c r="BC35" s="123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25"/>
      <c r="BS35" s="13"/>
      <c r="BV35" s="114"/>
    </row>
    <row r="36" spans="1:74" ht="20.100000000000001" customHeight="1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25">
        <v>46040</v>
      </c>
      <c r="T36" s="15" t="s">
        <v>146</v>
      </c>
      <c r="AI36" s="127"/>
      <c r="AJ36" s="29"/>
      <c r="AT36" s="25"/>
      <c r="AU36" s="13"/>
      <c r="AZ36" s="116"/>
      <c r="BA36" s="123"/>
      <c r="BB36" s="123"/>
      <c r="BC36" s="123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25"/>
      <c r="BS36" s="13"/>
      <c r="BV36" s="114"/>
    </row>
    <row r="37" spans="1:74" ht="20.100000000000001" customHeight="1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25">
        <v>46040</v>
      </c>
      <c r="T37" s="15" t="s">
        <v>146</v>
      </c>
      <c r="AI37" s="127"/>
      <c r="AJ37" s="29"/>
      <c r="AT37" s="25"/>
      <c r="AU37" s="13"/>
      <c r="AZ37" s="116"/>
      <c r="BA37" s="123"/>
      <c r="BB37" s="123"/>
      <c r="BC37" s="123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25"/>
      <c r="BS37" s="13"/>
      <c r="BV37" s="114"/>
    </row>
    <row r="38" spans="1:74" ht="20.100000000000001" customHeight="1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25">
        <v>46040</v>
      </c>
      <c r="T38" s="13" t="s">
        <v>146</v>
      </c>
      <c r="AI38" s="127"/>
      <c r="AJ38" s="29"/>
      <c r="AT38" s="25"/>
      <c r="AU38" s="13"/>
      <c r="AZ38" s="116"/>
      <c r="BA38" s="123"/>
      <c r="BB38" s="123"/>
      <c r="BC38" s="123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25"/>
      <c r="BS38" s="13"/>
      <c r="BV38" s="114"/>
    </row>
    <row r="39" spans="1:74" ht="20.100000000000001" customHeight="1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 t="s">
        <v>192</v>
      </c>
      <c r="S39" s="13">
        <f>SUBTOTAL(3,S27:S38)</f>
        <v>12</v>
      </c>
      <c r="T39" s="13">
        <f>SUBTOTAL(3,T27:T38)</f>
        <v>12</v>
      </c>
      <c r="AI39" s="127"/>
      <c r="AJ39" s="29"/>
      <c r="AT39" s="25"/>
      <c r="AU39" s="13"/>
      <c r="AZ39" s="116"/>
      <c r="BA39" s="123"/>
      <c r="BB39" s="123"/>
      <c r="BC39" s="123"/>
      <c r="BH39" s="115"/>
      <c r="BI39" s="115"/>
      <c r="BJ39" s="115"/>
      <c r="BK39" s="115"/>
      <c r="BL39" s="115"/>
      <c r="BM39" s="115"/>
      <c r="BN39" s="115"/>
      <c r="BO39" s="115"/>
      <c r="BP39" s="115"/>
      <c r="BQ39" s="115"/>
      <c r="BR39" s="25"/>
      <c r="BS39" s="13"/>
      <c r="BV39" s="114"/>
    </row>
    <row r="40" spans="1:74" ht="20.100000000000001" customHeight="1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25">
        <v>46041</v>
      </c>
      <c r="T40" s="13" t="s">
        <v>146</v>
      </c>
      <c r="AI40" s="127"/>
      <c r="AJ40" s="29"/>
      <c r="AT40" s="25"/>
      <c r="AU40" s="13"/>
      <c r="AZ40" s="116"/>
      <c r="BA40" s="123"/>
      <c r="BB40" s="123"/>
      <c r="BC40" s="123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25"/>
      <c r="BS40" s="13"/>
      <c r="BV40" s="114"/>
    </row>
    <row r="41" spans="1:74" ht="20.100000000000001" customHeight="1" x14ac:dyDescent="0.4">
      <c r="A41" s="117"/>
      <c r="B41" s="123"/>
      <c r="C41" s="123"/>
      <c r="D41" s="123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25">
        <v>46041</v>
      </c>
      <c r="T41" s="13" t="s">
        <v>147</v>
      </c>
      <c r="AI41" s="127"/>
      <c r="AJ41" s="29"/>
      <c r="AT41" s="25"/>
      <c r="AU41" s="13"/>
      <c r="AZ41" s="116"/>
      <c r="BA41" s="123"/>
      <c r="BB41" s="123"/>
      <c r="BC41" s="123"/>
      <c r="BH41" s="115"/>
      <c r="BI41" s="115"/>
      <c r="BJ41" s="115"/>
      <c r="BK41" s="115"/>
      <c r="BL41" s="115"/>
      <c r="BM41" s="115"/>
      <c r="BN41" s="115"/>
      <c r="BO41" s="115"/>
      <c r="BP41" s="115"/>
      <c r="BQ41" s="115"/>
      <c r="BR41" s="25"/>
      <c r="BS41" s="13"/>
      <c r="BV41" s="114"/>
    </row>
    <row r="42" spans="1:74" ht="20.100000000000001" customHeight="1" x14ac:dyDescent="0.4">
      <c r="A42" s="117"/>
      <c r="B42" s="123"/>
      <c r="C42" s="123"/>
      <c r="D42" s="123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25">
        <v>46041</v>
      </c>
      <c r="T42" s="13" t="s">
        <v>146</v>
      </c>
      <c r="AI42" s="127"/>
      <c r="AJ42" s="29"/>
      <c r="AT42" s="25"/>
      <c r="AU42" s="13"/>
      <c r="AZ42" s="116"/>
      <c r="BA42" s="123"/>
      <c r="BB42" s="123"/>
      <c r="BC42" s="123"/>
      <c r="BH42" s="115"/>
      <c r="BI42" s="115"/>
      <c r="BJ42" s="115"/>
      <c r="BK42" s="115"/>
      <c r="BL42" s="115"/>
      <c r="BM42" s="115"/>
      <c r="BN42" s="115"/>
      <c r="BO42" s="115"/>
      <c r="BP42" s="115"/>
      <c r="BQ42" s="115"/>
      <c r="BR42" s="25"/>
      <c r="BS42" s="13"/>
      <c r="BV42" s="114"/>
    </row>
    <row r="43" spans="1:74" ht="20.100000000000001" customHeight="1" x14ac:dyDescent="0.4">
      <c r="A43" s="117"/>
      <c r="B43" s="123"/>
      <c r="C43" s="123"/>
      <c r="D43" s="123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25">
        <v>46041</v>
      </c>
      <c r="T43" s="13" t="s">
        <v>146</v>
      </c>
      <c r="AI43" s="127"/>
      <c r="AJ43" s="29"/>
      <c r="AT43" s="25"/>
      <c r="AU43" s="13"/>
      <c r="AZ43" s="116"/>
      <c r="BA43" s="123"/>
      <c r="BB43" s="123"/>
      <c r="BC43" s="123"/>
      <c r="BH43" s="115"/>
      <c r="BI43" s="115"/>
      <c r="BJ43" s="115"/>
      <c r="BK43" s="115"/>
      <c r="BL43" s="115"/>
      <c r="BM43" s="115"/>
      <c r="BN43" s="115"/>
      <c r="BO43" s="115"/>
      <c r="BP43" s="115"/>
      <c r="BQ43" s="115"/>
      <c r="BR43" s="25"/>
      <c r="BS43" s="13"/>
      <c r="BV43" s="114"/>
    </row>
    <row r="44" spans="1:74" ht="20.100000000000001" customHeight="1" x14ac:dyDescent="0.4">
      <c r="A44" s="117"/>
      <c r="B44" s="123"/>
      <c r="C44" s="123"/>
      <c r="D44" s="123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25">
        <v>46041</v>
      </c>
      <c r="T44" s="13" t="s">
        <v>147</v>
      </c>
      <c r="AI44" s="127"/>
      <c r="AJ44" s="29"/>
      <c r="AT44" s="25"/>
      <c r="AU44" s="13"/>
      <c r="AZ44" s="116"/>
      <c r="BA44" s="123"/>
      <c r="BB44" s="123"/>
      <c r="BC44" s="123"/>
      <c r="BH44" s="115"/>
      <c r="BI44" s="115"/>
      <c r="BJ44" s="115"/>
      <c r="BK44" s="115"/>
      <c r="BL44" s="115"/>
      <c r="BM44" s="115"/>
      <c r="BN44" s="115"/>
      <c r="BO44" s="115"/>
      <c r="BP44" s="115"/>
      <c r="BQ44" s="115"/>
      <c r="BR44" s="25"/>
      <c r="BS44" s="13"/>
      <c r="BV44" s="114"/>
    </row>
    <row r="45" spans="1:74" ht="20.100000000000001" customHeight="1" x14ac:dyDescent="0.4">
      <c r="A45" s="117"/>
      <c r="B45" s="123"/>
      <c r="C45" s="123"/>
      <c r="D45" s="123"/>
      <c r="S45" s="25">
        <v>46041</v>
      </c>
      <c r="T45" s="13" t="s">
        <v>142</v>
      </c>
      <c r="AH45" s="115"/>
      <c r="AI45" s="29"/>
      <c r="AJ45" s="29"/>
      <c r="AT45" s="25"/>
      <c r="AU45" s="13"/>
      <c r="AZ45" s="116"/>
      <c r="BA45" s="123"/>
      <c r="BB45" s="123"/>
      <c r="BC45" s="123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25"/>
      <c r="BS45" s="13"/>
      <c r="BV45" s="114"/>
    </row>
    <row r="46" spans="1:74" ht="20.100000000000001" customHeight="1" x14ac:dyDescent="0.4">
      <c r="A46" s="117"/>
      <c r="B46" s="123"/>
      <c r="C46" s="123"/>
      <c r="D46" s="123"/>
      <c r="N46" s="115"/>
      <c r="O46" s="115"/>
      <c r="P46" s="115"/>
      <c r="Q46" s="115"/>
      <c r="R46" s="115"/>
      <c r="S46" s="25">
        <v>46041</v>
      </c>
      <c r="T46" s="13" t="s">
        <v>146</v>
      </c>
      <c r="AH46" s="115"/>
      <c r="AI46" s="29"/>
      <c r="AJ46" s="29"/>
      <c r="AT46" s="25"/>
      <c r="AU46" s="13"/>
      <c r="AZ46" s="116"/>
      <c r="BA46" s="123"/>
      <c r="BB46" s="123"/>
      <c r="BC46" s="123"/>
      <c r="BH46" s="115"/>
      <c r="BI46" s="115"/>
      <c r="BJ46" s="115"/>
      <c r="BK46" s="115"/>
      <c r="BL46" s="115"/>
      <c r="BM46" s="115"/>
      <c r="BN46" s="115"/>
      <c r="BO46" s="115"/>
      <c r="BP46" s="115"/>
      <c r="BQ46" s="115"/>
      <c r="BR46" s="25"/>
      <c r="BS46" s="13"/>
      <c r="BV46" s="114"/>
    </row>
    <row r="47" spans="1:74" ht="20.100000000000001" customHeight="1" x14ac:dyDescent="0.4">
      <c r="A47" s="117"/>
      <c r="B47" s="123"/>
      <c r="C47" s="123"/>
      <c r="D47" s="123"/>
      <c r="N47" s="115"/>
      <c r="O47" s="115"/>
      <c r="P47" s="115"/>
      <c r="Q47" s="115"/>
      <c r="R47" s="115" t="s">
        <v>299</v>
      </c>
      <c r="S47" s="13">
        <f>SUBTOTAL(3,S40:S46)</f>
        <v>7</v>
      </c>
      <c r="T47" s="13">
        <f>SUBTOTAL(3,T40:T46)</f>
        <v>7</v>
      </c>
      <c r="AH47" s="115"/>
      <c r="AI47" s="29"/>
      <c r="AJ47" s="29"/>
      <c r="AT47" s="25"/>
      <c r="AU47" s="13"/>
      <c r="AZ47" s="116"/>
      <c r="BA47" s="123"/>
      <c r="BB47" s="123"/>
      <c r="BC47" s="123"/>
      <c r="BH47" s="115"/>
      <c r="BI47" s="115"/>
      <c r="BJ47" s="115"/>
      <c r="BK47" s="115"/>
      <c r="BL47" s="115"/>
      <c r="BM47" s="115"/>
      <c r="BN47" s="115"/>
      <c r="BO47" s="115"/>
      <c r="BP47" s="115"/>
      <c r="BQ47" s="115"/>
      <c r="BR47" s="25"/>
      <c r="BS47" s="13"/>
      <c r="BV47" s="114"/>
    </row>
    <row r="48" spans="1:74" ht="20.100000000000001" customHeight="1" x14ac:dyDescent="0.4">
      <c r="A48" s="117"/>
      <c r="B48" s="123"/>
      <c r="C48" s="123"/>
      <c r="D48" s="123"/>
      <c r="L48" s="115"/>
      <c r="M48" s="115"/>
      <c r="N48" s="115"/>
      <c r="O48" s="115"/>
      <c r="P48" s="115"/>
      <c r="Q48" s="115"/>
      <c r="R48" s="115"/>
      <c r="S48" s="25">
        <v>46042</v>
      </c>
      <c r="T48" s="15" t="s">
        <v>147</v>
      </c>
      <c r="AH48" s="115"/>
      <c r="AI48" s="29"/>
      <c r="AJ48" s="29"/>
      <c r="AT48" s="25"/>
      <c r="AU48" s="13"/>
      <c r="AZ48" s="116"/>
      <c r="BA48" s="123"/>
      <c r="BB48" s="123"/>
      <c r="BC48" s="123"/>
      <c r="BH48" s="115"/>
      <c r="BI48" s="115"/>
      <c r="BJ48" s="115"/>
      <c r="BK48" s="115"/>
      <c r="BL48" s="115"/>
      <c r="BM48" s="115"/>
      <c r="BN48" s="115"/>
      <c r="BO48" s="115"/>
      <c r="BP48" s="115"/>
      <c r="BQ48" s="115"/>
      <c r="BR48" s="25"/>
      <c r="BS48" s="13"/>
      <c r="BV48" s="114"/>
    </row>
    <row r="49" spans="1:74" ht="20.100000000000001" customHeight="1" x14ac:dyDescent="0.4">
      <c r="A49" s="117"/>
      <c r="B49" s="123"/>
      <c r="C49" s="123"/>
      <c r="D49" s="123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25">
        <v>46042</v>
      </c>
      <c r="T49" s="15" t="s">
        <v>147</v>
      </c>
      <c r="AH49" s="115"/>
      <c r="AI49" s="29"/>
      <c r="AJ49" s="29"/>
      <c r="AT49" s="25"/>
      <c r="AU49" s="13"/>
      <c r="AZ49" s="116"/>
      <c r="BA49" s="123"/>
      <c r="BB49" s="123"/>
      <c r="BC49" s="123"/>
      <c r="BH49" s="115"/>
      <c r="BI49" s="115"/>
      <c r="BJ49" s="115"/>
      <c r="BK49" s="115"/>
      <c r="BL49" s="115"/>
      <c r="BM49" s="115"/>
      <c r="BN49" s="115"/>
      <c r="BO49" s="115"/>
      <c r="BP49" s="115"/>
      <c r="BQ49" s="115"/>
      <c r="BR49" s="25"/>
      <c r="BS49" s="13"/>
      <c r="BV49" s="114"/>
    </row>
    <row r="50" spans="1:74" ht="20.100000000000001" customHeight="1" x14ac:dyDescent="0.4">
      <c r="A50" s="117"/>
      <c r="B50" s="123"/>
      <c r="C50" s="123"/>
      <c r="D50" s="123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26">
        <v>46042</v>
      </c>
      <c r="T50" s="15" t="s">
        <v>147</v>
      </c>
      <c r="AH50" s="115"/>
      <c r="AI50" s="29"/>
      <c r="AJ50" s="29"/>
      <c r="AT50" s="25"/>
      <c r="AU50" s="13"/>
      <c r="AZ50" s="116"/>
      <c r="BA50" s="123"/>
      <c r="BB50" s="123"/>
      <c r="BC50" s="123"/>
      <c r="BH50" s="115"/>
      <c r="BI50" s="115"/>
      <c r="BJ50" s="115"/>
      <c r="BK50" s="115"/>
      <c r="BL50" s="115"/>
      <c r="BM50" s="115"/>
      <c r="BN50" s="115"/>
      <c r="BO50" s="115"/>
      <c r="BP50" s="115"/>
      <c r="BQ50" s="115"/>
      <c r="BR50" s="25"/>
      <c r="BS50" s="13"/>
      <c r="BV50" s="114"/>
    </row>
    <row r="51" spans="1:74" ht="20.100000000000001" customHeight="1" x14ac:dyDescent="0.4">
      <c r="A51" s="117"/>
      <c r="B51" s="123"/>
      <c r="C51" s="123"/>
      <c r="D51" s="123"/>
      <c r="I51" s="115"/>
      <c r="J51" s="115"/>
      <c r="K51" s="115"/>
      <c r="L51" s="115"/>
      <c r="M51" s="115"/>
      <c r="N51" s="115"/>
      <c r="O51" s="115"/>
      <c r="P51" s="115"/>
      <c r="Q51" s="115"/>
      <c r="R51" s="115" t="s">
        <v>300</v>
      </c>
      <c r="S51" s="17">
        <f>SUBTOTAL(3,S48:S50)</f>
        <v>3</v>
      </c>
      <c r="T51" s="15">
        <f>SUBTOTAL(3,T48:T50)</f>
        <v>3</v>
      </c>
      <c r="AH51" s="115"/>
      <c r="AI51" s="29"/>
      <c r="AJ51" s="29"/>
      <c r="AT51" s="25"/>
      <c r="AU51" s="13"/>
      <c r="AZ51" s="116"/>
      <c r="BA51" s="123"/>
      <c r="BB51" s="123"/>
      <c r="BC51" s="123"/>
      <c r="BH51" s="115"/>
      <c r="BI51" s="115"/>
      <c r="BJ51" s="115"/>
      <c r="BK51" s="115"/>
      <c r="BL51" s="115"/>
      <c r="BM51" s="115"/>
      <c r="BN51" s="115"/>
      <c r="BO51" s="115"/>
      <c r="BP51" s="115"/>
      <c r="BQ51" s="115"/>
      <c r="BR51" s="25"/>
      <c r="BS51" s="13"/>
      <c r="BV51" s="114"/>
    </row>
    <row r="52" spans="1:74" ht="20.100000000000001" customHeight="1" x14ac:dyDescent="0.4">
      <c r="A52" s="117"/>
      <c r="B52" s="123"/>
      <c r="C52" s="123"/>
      <c r="D52" s="123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26">
        <v>46043</v>
      </c>
      <c r="T52" s="15" t="s">
        <v>146</v>
      </c>
      <c r="AH52" s="115"/>
      <c r="AI52" s="29"/>
      <c r="AJ52" s="29"/>
      <c r="AT52" s="25"/>
      <c r="AU52" s="13"/>
      <c r="AZ52" s="116"/>
      <c r="BA52" s="123"/>
      <c r="BB52" s="123"/>
      <c r="BC52" s="123"/>
      <c r="BH52" s="115"/>
      <c r="BI52" s="115"/>
      <c r="BJ52" s="115"/>
      <c r="BK52" s="115"/>
      <c r="BL52" s="115"/>
      <c r="BM52" s="115"/>
      <c r="BN52" s="115"/>
      <c r="BO52" s="115"/>
      <c r="BP52" s="115"/>
      <c r="BQ52" s="115"/>
      <c r="BR52" s="25"/>
      <c r="BS52" s="13"/>
      <c r="BV52" s="114"/>
    </row>
    <row r="53" spans="1:74" ht="20.100000000000001" customHeight="1" x14ac:dyDescent="0.4">
      <c r="A53" s="117"/>
      <c r="B53" s="123"/>
      <c r="C53" s="123"/>
      <c r="D53" s="123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26">
        <v>46043</v>
      </c>
      <c r="T53" s="15" t="s">
        <v>147</v>
      </c>
      <c r="AH53" s="115"/>
      <c r="AI53" s="29"/>
      <c r="AJ53" s="29"/>
      <c r="AT53" s="25"/>
      <c r="AU53" s="13"/>
      <c r="AZ53" s="116"/>
      <c r="BA53" s="123"/>
      <c r="BB53" s="123"/>
      <c r="BC53" s="123"/>
      <c r="BH53" s="115"/>
      <c r="BI53" s="115"/>
      <c r="BJ53" s="115"/>
      <c r="BK53" s="115"/>
      <c r="BL53" s="115"/>
      <c r="BM53" s="115"/>
      <c r="BN53" s="115"/>
      <c r="BO53" s="115"/>
      <c r="BP53" s="115"/>
      <c r="BQ53" s="115"/>
      <c r="BR53" s="25"/>
      <c r="BS53" s="13"/>
      <c r="BV53" s="114"/>
    </row>
    <row r="54" spans="1:74" ht="20.100000000000001" customHeight="1" x14ac:dyDescent="0.4">
      <c r="A54" s="117"/>
      <c r="B54" s="123"/>
      <c r="C54" s="123"/>
      <c r="D54" s="123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26">
        <v>46043</v>
      </c>
      <c r="T54" s="15" t="s">
        <v>146</v>
      </c>
      <c r="AH54" s="115"/>
      <c r="AI54" s="29"/>
      <c r="AJ54" s="29"/>
      <c r="AT54" s="25"/>
      <c r="AU54" s="13"/>
      <c r="AZ54" s="116"/>
      <c r="BA54" s="123"/>
      <c r="BB54" s="123"/>
      <c r="BC54" s="123"/>
      <c r="BH54" s="115"/>
      <c r="BI54" s="115"/>
      <c r="BJ54" s="115"/>
      <c r="BK54" s="115"/>
      <c r="BL54" s="115"/>
      <c r="BM54" s="115"/>
      <c r="BN54" s="115"/>
      <c r="BO54" s="115"/>
      <c r="BP54" s="115"/>
      <c r="BQ54" s="115"/>
      <c r="BR54" s="25"/>
      <c r="BS54" s="13"/>
      <c r="BV54" s="114"/>
    </row>
    <row r="55" spans="1:74" ht="20.100000000000001" customHeight="1" x14ac:dyDescent="0.4">
      <c r="A55" s="117"/>
      <c r="B55" s="123"/>
      <c r="C55" s="123"/>
      <c r="D55" s="123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 t="s">
        <v>193</v>
      </c>
      <c r="S55" s="17">
        <f>SUBTOTAL(3,S52:S54)</f>
        <v>3</v>
      </c>
      <c r="T55" s="15">
        <f>SUBTOTAL(3,T52:T54)</f>
        <v>3</v>
      </c>
      <c r="AH55" s="115"/>
      <c r="AI55" s="29"/>
      <c r="AJ55" s="29"/>
      <c r="AT55" s="25"/>
      <c r="AU55" s="13"/>
      <c r="AZ55" s="116"/>
      <c r="BA55" s="123"/>
      <c r="BB55" s="123"/>
      <c r="BC55" s="123"/>
      <c r="BH55" s="115"/>
      <c r="BI55" s="115"/>
      <c r="BJ55" s="115"/>
      <c r="BK55" s="115"/>
      <c r="BL55" s="115"/>
      <c r="BM55" s="115"/>
      <c r="BN55" s="115"/>
      <c r="BO55" s="115"/>
      <c r="BP55" s="115"/>
      <c r="BQ55" s="115"/>
      <c r="BR55" s="25"/>
      <c r="BS55" s="13"/>
      <c r="BV55" s="114"/>
    </row>
    <row r="56" spans="1:74" ht="20.100000000000001" customHeight="1" x14ac:dyDescent="0.4">
      <c r="A56" s="117"/>
      <c r="B56" s="123"/>
      <c r="C56" s="123"/>
      <c r="D56" s="123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26">
        <v>46046</v>
      </c>
      <c r="T56" s="15" t="s">
        <v>146</v>
      </c>
      <c r="AH56" s="115"/>
      <c r="AI56" s="29"/>
      <c r="AJ56" s="29"/>
      <c r="AT56" s="25"/>
      <c r="AU56" s="13"/>
      <c r="AZ56" s="116"/>
      <c r="BA56" s="123"/>
      <c r="BB56" s="123"/>
      <c r="BC56" s="123"/>
      <c r="BH56" s="115"/>
      <c r="BI56" s="115"/>
      <c r="BJ56" s="115"/>
      <c r="BK56" s="115"/>
      <c r="BL56" s="115"/>
      <c r="BM56" s="115"/>
      <c r="BN56" s="115"/>
      <c r="BO56" s="115"/>
      <c r="BP56" s="115"/>
      <c r="BQ56" s="115"/>
      <c r="BR56" s="25"/>
      <c r="BS56" s="13"/>
      <c r="BV56" s="114"/>
    </row>
    <row r="57" spans="1:74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26">
        <v>46046</v>
      </c>
      <c r="T57" s="15" t="s">
        <v>146</v>
      </c>
      <c r="AH57" s="115"/>
      <c r="AI57" s="29"/>
      <c r="AJ57" s="29"/>
      <c r="AT57" s="25"/>
      <c r="AU57" s="13"/>
      <c r="AZ57" s="116"/>
      <c r="BA57" s="123"/>
      <c r="BB57" s="123"/>
      <c r="BC57" s="123"/>
      <c r="BH57" s="115"/>
      <c r="BI57" s="115"/>
      <c r="BJ57" s="115"/>
      <c r="BK57" s="115"/>
      <c r="BL57" s="115"/>
      <c r="BM57" s="115"/>
      <c r="BN57" s="115"/>
      <c r="BO57" s="115"/>
      <c r="BP57" s="115"/>
      <c r="BQ57" s="115"/>
      <c r="BR57" s="25"/>
      <c r="BS57" s="13"/>
      <c r="BV57" s="114"/>
    </row>
    <row r="58" spans="1:74" ht="20.100000000000001" customHeight="1" x14ac:dyDescent="0.4">
      <c r="A58" s="117"/>
      <c r="B58" s="123"/>
      <c r="C58" s="123"/>
      <c r="D58" s="123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25">
        <v>46046</v>
      </c>
      <c r="T58" s="13" t="s">
        <v>147</v>
      </c>
      <c r="AH58" s="115"/>
      <c r="AI58" s="29"/>
      <c r="AJ58" s="29"/>
      <c r="AT58" s="25"/>
      <c r="AU58" s="13"/>
      <c r="AZ58" s="116"/>
      <c r="BA58" s="123"/>
      <c r="BB58" s="123"/>
      <c r="BC58" s="123"/>
      <c r="BH58" s="115"/>
      <c r="BI58" s="115"/>
      <c r="BJ58" s="115"/>
      <c r="BK58" s="115"/>
      <c r="BL58" s="115"/>
      <c r="BM58" s="115"/>
      <c r="BN58" s="115"/>
      <c r="BO58" s="115"/>
      <c r="BP58" s="115"/>
      <c r="BQ58" s="115"/>
      <c r="BR58" s="25"/>
      <c r="BS58" s="13"/>
      <c r="BV58" s="114"/>
    </row>
    <row r="59" spans="1:74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25">
        <v>46046</v>
      </c>
      <c r="T59" s="13" t="s">
        <v>147</v>
      </c>
      <c r="AH59" s="115"/>
      <c r="AI59" s="29"/>
      <c r="AJ59" s="29"/>
      <c r="AT59" s="25"/>
      <c r="AU59" s="13"/>
      <c r="AZ59" s="116"/>
      <c r="BA59" s="123"/>
      <c r="BB59" s="123"/>
      <c r="BC59" s="123"/>
      <c r="BH59" s="115"/>
      <c r="BI59" s="115"/>
      <c r="BJ59" s="115"/>
      <c r="BK59" s="115"/>
      <c r="BL59" s="115"/>
      <c r="BM59" s="115"/>
      <c r="BN59" s="115"/>
      <c r="BO59" s="115"/>
      <c r="BP59" s="115"/>
      <c r="BQ59" s="115"/>
      <c r="BR59" s="25"/>
      <c r="BS59" s="13"/>
      <c r="BV59" s="114"/>
    </row>
    <row r="60" spans="1:74" ht="20.100000000000001" customHeight="1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25">
        <v>46046</v>
      </c>
      <c r="T60" s="13" t="s">
        <v>147</v>
      </c>
      <c r="AH60" s="115"/>
      <c r="AI60" s="29"/>
      <c r="AJ60" s="29"/>
      <c r="AT60" s="25"/>
      <c r="AU60" s="13"/>
      <c r="AZ60" s="116"/>
      <c r="BA60" s="123"/>
      <c r="BB60" s="123"/>
      <c r="BC60" s="123"/>
      <c r="BH60" s="115"/>
      <c r="BI60" s="115"/>
      <c r="BJ60" s="115"/>
      <c r="BK60" s="115"/>
      <c r="BL60" s="115"/>
      <c r="BM60" s="115"/>
      <c r="BN60" s="115"/>
      <c r="BO60" s="115"/>
      <c r="BP60" s="115"/>
      <c r="BQ60" s="115"/>
      <c r="BR60" s="25"/>
      <c r="BS60" s="13"/>
      <c r="BV60" s="114"/>
    </row>
    <row r="61" spans="1:74" ht="20.100000000000001" customHeight="1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25">
        <v>46046</v>
      </c>
      <c r="T61" s="13" t="s">
        <v>146</v>
      </c>
      <c r="AH61" s="115"/>
      <c r="AI61" s="29"/>
      <c r="AJ61" s="29"/>
      <c r="AT61" s="25"/>
      <c r="AU61" s="13"/>
      <c r="AZ61" s="116"/>
      <c r="BA61" s="123"/>
      <c r="BB61" s="123"/>
      <c r="BC61" s="123"/>
      <c r="BH61" s="115"/>
      <c r="BI61" s="115"/>
      <c r="BJ61" s="115"/>
      <c r="BK61" s="115"/>
      <c r="BL61" s="115"/>
      <c r="BM61" s="115"/>
      <c r="BN61" s="115"/>
      <c r="BO61" s="115"/>
      <c r="BP61" s="115"/>
      <c r="BQ61" s="115"/>
      <c r="BR61" s="25"/>
      <c r="BS61" s="13"/>
      <c r="BV61" s="114"/>
    </row>
    <row r="62" spans="1:74" ht="20.100000000000001" customHeight="1" x14ac:dyDescent="0.4">
      <c r="A62" s="117"/>
      <c r="B62" s="123"/>
      <c r="C62" s="123"/>
      <c r="D62" s="123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25">
        <v>46046</v>
      </c>
      <c r="T62" s="13" t="s">
        <v>146</v>
      </c>
      <c r="AH62" s="115"/>
      <c r="AI62" s="29"/>
      <c r="AJ62" s="29"/>
      <c r="AT62" s="25"/>
      <c r="AU62" s="13"/>
      <c r="AZ62" s="116"/>
      <c r="BA62" s="123"/>
      <c r="BB62" s="123"/>
      <c r="BC62" s="123"/>
      <c r="BH62" s="115"/>
      <c r="BI62" s="115"/>
      <c r="BJ62" s="115"/>
      <c r="BK62" s="115"/>
      <c r="BL62" s="115"/>
      <c r="BM62" s="115"/>
      <c r="BN62" s="115"/>
      <c r="BO62" s="115"/>
      <c r="BP62" s="115"/>
      <c r="BQ62" s="115"/>
      <c r="BR62" s="25"/>
      <c r="BS62" s="13"/>
      <c r="BV62" s="114"/>
    </row>
    <row r="63" spans="1:74" ht="20.100000000000001" customHeight="1" x14ac:dyDescent="0.4">
      <c r="A63" s="117"/>
      <c r="B63" s="123"/>
      <c r="C63" s="123"/>
      <c r="D63" s="123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25">
        <v>46046</v>
      </c>
      <c r="T63" s="13" t="s">
        <v>147</v>
      </c>
      <c r="AH63" s="115"/>
      <c r="AI63" s="29"/>
      <c r="AJ63" s="29"/>
      <c r="AT63" s="25"/>
      <c r="AU63" s="13"/>
      <c r="AZ63" s="116"/>
      <c r="BA63" s="123"/>
      <c r="BB63" s="123"/>
      <c r="BC63" s="123"/>
      <c r="BH63" s="115"/>
      <c r="BI63" s="115"/>
      <c r="BJ63" s="115"/>
      <c r="BK63" s="115"/>
      <c r="BL63" s="115"/>
      <c r="BM63" s="115"/>
      <c r="BN63" s="115"/>
      <c r="BO63" s="115"/>
      <c r="BP63" s="115"/>
      <c r="BQ63" s="115"/>
      <c r="BR63" s="25"/>
      <c r="BS63" s="13"/>
      <c r="BV63" s="114"/>
    </row>
    <row r="64" spans="1:74" ht="20.100000000000001" customHeight="1" x14ac:dyDescent="0.4">
      <c r="A64" s="117"/>
      <c r="B64" s="123"/>
      <c r="C64" s="123"/>
      <c r="D64" s="123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25">
        <v>46046</v>
      </c>
      <c r="T64" s="13" t="s">
        <v>146</v>
      </c>
      <c r="AH64" s="115"/>
      <c r="AI64" s="29"/>
      <c r="AJ64" s="29"/>
      <c r="AT64" s="25"/>
      <c r="AU64" s="13"/>
      <c r="AZ64" s="116"/>
      <c r="BA64" s="123"/>
      <c r="BB64" s="123"/>
      <c r="BC64" s="123"/>
      <c r="BH64" s="115"/>
      <c r="BI64" s="115"/>
      <c r="BJ64" s="115"/>
      <c r="BK64" s="115"/>
      <c r="BL64" s="115"/>
      <c r="BM64" s="115"/>
      <c r="BN64" s="115"/>
      <c r="BO64" s="115"/>
      <c r="BP64" s="115"/>
      <c r="BQ64" s="115"/>
      <c r="BR64" s="25"/>
      <c r="BS64" s="13"/>
      <c r="BV64" s="114"/>
    </row>
    <row r="65" spans="1:74" ht="20.100000000000001" customHeight="1" x14ac:dyDescent="0.4">
      <c r="A65" s="117"/>
      <c r="B65" s="123"/>
      <c r="C65" s="123"/>
      <c r="D65" s="123"/>
      <c r="S65" s="25">
        <v>46046</v>
      </c>
      <c r="T65" s="13" t="s">
        <v>148</v>
      </c>
      <c r="AF65" s="115"/>
      <c r="AG65" s="115"/>
      <c r="AH65" s="115"/>
      <c r="AI65" s="127"/>
      <c r="AJ65" s="29"/>
      <c r="AT65" s="25"/>
      <c r="AU65" s="13"/>
      <c r="AZ65" s="116"/>
      <c r="BA65" s="123"/>
      <c r="BB65" s="123"/>
      <c r="BC65" s="123"/>
      <c r="BH65" s="115"/>
      <c r="BI65" s="115"/>
      <c r="BJ65" s="115"/>
      <c r="BK65" s="115"/>
      <c r="BL65" s="115"/>
      <c r="BM65" s="115"/>
      <c r="BN65" s="115"/>
      <c r="BO65" s="115"/>
      <c r="BP65" s="115"/>
      <c r="BQ65" s="115"/>
      <c r="BR65" s="25"/>
      <c r="BS65" s="13"/>
      <c r="BV65" s="114"/>
    </row>
    <row r="66" spans="1:74" ht="20.100000000000001" customHeight="1" x14ac:dyDescent="0.4">
      <c r="A66" s="117"/>
      <c r="B66" s="123"/>
      <c r="C66" s="123"/>
      <c r="D66" s="123"/>
      <c r="N66" s="115"/>
      <c r="O66" s="115"/>
      <c r="P66" s="115"/>
      <c r="Q66" s="115"/>
      <c r="R66" s="115"/>
      <c r="S66" s="25">
        <v>46046</v>
      </c>
      <c r="T66" s="13" t="s">
        <v>146</v>
      </c>
      <c r="AF66" s="115"/>
      <c r="AG66" s="115"/>
      <c r="AH66" s="115"/>
      <c r="AI66" s="127"/>
      <c r="AJ66" s="29"/>
      <c r="AT66" s="25"/>
      <c r="AU66" s="13"/>
      <c r="AZ66" s="116"/>
      <c r="BA66" s="123"/>
      <c r="BB66" s="123"/>
      <c r="BC66" s="123"/>
      <c r="BH66" s="115"/>
      <c r="BI66" s="115"/>
      <c r="BJ66" s="115"/>
      <c r="BK66" s="115"/>
      <c r="BL66" s="115"/>
      <c r="BM66" s="115"/>
      <c r="BN66" s="115"/>
      <c r="BO66" s="115"/>
      <c r="BP66" s="115"/>
      <c r="BQ66" s="115"/>
      <c r="BR66" s="25"/>
      <c r="BS66" s="13"/>
      <c r="BV66" s="114"/>
    </row>
    <row r="67" spans="1:74" ht="20.100000000000001" customHeight="1" x14ac:dyDescent="0.4">
      <c r="A67" s="117"/>
      <c r="B67" s="123"/>
      <c r="C67" s="123"/>
      <c r="D67" s="123"/>
      <c r="N67" s="115"/>
      <c r="O67" s="115"/>
      <c r="P67" s="115"/>
      <c r="Q67" s="115"/>
      <c r="R67" s="115"/>
      <c r="S67" s="25">
        <v>46046</v>
      </c>
      <c r="T67" s="13" t="s">
        <v>146</v>
      </c>
      <c r="AF67" s="115"/>
      <c r="AG67" s="115"/>
      <c r="AH67" s="115"/>
      <c r="AI67" s="127"/>
      <c r="AJ67" s="29"/>
      <c r="AT67" s="25"/>
      <c r="AU67" s="13"/>
      <c r="AZ67" s="116"/>
      <c r="BA67" s="123"/>
      <c r="BB67" s="123"/>
      <c r="BC67" s="123"/>
      <c r="BH67" s="115"/>
      <c r="BI67" s="115"/>
      <c r="BJ67" s="115"/>
      <c r="BK67" s="115"/>
      <c r="BL67" s="115"/>
      <c r="BM67" s="115"/>
      <c r="BN67" s="115"/>
      <c r="BO67" s="115"/>
      <c r="BP67" s="115"/>
      <c r="BQ67" s="115"/>
      <c r="BR67" s="25"/>
      <c r="BS67" s="13"/>
      <c r="BV67" s="114"/>
    </row>
    <row r="68" spans="1:74" ht="20.100000000000001" customHeight="1" x14ac:dyDescent="0.4">
      <c r="A68" s="117"/>
      <c r="B68" s="123"/>
      <c r="C68" s="123"/>
      <c r="D68" s="123"/>
      <c r="M68" s="115"/>
      <c r="N68" s="115"/>
      <c r="O68" s="115"/>
      <c r="P68" s="115"/>
      <c r="Q68" s="115"/>
      <c r="R68" s="115"/>
      <c r="S68" s="25">
        <v>46046</v>
      </c>
      <c r="T68" s="13" t="s">
        <v>148</v>
      </c>
      <c r="AF68" s="115"/>
      <c r="AG68" s="115"/>
      <c r="AH68" s="115"/>
      <c r="AI68" s="127"/>
      <c r="AJ68" s="29"/>
      <c r="AT68" s="25"/>
      <c r="AU68" s="13"/>
      <c r="AZ68" s="116"/>
      <c r="BA68" s="123"/>
      <c r="BB68" s="123"/>
      <c r="BC68" s="123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25"/>
      <c r="BS68" s="13"/>
      <c r="BV68" s="114"/>
    </row>
    <row r="69" spans="1:74" ht="20.100000000000001" customHeight="1" x14ac:dyDescent="0.4">
      <c r="A69" s="117"/>
      <c r="B69" s="123"/>
      <c r="C69" s="123"/>
      <c r="D69" s="123"/>
      <c r="M69" s="115"/>
      <c r="N69" s="115"/>
      <c r="O69" s="115"/>
      <c r="P69" s="115"/>
      <c r="Q69" s="115"/>
      <c r="R69" s="115" t="s">
        <v>301</v>
      </c>
      <c r="S69" s="13">
        <f>SUBTOTAL(3,S56:S68)</f>
        <v>13</v>
      </c>
      <c r="T69" s="13">
        <f>SUBTOTAL(3,T56:T68)</f>
        <v>13</v>
      </c>
      <c r="AF69" s="115"/>
      <c r="AG69" s="115"/>
      <c r="AH69" s="115"/>
      <c r="AI69" s="127"/>
      <c r="AJ69" s="29"/>
      <c r="AT69" s="25"/>
      <c r="AU69" s="13"/>
      <c r="AZ69" s="116"/>
      <c r="BA69" s="123"/>
      <c r="BB69" s="123"/>
      <c r="BC69" s="123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25"/>
      <c r="BS69" s="13"/>
      <c r="BV69" s="114"/>
    </row>
    <row r="70" spans="1:74" ht="20.100000000000001" customHeight="1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25">
        <v>46047</v>
      </c>
      <c r="T70" s="13" t="s">
        <v>147</v>
      </c>
      <c r="AF70" s="115"/>
      <c r="AG70" s="115"/>
      <c r="AH70" s="115"/>
      <c r="AI70" s="127"/>
      <c r="AJ70" s="29"/>
      <c r="AT70" s="25"/>
      <c r="AU70" s="13"/>
      <c r="AZ70" s="116"/>
      <c r="BA70" s="123"/>
      <c r="BB70" s="123"/>
      <c r="BC70" s="123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25"/>
      <c r="BS70" s="13"/>
      <c r="BV70" s="114"/>
    </row>
    <row r="71" spans="1:74" ht="20.100000000000001" customHeight="1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25">
        <v>46047</v>
      </c>
      <c r="T71" s="13" t="s">
        <v>147</v>
      </c>
      <c r="AF71" s="115"/>
      <c r="AG71" s="115"/>
      <c r="AH71" s="115"/>
      <c r="AI71" s="127"/>
      <c r="AJ71" s="29"/>
      <c r="AT71" s="25"/>
      <c r="AU71" s="13"/>
      <c r="AZ71" s="116"/>
      <c r="BA71" s="123"/>
      <c r="BB71" s="123"/>
      <c r="BC71" s="123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25"/>
      <c r="BS71" s="13"/>
      <c r="BV71" s="114"/>
    </row>
    <row r="72" spans="1:74" ht="20.100000000000001" customHeight="1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25">
        <v>46047</v>
      </c>
      <c r="T72" s="13" t="s">
        <v>146</v>
      </c>
      <c r="AF72" s="115"/>
      <c r="AG72" s="115"/>
      <c r="AH72" s="115"/>
      <c r="AI72" s="127"/>
      <c r="AJ72" s="29"/>
      <c r="AT72" s="25"/>
      <c r="AU72" s="13"/>
      <c r="AZ72" s="116"/>
      <c r="BA72" s="123"/>
      <c r="BB72" s="123"/>
      <c r="BC72" s="123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25"/>
      <c r="BS72" s="13"/>
      <c r="BV72" s="114"/>
    </row>
    <row r="73" spans="1:74" ht="20.100000000000001" customHeight="1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25">
        <v>46047</v>
      </c>
      <c r="T73" s="13" t="s">
        <v>146</v>
      </c>
      <c r="AF73" s="115"/>
      <c r="AG73" s="115"/>
      <c r="AH73" s="115"/>
      <c r="AI73" s="127"/>
      <c r="AJ73" s="29"/>
      <c r="AT73" s="25"/>
      <c r="AU73" s="13"/>
      <c r="AZ73" s="116"/>
      <c r="BA73" s="123"/>
      <c r="BB73" s="123"/>
      <c r="BC73" s="123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25"/>
      <c r="BS73" s="13"/>
      <c r="BV73" s="114"/>
    </row>
    <row r="74" spans="1:74" ht="20.100000000000001" customHeight="1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25">
        <v>46047</v>
      </c>
      <c r="T74" s="13" t="s">
        <v>147</v>
      </c>
      <c r="AF74" s="115"/>
      <c r="AG74" s="115"/>
      <c r="AH74" s="115"/>
      <c r="AI74" s="127"/>
      <c r="AJ74" s="29"/>
      <c r="AT74" s="25"/>
      <c r="AU74" s="13"/>
      <c r="AZ74" s="116"/>
      <c r="BA74" s="123"/>
      <c r="BB74" s="123"/>
      <c r="BC74" s="123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25"/>
      <c r="BS74" s="13"/>
      <c r="BV74" s="114"/>
    </row>
    <row r="75" spans="1:74" ht="20.100000000000001" customHeight="1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25">
        <v>46047</v>
      </c>
      <c r="T75" s="13" t="s">
        <v>148</v>
      </c>
      <c r="AF75" s="115"/>
      <c r="AG75" s="115"/>
      <c r="AH75" s="115"/>
      <c r="AI75" s="127"/>
      <c r="AJ75" s="29"/>
      <c r="AT75" s="25"/>
      <c r="AU75" s="13"/>
      <c r="AZ75" s="116"/>
      <c r="BA75" s="123"/>
      <c r="BB75" s="123"/>
      <c r="BC75" s="123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25"/>
      <c r="BS75" s="13"/>
      <c r="BV75" s="114"/>
    </row>
    <row r="76" spans="1:74" ht="20.100000000000001" customHeight="1" x14ac:dyDescent="0.4">
      <c r="A76" s="117"/>
      <c r="B76" s="123"/>
      <c r="C76" s="123"/>
      <c r="D76" s="123"/>
      <c r="S76" s="25">
        <v>46047</v>
      </c>
      <c r="T76" s="133" t="s">
        <v>148</v>
      </c>
      <c r="AF76" s="115"/>
      <c r="AG76" s="115"/>
      <c r="AH76" s="115"/>
      <c r="AI76" s="29"/>
      <c r="AJ76" s="29"/>
      <c r="AT76" s="25"/>
      <c r="AU76" s="13"/>
      <c r="AZ76" s="116"/>
      <c r="BA76" s="123"/>
      <c r="BB76" s="123"/>
      <c r="BC76" s="123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25"/>
      <c r="BS76" s="13"/>
      <c r="BV76" s="114"/>
    </row>
    <row r="77" spans="1:74" ht="20.100000000000001" customHeight="1" x14ac:dyDescent="0.4">
      <c r="A77" s="117"/>
      <c r="B77" s="123"/>
      <c r="C77" s="123"/>
      <c r="D77" s="123"/>
      <c r="P77" s="115"/>
      <c r="Q77" s="115"/>
      <c r="R77" s="115"/>
      <c r="S77" s="25">
        <v>46047</v>
      </c>
      <c r="T77" s="13" t="s">
        <v>146</v>
      </c>
      <c r="AF77" s="115"/>
      <c r="AG77" s="115"/>
      <c r="AH77" s="115"/>
      <c r="AI77" s="29"/>
      <c r="AJ77" s="29"/>
      <c r="AT77" s="25"/>
      <c r="AU77" s="13"/>
      <c r="AZ77" s="116"/>
      <c r="BA77" s="123"/>
      <c r="BB77" s="123"/>
      <c r="BC77" s="123"/>
      <c r="BH77" s="115"/>
      <c r="BI77" s="115"/>
      <c r="BJ77" s="115"/>
      <c r="BK77" s="115"/>
      <c r="BL77" s="115"/>
      <c r="BM77" s="115"/>
      <c r="BN77" s="115"/>
      <c r="BO77" s="115"/>
      <c r="BP77" s="115"/>
      <c r="BQ77" s="115"/>
      <c r="BR77" s="25"/>
      <c r="BS77" s="13"/>
      <c r="BV77" s="114"/>
    </row>
    <row r="78" spans="1:74" ht="20.100000000000001" customHeight="1" x14ac:dyDescent="0.4">
      <c r="A78" s="117"/>
      <c r="B78" s="123"/>
      <c r="C78" s="123"/>
      <c r="D78" s="123"/>
      <c r="P78" s="115"/>
      <c r="Q78" s="115"/>
      <c r="R78" s="115"/>
      <c r="S78" s="25">
        <v>46047</v>
      </c>
      <c r="T78" s="15" t="s">
        <v>147</v>
      </c>
      <c r="AF78" s="115"/>
      <c r="AG78" s="115"/>
      <c r="AH78" s="115"/>
      <c r="AI78" s="29"/>
      <c r="AJ78" s="29"/>
      <c r="AT78" s="25"/>
      <c r="AU78" s="13"/>
      <c r="AZ78" s="116"/>
      <c r="BA78" s="123"/>
      <c r="BB78" s="123"/>
      <c r="BC78" s="123"/>
      <c r="BH78" s="115"/>
      <c r="BI78" s="115"/>
      <c r="BJ78" s="115"/>
      <c r="BK78" s="115"/>
      <c r="BL78" s="115"/>
      <c r="BM78" s="115"/>
      <c r="BN78" s="115"/>
      <c r="BO78" s="115"/>
      <c r="BP78" s="115"/>
      <c r="BQ78" s="115"/>
      <c r="BR78" s="25"/>
      <c r="BS78" s="13"/>
      <c r="BV78" s="114"/>
    </row>
    <row r="79" spans="1:74" ht="20.100000000000001" customHeight="1" x14ac:dyDescent="0.4">
      <c r="A79" s="117"/>
      <c r="B79" s="123"/>
      <c r="C79" s="123"/>
      <c r="D79" s="123"/>
      <c r="P79" s="115"/>
      <c r="Q79" s="115"/>
      <c r="R79" s="115" t="s">
        <v>194</v>
      </c>
      <c r="S79" s="13">
        <f>SUBTOTAL(3,S70:S78)</f>
        <v>9</v>
      </c>
      <c r="T79" s="15">
        <f>SUBTOTAL(3,T70:T78)</f>
        <v>9</v>
      </c>
      <c r="AF79" s="115"/>
      <c r="AG79" s="115"/>
      <c r="AH79" s="115"/>
      <c r="AI79" s="29"/>
      <c r="AJ79" s="29"/>
      <c r="AT79" s="25"/>
      <c r="AU79" s="13"/>
      <c r="AZ79" s="116"/>
      <c r="BA79" s="123"/>
      <c r="BB79" s="123"/>
      <c r="BC79" s="123"/>
      <c r="BH79" s="115"/>
      <c r="BI79" s="115"/>
      <c r="BJ79" s="115"/>
      <c r="BK79" s="115"/>
      <c r="BL79" s="115"/>
      <c r="BM79" s="115"/>
      <c r="BN79" s="115"/>
      <c r="BO79" s="115"/>
      <c r="BP79" s="115"/>
      <c r="BQ79" s="115"/>
      <c r="BR79" s="25"/>
      <c r="BS79" s="13"/>
      <c r="BV79" s="114"/>
    </row>
    <row r="80" spans="1:74" ht="20.100000000000001" customHeight="1" x14ac:dyDescent="0.4">
      <c r="A80" s="117"/>
      <c r="B80" s="123"/>
      <c r="C80" s="123"/>
      <c r="D80" s="123"/>
      <c r="S80" s="25">
        <v>46049</v>
      </c>
      <c r="T80" s="15" t="s">
        <v>147</v>
      </c>
      <c r="AE80" s="115"/>
      <c r="AF80" s="115"/>
      <c r="AG80" s="115"/>
      <c r="AH80" s="115"/>
      <c r="AI80" s="127"/>
      <c r="AJ80" s="29"/>
      <c r="AT80" s="25"/>
      <c r="AU80" s="13"/>
      <c r="AZ80" s="116"/>
      <c r="BA80" s="123"/>
      <c r="BB80" s="123"/>
      <c r="BC80" s="123"/>
      <c r="BH80" s="115"/>
      <c r="BI80" s="115"/>
      <c r="BJ80" s="115"/>
      <c r="BK80" s="115"/>
      <c r="BL80" s="115"/>
      <c r="BM80" s="115"/>
      <c r="BN80" s="115"/>
      <c r="BO80" s="115"/>
      <c r="BP80" s="115"/>
      <c r="BQ80" s="115"/>
      <c r="BR80" s="25"/>
      <c r="BS80" s="13"/>
      <c r="BV80" s="114"/>
    </row>
    <row r="81" spans="1:74" ht="20.100000000000001" customHeight="1" x14ac:dyDescent="0.4">
      <c r="A81" s="117"/>
      <c r="B81" s="123"/>
      <c r="C81" s="123"/>
      <c r="D81" s="123"/>
      <c r="R81" s="115" t="s">
        <v>302</v>
      </c>
      <c r="S81" s="13">
        <f>SUBTOTAL(3,S80:S80)</f>
        <v>1</v>
      </c>
      <c r="T81" s="15">
        <f>SUBTOTAL(3,T80:T80)</f>
        <v>1</v>
      </c>
      <c r="AE81" s="115"/>
      <c r="AF81" s="115"/>
      <c r="AG81" s="115"/>
      <c r="AH81" s="115"/>
      <c r="AI81" s="127"/>
      <c r="AJ81" s="29"/>
      <c r="AT81" s="25"/>
      <c r="AU81" s="13"/>
      <c r="AZ81" s="116"/>
      <c r="BA81" s="123"/>
      <c r="BB81" s="123"/>
      <c r="BC81" s="123"/>
      <c r="BH81" s="115"/>
      <c r="BI81" s="115"/>
      <c r="BJ81" s="115"/>
      <c r="BK81" s="115"/>
      <c r="BL81" s="115"/>
      <c r="BM81" s="115"/>
      <c r="BN81" s="115"/>
      <c r="BO81" s="115"/>
      <c r="BP81" s="115"/>
      <c r="BQ81" s="115"/>
      <c r="BR81" s="25"/>
      <c r="BS81" s="13"/>
      <c r="BV81" s="114"/>
    </row>
    <row r="82" spans="1:74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25">
        <v>46050</v>
      </c>
      <c r="T82" s="15" t="s">
        <v>146</v>
      </c>
      <c r="AE82" s="115"/>
      <c r="AF82" s="115"/>
      <c r="AG82" s="115"/>
      <c r="AH82" s="115"/>
      <c r="AI82" s="127"/>
      <c r="AJ82" s="29"/>
      <c r="AT82" s="25"/>
      <c r="AU82" s="13"/>
      <c r="AZ82" s="116"/>
      <c r="BA82" s="123"/>
      <c r="BB82" s="123"/>
      <c r="BC82" s="123"/>
      <c r="BH82" s="115"/>
      <c r="BI82" s="115"/>
      <c r="BJ82" s="115"/>
      <c r="BK82" s="115"/>
      <c r="BL82" s="115"/>
      <c r="BM82" s="115"/>
      <c r="BN82" s="115"/>
      <c r="BO82" s="115"/>
      <c r="BP82" s="115"/>
      <c r="BQ82" s="115"/>
      <c r="BR82" s="25"/>
      <c r="BS82" s="13"/>
      <c r="BV82" s="114"/>
    </row>
    <row r="83" spans="1:74" ht="20.100000000000001" customHeight="1" x14ac:dyDescent="0.4">
      <c r="A83" s="117"/>
      <c r="B83" s="123"/>
      <c r="C83" s="123"/>
      <c r="D83" s="123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25">
        <v>46050</v>
      </c>
      <c r="T83" s="13" t="s">
        <v>147</v>
      </c>
      <c r="AE83" s="115"/>
      <c r="AF83" s="115"/>
      <c r="AG83" s="115"/>
      <c r="AH83" s="115"/>
      <c r="AI83" s="127"/>
      <c r="AJ83" s="29"/>
      <c r="AT83" s="25"/>
      <c r="AU83" s="13"/>
      <c r="AZ83" s="116"/>
      <c r="BA83" s="123"/>
      <c r="BB83" s="123"/>
      <c r="BC83" s="123"/>
      <c r="BH83" s="115"/>
      <c r="BI83" s="115"/>
      <c r="BJ83" s="115"/>
      <c r="BK83" s="115"/>
      <c r="BL83" s="115"/>
      <c r="BM83" s="115"/>
      <c r="BN83" s="115"/>
      <c r="BO83" s="115"/>
      <c r="BP83" s="115"/>
      <c r="BQ83" s="115"/>
      <c r="BR83" s="25"/>
      <c r="BS83" s="13"/>
      <c r="BV83" s="114"/>
    </row>
    <row r="84" spans="1:74" ht="20.100000000000001" customHeight="1" x14ac:dyDescent="0.4">
      <c r="A84" s="117"/>
      <c r="B84" s="123"/>
      <c r="C84" s="123"/>
      <c r="D84" s="123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26">
        <v>46050</v>
      </c>
      <c r="T84" s="13" t="s">
        <v>147</v>
      </c>
      <c r="AE84" s="115"/>
      <c r="AF84" s="115"/>
      <c r="AG84" s="115"/>
      <c r="AH84" s="115"/>
      <c r="AI84" s="127"/>
      <c r="AJ84" s="29"/>
      <c r="AT84" s="25"/>
      <c r="AU84" s="13"/>
      <c r="AZ84" s="116"/>
      <c r="BA84" s="123"/>
      <c r="BB84" s="123"/>
      <c r="BC84" s="123"/>
      <c r="BH84" s="115"/>
      <c r="BI84" s="115"/>
      <c r="BJ84" s="115"/>
      <c r="BK84" s="115"/>
      <c r="BL84" s="115"/>
      <c r="BM84" s="115"/>
      <c r="BN84" s="115"/>
      <c r="BO84" s="115"/>
      <c r="BP84" s="115"/>
      <c r="BQ84" s="115"/>
      <c r="BR84" s="25"/>
      <c r="BS84" s="13"/>
      <c r="BV84" s="114"/>
    </row>
    <row r="85" spans="1:74" ht="20.100000000000001" customHeight="1" x14ac:dyDescent="0.4">
      <c r="A85" s="117"/>
      <c r="B85" s="123"/>
      <c r="C85" s="123"/>
      <c r="D85" s="123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 t="s">
        <v>303</v>
      </c>
      <c r="S85" s="17">
        <f>SUBTOTAL(3,S82:S84)</f>
        <v>3</v>
      </c>
      <c r="T85" s="13">
        <f>SUBTOTAL(3,T82:T84)</f>
        <v>3</v>
      </c>
      <c r="AE85" s="115"/>
      <c r="AF85" s="115"/>
      <c r="AG85" s="115"/>
      <c r="AH85" s="115"/>
      <c r="AI85" s="127"/>
      <c r="AJ85" s="29"/>
      <c r="AT85" s="25"/>
      <c r="AU85" s="13"/>
      <c r="AZ85" s="116"/>
      <c r="BA85" s="123"/>
      <c r="BB85" s="123"/>
      <c r="BC85" s="123"/>
      <c r="BH85" s="115"/>
      <c r="BI85" s="115"/>
      <c r="BJ85" s="115"/>
      <c r="BK85" s="115"/>
      <c r="BL85" s="115"/>
      <c r="BM85" s="115"/>
      <c r="BN85" s="115"/>
      <c r="BO85" s="115"/>
      <c r="BP85" s="115"/>
      <c r="BQ85" s="115"/>
      <c r="BR85" s="25"/>
      <c r="BS85" s="13"/>
      <c r="BV85" s="114"/>
    </row>
    <row r="86" spans="1:74" ht="20.100000000000001" customHeight="1" x14ac:dyDescent="0.4">
      <c r="A86" s="117"/>
      <c r="B86" s="123"/>
      <c r="C86" s="123"/>
      <c r="D86" s="123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26">
        <v>46051</v>
      </c>
      <c r="T86" s="13" t="s">
        <v>147</v>
      </c>
      <c r="AE86" s="115"/>
      <c r="AF86" s="115"/>
      <c r="AG86" s="115"/>
      <c r="AH86" s="115"/>
      <c r="AI86" s="127"/>
      <c r="AJ86" s="29"/>
      <c r="AT86" s="25"/>
      <c r="AU86" s="13"/>
      <c r="AZ86" s="116"/>
      <c r="BA86" s="123"/>
      <c r="BB86" s="123"/>
      <c r="BC86" s="123"/>
      <c r="BH86" s="115"/>
      <c r="BI86" s="115"/>
      <c r="BJ86" s="115"/>
      <c r="BK86" s="115"/>
      <c r="BL86" s="115"/>
      <c r="BM86" s="115"/>
      <c r="BN86" s="115"/>
      <c r="BO86" s="115"/>
      <c r="BP86" s="115"/>
      <c r="BQ86" s="115"/>
      <c r="BR86" s="25"/>
      <c r="BS86" s="13"/>
      <c r="BV86" s="114"/>
    </row>
    <row r="87" spans="1:74" ht="20.100000000000001" customHeight="1" x14ac:dyDescent="0.4">
      <c r="A87" s="117"/>
      <c r="B87" s="123"/>
      <c r="C87" s="123"/>
      <c r="D87" s="123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26">
        <v>46051</v>
      </c>
      <c r="T87" s="13" t="s">
        <v>147</v>
      </c>
      <c r="AE87" s="115"/>
      <c r="AF87" s="115"/>
      <c r="AG87" s="115"/>
      <c r="AH87" s="115"/>
      <c r="AI87" s="127"/>
      <c r="AJ87" s="29"/>
      <c r="AT87" s="25"/>
      <c r="AU87" s="13"/>
      <c r="AZ87" s="116"/>
      <c r="BA87" s="123"/>
      <c r="BB87" s="123"/>
      <c r="BC87" s="123"/>
      <c r="BH87" s="115"/>
      <c r="BI87" s="115"/>
      <c r="BJ87" s="115"/>
      <c r="BK87" s="115"/>
      <c r="BL87" s="115"/>
      <c r="BM87" s="115"/>
      <c r="BN87" s="115"/>
      <c r="BO87" s="115"/>
      <c r="BP87" s="115"/>
      <c r="BQ87" s="115"/>
      <c r="BR87" s="25"/>
      <c r="BS87" s="13"/>
      <c r="BV87" s="114"/>
    </row>
    <row r="88" spans="1:74" ht="20.100000000000001" customHeight="1" x14ac:dyDescent="0.4">
      <c r="A88" s="117"/>
      <c r="B88" s="123"/>
      <c r="C88" s="123"/>
      <c r="D88" s="123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26">
        <v>46051</v>
      </c>
      <c r="T88" s="13" t="s">
        <v>146</v>
      </c>
      <c r="AE88" s="115"/>
      <c r="AF88" s="115"/>
      <c r="AG88" s="115"/>
      <c r="AH88" s="115"/>
      <c r="AI88" s="127"/>
      <c r="AJ88" s="29"/>
      <c r="AT88" s="25"/>
      <c r="AU88" s="13"/>
      <c r="AZ88" s="116"/>
      <c r="BA88" s="123"/>
      <c r="BB88" s="123"/>
      <c r="BC88" s="123"/>
      <c r="BH88" s="115"/>
      <c r="BI88" s="115"/>
      <c r="BJ88" s="115"/>
      <c r="BK88" s="115"/>
      <c r="BL88" s="115"/>
      <c r="BM88" s="115"/>
      <c r="BN88" s="115"/>
      <c r="BO88" s="115"/>
      <c r="BP88" s="115"/>
      <c r="BQ88" s="115"/>
      <c r="BR88" s="25"/>
      <c r="BS88" s="13"/>
      <c r="BV88" s="114"/>
    </row>
    <row r="89" spans="1:74" ht="20.100000000000001" customHeight="1" x14ac:dyDescent="0.4">
      <c r="A89" s="117"/>
      <c r="B89" s="123"/>
      <c r="C89" s="123"/>
      <c r="D89" s="123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26">
        <v>46051</v>
      </c>
      <c r="T89" s="13" t="s">
        <v>147</v>
      </c>
      <c r="AE89" s="115"/>
      <c r="AF89" s="115"/>
      <c r="AG89" s="115"/>
      <c r="AH89" s="115"/>
      <c r="AI89" s="127"/>
      <c r="AJ89" s="29"/>
      <c r="AT89" s="25"/>
      <c r="AU89" s="13"/>
      <c r="AZ89" s="116"/>
      <c r="BA89" s="123"/>
      <c r="BB89" s="123"/>
      <c r="BC89" s="123"/>
      <c r="BH89" s="115"/>
      <c r="BI89" s="115"/>
      <c r="BJ89" s="115"/>
      <c r="BK89" s="115"/>
      <c r="BL89" s="115"/>
      <c r="BM89" s="115"/>
      <c r="BN89" s="115"/>
      <c r="BO89" s="115"/>
      <c r="BP89" s="115"/>
      <c r="BQ89" s="115"/>
      <c r="BR89" s="25"/>
      <c r="BS89" s="13"/>
      <c r="BV89" s="114"/>
    </row>
    <row r="90" spans="1:74" ht="20.100000000000001" customHeight="1" x14ac:dyDescent="0.4">
      <c r="A90" s="117"/>
      <c r="B90" s="123"/>
      <c r="C90" s="123"/>
      <c r="D90" s="123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26">
        <v>46051</v>
      </c>
      <c r="T90" s="13" t="s">
        <v>148</v>
      </c>
      <c r="AE90" s="115"/>
      <c r="AF90" s="115"/>
      <c r="AG90" s="115"/>
      <c r="AH90" s="115"/>
      <c r="AI90" s="127"/>
      <c r="AJ90" s="29"/>
      <c r="AT90" s="25"/>
      <c r="AU90" s="13"/>
      <c r="AZ90" s="116"/>
      <c r="BA90" s="123"/>
      <c r="BB90" s="123"/>
      <c r="BC90" s="123"/>
      <c r="BH90" s="115"/>
      <c r="BI90" s="115"/>
      <c r="BJ90" s="115"/>
      <c r="BK90" s="115"/>
      <c r="BL90" s="115"/>
      <c r="BM90" s="115"/>
      <c r="BN90" s="115"/>
      <c r="BO90" s="115"/>
      <c r="BP90" s="115"/>
      <c r="BQ90" s="115"/>
      <c r="BR90" s="25"/>
      <c r="BS90" s="13"/>
      <c r="BV90" s="114"/>
    </row>
    <row r="91" spans="1:74" ht="20.100000000000001" customHeight="1" x14ac:dyDescent="0.4">
      <c r="A91" s="117"/>
      <c r="B91" s="123"/>
      <c r="C91" s="123"/>
      <c r="D91" s="123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26">
        <v>46051</v>
      </c>
      <c r="T91" s="13" t="s">
        <v>148</v>
      </c>
      <c r="AE91" s="115"/>
      <c r="AF91" s="115"/>
      <c r="AG91" s="115"/>
      <c r="AH91" s="115"/>
      <c r="AI91" s="127"/>
      <c r="AJ91" s="29"/>
      <c r="AT91" s="25"/>
      <c r="AU91" s="13"/>
      <c r="AZ91" s="116"/>
      <c r="BA91" s="123"/>
      <c r="BB91" s="123"/>
      <c r="BC91" s="123"/>
      <c r="BH91" s="115"/>
      <c r="BI91" s="115"/>
      <c r="BJ91" s="115"/>
      <c r="BK91" s="115"/>
      <c r="BL91" s="115"/>
      <c r="BM91" s="115"/>
      <c r="BN91" s="115"/>
      <c r="BO91" s="115"/>
      <c r="BP91" s="115"/>
      <c r="BQ91" s="115"/>
      <c r="BR91" s="25"/>
      <c r="BS91" s="13"/>
      <c r="BV91" s="114"/>
    </row>
    <row r="92" spans="1:74" ht="20.100000000000001" customHeight="1" x14ac:dyDescent="0.4">
      <c r="A92" s="117"/>
      <c r="B92" s="123"/>
      <c r="C92" s="123"/>
      <c r="D92" s="123"/>
      <c r="S92" s="26">
        <v>46051</v>
      </c>
      <c r="T92" s="13" t="s">
        <v>148</v>
      </c>
      <c r="AE92" s="115"/>
      <c r="AF92" s="115"/>
      <c r="AG92" s="115"/>
      <c r="AH92" s="115"/>
      <c r="AI92" s="29"/>
      <c r="AJ92" s="29"/>
      <c r="AT92" s="25"/>
      <c r="AU92" s="13"/>
      <c r="AZ92" s="116"/>
      <c r="BA92" s="123"/>
      <c r="BB92" s="123"/>
      <c r="BC92" s="123"/>
      <c r="BH92" s="115"/>
      <c r="BI92" s="115"/>
      <c r="BJ92" s="115"/>
      <c r="BK92" s="115"/>
      <c r="BL92" s="115"/>
      <c r="BM92" s="115"/>
      <c r="BN92" s="115"/>
      <c r="BO92" s="115"/>
      <c r="BP92" s="115"/>
      <c r="BQ92" s="115"/>
      <c r="BR92" s="25"/>
      <c r="BS92" s="13"/>
      <c r="BV92" s="114"/>
    </row>
    <row r="93" spans="1:74" ht="20.100000000000001" customHeight="1" x14ac:dyDescent="0.4">
      <c r="A93" s="117"/>
      <c r="B93" s="123"/>
      <c r="C93" s="123"/>
      <c r="D93" s="123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26">
        <v>46051</v>
      </c>
      <c r="T93" s="13" t="s">
        <v>147</v>
      </c>
      <c r="AE93" s="115"/>
      <c r="AF93" s="115"/>
      <c r="AG93" s="115"/>
      <c r="AH93" s="115"/>
      <c r="AI93" s="29"/>
      <c r="AJ93" s="29"/>
      <c r="AT93" s="25"/>
      <c r="AU93" s="13"/>
      <c r="AZ93" s="116"/>
      <c r="BA93" s="123"/>
      <c r="BB93" s="123"/>
      <c r="BC93" s="123"/>
      <c r="BH93" s="115"/>
      <c r="BI93" s="115"/>
      <c r="BJ93" s="115"/>
      <c r="BK93" s="115"/>
      <c r="BL93" s="115"/>
      <c r="BM93" s="115"/>
      <c r="BN93" s="115"/>
      <c r="BO93" s="115"/>
      <c r="BP93" s="115"/>
      <c r="BQ93" s="115"/>
      <c r="BR93" s="25"/>
      <c r="BS93" s="13"/>
      <c r="BV93" s="114"/>
    </row>
    <row r="94" spans="1:74" ht="20.100000000000001" customHeight="1" x14ac:dyDescent="0.4">
      <c r="A94" s="117"/>
      <c r="B94" s="139"/>
      <c r="C94" s="123"/>
      <c r="D94" s="123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26">
        <v>46051</v>
      </c>
      <c r="T94" s="13" t="s">
        <v>147</v>
      </c>
      <c r="AE94" s="115"/>
      <c r="AF94" s="115"/>
      <c r="AG94" s="115"/>
      <c r="AH94" s="115"/>
      <c r="AI94" s="29"/>
      <c r="AJ94" s="29"/>
      <c r="AT94" s="25"/>
      <c r="AU94" s="13"/>
      <c r="AZ94" s="116"/>
      <c r="BA94" s="123"/>
      <c r="BB94" s="123"/>
      <c r="BC94" s="123"/>
      <c r="BH94" s="115"/>
      <c r="BI94" s="115"/>
      <c r="BJ94" s="115"/>
      <c r="BK94" s="115"/>
      <c r="BL94" s="115"/>
      <c r="BM94" s="115"/>
      <c r="BN94" s="115"/>
      <c r="BO94" s="115"/>
      <c r="BP94" s="115"/>
      <c r="BQ94" s="115"/>
      <c r="BR94" s="25"/>
      <c r="BS94" s="13"/>
      <c r="BV94" s="114"/>
    </row>
    <row r="95" spans="1:74" ht="20.100000000000001" customHeight="1" x14ac:dyDescent="0.4">
      <c r="A95" s="117"/>
      <c r="B95" s="139"/>
      <c r="C95" s="123"/>
      <c r="D95" s="123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26">
        <v>46051</v>
      </c>
      <c r="T95" s="13" t="s">
        <v>146</v>
      </c>
      <c r="AE95" s="115"/>
      <c r="AF95" s="115"/>
      <c r="AG95" s="115"/>
      <c r="AH95" s="115"/>
      <c r="AI95" s="29"/>
      <c r="AJ95" s="29"/>
      <c r="AT95" s="25"/>
      <c r="AU95" s="13"/>
      <c r="AZ95" s="116"/>
      <c r="BA95" s="123"/>
      <c r="BB95" s="123"/>
      <c r="BC95" s="123"/>
      <c r="BH95" s="115"/>
      <c r="BI95" s="115"/>
      <c r="BJ95" s="115"/>
      <c r="BK95" s="115"/>
      <c r="BL95" s="115"/>
      <c r="BM95" s="115"/>
      <c r="BN95" s="115"/>
      <c r="BO95" s="115"/>
      <c r="BP95" s="115"/>
      <c r="BQ95" s="115"/>
      <c r="BR95" s="25"/>
      <c r="BS95" s="13"/>
      <c r="BV95" s="114"/>
    </row>
    <row r="96" spans="1:74" ht="20.100000000000001" customHeight="1" x14ac:dyDescent="0.4">
      <c r="A96" s="117"/>
      <c r="B96" s="139"/>
      <c r="C96" s="123"/>
      <c r="D96" s="123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26">
        <v>46051</v>
      </c>
      <c r="T96" s="13" t="s">
        <v>146</v>
      </c>
      <c r="AE96" s="115"/>
      <c r="AF96" s="115"/>
      <c r="AG96" s="115"/>
      <c r="AH96" s="115"/>
      <c r="AI96" s="29"/>
      <c r="AJ96" s="29"/>
      <c r="AT96" s="25"/>
      <c r="AU96" s="13"/>
      <c r="AZ96" s="116"/>
      <c r="BA96" s="123"/>
      <c r="BB96" s="123"/>
      <c r="BC96" s="123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25"/>
      <c r="BS96" s="13"/>
      <c r="BV96" s="114"/>
    </row>
    <row r="97" spans="1:74" ht="20.100000000000001" customHeight="1" x14ac:dyDescent="0.4">
      <c r="A97" s="117"/>
      <c r="B97" s="123"/>
      <c r="C97" s="123"/>
      <c r="D97" s="123"/>
      <c r="S97" s="26">
        <v>46051</v>
      </c>
      <c r="T97" s="13" t="s">
        <v>147</v>
      </c>
      <c r="AE97" s="115"/>
      <c r="AF97" s="115"/>
      <c r="AG97" s="115"/>
      <c r="AH97" s="115"/>
      <c r="AI97" s="127"/>
      <c r="AJ97" s="29"/>
      <c r="AT97" s="25"/>
      <c r="AU97" s="13"/>
      <c r="AZ97" s="116"/>
      <c r="BA97" s="123"/>
      <c r="BB97" s="123"/>
      <c r="BC97" s="123"/>
      <c r="BH97" s="115"/>
      <c r="BI97" s="115"/>
      <c r="BJ97" s="115"/>
      <c r="BK97" s="115"/>
      <c r="BL97" s="115"/>
      <c r="BM97" s="115"/>
      <c r="BN97" s="115"/>
      <c r="BO97" s="115"/>
      <c r="BP97" s="115"/>
      <c r="BQ97" s="115"/>
      <c r="BR97" s="25"/>
      <c r="BS97" s="13"/>
      <c r="BV97" s="114"/>
    </row>
    <row r="98" spans="1:74" ht="20.100000000000001" customHeight="1" x14ac:dyDescent="0.4">
      <c r="A98" s="117"/>
      <c r="B98" s="123"/>
      <c r="C98" s="123"/>
      <c r="D98" s="123"/>
      <c r="R98" s="115" t="s">
        <v>195</v>
      </c>
      <c r="S98" s="17">
        <f>SUBTOTAL(3,S86:S97)</f>
        <v>12</v>
      </c>
      <c r="T98" s="13">
        <f>SUBTOTAL(3,T86:T97)</f>
        <v>12</v>
      </c>
      <c r="AE98" s="115"/>
      <c r="AF98" s="115"/>
      <c r="AG98" s="115"/>
      <c r="AH98" s="115"/>
      <c r="AI98" s="127"/>
      <c r="AJ98" s="29"/>
      <c r="AT98" s="25"/>
      <c r="AU98" s="13"/>
      <c r="AZ98" s="116"/>
      <c r="BA98" s="123"/>
      <c r="BB98" s="123"/>
      <c r="BC98" s="123"/>
      <c r="BH98" s="115"/>
      <c r="BI98" s="115"/>
      <c r="BJ98" s="115"/>
      <c r="BK98" s="115"/>
      <c r="BL98" s="115"/>
      <c r="BM98" s="115"/>
      <c r="BN98" s="115"/>
      <c r="BO98" s="115"/>
      <c r="BP98" s="115"/>
      <c r="BQ98" s="115"/>
      <c r="BR98" s="25"/>
      <c r="BS98" s="13"/>
      <c r="BV98" s="114"/>
    </row>
    <row r="99" spans="1:74" ht="20.100000000000001" customHeight="1" x14ac:dyDescent="0.4">
      <c r="A99" s="117"/>
      <c r="B99" s="123"/>
      <c r="C99" s="123"/>
      <c r="D99" s="123"/>
      <c r="P99" s="115"/>
      <c r="Q99" s="115"/>
      <c r="R99" s="115"/>
      <c r="S99" s="26">
        <v>46053</v>
      </c>
      <c r="T99" s="13" t="s">
        <v>147</v>
      </c>
      <c r="AE99" s="115"/>
      <c r="AF99" s="115"/>
      <c r="AG99" s="115"/>
      <c r="AH99" s="115"/>
      <c r="AI99" s="127"/>
      <c r="AJ99" s="29"/>
      <c r="AT99" s="25"/>
      <c r="AU99" s="13"/>
      <c r="AZ99" s="116"/>
      <c r="BA99" s="123"/>
      <c r="BB99" s="123"/>
      <c r="BC99" s="123"/>
      <c r="BH99" s="115"/>
      <c r="BI99" s="115"/>
      <c r="BJ99" s="115"/>
      <c r="BK99" s="115"/>
      <c r="BL99" s="115"/>
      <c r="BM99" s="115"/>
      <c r="BN99" s="115"/>
      <c r="BO99" s="115"/>
      <c r="BP99" s="115"/>
      <c r="BQ99" s="115"/>
      <c r="BR99" s="25"/>
      <c r="BS99" s="13"/>
      <c r="BV99" s="114"/>
    </row>
    <row r="100" spans="1:74" ht="20.100000000000001" customHeight="1" x14ac:dyDescent="0.4">
      <c r="A100" s="117"/>
      <c r="B100" s="123"/>
      <c r="C100" s="123"/>
      <c r="D100" s="123"/>
      <c r="P100" s="115"/>
      <c r="Q100" s="115"/>
      <c r="R100" s="115" t="s">
        <v>304</v>
      </c>
      <c r="S100" s="17">
        <f>SUBTOTAL(3,S99:S99)</f>
        <v>1</v>
      </c>
      <c r="T100" s="13">
        <f>SUBTOTAL(3,T99:T99)</f>
        <v>1</v>
      </c>
      <c r="AE100" s="115"/>
      <c r="AF100" s="115"/>
      <c r="AG100" s="115"/>
      <c r="AH100" s="115"/>
      <c r="AI100" s="127"/>
      <c r="AJ100" s="29"/>
      <c r="AT100" s="25"/>
      <c r="AU100" s="13"/>
      <c r="AZ100" s="116"/>
      <c r="BA100" s="123"/>
      <c r="BB100" s="123"/>
      <c r="BC100" s="123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25"/>
      <c r="BS100" s="13"/>
      <c r="BV100" s="114"/>
    </row>
    <row r="101" spans="1:74" ht="20.100000000000001" customHeight="1" x14ac:dyDescent="0.4">
      <c r="A101" s="117"/>
      <c r="B101" s="123"/>
      <c r="C101" s="123"/>
      <c r="D101" s="123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26">
        <v>46069</v>
      </c>
      <c r="T101" s="13" t="s">
        <v>142</v>
      </c>
      <c r="AE101" s="115"/>
      <c r="AF101" s="115"/>
      <c r="AG101" s="115"/>
      <c r="AH101" s="115"/>
      <c r="AI101" s="127"/>
      <c r="AJ101" s="29"/>
      <c r="AT101" s="25"/>
      <c r="AU101" s="13"/>
      <c r="AZ101" s="116"/>
      <c r="BA101" s="123"/>
      <c r="BB101" s="123"/>
      <c r="BC101" s="123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25"/>
      <c r="BS101" s="13"/>
      <c r="BV101" s="114"/>
    </row>
    <row r="102" spans="1:74" ht="20.100000000000001" customHeight="1" x14ac:dyDescent="0.4">
      <c r="A102" s="117"/>
      <c r="B102" s="123"/>
      <c r="C102" s="123"/>
      <c r="D102" s="123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 t="s">
        <v>305</v>
      </c>
      <c r="S102" s="20">
        <f>SUBTOTAL(3,S101:S101)</f>
        <v>1</v>
      </c>
      <c r="T102" s="13">
        <f>SUBTOTAL(3,T101:T101)</f>
        <v>1</v>
      </c>
      <c r="AE102" s="115"/>
      <c r="AF102" s="115"/>
      <c r="AG102" s="115"/>
      <c r="AH102" s="115"/>
      <c r="AI102" s="127"/>
      <c r="AJ102" s="29"/>
      <c r="AT102" s="25"/>
      <c r="AU102" s="13"/>
      <c r="AZ102" s="116"/>
      <c r="BA102" s="123"/>
      <c r="BB102" s="123"/>
      <c r="BC102" s="123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25"/>
      <c r="BS102" s="13"/>
      <c r="BV102" s="114"/>
    </row>
    <row r="103" spans="1:74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 t="s">
        <v>145</v>
      </c>
      <c r="S103" s="20">
        <f>SUBTOTAL(3,S2:S101)</f>
        <v>85</v>
      </c>
      <c r="T103" s="13">
        <f>SUBTOTAL(3,T2:T101)</f>
        <v>85</v>
      </c>
      <c r="AE103" s="115"/>
      <c r="AF103" s="115"/>
      <c r="AG103" s="115"/>
      <c r="AH103" s="115"/>
      <c r="AI103" s="127"/>
      <c r="AJ103" s="29"/>
      <c r="AT103" s="25"/>
      <c r="AU103" s="13"/>
      <c r="AZ103" s="116"/>
      <c r="BA103" s="123"/>
      <c r="BB103" s="123"/>
      <c r="BC103" s="123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25"/>
      <c r="BS103" s="13"/>
      <c r="BV103" s="114"/>
    </row>
    <row r="104" spans="1:74" ht="20.100000000000001" customHeight="1" x14ac:dyDescent="0.4">
      <c r="A104" s="117"/>
      <c r="B104" s="123"/>
      <c r="C104" s="123"/>
      <c r="D104" s="123"/>
      <c r="S104" s="25"/>
      <c r="T104" s="15"/>
      <c r="AE104" s="115"/>
      <c r="AF104" s="115"/>
      <c r="AG104" s="115"/>
      <c r="AH104" s="115"/>
      <c r="AI104" s="29"/>
      <c r="AJ104" s="29"/>
      <c r="AT104" s="25"/>
      <c r="AU104" s="13"/>
      <c r="AZ104" s="116"/>
      <c r="BA104" s="123"/>
      <c r="BB104" s="123"/>
      <c r="BC104" s="123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25"/>
      <c r="BS104" s="13"/>
      <c r="BV104" s="114"/>
    </row>
    <row r="105" spans="1:74" ht="20.100000000000001" customHeight="1" x14ac:dyDescent="0.4">
      <c r="A105" s="117"/>
      <c r="B105" s="123"/>
      <c r="C105" s="123"/>
      <c r="D105" s="123"/>
      <c r="S105" s="25"/>
      <c r="T105" s="15"/>
      <c r="AD105" s="115"/>
      <c r="AE105" s="115"/>
      <c r="AF105" s="115"/>
      <c r="AG105" s="115"/>
      <c r="AH105" s="115"/>
      <c r="AI105" s="127"/>
      <c r="AJ105" s="29"/>
      <c r="AT105" s="25"/>
      <c r="AU105" s="13"/>
      <c r="AZ105" s="116"/>
      <c r="BA105" s="123"/>
      <c r="BB105" s="123"/>
      <c r="BC105" s="123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25"/>
      <c r="BS105" s="13"/>
      <c r="BV105" s="114"/>
    </row>
    <row r="106" spans="1:74" ht="20.100000000000001" customHeight="1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25"/>
      <c r="T106" s="15"/>
      <c r="AD106" s="115"/>
      <c r="AE106" s="115"/>
      <c r="AF106" s="115"/>
      <c r="AG106" s="115"/>
      <c r="AH106" s="115"/>
      <c r="AI106" s="127"/>
      <c r="AJ106" s="29"/>
      <c r="AT106" s="25"/>
      <c r="AU106" s="13"/>
      <c r="AZ106" s="116"/>
      <c r="BA106" s="123"/>
      <c r="BB106" s="123"/>
      <c r="BC106" s="123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25"/>
      <c r="BS106" s="13"/>
      <c r="BV106" s="114"/>
    </row>
    <row r="107" spans="1:74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25"/>
      <c r="T107" s="15"/>
      <c r="AD107" s="115"/>
      <c r="AE107" s="115"/>
      <c r="AF107" s="115"/>
      <c r="AG107" s="115"/>
      <c r="AH107" s="115"/>
      <c r="AI107" s="127"/>
      <c r="AJ107" s="29"/>
      <c r="AT107" s="25"/>
      <c r="AU107" s="13"/>
      <c r="AZ107" s="116"/>
      <c r="BA107" s="123"/>
      <c r="BB107" s="123"/>
      <c r="BC107" s="123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25"/>
      <c r="BS107" s="13"/>
      <c r="BV107" s="114"/>
    </row>
    <row r="108" spans="1:74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3"/>
      <c r="T108" s="15"/>
      <c r="AD108" s="115"/>
      <c r="AE108" s="115"/>
      <c r="AF108" s="115"/>
      <c r="AG108" s="115"/>
      <c r="AH108" s="115"/>
      <c r="AI108" s="127"/>
      <c r="AJ108" s="29"/>
      <c r="AT108" s="25"/>
      <c r="AU108" s="13"/>
      <c r="AZ108" s="116"/>
      <c r="BA108" s="123"/>
      <c r="BB108" s="123"/>
      <c r="BC108" s="123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25"/>
      <c r="BS108" s="13"/>
      <c r="BV108" s="114"/>
    </row>
    <row r="109" spans="1:74" ht="20.100000000000001" customHeight="1" x14ac:dyDescent="0.4">
      <c r="A109" s="117"/>
      <c r="B109" s="123"/>
      <c r="C109" s="123"/>
      <c r="D109" s="123"/>
      <c r="S109" s="25"/>
      <c r="T109" s="15"/>
      <c r="AD109" s="115"/>
      <c r="AE109" s="115"/>
      <c r="AF109" s="115"/>
      <c r="AG109" s="115"/>
      <c r="AH109" s="115"/>
      <c r="AI109" s="29"/>
      <c r="AJ109" s="29"/>
      <c r="AT109" s="25"/>
      <c r="AU109" s="13"/>
      <c r="AZ109" s="116"/>
      <c r="BA109" s="123"/>
      <c r="BB109" s="123"/>
      <c r="BC109" s="123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25"/>
      <c r="BS109" s="13"/>
      <c r="BV109" s="114"/>
    </row>
    <row r="110" spans="1:74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25"/>
      <c r="T110" s="15"/>
      <c r="AD110" s="115"/>
      <c r="AE110" s="115"/>
      <c r="AF110" s="115"/>
      <c r="AG110" s="115"/>
      <c r="AH110" s="115"/>
      <c r="AI110" s="29"/>
      <c r="AJ110" s="29"/>
      <c r="AT110" s="25"/>
      <c r="AU110" s="13"/>
      <c r="AZ110" s="116"/>
      <c r="BA110" s="123"/>
      <c r="BB110" s="123"/>
      <c r="BC110" s="123"/>
      <c r="BH110" s="115"/>
      <c r="BI110" s="115"/>
      <c r="BJ110" s="115"/>
      <c r="BK110" s="115"/>
      <c r="BL110" s="115"/>
      <c r="BM110" s="115"/>
      <c r="BN110" s="115"/>
      <c r="BO110" s="115"/>
      <c r="BP110" s="115"/>
      <c r="BQ110" s="115"/>
      <c r="BR110" s="25"/>
      <c r="BS110" s="13"/>
      <c r="BV110" s="114"/>
    </row>
    <row r="111" spans="1:74" ht="20.100000000000001" customHeight="1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25"/>
      <c r="T111" s="15"/>
      <c r="AD111" s="115"/>
      <c r="AE111" s="115"/>
      <c r="AF111" s="115"/>
      <c r="AG111" s="115"/>
      <c r="AH111" s="115"/>
      <c r="AI111" s="29"/>
      <c r="AJ111" s="29"/>
      <c r="AT111" s="25"/>
      <c r="AU111" s="13"/>
      <c r="AZ111" s="116"/>
      <c r="BA111" s="123"/>
      <c r="BB111" s="123"/>
      <c r="BC111" s="123"/>
      <c r="BH111" s="115"/>
      <c r="BI111" s="115"/>
      <c r="BJ111" s="115"/>
      <c r="BK111" s="115"/>
      <c r="BL111" s="115"/>
      <c r="BM111" s="115"/>
      <c r="BN111" s="115"/>
      <c r="BO111" s="115"/>
      <c r="BP111" s="115"/>
      <c r="BQ111" s="115"/>
      <c r="BR111" s="25"/>
      <c r="BS111" s="13"/>
      <c r="BV111" s="114"/>
    </row>
    <row r="112" spans="1:74" ht="20.100000000000001" customHeight="1" x14ac:dyDescent="0.4">
      <c r="A112" s="117"/>
      <c r="B112" s="123"/>
      <c r="C112" s="123"/>
      <c r="D112" s="123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25"/>
      <c r="T112" s="15"/>
      <c r="AD112" s="115"/>
      <c r="AE112" s="115"/>
      <c r="AF112" s="115"/>
      <c r="AG112" s="115"/>
      <c r="AH112" s="115"/>
      <c r="AI112" s="29"/>
      <c r="AJ112" s="29"/>
      <c r="AT112" s="25"/>
      <c r="AU112" s="13"/>
      <c r="AZ112" s="116"/>
      <c r="BA112" s="123"/>
      <c r="BB112" s="123"/>
      <c r="BC112" s="123"/>
      <c r="BH112" s="115"/>
      <c r="BI112" s="115"/>
      <c r="BJ112" s="115"/>
      <c r="BK112" s="115"/>
      <c r="BL112" s="115"/>
      <c r="BM112" s="115"/>
      <c r="BN112" s="115"/>
      <c r="BO112" s="115"/>
      <c r="BP112" s="115"/>
      <c r="BQ112" s="115"/>
      <c r="BR112" s="25"/>
      <c r="BS112" s="13"/>
      <c r="BV112" s="114"/>
    </row>
    <row r="113" spans="1:74" ht="20.100000000000001" customHeight="1" x14ac:dyDescent="0.4">
      <c r="A113" s="117"/>
      <c r="B113" s="123"/>
      <c r="C113" s="123"/>
      <c r="D113" s="123"/>
      <c r="S113" s="25"/>
      <c r="T113" s="15"/>
      <c r="AD113" s="115"/>
      <c r="AE113" s="115"/>
      <c r="AF113" s="115"/>
      <c r="AG113" s="115"/>
      <c r="AH113" s="115"/>
      <c r="AI113" s="127"/>
      <c r="AJ113" s="29"/>
      <c r="AT113" s="25"/>
      <c r="AU113" s="13"/>
      <c r="AZ113" s="116"/>
      <c r="BA113" s="123"/>
      <c r="BB113" s="123"/>
      <c r="BC113" s="123"/>
      <c r="BH113" s="115"/>
      <c r="BI113" s="115"/>
      <c r="BJ113" s="115"/>
      <c r="BK113" s="115"/>
      <c r="BL113" s="115"/>
      <c r="BM113" s="115"/>
      <c r="BN113" s="115"/>
      <c r="BO113" s="115"/>
      <c r="BP113" s="115"/>
      <c r="BQ113" s="115"/>
      <c r="BR113" s="25"/>
      <c r="BS113" s="13"/>
      <c r="BV113" s="114"/>
    </row>
    <row r="114" spans="1:74" ht="20.100000000000001" customHeight="1" x14ac:dyDescent="0.4">
      <c r="A114" s="117"/>
      <c r="B114" s="123"/>
      <c r="C114" s="123"/>
      <c r="D114" s="123"/>
      <c r="S114" s="25"/>
      <c r="T114" s="15"/>
      <c r="AC114" s="115"/>
      <c r="AD114" s="115"/>
      <c r="AE114" s="115"/>
      <c r="AF114" s="115"/>
      <c r="AG114" s="115"/>
      <c r="AH114" s="115"/>
      <c r="AI114" s="127"/>
      <c r="AJ114" s="29"/>
      <c r="AT114" s="25"/>
      <c r="AU114" s="13"/>
      <c r="AZ114" s="116"/>
      <c r="BA114" s="123"/>
      <c r="BB114" s="123"/>
      <c r="BC114" s="123"/>
      <c r="BH114" s="115"/>
      <c r="BI114" s="115"/>
      <c r="BJ114" s="115"/>
      <c r="BK114" s="115"/>
      <c r="BL114" s="115"/>
      <c r="BM114" s="115"/>
      <c r="BN114" s="115"/>
      <c r="BO114" s="115"/>
      <c r="BP114" s="115"/>
      <c r="BQ114" s="115"/>
      <c r="BR114" s="25"/>
      <c r="BS114" s="13"/>
      <c r="BV114" s="114"/>
    </row>
    <row r="115" spans="1:74" ht="20.100000000000001" customHeight="1" x14ac:dyDescent="0.4">
      <c r="A115" s="117"/>
      <c r="B115" s="123"/>
      <c r="C115" s="123"/>
      <c r="D115" s="123"/>
      <c r="L115" s="115"/>
      <c r="M115" s="115"/>
      <c r="N115" s="115"/>
      <c r="O115" s="115"/>
      <c r="P115" s="115"/>
      <c r="Q115" s="115"/>
      <c r="R115" s="115"/>
      <c r="S115" s="25"/>
      <c r="T115" s="15"/>
      <c r="AC115" s="115"/>
      <c r="AD115" s="115"/>
      <c r="AE115" s="115"/>
      <c r="AF115" s="115"/>
      <c r="AG115" s="115"/>
      <c r="AH115" s="115"/>
      <c r="AI115" s="127"/>
      <c r="AJ115" s="29"/>
      <c r="AT115" s="25"/>
      <c r="AU115" s="13"/>
      <c r="AZ115" s="116"/>
      <c r="BA115" s="123"/>
      <c r="BB115" s="123"/>
      <c r="BC115" s="123"/>
      <c r="BH115" s="115"/>
      <c r="BI115" s="115"/>
      <c r="BJ115" s="115"/>
      <c r="BK115" s="115"/>
      <c r="BL115" s="115"/>
      <c r="BM115" s="115"/>
      <c r="BN115" s="115"/>
      <c r="BO115" s="115"/>
      <c r="BP115" s="115"/>
      <c r="BQ115" s="115"/>
      <c r="BR115" s="25"/>
      <c r="BS115" s="13"/>
      <c r="BV115" s="114"/>
    </row>
    <row r="116" spans="1:74" ht="20.100000000000001" customHeight="1" x14ac:dyDescent="0.4">
      <c r="A116" s="117"/>
      <c r="B116" s="123"/>
      <c r="C116" s="123"/>
      <c r="D116" s="123"/>
      <c r="S116" s="25"/>
      <c r="T116" s="15"/>
      <c r="AC116" s="115"/>
      <c r="AD116" s="115"/>
      <c r="AE116" s="115"/>
      <c r="AF116" s="115"/>
      <c r="AG116" s="115"/>
      <c r="AH116" s="115"/>
      <c r="AI116" s="29"/>
      <c r="AJ116" s="29"/>
      <c r="AT116" s="25"/>
      <c r="AU116" s="13"/>
      <c r="AZ116" s="116"/>
      <c r="BA116" s="123"/>
      <c r="BB116" s="123"/>
      <c r="BC116" s="123"/>
      <c r="BH116" s="115"/>
      <c r="BI116" s="115"/>
      <c r="BJ116" s="115"/>
      <c r="BK116" s="115"/>
      <c r="BL116" s="115"/>
      <c r="BM116" s="115"/>
      <c r="BN116" s="115"/>
      <c r="BO116" s="115"/>
      <c r="BP116" s="115"/>
      <c r="BQ116" s="115"/>
      <c r="BR116" s="25"/>
      <c r="BS116" s="13"/>
      <c r="BV116" s="114"/>
    </row>
    <row r="117" spans="1:74" ht="20.100000000000001" customHeight="1" x14ac:dyDescent="0.4">
      <c r="A117" s="117"/>
      <c r="B117" s="123"/>
      <c r="C117" s="123"/>
      <c r="D117" s="123"/>
      <c r="S117" s="25"/>
      <c r="T117" s="15"/>
      <c r="AC117" s="115"/>
      <c r="AD117" s="115"/>
      <c r="AE117" s="115"/>
      <c r="AF117" s="115"/>
      <c r="AG117" s="115"/>
      <c r="AH117" s="115"/>
      <c r="AI117" s="127"/>
      <c r="AJ117" s="29"/>
      <c r="AT117" s="25"/>
      <c r="AU117" s="13"/>
      <c r="AZ117" s="116"/>
      <c r="BA117" s="123"/>
      <c r="BB117" s="123"/>
      <c r="BC117" s="123"/>
      <c r="BH117" s="115"/>
      <c r="BI117" s="115"/>
      <c r="BJ117" s="115"/>
      <c r="BK117" s="115"/>
      <c r="BL117" s="115"/>
      <c r="BM117" s="115"/>
      <c r="BN117" s="115"/>
      <c r="BO117" s="115"/>
      <c r="BP117" s="115"/>
      <c r="BQ117" s="115"/>
      <c r="BR117" s="25"/>
      <c r="BS117" s="13"/>
      <c r="BV117" s="114"/>
    </row>
    <row r="118" spans="1:74" ht="20.100000000000001" customHeight="1" x14ac:dyDescent="0.4">
      <c r="A118" s="117"/>
      <c r="B118" s="123"/>
      <c r="C118" s="123"/>
      <c r="D118" s="123"/>
      <c r="K118" s="115"/>
      <c r="L118" s="115"/>
      <c r="M118" s="115"/>
      <c r="N118" s="115"/>
      <c r="O118" s="115"/>
      <c r="P118" s="115"/>
      <c r="Q118" s="115"/>
      <c r="R118" s="115"/>
      <c r="S118" s="25"/>
      <c r="T118" s="15"/>
      <c r="AC118" s="115"/>
      <c r="AD118" s="115"/>
      <c r="AE118" s="115"/>
      <c r="AF118" s="115"/>
      <c r="AG118" s="115"/>
      <c r="AH118" s="115"/>
      <c r="AI118" s="127"/>
      <c r="AJ118" s="29"/>
      <c r="AT118" s="25"/>
      <c r="AU118" s="13"/>
      <c r="AZ118" s="116"/>
      <c r="BA118" s="123"/>
      <c r="BB118" s="123"/>
      <c r="BC118" s="123"/>
      <c r="BH118" s="115"/>
      <c r="BI118" s="115"/>
      <c r="BJ118" s="115"/>
      <c r="BK118" s="115"/>
      <c r="BL118" s="115"/>
      <c r="BM118" s="115"/>
      <c r="BN118" s="115"/>
      <c r="BO118" s="115"/>
      <c r="BP118" s="115"/>
      <c r="BQ118" s="115"/>
      <c r="BR118" s="25"/>
      <c r="BS118" s="13"/>
      <c r="BV118" s="114"/>
    </row>
    <row r="119" spans="1:74" ht="20.100000000000001" customHeight="1" x14ac:dyDescent="0.4">
      <c r="A119" s="117"/>
      <c r="B119" s="123"/>
      <c r="C119" s="123"/>
      <c r="D119" s="123"/>
      <c r="S119" s="25"/>
      <c r="T119" s="15"/>
      <c r="AC119" s="115"/>
      <c r="AD119" s="115"/>
      <c r="AE119" s="115"/>
      <c r="AF119" s="115"/>
      <c r="AG119" s="115"/>
      <c r="AH119" s="115"/>
      <c r="AI119" s="127"/>
      <c r="AJ119" s="29"/>
      <c r="AT119" s="25"/>
      <c r="AU119" s="13"/>
      <c r="AZ119" s="116"/>
      <c r="BA119" s="123"/>
      <c r="BB119" s="123"/>
      <c r="BC119" s="123"/>
      <c r="BH119" s="115"/>
      <c r="BI119" s="115"/>
      <c r="BJ119" s="115"/>
      <c r="BK119" s="115"/>
      <c r="BL119" s="115"/>
      <c r="BM119" s="115"/>
      <c r="BN119" s="115"/>
      <c r="BO119" s="115"/>
      <c r="BP119" s="115"/>
      <c r="BQ119" s="115"/>
      <c r="BR119" s="25"/>
      <c r="BS119" s="13"/>
      <c r="BV119" s="114"/>
    </row>
    <row r="120" spans="1:74" ht="20.100000000000001" customHeight="1" x14ac:dyDescent="0.4">
      <c r="A120" s="117"/>
      <c r="B120" s="123"/>
      <c r="C120" s="123"/>
      <c r="D120" s="123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25"/>
      <c r="T120" s="15"/>
      <c r="AC120" s="115"/>
      <c r="AD120" s="115"/>
      <c r="AE120" s="115"/>
      <c r="AF120" s="115"/>
      <c r="AG120" s="115"/>
      <c r="AH120" s="115"/>
      <c r="AI120" s="127"/>
      <c r="AJ120" s="29"/>
      <c r="AT120" s="25"/>
      <c r="AU120" s="13"/>
      <c r="AZ120" s="116"/>
      <c r="BA120" s="123"/>
      <c r="BB120" s="123"/>
      <c r="BC120" s="123"/>
      <c r="BH120" s="115"/>
      <c r="BI120" s="115"/>
      <c r="BJ120" s="115"/>
      <c r="BK120" s="115"/>
      <c r="BL120" s="115"/>
      <c r="BM120" s="115"/>
      <c r="BN120" s="115"/>
      <c r="BO120" s="115"/>
      <c r="BP120" s="115"/>
      <c r="BQ120" s="115"/>
      <c r="BR120" s="25"/>
      <c r="BS120" s="13"/>
      <c r="BV120" s="114"/>
    </row>
    <row r="121" spans="1:74" ht="20.100000000000001" customHeight="1" x14ac:dyDescent="0.4">
      <c r="A121" s="117"/>
      <c r="B121" s="123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25"/>
      <c r="T121" s="15"/>
      <c r="AC121" s="115"/>
      <c r="AD121" s="115"/>
      <c r="AE121" s="115"/>
      <c r="AF121" s="115"/>
      <c r="AG121" s="115"/>
      <c r="AH121" s="115"/>
      <c r="AI121" s="127"/>
      <c r="AJ121" s="29"/>
      <c r="AT121" s="25"/>
      <c r="AU121" s="13"/>
      <c r="AZ121" s="116"/>
      <c r="BA121" s="123"/>
      <c r="BB121" s="123"/>
      <c r="BC121" s="123"/>
      <c r="BH121" s="115"/>
      <c r="BI121" s="115"/>
      <c r="BJ121" s="115"/>
      <c r="BK121" s="115"/>
      <c r="BL121" s="115"/>
      <c r="BM121" s="115"/>
      <c r="BN121" s="115"/>
      <c r="BO121" s="115"/>
      <c r="BP121" s="115"/>
      <c r="BQ121" s="115"/>
      <c r="BR121" s="25"/>
      <c r="BS121" s="13"/>
      <c r="BV121" s="114"/>
    </row>
    <row r="122" spans="1:74" ht="20.100000000000001" customHeight="1" x14ac:dyDescent="0.4">
      <c r="A122" s="117"/>
      <c r="B122" s="123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25"/>
      <c r="T122" s="15"/>
      <c r="AC122" s="115"/>
      <c r="AD122" s="115"/>
      <c r="AE122" s="115"/>
      <c r="AF122" s="115"/>
      <c r="AG122" s="115"/>
      <c r="AH122" s="115"/>
      <c r="AI122" s="127"/>
      <c r="AJ122" s="29"/>
      <c r="AT122" s="25"/>
      <c r="AU122" s="13"/>
      <c r="AZ122" s="116"/>
      <c r="BA122" s="123"/>
      <c r="BB122" s="123"/>
      <c r="BC122" s="123"/>
      <c r="BH122" s="115"/>
      <c r="BI122" s="115"/>
      <c r="BJ122" s="115"/>
      <c r="BK122" s="115"/>
      <c r="BL122" s="115"/>
      <c r="BM122" s="115"/>
      <c r="BN122" s="115"/>
      <c r="BO122" s="115"/>
      <c r="BP122" s="115"/>
      <c r="BQ122" s="115"/>
      <c r="BR122" s="25"/>
      <c r="BS122" s="13"/>
      <c r="BV122" s="114"/>
    </row>
    <row r="123" spans="1:74" ht="20.100000000000001" customHeight="1" x14ac:dyDescent="0.4">
      <c r="A123" s="117"/>
      <c r="B123" s="123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25"/>
      <c r="T123" s="15"/>
      <c r="AC123" s="115"/>
      <c r="AD123" s="115"/>
      <c r="AE123" s="115"/>
      <c r="AF123" s="115"/>
      <c r="AG123" s="115"/>
      <c r="AH123" s="115"/>
      <c r="AI123" s="127"/>
      <c r="AJ123" s="29"/>
      <c r="AT123" s="25"/>
      <c r="AU123" s="13"/>
      <c r="AZ123" s="116"/>
      <c r="BA123" s="123"/>
      <c r="BB123" s="123"/>
      <c r="BC123" s="123"/>
      <c r="BH123" s="115"/>
      <c r="BI123" s="115"/>
      <c r="BJ123" s="115"/>
      <c r="BK123" s="115"/>
      <c r="BL123" s="115"/>
      <c r="BM123" s="115"/>
      <c r="BN123" s="115"/>
      <c r="BO123" s="115"/>
      <c r="BP123" s="115"/>
      <c r="BQ123" s="115"/>
      <c r="BR123" s="25"/>
      <c r="BS123" s="13"/>
      <c r="BV123" s="114"/>
    </row>
    <row r="124" spans="1:74" ht="20.100000000000001" customHeight="1" x14ac:dyDescent="0.4">
      <c r="A124" s="117"/>
      <c r="B124" s="123"/>
      <c r="C124" s="123"/>
      <c r="D124" s="123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25"/>
      <c r="T124" s="15"/>
      <c r="AC124" s="115"/>
      <c r="AD124" s="115"/>
      <c r="AE124" s="115"/>
      <c r="AF124" s="115"/>
      <c r="AG124" s="115"/>
      <c r="AH124" s="115"/>
      <c r="AI124" s="127"/>
      <c r="AJ124" s="29"/>
      <c r="AT124" s="25"/>
      <c r="AU124" s="13"/>
      <c r="AZ124" s="116"/>
      <c r="BA124" s="123"/>
      <c r="BB124" s="123"/>
      <c r="BC124" s="123"/>
      <c r="BH124" s="115"/>
      <c r="BI124" s="115"/>
      <c r="BJ124" s="115"/>
      <c r="BK124" s="115"/>
      <c r="BL124" s="115"/>
      <c r="BM124" s="115"/>
      <c r="BN124" s="115"/>
      <c r="BO124" s="115"/>
      <c r="BP124" s="115"/>
      <c r="BQ124" s="115"/>
      <c r="BR124" s="25"/>
      <c r="BS124" s="13"/>
      <c r="BV124" s="114"/>
    </row>
    <row r="125" spans="1:74" ht="20.100000000000001" customHeight="1" x14ac:dyDescent="0.4">
      <c r="A125" s="117"/>
      <c r="B125" s="123"/>
      <c r="C125" s="123"/>
      <c r="D125" s="123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25"/>
      <c r="T125" s="13"/>
      <c r="AC125" s="115"/>
      <c r="AD125" s="115"/>
      <c r="AE125" s="115"/>
      <c r="AF125" s="115"/>
      <c r="AG125" s="115"/>
      <c r="AH125" s="115"/>
      <c r="AI125" s="127"/>
      <c r="AJ125" s="29"/>
      <c r="AT125" s="25"/>
      <c r="AU125" s="13"/>
      <c r="AZ125" s="116"/>
      <c r="BA125" s="123"/>
      <c r="BB125" s="123"/>
      <c r="BC125" s="123"/>
      <c r="BH125" s="115"/>
      <c r="BI125" s="115"/>
      <c r="BJ125" s="115"/>
      <c r="BK125" s="115"/>
      <c r="BL125" s="115"/>
      <c r="BM125" s="115"/>
      <c r="BN125" s="115"/>
      <c r="BO125" s="115"/>
      <c r="BP125" s="115"/>
      <c r="BQ125" s="115"/>
      <c r="BR125" s="25"/>
      <c r="BS125" s="13"/>
      <c r="BV125" s="114"/>
    </row>
    <row r="126" spans="1:74" ht="20.100000000000001" customHeight="1" x14ac:dyDescent="0.4">
      <c r="A126" s="117"/>
      <c r="B126" s="123"/>
      <c r="C126" s="123"/>
      <c r="D126" s="123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25"/>
      <c r="T126" s="13"/>
      <c r="AC126" s="115"/>
      <c r="AD126" s="115"/>
      <c r="AE126" s="115"/>
      <c r="AF126" s="115"/>
      <c r="AG126" s="115"/>
      <c r="AH126" s="115"/>
      <c r="AI126" s="127"/>
      <c r="AJ126" s="29"/>
      <c r="AT126" s="25"/>
      <c r="AU126" s="13"/>
      <c r="AZ126" s="116"/>
      <c r="BA126" s="123"/>
      <c r="BB126" s="123"/>
      <c r="BC126" s="123"/>
      <c r="BH126" s="115"/>
      <c r="BI126" s="115"/>
      <c r="BJ126" s="115"/>
      <c r="BK126" s="115"/>
      <c r="BL126" s="115"/>
      <c r="BM126" s="115"/>
      <c r="BN126" s="115"/>
      <c r="BO126" s="115"/>
      <c r="BP126" s="115"/>
      <c r="BQ126" s="115"/>
      <c r="BR126" s="25"/>
      <c r="BS126" s="13"/>
      <c r="BV126" s="114"/>
    </row>
    <row r="127" spans="1:74" ht="20.100000000000001" customHeight="1" x14ac:dyDescent="0.4">
      <c r="A127" s="117"/>
      <c r="B127" s="123"/>
      <c r="C127" s="123"/>
      <c r="D127" s="123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25"/>
      <c r="T127" s="13"/>
      <c r="AC127" s="115"/>
      <c r="AD127" s="115"/>
      <c r="AE127" s="115"/>
      <c r="AF127" s="115"/>
      <c r="AG127" s="115"/>
      <c r="AH127" s="115"/>
      <c r="AI127" s="127"/>
      <c r="AJ127" s="29"/>
      <c r="AT127" s="25"/>
      <c r="AU127" s="13"/>
      <c r="AZ127" s="116"/>
      <c r="BA127" s="123"/>
      <c r="BB127" s="123"/>
      <c r="BC127" s="123"/>
      <c r="BH127" s="115"/>
      <c r="BI127" s="115"/>
      <c r="BJ127" s="115"/>
      <c r="BK127" s="115"/>
      <c r="BL127" s="115"/>
      <c r="BM127" s="115"/>
      <c r="BN127" s="115"/>
      <c r="BO127" s="115"/>
      <c r="BP127" s="115"/>
      <c r="BQ127" s="115"/>
      <c r="BR127" s="25"/>
      <c r="BS127" s="13"/>
      <c r="BV127" s="114"/>
    </row>
    <row r="128" spans="1:74" ht="20.100000000000001" customHeight="1" x14ac:dyDescent="0.4">
      <c r="A128" s="117"/>
      <c r="B128" s="123"/>
      <c r="C128" s="123"/>
      <c r="D128" s="123"/>
      <c r="S128" s="25"/>
      <c r="T128" s="13"/>
      <c r="AC128" s="115"/>
      <c r="AD128" s="115"/>
      <c r="AE128" s="115"/>
      <c r="AF128" s="115"/>
      <c r="AG128" s="115"/>
      <c r="AH128" s="115"/>
      <c r="AI128" s="127"/>
      <c r="AJ128" s="29"/>
      <c r="AT128" s="25"/>
      <c r="AU128" s="13"/>
      <c r="AZ128" s="116"/>
      <c r="BA128" s="123"/>
      <c r="BB128" s="123"/>
      <c r="BC128" s="123"/>
      <c r="BH128" s="115"/>
      <c r="BI128" s="115"/>
      <c r="BJ128" s="115"/>
      <c r="BK128" s="115"/>
      <c r="BL128" s="115"/>
      <c r="BM128" s="115"/>
      <c r="BN128" s="115"/>
      <c r="BO128" s="115"/>
      <c r="BP128" s="115"/>
      <c r="BQ128" s="115"/>
      <c r="BR128" s="25"/>
      <c r="BS128" s="13"/>
      <c r="BV128" s="114"/>
    </row>
    <row r="129" spans="1:74" ht="20.100000000000001" customHeight="1" x14ac:dyDescent="0.4">
      <c r="A129" s="117"/>
      <c r="B129" s="123"/>
      <c r="C129" s="123"/>
      <c r="D129" s="123"/>
      <c r="S129" s="25"/>
      <c r="T129" s="13"/>
      <c r="AC129" s="115"/>
      <c r="AD129" s="115"/>
      <c r="AE129" s="115"/>
      <c r="AF129" s="115"/>
      <c r="AG129" s="115"/>
      <c r="AH129" s="115"/>
      <c r="AI129" s="29"/>
      <c r="AJ129" s="29"/>
      <c r="AT129" s="25"/>
      <c r="AU129" s="13"/>
      <c r="AZ129" s="116"/>
      <c r="BA129" s="123"/>
      <c r="BB129" s="123"/>
      <c r="BC129" s="123"/>
      <c r="BH129" s="115"/>
      <c r="BI129" s="115"/>
      <c r="BJ129" s="115"/>
      <c r="BK129" s="115"/>
      <c r="BL129" s="115"/>
      <c r="BM129" s="115"/>
      <c r="BN129" s="115"/>
      <c r="BO129" s="115"/>
      <c r="BP129" s="115"/>
      <c r="BQ129" s="115"/>
      <c r="BR129" s="25"/>
      <c r="BS129" s="13"/>
      <c r="BV129" s="114"/>
    </row>
    <row r="130" spans="1:74" ht="20.100000000000001" customHeight="1" x14ac:dyDescent="0.4">
      <c r="A130" s="117"/>
      <c r="B130" s="123"/>
      <c r="C130" s="123"/>
      <c r="D130" s="123"/>
      <c r="J130" s="115"/>
      <c r="K130" s="115"/>
      <c r="L130" s="115"/>
      <c r="M130" s="115"/>
      <c r="N130" s="115"/>
      <c r="O130" s="115"/>
      <c r="P130" s="115"/>
      <c r="Q130" s="115"/>
      <c r="R130" s="115"/>
      <c r="S130" s="25"/>
      <c r="T130" s="13"/>
      <c r="AC130" s="115"/>
      <c r="AD130" s="115"/>
      <c r="AE130" s="115"/>
      <c r="AF130" s="115"/>
      <c r="AG130" s="115"/>
      <c r="AH130" s="115"/>
      <c r="AI130" s="29"/>
      <c r="AJ130" s="29"/>
      <c r="AT130" s="25"/>
      <c r="AU130" s="13"/>
      <c r="AZ130" s="116"/>
      <c r="BA130" s="123"/>
      <c r="BB130" s="123"/>
      <c r="BC130" s="123"/>
      <c r="BH130" s="115"/>
      <c r="BI130" s="115"/>
      <c r="BJ130" s="115"/>
      <c r="BK130" s="115"/>
      <c r="BL130" s="115"/>
      <c r="BM130" s="115"/>
      <c r="BN130" s="115"/>
      <c r="BO130" s="115"/>
      <c r="BP130" s="115"/>
      <c r="BQ130" s="115"/>
      <c r="BR130" s="25"/>
      <c r="BS130" s="13"/>
      <c r="BV130" s="114"/>
    </row>
    <row r="131" spans="1:74" ht="20.100000000000001" customHeight="1" x14ac:dyDescent="0.4">
      <c r="A131" s="117"/>
      <c r="B131" s="123"/>
      <c r="C131" s="123"/>
      <c r="D131" s="123"/>
      <c r="S131" s="25"/>
      <c r="T131" s="13"/>
      <c r="AC131" s="115"/>
      <c r="AD131" s="115"/>
      <c r="AE131" s="115"/>
      <c r="AF131" s="115"/>
      <c r="AG131" s="115"/>
      <c r="AH131" s="115"/>
      <c r="AI131" s="127"/>
      <c r="AJ131" s="29"/>
      <c r="AT131" s="25"/>
      <c r="AU131" s="13"/>
      <c r="AZ131" s="116"/>
      <c r="BA131" s="123"/>
      <c r="BB131" s="123"/>
      <c r="BC131" s="123"/>
      <c r="BH131" s="115"/>
      <c r="BI131" s="115"/>
      <c r="BJ131" s="115"/>
      <c r="BK131" s="115"/>
      <c r="BL131" s="115"/>
      <c r="BM131" s="115"/>
      <c r="BN131" s="115"/>
      <c r="BO131" s="115"/>
      <c r="BP131" s="115"/>
      <c r="BQ131" s="115"/>
      <c r="BR131" s="25"/>
      <c r="BS131" s="13"/>
      <c r="BV131" s="114"/>
    </row>
    <row r="132" spans="1:74" ht="20.100000000000001" customHeight="1" x14ac:dyDescent="0.4">
      <c r="A132" s="117"/>
      <c r="B132" s="123"/>
      <c r="C132" s="123"/>
      <c r="D132" s="123"/>
      <c r="P132" s="115"/>
      <c r="Q132" s="115"/>
      <c r="R132" s="115"/>
      <c r="S132" s="25"/>
      <c r="T132" s="13"/>
      <c r="AC132" s="115"/>
      <c r="AD132" s="115"/>
      <c r="AE132" s="115"/>
      <c r="AF132" s="115"/>
      <c r="AG132" s="115"/>
      <c r="AH132" s="115"/>
      <c r="AI132" s="127"/>
      <c r="AJ132" s="29"/>
      <c r="AT132" s="25"/>
      <c r="AU132" s="13"/>
      <c r="AZ132" s="116"/>
      <c r="BA132" s="123"/>
      <c r="BB132" s="123"/>
      <c r="BC132" s="123"/>
      <c r="BH132" s="115"/>
      <c r="BI132" s="115"/>
      <c r="BJ132" s="115"/>
      <c r="BK132" s="115"/>
      <c r="BL132" s="115"/>
      <c r="BM132" s="115"/>
      <c r="BN132" s="115"/>
      <c r="BO132" s="115"/>
      <c r="BP132" s="115"/>
      <c r="BQ132" s="115"/>
      <c r="BR132" s="25"/>
      <c r="BS132" s="13"/>
      <c r="BV132" s="114"/>
    </row>
    <row r="133" spans="1:74" ht="20.100000000000001" customHeight="1" x14ac:dyDescent="0.4">
      <c r="A133" s="117"/>
      <c r="B133" s="123"/>
      <c r="C133" s="123"/>
      <c r="D133" s="123"/>
      <c r="S133" s="25"/>
      <c r="T133" s="13"/>
      <c r="AC133" s="115"/>
      <c r="AD133" s="115"/>
      <c r="AE133" s="115"/>
      <c r="AF133" s="115"/>
      <c r="AG133" s="115"/>
      <c r="AH133" s="115"/>
      <c r="AI133" s="29"/>
      <c r="AJ133" s="29"/>
      <c r="AT133" s="25"/>
      <c r="AU133" s="13"/>
      <c r="AZ133" s="116"/>
      <c r="BA133" s="123"/>
      <c r="BB133" s="123"/>
      <c r="BC133" s="123"/>
      <c r="BH133" s="115"/>
      <c r="BI133" s="115"/>
      <c r="BJ133" s="115"/>
      <c r="BK133" s="115"/>
      <c r="BL133" s="115"/>
      <c r="BM133" s="115"/>
      <c r="BN133" s="115"/>
      <c r="BO133" s="115"/>
      <c r="BP133" s="115"/>
      <c r="BQ133" s="115"/>
      <c r="BR133" s="25"/>
      <c r="BS133" s="13"/>
      <c r="BV133" s="114"/>
    </row>
    <row r="134" spans="1:74" ht="20.100000000000001" customHeight="1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25"/>
      <c r="T134" s="13"/>
      <c r="AC134" s="115"/>
      <c r="AD134" s="115"/>
      <c r="AE134" s="115"/>
      <c r="AF134" s="115"/>
      <c r="AG134" s="115"/>
      <c r="AH134" s="115"/>
      <c r="AI134" s="29"/>
      <c r="AJ134" s="29"/>
      <c r="AT134" s="25"/>
      <c r="AU134" s="13"/>
      <c r="AZ134" s="116"/>
      <c r="BA134" s="123"/>
      <c r="BB134" s="123"/>
      <c r="BC134" s="123"/>
      <c r="BH134" s="115"/>
      <c r="BI134" s="115"/>
      <c r="BJ134" s="115"/>
      <c r="BK134" s="115"/>
      <c r="BL134" s="115"/>
      <c r="BM134" s="115"/>
      <c r="BN134" s="115"/>
      <c r="BO134" s="115"/>
      <c r="BP134" s="115"/>
      <c r="BQ134" s="115"/>
      <c r="BR134" s="25"/>
      <c r="BS134" s="13"/>
      <c r="BV134" s="114"/>
    </row>
    <row r="135" spans="1:74" ht="20.100000000000001" customHeight="1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25"/>
      <c r="T135" s="13"/>
      <c r="AC135" s="115"/>
      <c r="AD135" s="115"/>
      <c r="AE135" s="115"/>
      <c r="AF135" s="115"/>
      <c r="AG135" s="115"/>
      <c r="AH135" s="115"/>
      <c r="AI135" s="29"/>
      <c r="AJ135" s="29"/>
      <c r="AT135" s="25"/>
      <c r="AU135" s="13"/>
      <c r="AZ135" s="116"/>
      <c r="BA135" s="123"/>
      <c r="BB135" s="123"/>
      <c r="BC135" s="123"/>
      <c r="BH135" s="115"/>
      <c r="BI135" s="115"/>
      <c r="BJ135" s="115"/>
      <c r="BK135" s="115"/>
      <c r="BL135" s="115"/>
      <c r="BM135" s="115"/>
      <c r="BN135" s="115"/>
      <c r="BO135" s="115"/>
      <c r="BP135" s="115"/>
      <c r="BQ135" s="115"/>
      <c r="BR135" s="25"/>
      <c r="BS135" s="13"/>
      <c r="BV135" s="114"/>
    </row>
    <row r="136" spans="1:74" ht="20.100000000000001" customHeight="1" x14ac:dyDescent="0.4">
      <c r="A136" s="117"/>
      <c r="B136" s="123"/>
      <c r="C136" s="123"/>
      <c r="D136" s="123"/>
      <c r="S136" s="25"/>
      <c r="T136" s="13"/>
      <c r="AC136" s="115"/>
      <c r="AD136" s="115"/>
      <c r="AE136" s="115"/>
      <c r="AF136" s="115"/>
      <c r="AG136" s="115"/>
      <c r="AH136" s="115"/>
      <c r="AI136" s="127"/>
      <c r="AJ136" s="29"/>
      <c r="AT136" s="25"/>
      <c r="AU136" s="13"/>
      <c r="AZ136" s="116"/>
      <c r="BA136" s="123"/>
      <c r="BB136" s="123"/>
      <c r="BC136" s="123"/>
      <c r="BH136" s="115"/>
      <c r="BI136" s="115"/>
      <c r="BJ136" s="115"/>
      <c r="BK136" s="115"/>
      <c r="BL136" s="115"/>
      <c r="BM136" s="115"/>
      <c r="BN136" s="115"/>
      <c r="BO136" s="115"/>
      <c r="BP136" s="115"/>
      <c r="BQ136" s="115"/>
      <c r="BR136" s="25"/>
      <c r="BS136" s="13"/>
      <c r="BV136" s="114"/>
    </row>
    <row r="137" spans="1:74" ht="20.100000000000001" customHeight="1" x14ac:dyDescent="0.4">
      <c r="A137" s="117"/>
      <c r="B137" s="123"/>
      <c r="C137" s="123"/>
      <c r="D137" s="123"/>
      <c r="O137" s="115"/>
      <c r="P137" s="115"/>
      <c r="Q137" s="115"/>
      <c r="R137" s="115"/>
      <c r="S137" s="25"/>
      <c r="T137" s="13"/>
      <c r="AC137" s="115"/>
      <c r="AD137" s="115"/>
      <c r="AE137" s="115"/>
      <c r="AF137" s="115"/>
      <c r="AG137" s="115"/>
      <c r="AH137" s="115"/>
      <c r="AI137" s="127"/>
      <c r="AJ137" s="29"/>
      <c r="AT137" s="25"/>
      <c r="AU137" s="13"/>
      <c r="AZ137" s="116"/>
      <c r="BA137" s="123"/>
      <c r="BB137" s="123"/>
      <c r="BC137" s="123"/>
      <c r="BH137" s="115"/>
      <c r="BI137" s="115"/>
      <c r="BJ137" s="115"/>
      <c r="BK137" s="115"/>
      <c r="BL137" s="115"/>
      <c r="BM137" s="115"/>
      <c r="BN137" s="115"/>
      <c r="BO137" s="115"/>
      <c r="BP137" s="115"/>
      <c r="BQ137" s="115"/>
      <c r="BR137" s="25"/>
      <c r="BS137" s="13"/>
      <c r="BV137" s="114"/>
    </row>
    <row r="138" spans="1:74" ht="20.100000000000001" customHeight="1" x14ac:dyDescent="0.4">
      <c r="A138" s="117"/>
      <c r="B138" s="123"/>
      <c r="C138" s="123"/>
      <c r="D138" s="123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25"/>
      <c r="T138" s="13"/>
      <c r="AC138" s="115"/>
      <c r="AD138" s="115"/>
      <c r="AE138" s="115"/>
      <c r="AF138" s="115"/>
      <c r="AG138" s="115"/>
      <c r="AH138" s="115"/>
      <c r="AI138" s="127"/>
      <c r="AJ138" s="29"/>
      <c r="AT138" s="25"/>
      <c r="AU138" s="13"/>
      <c r="AZ138" s="116"/>
      <c r="BA138" s="123"/>
      <c r="BB138" s="123"/>
      <c r="BC138" s="123"/>
      <c r="BH138" s="115"/>
      <c r="BI138" s="115"/>
      <c r="BJ138" s="115"/>
      <c r="BK138" s="115"/>
      <c r="BL138" s="115"/>
      <c r="BM138" s="115"/>
      <c r="BN138" s="115"/>
      <c r="BO138" s="115"/>
      <c r="BP138" s="115"/>
      <c r="BQ138" s="115"/>
      <c r="BR138" s="25"/>
      <c r="BS138" s="13"/>
      <c r="BV138" s="114"/>
    </row>
    <row r="139" spans="1:74" ht="20.100000000000001" customHeight="1" x14ac:dyDescent="0.4">
      <c r="A139" s="117"/>
      <c r="B139" s="123"/>
      <c r="C139" s="123"/>
      <c r="D139" s="123"/>
      <c r="S139" s="25"/>
      <c r="T139" s="13"/>
      <c r="AC139" s="115"/>
      <c r="AD139" s="115"/>
      <c r="AE139" s="115"/>
      <c r="AF139" s="115"/>
      <c r="AG139" s="115"/>
      <c r="AH139" s="115"/>
      <c r="AI139" s="127"/>
      <c r="AJ139" s="29"/>
      <c r="AT139" s="25"/>
      <c r="AU139" s="13"/>
      <c r="AZ139" s="116"/>
      <c r="BA139" s="123"/>
      <c r="BB139" s="123"/>
      <c r="BC139" s="123"/>
      <c r="BH139" s="115"/>
      <c r="BI139" s="115"/>
      <c r="BJ139" s="115"/>
      <c r="BK139" s="115"/>
      <c r="BL139" s="115"/>
      <c r="BM139" s="115"/>
      <c r="BN139" s="115"/>
      <c r="BO139" s="115"/>
      <c r="BP139" s="115"/>
      <c r="BQ139" s="115"/>
      <c r="BR139" s="25"/>
      <c r="BS139" s="13"/>
      <c r="BV139" s="114"/>
    </row>
    <row r="140" spans="1:74" ht="20.100000000000001" customHeight="1" x14ac:dyDescent="0.4">
      <c r="A140" s="117"/>
      <c r="B140" s="123"/>
      <c r="C140" s="123"/>
      <c r="D140" s="123"/>
      <c r="K140" s="115"/>
      <c r="L140" s="115"/>
      <c r="M140" s="115"/>
      <c r="N140" s="115"/>
      <c r="O140" s="115"/>
      <c r="P140" s="115"/>
      <c r="Q140" s="115"/>
      <c r="R140" s="115"/>
      <c r="S140" s="25"/>
      <c r="T140" s="13"/>
      <c r="AC140" s="115"/>
      <c r="AD140" s="115"/>
      <c r="AE140" s="115"/>
      <c r="AF140" s="115"/>
      <c r="AG140" s="115"/>
      <c r="AH140" s="115"/>
      <c r="AI140" s="127"/>
      <c r="AJ140" s="29"/>
      <c r="AT140" s="25"/>
      <c r="AU140" s="13"/>
      <c r="AZ140" s="116"/>
      <c r="BA140" s="123"/>
      <c r="BB140" s="123"/>
      <c r="BC140" s="123"/>
      <c r="BH140" s="115"/>
      <c r="BI140" s="115"/>
      <c r="BJ140" s="115"/>
      <c r="BK140" s="115"/>
      <c r="BL140" s="115"/>
      <c r="BM140" s="115"/>
      <c r="BN140" s="115"/>
      <c r="BO140" s="115"/>
      <c r="BP140" s="115"/>
      <c r="BQ140" s="115"/>
      <c r="BR140" s="25"/>
      <c r="BS140" s="13"/>
      <c r="BV140" s="114"/>
    </row>
    <row r="141" spans="1:74" ht="20.100000000000001" customHeight="1" x14ac:dyDescent="0.4">
      <c r="A141" s="117"/>
      <c r="B141" s="123"/>
      <c r="C141" s="123"/>
      <c r="D141" s="123"/>
      <c r="K141" s="115"/>
      <c r="L141" s="115"/>
      <c r="M141" s="115"/>
      <c r="N141" s="115"/>
      <c r="O141" s="115"/>
      <c r="P141" s="115"/>
      <c r="Q141" s="115"/>
      <c r="R141" s="115"/>
      <c r="S141" s="25"/>
      <c r="T141" s="13"/>
      <c r="AC141" s="115"/>
      <c r="AD141" s="115"/>
      <c r="AE141" s="115"/>
      <c r="AF141" s="115"/>
      <c r="AG141" s="115"/>
      <c r="AH141" s="115"/>
      <c r="AI141" s="127"/>
      <c r="AJ141" s="29"/>
      <c r="AT141" s="25"/>
      <c r="AU141" s="13"/>
      <c r="AZ141" s="116"/>
      <c r="BA141" s="123"/>
      <c r="BB141" s="123"/>
      <c r="BC141" s="123"/>
      <c r="BH141" s="115"/>
      <c r="BI141" s="115"/>
      <c r="BJ141" s="115"/>
      <c r="BK141" s="115"/>
      <c r="BL141" s="115"/>
      <c r="BM141" s="115"/>
      <c r="BN141" s="115"/>
      <c r="BO141" s="115"/>
      <c r="BP141" s="115"/>
      <c r="BQ141" s="115"/>
      <c r="BR141" s="25"/>
      <c r="BS141" s="13"/>
      <c r="BV141" s="114"/>
    </row>
    <row r="142" spans="1:74" ht="20.100000000000001" customHeight="1" x14ac:dyDescent="0.4">
      <c r="A142" s="117"/>
      <c r="B142" s="123"/>
      <c r="C142" s="123"/>
      <c r="D142" s="123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26"/>
      <c r="T142" s="13"/>
      <c r="AC142" s="115"/>
      <c r="AD142" s="115"/>
      <c r="AE142" s="115"/>
      <c r="AF142" s="115"/>
      <c r="AG142" s="115"/>
      <c r="AH142" s="115"/>
      <c r="AI142" s="127"/>
      <c r="AJ142" s="29"/>
      <c r="AT142" s="25"/>
      <c r="AU142" s="13"/>
      <c r="AZ142" s="116"/>
      <c r="BA142" s="123"/>
      <c r="BB142" s="123"/>
      <c r="BC142" s="123"/>
      <c r="BH142" s="115"/>
      <c r="BI142" s="115"/>
      <c r="BJ142" s="115"/>
      <c r="BK142" s="115"/>
      <c r="BL142" s="115"/>
      <c r="BM142" s="115"/>
      <c r="BN142" s="115"/>
      <c r="BO142" s="115"/>
      <c r="BP142" s="115"/>
      <c r="BQ142" s="115"/>
      <c r="BR142" s="25"/>
      <c r="BS142" s="13"/>
      <c r="BV142" s="114"/>
    </row>
    <row r="143" spans="1:74" ht="20.100000000000001" customHeight="1" x14ac:dyDescent="0.4">
      <c r="A143" s="117"/>
      <c r="B143" s="123"/>
      <c r="C143" s="123"/>
      <c r="D143" s="123"/>
      <c r="S143" s="26"/>
      <c r="T143" s="13"/>
      <c r="AC143" s="115"/>
      <c r="AD143" s="115"/>
      <c r="AE143" s="115"/>
      <c r="AF143" s="115"/>
      <c r="AG143" s="115"/>
      <c r="AH143" s="115"/>
      <c r="AI143" s="29"/>
      <c r="AJ143" s="29"/>
      <c r="AT143" s="25"/>
      <c r="AU143" s="13"/>
      <c r="AZ143" s="116"/>
      <c r="BA143" s="123"/>
      <c r="BB143" s="123"/>
      <c r="BC143" s="123"/>
      <c r="BH143" s="115"/>
      <c r="BI143" s="115"/>
      <c r="BJ143" s="115"/>
      <c r="BK143" s="115"/>
      <c r="BL143" s="115"/>
      <c r="BM143" s="115"/>
      <c r="BN143" s="115"/>
      <c r="BO143" s="115"/>
      <c r="BP143" s="115"/>
      <c r="BQ143" s="115"/>
      <c r="BR143" s="25"/>
      <c r="BS143" s="13"/>
      <c r="BV143" s="114"/>
    </row>
    <row r="144" spans="1:74" ht="20.100000000000001" customHeight="1" x14ac:dyDescent="0.4">
      <c r="A144" s="117"/>
      <c r="B144" s="123"/>
      <c r="C144" s="123"/>
      <c r="D144" s="123"/>
      <c r="Q144" s="115"/>
      <c r="R144" s="115"/>
      <c r="S144" s="17"/>
      <c r="T144" s="13"/>
      <c r="AC144" s="115"/>
      <c r="AD144" s="115"/>
      <c r="AE144" s="115"/>
      <c r="AF144" s="115"/>
      <c r="AG144" s="115"/>
      <c r="AH144" s="115"/>
      <c r="AI144" s="29"/>
      <c r="AJ144" s="29"/>
      <c r="AT144" s="25"/>
      <c r="AU144" s="13"/>
      <c r="AZ144" s="116"/>
      <c r="BA144" s="123"/>
      <c r="BB144" s="123"/>
      <c r="BC144" s="123"/>
      <c r="BH144" s="115"/>
      <c r="BI144" s="115"/>
      <c r="BJ144" s="115"/>
      <c r="BK144" s="115"/>
      <c r="BL144" s="115"/>
      <c r="BM144" s="115"/>
      <c r="BN144" s="115"/>
      <c r="BO144" s="115"/>
      <c r="BP144" s="115"/>
      <c r="BQ144" s="115"/>
      <c r="BR144" s="25"/>
      <c r="BS144" s="13"/>
      <c r="BV144" s="114"/>
    </row>
    <row r="145" spans="1:74" ht="20.100000000000001" customHeight="1" x14ac:dyDescent="0.4">
      <c r="A145" s="117"/>
      <c r="B145" s="123"/>
      <c r="C145" s="123"/>
      <c r="D145" s="123"/>
      <c r="P145" s="115"/>
      <c r="Q145" s="115"/>
      <c r="R145" s="115"/>
      <c r="S145" s="26"/>
      <c r="T145" s="13"/>
      <c r="AC145" s="115"/>
      <c r="AD145" s="115"/>
      <c r="AE145" s="115"/>
      <c r="AF145" s="115"/>
      <c r="AG145" s="115"/>
      <c r="AH145" s="115"/>
      <c r="AI145" s="29"/>
      <c r="AJ145" s="29"/>
      <c r="AT145" s="25"/>
      <c r="AU145" s="13"/>
      <c r="AZ145" s="116"/>
      <c r="BA145" s="123"/>
      <c r="BB145" s="123"/>
      <c r="BC145" s="123"/>
      <c r="BH145" s="115"/>
      <c r="BI145" s="115"/>
      <c r="BJ145" s="115"/>
      <c r="BK145" s="115"/>
      <c r="BL145" s="115"/>
      <c r="BM145" s="115"/>
      <c r="BN145" s="115"/>
      <c r="BO145" s="115"/>
      <c r="BP145" s="115"/>
      <c r="BQ145" s="115"/>
      <c r="BR145" s="25"/>
      <c r="BS145" s="13"/>
      <c r="BV145" s="114"/>
    </row>
    <row r="146" spans="1:74" ht="20.100000000000001" customHeight="1" x14ac:dyDescent="0.4">
      <c r="A146" s="117"/>
      <c r="B146" s="123"/>
      <c r="C146" s="123"/>
      <c r="D146" s="123"/>
      <c r="L146" s="115"/>
      <c r="M146" s="115"/>
      <c r="N146" s="115"/>
      <c r="O146" s="115"/>
      <c r="P146" s="115"/>
      <c r="Q146" s="115"/>
      <c r="R146" s="115"/>
      <c r="S146" s="26"/>
      <c r="T146" s="13"/>
      <c r="AC146" s="115"/>
      <c r="AD146" s="115"/>
      <c r="AE146" s="115"/>
      <c r="AF146" s="115"/>
      <c r="AG146" s="115"/>
      <c r="AH146" s="115"/>
      <c r="AI146" s="29"/>
      <c r="AJ146" s="29"/>
      <c r="AT146" s="25"/>
      <c r="AU146" s="13"/>
      <c r="AZ146" s="116"/>
      <c r="BA146" s="123"/>
      <c r="BB146" s="123"/>
      <c r="BC146" s="123"/>
      <c r="BH146" s="115"/>
      <c r="BI146" s="115"/>
      <c r="BJ146" s="115"/>
      <c r="BK146" s="115"/>
      <c r="BL146" s="115"/>
      <c r="BM146" s="115"/>
      <c r="BN146" s="115"/>
      <c r="BO146" s="115"/>
      <c r="BP146" s="115"/>
      <c r="BQ146" s="115"/>
      <c r="BR146" s="25"/>
      <c r="BS146" s="13"/>
      <c r="BV146" s="114"/>
    </row>
    <row r="147" spans="1:74" ht="20.100000000000001" customHeight="1" x14ac:dyDescent="0.4">
      <c r="A147" s="117"/>
      <c r="B147" s="123"/>
      <c r="C147" s="123"/>
      <c r="D147" s="123"/>
      <c r="S147" s="26"/>
      <c r="T147" s="13"/>
      <c r="AB147" s="115"/>
      <c r="AC147" s="115"/>
      <c r="AD147" s="115"/>
      <c r="AE147" s="115"/>
      <c r="AF147" s="115"/>
      <c r="AG147" s="115"/>
      <c r="AH147" s="115"/>
      <c r="AI147" s="127"/>
      <c r="AJ147" s="29"/>
      <c r="AT147" s="25"/>
      <c r="AU147" s="13"/>
      <c r="AZ147" s="116"/>
      <c r="BA147" s="123"/>
      <c r="BB147" s="123"/>
      <c r="BC147" s="123"/>
      <c r="BH147" s="115"/>
      <c r="BI147" s="115"/>
      <c r="BJ147" s="115"/>
      <c r="BK147" s="115"/>
      <c r="BL147" s="115"/>
      <c r="BM147" s="115"/>
      <c r="BN147" s="115"/>
      <c r="BO147" s="115"/>
      <c r="BP147" s="115"/>
      <c r="BQ147" s="115"/>
      <c r="BR147" s="25"/>
      <c r="BS147" s="13"/>
      <c r="BV147" s="114"/>
    </row>
    <row r="148" spans="1:74" ht="20.100000000000001" customHeight="1" x14ac:dyDescent="0.4">
      <c r="A148" s="117"/>
      <c r="B148" s="123"/>
      <c r="C148" s="123"/>
      <c r="D148" s="123"/>
      <c r="P148" s="115"/>
      <c r="Q148" s="115"/>
      <c r="R148" s="115"/>
      <c r="S148" s="26"/>
      <c r="T148" s="13"/>
      <c r="AB148" s="115"/>
      <c r="AC148" s="115"/>
      <c r="AD148" s="115"/>
      <c r="AE148" s="115"/>
      <c r="AF148" s="115"/>
      <c r="AG148" s="115"/>
      <c r="AH148" s="115"/>
      <c r="AI148" s="127"/>
      <c r="AJ148" s="29"/>
      <c r="AT148" s="25"/>
      <c r="AU148" s="13"/>
      <c r="AZ148" s="116"/>
      <c r="BA148" s="123"/>
      <c r="BB148" s="123"/>
      <c r="BC148" s="123"/>
      <c r="BH148" s="115"/>
      <c r="BI148" s="115"/>
      <c r="BJ148" s="115"/>
      <c r="BK148" s="115"/>
      <c r="BL148" s="115"/>
      <c r="BM148" s="115"/>
      <c r="BN148" s="115"/>
      <c r="BO148" s="115"/>
      <c r="BP148" s="115"/>
      <c r="BQ148" s="115"/>
      <c r="BR148" s="25"/>
      <c r="BS148" s="13"/>
      <c r="BV148" s="114"/>
    </row>
    <row r="149" spans="1:74" ht="20.100000000000001" customHeight="1" x14ac:dyDescent="0.4">
      <c r="A149" s="117"/>
      <c r="B149" s="123"/>
      <c r="C149" s="123"/>
      <c r="D149" s="123"/>
      <c r="N149" s="115"/>
      <c r="O149" s="115"/>
      <c r="P149" s="115"/>
      <c r="Q149" s="115"/>
      <c r="R149" s="115"/>
      <c r="S149" s="26"/>
      <c r="T149" s="13"/>
      <c r="AB149" s="115"/>
      <c r="AC149" s="115"/>
      <c r="AD149" s="115"/>
      <c r="AE149" s="115"/>
      <c r="AF149" s="115"/>
      <c r="AG149" s="115"/>
      <c r="AH149" s="115"/>
      <c r="AI149" s="127"/>
      <c r="AJ149" s="29"/>
      <c r="AT149" s="25"/>
      <c r="AU149" s="13"/>
      <c r="AZ149" s="116"/>
      <c r="BA149" s="123"/>
      <c r="BB149" s="123"/>
      <c r="BC149" s="123"/>
      <c r="BH149" s="115"/>
      <c r="BI149" s="115"/>
      <c r="BJ149" s="115"/>
      <c r="BK149" s="115"/>
      <c r="BL149" s="115"/>
      <c r="BM149" s="115"/>
      <c r="BN149" s="115"/>
      <c r="BO149" s="115"/>
      <c r="BP149" s="115"/>
      <c r="BQ149" s="115"/>
      <c r="BR149" s="25"/>
      <c r="BS149" s="13"/>
      <c r="BV149" s="114"/>
    </row>
    <row r="150" spans="1:74" ht="20.100000000000001" customHeight="1" x14ac:dyDescent="0.4">
      <c r="A150" s="117"/>
      <c r="B150" s="123"/>
      <c r="C150" s="123"/>
      <c r="D150" s="123"/>
      <c r="S150" s="26"/>
      <c r="T150" s="13"/>
      <c r="AB150" s="115"/>
      <c r="AC150" s="115"/>
      <c r="AD150" s="115"/>
      <c r="AE150" s="115"/>
      <c r="AF150" s="115"/>
      <c r="AG150" s="115"/>
      <c r="AH150" s="115"/>
      <c r="AI150" s="127"/>
      <c r="AJ150" s="134"/>
      <c r="AT150" s="25"/>
      <c r="AU150" s="13"/>
      <c r="AZ150" s="116"/>
      <c r="BA150" s="123"/>
      <c r="BB150" s="123"/>
      <c r="BC150" s="123"/>
      <c r="BH150" s="115"/>
      <c r="BI150" s="115"/>
      <c r="BJ150" s="115"/>
      <c r="BK150" s="115"/>
      <c r="BL150" s="115"/>
      <c r="BM150" s="115"/>
      <c r="BN150" s="115"/>
      <c r="BO150" s="115"/>
      <c r="BP150" s="115"/>
      <c r="BQ150" s="115"/>
      <c r="BR150" s="25"/>
      <c r="BS150" s="13"/>
      <c r="BV150" s="114"/>
    </row>
    <row r="151" spans="1:74" ht="20.100000000000001" customHeight="1" x14ac:dyDescent="0.4">
      <c r="A151" s="117"/>
      <c r="B151" s="123"/>
      <c r="C151" s="123"/>
      <c r="D151" s="123"/>
      <c r="P151" s="115"/>
      <c r="Q151" s="115"/>
      <c r="R151" s="115"/>
      <c r="S151" s="26"/>
      <c r="T151" s="13"/>
      <c r="AB151" s="115"/>
      <c r="AC151" s="115"/>
      <c r="AD151" s="115"/>
      <c r="AE151" s="115"/>
      <c r="AF151" s="115"/>
      <c r="AG151" s="115"/>
      <c r="AH151" s="115"/>
      <c r="AI151" s="127"/>
      <c r="AJ151" s="134"/>
      <c r="AT151" s="25"/>
      <c r="AU151" s="13"/>
      <c r="AZ151" s="116"/>
      <c r="BA151" s="123"/>
      <c r="BB151" s="123"/>
      <c r="BC151" s="123"/>
      <c r="BH151" s="115"/>
      <c r="BI151" s="115"/>
      <c r="BJ151" s="115"/>
      <c r="BK151" s="115"/>
      <c r="BL151" s="115"/>
      <c r="BM151" s="115"/>
      <c r="BN151" s="115"/>
      <c r="BO151" s="115"/>
      <c r="BP151" s="115"/>
      <c r="BQ151" s="115"/>
      <c r="BR151" s="25"/>
      <c r="BS151" s="13"/>
      <c r="BV151" s="114"/>
    </row>
    <row r="152" spans="1:74" ht="20.100000000000001" customHeight="1" x14ac:dyDescent="0.4">
      <c r="A152" s="117"/>
      <c r="B152" s="123"/>
      <c r="C152" s="123"/>
      <c r="D152" s="123"/>
      <c r="O152" s="115"/>
      <c r="P152" s="115"/>
      <c r="Q152" s="115"/>
      <c r="R152" s="115"/>
      <c r="S152" s="26"/>
      <c r="T152" s="13"/>
      <c r="AB152" s="115"/>
      <c r="AC152" s="115"/>
      <c r="AD152" s="115"/>
      <c r="AE152" s="115"/>
      <c r="AF152" s="115"/>
      <c r="AG152" s="115"/>
      <c r="AH152" s="115"/>
      <c r="AI152" s="127"/>
      <c r="AJ152" s="134"/>
      <c r="AT152" s="25"/>
      <c r="AU152" s="13"/>
      <c r="AZ152" s="116"/>
      <c r="BA152" s="123"/>
      <c r="BB152" s="123"/>
      <c r="BC152" s="123"/>
      <c r="BH152" s="115"/>
      <c r="BI152" s="115"/>
      <c r="BJ152" s="115"/>
      <c r="BK152" s="115"/>
      <c r="BL152" s="115"/>
      <c r="BM152" s="115"/>
      <c r="BN152" s="115"/>
      <c r="BO152" s="115"/>
      <c r="BP152" s="115"/>
      <c r="BQ152" s="115"/>
      <c r="BR152" s="25"/>
      <c r="BS152" s="13"/>
      <c r="BV152" s="114"/>
    </row>
    <row r="153" spans="1:74" ht="20.100000000000001" customHeight="1" x14ac:dyDescent="0.4">
      <c r="A153" s="117"/>
      <c r="B153" s="123"/>
      <c r="C153" s="123"/>
      <c r="D153" s="123"/>
      <c r="O153" s="115"/>
      <c r="P153" s="115"/>
      <c r="Q153" s="115"/>
      <c r="R153" s="115"/>
      <c r="S153" s="26"/>
      <c r="T153" s="13"/>
      <c r="AB153" s="115"/>
      <c r="AC153" s="115"/>
      <c r="AD153" s="115"/>
      <c r="AE153" s="115"/>
      <c r="AF153" s="115"/>
      <c r="AG153" s="115"/>
      <c r="AH153" s="115"/>
      <c r="AI153" s="127"/>
      <c r="AJ153" s="134"/>
      <c r="AT153" s="25"/>
      <c r="AU153" s="13"/>
      <c r="AZ153" s="116"/>
      <c r="BA153" s="123"/>
      <c r="BB153" s="123"/>
      <c r="BC153" s="123"/>
      <c r="BH153" s="115"/>
      <c r="BI153" s="115"/>
      <c r="BJ153" s="115"/>
      <c r="BK153" s="115"/>
      <c r="BL153" s="115"/>
      <c r="BM153" s="115"/>
      <c r="BN153" s="115"/>
      <c r="BO153" s="115"/>
      <c r="BP153" s="115"/>
      <c r="BQ153" s="115"/>
      <c r="BR153" s="25"/>
      <c r="BS153" s="13"/>
      <c r="BV153" s="114"/>
    </row>
    <row r="154" spans="1:74" ht="20.100000000000001" customHeight="1" x14ac:dyDescent="0.4">
      <c r="A154" s="117"/>
      <c r="B154" s="123"/>
      <c r="C154" s="123"/>
      <c r="D154" s="123"/>
      <c r="S154" s="26"/>
      <c r="T154" s="13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27"/>
      <c r="AJ154" s="29"/>
      <c r="AT154" s="25"/>
      <c r="AU154" s="13"/>
      <c r="AZ154" s="116"/>
      <c r="BA154" s="123"/>
      <c r="BB154" s="123"/>
      <c r="BC154" s="123"/>
      <c r="BH154" s="115"/>
      <c r="BI154" s="115"/>
      <c r="BJ154" s="115"/>
      <c r="BK154" s="115"/>
      <c r="BL154" s="115"/>
      <c r="BM154" s="115"/>
      <c r="BN154" s="115"/>
      <c r="BO154" s="115"/>
      <c r="BP154" s="115"/>
      <c r="BQ154" s="115"/>
      <c r="BR154" s="25"/>
      <c r="BS154" s="13"/>
      <c r="BV154" s="114"/>
    </row>
    <row r="155" spans="1:74" ht="20.100000000000001" customHeight="1" x14ac:dyDescent="0.4">
      <c r="A155" s="117"/>
      <c r="B155" s="123"/>
      <c r="C155" s="123"/>
      <c r="D155" s="123"/>
      <c r="P155" s="115"/>
      <c r="Q155" s="115"/>
      <c r="R155" s="115"/>
      <c r="S155" s="26"/>
      <c r="T155" s="13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27"/>
      <c r="AJ155" s="29"/>
      <c r="AT155" s="25"/>
      <c r="AU155" s="13"/>
      <c r="AZ155" s="116"/>
      <c r="BA155" s="123"/>
      <c r="BB155" s="123"/>
      <c r="BC155" s="123"/>
      <c r="BH155" s="115"/>
      <c r="BI155" s="115"/>
      <c r="BJ155" s="115"/>
      <c r="BK155" s="115"/>
      <c r="BL155" s="115"/>
      <c r="BM155" s="115"/>
      <c r="BN155" s="115"/>
      <c r="BO155" s="115"/>
      <c r="BP155" s="115"/>
      <c r="BQ155" s="115"/>
      <c r="BR155" s="25"/>
      <c r="BS155" s="13"/>
      <c r="BV155" s="114"/>
    </row>
    <row r="156" spans="1:74" ht="20.100000000000001" customHeight="1" x14ac:dyDescent="0.4">
      <c r="A156" s="117"/>
      <c r="B156" s="123"/>
      <c r="C156" s="123"/>
      <c r="D156" s="123"/>
      <c r="S156" s="26"/>
      <c r="T156" s="13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27"/>
      <c r="AJ156" s="29"/>
      <c r="AT156" s="25"/>
      <c r="AU156" s="13"/>
      <c r="AZ156" s="116"/>
      <c r="BA156" s="123"/>
      <c r="BB156" s="123"/>
      <c r="BC156" s="123"/>
      <c r="BH156" s="115"/>
      <c r="BI156" s="115"/>
      <c r="BJ156" s="115"/>
      <c r="BK156" s="115"/>
      <c r="BL156" s="115"/>
      <c r="BM156" s="115"/>
      <c r="BN156" s="115"/>
      <c r="BO156" s="115"/>
      <c r="BP156" s="115"/>
      <c r="BQ156" s="115"/>
      <c r="BR156" s="25"/>
      <c r="BS156" s="13"/>
      <c r="BV156" s="114"/>
    </row>
    <row r="157" spans="1:74" ht="20.100000000000001" customHeight="1" x14ac:dyDescent="0.4">
      <c r="A157" s="117"/>
      <c r="B157" s="123"/>
      <c r="C157" s="123"/>
      <c r="D157" s="123"/>
      <c r="P157" s="115"/>
      <c r="Q157" s="115"/>
      <c r="R157" s="115"/>
      <c r="S157" s="26"/>
      <c r="T157" s="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27"/>
      <c r="AJ157" s="29"/>
      <c r="AT157" s="25"/>
      <c r="AU157" s="13"/>
      <c r="AZ157" s="116"/>
      <c r="BA157" s="123"/>
      <c r="BB157" s="123"/>
      <c r="BC157" s="123"/>
      <c r="BH157" s="115"/>
      <c r="BI157" s="115"/>
      <c r="BJ157" s="115"/>
      <c r="BK157" s="115"/>
      <c r="BL157" s="115"/>
      <c r="BM157" s="115"/>
      <c r="BN157" s="115"/>
      <c r="BO157" s="115"/>
      <c r="BP157" s="115"/>
      <c r="BQ157" s="115"/>
      <c r="BR157" s="25"/>
      <c r="BS157" s="13"/>
      <c r="BV157" s="114"/>
    </row>
    <row r="158" spans="1:74" ht="20.100000000000001" customHeight="1" x14ac:dyDescent="0.4">
      <c r="A158" s="117"/>
      <c r="B158" s="123"/>
      <c r="C158" s="123"/>
      <c r="D158" s="123"/>
      <c r="P158" s="115"/>
      <c r="Q158" s="115"/>
      <c r="R158" s="115"/>
      <c r="S158" s="17"/>
      <c r="T158" s="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27"/>
      <c r="AJ158" s="29"/>
      <c r="AT158" s="25"/>
      <c r="AU158" s="13"/>
      <c r="AZ158" s="116"/>
      <c r="BA158" s="123"/>
      <c r="BB158" s="123"/>
      <c r="BC158" s="123"/>
      <c r="BH158" s="115"/>
      <c r="BI158" s="115"/>
      <c r="BJ158" s="115"/>
      <c r="BK158" s="115"/>
      <c r="BL158" s="115"/>
      <c r="BM158" s="115"/>
      <c r="BN158" s="115"/>
      <c r="BO158" s="115"/>
      <c r="BP158" s="115"/>
      <c r="BQ158" s="115"/>
      <c r="BR158" s="25"/>
      <c r="BS158" s="13"/>
      <c r="BV158" s="114"/>
    </row>
    <row r="159" spans="1:74" ht="20.100000000000001" customHeight="1" x14ac:dyDescent="0.4">
      <c r="A159" s="117"/>
      <c r="B159" s="123"/>
      <c r="C159" s="123"/>
      <c r="D159" s="123"/>
      <c r="P159" s="115"/>
      <c r="Q159" s="115"/>
      <c r="R159" s="115"/>
      <c r="S159" s="26"/>
      <c r="T159" s="132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27"/>
      <c r="AJ159" s="29"/>
      <c r="AT159" s="25"/>
      <c r="AU159" s="13"/>
      <c r="AZ159" s="116"/>
      <c r="BA159" s="123"/>
      <c r="BB159" s="123"/>
      <c r="BC159" s="123"/>
      <c r="BH159" s="115"/>
      <c r="BI159" s="115"/>
      <c r="BJ159" s="115"/>
      <c r="BK159" s="115"/>
      <c r="BL159" s="115"/>
      <c r="BM159" s="115"/>
      <c r="BN159" s="115"/>
      <c r="BO159" s="115"/>
      <c r="BP159" s="115"/>
      <c r="BQ159" s="115"/>
      <c r="BR159" s="25"/>
      <c r="BS159" s="13"/>
      <c r="BV159" s="114"/>
    </row>
    <row r="160" spans="1:74" ht="20.100000000000001" customHeight="1" x14ac:dyDescent="0.4">
      <c r="A160" s="117"/>
      <c r="B160" s="123"/>
      <c r="C160" s="123"/>
      <c r="D160" s="123"/>
      <c r="S160" s="26"/>
      <c r="T160" s="13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27"/>
      <c r="AJ160" s="29"/>
      <c r="AT160" s="25"/>
      <c r="AU160" s="13"/>
      <c r="AZ160" s="116"/>
      <c r="BA160" s="123"/>
      <c r="BB160" s="123"/>
      <c r="BC160" s="123"/>
      <c r="BH160" s="115"/>
      <c r="BI160" s="115"/>
      <c r="BJ160" s="115"/>
      <c r="BK160" s="115"/>
      <c r="BL160" s="115"/>
      <c r="BM160" s="115"/>
      <c r="BN160" s="115"/>
      <c r="BO160" s="115"/>
      <c r="BP160" s="115"/>
      <c r="BQ160" s="115"/>
      <c r="BR160" s="25"/>
      <c r="BS160" s="13"/>
      <c r="BV160" s="114"/>
    </row>
    <row r="161" spans="1:74" ht="20.100000000000001" customHeight="1" x14ac:dyDescent="0.4">
      <c r="A161" s="117"/>
      <c r="B161" s="123"/>
      <c r="C161" s="123"/>
      <c r="D161" s="123"/>
      <c r="O161" s="115"/>
      <c r="P161" s="115"/>
      <c r="Q161" s="115"/>
      <c r="R161" s="115"/>
      <c r="S161" s="26"/>
      <c r="T161" s="13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27"/>
      <c r="AJ161" s="29"/>
      <c r="AT161" s="25"/>
      <c r="AU161" s="13"/>
      <c r="AZ161" s="116"/>
      <c r="BA161" s="123"/>
      <c r="BB161" s="123"/>
      <c r="BC161" s="123"/>
      <c r="BH161" s="115"/>
      <c r="BI161" s="115"/>
      <c r="BJ161" s="115"/>
      <c r="BK161" s="115"/>
      <c r="BL161" s="115"/>
      <c r="BM161" s="115"/>
      <c r="BN161" s="115"/>
      <c r="BO161" s="115"/>
      <c r="BP161" s="115"/>
      <c r="BQ161" s="115"/>
      <c r="BR161" s="25"/>
      <c r="BS161" s="13"/>
      <c r="BV161" s="114"/>
    </row>
    <row r="162" spans="1:74" ht="20.100000000000001" customHeight="1" x14ac:dyDescent="0.4">
      <c r="A162" s="117"/>
      <c r="B162" s="123"/>
      <c r="C162" s="123"/>
      <c r="D162" s="123"/>
      <c r="S162" s="26"/>
      <c r="T162" s="13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29"/>
      <c r="AJ162" s="29"/>
      <c r="AT162" s="25"/>
      <c r="AU162" s="13"/>
      <c r="AZ162" s="116"/>
      <c r="BA162" s="123"/>
      <c r="BB162" s="123"/>
      <c r="BC162" s="123"/>
      <c r="BH162" s="115"/>
      <c r="BI162" s="115"/>
      <c r="BJ162" s="115"/>
      <c r="BK162" s="115"/>
      <c r="BL162" s="115"/>
      <c r="BM162" s="115"/>
      <c r="BN162" s="115"/>
      <c r="BO162" s="115"/>
      <c r="BP162" s="115"/>
      <c r="BQ162" s="115"/>
      <c r="BR162" s="25"/>
      <c r="BS162" s="13"/>
      <c r="BV162" s="114"/>
    </row>
    <row r="163" spans="1:74" ht="20.100000000000001" customHeight="1" x14ac:dyDescent="0.4">
      <c r="A163" s="117"/>
      <c r="B163" s="123"/>
      <c r="C163" s="123"/>
      <c r="D163" s="123"/>
      <c r="S163" s="26"/>
      <c r="T163" s="13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27"/>
      <c r="AJ163" s="29"/>
      <c r="AT163" s="25"/>
      <c r="AU163" s="13"/>
      <c r="AZ163" s="116"/>
      <c r="BA163" s="123"/>
      <c r="BB163" s="123"/>
      <c r="BC163" s="123"/>
      <c r="BH163" s="115"/>
      <c r="BI163" s="115"/>
      <c r="BJ163" s="115"/>
      <c r="BK163" s="115"/>
      <c r="BL163" s="115"/>
      <c r="BM163" s="115"/>
      <c r="BN163" s="115"/>
      <c r="BO163" s="115"/>
      <c r="BP163" s="115"/>
      <c r="BQ163" s="115"/>
      <c r="BR163" s="25"/>
      <c r="BS163" s="13"/>
      <c r="BV163" s="114"/>
    </row>
    <row r="164" spans="1:74" ht="20.100000000000001" customHeight="1" x14ac:dyDescent="0.4">
      <c r="A164" s="117"/>
      <c r="B164" s="123"/>
      <c r="C164" s="123"/>
      <c r="D164" s="123"/>
      <c r="M164" s="115"/>
      <c r="N164" s="115"/>
      <c r="O164" s="115"/>
      <c r="P164" s="115"/>
      <c r="Q164" s="115"/>
      <c r="R164" s="115"/>
      <c r="S164" s="26"/>
      <c r="T164" s="13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27"/>
      <c r="AJ164" s="29"/>
      <c r="AT164" s="25"/>
      <c r="AU164" s="13"/>
      <c r="AZ164" s="116"/>
      <c r="BA164" s="123"/>
      <c r="BB164" s="123"/>
      <c r="BC164" s="123"/>
      <c r="BH164" s="115"/>
      <c r="BI164" s="115"/>
      <c r="BJ164" s="115"/>
      <c r="BK164" s="115"/>
      <c r="BL164" s="115"/>
      <c r="BM164" s="115"/>
      <c r="BN164" s="115"/>
      <c r="BO164" s="115"/>
      <c r="BP164" s="115"/>
      <c r="BQ164" s="115"/>
      <c r="BR164" s="25"/>
      <c r="BS164" s="13"/>
      <c r="BV164" s="114"/>
    </row>
    <row r="165" spans="1:74" ht="20.100000000000001" customHeight="1" x14ac:dyDescent="0.4">
      <c r="A165" s="117"/>
      <c r="B165" s="123"/>
      <c r="C165" s="123"/>
      <c r="D165" s="123"/>
      <c r="K165" s="115"/>
      <c r="L165" s="115"/>
      <c r="M165" s="115"/>
      <c r="N165" s="115"/>
      <c r="O165" s="115"/>
      <c r="P165" s="115"/>
      <c r="Q165" s="115"/>
      <c r="R165" s="115"/>
      <c r="S165" s="26"/>
      <c r="T165" s="13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27"/>
      <c r="AJ165" s="29"/>
      <c r="AT165" s="25"/>
      <c r="AU165" s="13"/>
      <c r="AZ165" s="116"/>
      <c r="BA165" s="123"/>
      <c r="BB165" s="123"/>
      <c r="BC165" s="123"/>
      <c r="BH165" s="115"/>
      <c r="BI165" s="115"/>
      <c r="BJ165" s="115"/>
      <c r="BK165" s="115"/>
      <c r="BL165" s="115"/>
      <c r="BM165" s="115"/>
      <c r="BN165" s="115"/>
      <c r="BO165" s="115"/>
      <c r="BP165" s="115"/>
      <c r="BQ165" s="115"/>
      <c r="BR165" s="25"/>
      <c r="BS165" s="13"/>
      <c r="BV165" s="114"/>
    </row>
    <row r="166" spans="1:74" ht="20.100000000000001" customHeight="1" x14ac:dyDescent="0.4">
      <c r="A166" s="117"/>
      <c r="B166" s="123"/>
      <c r="C166" s="123"/>
      <c r="D166" s="123"/>
      <c r="K166" s="115"/>
      <c r="L166" s="115"/>
      <c r="M166" s="115"/>
      <c r="N166" s="115"/>
      <c r="O166" s="115"/>
      <c r="P166" s="115"/>
      <c r="Q166" s="115"/>
      <c r="R166" s="115"/>
      <c r="S166" s="17"/>
      <c r="T166" s="13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27"/>
      <c r="AJ166" s="29"/>
      <c r="AT166" s="25"/>
      <c r="AU166" s="13"/>
      <c r="AZ166" s="116"/>
      <c r="BA166" s="123"/>
      <c r="BB166" s="123"/>
      <c r="BC166" s="123"/>
      <c r="BH166" s="115"/>
      <c r="BI166" s="115"/>
      <c r="BJ166" s="115"/>
      <c r="BK166" s="115"/>
      <c r="BL166" s="115"/>
      <c r="BM166" s="115"/>
      <c r="BN166" s="115"/>
      <c r="BO166" s="115"/>
      <c r="BP166" s="115"/>
      <c r="BQ166" s="115"/>
      <c r="BR166" s="25"/>
      <c r="BS166" s="13"/>
      <c r="BV166" s="114"/>
    </row>
    <row r="167" spans="1:74" ht="20.100000000000001" customHeight="1" x14ac:dyDescent="0.4">
      <c r="A167" s="117"/>
      <c r="B167" s="123"/>
      <c r="C167" s="123"/>
      <c r="D167" s="123"/>
      <c r="S167" s="26"/>
      <c r="T167" s="13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27"/>
      <c r="AJ167" s="29"/>
      <c r="AT167" s="25"/>
      <c r="AU167" s="13"/>
      <c r="AZ167" s="116"/>
      <c r="BA167" s="123"/>
      <c r="BB167" s="123"/>
      <c r="BC167" s="123"/>
      <c r="BH167" s="115"/>
      <c r="BI167" s="115"/>
      <c r="BJ167" s="115"/>
      <c r="BK167" s="115"/>
      <c r="BL167" s="115"/>
      <c r="BM167" s="115"/>
      <c r="BN167" s="115"/>
      <c r="BO167" s="115"/>
      <c r="BP167" s="115"/>
      <c r="BQ167" s="115"/>
      <c r="BR167" s="25"/>
      <c r="BS167" s="13"/>
      <c r="BV167" s="114"/>
    </row>
    <row r="168" spans="1:74" ht="20.100000000000001" customHeight="1" x14ac:dyDescent="0.4">
      <c r="A168" s="117"/>
      <c r="B168" s="123"/>
      <c r="C168" s="123"/>
      <c r="D168" s="123"/>
      <c r="O168" s="115"/>
      <c r="P168" s="115"/>
      <c r="Q168" s="115"/>
      <c r="R168" s="115"/>
      <c r="S168" s="26"/>
      <c r="T168" s="13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27"/>
      <c r="AJ168" s="29"/>
      <c r="AT168" s="25"/>
      <c r="AU168" s="13"/>
      <c r="AZ168" s="116"/>
      <c r="BA168" s="123"/>
      <c r="BB168" s="123"/>
      <c r="BC168" s="123"/>
      <c r="BH168" s="115"/>
      <c r="BI168" s="115"/>
      <c r="BJ168" s="115"/>
      <c r="BK168" s="115"/>
      <c r="BL168" s="115"/>
      <c r="BM168" s="115"/>
      <c r="BN168" s="115"/>
      <c r="BO168" s="115"/>
      <c r="BP168" s="115"/>
      <c r="BQ168" s="115"/>
      <c r="BR168" s="25"/>
      <c r="BS168" s="13"/>
      <c r="BV168" s="114"/>
    </row>
    <row r="169" spans="1:74" ht="20.100000000000001" customHeight="1" x14ac:dyDescent="0.4">
      <c r="A169" s="117"/>
      <c r="B169" s="123"/>
      <c r="C169" s="123"/>
      <c r="D169" s="123"/>
      <c r="O169" s="115"/>
      <c r="P169" s="115"/>
      <c r="Q169" s="115"/>
      <c r="R169" s="115"/>
      <c r="S169" s="17"/>
      <c r="T169" s="13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27"/>
      <c r="AJ169" s="29"/>
      <c r="AT169" s="25"/>
      <c r="AU169" s="13"/>
      <c r="AZ169" s="116"/>
      <c r="BA169" s="123"/>
      <c r="BB169" s="123"/>
      <c r="BC169" s="123"/>
      <c r="BH169" s="115"/>
      <c r="BI169" s="115"/>
      <c r="BJ169" s="115"/>
      <c r="BK169" s="115"/>
      <c r="BL169" s="115"/>
      <c r="BM169" s="115"/>
      <c r="BN169" s="115"/>
      <c r="BO169" s="115"/>
      <c r="BP169" s="115"/>
      <c r="BQ169" s="115"/>
      <c r="BR169" s="25"/>
      <c r="BS169" s="13"/>
      <c r="BV169" s="114"/>
    </row>
    <row r="170" spans="1:74" ht="20.100000000000001" customHeight="1" x14ac:dyDescent="0.4">
      <c r="A170" s="117"/>
      <c r="B170" s="123"/>
      <c r="C170" s="123"/>
      <c r="D170" s="123"/>
      <c r="S170" s="26"/>
      <c r="T170" s="13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27"/>
      <c r="AJ170" s="29"/>
      <c r="AT170" s="25"/>
      <c r="AU170" s="13"/>
      <c r="AZ170" s="116"/>
      <c r="BA170" s="123"/>
      <c r="BB170" s="123"/>
      <c r="BC170" s="123"/>
      <c r="BH170" s="115"/>
      <c r="BI170" s="115"/>
      <c r="BJ170" s="115"/>
      <c r="BK170" s="115"/>
      <c r="BL170" s="115"/>
      <c r="BM170" s="115"/>
      <c r="BN170" s="115"/>
      <c r="BO170" s="115"/>
      <c r="BP170" s="115"/>
      <c r="BQ170" s="115"/>
      <c r="BR170" s="25"/>
      <c r="BS170" s="13"/>
      <c r="BV170" s="114"/>
    </row>
    <row r="171" spans="1:74" ht="20.100000000000001" customHeight="1" x14ac:dyDescent="0.4">
      <c r="A171" s="117"/>
      <c r="B171" s="123"/>
      <c r="C171" s="123"/>
      <c r="D171" s="123"/>
      <c r="S171" s="26"/>
      <c r="T171" s="13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27"/>
      <c r="AJ171" s="29"/>
      <c r="AT171" s="25"/>
      <c r="AU171" s="13"/>
      <c r="AZ171" s="116"/>
      <c r="BA171" s="123"/>
      <c r="BB171" s="123"/>
      <c r="BC171" s="123"/>
      <c r="BH171" s="115"/>
      <c r="BI171" s="115"/>
      <c r="BJ171" s="115"/>
      <c r="BK171" s="115"/>
      <c r="BL171" s="115"/>
      <c r="BM171" s="115"/>
      <c r="BN171" s="115"/>
      <c r="BO171" s="115"/>
      <c r="BP171" s="115"/>
      <c r="BQ171" s="115"/>
      <c r="BR171" s="25"/>
      <c r="BS171" s="13"/>
      <c r="BV171" s="114"/>
    </row>
    <row r="172" spans="1:74" ht="20.100000000000001" customHeight="1" x14ac:dyDescent="0.4">
      <c r="A172" s="117"/>
      <c r="B172" s="123"/>
      <c r="C172" s="123"/>
      <c r="D172" s="123"/>
      <c r="O172" s="115"/>
      <c r="P172" s="115"/>
      <c r="Q172" s="115"/>
      <c r="R172" s="115"/>
      <c r="S172" s="26"/>
      <c r="T172" s="13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27"/>
      <c r="AJ172" s="29"/>
      <c r="AT172" s="25"/>
      <c r="AU172" s="13"/>
      <c r="AZ172" s="116"/>
      <c r="BA172" s="123"/>
      <c r="BB172" s="123"/>
      <c r="BC172" s="123"/>
      <c r="BH172" s="115"/>
      <c r="BI172" s="115"/>
      <c r="BJ172" s="115"/>
      <c r="BK172" s="115"/>
      <c r="BL172" s="115"/>
      <c r="BM172" s="115"/>
      <c r="BN172" s="115"/>
      <c r="BO172" s="115"/>
      <c r="BP172" s="115"/>
      <c r="BQ172" s="115"/>
      <c r="BR172" s="25"/>
      <c r="BS172" s="13"/>
      <c r="BV172" s="114"/>
    </row>
    <row r="173" spans="1:74" ht="20.100000000000001" customHeight="1" x14ac:dyDescent="0.4">
      <c r="A173" s="117"/>
      <c r="B173" s="123"/>
      <c r="C173" s="123"/>
      <c r="D173" s="123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26"/>
      <c r="T173" s="13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27"/>
      <c r="AJ173" s="29"/>
      <c r="AT173" s="25"/>
      <c r="AU173" s="13"/>
      <c r="AZ173" s="116"/>
      <c r="BA173" s="123"/>
      <c r="BB173" s="123"/>
      <c r="BC173" s="123"/>
      <c r="BH173" s="115"/>
      <c r="BI173" s="115"/>
      <c r="BJ173" s="115"/>
      <c r="BK173" s="115"/>
      <c r="BL173" s="115"/>
      <c r="BM173" s="115"/>
      <c r="BN173" s="115"/>
      <c r="BO173" s="115"/>
      <c r="BP173" s="115"/>
      <c r="BQ173" s="115"/>
      <c r="BR173" s="25"/>
      <c r="BS173" s="13"/>
      <c r="BV173" s="114"/>
    </row>
    <row r="174" spans="1:74" ht="20.100000000000001" customHeight="1" x14ac:dyDescent="0.4">
      <c r="A174" s="117"/>
      <c r="B174" s="123"/>
      <c r="C174" s="123"/>
      <c r="D174" s="123"/>
      <c r="S174" s="26"/>
      <c r="T174" s="13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27"/>
      <c r="AJ174" s="29"/>
      <c r="AT174" s="25"/>
      <c r="AU174" s="13"/>
      <c r="AZ174" s="116"/>
      <c r="BA174" s="123"/>
      <c r="BB174" s="123"/>
      <c r="BC174" s="123"/>
      <c r="BH174" s="115"/>
      <c r="BI174" s="115"/>
      <c r="BJ174" s="115"/>
      <c r="BK174" s="115"/>
      <c r="BL174" s="115"/>
      <c r="BM174" s="115"/>
      <c r="BN174" s="115"/>
      <c r="BO174" s="115"/>
      <c r="BP174" s="115"/>
      <c r="BQ174" s="115"/>
      <c r="BR174" s="25"/>
      <c r="BS174" s="13"/>
      <c r="BV174" s="114"/>
    </row>
    <row r="175" spans="1:74" ht="20.100000000000001" customHeight="1" x14ac:dyDescent="0.4">
      <c r="A175" s="117"/>
      <c r="B175" s="123"/>
      <c r="C175" s="123"/>
      <c r="D175" s="123"/>
      <c r="S175" s="26"/>
      <c r="T175" s="13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27"/>
      <c r="AJ175" s="29"/>
      <c r="AT175" s="25"/>
      <c r="AU175" s="13"/>
      <c r="AZ175" s="116"/>
      <c r="BA175" s="123"/>
      <c r="BB175" s="123"/>
      <c r="BC175" s="123"/>
      <c r="BH175" s="115"/>
      <c r="BI175" s="115"/>
      <c r="BJ175" s="115"/>
      <c r="BK175" s="115"/>
      <c r="BL175" s="115"/>
      <c r="BM175" s="115"/>
      <c r="BN175" s="115"/>
      <c r="BO175" s="115"/>
      <c r="BP175" s="115"/>
      <c r="BQ175" s="115"/>
      <c r="BR175" s="25"/>
      <c r="BS175" s="13"/>
      <c r="BV175" s="114"/>
    </row>
    <row r="176" spans="1:74" ht="20.100000000000001" customHeight="1" x14ac:dyDescent="0.4">
      <c r="A176" s="117"/>
      <c r="B176" s="123"/>
      <c r="C176" s="123"/>
      <c r="D176" s="123"/>
      <c r="S176" s="26"/>
      <c r="T176" s="13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27"/>
      <c r="AJ176" s="29"/>
      <c r="AT176" s="25"/>
      <c r="AU176" s="13"/>
      <c r="AZ176" s="116"/>
      <c r="BA176" s="123"/>
      <c r="BB176" s="123"/>
      <c r="BC176" s="123"/>
      <c r="BH176" s="115"/>
      <c r="BI176" s="115"/>
      <c r="BJ176" s="115"/>
      <c r="BK176" s="115"/>
      <c r="BL176" s="115"/>
      <c r="BM176" s="115"/>
      <c r="BN176" s="115"/>
      <c r="BO176" s="115"/>
      <c r="BP176" s="115"/>
      <c r="BQ176" s="115"/>
      <c r="BR176" s="25"/>
      <c r="BS176" s="13"/>
      <c r="BV176" s="114"/>
    </row>
    <row r="177" spans="1:74" ht="20.100000000000001" customHeight="1" x14ac:dyDescent="0.4">
      <c r="A177" s="117"/>
      <c r="B177" s="123"/>
      <c r="C177" s="123"/>
      <c r="D177" s="123"/>
      <c r="S177" s="26"/>
      <c r="T177" s="13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27"/>
      <c r="AJ177" s="29"/>
      <c r="AT177" s="25"/>
      <c r="AU177" s="13"/>
      <c r="AZ177" s="116"/>
      <c r="BA177" s="123"/>
      <c r="BB177" s="123"/>
      <c r="BC177" s="123"/>
      <c r="BH177" s="115"/>
      <c r="BI177" s="115"/>
      <c r="BJ177" s="115"/>
      <c r="BK177" s="115"/>
      <c r="BL177" s="115"/>
      <c r="BM177" s="115"/>
      <c r="BN177" s="115"/>
      <c r="BO177" s="115"/>
      <c r="BP177" s="115"/>
      <c r="BQ177" s="115"/>
      <c r="BR177" s="25"/>
      <c r="BS177" s="13"/>
      <c r="BV177" s="114"/>
    </row>
    <row r="178" spans="1:74" ht="20.100000000000001" customHeight="1" x14ac:dyDescent="0.4">
      <c r="A178" s="117"/>
      <c r="B178" s="123"/>
      <c r="C178" s="123"/>
      <c r="D178" s="123"/>
      <c r="Q178" s="115"/>
      <c r="R178" s="115"/>
      <c r="S178" s="17"/>
      <c r="T178" s="13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27"/>
      <c r="AJ178" s="29"/>
      <c r="AT178" s="25"/>
      <c r="AU178" s="13"/>
      <c r="AZ178" s="116"/>
      <c r="BA178" s="123"/>
      <c r="BB178" s="123"/>
      <c r="BC178" s="123"/>
      <c r="BH178" s="115"/>
      <c r="BI178" s="115"/>
      <c r="BJ178" s="115"/>
      <c r="BK178" s="115"/>
      <c r="BL178" s="115"/>
      <c r="BM178" s="115"/>
      <c r="BN178" s="115"/>
      <c r="BO178" s="115"/>
      <c r="BP178" s="115"/>
      <c r="BQ178" s="115"/>
      <c r="BR178" s="25"/>
      <c r="BS178" s="13"/>
      <c r="BV178" s="114"/>
    </row>
    <row r="179" spans="1:74" ht="20.100000000000001" customHeight="1" x14ac:dyDescent="0.4">
      <c r="A179" s="117"/>
      <c r="B179" s="123"/>
      <c r="C179" s="123"/>
      <c r="D179" s="123"/>
      <c r="O179" s="115"/>
      <c r="P179" s="115"/>
      <c r="Q179" s="115"/>
      <c r="R179" s="115"/>
      <c r="S179" s="26"/>
      <c r="T179" s="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27"/>
      <c r="AJ179" s="29"/>
      <c r="AT179" s="25"/>
      <c r="AU179" s="13"/>
      <c r="AZ179" s="116"/>
      <c r="BA179" s="123"/>
      <c r="BB179" s="123"/>
      <c r="BC179" s="123"/>
      <c r="BH179" s="115"/>
      <c r="BI179" s="115"/>
      <c r="BJ179" s="115"/>
      <c r="BK179" s="115"/>
      <c r="BL179" s="115"/>
      <c r="BM179" s="115"/>
      <c r="BN179" s="115"/>
      <c r="BO179" s="115"/>
      <c r="BP179" s="115"/>
      <c r="BQ179" s="115"/>
      <c r="BR179" s="25"/>
      <c r="BS179" s="13"/>
      <c r="BV179" s="114"/>
    </row>
    <row r="180" spans="1:74" ht="20.100000000000001" customHeight="1" x14ac:dyDescent="0.4">
      <c r="A180" s="117"/>
      <c r="B180" s="123"/>
      <c r="C180" s="123"/>
      <c r="D180" s="123"/>
      <c r="O180" s="115"/>
      <c r="P180" s="115"/>
      <c r="Q180" s="115"/>
      <c r="R180" s="115"/>
      <c r="S180" s="17"/>
      <c r="T180" s="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27"/>
      <c r="AJ180" s="29"/>
      <c r="AT180" s="25"/>
      <c r="AU180" s="13"/>
      <c r="AZ180" s="116"/>
      <c r="BA180" s="123"/>
      <c r="BB180" s="123"/>
      <c r="BC180" s="123"/>
      <c r="BH180" s="115"/>
      <c r="BI180" s="115"/>
      <c r="BJ180" s="115"/>
      <c r="BK180" s="115"/>
      <c r="BL180" s="115"/>
      <c r="BM180" s="115"/>
      <c r="BN180" s="115"/>
      <c r="BO180" s="115"/>
      <c r="BP180" s="115"/>
      <c r="BQ180" s="115"/>
      <c r="BR180" s="25"/>
      <c r="BS180" s="13"/>
      <c r="BV180" s="114"/>
    </row>
    <row r="181" spans="1:74" ht="20.100000000000001" customHeight="1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26"/>
      <c r="T181" s="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27"/>
      <c r="AJ181" s="29"/>
      <c r="AT181" s="25"/>
      <c r="AU181" s="13"/>
      <c r="AZ181" s="116"/>
      <c r="BA181" s="123"/>
      <c r="BB181" s="123"/>
      <c r="BC181" s="123"/>
      <c r="BH181" s="115"/>
      <c r="BI181" s="115"/>
      <c r="BJ181" s="115"/>
      <c r="BK181" s="115"/>
      <c r="BL181" s="115"/>
      <c r="BM181" s="115"/>
      <c r="BN181" s="115"/>
      <c r="BO181" s="115"/>
      <c r="BP181" s="115"/>
      <c r="BQ181" s="115"/>
      <c r="BR181" s="25"/>
      <c r="BS181" s="13"/>
      <c r="BV181" s="114"/>
    </row>
    <row r="182" spans="1:74" ht="20.100000000000001" customHeight="1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7"/>
      <c r="T182" s="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27"/>
      <c r="AJ182" s="29"/>
      <c r="AT182" s="25"/>
      <c r="AU182" s="13"/>
      <c r="AZ182" s="116"/>
      <c r="BA182" s="123"/>
      <c r="BB182" s="123"/>
      <c r="BC182" s="123"/>
      <c r="BH182" s="115"/>
      <c r="BI182" s="115"/>
      <c r="BJ182" s="115"/>
      <c r="BK182" s="115"/>
      <c r="BL182" s="115"/>
      <c r="BM182" s="115"/>
      <c r="BN182" s="115"/>
      <c r="BO182" s="115"/>
      <c r="BP182" s="115"/>
      <c r="BQ182" s="115"/>
      <c r="BR182" s="25"/>
      <c r="BS182" s="13"/>
      <c r="BV182" s="114"/>
    </row>
    <row r="183" spans="1:74" ht="20.100000000000001" customHeight="1" x14ac:dyDescent="0.4">
      <c r="A183" s="117"/>
      <c r="B183" s="123"/>
      <c r="C183" s="123"/>
      <c r="D183" s="123"/>
      <c r="S183" s="26"/>
      <c r="T183" s="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27"/>
      <c r="AJ183" s="29"/>
      <c r="AT183" s="25"/>
      <c r="AU183" s="13"/>
      <c r="AZ183" s="116"/>
      <c r="BA183" s="123"/>
      <c r="BB183" s="123"/>
      <c r="BC183" s="123"/>
      <c r="BH183" s="115"/>
      <c r="BI183" s="115"/>
      <c r="BJ183" s="115"/>
      <c r="BK183" s="115"/>
      <c r="BL183" s="115"/>
      <c r="BM183" s="115"/>
      <c r="BN183" s="115"/>
      <c r="BO183" s="115"/>
      <c r="BP183" s="115"/>
      <c r="BQ183" s="115"/>
      <c r="BR183" s="25"/>
      <c r="BS183" s="13"/>
      <c r="BV183" s="114"/>
    </row>
    <row r="184" spans="1:74" ht="20.100000000000001" customHeight="1" x14ac:dyDescent="0.4">
      <c r="A184" s="117"/>
      <c r="B184" s="123"/>
      <c r="C184" s="123"/>
      <c r="D184" s="123"/>
      <c r="Q184" s="115"/>
      <c r="R184" s="115"/>
      <c r="S184" s="17"/>
      <c r="T184" s="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27"/>
      <c r="AJ184" s="29"/>
      <c r="AT184" s="25"/>
      <c r="AU184" s="13"/>
      <c r="AZ184" s="116"/>
      <c r="BA184" s="123"/>
      <c r="BB184" s="123"/>
      <c r="BC184" s="123"/>
      <c r="BH184" s="115"/>
      <c r="BI184" s="115"/>
      <c r="BJ184" s="115"/>
      <c r="BK184" s="115"/>
      <c r="BL184" s="115"/>
      <c r="BM184" s="115"/>
      <c r="BN184" s="115"/>
      <c r="BO184" s="115"/>
      <c r="BP184" s="115"/>
      <c r="BQ184" s="115"/>
      <c r="BR184" s="25"/>
      <c r="BS184" s="13"/>
      <c r="BV184" s="114"/>
    </row>
    <row r="185" spans="1:74" ht="20.100000000000001" customHeight="1" x14ac:dyDescent="0.4">
      <c r="A185" s="117"/>
      <c r="B185" s="123"/>
      <c r="C185" s="123"/>
      <c r="D185" s="123"/>
      <c r="S185" s="26"/>
      <c r="T185" s="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27"/>
      <c r="AJ185" s="29"/>
      <c r="AT185" s="25"/>
      <c r="AU185" s="13"/>
      <c r="AZ185" s="116"/>
      <c r="BA185" s="123"/>
      <c r="BB185" s="123"/>
      <c r="BC185" s="123"/>
      <c r="BH185" s="115"/>
      <c r="BI185" s="115"/>
      <c r="BJ185" s="115"/>
      <c r="BK185" s="115"/>
      <c r="BL185" s="115"/>
      <c r="BM185" s="115"/>
      <c r="BN185" s="115"/>
      <c r="BO185" s="115"/>
      <c r="BP185" s="115"/>
      <c r="BQ185" s="115"/>
      <c r="BR185" s="25"/>
      <c r="BS185" s="13"/>
      <c r="BV185" s="114"/>
    </row>
    <row r="186" spans="1:74" ht="20.100000000000001" customHeight="1" x14ac:dyDescent="0.4">
      <c r="A186" s="117"/>
      <c r="B186" s="123"/>
      <c r="C186" s="123"/>
      <c r="D186" s="123"/>
      <c r="O186" s="115"/>
      <c r="P186" s="115"/>
      <c r="Q186" s="115"/>
      <c r="R186" s="115"/>
      <c r="S186" s="26"/>
      <c r="T186" s="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27"/>
      <c r="AJ186" s="29"/>
      <c r="AT186" s="25"/>
      <c r="AU186" s="13"/>
      <c r="AZ186" s="116"/>
      <c r="BA186" s="123"/>
      <c r="BB186" s="123"/>
      <c r="BC186" s="123"/>
      <c r="BH186" s="115"/>
      <c r="BI186" s="115"/>
      <c r="BJ186" s="115"/>
      <c r="BK186" s="115"/>
      <c r="BL186" s="115"/>
      <c r="BM186" s="115"/>
      <c r="BN186" s="115"/>
      <c r="BO186" s="115"/>
      <c r="BP186" s="115"/>
      <c r="BQ186" s="115"/>
      <c r="BR186" s="25"/>
      <c r="BS186" s="13"/>
      <c r="BV186" s="114"/>
    </row>
    <row r="187" spans="1:74" ht="20.100000000000001" customHeight="1" x14ac:dyDescent="0.4">
      <c r="A187" s="117"/>
      <c r="B187" s="123"/>
      <c r="C187" s="123"/>
      <c r="D187" s="123"/>
      <c r="O187" s="115"/>
      <c r="P187" s="115"/>
      <c r="Q187" s="115"/>
      <c r="R187" s="115"/>
      <c r="S187" s="20"/>
      <c r="T187" s="13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27"/>
      <c r="AJ187" s="29"/>
      <c r="AT187" s="25"/>
      <c r="AU187" s="13"/>
      <c r="AZ187" s="116"/>
      <c r="BA187" s="123"/>
      <c r="BB187" s="123"/>
      <c r="BC187" s="123"/>
      <c r="BH187" s="115"/>
      <c r="BI187" s="115"/>
      <c r="BJ187" s="115"/>
      <c r="BK187" s="115"/>
      <c r="BL187" s="115"/>
      <c r="BM187" s="115"/>
      <c r="BN187" s="115"/>
      <c r="BO187" s="115"/>
      <c r="BP187" s="115"/>
      <c r="BQ187" s="115"/>
      <c r="BR187" s="25"/>
      <c r="BS187" s="13"/>
      <c r="BV187" s="114"/>
    </row>
    <row r="188" spans="1:74" ht="20.100000000000001" customHeight="1" x14ac:dyDescent="0.4">
      <c r="A188" s="117"/>
      <c r="B188" s="123"/>
      <c r="C188" s="123"/>
      <c r="D188" s="123"/>
      <c r="O188" s="115"/>
      <c r="P188" s="115"/>
      <c r="Q188" s="115"/>
      <c r="R188" s="115"/>
      <c r="S188" s="20"/>
      <c r="T188" s="13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27"/>
      <c r="AJ188" s="29"/>
      <c r="AT188" s="25"/>
      <c r="AU188" s="13"/>
      <c r="AZ188" s="116"/>
      <c r="BA188" s="123"/>
      <c r="BB188" s="123"/>
      <c r="BC188" s="123"/>
      <c r="BH188" s="115"/>
      <c r="BI188" s="115"/>
      <c r="BJ188" s="115"/>
      <c r="BK188" s="115"/>
      <c r="BL188" s="115"/>
      <c r="BM188" s="115"/>
      <c r="BN188" s="115"/>
      <c r="BO188" s="115"/>
      <c r="BP188" s="115"/>
      <c r="BQ188" s="115"/>
      <c r="BR188" s="25"/>
      <c r="BS188" s="13"/>
      <c r="BV188" s="114"/>
    </row>
    <row r="189" spans="1:74" ht="20.100000000000001" customHeight="1" x14ac:dyDescent="0.4">
      <c r="A189" s="117"/>
      <c r="B189" s="123"/>
      <c r="C189" s="123"/>
      <c r="D189" s="123"/>
      <c r="O189" s="115"/>
      <c r="P189" s="115"/>
      <c r="Q189" s="115"/>
      <c r="R189" s="115"/>
      <c r="S189" s="13"/>
      <c r="T189" s="13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27"/>
      <c r="AJ189" s="29"/>
      <c r="AT189" s="25"/>
      <c r="AU189" s="13"/>
      <c r="AZ189" s="116"/>
      <c r="BA189" s="123"/>
      <c r="BB189" s="123"/>
      <c r="BC189" s="123"/>
      <c r="BH189" s="115"/>
      <c r="BI189" s="115"/>
      <c r="BJ189" s="115"/>
      <c r="BK189" s="115"/>
      <c r="BL189" s="115"/>
      <c r="BM189" s="115"/>
      <c r="BN189" s="115"/>
      <c r="BO189" s="115"/>
      <c r="BP189" s="115"/>
      <c r="BQ189" s="115"/>
      <c r="BR189" s="25"/>
      <c r="BS189" s="13"/>
      <c r="BV189" s="114"/>
    </row>
    <row r="190" spans="1:74" ht="20.100000000000001" customHeight="1" x14ac:dyDescent="0.4">
      <c r="A190" s="117"/>
      <c r="B190" s="123"/>
      <c r="C190" s="123"/>
      <c r="D190" s="123"/>
      <c r="L190" s="115"/>
      <c r="M190" s="115"/>
      <c r="N190" s="115"/>
      <c r="O190" s="115"/>
      <c r="P190" s="115"/>
      <c r="Q190" s="115"/>
      <c r="R190" s="115"/>
      <c r="S190" s="25"/>
      <c r="T190" s="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27"/>
      <c r="AJ190" s="29"/>
      <c r="AT190" s="25"/>
      <c r="AU190" s="13"/>
      <c r="AZ190" s="116"/>
      <c r="BA190" s="123"/>
      <c r="BB190" s="123"/>
      <c r="BC190" s="123"/>
      <c r="BH190" s="115"/>
      <c r="BI190" s="115"/>
      <c r="BJ190" s="115"/>
      <c r="BK190" s="115"/>
      <c r="BL190" s="115"/>
      <c r="BM190" s="115"/>
      <c r="BN190" s="115"/>
      <c r="BO190" s="115"/>
      <c r="BP190" s="115"/>
      <c r="BQ190" s="115"/>
      <c r="BR190" s="25"/>
      <c r="BS190" s="13"/>
      <c r="BV190" s="114"/>
    </row>
    <row r="191" spans="1:74" ht="20.100000000000001" customHeight="1" x14ac:dyDescent="0.4">
      <c r="A191" s="117"/>
      <c r="B191" s="123"/>
      <c r="C191" s="123"/>
      <c r="D191" s="123"/>
      <c r="S191" s="25"/>
      <c r="T191" s="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29"/>
      <c r="AJ191" s="29"/>
      <c r="AT191" s="25"/>
      <c r="AU191" s="13"/>
      <c r="AZ191" s="116"/>
      <c r="BA191" s="123"/>
      <c r="BB191" s="123"/>
      <c r="BC191" s="123"/>
      <c r="BH191" s="115"/>
      <c r="BI191" s="115"/>
      <c r="BJ191" s="115"/>
      <c r="BK191" s="115"/>
      <c r="BL191" s="115"/>
      <c r="BM191" s="115"/>
      <c r="BN191" s="115"/>
      <c r="BO191" s="115"/>
      <c r="BP191" s="115"/>
      <c r="BQ191" s="115"/>
      <c r="BR191" s="25"/>
      <c r="BS191" s="13"/>
      <c r="BV191" s="114"/>
    </row>
    <row r="192" spans="1:74" ht="20.100000000000001" customHeight="1" x14ac:dyDescent="0.4">
      <c r="A192" s="117"/>
      <c r="B192" s="123"/>
      <c r="C192" s="123"/>
      <c r="D192" s="123"/>
      <c r="S192" s="25"/>
      <c r="T192" s="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27"/>
      <c r="AJ192" s="29"/>
      <c r="AT192" s="25"/>
      <c r="AU192" s="13"/>
      <c r="AZ192" s="116"/>
      <c r="BA192" s="123"/>
      <c r="BB192" s="123"/>
      <c r="BC192" s="123"/>
      <c r="BH192" s="115"/>
      <c r="BI192" s="115"/>
      <c r="BJ192" s="115"/>
      <c r="BK192" s="115"/>
      <c r="BL192" s="115"/>
      <c r="BM192" s="115"/>
      <c r="BN192" s="115"/>
      <c r="BO192" s="115"/>
      <c r="BP192" s="115"/>
      <c r="BQ192" s="115"/>
      <c r="BR192" s="25"/>
      <c r="BS192" s="13"/>
      <c r="BV192" s="114"/>
    </row>
    <row r="193" spans="1:74" ht="20.100000000000001" customHeight="1" x14ac:dyDescent="0.4">
      <c r="A193" s="117"/>
      <c r="B193" s="123"/>
      <c r="C193" s="123"/>
      <c r="D193" s="123"/>
      <c r="S193" s="25"/>
      <c r="T193" s="13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27"/>
      <c r="AJ193" s="29"/>
      <c r="AT193" s="25"/>
      <c r="AU193" s="13"/>
      <c r="AZ193" s="116"/>
      <c r="BA193" s="123"/>
      <c r="BB193" s="123"/>
      <c r="BC193" s="123"/>
      <c r="BH193" s="115"/>
      <c r="BI193" s="115"/>
      <c r="BJ193" s="115"/>
      <c r="BK193" s="115"/>
      <c r="BL193" s="115"/>
      <c r="BM193" s="115"/>
      <c r="BN193" s="115"/>
      <c r="BO193" s="115"/>
      <c r="BP193" s="115"/>
      <c r="BQ193" s="115"/>
      <c r="BR193" s="25"/>
      <c r="BS193" s="13"/>
      <c r="BV193" s="114"/>
    </row>
    <row r="194" spans="1:74" ht="20.100000000000001" customHeight="1" x14ac:dyDescent="0.4">
      <c r="A194" s="117"/>
      <c r="B194" s="123"/>
      <c r="C194" s="123"/>
      <c r="D194" s="123"/>
      <c r="N194" s="115"/>
      <c r="O194" s="115"/>
      <c r="P194" s="115"/>
      <c r="Q194" s="115"/>
      <c r="R194" s="115"/>
      <c r="S194" s="13"/>
      <c r="T194" s="13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27"/>
      <c r="AJ194" s="29"/>
      <c r="AT194" s="25"/>
      <c r="AU194" s="13"/>
      <c r="AZ194" s="116"/>
      <c r="BA194" s="123"/>
      <c r="BB194" s="123"/>
      <c r="BC194" s="123"/>
      <c r="BH194" s="115"/>
      <c r="BI194" s="115"/>
      <c r="BJ194" s="115"/>
      <c r="BK194" s="115"/>
      <c r="BL194" s="115"/>
      <c r="BM194" s="115"/>
      <c r="BN194" s="115"/>
      <c r="BO194" s="115"/>
      <c r="BP194" s="115"/>
      <c r="BQ194" s="115"/>
      <c r="BR194" s="25"/>
      <c r="BS194" s="13"/>
      <c r="BV194" s="114"/>
    </row>
    <row r="195" spans="1:74" ht="20.100000000000001" customHeight="1" x14ac:dyDescent="0.4">
      <c r="A195" s="117"/>
      <c r="B195" s="123"/>
      <c r="C195" s="123"/>
      <c r="D195" s="123"/>
      <c r="S195" s="25"/>
      <c r="T195" s="13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29"/>
      <c r="AJ195" s="29"/>
      <c r="AT195" s="25"/>
      <c r="AU195" s="13"/>
      <c r="AZ195" s="116"/>
      <c r="BA195" s="123"/>
      <c r="BB195" s="123"/>
      <c r="BC195" s="123"/>
      <c r="BH195" s="115"/>
      <c r="BI195" s="115"/>
      <c r="BJ195" s="115"/>
      <c r="BK195" s="115"/>
      <c r="BL195" s="115"/>
      <c r="BM195" s="115"/>
      <c r="BN195" s="115"/>
      <c r="BO195" s="115"/>
      <c r="BP195" s="115"/>
      <c r="BQ195" s="115"/>
      <c r="BR195" s="25"/>
      <c r="BS195" s="13"/>
      <c r="BV195" s="114"/>
    </row>
    <row r="196" spans="1:74" ht="20.100000000000001" customHeight="1" x14ac:dyDescent="0.4">
      <c r="A196" s="117"/>
      <c r="B196" s="123"/>
      <c r="C196" s="123"/>
      <c r="D196" s="123"/>
      <c r="L196" s="115"/>
      <c r="M196" s="115"/>
      <c r="N196" s="115"/>
      <c r="O196" s="115"/>
      <c r="P196" s="115"/>
      <c r="Q196" s="115"/>
      <c r="R196" s="115"/>
      <c r="S196" s="25"/>
      <c r="T196" s="13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29"/>
      <c r="AJ196" s="29"/>
      <c r="AT196" s="25"/>
      <c r="AU196" s="13"/>
      <c r="AZ196" s="116"/>
      <c r="BA196" s="123"/>
      <c r="BB196" s="123"/>
      <c r="BC196" s="123"/>
      <c r="BH196" s="115"/>
      <c r="BI196" s="115"/>
      <c r="BJ196" s="115"/>
      <c r="BK196" s="115"/>
      <c r="BL196" s="115"/>
      <c r="BM196" s="115"/>
      <c r="BN196" s="115"/>
      <c r="BO196" s="115"/>
      <c r="BP196" s="115"/>
      <c r="BQ196" s="115"/>
      <c r="BR196" s="25"/>
      <c r="BS196" s="13"/>
      <c r="BV196" s="114"/>
    </row>
    <row r="197" spans="1:74" ht="20.100000000000001" customHeight="1" x14ac:dyDescent="0.4">
      <c r="A197" s="117"/>
      <c r="B197" s="123"/>
      <c r="C197" s="123"/>
      <c r="D197" s="123"/>
      <c r="S197" s="25"/>
      <c r="T197" s="13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27"/>
      <c r="AJ197" s="29"/>
      <c r="AT197" s="25"/>
      <c r="AU197" s="13"/>
      <c r="AZ197" s="116"/>
      <c r="BA197" s="123"/>
      <c r="BB197" s="123"/>
      <c r="BC197" s="123"/>
      <c r="BH197" s="115"/>
      <c r="BI197" s="115"/>
      <c r="BJ197" s="115"/>
      <c r="BK197" s="115"/>
      <c r="BL197" s="115"/>
      <c r="BM197" s="115"/>
      <c r="BN197" s="115"/>
      <c r="BO197" s="115"/>
      <c r="BP197" s="115"/>
      <c r="BQ197" s="115"/>
      <c r="BR197" s="25"/>
      <c r="BS197" s="13"/>
      <c r="BV197" s="114"/>
    </row>
    <row r="198" spans="1:74" ht="20.100000000000001" customHeight="1" x14ac:dyDescent="0.4">
      <c r="A198" s="117"/>
      <c r="B198" s="123"/>
      <c r="C198" s="123"/>
      <c r="D198" s="123"/>
      <c r="S198" s="25"/>
      <c r="T198" s="13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27"/>
      <c r="AJ198" s="29"/>
      <c r="AT198" s="25"/>
      <c r="AU198" s="13"/>
      <c r="AZ198" s="116"/>
      <c r="BA198" s="123"/>
      <c r="BB198" s="123"/>
      <c r="BC198" s="123"/>
      <c r="BH198" s="115"/>
      <c r="BI198" s="115"/>
      <c r="BJ198" s="115"/>
      <c r="BK198" s="115"/>
      <c r="BL198" s="115"/>
      <c r="BM198" s="115"/>
      <c r="BN198" s="115"/>
      <c r="BO198" s="115"/>
      <c r="BP198" s="115"/>
      <c r="BQ198" s="115"/>
      <c r="BR198" s="25"/>
      <c r="BS198" s="13"/>
      <c r="BV198" s="114"/>
    </row>
    <row r="199" spans="1:74" ht="20.100000000000001" customHeight="1" x14ac:dyDescent="0.4">
      <c r="A199" s="117"/>
      <c r="B199" s="123"/>
      <c r="C199" s="123"/>
      <c r="D199" s="123"/>
      <c r="N199" s="115"/>
      <c r="O199" s="115"/>
      <c r="P199" s="115"/>
      <c r="Q199" s="115"/>
      <c r="R199" s="115"/>
      <c r="S199" s="13"/>
      <c r="T199" s="13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27"/>
      <c r="AJ199" s="29"/>
      <c r="AT199" s="25"/>
      <c r="AU199" s="13"/>
      <c r="AZ199" s="116"/>
      <c r="BA199" s="123"/>
      <c r="BB199" s="123"/>
      <c r="BC199" s="123"/>
      <c r="BH199" s="115"/>
      <c r="BI199" s="115"/>
      <c r="BJ199" s="115"/>
      <c r="BK199" s="115"/>
      <c r="BL199" s="115"/>
      <c r="BM199" s="115"/>
      <c r="BN199" s="115"/>
      <c r="BO199" s="115"/>
      <c r="BP199" s="115"/>
      <c r="BQ199" s="115"/>
      <c r="BR199" s="25"/>
      <c r="BS199" s="13"/>
      <c r="BV199" s="114"/>
    </row>
    <row r="200" spans="1:74" ht="20.100000000000001" customHeight="1" x14ac:dyDescent="0.4">
      <c r="A200" s="117"/>
      <c r="B200" s="123"/>
      <c r="C200" s="123"/>
      <c r="D200" s="123"/>
      <c r="F200" s="117"/>
      <c r="G200" s="135"/>
      <c r="H200" s="135"/>
      <c r="I200" s="135"/>
      <c r="J200" s="135"/>
      <c r="K200" s="135"/>
      <c r="L200" s="136"/>
      <c r="M200" s="136"/>
      <c r="N200" s="136"/>
      <c r="O200" s="136"/>
      <c r="P200" s="136"/>
      <c r="Q200" s="136"/>
      <c r="R200" s="136"/>
      <c r="S200" s="25"/>
      <c r="T200" s="13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27"/>
      <c r="AJ200" s="29"/>
      <c r="AT200" s="25"/>
      <c r="AU200" s="13"/>
      <c r="AZ200" s="116"/>
      <c r="BA200" s="123"/>
      <c r="BB200" s="123"/>
      <c r="BC200" s="123"/>
      <c r="BH200" s="115"/>
      <c r="BI200" s="115"/>
      <c r="BJ200" s="115"/>
      <c r="BK200" s="115"/>
      <c r="BL200" s="115"/>
      <c r="BM200" s="115"/>
      <c r="BN200" s="115"/>
      <c r="BO200" s="115"/>
      <c r="BP200" s="115"/>
      <c r="BQ200" s="115"/>
      <c r="BR200" s="25"/>
      <c r="BS200" s="13"/>
      <c r="BV200" s="114"/>
    </row>
    <row r="201" spans="1:74" ht="20.100000000000001" customHeight="1" x14ac:dyDescent="0.4">
      <c r="A201" s="117"/>
      <c r="B201" s="123"/>
      <c r="C201" s="123"/>
      <c r="D201" s="123"/>
      <c r="F201" s="117"/>
      <c r="G201" s="135"/>
      <c r="H201" s="135"/>
      <c r="I201" s="135"/>
      <c r="J201" s="135"/>
      <c r="K201" s="135"/>
      <c r="L201" s="136"/>
      <c r="M201" s="136"/>
      <c r="N201" s="136"/>
      <c r="O201" s="136"/>
      <c r="P201" s="136"/>
      <c r="Q201" s="136"/>
      <c r="R201" s="136"/>
      <c r="S201" s="25"/>
      <c r="T201" s="13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27"/>
      <c r="AJ201" s="29"/>
      <c r="AT201" s="25"/>
      <c r="AU201" s="13"/>
      <c r="AZ201" s="116"/>
      <c r="BA201" s="123"/>
      <c r="BB201" s="123"/>
      <c r="BC201" s="123"/>
      <c r="BH201" s="115"/>
      <c r="BI201" s="115"/>
      <c r="BJ201" s="115"/>
      <c r="BK201" s="115"/>
      <c r="BL201" s="115"/>
      <c r="BM201" s="115"/>
      <c r="BN201" s="115"/>
      <c r="BO201" s="115"/>
      <c r="BP201" s="115"/>
      <c r="BQ201" s="115"/>
      <c r="BR201" s="25"/>
      <c r="BS201" s="13"/>
      <c r="BV201" s="114"/>
    </row>
    <row r="202" spans="1:74" ht="20.100000000000001" customHeight="1" x14ac:dyDescent="0.4">
      <c r="A202" s="117"/>
      <c r="B202" s="123"/>
      <c r="C202" s="123"/>
      <c r="D202" s="123"/>
      <c r="F202" s="117"/>
      <c r="G202" s="135"/>
      <c r="H202" s="135"/>
      <c r="I202" s="135"/>
      <c r="J202" s="135"/>
      <c r="K202" s="135"/>
      <c r="L202" s="136"/>
      <c r="M202" s="136"/>
      <c r="N202" s="136"/>
      <c r="O202" s="136"/>
      <c r="P202" s="136"/>
      <c r="Q202" s="136"/>
      <c r="R202" s="136"/>
      <c r="S202" s="20"/>
      <c r="T202" s="13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27"/>
      <c r="AJ202" s="29"/>
      <c r="AT202" s="25"/>
      <c r="AU202" s="13"/>
      <c r="AZ202" s="116"/>
      <c r="BA202" s="123"/>
      <c r="BB202" s="123"/>
      <c r="BC202" s="123"/>
      <c r="BH202" s="115"/>
      <c r="BI202" s="115"/>
      <c r="BJ202" s="115"/>
      <c r="BK202" s="115"/>
      <c r="BL202" s="115"/>
      <c r="BM202" s="115"/>
      <c r="BN202" s="115"/>
      <c r="BO202" s="115"/>
      <c r="BP202" s="115"/>
      <c r="BQ202" s="115"/>
      <c r="BR202" s="25"/>
      <c r="BS202" s="13"/>
      <c r="BV202" s="114"/>
    </row>
    <row r="203" spans="1:74" ht="20.100000000000001" customHeight="1" x14ac:dyDescent="0.4">
      <c r="A203" s="117"/>
      <c r="B203" s="123"/>
      <c r="C203" s="123"/>
      <c r="D203" s="123"/>
      <c r="F203" s="117"/>
      <c r="G203" s="135"/>
      <c r="H203" s="135"/>
      <c r="I203" s="135"/>
      <c r="J203" s="135"/>
      <c r="K203" s="135"/>
      <c r="L203" s="136"/>
      <c r="M203" s="136"/>
      <c r="N203" s="136"/>
      <c r="O203" s="136"/>
      <c r="P203" s="136"/>
      <c r="Q203" s="136"/>
      <c r="R203" s="136"/>
      <c r="S203" s="26"/>
      <c r="T203" s="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29"/>
      <c r="AJ203" s="29"/>
      <c r="AT203" s="25"/>
      <c r="AU203" s="13"/>
      <c r="AZ203" s="116"/>
      <c r="BA203" s="123"/>
      <c r="BB203" s="123"/>
      <c r="BC203" s="123"/>
      <c r="BH203" s="115"/>
      <c r="BI203" s="115"/>
      <c r="BJ203" s="115"/>
      <c r="BK203" s="115"/>
      <c r="BL203" s="115"/>
      <c r="BM203" s="115"/>
      <c r="BN203" s="115"/>
      <c r="BO203" s="115"/>
      <c r="BP203" s="115"/>
      <c r="BQ203" s="115"/>
      <c r="BR203" s="25"/>
      <c r="BS203" s="13"/>
      <c r="BV203" s="114"/>
    </row>
    <row r="204" spans="1:74" ht="20.100000000000001" customHeight="1" x14ac:dyDescent="0.4">
      <c r="A204" s="117"/>
      <c r="B204" s="123"/>
      <c r="C204" s="123"/>
      <c r="D204" s="123"/>
      <c r="F204" s="117"/>
      <c r="G204" s="135"/>
      <c r="H204" s="135"/>
      <c r="I204" s="135"/>
      <c r="J204" s="135"/>
      <c r="K204" s="135"/>
      <c r="L204" s="136"/>
      <c r="M204" s="136"/>
      <c r="N204" s="136"/>
      <c r="O204" s="136"/>
      <c r="P204" s="136"/>
      <c r="Q204" s="136"/>
      <c r="R204" s="136"/>
      <c r="S204" s="26"/>
      <c r="T204" s="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27"/>
      <c r="AJ204" s="29"/>
      <c r="AT204" s="25"/>
      <c r="AU204" s="13"/>
      <c r="AZ204" s="116"/>
      <c r="BA204" s="123"/>
      <c r="BB204" s="123"/>
      <c r="BC204" s="123"/>
      <c r="BH204" s="115"/>
      <c r="BI204" s="115"/>
      <c r="BJ204" s="115"/>
      <c r="BK204" s="115"/>
      <c r="BL204" s="115"/>
      <c r="BM204" s="115"/>
      <c r="BN204" s="115"/>
      <c r="BO204" s="115"/>
      <c r="BP204" s="115"/>
      <c r="BQ204" s="115"/>
      <c r="BR204" s="25"/>
      <c r="BS204" s="13"/>
      <c r="BV204" s="114"/>
    </row>
    <row r="205" spans="1:74" ht="20.100000000000001" customHeight="1" x14ac:dyDescent="0.4">
      <c r="A205" s="117"/>
      <c r="B205" s="123"/>
      <c r="C205" s="123"/>
      <c r="D205" s="123"/>
      <c r="F205" s="117"/>
      <c r="G205" s="135"/>
      <c r="H205" s="135"/>
      <c r="I205" s="135"/>
      <c r="J205" s="135"/>
      <c r="K205" s="135"/>
      <c r="L205" s="136"/>
      <c r="M205" s="136"/>
      <c r="N205" s="140"/>
      <c r="O205" s="140"/>
      <c r="P205" s="140"/>
      <c r="Q205" s="140"/>
      <c r="R205" s="140"/>
      <c r="S205" s="30"/>
      <c r="T205" s="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27"/>
      <c r="AJ205" s="29"/>
      <c r="AT205" s="25"/>
      <c r="AU205" s="13"/>
      <c r="AZ205" s="116"/>
      <c r="BA205" s="123"/>
      <c r="BB205" s="123"/>
      <c r="BC205" s="123"/>
      <c r="BH205" s="115"/>
      <c r="BI205" s="115"/>
      <c r="BJ205" s="115"/>
      <c r="BK205" s="115"/>
      <c r="BL205" s="115"/>
      <c r="BM205" s="115"/>
      <c r="BN205" s="115"/>
      <c r="BO205" s="115"/>
      <c r="BP205" s="115"/>
      <c r="BQ205" s="115"/>
      <c r="BR205" s="25"/>
      <c r="BS205" s="13"/>
      <c r="BV205" s="114"/>
    </row>
    <row r="206" spans="1:74" ht="20.100000000000001" customHeight="1" x14ac:dyDescent="0.4">
      <c r="A206" s="117"/>
      <c r="B206" s="123"/>
      <c r="C206" s="123"/>
      <c r="D206" s="123"/>
      <c r="F206" s="117"/>
      <c r="G206" s="135"/>
      <c r="H206" s="135"/>
      <c r="I206" s="135"/>
      <c r="J206" s="135"/>
      <c r="K206" s="135"/>
      <c r="L206" s="136"/>
      <c r="M206" s="136"/>
      <c r="N206" s="136"/>
      <c r="O206" s="136"/>
      <c r="P206" s="136"/>
      <c r="Q206" s="136"/>
      <c r="R206" s="136"/>
      <c r="S206" s="25"/>
      <c r="T206" s="13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27"/>
      <c r="AJ206" s="29"/>
      <c r="AT206" s="25"/>
      <c r="AU206" s="13"/>
      <c r="AZ206" s="116"/>
      <c r="BA206" s="123"/>
      <c r="BB206" s="123"/>
      <c r="BC206" s="123"/>
      <c r="BH206" s="115"/>
      <c r="BI206" s="115"/>
      <c r="BJ206" s="115"/>
      <c r="BK206" s="115"/>
      <c r="BL206" s="115"/>
      <c r="BM206" s="115"/>
      <c r="BN206" s="115"/>
      <c r="BO206" s="115"/>
      <c r="BP206" s="115"/>
      <c r="BQ206" s="115"/>
      <c r="BR206" s="25"/>
      <c r="BS206" s="13"/>
      <c r="BV206" s="114"/>
    </row>
    <row r="207" spans="1:74" ht="20.100000000000001" customHeight="1" x14ac:dyDescent="0.4">
      <c r="A207" s="117"/>
      <c r="B207" s="123"/>
      <c r="C207" s="123"/>
      <c r="D207" s="123"/>
      <c r="F207" s="117"/>
      <c r="G207" s="135"/>
      <c r="H207" s="135"/>
      <c r="I207" s="135"/>
      <c r="J207" s="135"/>
      <c r="K207" s="135"/>
      <c r="L207" s="136"/>
      <c r="M207" s="136"/>
      <c r="N207" s="136"/>
      <c r="O207" s="136"/>
      <c r="P207" s="136"/>
      <c r="Q207" s="136"/>
      <c r="R207" s="136"/>
      <c r="S207" s="25"/>
      <c r="T207" s="13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29"/>
      <c r="AJ207" s="29"/>
      <c r="AT207" s="25"/>
      <c r="AU207" s="13"/>
      <c r="AZ207" s="116"/>
      <c r="BA207" s="123"/>
      <c r="BB207" s="123"/>
      <c r="BC207" s="123"/>
      <c r="BH207" s="115"/>
      <c r="BI207" s="115"/>
      <c r="BJ207" s="115"/>
      <c r="BK207" s="115"/>
      <c r="BL207" s="115"/>
      <c r="BM207" s="115"/>
      <c r="BN207" s="115"/>
      <c r="BO207" s="115"/>
      <c r="BP207" s="115"/>
      <c r="BQ207" s="115"/>
      <c r="BR207" s="25"/>
      <c r="BS207" s="13"/>
      <c r="BV207" s="114"/>
    </row>
    <row r="208" spans="1:74" ht="20.100000000000001" customHeight="1" x14ac:dyDescent="0.4">
      <c r="A208" s="117"/>
      <c r="B208" s="123"/>
      <c r="C208" s="123"/>
      <c r="D208" s="123"/>
      <c r="F208" s="117"/>
      <c r="G208" s="135"/>
      <c r="H208" s="135"/>
      <c r="I208" s="135"/>
      <c r="J208" s="135"/>
      <c r="K208" s="135"/>
      <c r="L208" s="136"/>
      <c r="M208" s="136"/>
      <c r="N208" s="136"/>
      <c r="O208" s="136"/>
      <c r="P208" s="136"/>
      <c r="Q208" s="136"/>
      <c r="R208" s="136"/>
      <c r="S208" s="25"/>
      <c r="T208" s="13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29"/>
      <c r="AJ208" s="29"/>
      <c r="AT208" s="25"/>
      <c r="AU208" s="13"/>
      <c r="AZ208" s="116"/>
      <c r="BA208" s="123"/>
      <c r="BB208" s="123"/>
      <c r="BC208" s="123"/>
      <c r="BH208" s="115"/>
      <c r="BI208" s="115"/>
      <c r="BJ208" s="115"/>
      <c r="BK208" s="115"/>
      <c r="BL208" s="115"/>
      <c r="BM208" s="115"/>
      <c r="BN208" s="115"/>
      <c r="BO208" s="115"/>
      <c r="BP208" s="115"/>
      <c r="BQ208" s="115"/>
      <c r="BR208" s="25"/>
      <c r="BS208" s="13"/>
      <c r="BV208" s="114"/>
    </row>
    <row r="209" spans="1:74" ht="20.100000000000001" customHeight="1" x14ac:dyDescent="0.4">
      <c r="A209" s="117"/>
      <c r="B209" s="123"/>
      <c r="C209" s="123"/>
      <c r="D209" s="123"/>
      <c r="F209" s="117"/>
      <c r="G209" s="135"/>
      <c r="H209" s="135"/>
      <c r="I209" s="135"/>
      <c r="J209" s="135"/>
      <c r="K209" s="135"/>
      <c r="L209" s="136"/>
      <c r="M209" s="136"/>
      <c r="N209" s="136"/>
      <c r="O209" s="136"/>
      <c r="P209" s="136"/>
      <c r="Q209" s="136"/>
      <c r="R209" s="136"/>
      <c r="S209" s="25"/>
      <c r="T209" s="13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29"/>
      <c r="AJ209" s="29"/>
      <c r="AT209" s="25"/>
      <c r="AU209" s="13"/>
      <c r="AZ209" s="116"/>
      <c r="BA209" s="123"/>
      <c r="BB209" s="123"/>
      <c r="BC209" s="123"/>
      <c r="BH209" s="115"/>
      <c r="BI209" s="115"/>
      <c r="BJ209" s="115"/>
      <c r="BK209" s="115"/>
      <c r="BL209" s="115"/>
      <c r="BM209" s="115"/>
      <c r="BN209" s="115"/>
      <c r="BO209" s="115"/>
      <c r="BP209" s="115"/>
      <c r="BQ209" s="115"/>
      <c r="BR209" s="25"/>
      <c r="BS209" s="13"/>
      <c r="BV209" s="114"/>
    </row>
    <row r="210" spans="1:74" ht="20.100000000000001" customHeight="1" x14ac:dyDescent="0.4">
      <c r="A210" s="117"/>
      <c r="B210" s="123"/>
      <c r="C210" s="123"/>
      <c r="D210" s="123"/>
      <c r="F210" s="117"/>
      <c r="G210" s="135"/>
      <c r="H210" s="135"/>
      <c r="I210" s="135"/>
      <c r="J210" s="135"/>
      <c r="K210" s="135"/>
      <c r="L210" s="136"/>
      <c r="M210" s="136"/>
      <c r="N210" s="136"/>
      <c r="O210" s="136"/>
      <c r="P210" s="136"/>
      <c r="Q210" s="136"/>
      <c r="R210" s="136"/>
      <c r="S210" s="25"/>
      <c r="T210" s="13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27"/>
      <c r="AJ210" s="29"/>
      <c r="AT210" s="25"/>
      <c r="AU210" s="13"/>
      <c r="AZ210" s="116"/>
      <c r="BA210" s="123"/>
      <c r="BB210" s="123"/>
      <c r="BC210" s="123"/>
      <c r="BH210" s="115"/>
      <c r="BI210" s="115"/>
      <c r="BJ210" s="115"/>
      <c r="BK210" s="115"/>
      <c r="BL210" s="115"/>
      <c r="BM210" s="115"/>
      <c r="BN210" s="115"/>
      <c r="BO210" s="115"/>
      <c r="BP210" s="115"/>
      <c r="BQ210" s="115"/>
      <c r="BR210" s="25"/>
      <c r="BS210" s="13"/>
      <c r="BV210" s="114"/>
    </row>
    <row r="211" spans="1:74" ht="20.100000000000001" customHeight="1" x14ac:dyDescent="0.4">
      <c r="A211" s="117"/>
      <c r="B211" s="123"/>
      <c r="C211" s="123"/>
      <c r="D211" s="123"/>
      <c r="F211" s="117"/>
      <c r="G211" s="135"/>
      <c r="H211" s="136"/>
      <c r="I211" s="136"/>
      <c r="J211" s="136"/>
      <c r="K211" s="136"/>
      <c r="L211" s="136"/>
      <c r="M211" s="136"/>
      <c r="N211" s="136"/>
      <c r="O211" s="136"/>
      <c r="P211" s="136"/>
      <c r="Q211" s="136"/>
      <c r="R211" s="136"/>
      <c r="S211" s="25"/>
      <c r="T211" s="13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27"/>
      <c r="AJ211" s="29"/>
      <c r="AT211" s="25"/>
      <c r="AU211" s="13"/>
      <c r="AZ211" s="116"/>
      <c r="BA211" s="123"/>
      <c r="BB211" s="123"/>
      <c r="BC211" s="123"/>
      <c r="BH211" s="115"/>
      <c r="BI211" s="115"/>
      <c r="BJ211" s="115"/>
      <c r="BK211" s="115"/>
      <c r="BL211" s="115"/>
      <c r="BM211" s="115"/>
      <c r="BN211" s="115"/>
      <c r="BO211" s="115"/>
      <c r="BP211" s="115"/>
      <c r="BQ211" s="115"/>
      <c r="BR211" s="25"/>
      <c r="BS211" s="13"/>
      <c r="BV211" s="114"/>
    </row>
    <row r="212" spans="1:74" ht="20.100000000000001" customHeight="1" x14ac:dyDescent="0.4">
      <c r="A212" s="117"/>
      <c r="B212" s="123"/>
      <c r="C212" s="123"/>
      <c r="D212" s="123"/>
      <c r="F212" s="117"/>
      <c r="G212" s="135"/>
      <c r="H212" s="136"/>
      <c r="I212" s="136"/>
      <c r="J212" s="136"/>
      <c r="K212" s="136"/>
      <c r="L212" s="136"/>
      <c r="M212" s="136"/>
      <c r="N212" s="136"/>
      <c r="O212" s="136"/>
      <c r="P212" s="136"/>
      <c r="Q212" s="136"/>
      <c r="R212" s="136"/>
      <c r="S212" s="25"/>
      <c r="T212" s="13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27"/>
      <c r="AJ212" s="29"/>
      <c r="AT212" s="25"/>
      <c r="AU212" s="13"/>
      <c r="AZ212" s="116"/>
      <c r="BA212" s="123"/>
      <c r="BB212" s="123"/>
      <c r="BC212" s="123"/>
      <c r="BH212" s="115"/>
      <c r="BI212" s="115"/>
      <c r="BJ212" s="115"/>
      <c r="BK212" s="115"/>
      <c r="BL212" s="115"/>
      <c r="BM212" s="115"/>
      <c r="BN212" s="115"/>
      <c r="BO212" s="115"/>
      <c r="BP212" s="115"/>
      <c r="BQ212" s="115"/>
      <c r="BR212" s="25"/>
      <c r="BS212" s="13"/>
      <c r="BV212" s="114"/>
    </row>
    <row r="213" spans="1:74" ht="20.100000000000001" customHeight="1" x14ac:dyDescent="0.4">
      <c r="A213" s="117"/>
      <c r="B213" s="123"/>
      <c r="C213" s="123"/>
      <c r="D213" s="123"/>
      <c r="F213" s="117"/>
      <c r="G213" s="135"/>
      <c r="H213" s="136"/>
      <c r="I213" s="136"/>
      <c r="J213" s="136"/>
      <c r="K213" s="136"/>
      <c r="L213" s="136"/>
      <c r="M213" s="136"/>
      <c r="N213" s="136"/>
      <c r="O213" s="136"/>
      <c r="P213" s="136"/>
      <c r="Q213" s="136"/>
      <c r="R213" s="136"/>
      <c r="S213" s="13"/>
      <c r="T213" s="13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27"/>
      <c r="AJ213" s="29"/>
      <c r="AT213" s="25"/>
      <c r="AU213" s="13"/>
      <c r="AZ213" s="116"/>
      <c r="BA213" s="123"/>
      <c r="BB213" s="123"/>
      <c r="BC213" s="123"/>
      <c r="BH213" s="115"/>
      <c r="BI213" s="115"/>
      <c r="BJ213" s="115"/>
      <c r="BK213" s="115"/>
      <c r="BL213" s="115"/>
      <c r="BM213" s="115"/>
      <c r="BN213" s="115"/>
      <c r="BO213" s="115"/>
      <c r="BP213" s="115"/>
      <c r="BQ213" s="115"/>
      <c r="BR213" s="25"/>
      <c r="BS213" s="13"/>
      <c r="BV213" s="114"/>
    </row>
    <row r="214" spans="1:74" ht="20.100000000000001" customHeight="1" x14ac:dyDescent="0.4">
      <c r="A214" s="117"/>
      <c r="B214" s="123"/>
      <c r="C214" s="123"/>
      <c r="D214" s="123"/>
      <c r="F214" s="117"/>
      <c r="G214" s="135"/>
      <c r="H214" s="136"/>
      <c r="I214" s="136"/>
      <c r="J214" s="136"/>
      <c r="K214" s="136"/>
      <c r="L214" s="136"/>
      <c r="M214" s="136"/>
      <c r="N214" s="136"/>
      <c r="O214" s="136"/>
      <c r="P214" s="136"/>
      <c r="Q214" s="136"/>
      <c r="R214" s="136"/>
      <c r="S214" s="25"/>
      <c r="T214" s="13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27"/>
      <c r="AJ214" s="29"/>
      <c r="AT214" s="25"/>
      <c r="AU214" s="13"/>
      <c r="AZ214" s="116"/>
      <c r="BA214" s="123"/>
      <c r="BB214" s="123"/>
      <c r="BC214" s="123"/>
      <c r="BH214" s="115"/>
      <c r="BI214" s="115"/>
      <c r="BJ214" s="115"/>
      <c r="BK214" s="115"/>
      <c r="BL214" s="115"/>
      <c r="BM214" s="115"/>
      <c r="BN214" s="115"/>
      <c r="BO214" s="115"/>
      <c r="BP214" s="115"/>
      <c r="BQ214" s="115"/>
      <c r="BR214" s="25"/>
      <c r="BS214" s="13"/>
      <c r="BV214" s="114"/>
    </row>
    <row r="215" spans="1:74" ht="20.100000000000001" customHeight="1" x14ac:dyDescent="0.4">
      <c r="A215" s="117"/>
      <c r="B215" s="123"/>
      <c r="C215" s="123"/>
      <c r="D215" s="123"/>
      <c r="F215" s="117"/>
      <c r="G215" s="135"/>
      <c r="H215" s="136"/>
      <c r="I215" s="136"/>
      <c r="J215" s="136"/>
      <c r="K215" s="136"/>
      <c r="L215" s="136"/>
      <c r="M215" s="136"/>
      <c r="N215" s="136"/>
      <c r="O215" s="136"/>
      <c r="P215" s="136"/>
      <c r="Q215" s="136"/>
      <c r="R215" s="136"/>
      <c r="S215" s="25"/>
      <c r="T215" s="13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27"/>
      <c r="AJ215" s="29"/>
      <c r="AT215" s="25"/>
      <c r="AU215" s="13"/>
      <c r="AZ215" s="116"/>
      <c r="BA215" s="123"/>
      <c r="BB215" s="123"/>
      <c r="BC215" s="123"/>
      <c r="BH215" s="115"/>
      <c r="BI215" s="115"/>
      <c r="BJ215" s="115"/>
      <c r="BK215" s="115"/>
      <c r="BL215" s="115"/>
      <c r="BM215" s="115"/>
      <c r="BN215" s="115"/>
      <c r="BO215" s="115"/>
      <c r="BP215" s="115"/>
      <c r="BQ215" s="115"/>
      <c r="BR215" s="25"/>
      <c r="BS215" s="13"/>
      <c r="BV215" s="114"/>
    </row>
    <row r="216" spans="1:74" ht="20.100000000000001" customHeight="1" x14ac:dyDescent="0.4">
      <c r="A216" s="117"/>
      <c r="B216" s="123"/>
      <c r="C216" s="123"/>
      <c r="D216" s="123"/>
      <c r="F216" s="117"/>
      <c r="G216" s="135"/>
      <c r="H216" s="136"/>
      <c r="I216" s="136"/>
      <c r="J216" s="136"/>
      <c r="K216" s="136"/>
      <c r="L216" s="136"/>
      <c r="M216" s="136"/>
      <c r="N216" s="136"/>
      <c r="O216" s="136"/>
      <c r="P216" s="136"/>
      <c r="Q216" s="136"/>
      <c r="R216" s="136"/>
      <c r="S216" s="25"/>
      <c r="T216" s="13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27"/>
      <c r="AJ216" s="29"/>
      <c r="AT216" s="25"/>
      <c r="AU216" s="13"/>
      <c r="AZ216" s="116"/>
      <c r="BA216" s="123"/>
      <c r="BB216" s="123"/>
      <c r="BC216" s="123"/>
      <c r="BH216" s="115"/>
      <c r="BI216" s="115"/>
      <c r="BJ216" s="115"/>
      <c r="BK216" s="115"/>
      <c r="BL216" s="115"/>
      <c r="BM216" s="115"/>
      <c r="BN216" s="115"/>
      <c r="BO216" s="115"/>
      <c r="BP216" s="115"/>
      <c r="BQ216" s="115"/>
      <c r="BR216" s="25"/>
      <c r="BS216" s="13"/>
      <c r="BV216" s="114"/>
    </row>
    <row r="217" spans="1:74" ht="20.100000000000001" customHeight="1" x14ac:dyDescent="0.4">
      <c r="A217" s="117"/>
      <c r="B217" s="123"/>
      <c r="C217" s="123"/>
      <c r="D217" s="123"/>
      <c r="F217" s="117"/>
      <c r="G217" s="135"/>
      <c r="H217" s="136"/>
      <c r="I217" s="136"/>
      <c r="J217" s="136"/>
      <c r="K217" s="136"/>
      <c r="L217" s="136"/>
      <c r="M217" s="136"/>
      <c r="N217" s="136"/>
      <c r="O217" s="136"/>
      <c r="P217" s="136"/>
      <c r="Q217" s="136"/>
      <c r="R217" s="136"/>
      <c r="S217" s="25"/>
      <c r="T217" s="13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27"/>
      <c r="AJ217" s="29"/>
      <c r="AT217" s="25"/>
      <c r="AU217" s="13"/>
      <c r="AZ217" s="116"/>
      <c r="BA217" s="123"/>
      <c r="BB217" s="123"/>
      <c r="BC217" s="123"/>
      <c r="BH217" s="115"/>
      <c r="BI217" s="115"/>
      <c r="BJ217" s="115"/>
      <c r="BK217" s="115"/>
      <c r="BL217" s="115"/>
      <c r="BM217" s="115"/>
      <c r="BN217" s="115"/>
      <c r="BO217" s="115"/>
      <c r="BP217" s="115"/>
      <c r="BQ217" s="115"/>
      <c r="BR217" s="25"/>
      <c r="BS217" s="13"/>
      <c r="BV217" s="114"/>
    </row>
    <row r="218" spans="1:74" ht="20.100000000000001" customHeight="1" x14ac:dyDescent="0.4">
      <c r="A218" s="117"/>
      <c r="B218" s="123"/>
      <c r="C218" s="123"/>
      <c r="D218" s="123"/>
      <c r="F218" s="117"/>
      <c r="G218" s="135"/>
      <c r="H218" s="136"/>
      <c r="I218" s="136"/>
      <c r="J218" s="136"/>
      <c r="K218" s="136"/>
      <c r="L218" s="136"/>
      <c r="M218" s="136"/>
      <c r="N218" s="136"/>
      <c r="O218" s="136"/>
      <c r="P218" s="136"/>
      <c r="Q218" s="136"/>
      <c r="R218" s="136"/>
      <c r="S218" s="13"/>
      <c r="T218" s="13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27"/>
      <c r="AJ218" s="29"/>
      <c r="AT218" s="25"/>
      <c r="AU218" s="13"/>
      <c r="AZ218" s="116"/>
      <c r="BA218" s="123"/>
      <c r="BB218" s="123"/>
      <c r="BC218" s="123"/>
      <c r="BH218" s="115"/>
      <c r="BI218" s="115"/>
      <c r="BJ218" s="115"/>
      <c r="BK218" s="115"/>
      <c r="BL218" s="115"/>
      <c r="BM218" s="115"/>
      <c r="BN218" s="115"/>
      <c r="BO218" s="115"/>
      <c r="BP218" s="115"/>
      <c r="BQ218" s="115"/>
      <c r="BR218" s="25"/>
      <c r="BS218" s="13"/>
      <c r="BV218" s="114"/>
    </row>
    <row r="219" spans="1:74" ht="20.100000000000001" customHeight="1" x14ac:dyDescent="0.4">
      <c r="A219" s="117"/>
      <c r="B219" s="123"/>
      <c r="C219" s="123"/>
      <c r="D219" s="123"/>
      <c r="F219" s="117"/>
      <c r="G219" s="135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25"/>
      <c r="T219" s="13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27"/>
      <c r="AJ219" s="29"/>
      <c r="AT219" s="25"/>
      <c r="AU219" s="13"/>
      <c r="AZ219" s="116"/>
      <c r="BA219" s="123"/>
      <c r="BB219" s="123"/>
      <c r="BC219" s="123"/>
      <c r="BH219" s="115"/>
      <c r="BI219" s="115"/>
      <c r="BJ219" s="115"/>
      <c r="BK219" s="115"/>
      <c r="BL219" s="115"/>
      <c r="BM219" s="115"/>
      <c r="BN219" s="115"/>
      <c r="BO219" s="115"/>
      <c r="BP219" s="115"/>
      <c r="BQ219" s="115"/>
      <c r="BR219" s="25"/>
      <c r="BS219" s="13"/>
      <c r="BV219" s="114"/>
    </row>
    <row r="220" spans="1:74" ht="20.100000000000001" customHeight="1" x14ac:dyDescent="0.4">
      <c r="A220" s="117"/>
      <c r="B220" s="123"/>
      <c r="C220" s="123"/>
      <c r="D220" s="123"/>
      <c r="F220" s="117"/>
      <c r="G220" s="135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25"/>
      <c r="T220" s="13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27"/>
      <c r="AJ220" s="29"/>
      <c r="AT220" s="25"/>
      <c r="AU220" s="13"/>
      <c r="AZ220" s="116"/>
      <c r="BA220" s="123"/>
      <c r="BB220" s="123"/>
      <c r="BC220" s="123"/>
      <c r="BH220" s="115"/>
      <c r="BI220" s="115"/>
      <c r="BJ220" s="115"/>
      <c r="BK220" s="115"/>
      <c r="BL220" s="115"/>
      <c r="BM220" s="115"/>
      <c r="BN220" s="115"/>
      <c r="BO220" s="115"/>
      <c r="BP220" s="115"/>
      <c r="BQ220" s="115"/>
      <c r="BR220" s="25"/>
      <c r="BS220" s="13"/>
      <c r="BV220" s="114"/>
    </row>
    <row r="221" spans="1:74" ht="20.100000000000001" customHeight="1" x14ac:dyDescent="0.4">
      <c r="A221" s="117"/>
      <c r="B221" s="123"/>
      <c r="C221" s="123"/>
      <c r="D221" s="123"/>
      <c r="F221" s="117"/>
      <c r="G221" s="135"/>
      <c r="H221" s="136"/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"/>
      <c r="T221" s="13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27"/>
      <c r="AJ221" s="29"/>
      <c r="AT221" s="25"/>
      <c r="AU221" s="13"/>
      <c r="AZ221" s="116"/>
      <c r="BA221" s="123"/>
      <c r="BB221" s="123"/>
      <c r="BC221" s="123"/>
      <c r="BH221" s="115"/>
      <c r="BI221" s="115"/>
      <c r="BJ221" s="115"/>
      <c r="BK221" s="115"/>
      <c r="BL221" s="115"/>
      <c r="BM221" s="115"/>
      <c r="BN221" s="115"/>
      <c r="BO221" s="115"/>
      <c r="BP221" s="115"/>
      <c r="BQ221" s="115"/>
      <c r="BR221" s="25"/>
      <c r="BS221" s="13"/>
      <c r="BV221" s="114"/>
    </row>
    <row r="222" spans="1:74" ht="20.100000000000001" customHeight="1" x14ac:dyDescent="0.4">
      <c r="A222" s="117"/>
      <c r="B222" s="123"/>
      <c r="C222" s="123"/>
      <c r="D222" s="123"/>
      <c r="F222" s="117"/>
      <c r="G222" s="135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25"/>
      <c r="T222" s="13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27"/>
      <c r="AJ222" s="29"/>
      <c r="AT222" s="25"/>
      <c r="AU222" s="13"/>
      <c r="AZ222" s="116"/>
      <c r="BA222" s="123"/>
      <c r="BB222" s="123"/>
      <c r="BC222" s="123"/>
      <c r="BH222" s="115"/>
      <c r="BI222" s="115"/>
      <c r="BJ222" s="115"/>
      <c r="BK222" s="115"/>
      <c r="BL222" s="115"/>
      <c r="BM222" s="115"/>
      <c r="BN222" s="115"/>
      <c r="BO222" s="115"/>
      <c r="BP222" s="115"/>
      <c r="BQ222" s="115"/>
      <c r="BR222" s="25"/>
      <c r="BS222" s="13"/>
      <c r="BV222" s="114"/>
    </row>
    <row r="223" spans="1:74" ht="20.100000000000001" customHeight="1" x14ac:dyDescent="0.4">
      <c r="A223" s="117"/>
      <c r="B223" s="123"/>
      <c r="C223" s="123"/>
      <c r="D223" s="123"/>
      <c r="F223" s="117"/>
      <c r="G223" s="135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"/>
      <c r="T223" s="13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27"/>
      <c r="AJ223" s="29"/>
      <c r="AT223" s="25"/>
      <c r="AU223" s="13"/>
      <c r="AZ223" s="116"/>
      <c r="BA223" s="123"/>
      <c r="BB223" s="123"/>
      <c r="BC223" s="123"/>
      <c r="BH223" s="115"/>
      <c r="BI223" s="115"/>
      <c r="BJ223" s="115"/>
      <c r="BK223" s="115"/>
      <c r="BL223" s="115"/>
      <c r="BM223" s="115"/>
      <c r="BN223" s="115"/>
      <c r="BO223" s="115"/>
      <c r="BP223" s="115"/>
      <c r="BQ223" s="115"/>
      <c r="BR223" s="25"/>
      <c r="BS223" s="13"/>
      <c r="BV223" s="114"/>
    </row>
    <row r="224" spans="1:74" ht="20.100000000000001" customHeight="1" x14ac:dyDescent="0.4">
      <c r="A224" s="117"/>
      <c r="B224" s="123"/>
      <c r="C224" s="123"/>
      <c r="D224" s="123"/>
      <c r="F224" s="117"/>
      <c r="G224" s="135"/>
      <c r="H224" s="136"/>
      <c r="I224" s="136"/>
      <c r="J224" s="136"/>
      <c r="K224" s="136"/>
      <c r="L224" s="136"/>
      <c r="M224" s="136"/>
      <c r="N224" s="136"/>
      <c r="O224" s="136"/>
      <c r="P224" s="136"/>
      <c r="Q224" s="136"/>
      <c r="R224" s="136"/>
      <c r="S224" s="25"/>
      <c r="T224" s="13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27"/>
      <c r="AJ224" s="29"/>
      <c r="AT224" s="25"/>
      <c r="AU224" s="13"/>
      <c r="AZ224" s="116"/>
      <c r="BA224" s="123"/>
      <c r="BB224" s="123"/>
      <c r="BC224" s="123"/>
      <c r="BH224" s="115"/>
      <c r="BI224" s="115"/>
      <c r="BJ224" s="115"/>
      <c r="BK224" s="115"/>
      <c r="BL224" s="115"/>
      <c r="BM224" s="115"/>
      <c r="BN224" s="115"/>
      <c r="BO224" s="115"/>
      <c r="BP224" s="115"/>
      <c r="BQ224" s="115"/>
      <c r="BR224" s="25"/>
      <c r="BS224" s="13"/>
      <c r="BV224" s="114"/>
    </row>
    <row r="225" spans="1:74" ht="20.100000000000001" customHeight="1" x14ac:dyDescent="0.4">
      <c r="A225" s="117"/>
      <c r="B225" s="123"/>
      <c r="C225" s="123"/>
      <c r="D225" s="123"/>
      <c r="F225" s="117"/>
      <c r="G225" s="135"/>
      <c r="H225" s="136"/>
      <c r="I225" s="136"/>
      <c r="J225" s="136"/>
      <c r="K225" s="136"/>
      <c r="L225" s="136"/>
      <c r="M225" s="136"/>
      <c r="N225" s="136"/>
      <c r="O225" s="136"/>
      <c r="P225" s="136"/>
      <c r="Q225" s="136"/>
      <c r="R225" s="136"/>
      <c r="S225" s="13"/>
      <c r="T225" s="13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27"/>
      <c r="AJ225" s="29"/>
      <c r="AT225" s="25"/>
      <c r="AU225" s="13"/>
      <c r="AZ225" s="116"/>
      <c r="BA225" s="123"/>
      <c r="BB225" s="123"/>
      <c r="BC225" s="123"/>
      <c r="BH225" s="115"/>
      <c r="BI225" s="115"/>
      <c r="BJ225" s="115"/>
      <c r="BK225" s="115"/>
      <c r="BL225" s="115"/>
      <c r="BM225" s="115"/>
      <c r="BN225" s="115"/>
      <c r="BO225" s="115"/>
      <c r="BP225" s="115"/>
      <c r="BQ225" s="115"/>
      <c r="BR225" s="25"/>
      <c r="BS225" s="13"/>
      <c r="BV225" s="114"/>
    </row>
    <row r="226" spans="1:74" ht="20.100000000000001" customHeight="1" x14ac:dyDescent="0.4">
      <c r="A226" s="117"/>
      <c r="B226" s="123"/>
      <c r="C226" s="123"/>
      <c r="D226" s="123"/>
      <c r="F226" s="117"/>
      <c r="G226" s="135"/>
      <c r="H226" s="136"/>
      <c r="I226" s="136"/>
      <c r="J226" s="136"/>
      <c r="K226" s="136"/>
      <c r="L226" s="136"/>
      <c r="M226" s="136"/>
      <c r="N226" s="136"/>
      <c r="O226" s="136"/>
      <c r="P226" s="136"/>
      <c r="Q226" s="136"/>
      <c r="R226" s="136"/>
      <c r="S226" s="25"/>
      <c r="T226" s="13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27"/>
      <c r="AJ226" s="29"/>
      <c r="AT226" s="25"/>
      <c r="AU226" s="13"/>
      <c r="AZ226" s="116"/>
      <c r="BA226" s="123"/>
      <c r="BB226" s="123"/>
      <c r="BC226" s="123"/>
      <c r="BH226" s="115"/>
      <c r="BI226" s="115"/>
      <c r="BJ226" s="115"/>
      <c r="BK226" s="115"/>
      <c r="BL226" s="115"/>
      <c r="BM226" s="115"/>
      <c r="BN226" s="115"/>
      <c r="BO226" s="115"/>
      <c r="BP226" s="115"/>
      <c r="BQ226" s="115"/>
      <c r="BR226" s="25"/>
      <c r="BS226" s="13"/>
      <c r="BV226" s="114"/>
    </row>
    <row r="227" spans="1:74" ht="20.100000000000001" customHeight="1" x14ac:dyDescent="0.4">
      <c r="A227" s="117"/>
      <c r="B227" s="123"/>
      <c r="C227" s="123"/>
      <c r="D227" s="123"/>
      <c r="F227" s="117"/>
      <c r="G227" s="135"/>
      <c r="H227" s="136"/>
      <c r="I227" s="136"/>
      <c r="J227" s="136"/>
      <c r="K227" s="136"/>
      <c r="L227" s="136"/>
      <c r="M227" s="136"/>
      <c r="N227" s="136"/>
      <c r="O227" s="136"/>
      <c r="P227" s="136"/>
      <c r="Q227" s="136"/>
      <c r="R227" s="136"/>
      <c r="S227" s="25"/>
      <c r="T227" s="13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27"/>
      <c r="AJ227" s="29"/>
      <c r="AT227" s="25"/>
      <c r="AU227" s="13"/>
      <c r="AZ227" s="116"/>
      <c r="BA227" s="123"/>
      <c r="BB227" s="123"/>
      <c r="BC227" s="123"/>
      <c r="BH227" s="115"/>
      <c r="BI227" s="115"/>
      <c r="BJ227" s="115"/>
      <c r="BK227" s="115"/>
      <c r="BL227" s="115"/>
      <c r="BM227" s="115"/>
      <c r="BN227" s="115"/>
      <c r="BO227" s="115"/>
      <c r="BP227" s="115"/>
      <c r="BQ227" s="115"/>
      <c r="BR227" s="25"/>
      <c r="BS227" s="13"/>
      <c r="BV227" s="114"/>
    </row>
    <row r="228" spans="1:74" ht="20.100000000000001" customHeight="1" x14ac:dyDescent="0.4">
      <c r="A228" s="117"/>
      <c r="B228" s="123"/>
      <c r="C228" s="123"/>
      <c r="D228" s="123"/>
      <c r="F228" s="117"/>
      <c r="G228" s="135"/>
      <c r="H228" s="136"/>
      <c r="I228" s="136"/>
      <c r="J228" s="136"/>
      <c r="K228" s="136"/>
      <c r="L228" s="136"/>
      <c r="M228" s="136"/>
      <c r="N228" s="136"/>
      <c r="O228" s="136"/>
      <c r="P228" s="136"/>
      <c r="Q228" s="136"/>
      <c r="R228" s="136"/>
      <c r="S228" s="26"/>
      <c r="T228" s="15"/>
      <c r="AI228" s="127"/>
      <c r="AJ228" s="29"/>
      <c r="AT228" s="25"/>
      <c r="AU228" s="13"/>
      <c r="AZ228" s="116"/>
      <c r="BA228" s="123"/>
      <c r="BB228" s="123"/>
      <c r="BC228" s="123"/>
      <c r="BH228" s="115"/>
      <c r="BI228" s="115"/>
      <c r="BJ228" s="115"/>
      <c r="BK228" s="115"/>
      <c r="BL228" s="115"/>
      <c r="BM228" s="115"/>
      <c r="BN228" s="115"/>
      <c r="BO228" s="115"/>
      <c r="BP228" s="115"/>
      <c r="BQ228" s="115"/>
      <c r="BR228" s="25"/>
      <c r="BS228" s="13"/>
      <c r="BV228" s="114"/>
    </row>
    <row r="229" spans="1:74" ht="20.100000000000001" customHeight="1" x14ac:dyDescent="0.4">
      <c r="A229" s="117"/>
      <c r="B229" s="123"/>
      <c r="C229" s="123"/>
      <c r="D229" s="123"/>
      <c r="F229" s="117"/>
      <c r="G229" s="135"/>
      <c r="H229" s="136"/>
      <c r="I229" s="136"/>
      <c r="J229" s="136"/>
      <c r="K229" s="136"/>
      <c r="L229" s="136"/>
      <c r="M229" s="136"/>
      <c r="N229" s="136"/>
      <c r="O229" s="136"/>
      <c r="P229" s="136"/>
      <c r="Q229" s="136"/>
      <c r="R229" s="136"/>
      <c r="S229" s="17"/>
      <c r="T229" s="15"/>
      <c r="AI229" s="127"/>
      <c r="AJ229" s="29"/>
      <c r="AT229" s="25"/>
      <c r="AU229" s="13"/>
      <c r="AZ229" s="116"/>
      <c r="BA229" s="123"/>
      <c r="BB229" s="123"/>
      <c r="BC229" s="123"/>
      <c r="BH229" s="115"/>
      <c r="BI229" s="115"/>
      <c r="BJ229" s="115"/>
      <c r="BK229" s="115"/>
      <c r="BL229" s="115"/>
      <c r="BM229" s="115"/>
      <c r="BN229" s="115"/>
      <c r="BO229" s="115"/>
      <c r="BP229" s="115"/>
      <c r="BQ229" s="115"/>
      <c r="BR229" s="25"/>
      <c r="BS229" s="13"/>
      <c r="BV229" s="114"/>
    </row>
    <row r="230" spans="1:74" ht="20.100000000000001" customHeight="1" x14ac:dyDescent="0.4">
      <c r="A230" s="117"/>
      <c r="B230" s="123"/>
      <c r="C230" s="123"/>
      <c r="D230" s="123"/>
      <c r="F230" s="117"/>
      <c r="G230" s="135"/>
      <c r="H230" s="136"/>
      <c r="I230" s="136"/>
      <c r="J230" s="136"/>
      <c r="K230" s="136"/>
      <c r="L230" s="136"/>
      <c r="M230" s="136"/>
      <c r="N230" s="136"/>
      <c r="O230" s="136"/>
      <c r="P230" s="136"/>
      <c r="Q230" s="136"/>
      <c r="R230" s="136"/>
      <c r="S230" s="26"/>
      <c r="T230" s="15"/>
      <c r="AE230" s="115"/>
      <c r="AF230" s="115"/>
      <c r="AG230" s="115"/>
      <c r="AH230" s="115"/>
      <c r="AI230" s="127"/>
      <c r="AJ230" s="29"/>
      <c r="AT230" s="25"/>
      <c r="AU230" s="13"/>
      <c r="AZ230" s="116"/>
      <c r="BA230" s="123"/>
      <c r="BB230" s="123"/>
      <c r="BC230" s="123"/>
      <c r="BH230" s="115"/>
      <c r="BI230" s="115"/>
      <c r="BJ230" s="115"/>
      <c r="BK230" s="115"/>
      <c r="BL230" s="115"/>
      <c r="BM230" s="115"/>
      <c r="BN230" s="115"/>
      <c r="BO230" s="115"/>
      <c r="BP230" s="115"/>
      <c r="BQ230" s="115"/>
      <c r="BR230" s="25"/>
      <c r="BS230" s="13"/>
      <c r="BV230" s="114"/>
    </row>
    <row r="231" spans="1:74" ht="20.100000000000001" customHeight="1" x14ac:dyDescent="0.4">
      <c r="A231" s="117"/>
      <c r="B231" s="123"/>
      <c r="C231" s="123"/>
      <c r="D231" s="123"/>
      <c r="F231" s="117"/>
      <c r="G231" s="135"/>
      <c r="H231" s="136"/>
      <c r="I231" s="136"/>
      <c r="J231" s="136"/>
      <c r="K231" s="136"/>
      <c r="L231" s="136"/>
      <c r="M231" s="136"/>
      <c r="N231" s="140"/>
      <c r="O231" s="140"/>
      <c r="P231" s="140"/>
      <c r="Q231" s="140"/>
      <c r="R231" s="140"/>
      <c r="S231" s="30"/>
      <c r="T231" s="15"/>
      <c r="AE231" s="115"/>
      <c r="AF231" s="115"/>
      <c r="AG231" s="115"/>
      <c r="AH231" s="115"/>
      <c r="AI231" s="127"/>
      <c r="AJ231" s="29"/>
      <c r="AT231" s="25"/>
      <c r="AU231" s="13"/>
      <c r="AZ231" s="116"/>
      <c r="BA231" s="123"/>
      <c r="BB231" s="123"/>
      <c r="BC231" s="123"/>
      <c r="BH231" s="115"/>
      <c r="BI231" s="115"/>
      <c r="BJ231" s="115"/>
      <c r="BK231" s="115"/>
      <c r="BL231" s="115"/>
      <c r="BM231" s="115"/>
      <c r="BN231" s="115"/>
      <c r="BO231" s="115"/>
      <c r="BP231" s="115"/>
      <c r="BQ231" s="115"/>
      <c r="BR231" s="25"/>
      <c r="BS231" s="13"/>
      <c r="BV231" s="114"/>
    </row>
    <row r="232" spans="1:74" ht="20.100000000000001" customHeight="1" x14ac:dyDescent="0.4">
      <c r="A232" s="117"/>
      <c r="B232" s="123"/>
      <c r="C232" s="123"/>
      <c r="D232" s="123"/>
      <c r="F232" s="117"/>
      <c r="G232" s="135"/>
      <c r="H232" s="136"/>
      <c r="I232" s="136"/>
      <c r="J232" s="136"/>
      <c r="K232" s="136"/>
      <c r="L232" s="136"/>
      <c r="M232" s="136"/>
      <c r="N232" s="140"/>
      <c r="O232" s="140"/>
      <c r="P232" s="140"/>
      <c r="Q232" s="140"/>
      <c r="R232" s="140"/>
      <c r="S232" s="141"/>
      <c r="T232" s="13"/>
      <c r="AE232" s="115"/>
      <c r="AF232" s="115"/>
      <c r="AG232" s="115"/>
      <c r="AH232" s="115"/>
      <c r="AI232" s="127"/>
      <c r="AJ232" s="29"/>
      <c r="AT232" s="25"/>
      <c r="AU232" s="13"/>
      <c r="AZ232" s="116"/>
      <c r="BA232" s="123"/>
      <c r="BB232" s="123"/>
      <c r="BC232" s="123"/>
      <c r="BH232" s="115"/>
      <c r="BI232" s="115"/>
      <c r="BJ232" s="115"/>
      <c r="BK232" s="115"/>
      <c r="BL232" s="115"/>
      <c r="BM232" s="115"/>
      <c r="BN232" s="115"/>
      <c r="BO232" s="115"/>
      <c r="BP232" s="115"/>
      <c r="BQ232" s="115"/>
      <c r="BR232" s="25"/>
      <c r="BS232" s="13"/>
      <c r="BV232" s="114"/>
    </row>
    <row r="233" spans="1:74" ht="20.100000000000001" customHeight="1" x14ac:dyDescent="0.4">
      <c r="A233" s="117"/>
      <c r="B233" s="123"/>
      <c r="C233" s="123"/>
      <c r="D233" s="123"/>
      <c r="F233" s="117"/>
      <c r="G233" s="135"/>
      <c r="H233" s="136"/>
      <c r="I233" s="136"/>
      <c r="J233" s="136"/>
      <c r="K233" s="136"/>
      <c r="L233" s="136"/>
      <c r="M233" s="136"/>
      <c r="N233" s="140"/>
      <c r="O233" s="140"/>
      <c r="P233" s="140"/>
      <c r="Q233" s="140"/>
      <c r="R233" s="140"/>
      <c r="S233" s="141"/>
      <c r="T233" s="13"/>
      <c r="AE233" s="115"/>
      <c r="AF233" s="115"/>
      <c r="AG233" s="115"/>
      <c r="AH233" s="115"/>
      <c r="AI233" s="127"/>
      <c r="AJ233" s="29"/>
      <c r="AT233" s="25"/>
      <c r="AU233" s="13"/>
      <c r="AZ233" s="116"/>
      <c r="BA233" s="123"/>
      <c r="BB233" s="123"/>
      <c r="BC233" s="123"/>
      <c r="BH233" s="115"/>
      <c r="BI233" s="115"/>
      <c r="BJ233" s="115"/>
      <c r="BK233" s="115"/>
      <c r="BL233" s="115"/>
      <c r="BM233" s="115"/>
      <c r="BN233" s="115"/>
      <c r="BO233" s="115"/>
      <c r="BP233" s="115"/>
      <c r="BQ233" s="115"/>
      <c r="BR233" s="25"/>
      <c r="BS233" s="13"/>
      <c r="BV233" s="114"/>
    </row>
    <row r="234" spans="1:74" ht="20.100000000000001" customHeight="1" x14ac:dyDescent="0.4">
      <c r="A234" s="117"/>
      <c r="B234" s="123"/>
      <c r="C234" s="123"/>
      <c r="D234" s="123"/>
      <c r="F234" s="117"/>
      <c r="G234" s="135"/>
      <c r="H234" s="136"/>
      <c r="I234" s="136"/>
      <c r="J234" s="136"/>
      <c r="K234" s="136"/>
      <c r="L234" s="136"/>
      <c r="M234" s="136"/>
      <c r="N234" s="136"/>
      <c r="O234" s="136"/>
      <c r="P234" s="136"/>
      <c r="Q234" s="136"/>
      <c r="R234" s="136"/>
      <c r="S234" s="25"/>
      <c r="T234" s="13"/>
      <c r="AE234" s="115"/>
      <c r="AF234" s="115"/>
      <c r="AG234" s="115"/>
      <c r="AH234" s="115"/>
      <c r="AI234" s="127"/>
      <c r="AJ234" s="29"/>
      <c r="AT234" s="25"/>
      <c r="AU234" s="13"/>
      <c r="AZ234" s="116"/>
      <c r="BA234" s="123"/>
      <c r="BB234" s="123"/>
      <c r="BC234" s="123"/>
      <c r="BH234" s="115"/>
      <c r="BI234" s="115"/>
      <c r="BJ234" s="115"/>
      <c r="BK234" s="115"/>
      <c r="BL234" s="115"/>
      <c r="BM234" s="115"/>
      <c r="BN234" s="115"/>
      <c r="BO234" s="115"/>
      <c r="BP234" s="115"/>
      <c r="BQ234" s="115"/>
      <c r="BR234" s="25"/>
      <c r="BS234" s="13"/>
      <c r="BV234" s="114"/>
    </row>
    <row r="235" spans="1:74" ht="20.100000000000001" customHeight="1" x14ac:dyDescent="0.4">
      <c r="A235" s="117"/>
      <c r="B235" s="123"/>
      <c r="C235" s="123"/>
      <c r="D235" s="123"/>
      <c r="F235" s="117"/>
      <c r="G235" s="135"/>
      <c r="H235" s="136"/>
      <c r="I235" s="136"/>
      <c r="J235" s="136"/>
      <c r="K235" s="136"/>
      <c r="L235" s="136"/>
      <c r="M235" s="136"/>
      <c r="N235" s="136"/>
      <c r="O235" s="136"/>
      <c r="P235" s="136"/>
      <c r="Q235" s="136"/>
      <c r="R235" s="136"/>
      <c r="S235" s="25"/>
      <c r="T235" s="13"/>
      <c r="AE235" s="115"/>
      <c r="AF235" s="115"/>
      <c r="AG235" s="115"/>
      <c r="AH235" s="115"/>
      <c r="AI235" s="127"/>
      <c r="AJ235" s="29"/>
      <c r="AT235" s="25"/>
      <c r="AU235" s="13"/>
      <c r="AZ235" s="116"/>
      <c r="BA235" s="123"/>
      <c r="BB235" s="123"/>
      <c r="BC235" s="123"/>
      <c r="BH235" s="115"/>
      <c r="BI235" s="115"/>
      <c r="BJ235" s="115"/>
      <c r="BK235" s="115"/>
      <c r="BL235" s="115"/>
      <c r="BM235" s="115"/>
      <c r="BN235" s="115"/>
      <c r="BO235" s="115"/>
      <c r="BP235" s="115"/>
      <c r="BQ235" s="115"/>
      <c r="BR235" s="25"/>
      <c r="BS235" s="13"/>
      <c r="BV235" s="114"/>
    </row>
    <row r="236" spans="1:74" ht="20.100000000000001" customHeight="1" x14ac:dyDescent="0.4">
      <c r="A236" s="117"/>
      <c r="B236" s="123"/>
      <c r="C236" s="123"/>
      <c r="D236" s="123"/>
      <c r="F236" s="117"/>
      <c r="G236" s="135"/>
      <c r="H236" s="136"/>
      <c r="I236" s="136"/>
      <c r="J236" s="136"/>
      <c r="K236" s="136"/>
      <c r="L236" s="136"/>
      <c r="M236" s="136"/>
      <c r="N236" s="136"/>
      <c r="O236" s="136"/>
      <c r="P236" s="136"/>
      <c r="Q236" s="136"/>
      <c r="R236" s="136"/>
      <c r="S236" s="25"/>
      <c r="T236" s="13"/>
      <c r="AA236" s="115"/>
      <c r="AB236" s="115"/>
      <c r="AC236" s="115"/>
      <c r="AD236" s="115"/>
      <c r="AE236" s="115"/>
      <c r="AF236" s="115"/>
      <c r="AG236" s="115"/>
      <c r="AH236" s="115"/>
      <c r="AI236" s="127"/>
      <c r="AJ236" s="29"/>
      <c r="AT236" s="25"/>
      <c r="AU236" s="13"/>
      <c r="AZ236" s="116"/>
      <c r="BA236" s="123"/>
      <c r="BB236" s="123"/>
      <c r="BC236" s="123"/>
      <c r="BH236" s="115"/>
      <c r="BI236" s="115"/>
      <c r="BJ236" s="115"/>
      <c r="BK236" s="115"/>
      <c r="BL236" s="115"/>
      <c r="BM236" s="115"/>
      <c r="BN236" s="115"/>
      <c r="BO236" s="115"/>
      <c r="BP236" s="115"/>
      <c r="BQ236" s="115"/>
      <c r="BR236" s="25"/>
      <c r="BS236" s="13"/>
      <c r="BV236" s="114"/>
    </row>
    <row r="237" spans="1:74" ht="20.100000000000001" customHeight="1" x14ac:dyDescent="0.4">
      <c r="A237" s="117"/>
      <c r="B237" s="123"/>
      <c r="C237" s="123"/>
      <c r="D237" s="123"/>
      <c r="F237" s="117"/>
      <c r="G237" s="135"/>
      <c r="H237" s="136"/>
      <c r="I237" s="136"/>
      <c r="J237" s="136"/>
      <c r="K237" s="136"/>
      <c r="L237" s="136"/>
      <c r="M237" s="136"/>
      <c r="N237" s="136"/>
      <c r="O237" s="136"/>
      <c r="P237" s="136"/>
      <c r="Q237" s="136"/>
      <c r="R237" s="136"/>
      <c r="S237" s="25"/>
      <c r="T237" s="13"/>
      <c r="AA237" s="115"/>
      <c r="AB237" s="115"/>
      <c r="AC237" s="115"/>
      <c r="AD237" s="115"/>
      <c r="AE237" s="115"/>
      <c r="AF237" s="115"/>
      <c r="AG237" s="115"/>
      <c r="AH237" s="115"/>
      <c r="AI237" s="29"/>
      <c r="AJ237" s="29"/>
      <c r="AT237" s="25"/>
      <c r="AU237" s="13"/>
      <c r="AZ237" s="116"/>
      <c r="BA237" s="123"/>
      <c r="BB237" s="123"/>
      <c r="BC237" s="123"/>
      <c r="BH237" s="115"/>
      <c r="BI237" s="115"/>
      <c r="BJ237" s="115"/>
      <c r="BK237" s="115"/>
      <c r="BL237" s="115"/>
      <c r="BM237" s="115"/>
      <c r="BN237" s="115"/>
      <c r="BO237" s="115"/>
      <c r="BP237" s="115"/>
      <c r="BQ237" s="115"/>
      <c r="BR237" s="25"/>
      <c r="BS237" s="13"/>
      <c r="BV237" s="114"/>
    </row>
    <row r="238" spans="1:74" ht="20.100000000000001" customHeight="1" x14ac:dyDescent="0.4">
      <c r="A238" s="117"/>
      <c r="B238" s="123"/>
      <c r="C238" s="123"/>
      <c r="D238" s="123"/>
      <c r="F238" s="117"/>
      <c r="G238" s="135"/>
      <c r="H238" s="136"/>
      <c r="I238" s="136"/>
      <c r="J238" s="136"/>
      <c r="K238" s="136"/>
      <c r="L238" s="136"/>
      <c r="M238" s="136"/>
      <c r="N238" s="136"/>
      <c r="O238" s="136"/>
      <c r="P238" s="136"/>
      <c r="Q238" s="136"/>
      <c r="R238" s="136"/>
      <c r="S238" s="13"/>
      <c r="T238" s="13"/>
      <c r="AA238" s="115"/>
      <c r="AB238" s="115"/>
      <c r="AC238" s="115"/>
      <c r="AD238" s="115"/>
      <c r="AE238" s="115"/>
      <c r="AF238" s="115"/>
      <c r="AG238" s="115"/>
      <c r="AH238" s="115"/>
      <c r="AI238" s="29"/>
      <c r="AJ238" s="29"/>
      <c r="AT238" s="25"/>
      <c r="AU238" s="13"/>
      <c r="AZ238" s="116"/>
      <c r="BA238" s="123"/>
      <c r="BB238" s="123"/>
      <c r="BC238" s="123"/>
      <c r="BH238" s="115"/>
      <c r="BI238" s="115"/>
      <c r="BJ238" s="115"/>
      <c r="BK238" s="115"/>
      <c r="BL238" s="115"/>
      <c r="BM238" s="115"/>
      <c r="BN238" s="115"/>
      <c r="BO238" s="115"/>
      <c r="BP238" s="115"/>
      <c r="BQ238" s="115"/>
      <c r="BR238" s="25"/>
      <c r="BS238" s="13"/>
      <c r="BV238" s="114"/>
    </row>
    <row r="239" spans="1:74" ht="20.100000000000001" customHeight="1" x14ac:dyDescent="0.4">
      <c r="A239" s="117"/>
      <c r="B239" s="123"/>
      <c r="C239" s="123"/>
      <c r="D239" s="123"/>
      <c r="F239" s="117"/>
      <c r="G239" s="135"/>
      <c r="H239" s="136"/>
      <c r="I239" s="136"/>
      <c r="J239" s="136"/>
      <c r="K239" s="136"/>
      <c r="L239" s="136"/>
      <c r="M239" s="136"/>
      <c r="N239" s="136"/>
      <c r="O239" s="136"/>
      <c r="P239" s="136"/>
      <c r="Q239" s="136"/>
      <c r="R239" s="136"/>
      <c r="S239" s="25"/>
      <c r="T239" s="13"/>
      <c r="AA239" s="115"/>
      <c r="AB239" s="115"/>
      <c r="AC239" s="115"/>
      <c r="AD239" s="115"/>
      <c r="AE239" s="115"/>
      <c r="AF239" s="115"/>
      <c r="AG239" s="115"/>
      <c r="AH239" s="115"/>
      <c r="AI239" s="127"/>
      <c r="AJ239" s="29"/>
      <c r="AT239" s="25"/>
      <c r="AU239" s="13"/>
      <c r="AZ239" s="116"/>
      <c r="BA239" s="123"/>
      <c r="BB239" s="123"/>
      <c r="BC239" s="123"/>
      <c r="BH239" s="115"/>
      <c r="BI239" s="115"/>
      <c r="BJ239" s="115"/>
      <c r="BK239" s="115"/>
      <c r="BL239" s="115"/>
      <c r="BM239" s="115"/>
      <c r="BN239" s="115"/>
      <c r="BO239" s="115"/>
      <c r="BP239" s="115"/>
      <c r="BQ239" s="115"/>
      <c r="BR239" s="25"/>
      <c r="BS239" s="13"/>
      <c r="BV239" s="114"/>
    </row>
    <row r="240" spans="1:74" ht="20.100000000000001" customHeight="1" x14ac:dyDescent="0.4">
      <c r="A240" s="117"/>
      <c r="B240" s="123"/>
      <c r="C240" s="123"/>
      <c r="D240" s="123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26"/>
      <c r="T240" s="13"/>
      <c r="AA240" s="115"/>
      <c r="AB240" s="115"/>
      <c r="AC240" s="115"/>
      <c r="AD240" s="115"/>
      <c r="AE240" s="115"/>
      <c r="AF240" s="115"/>
      <c r="AG240" s="115"/>
      <c r="AH240" s="115"/>
      <c r="AI240" s="127"/>
      <c r="AJ240" s="29"/>
      <c r="AT240" s="25"/>
      <c r="AU240" s="13"/>
      <c r="AZ240" s="116"/>
      <c r="BA240" s="123"/>
      <c r="BB240" s="123"/>
      <c r="BC240" s="123"/>
      <c r="BH240" s="115"/>
      <c r="BI240" s="115"/>
      <c r="BJ240" s="115"/>
      <c r="BK240" s="115"/>
      <c r="BL240" s="115"/>
      <c r="BM240" s="115"/>
      <c r="BN240" s="115"/>
      <c r="BO240" s="115"/>
      <c r="BP240" s="115"/>
      <c r="BQ240" s="115"/>
      <c r="BR240" s="25"/>
      <c r="BS240" s="13"/>
      <c r="BV240" s="114"/>
    </row>
    <row r="241" spans="1:74" ht="20.100000000000001" customHeight="1" x14ac:dyDescent="0.4">
      <c r="A241" s="117"/>
      <c r="B241" s="123"/>
      <c r="C241" s="123"/>
      <c r="D241" s="123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26"/>
      <c r="T241" s="13"/>
      <c r="AA241" s="115"/>
      <c r="AB241" s="115"/>
      <c r="AC241" s="115"/>
      <c r="AD241" s="115"/>
      <c r="AE241" s="115"/>
      <c r="AF241" s="115"/>
      <c r="AG241" s="115"/>
      <c r="AH241" s="115"/>
      <c r="AI241" s="127"/>
      <c r="AJ241" s="29"/>
      <c r="AT241" s="25"/>
      <c r="AU241" s="13"/>
      <c r="AZ241" s="116"/>
      <c r="BA241" s="123"/>
      <c r="BB241" s="123"/>
      <c r="BC241" s="123"/>
      <c r="BH241" s="115"/>
      <c r="BI241" s="115"/>
      <c r="BJ241" s="115"/>
      <c r="BK241" s="115"/>
      <c r="BL241" s="115"/>
      <c r="BM241" s="115"/>
      <c r="BN241" s="115"/>
      <c r="BO241" s="115"/>
      <c r="BP241" s="115"/>
      <c r="BQ241" s="115"/>
      <c r="BR241" s="25"/>
      <c r="BS241" s="13"/>
      <c r="BV241" s="114"/>
    </row>
    <row r="242" spans="1:74" ht="20.100000000000001" customHeight="1" x14ac:dyDescent="0.4">
      <c r="A242" s="117"/>
      <c r="B242" s="123"/>
      <c r="C242" s="123"/>
      <c r="D242" s="123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26"/>
      <c r="T242" s="13"/>
      <c r="AA242" s="115"/>
      <c r="AB242" s="115"/>
      <c r="AC242" s="115"/>
      <c r="AD242" s="115"/>
      <c r="AE242" s="115"/>
      <c r="AF242" s="115"/>
      <c r="AG242" s="115"/>
      <c r="AH242" s="115"/>
      <c r="AI242" s="127"/>
      <c r="AJ242" s="29"/>
      <c r="AT242" s="25"/>
      <c r="AU242" s="13"/>
      <c r="AZ242" s="116"/>
      <c r="BA242" s="123"/>
      <c r="BB242" s="123"/>
      <c r="BC242" s="123"/>
      <c r="BH242" s="115"/>
      <c r="BI242" s="115"/>
      <c r="BJ242" s="115"/>
      <c r="BK242" s="115"/>
      <c r="BL242" s="115"/>
      <c r="BM242" s="115"/>
      <c r="BN242" s="115"/>
      <c r="BO242" s="115"/>
      <c r="BP242" s="115"/>
      <c r="BQ242" s="115"/>
      <c r="BR242" s="25"/>
      <c r="BS242" s="13"/>
      <c r="BV242" s="114"/>
    </row>
    <row r="243" spans="1:74" ht="20.100000000000001" customHeight="1" x14ac:dyDescent="0.4">
      <c r="A243" s="117"/>
      <c r="B243" s="123"/>
      <c r="C243" s="123"/>
      <c r="D243" s="123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26"/>
      <c r="T243" s="13"/>
      <c r="AA243" s="115"/>
      <c r="AB243" s="115"/>
      <c r="AC243" s="115"/>
      <c r="AD243" s="115"/>
      <c r="AE243" s="115"/>
      <c r="AF243" s="115"/>
      <c r="AG243" s="115"/>
      <c r="AH243" s="115"/>
      <c r="AI243" s="127"/>
      <c r="AJ243" s="29"/>
      <c r="AT243" s="25"/>
      <c r="AU243" s="13"/>
      <c r="AZ243" s="116"/>
      <c r="BA243" s="123"/>
      <c r="BB243" s="123"/>
      <c r="BC243" s="123"/>
      <c r="BH243" s="115"/>
      <c r="BI243" s="115"/>
      <c r="BJ243" s="115"/>
      <c r="BK243" s="115"/>
      <c r="BL243" s="115"/>
      <c r="BM243" s="115"/>
      <c r="BN243" s="115"/>
      <c r="BO243" s="115"/>
      <c r="BP243" s="115"/>
      <c r="BQ243" s="115"/>
      <c r="BR243" s="25"/>
      <c r="BS243" s="13"/>
      <c r="BV243" s="114"/>
    </row>
    <row r="244" spans="1:74" ht="20.100000000000001" customHeight="1" x14ac:dyDescent="0.4">
      <c r="A244" s="117"/>
      <c r="B244" s="123"/>
      <c r="C244" s="123"/>
      <c r="D244" s="123"/>
      <c r="S244" s="26"/>
      <c r="T244" s="13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27"/>
      <c r="AJ244" s="29"/>
      <c r="AT244" s="25"/>
      <c r="AU244" s="13"/>
      <c r="AZ244" s="116"/>
      <c r="BA244" s="123"/>
      <c r="BB244" s="123"/>
      <c r="BC244" s="123"/>
      <c r="BH244" s="115"/>
      <c r="BI244" s="115"/>
      <c r="BJ244" s="115"/>
      <c r="BK244" s="115"/>
      <c r="BL244" s="115"/>
      <c r="BM244" s="115"/>
      <c r="BN244" s="115"/>
      <c r="BO244" s="115"/>
      <c r="BP244" s="115"/>
      <c r="BQ244" s="115"/>
      <c r="BR244" s="25"/>
      <c r="BS244" s="13"/>
      <c r="BV244" s="114"/>
    </row>
    <row r="245" spans="1:74" ht="20.100000000000001" customHeight="1" x14ac:dyDescent="0.4">
      <c r="A245" s="117"/>
      <c r="B245" s="123"/>
      <c r="C245" s="123"/>
      <c r="D245" s="123"/>
      <c r="K245" s="115"/>
      <c r="L245" s="115"/>
      <c r="M245" s="115"/>
      <c r="N245" s="115"/>
      <c r="O245" s="115"/>
      <c r="P245" s="115"/>
      <c r="Q245" s="115"/>
      <c r="R245" s="115"/>
      <c r="S245" s="26"/>
      <c r="T245" s="13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27"/>
      <c r="AJ245" s="29"/>
      <c r="AT245" s="25"/>
      <c r="AU245" s="13"/>
      <c r="AZ245" s="116"/>
      <c r="BA245" s="123"/>
      <c r="BB245" s="123"/>
      <c r="BC245" s="123"/>
      <c r="BH245" s="115"/>
      <c r="BI245" s="115"/>
      <c r="BJ245" s="115"/>
      <c r="BK245" s="115"/>
      <c r="BL245" s="115"/>
      <c r="BM245" s="115"/>
      <c r="BN245" s="115"/>
      <c r="BO245" s="115"/>
      <c r="BP245" s="115"/>
      <c r="BQ245" s="115"/>
      <c r="BR245" s="25"/>
      <c r="BS245" s="13"/>
      <c r="BV245" s="114"/>
    </row>
    <row r="246" spans="1:74" ht="20.100000000000001" customHeight="1" x14ac:dyDescent="0.4">
      <c r="A246" s="117"/>
      <c r="B246" s="123"/>
      <c r="C246" s="123"/>
      <c r="D246" s="123"/>
      <c r="K246" s="115"/>
      <c r="L246" s="115"/>
      <c r="M246" s="115"/>
      <c r="N246" s="115"/>
      <c r="O246" s="115"/>
      <c r="P246" s="115"/>
      <c r="Q246" s="115"/>
      <c r="R246" s="115"/>
      <c r="S246" s="26"/>
      <c r="T246" s="13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27"/>
      <c r="AJ246" s="29"/>
      <c r="AT246" s="25"/>
      <c r="AU246" s="13"/>
      <c r="AZ246" s="116"/>
      <c r="BA246" s="123"/>
      <c r="BB246" s="123"/>
      <c r="BC246" s="123"/>
      <c r="BH246" s="115"/>
      <c r="BI246" s="115"/>
      <c r="BJ246" s="115"/>
      <c r="BK246" s="115"/>
      <c r="BL246" s="115"/>
      <c r="BM246" s="115"/>
      <c r="BN246" s="115"/>
      <c r="BO246" s="115"/>
      <c r="BP246" s="115"/>
      <c r="BQ246" s="115"/>
      <c r="BR246" s="25"/>
      <c r="BS246" s="13"/>
      <c r="BV246" s="114"/>
    </row>
    <row r="247" spans="1:74" ht="20.100000000000001" customHeight="1" x14ac:dyDescent="0.4">
      <c r="A247" s="117"/>
      <c r="B247" s="123"/>
      <c r="C247" s="123"/>
      <c r="D247" s="123"/>
      <c r="S247" s="26"/>
      <c r="T247" s="13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27"/>
      <c r="AJ247" s="29"/>
      <c r="AT247" s="25"/>
      <c r="AU247" s="13"/>
      <c r="AZ247" s="116"/>
      <c r="BA247" s="123"/>
      <c r="BB247" s="123"/>
      <c r="BC247" s="123"/>
      <c r="BH247" s="115"/>
      <c r="BI247" s="115"/>
      <c r="BJ247" s="115"/>
      <c r="BK247" s="115"/>
      <c r="BL247" s="115"/>
      <c r="BM247" s="115"/>
      <c r="BN247" s="115"/>
      <c r="BO247" s="115"/>
      <c r="BP247" s="115"/>
      <c r="BQ247" s="115"/>
      <c r="BR247" s="25"/>
      <c r="BS247" s="13"/>
      <c r="BV247" s="114"/>
    </row>
    <row r="248" spans="1:74" ht="20.100000000000001" customHeight="1" x14ac:dyDescent="0.4">
      <c r="A248" s="117"/>
      <c r="B248" s="123"/>
      <c r="C248" s="123"/>
      <c r="D248" s="123"/>
      <c r="S248" s="26"/>
      <c r="T248" s="13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27"/>
      <c r="AJ248" s="134"/>
      <c r="AT248" s="25"/>
      <c r="AU248" s="13"/>
      <c r="AZ248" s="116"/>
      <c r="BA248" s="123"/>
      <c r="BB248" s="123"/>
      <c r="BC248" s="123"/>
      <c r="BH248" s="115"/>
      <c r="BI248" s="115"/>
      <c r="BJ248" s="115"/>
      <c r="BK248" s="115"/>
      <c r="BL248" s="115"/>
      <c r="BM248" s="115"/>
      <c r="BN248" s="115"/>
      <c r="BO248" s="115"/>
      <c r="BP248" s="115"/>
      <c r="BQ248" s="115"/>
      <c r="BR248" s="25"/>
      <c r="BS248" s="13"/>
      <c r="BV248" s="114"/>
    </row>
    <row r="249" spans="1:74" ht="20.100000000000001" customHeight="1" x14ac:dyDescent="0.4">
      <c r="A249" s="117"/>
      <c r="B249" s="123"/>
      <c r="C249" s="123"/>
      <c r="D249" s="123"/>
      <c r="L249" s="115"/>
      <c r="M249" s="115"/>
      <c r="N249" s="115"/>
      <c r="O249" s="115"/>
      <c r="P249" s="115"/>
      <c r="Q249" s="115"/>
      <c r="R249" s="115"/>
      <c r="S249" s="26"/>
      <c r="T249" s="13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27"/>
      <c r="AJ249" s="134"/>
      <c r="AT249" s="25"/>
      <c r="AU249" s="13"/>
      <c r="AZ249" s="116"/>
      <c r="BA249" s="123"/>
      <c r="BB249" s="123"/>
      <c r="BC249" s="123"/>
      <c r="BH249" s="115"/>
      <c r="BI249" s="115"/>
      <c r="BJ249" s="115"/>
      <c r="BK249" s="115"/>
      <c r="BL249" s="115"/>
      <c r="BM249" s="115"/>
      <c r="BN249" s="115"/>
      <c r="BO249" s="115"/>
      <c r="BP249" s="115"/>
      <c r="BQ249" s="115"/>
      <c r="BR249" s="25"/>
      <c r="BS249" s="13"/>
      <c r="BV249" s="114"/>
    </row>
    <row r="250" spans="1:74" ht="20.100000000000001" customHeight="1" x14ac:dyDescent="0.4">
      <c r="A250" s="117"/>
      <c r="B250" s="123"/>
      <c r="C250" s="123"/>
      <c r="D250" s="123"/>
      <c r="L250" s="115"/>
      <c r="M250" s="115"/>
      <c r="N250" s="115"/>
      <c r="O250" s="115"/>
      <c r="P250" s="115"/>
      <c r="Q250" s="115"/>
      <c r="R250" s="115"/>
      <c r="S250" s="17"/>
      <c r="T250" s="13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27"/>
      <c r="AJ250" s="134"/>
      <c r="AT250" s="25"/>
      <c r="AU250" s="13"/>
      <c r="AZ250" s="116"/>
      <c r="BA250" s="123"/>
      <c r="BB250" s="123"/>
      <c r="BC250" s="123"/>
      <c r="BH250" s="115"/>
      <c r="BI250" s="115"/>
      <c r="BJ250" s="115"/>
      <c r="BK250" s="115"/>
      <c r="BL250" s="115"/>
      <c r="BM250" s="115"/>
      <c r="BN250" s="115"/>
      <c r="BO250" s="115"/>
      <c r="BP250" s="115"/>
      <c r="BQ250" s="115"/>
      <c r="BR250" s="25"/>
      <c r="BS250" s="13"/>
      <c r="BV250" s="114"/>
    </row>
    <row r="251" spans="1:74" ht="20.100000000000001" customHeight="1" x14ac:dyDescent="0.4">
      <c r="A251" s="117"/>
      <c r="B251" s="123"/>
      <c r="C251" s="123"/>
      <c r="D251" s="123"/>
      <c r="J251" s="115"/>
      <c r="K251" s="115"/>
      <c r="L251" s="115"/>
      <c r="M251" s="115"/>
      <c r="N251" s="115"/>
      <c r="O251" s="115"/>
      <c r="P251" s="115"/>
      <c r="Q251" s="115"/>
      <c r="R251" s="115"/>
      <c r="S251" s="26"/>
      <c r="T251" s="13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27"/>
      <c r="AJ251" s="134"/>
      <c r="AT251" s="25"/>
      <c r="AU251" s="13"/>
      <c r="AZ251" s="116"/>
      <c r="BA251" s="123"/>
      <c r="BB251" s="123"/>
      <c r="BC251" s="123"/>
      <c r="BH251" s="115"/>
      <c r="BI251" s="115"/>
      <c r="BJ251" s="115"/>
      <c r="BK251" s="115"/>
      <c r="BL251" s="115"/>
      <c r="BM251" s="115"/>
      <c r="BN251" s="115"/>
      <c r="BO251" s="115"/>
      <c r="BP251" s="115"/>
      <c r="BQ251" s="115"/>
      <c r="BR251" s="25"/>
      <c r="BS251" s="13"/>
      <c r="BV251" s="114"/>
    </row>
    <row r="252" spans="1:74" ht="20.100000000000001" customHeight="1" x14ac:dyDescent="0.4">
      <c r="A252" s="117"/>
      <c r="B252" s="123"/>
      <c r="C252" s="123"/>
      <c r="D252" s="123"/>
      <c r="J252" s="115"/>
      <c r="K252" s="115"/>
      <c r="L252" s="115"/>
      <c r="M252" s="115"/>
      <c r="N252" s="115"/>
      <c r="O252" s="115"/>
      <c r="P252" s="115"/>
      <c r="Q252" s="115"/>
      <c r="R252" s="115"/>
      <c r="S252" s="26"/>
      <c r="T252" s="13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27"/>
      <c r="AJ252" s="134"/>
      <c r="AT252" s="25"/>
      <c r="AU252" s="13"/>
      <c r="AZ252" s="116"/>
      <c r="BA252" s="123"/>
      <c r="BB252" s="123"/>
      <c r="BC252" s="123"/>
      <c r="BH252" s="115"/>
      <c r="BI252" s="115"/>
      <c r="BJ252" s="115"/>
      <c r="BK252" s="115"/>
      <c r="BL252" s="115"/>
      <c r="BM252" s="115"/>
      <c r="BN252" s="115"/>
      <c r="BO252" s="115"/>
      <c r="BP252" s="115"/>
      <c r="BQ252" s="115"/>
      <c r="BR252" s="25"/>
      <c r="BS252" s="13"/>
      <c r="BV252" s="114"/>
    </row>
    <row r="253" spans="1:74" ht="20.100000000000001" customHeight="1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26"/>
      <c r="T253" s="13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27"/>
      <c r="AJ253" s="134"/>
      <c r="AT253" s="25"/>
      <c r="AU253" s="13"/>
      <c r="AZ253" s="116"/>
      <c r="BA253" s="123"/>
      <c r="BB253" s="123"/>
      <c r="BC253" s="123"/>
      <c r="BH253" s="115"/>
      <c r="BI253" s="115"/>
      <c r="BJ253" s="115"/>
      <c r="BK253" s="115"/>
      <c r="BL253" s="115"/>
      <c r="BM253" s="115"/>
      <c r="BN253" s="115"/>
      <c r="BO253" s="115"/>
      <c r="BP253" s="115"/>
      <c r="BQ253" s="115"/>
      <c r="BR253" s="25"/>
      <c r="BS253" s="13"/>
      <c r="BV253" s="114"/>
    </row>
    <row r="254" spans="1:74" ht="20.100000000000001" customHeight="1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26"/>
      <c r="T254" s="13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27"/>
      <c r="AJ254" s="134"/>
      <c r="AT254" s="25"/>
      <c r="AU254" s="13"/>
      <c r="AZ254" s="116"/>
      <c r="BA254" s="123"/>
      <c r="BB254" s="123"/>
      <c r="BC254" s="123"/>
      <c r="BH254" s="115"/>
      <c r="BI254" s="115"/>
      <c r="BJ254" s="115"/>
      <c r="BK254" s="115"/>
      <c r="BL254" s="115"/>
      <c r="BM254" s="115"/>
      <c r="BN254" s="115"/>
      <c r="BO254" s="115"/>
      <c r="BP254" s="115"/>
      <c r="BQ254" s="115"/>
      <c r="BR254" s="25"/>
      <c r="BS254" s="13"/>
      <c r="BV254" s="114"/>
    </row>
    <row r="255" spans="1:74" ht="20.100000000000001" customHeight="1" x14ac:dyDescent="0.4">
      <c r="A255" s="117"/>
      <c r="B255" s="123"/>
      <c r="C255" s="123"/>
      <c r="D255" s="123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26"/>
      <c r="T255" s="13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27"/>
      <c r="AJ255" s="134"/>
      <c r="AT255" s="25"/>
      <c r="AU255" s="13"/>
      <c r="AZ255" s="116"/>
      <c r="BA255" s="123"/>
      <c r="BB255" s="123"/>
      <c r="BC255" s="123"/>
      <c r="BH255" s="115"/>
      <c r="BI255" s="115"/>
      <c r="BJ255" s="115"/>
      <c r="BK255" s="115"/>
      <c r="BL255" s="115"/>
      <c r="BM255" s="115"/>
      <c r="BN255" s="115"/>
      <c r="BO255" s="115"/>
      <c r="BP255" s="115"/>
      <c r="BQ255" s="115"/>
      <c r="BR255" s="25"/>
      <c r="BS255" s="13"/>
      <c r="BV255" s="114"/>
    </row>
    <row r="256" spans="1:74" ht="20.100000000000001" customHeight="1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7"/>
      <c r="T256" s="13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27"/>
      <c r="AJ256" s="134"/>
      <c r="AT256" s="25"/>
      <c r="AU256" s="13"/>
      <c r="AZ256" s="116"/>
      <c r="BA256" s="123"/>
      <c r="BB256" s="123"/>
      <c r="BC256" s="123"/>
      <c r="BH256" s="115"/>
      <c r="BI256" s="115"/>
      <c r="BJ256" s="115"/>
      <c r="BK256" s="115"/>
      <c r="BL256" s="115"/>
      <c r="BM256" s="115"/>
      <c r="BN256" s="115"/>
      <c r="BO256" s="115"/>
      <c r="BP256" s="115"/>
      <c r="BQ256" s="115"/>
      <c r="BR256" s="25"/>
      <c r="BS256" s="13"/>
      <c r="BV256" s="114"/>
    </row>
    <row r="257" spans="1:74" ht="20.100000000000001" customHeight="1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26"/>
      <c r="T257" s="13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27"/>
      <c r="AJ257" s="134"/>
      <c r="AT257" s="25"/>
      <c r="AU257" s="13"/>
      <c r="AZ257" s="116"/>
      <c r="BA257" s="123"/>
      <c r="BB257" s="123"/>
      <c r="BC257" s="123"/>
      <c r="BH257" s="115"/>
      <c r="BI257" s="115"/>
      <c r="BJ257" s="115"/>
      <c r="BK257" s="115"/>
      <c r="BL257" s="115"/>
      <c r="BM257" s="115"/>
      <c r="BN257" s="115"/>
      <c r="BO257" s="115"/>
      <c r="BP257" s="115"/>
      <c r="BQ257" s="115"/>
      <c r="BR257" s="25"/>
      <c r="BS257" s="13"/>
      <c r="BV257" s="114"/>
    </row>
    <row r="258" spans="1:74" ht="20.100000000000001" customHeight="1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26"/>
      <c r="T258" s="13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27"/>
      <c r="AJ258" s="134"/>
      <c r="AT258" s="25"/>
      <c r="AU258" s="13"/>
      <c r="AZ258" s="116"/>
      <c r="BA258" s="123"/>
      <c r="BB258" s="123"/>
      <c r="BC258" s="123"/>
      <c r="BH258" s="115"/>
      <c r="BI258" s="115"/>
      <c r="BJ258" s="115"/>
      <c r="BK258" s="115"/>
      <c r="BL258" s="115"/>
      <c r="BM258" s="115"/>
      <c r="BN258" s="115"/>
      <c r="BO258" s="115"/>
      <c r="BP258" s="115"/>
      <c r="BQ258" s="115"/>
      <c r="BR258" s="25"/>
      <c r="BS258" s="13"/>
      <c r="BV258" s="114"/>
    </row>
    <row r="259" spans="1:74" ht="20.100000000000001" customHeight="1" x14ac:dyDescent="0.4">
      <c r="A259" s="117"/>
      <c r="B259" s="123"/>
      <c r="C259" s="123"/>
      <c r="D259" s="123"/>
      <c r="S259" s="26"/>
      <c r="T259" s="13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27"/>
      <c r="AJ259" s="29"/>
      <c r="AT259" s="25"/>
      <c r="AU259" s="13"/>
      <c r="AZ259" s="116"/>
      <c r="BA259" s="123"/>
      <c r="BB259" s="123"/>
      <c r="BC259" s="123"/>
      <c r="BH259" s="115"/>
      <c r="BI259" s="115"/>
      <c r="BJ259" s="115"/>
      <c r="BK259" s="115"/>
      <c r="BL259" s="115"/>
      <c r="BM259" s="115"/>
      <c r="BN259" s="115"/>
      <c r="BO259" s="115"/>
      <c r="BP259" s="115"/>
      <c r="BQ259" s="115"/>
      <c r="BR259" s="25"/>
      <c r="BS259" s="13"/>
      <c r="BV259" s="114"/>
    </row>
    <row r="260" spans="1:74" ht="20.100000000000001" customHeight="1" x14ac:dyDescent="0.4">
      <c r="A260" s="117"/>
      <c r="B260" s="123"/>
      <c r="C260" s="123"/>
      <c r="D260" s="123"/>
      <c r="S260" s="26"/>
      <c r="T260" s="13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29"/>
      <c r="AJ260" s="29"/>
      <c r="AT260" s="25"/>
      <c r="AU260" s="13"/>
      <c r="AZ260" s="116"/>
      <c r="BA260" s="123"/>
      <c r="BB260" s="123"/>
      <c r="BC260" s="123"/>
      <c r="BH260" s="115"/>
      <c r="BI260" s="115"/>
      <c r="BJ260" s="115"/>
      <c r="BK260" s="115"/>
      <c r="BL260" s="115"/>
      <c r="BM260" s="115"/>
      <c r="BN260" s="115"/>
      <c r="BO260" s="115"/>
      <c r="BP260" s="115"/>
      <c r="BQ260" s="115"/>
      <c r="BR260" s="25"/>
      <c r="BS260" s="13"/>
      <c r="BV260" s="114"/>
    </row>
    <row r="261" spans="1:74" ht="20.100000000000001" customHeight="1" x14ac:dyDescent="0.4">
      <c r="A261" s="117"/>
      <c r="B261" s="123"/>
      <c r="C261" s="123"/>
      <c r="D261" s="123"/>
      <c r="S261" s="26"/>
      <c r="T261" s="13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27"/>
      <c r="AJ261" s="29"/>
      <c r="AT261" s="25"/>
      <c r="AU261" s="13"/>
      <c r="AZ261" s="116"/>
      <c r="BA261" s="123"/>
      <c r="BB261" s="123"/>
      <c r="BC261" s="123"/>
      <c r="BH261" s="115"/>
      <c r="BI261" s="115"/>
      <c r="BJ261" s="115"/>
      <c r="BK261" s="115"/>
      <c r="BL261" s="115"/>
      <c r="BM261" s="115"/>
      <c r="BN261" s="115"/>
      <c r="BO261" s="115"/>
      <c r="BP261" s="115"/>
      <c r="BQ261" s="115"/>
      <c r="BR261" s="25"/>
      <c r="BS261" s="13"/>
      <c r="BV261" s="114"/>
    </row>
    <row r="262" spans="1:74" ht="20.100000000000001" customHeight="1" x14ac:dyDescent="0.4">
      <c r="A262" s="117"/>
      <c r="B262" s="123"/>
      <c r="C262" s="123"/>
      <c r="D262" s="123"/>
      <c r="S262" s="26"/>
      <c r="T262" s="13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27"/>
      <c r="AJ262" s="29"/>
      <c r="AT262" s="25"/>
      <c r="AU262" s="13"/>
      <c r="AZ262" s="116"/>
      <c r="BA262" s="123"/>
      <c r="BB262" s="123"/>
      <c r="BC262" s="123"/>
      <c r="BH262" s="115"/>
      <c r="BI262" s="115"/>
      <c r="BJ262" s="115"/>
      <c r="BK262" s="115"/>
      <c r="BL262" s="115"/>
      <c r="BM262" s="115"/>
      <c r="BN262" s="115"/>
      <c r="BO262" s="115"/>
      <c r="BP262" s="115"/>
      <c r="BQ262" s="115"/>
      <c r="BR262" s="25"/>
      <c r="BS262" s="13"/>
      <c r="BV262" s="114"/>
    </row>
    <row r="263" spans="1:74" ht="20.100000000000001" customHeight="1" x14ac:dyDescent="0.4">
      <c r="A263" s="117"/>
      <c r="B263" s="123"/>
      <c r="C263" s="123"/>
      <c r="D263" s="123"/>
      <c r="M263" s="115"/>
      <c r="N263" s="115"/>
      <c r="O263" s="115"/>
      <c r="P263" s="115"/>
      <c r="Q263" s="115"/>
      <c r="R263" s="115"/>
      <c r="S263" s="17"/>
      <c r="T263" s="13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27"/>
      <c r="AJ263" s="29"/>
      <c r="AT263" s="25"/>
      <c r="AU263" s="13"/>
      <c r="AZ263" s="116"/>
      <c r="BA263" s="123"/>
      <c r="BB263" s="123"/>
      <c r="BC263" s="123"/>
      <c r="BH263" s="115"/>
      <c r="BI263" s="115"/>
      <c r="BJ263" s="115"/>
      <c r="BK263" s="115"/>
      <c r="BL263" s="115"/>
      <c r="BM263" s="115"/>
      <c r="BN263" s="115"/>
      <c r="BO263" s="115"/>
      <c r="BP263" s="115"/>
      <c r="BQ263" s="115"/>
      <c r="BR263" s="25"/>
      <c r="BS263" s="13"/>
      <c r="BV263" s="114"/>
    </row>
    <row r="264" spans="1:74" ht="20.100000000000001" customHeight="1" x14ac:dyDescent="0.4">
      <c r="A264" s="117"/>
      <c r="B264" s="123"/>
      <c r="C264" s="123"/>
      <c r="D264" s="123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26"/>
      <c r="T264" s="13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27"/>
      <c r="AJ264" s="29"/>
      <c r="AT264" s="25"/>
      <c r="AU264" s="13"/>
      <c r="AZ264" s="116"/>
      <c r="BA264" s="123"/>
      <c r="BB264" s="123"/>
      <c r="BC264" s="123"/>
      <c r="BH264" s="115"/>
      <c r="BI264" s="115"/>
      <c r="BJ264" s="115"/>
      <c r="BK264" s="115"/>
      <c r="BL264" s="115"/>
      <c r="BM264" s="115"/>
      <c r="BN264" s="115"/>
      <c r="BO264" s="115"/>
      <c r="BP264" s="115"/>
      <c r="BQ264" s="115"/>
      <c r="BR264" s="25"/>
      <c r="BS264" s="13"/>
      <c r="BV264" s="114"/>
    </row>
    <row r="265" spans="1:74" ht="20.100000000000001" customHeight="1" x14ac:dyDescent="0.4">
      <c r="A265" s="117"/>
      <c r="B265" s="123"/>
      <c r="C265" s="123"/>
      <c r="D265" s="123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26"/>
      <c r="T265" s="13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27"/>
      <c r="AJ265" s="29"/>
      <c r="AT265" s="25"/>
      <c r="AU265" s="13"/>
      <c r="AZ265" s="116"/>
      <c r="BA265" s="123"/>
      <c r="BB265" s="123"/>
      <c r="BC265" s="123"/>
      <c r="BH265" s="115"/>
      <c r="BI265" s="115"/>
      <c r="BJ265" s="115"/>
      <c r="BK265" s="115"/>
      <c r="BL265" s="115"/>
      <c r="BM265" s="115"/>
      <c r="BN265" s="115"/>
      <c r="BO265" s="115"/>
      <c r="BP265" s="115"/>
      <c r="BQ265" s="115"/>
      <c r="BR265" s="25"/>
      <c r="BS265" s="13"/>
      <c r="BV265" s="114"/>
    </row>
    <row r="266" spans="1:74" ht="20.100000000000001" customHeight="1" x14ac:dyDescent="0.4">
      <c r="A266" s="117"/>
      <c r="B266" s="123"/>
      <c r="C266" s="123"/>
      <c r="D266" s="123"/>
      <c r="S266" s="26"/>
      <c r="T266" s="133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27"/>
      <c r="AJ266" s="29"/>
      <c r="AT266" s="25"/>
      <c r="AU266" s="13"/>
      <c r="AZ266" s="116"/>
      <c r="BA266" s="123"/>
      <c r="BB266" s="123"/>
      <c r="BC266" s="123"/>
      <c r="BH266" s="115"/>
      <c r="BI266" s="115"/>
      <c r="BJ266" s="115"/>
      <c r="BK266" s="115"/>
      <c r="BL266" s="115"/>
      <c r="BM266" s="115"/>
      <c r="BN266" s="115"/>
      <c r="BO266" s="115"/>
      <c r="BP266" s="115"/>
      <c r="BQ266" s="115"/>
      <c r="BR266" s="25"/>
      <c r="BS266" s="13"/>
      <c r="BV266" s="114"/>
    </row>
    <row r="267" spans="1:74" ht="20.100000000000001" customHeight="1" x14ac:dyDescent="0.4">
      <c r="A267" s="117"/>
      <c r="B267" s="123"/>
      <c r="C267" s="123"/>
      <c r="D267" s="123"/>
      <c r="S267" s="26"/>
      <c r="T267" s="13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27"/>
      <c r="AJ267" s="29"/>
      <c r="AT267" s="25"/>
      <c r="AU267" s="13"/>
      <c r="AZ267" s="116"/>
      <c r="BA267" s="123"/>
      <c r="BB267" s="123"/>
      <c r="BC267" s="123"/>
      <c r="BH267" s="115"/>
      <c r="BI267" s="115"/>
      <c r="BJ267" s="115"/>
      <c r="BK267" s="115"/>
      <c r="BL267" s="115"/>
      <c r="BM267" s="115"/>
      <c r="BN267" s="115"/>
      <c r="BO267" s="115"/>
      <c r="BP267" s="115"/>
      <c r="BQ267" s="115"/>
      <c r="BR267" s="25"/>
      <c r="BS267" s="13"/>
      <c r="BV267" s="114"/>
    </row>
    <row r="268" spans="1:74" ht="20.100000000000001" customHeight="1" x14ac:dyDescent="0.4">
      <c r="A268" s="117"/>
      <c r="B268" s="123"/>
      <c r="C268" s="123"/>
      <c r="D268" s="123"/>
      <c r="J268" s="115"/>
      <c r="K268" s="115"/>
      <c r="L268" s="115"/>
      <c r="M268" s="115"/>
      <c r="N268" s="115"/>
      <c r="O268" s="115"/>
      <c r="P268" s="115"/>
      <c r="Q268" s="115"/>
      <c r="R268" s="115"/>
      <c r="S268" s="26"/>
      <c r="T268" s="13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27"/>
      <c r="AJ268" s="29"/>
      <c r="AT268" s="25"/>
      <c r="AU268" s="13"/>
      <c r="AZ268" s="116"/>
      <c r="BA268" s="123"/>
      <c r="BB268" s="123"/>
      <c r="BC268" s="123"/>
      <c r="BH268" s="115"/>
      <c r="BI268" s="115"/>
      <c r="BJ268" s="115"/>
      <c r="BK268" s="115"/>
      <c r="BL268" s="115"/>
      <c r="BM268" s="115"/>
      <c r="BN268" s="115"/>
      <c r="BO268" s="115"/>
      <c r="BP268" s="115"/>
      <c r="BQ268" s="115"/>
      <c r="BR268" s="25"/>
      <c r="BS268" s="13"/>
      <c r="BV268" s="114"/>
    </row>
    <row r="269" spans="1:74" ht="20.100000000000001" customHeight="1" x14ac:dyDescent="0.4">
      <c r="A269" s="117"/>
      <c r="B269" s="123"/>
      <c r="C269" s="123"/>
      <c r="D269" s="123"/>
      <c r="J269" s="115"/>
      <c r="K269" s="115"/>
      <c r="L269" s="115"/>
      <c r="M269" s="115"/>
      <c r="N269" s="115"/>
      <c r="O269" s="115"/>
      <c r="P269" s="115"/>
      <c r="Q269" s="115"/>
      <c r="R269" s="115"/>
      <c r="S269" s="17"/>
      <c r="T269" s="13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27"/>
      <c r="AJ269" s="29"/>
      <c r="AT269" s="25"/>
      <c r="AU269" s="13"/>
      <c r="AZ269" s="116"/>
      <c r="BA269" s="123"/>
      <c r="BB269" s="123"/>
      <c r="BC269" s="123"/>
      <c r="BH269" s="115"/>
      <c r="BI269" s="115"/>
      <c r="BJ269" s="115"/>
      <c r="BK269" s="115"/>
      <c r="BL269" s="115"/>
      <c r="BM269" s="115"/>
      <c r="BN269" s="115"/>
      <c r="BO269" s="115"/>
      <c r="BP269" s="115"/>
      <c r="BQ269" s="115"/>
      <c r="BR269" s="25"/>
      <c r="BS269" s="13"/>
      <c r="BV269" s="114"/>
    </row>
    <row r="270" spans="1:74" ht="20.100000000000001" customHeight="1" x14ac:dyDescent="0.4">
      <c r="A270" s="117"/>
      <c r="B270" s="123"/>
      <c r="C270" s="123"/>
      <c r="D270" s="123"/>
      <c r="S270" s="26"/>
      <c r="T270" s="13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27"/>
      <c r="AJ270" s="29"/>
      <c r="AT270" s="25"/>
      <c r="AU270" s="13"/>
      <c r="AZ270" s="116"/>
      <c r="BA270" s="123"/>
      <c r="BB270" s="123"/>
      <c r="BC270" s="123"/>
      <c r="BH270" s="115"/>
      <c r="BI270" s="115"/>
      <c r="BJ270" s="115"/>
      <c r="BK270" s="115"/>
      <c r="BL270" s="115"/>
      <c r="BM270" s="115"/>
      <c r="BN270" s="115"/>
      <c r="BO270" s="115"/>
      <c r="BP270" s="115"/>
      <c r="BQ270" s="115"/>
      <c r="BR270" s="25"/>
      <c r="BS270" s="13"/>
      <c r="BV270" s="114"/>
    </row>
    <row r="271" spans="1:74" ht="20.100000000000001" customHeight="1" x14ac:dyDescent="0.4">
      <c r="A271" s="117"/>
      <c r="B271" s="123"/>
      <c r="C271" s="123"/>
      <c r="D271" s="123"/>
      <c r="M271" s="115"/>
      <c r="N271" s="115"/>
      <c r="O271" s="115"/>
      <c r="P271" s="115"/>
      <c r="Q271" s="115"/>
      <c r="R271" s="115"/>
      <c r="S271" s="17"/>
      <c r="T271" s="13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27"/>
      <c r="AJ271" s="29"/>
      <c r="AT271" s="25"/>
      <c r="AU271" s="13"/>
      <c r="AZ271" s="116"/>
      <c r="BA271" s="123"/>
      <c r="BB271" s="123"/>
      <c r="BC271" s="123"/>
      <c r="BH271" s="115"/>
      <c r="BI271" s="115"/>
      <c r="BJ271" s="115"/>
      <c r="BK271" s="115"/>
      <c r="BL271" s="115"/>
      <c r="BM271" s="115"/>
      <c r="BN271" s="115"/>
      <c r="BO271" s="115"/>
      <c r="BP271" s="115"/>
      <c r="BQ271" s="115"/>
      <c r="BR271" s="25"/>
      <c r="BS271" s="13"/>
      <c r="BV271" s="114"/>
    </row>
    <row r="272" spans="1:74" ht="20.100000000000001" customHeight="1" x14ac:dyDescent="0.4">
      <c r="A272" s="117"/>
      <c r="B272" s="123"/>
      <c r="C272" s="123"/>
      <c r="D272" s="123"/>
      <c r="J272" s="115"/>
      <c r="K272" s="115"/>
      <c r="L272" s="115"/>
      <c r="M272" s="115"/>
      <c r="N272" s="115"/>
      <c r="O272" s="115"/>
      <c r="P272" s="115"/>
      <c r="Q272" s="115"/>
      <c r="R272" s="115"/>
      <c r="S272" s="26"/>
      <c r="T272" s="13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27"/>
      <c r="AJ272" s="29"/>
      <c r="AT272" s="25"/>
      <c r="AU272" s="13"/>
      <c r="AZ272" s="116"/>
      <c r="BA272" s="123"/>
      <c r="BB272" s="123"/>
      <c r="BC272" s="123"/>
      <c r="BH272" s="115"/>
      <c r="BI272" s="115"/>
      <c r="BJ272" s="115"/>
      <c r="BK272" s="115"/>
      <c r="BL272" s="115"/>
      <c r="BM272" s="115"/>
      <c r="BN272" s="115"/>
      <c r="BO272" s="115"/>
      <c r="BP272" s="115"/>
      <c r="BQ272" s="115"/>
      <c r="BR272" s="25"/>
      <c r="BS272" s="13"/>
      <c r="BV272" s="114"/>
    </row>
    <row r="273" spans="1:74" ht="20.100000000000001" customHeight="1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26"/>
      <c r="T273" s="13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27"/>
      <c r="AJ273" s="29"/>
      <c r="AT273" s="25"/>
      <c r="AU273" s="13"/>
      <c r="AZ273" s="116"/>
      <c r="BA273" s="123"/>
      <c r="BB273" s="123"/>
      <c r="BC273" s="123"/>
      <c r="BH273" s="115"/>
      <c r="BI273" s="115"/>
      <c r="BJ273" s="115"/>
      <c r="BK273" s="115"/>
      <c r="BL273" s="115"/>
      <c r="BM273" s="115"/>
      <c r="BN273" s="115"/>
      <c r="BO273" s="115"/>
      <c r="BP273" s="115"/>
      <c r="BQ273" s="115"/>
      <c r="BR273" s="25"/>
      <c r="BS273" s="13"/>
      <c r="BV273" s="114"/>
    </row>
    <row r="274" spans="1:74" ht="20.100000000000001" customHeight="1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7"/>
      <c r="T274" s="13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27"/>
      <c r="AJ274" s="29"/>
      <c r="AT274" s="25"/>
      <c r="AU274" s="13"/>
      <c r="AZ274" s="116"/>
      <c r="BA274" s="123"/>
      <c r="BB274" s="123"/>
      <c r="BC274" s="123"/>
      <c r="BH274" s="115"/>
      <c r="BI274" s="115"/>
      <c r="BJ274" s="115"/>
      <c r="BK274" s="115"/>
      <c r="BL274" s="115"/>
      <c r="BM274" s="115"/>
      <c r="BN274" s="115"/>
      <c r="BO274" s="115"/>
      <c r="BP274" s="115"/>
      <c r="BQ274" s="115"/>
      <c r="BR274" s="25"/>
      <c r="BS274" s="13"/>
      <c r="BV274" s="114"/>
    </row>
    <row r="275" spans="1:74" ht="20.100000000000001" customHeight="1" x14ac:dyDescent="0.4">
      <c r="A275" s="117"/>
      <c r="B275" s="123"/>
      <c r="C275" s="123"/>
      <c r="D275" s="123"/>
      <c r="S275" s="26"/>
      <c r="T275" s="133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29"/>
      <c r="AJ275" s="29"/>
      <c r="AT275" s="25"/>
      <c r="AU275" s="13"/>
      <c r="AZ275" s="116"/>
      <c r="BA275" s="123"/>
      <c r="BB275" s="123"/>
      <c r="BC275" s="123"/>
      <c r="BH275" s="115"/>
      <c r="BI275" s="115"/>
      <c r="BJ275" s="115"/>
      <c r="BK275" s="115"/>
      <c r="BL275" s="115"/>
      <c r="BM275" s="115"/>
      <c r="BN275" s="115"/>
      <c r="BO275" s="115"/>
      <c r="BP275" s="115"/>
      <c r="BQ275" s="115"/>
      <c r="BR275" s="25"/>
      <c r="BS275" s="13"/>
      <c r="BV275" s="114"/>
    </row>
    <row r="276" spans="1:74" ht="20.100000000000001" customHeight="1" x14ac:dyDescent="0.4">
      <c r="A276" s="117"/>
      <c r="B276" s="123"/>
      <c r="C276" s="123"/>
      <c r="D276" s="123"/>
      <c r="M276" s="115"/>
      <c r="N276" s="115"/>
      <c r="O276" s="115"/>
      <c r="P276" s="115"/>
      <c r="Q276" s="115"/>
      <c r="R276" s="115"/>
      <c r="S276" s="17"/>
      <c r="T276" s="13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29"/>
      <c r="AJ276" s="29"/>
      <c r="AT276" s="25"/>
      <c r="AU276" s="13"/>
      <c r="AZ276" s="116"/>
      <c r="BA276" s="123"/>
      <c r="BB276" s="123"/>
      <c r="BC276" s="123"/>
      <c r="BH276" s="115"/>
      <c r="BI276" s="115"/>
      <c r="BJ276" s="115"/>
      <c r="BK276" s="115"/>
      <c r="BL276" s="115"/>
      <c r="BM276" s="115"/>
      <c r="BN276" s="115"/>
      <c r="BO276" s="115"/>
      <c r="BP276" s="115"/>
      <c r="BQ276" s="115"/>
      <c r="BR276" s="25"/>
      <c r="BS276" s="13"/>
      <c r="BV276" s="114"/>
    </row>
    <row r="277" spans="1:74" ht="20.100000000000001" customHeight="1" x14ac:dyDescent="0.4">
      <c r="A277" s="117"/>
      <c r="B277" s="123"/>
      <c r="C277" s="123"/>
      <c r="D277" s="123"/>
      <c r="S277" s="26"/>
      <c r="T277" s="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27"/>
      <c r="AJ277" s="29"/>
      <c r="AT277" s="25"/>
      <c r="AU277" s="13"/>
      <c r="AZ277" s="116"/>
      <c r="BA277" s="123"/>
      <c r="BB277" s="123"/>
      <c r="BC277" s="123"/>
      <c r="BH277" s="115"/>
      <c r="BI277" s="115"/>
      <c r="BJ277" s="115"/>
      <c r="BK277" s="115"/>
      <c r="BL277" s="115"/>
      <c r="BM277" s="115"/>
      <c r="BN277" s="115"/>
      <c r="BO277" s="115"/>
      <c r="BP277" s="115"/>
      <c r="BQ277" s="115"/>
      <c r="BR277" s="25"/>
      <c r="BS277" s="13"/>
      <c r="BV277" s="114"/>
    </row>
    <row r="278" spans="1:74" ht="20.100000000000001" customHeight="1" x14ac:dyDescent="0.4">
      <c r="A278" s="117"/>
      <c r="B278" s="123"/>
      <c r="C278" s="123"/>
      <c r="D278" s="123"/>
      <c r="J278" s="115"/>
      <c r="K278" s="115"/>
      <c r="L278" s="115"/>
      <c r="M278" s="115"/>
      <c r="N278" s="115"/>
      <c r="O278" s="115"/>
      <c r="P278" s="115"/>
      <c r="Q278" s="115"/>
      <c r="R278" s="115"/>
      <c r="S278" s="26"/>
      <c r="T278" s="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27"/>
      <c r="AJ278" s="29"/>
      <c r="AT278" s="25"/>
      <c r="AU278" s="13"/>
      <c r="AZ278" s="116"/>
      <c r="BA278" s="123"/>
      <c r="BB278" s="123"/>
      <c r="BC278" s="123"/>
      <c r="BH278" s="115"/>
      <c r="BI278" s="115"/>
      <c r="BJ278" s="115"/>
      <c r="BK278" s="115"/>
      <c r="BL278" s="115"/>
      <c r="BM278" s="115"/>
      <c r="BN278" s="115"/>
      <c r="BO278" s="115"/>
      <c r="BP278" s="115"/>
      <c r="BQ278" s="115"/>
      <c r="BR278" s="25"/>
      <c r="BS278" s="13"/>
      <c r="BV278" s="114"/>
    </row>
    <row r="279" spans="1:74" ht="20.100000000000001" customHeight="1" x14ac:dyDescent="0.4">
      <c r="A279" s="117"/>
      <c r="B279" s="123"/>
      <c r="C279" s="123"/>
      <c r="D279" s="123"/>
      <c r="J279" s="115"/>
      <c r="K279" s="115"/>
      <c r="L279" s="115"/>
      <c r="M279" s="115"/>
      <c r="N279" s="115"/>
      <c r="O279" s="115"/>
      <c r="P279" s="115"/>
      <c r="Q279" s="115"/>
      <c r="R279" s="115"/>
      <c r="S279" s="17"/>
      <c r="T279" s="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27"/>
      <c r="AJ279" s="29"/>
      <c r="AT279" s="25"/>
      <c r="AU279" s="13"/>
      <c r="AZ279" s="116"/>
      <c r="BA279" s="123"/>
      <c r="BB279" s="123"/>
      <c r="BC279" s="123"/>
      <c r="BH279" s="115"/>
      <c r="BI279" s="115"/>
      <c r="BJ279" s="115"/>
      <c r="BK279" s="115"/>
      <c r="BL279" s="115"/>
      <c r="BM279" s="115"/>
      <c r="BN279" s="115"/>
      <c r="BO279" s="115"/>
      <c r="BP279" s="115"/>
      <c r="BQ279" s="115"/>
      <c r="BR279" s="25"/>
      <c r="BS279" s="13"/>
      <c r="BV279" s="114"/>
    </row>
    <row r="280" spans="1:74" ht="20.100000000000001" customHeight="1" x14ac:dyDescent="0.4">
      <c r="A280" s="117"/>
      <c r="B280" s="123"/>
      <c r="C280" s="123"/>
      <c r="D280" s="123"/>
      <c r="S280" s="26"/>
      <c r="T280" s="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27"/>
      <c r="AJ280" s="29"/>
      <c r="AT280" s="25"/>
      <c r="AU280" s="13"/>
      <c r="AZ280" s="116"/>
      <c r="BA280" s="123"/>
      <c r="BB280" s="123"/>
      <c r="BC280" s="123"/>
      <c r="BH280" s="115"/>
      <c r="BI280" s="115"/>
      <c r="BJ280" s="115"/>
      <c r="BK280" s="115"/>
      <c r="BL280" s="115"/>
      <c r="BM280" s="115"/>
      <c r="BN280" s="115"/>
      <c r="BO280" s="115"/>
      <c r="BP280" s="115"/>
      <c r="BQ280" s="115"/>
      <c r="BR280" s="25"/>
      <c r="BS280" s="13"/>
      <c r="BV280" s="114"/>
    </row>
    <row r="281" spans="1:74" ht="20.100000000000001" customHeight="1" x14ac:dyDescent="0.4">
      <c r="A281" s="117"/>
      <c r="B281" s="123"/>
      <c r="C281" s="123"/>
      <c r="D281" s="123"/>
      <c r="K281" s="115"/>
      <c r="L281" s="115"/>
      <c r="M281" s="115"/>
      <c r="N281" s="115"/>
      <c r="O281" s="115"/>
      <c r="P281" s="115"/>
      <c r="Q281" s="115"/>
      <c r="R281" s="115"/>
      <c r="S281" s="26"/>
      <c r="T281" s="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27"/>
      <c r="AJ281" s="29"/>
      <c r="AT281" s="25"/>
      <c r="AU281" s="13"/>
      <c r="AZ281" s="116"/>
      <c r="BA281" s="123"/>
      <c r="BB281" s="123"/>
      <c r="BC281" s="123"/>
      <c r="BH281" s="115"/>
      <c r="BI281" s="115"/>
      <c r="BJ281" s="115"/>
      <c r="BK281" s="115"/>
      <c r="BL281" s="115"/>
      <c r="BM281" s="115"/>
      <c r="BN281" s="115"/>
      <c r="BO281" s="115"/>
      <c r="BP281" s="115"/>
      <c r="BQ281" s="115"/>
      <c r="BR281" s="25"/>
      <c r="BS281" s="13"/>
      <c r="BV281" s="114"/>
    </row>
    <row r="282" spans="1:74" ht="20.100000000000001" customHeight="1" x14ac:dyDescent="0.4">
      <c r="A282" s="117"/>
      <c r="B282" s="123"/>
      <c r="C282" s="123"/>
      <c r="D282" s="123"/>
      <c r="K282" s="115"/>
      <c r="L282" s="115"/>
      <c r="M282" s="115"/>
      <c r="N282" s="115"/>
      <c r="O282" s="115"/>
      <c r="P282" s="115"/>
      <c r="Q282" s="115"/>
      <c r="R282" s="115"/>
      <c r="S282" s="20"/>
      <c r="T282" s="13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27"/>
      <c r="AJ282" s="29"/>
      <c r="AT282" s="25"/>
      <c r="AU282" s="13"/>
      <c r="AZ282" s="116"/>
      <c r="BA282" s="123"/>
      <c r="BB282" s="123"/>
      <c r="BC282" s="123"/>
      <c r="BH282" s="115"/>
      <c r="BI282" s="115"/>
      <c r="BJ282" s="115"/>
      <c r="BK282" s="115"/>
      <c r="BL282" s="115"/>
      <c r="BM282" s="115"/>
      <c r="BN282" s="115"/>
      <c r="BO282" s="115"/>
      <c r="BP282" s="115"/>
      <c r="BQ282" s="115"/>
      <c r="BR282" s="25"/>
      <c r="BS282" s="13"/>
      <c r="BV282" s="114"/>
    </row>
    <row r="283" spans="1:74" ht="20.100000000000001" customHeight="1" x14ac:dyDescent="0.4">
      <c r="A283" s="117"/>
      <c r="B283" s="123"/>
      <c r="C283" s="123"/>
      <c r="D283" s="123"/>
      <c r="K283" s="115"/>
      <c r="L283" s="115"/>
      <c r="M283" s="115"/>
      <c r="N283" s="115"/>
      <c r="O283" s="115"/>
      <c r="P283" s="115"/>
      <c r="Q283" s="115"/>
      <c r="R283" s="115"/>
      <c r="S283" s="20"/>
      <c r="T283" s="13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27"/>
      <c r="AJ283" s="29"/>
      <c r="AT283" s="25"/>
      <c r="AU283" s="13"/>
      <c r="AZ283" s="116"/>
      <c r="BA283" s="123"/>
      <c r="BB283" s="123"/>
      <c r="BC283" s="123"/>
      <c r="BH283" s="115"/>
      <c r="BI283" s="115"/>
      <c r="BJ283" s="115"/>
      <c r="BK283" s="115"/>
      <c r="BL283" s="115"/>
      <c r="BM283" s="115"/>
      <c r="BN283" s="115"/>
      <c r="BO283" s="115"/>
      <c r="BP283" s="115"/>
      <c r="BQ283" s="115"/>
      <c r="BR283" s="25"/>
      <c r="BS283" s="13"/>
      <c r="BV283" s="114"/>
    </row>
    <row r="284" spans="1:74" ht="20.100000000000001" customHeight="1" x14ac:dyDescent="0.4">
      <c r="A284" s="117"/>
      <c r="B284" s="123"/>
      <c r="C284" s="123"/>
      <c r="D284" s="123"/>
      <c r="J284" s="115"/>
      <c r="K284" s="115"/>
      <c r="L284" s="115"/>
      <c r="M284" s="115"/>
      <c r="N284" s="115"/>
      <c r="O284" s="115"/>
      <c r="P284" s="115"/>
      <c r="Q284" s="115"/>
      <c r="R284" s="115"/>
      <c r="S284" s="25"/>
      <c r="T284" s="13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27"/>
      <c r="AJ284" s="29"/>
      <c r="AT284" s="25"/>
      <c r="AU284" s="13"/>
      <c r="AZ284" s="116"/>
      <c r="BA284" s="123"/>
      <c r="BB284" s="123"/>
      <c r="BC284" s="123"/>
      <c r="BH284" s="115"/>
      <c r="BI284" s="115"/>
      <c r="BJ284" s="115"/>
      <c r="BK284" s="115"/>
      <c r="BL284" s="115"/>
      <c r="BM284" s="115"/>
      <c r="BN284" s="115"/>
      <c r="BO284" s="115"/>
      <c r="BP284" s="115"/>
      <c r="BQ284" s="115"/>
      <c r="BR284" s="25"/>
      <c r="BS284" s="13"/>
      <c r="BV284" s="114"/>
    </row>
    <row r="285" spans="1:74" ht="20.100000000000001" customHeight="1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25"/>
      <c r="T285" s="13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27"/>
      <c r="AJ285" s="29"/>
      <c r="AT285" s="25"/>
      <c r="AU285" s="13"/>
      <c r="AZ285" s="116"/>
      <c r="BA285" s="123"/>
      <c r="BB285" s="123"/>
      <c r="BC285" s="123"/>
      <c r="BH285" s="115"/>
      <c r="BI285" s="115"/>
      <c r="BJ285" s="115"/>
      <c r="BK285" s="115"/>
      <c r="BL285" s="115"/>
      <c r="BM285" s="115"/>
      <c r="BN285" s="115"/>
      <c r="BO285" s="115"/>
      <c r="BP285" s="115"/>
      <c r="BQ285" s="115"/>
      <c r="BR285" s="25"/>
      <c r="BS285" s="13"/>
      <c r="BV285" s="114"/>
    </row>
    <row r="286" spans="1:74" ht="20.100000000000001" customHeight="1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3"/>
      <c r="T286" s="13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27"/>
      <c r="AJ286" s="29"/>
      <c r="AT286" s="25"/>
      <c r="AU286" s="13"/>
      <c r="AZ286" s="116"/>
      <c r="BA286" s="123"/>
      <c r="BB286" s="123"/>
      <c r="BC286" s="123"/>
      <c r="BH286" s="115"/>
      <c r="BI286" s="115"/>
      <c r="BJ286" s="115"/>
      <c r="BK286" s="115"/>
      <c r="BL286" s="115"/>
      <c r="BM286" s="115"/>
      <c r="BN286" s="115"/>
      <c r="BO286" s="115"/>
      <c r="BP286" s="115"/>
      <c r="BQ286" s="115"/>
      <c r="BR286" s="25"/>
      <c r="BS286" s="13"/>
      <c r="BV286" s="114"/>
    </row>
    <row r="287" spans="1:74" ht="20.100000000000001" customHeight="1" x14ac:dyDescent="0.4">
      <c r="A287" s="117"/>
      <c r="B287" s="123"/>
      <c r="C287" s="123"/>
      <c r="D287" s="123"/>
      <c r="S287" s="25"/>
      <c r="T287" s="13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27"/>
      <c r="AJ287" s="29"/>
      <c r="AT287" s="25"/>
      <c r="AU287" s="13"/>
      <c r="AZ287" s="116"/>
      <c r="BA287" s="123"/>
      <c r="BB287" s="123"/>
      <c r="BC287" s="123"/>
      <c r="BH287" s="115"/>
      <c r="BI287" s="115"/>
      <c r="BJ287" s="115"/>
      <c r="BK287" s="115"/>
      <c r="BL287" s="115"/>
      <c r="BM287" s="115"/>
      <c r="BN287" s="115"/>
      <c r="BO287" s="115"/>
      <c r="BP287" s="115"/>
      <c r="BQ287" s="115"/>
      <c r="BR287" s="25"/>
      <c r="BS287" s="13"/>
      <c r="BV287" s="114"/>
    </row>
    <row r="288" spans="1:74" ht="20.100000000000001" customHeight="1" x14ac:dyDescent="0.4">
      <c r="A288" s="117"/>
      <c r="B288" s="123"/>
      <c r="C288" s="123"/>
      <c r="D288" s="123"/>
      <c r="S288" s="25"/>
      <c r="T288" s="13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27"/>
      <c r="AJ288" s="29"/>
      <c r="AT288" s="25"/>
      <c r="AU288" s="13"/>
      <c r="AZ288" s="116"/>
      <c r="BA288" s="123"/>
      <c r="BB288" s="123"/>
      <c r="BC288" s="123"/>
      <c r="BH288" s="115"/>
      <c r="BI288" s="115"/>
      <c r="BJ288" s="115"/>
      <c r="BK288" s="115"/>
      <c r="BL288" s="115"/>
      <c r="BM288" s="115"/>
      <c r="BN288" s="115"/>
      <c r="BO288" s="115"/>
      <c r="BP288" s="115"/>
      <c r="BQ288" s="115"/>
      <c r="BR288" s="25"/>
      <c r="BS288" s="13"/>
      <c r="BV288" s="114"/>
    </row>
    <row r="289" spans="1:74" ht="20.100000000000001" customHeight="1" x14ac:dyDescent="0.4">
      <c r="A289" s="117"/>
      <c r="B289" s="123"/>
      <c r="C289" s="123"/>
      <c r="D289" s="123"/>
      <c r="J289" s="115"/>
      <c r="K289" s="115"/>
      <c r="L289" s="115"/>
      <c r="M289" s="115"/>
      <c r="N289" s="115"/>
      <c r="O289" s="115"/>
      <c r="P289" s="115"/>
      <c r="Q289" s="115"/>
      <c r="R289" s="115"/>
      <c r="S289" s="25"/>
      <c r="T289" s="13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27"/>
      <c r="AJ289" s="29"/>
      <c r="AT289" s="25"/>
      <c r="AU289" s="13"/>
      <c r="AZ289" s="116"/>
      <c r="BA289" s="123"/>
      <c r="BB289" s="123"/>
      <c r="BC289" s="123"/>
      <c r="BH289" s="115"/>
      <c r="BI289" s="115"/>
      <c r="BJ289" s="115"/>
      <c r="BK289" s="115"/>
      <c r="BL289" s="115"/>
      <c r="BM289" s="115"/>
      <c r="BN289" s="115"/>
      <c r="BO289" s="115"/>
      <c r="BP289" s="115"/>
      <c r="BQ289" s="115"/>
      <c r="BR289" s="25"/>
      <c r="BS289" s="13"/>
      <c r="BV289" s="114"/>
    </row>
    <row r="290" spans="1:74" ht="20.100000000000001" customHeight="1" x14ac:dyDescent="0.4">
      <c r="A290" s="117"/>
      <c r="B290" s="123"/>
      <c r="C290" s="123"/>
      <c r="D290" s="123"/>
      <c r="J290" s="115"/>
      <c r="K290" s="115"/>
      <c r="L290" s="115"/>
      <c r="M290" s="115"/>
      <c r="N290" s="115"/>
      <c r="O290" s="115"/>
      <c r="P290" s="115"/>
      <c r="Q290" s="115"/>
      <c r="R290" s="115"/>
      <c r="S290" s="13"/>
      <c r="T290" s="13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27"/>
      <c r="AJ290" s="29"/>
      <c r="AT290" s="25"/>
      <c r="AU290" s="13"/>
      <c r="AZ290" s="116"/>
      <c r="BA290" s="123"/>
      <c r="BB290" s="123"/>
      <c r="BC290" s="123"/>
      <c r="BH290" s="115"/>
      <c r="BI290" s="115"/>
      <c r="BJ290" s="115"/>
      <c r="BK290" s="115"/>
      <c r="BL290" s="115"/>
      <c r="BM290" s="115"/>
      <c r="BN290" s="115"/>
      <c r="BO290" s="115"/>
      <c r="BP290" s="115"/>
      <c r="BQ290" s="115"/>
      <c r="BR290" s="25"/>
      <c r="BS290" s="13"/>
      <c r="BV290" s="114"/>
    </row>
    <row r="291" spans="1:74" ht="20.100000000000001" customHeight="1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25"/>
      <c r="T291" s="13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27"/>
      <c r="AJ291" s="29"/>
      <c r="AT291" s="25"/>
      <c r="AU291" s="13"/>
      <c r="AZ291" s="116"/>
      <c r="BA291" s="123"/>
      <c r="BB291" s="123"/>
      <c r="BC291" s="123"/>
      <c r="BH291" s="115"/>
      <c r="BI291" s="115"/>
      <c r="BJ291" s="115"/>
      <c r="BK291" s="115"/>
      <c r="BL291" s="115"/>
      <c r="BM291" s="115"/>
      <c r="BN291" s="115"/>
      <c r="BO291" s="115"/>
      <c r="BP291" s="115"/>
      <c r="BQ291" s="115"/>
      <c r="BR291" s="25"/>
      <c r="BS291" s="13"/>
      <c r="BV291" s="114"/>
    </row>
    <row r="292" spans="1:74" ht="20.100000000000001" customHeight="1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3"/>
      <c r="T292" s="13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27"/>
      <c r="AJ292" s="29"/>
      <c r="AT292" s="25"/>
      <c r="AU292" s="13"/>
      <c r="AZ292" s="116"/>
      <c r="BA292" s="123"/>
      <c r="BB292" s="123"/>
      <c r="BC292" s="123"/>
      <c r="BH292" s="115"/>
      <c r="BI292" s="115"/>
      <c r="BJ292" s="115"/>
      <c r="BK292" s="115"/>
      <c r="BL292" s="115"/>
      <c r="BM292" s="115"/>
      <c r="BN292" s="115"/>
      <c r="BO292" s="115"/>
      <c r="BP292" s="115"/>
      <c r="BQ292" s="115"/>
      <c r="BR292" s="25"/>
      <c r="BS292" s="13"/>
      <c r="BV292" s="114"/>
    </row>
    <row r="293" spans="1:74" ht="20.100000000000001" customHeight="1" x14ac:dyDescent="0.4">
      <c r="A293" s="117"/>
      <c r="B293" s="123"/>
      <c r="C293" s="123"/>
      <c r="D293" s="123"/>
      <c r="S293" s="25"/>
      <c r="T293" s="13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27"/>
      <c r="AJ293" s="29"/>
      <c r="AT293" s="25"/>
      <c r="AU293" s="13"/>
      <c r="AZ293" s="116"/>
      <c r="BA293" s="123"/>
      <c r="BB293" s="123"/>
      <c r="BC293" s="123"/>
      <c r="BH293" s="115"/>
      <c r="BI293" s="115"/>
      <c r="BJ293" s="115"/>
      <c r="BK293" s="115"/>
      <c r="BL293" s="115"/>
      <c r="BM293" s="115"/>
      <c r="BN293" s="115"/>
      <c r="BO293" s="115"/>
      <c r="BP293" s="115"/>
      <c r="BQ293" s="115"/>
      <c r="BR293" s="25"/>
      <c r="BS293" s="13"/>
      <c r="BV293" s="114"/>
    </row>
    <row r="294" spans="1:74" ht="20.100000000000001" customHeight="1" x14ac:dyDescent="0.4">
      <c r="A294" s="117"/>
      <c r="B294" s="123"/>
      <c r="C294" s="123"/>
      <c r="D294" s="123"/>
      <c r="K294" s="115"/>
      <c r="L294" s="115"/>
      <c r="M294" s="115"/>
      <c r="N294" s="115"/>
      <c r="O294" s="115"/>
      <c r="P294" s="115"/>
      <c r="Q294" s="115"/>
      <c r="R294" s="115"/>
      <c r="S294" s="13"/>
      <c r="T294" s="13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27"/>
      <c r="AJ294" s="29"/>
      <c r="AT294" s="25"/>
      <c r="AU294" s="13"/>
      <c r="AZ294" s="116"/>
      <c r="BA294" s="123"/>
      <c r="BB294" s="123"/>
      <c r="BC294" s="123"/>
      <c r="BH294" s="115"/>
      <c r="BI294" s="115"/>
      <c r="BJ294" s="115"/>
      <c r="BK294" s="115"/>
      <c r="BL294" s="115"/>
      <c r="BM294" s="115"/>
      <c r="BN294" s="115"/>
      <c r="BO294" s="115"/>
      <c r="BP294" s="115"/>
      <c r="BQ294" s="115"/>
      <c r="BR294" s="25"/>
      <c r="BS294" s="13"/>
      <c r="BV294" s="114"/>
    </row>
    <row r="295" spans="1:74" ht="20.100000000000001" customHeight="1" x14ac:dyDescent="0.4">
      <c r="A295" s="117"/>
      <c r="B295" s="123"/>
      <c r="C295" s="123"/>
      <c r="D295" s="123"/>
      <c r="K295" s="115"/>
      <c r="L295" s="115"/>
      <c r="M295" s="115"/>
      <c r="N295" s="115"/>
      <c r="O295" s="115"/>
      <c r="P295" s="115"/>
      <c r="Q295" s="115"/>
      <c r="R295" s="115"/>
      <c r="S295" s="13"/>
      <c r="T295" s="13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27"/>
      <c r="AJ295" s="29"/>
      <c r="AT295" s="25"/>
      <c r="AU295" s="13"/>
      <c r="AZ295" s="116"/>
      <c r="BA295" s="123"/>
      <c r="BB295" s="123"/>
      <c r="BC295" s="123"/>
      <c r="BH295" s="115"/>
      <c r="BI295" s="115"/>
      <c r="BJ295" s="115"/>
      <c r="BK295" s="115"/>
      <c r="BL295" s="115"/>
      <c r="BM295" s="115"/>
      <c r="BN295" s="115"/>
      <c r="BO295" s="115"/>
      <c r="BP295" s="115"/>
      <c r="BQ295" s="115"/>
      <c r="BR295" s="25"/>
      <c r="BS295" s="13"/>
      <c r="BV295" s="114"/>
    </row>
    <row r="296" spans="1:74" ht="20.100000000000001" customHeight="1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25"/>
      <c r="T296" s="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27"/>
      <c r="AJ296" s="29"/>
      <c r="AT296" s="25"/>
      <c r="AU296" s="13"/>
      <c r="AZ296" s="116"/>
      <c r="BA296" s="123"/>
      <c r="BB296" s="123"/>
      <c r="BC296" s="123"/>
      <c r="BH296" s="115"/>
      <c r="BI296" s="115"/>
      <c r="BJ296" s="115"/>
      <c r="BK296" s="115"/>
      <c r="BL296" s="115"/>
      <c r="BM296" s="115"/>
      <c r="BN296" s="115"/>
      <c r="BO296" s="115"/>
      <c r="BP296" s="115"/>
      <c r="BQ296" s="115"/>
      <c r="BR296" s="25"/>
      <c r="BS296" s="13"/>
      <c r="BV296" s="114"/>
    </row>
    <row r="297" spans="1:74" ht="20.100000000000001" customHeight="1" x14ac:dyDescent="0.4">
      <c r="A297" s="117"/>
      <c r="B297" s="123"/>
      <c r="C297" s="123"/>
      <c r="D297" s="123"/>
      <c r="S297" s="25"/>
      <c r="T297" s="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27"/>
      <c r="AJ297" s="29"/>
      <c r="AT297" s="25"/>
      <c r="AU297" s="13"/>
      <c r="AZ297" s="116"/>
      <c r="BA297" s="123"/>
      <c r="BB297" s="123"/>
      <c r="BC297" s="123"/>
      <c r="BH297" s="115"/>
      <c r="BI297" s="115"/>
      <c r="BJ297" s="115"/>
      <c r="BK297" s="115"/>
      <c r="BL297" s="115"/>
      <c r="BM297" s="115"/>
      <c r="BN297" s="115"/>
      <c r="BO297" s="115"/>
      <c r="BP297" s="115"/>
      <c r="BQ297" s="115"/>
      <c r="BR297" s="25"/>
      <c r="BS297" s="13"/>
      <c r="BV297" s="114"/>
    </row>
    <row r="298" spans="1:74" ht="20.100000000000001" customHeight="1" x14ac:dyDescent="0.4">
      <c r="A298" s="117"/>
      <c r="B298" s="123"/>
      <c r="C298" s="123"/>
      <c r="D298" s="123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25"/>
      <c r="T298" s="13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27"/>
      <c r="AJ298" s="29"/>
      <c r="AT298" s="25"/>
      <c r="AU298" s="13"/>
      <c r="AZ298" s="116"/>
      <c r="BA298" s="123"/>
      <c r="BB298" s="123"/>
      <c r="BC298" s="123"/>
      <c r="BH298" s="115"/>
      <c r="BI298" s="115"/>
      <c r="BJ298" s="115"/>
      <c r="BK298" s="115"/>
      <c r="BL298" s="115"/>
      <c r="BM298" s="115"/>
      <c r="BN298" s="115"/>
      <c r="BO298" s="115"/>
      <c r="BP298" s="115"/>
      <c r="BQ298" s="115"/>
      <c r="BR298" s="25"/>
      <c r="BS298" s="13"/>
      <c r="BV298" s="114"/>
    </row>
    <row r="299" spans="1:74" ht="20.100000000000001" customHeight="1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25"/>
      <c r="T299" s="13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27"/>
      <c r="AJ299" s="29"/>
      <c r="AT299" s="25"/>
      <c r="AU299" s="13"/>
      <c r="AZ299" s="116"/>
      <c r="BA299" s="123"/>
      <c r="BB299" s="123"/>
      <c r="BC299" s="123"/>
      <c r="BH299" s="115"/>
      <c r="BI299" s="115"/>
      <c r="BJ299" s="115"/>
      <c r="BK299" s="115"/>
      <c r="BL299" s="115"/>
      <c r="BM299" s="115"/>
      <c r="BN299" s="115"/>
      <c r="BO299" s="115"/>
      <c r="BP299" s="115"/>
      <c r="BQ299" s="115"/>
      <c r="BR299" s="25"/>
      <c r="BS299" s="13"/>
      <c r="BV299" s="114"/>
    </row>
    <row r="300" spans="1:74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25"/>
      <c r="T300" s="13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27"/>
      <c r="AJ300" s="29"/>
      <c r="AT300" s="25"/>
      <c r="AU300" s="13"/>
      <c r="AZ300" s="116"/>
      <c r="BA300" s="123"/>
      <c r="BB300" s="123"/>
      <c r="BC300" s="123"/>
      <c r="BH300" s="115"/>
      <c r="BI300" s="115"/>
      <c r="BJ300" s="115"/>
      <c r="BK300" s="115"/>
      <c r="BL300" s="115"/>
      <c r="BM300" s="115"/>
      <c r="BN300" s="115"/>
      <c r="BO300" s="115"/>
      <c r="BP300" s="115"/>
      <c r="BQ300" s="115"/>
      <c r="BR300" s="25"/>
      <c r="BS300" s="13"/>
      <c r="BV300" s="114"/>
    </row>
    <row r="301" spans="1:74" ht="20.100000000000001" customHeight="1" x14ac:dyDescent="0.4">
      <c r="A301" s="117"/>
      <c r="B301" s="123"/>
      <c r="C301" s="123"/>
      <c r="D301" s="123"/>
      <c r="S301" s="25"/>
      <c r="T301" s="13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27"/>
      <c r="AJ301" s="29"/>
      <c r="AT301" s="25"/>
      <c r="AU301" s="13"/>
      <c r="AZ301" s="116"/>
      <c r="BA301" s="123"/>
      <c r="BB301" s="123"/>
      <c r="BC301" s="123"/>
      <c r="BH301" s="115"/>
      <c r="BI301" s="115"/>
      <c r="BJ301" s="115"/>
      <c r="BK301" s="115"/>
      <c r="BL301" s="115"/>
      <c r="BM301" s="115"/>
      <c r="BN301" s="115"/>
      <c r="BO301" s="115"/>
      <c r="BP301" s="115"/>
      <c r="BQ301" s="115"/>
      <c r="BR301" s="25"/>
      <c r="BS301" s="13"/>
      <c r="BV301" s="114"/>
    </row>
    <row r="302" spans="1:74" ht="20.100000000000001" customHeight="1" x14ac:dyDescent="0.4">
      <c r="A302" s="117"/>
      <c r="B302" s="123"/>
      <c r="C302" s="123"/>
      <c r="D302" s="123"/>
      <c r="S302" s="25"/>
      <c r="T302" s="13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29"/>
      <c r="AJ302" s="29"/>
      <c r="AT302" s="25"/>
      <c r="AU302" s="13"/>
      <c r="AZ302" s="116"/>
      <c r="BA302" s="123"/>
      <c r="BB302" s="123"/>
      <c r="BC302" s="123"/>
      <c r="BH302" s="115"/>
      <c r="BI302" s="115"/>
      <c r="BJ302" s="115"/>
      <c r="BK302" s="115"/>
      <c r="BL302" s="115"/>
      <c r="BM302" s="115"/>
      <c r="BN302" s="115"/>
      <c r="BO302" s="115"/>
      <c r="BP302" s="115"/>
      <c r="BQ302" s="115"/>
      <c r="BR302" s="25"/>
      <c r="BS302" s="13"/>
      <c r="BV302" s="114"/>
    </row>
    <row r="303" spans="1:74" ht="20.100000000000001" customHeight="1" x14ac:dyDescent="0.4">
      <c r="A303" s="117"/>
      <c r="B303" s="123"/>
      <c r="C303" s="123"/>
      <c r="D303" s="123"/>
      <c r="S303" s="25"/>
      <c r="T303" s="13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27"/>
      <c r="AJ303" s="29"/>
      <c r="AT303" s="25"/>
      <c r="AU303" s="13"/>
      <c r="AZ303" s="116"/>
      <c r="BA303" s="123"/>
      <c r="BB303" s="123"/>
      <c r="BC303" s="123"/>
      <c r="BH303" s="115"/>
      <c r="BI303" s="115"/>
      <c r="BJ303" s="115"/>
      <c r="BK303" s="115"/>
      <c r="BL303" s="115"/>
      <c r="BM303" s="115"/>
      <c r="BN303" s="115"/>
      <c r="BO303" s="115"/>
      <c r="BP303" s="115"/>
      <c r="BQ303" s="115"/>
      <c r="BR303" s="25"/>
      <c r="BS303" s="13"/>
      <c r="BV303" s="114"/>
    </row>
    <row r="304" spans="1:74" ht="20.100000000000001" customHeight="1" x14ac:dyDescent="0.4">
      <c r="A304" s="117"/>
      <c r="B304" s="123"/>
      <c r="C304" s="123"/>
      <c r="D304" s="123"/>
      <c r="S304" s="25"/>
      <c r="T304" s="13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27"/>
      <c r="AJ304" s="29"/>
      <c r="AT304" s="25"/>
      <c r="AU304" s="13"/>
      <c r="AZ304" s="116"/>
      <c r="BA304" s="123"/>
      <c r="BB304" s="123"/>
      <c r="BC304" s="123"/>
      <c r="BH304" s="115"/>
      <c r="BI304" s="115"/>
      <c r="BJ304" s="115"/>
      <c r="BK304" s="115"/>
      <c r="BL304" s="115"/>
      <c r="BM304" s="115"/>
      <c r="BN304" s="115"/>
      <c r="BO304" s="115"/>
      <c r="BP304" s="115"/>
      <c r="BQ304" s="115"/>
      <c r="BR304" s="25"/>
      <c r="BS304" s="13"/>
      <c r="BV304" s="114"/>
    </row>
    <row r="305" spans="1:74" ht="20.100000000000001" customHeight="1" x14ac:dyDescent="0.4">
      <c r="A305" s="117"/>
      <c r="B305" s="123"/>
      <c r="C305" s="123"/>
      <c r="D305" s="123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25"/>
      <c r="T305" s="13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27"/>
      <c r="AJ305" s="29"/>
      <c r="AT305" s="25"/>
      <c r="AU305" s="13"/>
      <c r="AZ305" s="116"/>
      <c r="BA305" s="123"/>
      <c r="BB305" s="123"/>
      <c r="BC305" s="123"/>
      <c r="BH305" s="115"/>
      <c r="BI305" s="115"/>
      <c r="BJ305" s="115"/>
      <c r="BK305" s="115"/>
      <c r="BL305" s="115"/>
      <c r="BM305" s="115"/>
      <c r="BN305" s="115"/>
      <c r="BO305" s="115"/>
      <c r="BP305" s="115"/>
      <c r="BQ305" s="115"/>
      <c r="BR305" s="25"/>
      <c r="BS305" s="13"/>
      <c r="BV305" s="114"/>
    </row>
    <row r="306" spans="1:74" ht="20.100000000000001" customHeight="1" x14ac:dyDescent="0.4">
      <c r="A306" s="117"/>
      <c r="B306" s="123"/>
      <c r="C306" s="123"/>
      <c r="D306" s="123"/>
      <c r="S306" s="25"/>
      <c r="T306" s="13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27"/>
      <c r="AJ306" s="29"/>
      <c r="AT306" s="25"/>
      <c r="AU306" s="13"/>
      <c r="AZ306" s="116"/>
      <c r="BA306" s="123"/>
      <c r="BB306" s="123"/>
      <c r="BC306" s="123"/>
      <c r="BH306" s="115"/>
      <c r="BI306" s="115"/>
      <c r="BJ306" s="115"/>
      <c r="BK306" s="115"/>
      <c r="BL306" s="115"/>
      <c r="BM306" s="115"/>
      <c r="BN306" s="115"/>
      <c r="BO306" s="115"/>
      <c r="BP306" s="115"/>
      <c r="BQ306" s="115"/>
      <c r="BR306" s="25"/>
      <c r="BS306" s="13"/>
      <c r="BV306" s="114"/>
    </row>
    <row r="307" spans="1:74" ht="20.100000000000001" customHeight="1" x14ac:dyDescent="0.4">
      <c r="A307" s="117"/>
      <c r="B307" s="123"/>
      <c r="C307" s="123"/>
      <c r="D307" s="123"/>
      <c r="J307" s="115"/>
      <c r="K307" s="115"/>
      <c r="L307" s="115"/>
      <c r="M307" s="115"/>
      <c r="N307" s="115"/>
      <c r="O307" s="115"/>
      <c r="P307" s="115"/>
      <c r="Q307" s="115"/>
      <c r="R307" s="115"/>
      <c r="S307" s="13"/>
      <c r="T307" s="13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27"/>
      <c r="AJ307" s="29"/>
      <c r="AT307" s="25"/>
      <c r="AU307" s="13"/>
      <c r="AZ307" s="116"/>
      <c r="BA307" s="123"/>
      <c r="BB307" s="123"/>
      <c r="BC307" s="123"/>
      <c r="BH307" s="115"/>
      <c r="BI307" s="115"/>
      <c r="BJ307" s="115"/>
      <c r="BK307" s="115"/>
      <c r="BL307" s="115"/>
      <c r="BM307" s="115"/>
      <c r="BN307" s="115"/>
      <c r="BO307" s="115"/>
      <c r="BP307" s="115"/>
      <c r="BQ307" s="115"/>
      <c r="BR307" s="25"/>
      <c r="BS307" s="13"/>
      <c r="BV307" s="114"/>
    </row>
    <row r="308" spans="1:74" ht="20.100000000000001" customHeight="1" x14ac:dyDescent="0.4">
      <c r="A308" s="117"/>
      <c r="B308" s="123"/>
      <c r="C308" s="123"/>
      <c r="D308" s="123"/>
      <c r="S308" s="25"/>
      <c r="T308" s="13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27"/>
      <c r="AJ308" s="29"/>
      <c r="AT308" s="25"/>
      <c r="AU308" s="13"/>
      <c r="AZ308" s="116"/>
      <c r="BA308" s="123"/>
      <c r="BB308" s="123"/>
      <c r="BC308" s="123"/>
      <c r="BH308" s="115"/>
      <c r="BI308" s="115"/>
      <c r="BJ308" s="115"/>
      <c r="BK308" s="115"/>
      <c r="BL308" s="115"/>
      <c r="BM308" s="115"/>
      <c r="BN308" s="115"/>
      <c r="BO308" s="115"/>
      <c r="BP308" s="115"/>
      <c r="BQ308" s="115"/>
      <c r="BR308" s="25"/>
      <c r="BS308" s="13"/>
      <c r="BV308" s="114"/>
    </row>
    <row r="309" spans="1:74" ht="20.100000000000001" customHeight="1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25"/>
      <c r="T309" s="13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27"/>
      <c r="AJ309" s="29"/>
      <c r="AT309" s="25"/>
      <c r="AU309" s="13"/>
      <c r="AZ309" s="116"/>
      <c r="BA309" s="123"/>
      <c r="BB309" s="123"/>
      <c r="BC309" s="123"/>
      <c r="BH309" s="115"/>
      <c r="BI309" s="115"/>
      <c r="BJ309" s="115"/>
      <c r="BK309" s="115"/>
      <c r="BL309" s="115"/>
      <c r="BM309" s="115"/>
      <c r="BN309" s="115"/>
      <c r="BO309" s="115"/>
      <c r="BP309" s="115"/>
      <c r="BQ309" s="115"/>
      <c r="BR309" s="25"/>
      <c r="BS309" s="13"/>
      <c r="BV309" s="114"/>
    </row>
    <row r="310" spans="1:74" ht="20.100000000000001" customHeight="1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25"/>
      <c r="T310" s="13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27"/>
      <c r="AJ310" s="29"/>
      <c r="AT310" s="25"/>
      <c r="AU310" s="13"/>
      <c r="AZ310" s="116"/>
      <c r="BA310" s="123"/>
      <c r="BB310" s="123"/>
      <c r="BC310" s="123"/>
      <c r="BH310" s="115"/>
      <c r="BI310" s="115"/>
      <c r="BJ310" s="115"/>
      <c r="BK310" s="115"/>
      <c r="BL310" s="115"/>
      <c r="BM310" s="115"/>
      <c r="BN310" s="115"/>
      <c r="BO310" s="115"/>
      <c r="BP310" s="115"/>
      <c r="BQ310" s="115"/>
      <c r="BR310" s="25"/>
      <c r="BS310" s="13"/>
      <c r="BV310" s="114"/>
    </row>
    <row r="311" spans="1:74" ht="20.100000000000001" customHeight="1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3"/>
      <c r="T311" s="13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27"/>
      <c r="AJ311" s="29"/>
      <c r="AT311" s="25"/>
      <c r="AU311" s="13"/>
      <c r="AZ311" s="116"/>
      <c r="BA311" s="123"/>
      <c r="BB311" s="123"/>
      <c r="BC311" s="123"/>
      <c r="BH311" s="115"/>
      <c r="BI311" s="115"/>
      <c r="BJ311" s="115"/>
      <c r="BK311" s="115"/>
      <c r="BL311" s="115"/>
      <c r="BM311" s="115"/>
      <c r="BN311" s="115"/>
      <c r="BO311" s="115"/>
      <c r="BP311" s="115"/>
      <c r="BQ311" s="115"/>
      <c r="BR311" s="25"/>
      <c r="BS311" s="13"/>
      <c r="BV311" s="114"/>
    </row>
    <row r="312" spans="1:74" ht="20.100000000000001" customHeight="1" x14ac:dyDescent="0.4">
      <c r="A312" s="117"/>
      <c r="B312" s="123"/>
      <c r="C312" s="123"/>
      <c r="D312" s="123"/>
      <c r="S312" s="25"/>
      <c r="T312" s="13"/>
      <c r="AI312" s="127"/>
      <c r="AJ312" s="29"/>
      <c r="AT312" s="25"/>
      <c r="AU312" s="13"/>
      <c r="AZ312" s="116"/>
      <c r="BA312" s="123"/>
      <c r="BB312" s="123"/>
      <c r="BC312" s="123"/>
      <c r="BH312" s="115"/>
      <c r="BI312" s="115"/>
      <c r="BJ312" s="115"/>
      <c r="BK312" s="115"/>
      <c r="BL312" s="115"/>
      <c r="BM312" s="115"/>
      <c r="BN312" s="115"/>
      <c r="BO312" s="115"/>
      <c r="BP312" s="115"/>
      <c r="BQ312" s="115"/>
      <c r="BR312" s="25"/>
      <c r="BS312" s="13"/>
      <c r="BV312" s="114"/>
    </row>
    <row r="313" spans="1:74" ht="20.100000000000001" customHeight="1" x14ac:dyDescent="0.4">
      <c r="A313" s="117"/>
      <c r="B313" s="123"/>
      <c r="C313" s="123"/>
      <c r="D313" s="123"/>
      <c r="S313" s="25"/>
      <c r="T313" s="13"/>
      <c r="AG313" s="115"/>
      <c r="AH313" s="115"/>
      <c r="AI313" s="127"/>
      <c r="AJ313" s="29"/>
      <c r="AT313" s="25"/>
      <c r="AU313" s="13"/>
      <c r="AZ313" s="116"/>
      <c r="BA313" s="123"/>
      <c r="BB313" s="123"/>
      <c r="BC313" s="123"/>
      <c r="BH313" s="115"/>
      <c r="BI313" s="115"/>
      <c r="BJ313" s="115"/>
      <c r="BK313" s="115"/>
      <c r="BL313" s="115"/>
      <c r="BM313" s="115"/>
      <c r="BN313" s="115"/>
      <c r="BO313" s="115"/>
      <c r="BP313" s="115"/>
      <c r="BQ313" s="115"/>
      <c r="BR313" s="25"/>
      <c r="BS313" s="13"/>
      <c r="BV313" s="114"/>
    </row>
    <row r="314" spans="1:74" ht="20.100000000000001" customHeight="1" x14ac:dyDescent="0.4">
      <c r="A314" s="117"/>
      <c r="B314" s="123"/>
      <c r="C314" s="123"/>
      <c r="D314" s="123"/>
      <c r="S314" s="25"/>
      <c r="T314" s="13"/>
      <c r="AB314" s="115"/>
      <c r="AC314" s="115"/>
      <c r="AD314" s="115"/>
      <c r="AE314" s="115"/>
      <c r="AF314" s="115"/>
      <c r="AG314" s="115"/>
      <c r="AH314" s="115"/>
      <c r="AI314" s="127"/>
      <c r="AJ314" s="29"/>
      <c r="AT314" s="25"/>
      <c r="AU314" s="13"/>
      <c r="AZ314" s="116"/>
      <c r="BA314" s="123"/>
      <c r="BB314" s="123"/>
      <c r="BC314" s="123"/>
      <c r="BH314" s="115"/>
      <c r="BI314" s="115"/>
      <c r="BJ314" s="115"/>
      <c r="BK314" s="115"/>
      <c r="BL314" s="115"/>
      <c r="BM314" s="115"/>
      <c r="BN314" s="115"/>
      <c r="BO314" s="115"/>
      <c r="BP314" s="115"/>
      <c r="BQ314" s="115"/>
      <c r="BR314" s="25"/>
      <c r="BS314" s="13"/>
      <c r="BV314" s="114"/>
    </row>
    <row r="315" spans="1:74" ht="20.100000000000001" customHeight="1" x14ac:dyDescent="0.4">
      <c r="A315" s="117"/>
      <c r="B315" s="123"/>
      <c r="C315" s="123"/>
      <c r="D315" s="123"/>
      <c r="J315" s="115"/>
      <c r="K315" s="115"/>
      <c r="L315" s="115"/>
      <c r="M315" s="115"/>
      <c r="N315" s="115"/>
      <c r="O315" s="115"/>
      <c r="P315" s="115"/>
      <c r="Q315" s="115"/>
      <c r="R315" s="115"/>
      <c r="S315" s="13"/>
      <c r="T315" s="13"/>
      <c r="AB315" s="115"/>
      <c r="AC315" s="115"/>
      <c r="AD315" s="115"/>
      <c r="AE315" s="115"/>
      <c r="AF315" s="115"/>
      <c r="AG315" s="115"/>
      <c r="AH315" s="115"/>
      <c r="AI315" s="127"/>
      <c r="AJ315" s="29"/>
      <c r="AT315" s="25"/>
      <c r="AU315" s="13"/>
      <c r="AZ315" s="116"/>
      <c r="BA315" s="123"/>
      <c r="BB315" s="123"/>
      <c r="BC315" s="123"/>
      <c r="BH315" s="115"/>
      <c r="BI315" s="115"/>
      <c r="BJ315" s="115"/>
      <c r="BK315" s="115"/>
      <c r="BL315" s="115"/>
      <c r="BM315" s="115"/>
      <c r="BN315" s="115"/>
      <c r="BO315" s="115"/>
      <c r="BP315" s="115"/>
      <c r="BQ315" s="115"/>
      <c r="BR315" s="25"/>
      <c r="BS315" s="13"/>
      <c r="BV315" s="114"/>
    </row>
    <row r="316" spans="1:74" ht="20.100000000000001" customHeight="1" x14ac:dyDescent="0.4">
      <c r="A316" s="117"/>
      <c r="B316" s="123"/>
      <c r="C316" s="123"/>
      <c r="D316" s="123"/>
      <c r="S316" s="25"/>
      <c r="T316" s="13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27"/>
      <c r="AJ316" s="29"/>
      <c r="AT316" s="25"/>
      <c r="AU316" s="13"/>
      <c r="AZ316" s="116"/>
      <c r="BA316" s="123"/>
      <c r="BB316" s="123"/>
      <c r="BC316" s="123"/>
      <c r="BH316" s="115"/>
      <c r="BI316" s="115"/>
      <c r="BJ316" s="115"/>
      <c r="BK316" s="115"/>
      <c r="BL316" s="115"/>
      <c r="BM316" s="115"/>
      <c r="BN316" s="115"/>
      <c r="BO316" s="115"/>
      <c r="BP316" s="115"/>
      <c r="BQ316" s="115"/>
      <c r="BR316" s="25"/>
      <c r="BS316" s="13"/>
      <c r="BV316" s="114"/>
    </row>
    <row r="317" spans="1:74" ht="20.100000000000001" customHeight="1" x14ac:dyDescent="0.4">
      <c r="A317" s="117"/>
      <c r="B317" s="123"/>
      <c r="C317" s="123"/>
      <c r="D317" s="123"/>
      <c r="S317" s="25"/>
      <c r="T317" s="13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27"/>
      <c r="AJ317" s="29"/>
      <c r="AT317" s="25"/>
      <c r="AU317" s="13"/>
      <c r="AZ317" s="116"/>
      <c r="BA317" s="123"/>
      <c r="BB317" s="123"/>
      <c r="BC317" s="123"/>
      <c r="BH317" s="115"/>
      <c r="BI317" s="115"/>
      <c r="BJ317" s="115"/>
      <c r="BK317" s="115"/>
      <c r="BL317" s="115"/>
      <c r="BM317" s="115"/>
      <c r="BN317" s="115"/>
      <c r="BO317" s="115"/>
      <c r="BP317" s="115"/>
      <c r="BQ317" s="115"/>
      <c r="BR317" s="25"/>
      <c r="BS317" s="13"/>
      <c r="BV317" s="114"/>
    </row>
    <row r="318" spans="1:74" ht="20.100000000000001" customHeight="1" x14ac:dyDescent="0.4">
      <c r="A318" s="117"/>
      <c r="B318" s="123"/>
      <c r="C318" s="123"/>
      <c r="D318" s="123"/>
      <c r="J318" s="115"/>
      <c r="K318" s="115"/>
      <c r="L318" s="115"/>
      <c r="M318" s="115"/>
      <c r="N318" s="115"/>
      <c r="O318" s="115"/>
      <c r="P318" s="115"/>
      <c r="Q318" s="115"/>
      <c r="R318" s="115"/>
      <c r="S318" s="13"/>
      <c r="T318" s="13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27"/>
      <c r="AJ318" s="29"/>
      <c r="AT318" s="25"/>
      <c r="AU318" s="13"/>
      <c r="AZ318" s="116"/>
      <c r="BA318" s="123"/>
      <c r="BB318" s="123"/>
      <c r="BC318" s="123"/>
      <c r="BH318" s="115"/>
      <c r="BI318" s="115"/>
      <c r="BJ318" s="115"/>
      <c r="BK318" s="115"/>
      <c r="BL318" s="115"/>
      <c r="BM318" s="115"/>
      <c r="BN318" s="115"/>
      <c r="BO318" s="115"/>
      <c r="BP318" s="115"/>
      <c r="BQ318" s="115"/>
      <c r="BR318" s="25"/>
      <c r="BS318" s="13"/>
      <c r="BV318" s="114"/>
    </row>
    <row r="319" spans="1:74" ht="20.100000000000001" customHeight="1" x14ac:dyDescent="0.4">
      <c r="A319" s="117"/>
      <c r="B319" s="123"/>
      <c r="C319" s="123"/>
      <c r="D319" s="123"/>
      <c r="J319" s="115"/>
      <c r="K319" s="115"/>
      <c r="L319" s="115"/>
      <c r="M319" s="115"/>
      <c r="N319" s="115"/>
      <c r="O319" s="115"/>
      <c r="P319" s="115"/>
      <c r="Q319" s="115"/>
      <c r="R319" s="115"/>
      <c r="S319" s="13"/>
      <c r="T319" s="13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27"/>
      <c r="AJ319" s="29"/>
      <c r="AT319" s="25"/>
      <c r="AU319" s="13"/>
      <c r="AZ319" s="116"/>
      <c r="BA319" s="123"/>
      <c r="BB319" s="123"/>
      <c r="BC319" s="123"/>
      <c r="BH319" s="115"/>
      <c r="BI319" s="115"/>
      <c r="BJ319" s="115"/>
      <c r="BK319" s="115"/>
      <c r="BL319" s="115"/>
      <c r="BM319" s="115"/>
      <c r="BN319" s="115"/>
      <c r="BO319" s="115"/>
      <c r="BP319" s="115"/>
      <c r="BQ319" s="115"/>
      <c r="BR319" s="25"/>
      <c r="BS319" s="13"/>
      <c r="BV319" s="114"/>
    </row>
    <row r="320" spans="1:74" ht="20.100000000000001" customHeight="1" x14ac:dyDescent="0.4">
      <c r="A320" s="117"/>
      <c r="B320" s="123"/>
      <c r="C320" s="123"/>
      <c r="D320" s="123"/>
      <c r="S320" s="25"/>
      <c r="T320" s="13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27"/>
      <c r="AJ320" s="29"/>
      <c r="AT320" s="25"/>
      <c r="AU320" s="13"/>
      <c r="AZ320" s="116"/>
      <c r="BA320" s="123"/>
      <c r="BB320" s="123"/>
      <c r="BC320" s="123"/>
      <c r="BH320" s="115"/>
      <c r="BI320" s="115"/>
      <c r="BJ320" s="115"/>
      <c r="BK320" s="115"/>
      <c r="BL320" s="115"/>
      <c r="BM320" s="115"/>
      <c r="BN320" s="115"/>
      <c r="BO320" s="115"/>
      <c r="BP320" s="115"/>
      <c r="BQ320" s="115"/>
      <c r="BR320" s="25"/>
      <c r="BS320" s="13"/>
      <c r="BV320" s="114"/>
    </row>
    <row r="321" spans="1:74" ht="20.100000000000001" customHeight="1" x14ac:dyDescent="0.4">
      <c r="A321" s="117"/>
      <c r="B321" s="123"/>
      <c r="C321" s="123"/>
      <c r="D321" s="123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3"/>
      <c r="T321" s="13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27"/>
      <c r="AJ321" s="29"/>
      <c r="AT321" s="25"/>
      <c r="AU321" s="13"/>
      <c r="AZ321" s="116"/>
      <c r="BA321" s="123"/>
      <c r="BB321" s="123"/>
      <c r="BC321" s="123"/>
      <c r="BH321" s="115"/>
      <c r="BI321" s="115"/>
      <c r="BJ321" s="115"/>
      <c r="BK321" s="115"/>
      <c r="BL321" s="115"/>
      <c r="BM321" s="115"/>
      <c r="BN321" s="115"/>
      <c r="BO321" s="115"/>
      <c r="BP321" s="115"/>
      <c r="BQ321" s="115"/>
      <c r="BR321" s="25"/>
      <c r="BS321" s="13"/>
      <c r="BV321" s="114"/>
    </row>
    <row r="322" spans="1:74" ht="20.100000000000001" customHeight="1" x14ac:dyDescent="0.4">
      <c r="A322" s="117"/>
      <c r="B322" s="123"/>
      <c r="C322" s="123"/>
      <c r="D322" s="123"/>
      <c r="S322" s="25"/>
      <c r="T322" s="13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27"/>
      <c r="AJ322" s="29"/>
      <c r="AT322" s="25"/>
      <c r="AU322" s="13"/>
      <c r="AZ322" s="116"/>
      <c r="BA322" s="123"/>
      <c r="BB322" s="123"/>
      <c r="BC322" s="123"/>
      <c r="BH322" s="115"/>
      <c r="BI322" s="115"/>
      <c r="BJ322" s="115"/>
      <c r="BK322" s="115"/>
      <c r="BL322" s="115"/>
      <c r="BM322" s="115"/>
      <c r="BN322" s="115"/>
      <c r="BO322" s="115"/>
      <c r="BP322" s="115"/>
      <c r="BQ322" s="115"/>
      <c r="BR322" s="25"/>
      <c r="BS322" s="13"/>
      <c r="BV322" s="114"/>
    </row>
    <row r="323" spans="1:74" ht="20.100000000000001" customHeight="1" x14ac:dyDescent="0.4">
      <c r="A323" s="117"/>
      <c r="B323" s="123"/>
      <c r="C323" s="123"/>
      <c r="D323" s="123"/>
      <c r="S323" s="25"/>
      <c r="T323" s="13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27"/>
      <c r="AJ323" s="29"/>
      <c r="AT323" s="25"/>
      <c r="AU323" s="13"/>
      <c r="AZ323" s="116"/>
      <c r="BA323" s="123"/>
      <c r="BB323" s="123"/>
      <c r="BC323" s="123"/>
      <c r="BH323" s="115"/>
      <c r="BI323" s="115"/>
      <c r="BJ323" s="115"/>
      <c r="BK323" s="115"/>
      <c r="BL323" s="115"/>
      <c r="BM323" s="115"/>
      <c r="BN323" s="115"/>
      <c r="BO323" s="115"/>
      <c r="BP323" s="115"/>
      <c r="BQ323" s="115"/>
      <c r="BR323" s="25"/>
      <c r="BS323" s="13"/>
      <c r="BV323" s="114"/>
    </row>
    <row r="324" spans="1:74" ht="20.100000000000001" customHeight="1" x14ac:dyDescent="0.4">
      <c r="A324" s="117"/>
      <c r="B324" s="123"/>
      <c r="C324" s="123"/>
      <c r="D324" s="123"/>
      <c r="S324" s="25"/>
      <c r="T324" s="13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29"/>
      <c r="AJ324" s="29"/>
      <c r="AT324" s="25"/>
      <c r="AU324" s="13"/>
      <c r="AZ324" s="116"/>
      <c r="BA324" s="123"/>
      <c r="BB324" s="123"/>
      <c r="BC324" s="123"/>
      <c r="BH324" s="115"/>
      <c r="BI324" s="115"/>
      <c r="BJ324" s="115"/>
      <c r="BK324" s="115"/>
      <c r="BL324" s="115"/>
      <c r="BM324" s="115"/>
      <c r="BN324" s="115"/>
      <c r="BO324" s="115"/>
      <c r="BP324" s="115"/>
      <c r="BQ324" s="115"/>
      <c r="BR324" s="25"/>
      <c r="BS324" s="13"/>
      <c r="BV324" s="114"/>
    </row>
    <row r="325" spans="1:74" ht="20.100000000000001" customHeight="1" x14ac:dyDescent="0.4">
      <c r="A325" s="117"/>
      <c r="B325" s="123"/>
      <c r="C325" s="123"/>
      <c r="D325" s="123"/>
      <c r="S325" s="25"/>
      <c r="T325" s="13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27"/>
      <c r="AJ325" s="29"/>
      <c r="AT325" s="25"/>
      <c r="AU325" s="13"/>
      <c r="AZ325" s="116"/>
      <c r="BA325" s="123"/>
      <c r="BB325" s="123"/>
      <c r="BC325" s="123"/>
      <c r="BH325" s="115"/>
      <c r="BI325" s="115"/>
      <c r="BJ325" s="115"/>
      <c r="BK325" s="115"/>
      <c r="BL325" s="115"/>
      <c r="BM325" s="115"/>
      <c r="BN325" s="115"/>
      <c r="BO325" s="115"/>
      <c r="BP325" s="115"/>
      <c r="BQ325" s="115"/>
      <c r="BR325" s="25"/>
      <c r="BS325" s="13"/>
      <c r="BV325" s="114"/>
    </row>
    <row r="326" spans="1:74" ht="20.100000000000001" customHeight="1" x14ac:dyDescent="0.4">
      <c r="A326" s="117"/>
      <c r="B326" s="123"/>
      <c r="C326" s="123"/>
      <c r="D326" s="123"/>
      <c r="S326" s="25"/>
      <c r="T326" s="13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29"/>
      <c r="AJ326" s="29"/>
      <c r="AT326" s="25"/>
      <c r="AU326" s="13"/>
      <c r="AZ326" s="116"/>
      <c r="BA326" s="123"/>
      <c r="BB326" s="123"/>
      <c r="BC326" s="123"/>
      <c r="BH326" s="115"/>
      <c r="BI326" s="115"/>
      <c r="BJ326" s="115"/>
      <c r="BK326" s="115"/>
      <c r="BL326" s="115"/>
      <c r="BM326" s="115"/>
      <c r="BN326" s="115"/>
      <c r="BO326" s="115"/>
      <c r="BP326" s="115"/>
      <c r="BQ326" s="115"/>
      <c r="BR326" s="25"/>
      <c r="BS326" s="13"/>
      <c r="BV326" s="114"/>
    </row>
    <row r="327" spans="1:74" ht="20.100000000000001" customHeight="1" x14ac:dyDescent="0.4">
      <c r="A327" s="117"/>
      <c r="B327" s="123"/>
      <c r="C327" s="123"/>
      <c r="D327" s="123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3"/>
      <c r="T327" s="13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29"/>
      <c r="AJ327" s="29"/>
      <c r="AT327" s="25"/>
      <c r="AU327" s="13"/>
      <c r="AZ327" s="116"/>
      <c r="BA327" s="123"/>
      <c r="BB327" s="123"/>
      <c r="BC327" s="123"/>
      <c r="BH327" s="115"/>
      <c r="BI327" s="115"/>
      <c r="BJ327" s="115"/>
      <c r="BK327" s="115"/>
      <c r="BL327" s="115"/>
      <c r="BM327" s="115"/>
      <c r="BN327" s="115"/>
      <c r="BO327" s="115"/>
      <c r="BP327" s="115"/>
      <c r="BQ327" s="115"/>
      <c r="BR327" s="25"/>
      <c r="BS327" s="13"/>
      <c r="BV327" s="114"/>
    </row>
    <row r="328" spans="1:74" ht="20.100000000000001" customHeight="1" x14ac:dyDescent="0.4">
      <c r="A328" s="117"/>
      <c r="B328" s="123"/>
      <c r="C328" s="123"/>
      <c r="D328" s="123"/>
      <c r="S328" s="25"/>
      <c r="T328" s="13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27"/>
      <c r="AJ328" s="29"/>
      <c r="AT328" s="25"/>
      <c r="AU328" s="13"/>
      <c r="AZ328" s="116"/>
      <c r="BA328" s="123"/>
      <c r="BB328" s="123"/>
      <c r="BC328" s="123"/>
      <c r="BH328" s="115"/>
      <c r="BI328" s="115"/>
      <c r="BJ328" s="115"/>
      <c r="BK328" s="115"/>
      <c r="BL328" s="115"/>
      <c r="BM328" s="115"/>
      <c r="BN328" s="115"/>
      <c r="BO328" s="115"/>
      <c r="BP328" s="115"/>
      <c r="BQ328" s="115"/>
      <c r="BR328" s="25"/>
      <c r="BS328" s="13"/>
      <c r="BV328" s="114"/>
    </row>
    <row r="329" spans="1:74" ht="20.100000000000001" customHeight="1" x14ac:dyDescent="0.4">
      <c r="A329" s="117"/>
      <c r="B329" s="123"/>
      <c r="C329" s="123"/>
      <c r="D329" s="123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3"/>
      <c r="T329" s="13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27"/>
      <c r="AJ329" s="29"/>
      <c r="AT329" s="25"/>
      <c r="AU329" s="13"/>
      <c r="AZ329" s="116"/>
      <c r="BA329" s="123"/>
      <c r="BB329" s="123"/>
      <c r="BC329" s="123"/>
      <c r="BH329" s="115"/>
      <c r="BI329" s="115"/>
      <c r="BJ329" s="115"/>
      <c r="BK329" s="115"/>
      <c r="BL329" s="115"/>
      <c r="BM329" s="115"/>
      <c r="BN329" s="115"/>
      <c r="BO329" s="115"/>
      <c r="BP329" s="115"/>
      <c r="BQ329" s="115"/>
      <c r="BR329" s="25"/>
      <c r="BS329" s="13"/>
      <c r="BV329" s="114"/>
    </row>
    <row r="330" spans="1:74" ht="20.100000000000001" customHeight="1" x14ac:dyDescent="0.4">
      <c r="A330" s="117"/>
      <c r="B330" s="123"/>
      <c r="C330" s="123"/>
      <c r="D330" s="123"/>
      <c r="S330" s="25"/>
      <c r="T330" s="13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29"/>
      <c r="AJ330" s="29"/>
      <c r="AT330" s="25"/>
      <c r="AU330" s="13"/>
      <c r="AZ330" s="116"/>
      <c r="BA330" s="123"/>
      <c r="BB330" s="123"/>
      <c r="BC330" s="123"/>
      <c r="BH330" s="115"/>
      <c r="BI330" s="115"/>
      <c r="BJ330" s="115"/>
      <c r="BK330" s="115"/>
      <c r="BL330" s="115"/>
      <c r="BM330" s="115"/>
      <c r="BN330" s="115"/>
      <c r="BO330" s="115"/>
      <c r="BP330" s="115"/>
      <c r="BQ330" s="115"/>
      <c r="BR330" s="25"/>
      <c r="BS330" s="13"/>
      <c r="BV330" s="114"/>
    </row>
    <row r="331" spans="1:74" ht="20.100000000000001" customHeight="1" x14ac:dyDescent="0.4">
      <c r="A331" s="117"/>
      <c r="B331" s="123"/>
      <c r="C331" s="123"/>
      <c r="D331" s="123"/>
      <c r="S331" s="25"/>
      <c r="T331" s="13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27"/>
      <c r="AJ331" s="29"/>
      <c r="AT331" s="25"/>
      <c r="AU331" s="13"/>
      <c r="AZ331" s="116"/>
      <c r="BA331" s="123"/>
      <c r="BB331" s="123"/>
      <c r="BC331" s="123"/>
      <c r="BH331" s="115"/>
      <c r="BI331" s="115"/>
      <c r="BJ331" s="115"/>
      <c r="BK331" s="115"/>
      <c r="BL331" s="115"/>
      <c r="BM331" s="115"/>
      <c r="BN331" s="115"/>
      <c r="BO331" s="115"/>
      <c r="BP331" s="115"/>
      <c r="BQ331" s="115"/>
      <c r="BR331" s="25"/>
      <c r="BS331" s="13"/>
      <c r="BV331" s="114"/>
    </row>
    <row r="332" spans="1:74" ht="20.100000000000001" customHeight="1" x14ac:dyDescent="0.4">
      <c r="A332" s="117"/>
      <c r="B332" s="123"/>
      <c r="C332" s="123"/>
      <c r="D332" s="123"/>
      <c r="S332" s="25"/>
      <c r="T332" s="13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29"/>
      <c r="AJ332" s="29"/>
      <c r="AT332" s="25"/>
      <c r="AU332" s="13"/>
      <c r="AZ332" s="116"/>
      <c r="BA332" s="123"/>
      <c r="BB332" s="123"/>
      <c r="BC332" s="123"/>
      <c r="BH332" s="115"/>
      <c r="BI332" s="115"/>
      <c r="BJ332" s="115"/>
      <c r="BK332" s="115"/>
      <c r="BL332" s="115"/>
      <c r="BM332" s="115"/>
      <c r="BN332" s="115"/>
      <c r="BO332" s="115"/>
      <c r="BP332" s="115"/>
      <c r="BQ332" s="115"/>
      <c r="BR332" s="25"/>
      <c r="BS332" s="13"/>
      <c r="BV332" s="114"/>
    </row>
    <row r="333" spans="1:74" ht="20.100000000000001" customHeight="1" x14ac:dyDescent="0.4">
      <c r="A333" s="117"/>
      <c r="B333" s="123"/>
      <c r="C333" s="123"/>
      <c r="D333" s="123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3"/>
      <c r="T333" s="13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29"/>
      <c r="AJ333" s="29"/>
      <c r="AT333" s="25"/>
      <c r="AU333" s="13"/>
      <c r="AZ333" s="116"/>
      <c r="BA333" s="123"/>
      <c r="BB333" s="123"/>
      <c r="BC333" s="123"/>
      <c r="BH333" s="115"/>
      <c r="BI333" s="115"/>
      <c r="BJ333" s="115"/>
      <c r="BK333" s="115"/>
      <c r="BL333" s="115"/>
      <c r="BM333" s="115"/>
      <c r="BN333" s="115"/>
      <c r="BO333" s="115"/>
      <c r="BP333" s="115"/>
      <c r="BQ333" s="115"/>
      <c r="BR333" s="25"/>
      <c r="BS333" s="13"/>
      <c r="BV333" s="114"/>
    </row>
    <row r="334" spans="1:74" ht="20.100000000000001" customHeight="1" x14ac:dyDescent="0.4">
      <c r="A334" s="117"/>
      <c r="B334" s="123"/>
      <c r="C334" s="123"/>
      <c r="D334" s="123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25"/>
      <c r="T334" s="13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29"/>
      <c r="AJ334" s="29"/>
      <c r="AT334" s="25"/>
      <c r="AU334" s="13"/>
      <c r="AZ334" s="116"/>
      <c r="BA334" s="123"/>
      <c r="BB334" s="123"/>
      <c r="BC334" s="123"/>
      <c r="BH334" s="115"/>
      <c r="BI334" s="115"/>
      <c r="BJ334" s="115"/>
      <c r="BK334" s="115"/>
      <c r="BL334" s="115"/>
      <c r="BM334" s="115"/>
      <c r="BN334" s="115"/>
      <c r="BO334" s="115"/>
      <c r="BP334" s="115"/>
      <c r="BQ334" s="115"/>
      <c r="BR334" s="25"/>
      <c r="BS334" s="13"/>
      <c r="BV334" s="114"/>
    </row>
    <row r="335" spans="1:74" ht="20.100000000000001" customHeight="1" x14ac:dyDescent="0.4">
      <c r="A335" s="117"/>
      <c r="B335" s="123"/>
      <c r="C335" s="123"/>
      <c r="D335" s="123"/>
      <c r="S335" s="25"/>
      <c r="T335" s="133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27"/>
      <c r="AJ335" s="29"/>
      <c r="AT335" s="25"/>
      <c r="AU335" s="13"/>
      <c r="AZ335" s="116"/>
      <c r="BA335" s="123"/>
      <c r="BB335" s="123"/>
      <c r="BC335" s="123"/>
      <c r="BH335" s="115"/>
      <c r="BI335" s="115"/>
      <c r="BJ335" s="115"/>
      <c r="BK335" s="115"/>
      <c r="BL335" s="115"/>
      <c r="BM335" s="115"/>
      <c r="BN335" s="115"/>
      <c r="BO335" s="115"/>
      <c r="BP335" s="115"/>
      <c r="BQ335" s="115"/>
      <c r="BR335" s="25"/>
      <c r="BS335" s="13"/>
      <c r="BV335" s="114"/>
    </row>
    <row r="336" spans="1:74" ht="20.100000000000001" customHeight="1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25"/>
      <c r="T336" s="13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27"/>
      <c r="AJ336" s="29"/>
      <c r="AT336" s="25"/>
      <c r="AU336" s="13"/>
      <c r="AZ336" s="116"/>
      <c r="BA336" s="123"/>
      <c r="BB336" s="123"/>
      <c r="BC336" s="123"/>
      <c r="BH336" s="115"/>
      <c r="BI336" s="115"/>
      <c r="BJ336" s="115"/>
      <c r="BK336" s="115"/>
      <c r="BL336" s="115"/>
      <c r="BM336" s="115"/>
      <c r="BN336" s="115"/>
      <c r="BO336" s="115"/>
      <c r="BP336" s="115"/>
      <c r="BQ336" s="115"/>
      <c r="BR336" s="25"/>
      <c r="BS336" s="13"/>
      <c r="BV336" s="114"/>
    </row>
    <row r="337" spans="1:74" ht="20.100000000000001" customHeight="1" x14ac:dyDescent="0.4">
      <c r="A337" s="117"/>
      <c r="B337" s="123"/>
      <c r="C337" s="123"/>
      <c r="D337" s="123"/>
      <c r="S337" s="25"/>
      <c r="T337" s="13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27"/>
      <c r="AJ337" s="29"/>
      <c r="AT337" s="25"/>
      <c r="AU337" s="13"/>
      <c r="AZ337" s="116"/>
      <c r="BA337" s="123"/>
      <c r="BB337" s="123"/>
      <c r="BC337" s="123"/>
      <c r="BH337" s="115"/>
      <c r="BI337" s="115"/>
      <c r="BJ337" s="115"/>
      <c r="BK337" s="115"/>
      <c r="BL337" s="115"/>
      <c r="BM337" s="115"/>
      <c r="BN337" s="115"/>
      <c r="BO337" s="115"/>
      <c r="BP337" s="115"/>
      <c r="BQ337" s="115"/>
      <c r="BR337" s="25"/>
      <c r="BS337" s="13"/>
      <c r="BV337" s="114"/>
    </row>
    <row r="338" spans="1:74" ht="20.100000000000001" customHeight="1" x14ac:dyDescent="0.4">
      <c r="A338" s="117"/>
      <c r="B338" s="123"/>
      <c r="C338" s="123"/>
      <c r="D338" s="123"/>
      <c r="S338" s="25"/>
      <c r="T338" s="13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29"/>
      <c r="AJ338" s="29"/>
      <c r="AT338" s="25"/>
      <c r="AU338" s="13"/>
      <c r="AZ338" s="116"/>
      <c r="BA338" s="123"/>
      <c r="BB338" s="123"/>
      <c r="BC338" s="123"/>
      <c r="BH338" s="115"/>
      <c r="BI338" s="115"/>
      <c r="BJ338" s="115"/>
      <c r="BK338" s="115"/>
      <c r="BL338" s="115"/>
      <c r="BM338" s="115"/>
      <c r="BN338" s="115"/>
      <c r="BO338" s="115"/>
      <c r="BP338" s="115"/>
      <c r="BQ338" s="115"/>
      <c r="BR338" s="25"/>
      <c r="BS338" s="13"/>
      <c r="BV338" s="114"/>
    </row>
    <row r="339" spans="1:74" ht="20.100000000000001" customHeight="1" x14ac:dyDescent="0.4">
      <c r="A339" s="117"/>
      <c r="B339" s="123"/>
      <c r="C339" s="123"/>
      <c r="D339" s="123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3"/>
      <c r="T339" s="13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29"/>
      <c r="AJ339" s="29"/>
      <c r="AT339" s="25"/>
      <c r="AU339" s="13"/>
      <c r="AZ339" s="116"/>
      <c r="BA339" s="123"/>
      <c r="BB339" s="123"/>
      <c r="BC339" s="123"/>
      <c r="BH339" s="115"/>
      <c r="BI339" s="115"/>
      <c r="BJ339" s="115"/>
      <c r="BK339" s="115"/>
      <c r="BL339" s="115"/>
      <c r="BM339" s="115"/>
      <c r="BN339" s="115"/>
      <c r="BO339" s="115"/>
      <c r="BP339" s="115"/>
      <c r="BQ339" s="115"/>
      <c r="BR339" s="25"/>
      <c r="BS339" s="13"/>
      <c r="BV339" s="114"/>
    </row>
    <row r="340" spans="1:74" ht="20.100000000000001" customHeight="1" x14ac:dyDescent="0.4">
      <c r="A340" s="117"/>
      <c r="B340" s="123"/>
      <c r="C340" s="123"/>
      <c r="D340" s="123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3"/>
      <c r="T340" s="13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29"/>
      <c r="AJ340" s="29"/>
      <c r="AT340" s="25"/>
      <c r="AU340" s="13"/>
      <c r="AZ340" s="116"/>
      <c r="BA340" s="123"/>
      <c r="BB340" s="123"/>
      <c r="BC340" s="123"/>
      <c r="BH340" s="115"/>
      <c r="BI340" s="115"/>
      <c r="BJ340" s="115"/>
      <c r="BK340" s="115"/>
      <c r="BL340" s="115"/>
      <c r="BM340" s="115"/>
      <c r="BN340" s="115"/>
      <c r="BO340" s="115"/>
      <c r="BP340" s="115"/>
      <c r="BQ340" s="115"/>
      <c r="BR340" s="25"/>
      <c r="BS340" s="13"/>
      <c r="BV340" s="114"/>
    </row>
    <row r="341" spans="1:74" ht="20.100000000000001" customHeight="1" x14ac:dyDescent="0.4">
      <c r="A341" s="117"/>
      <c r="B341" s="123"/>
      <c r="C341" s="123"/>
      <c r="D341" s="123"/>
      <c r="S341" s="25"/>
      <c r="T341" s="13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27"/>
      <c r="AJ341" s="29"/>
      <c r="AT341" s="25"/>
      <c r="AU341" s="13"/>
      <c r="AZ341" s="116"/>
      <c r="BA341" s="123"/>
      <c r="BB341" s="123"/>
      <c r="BC341" s="123"/>
      <c r="BH341" s="115"/>
      <c r="BI341" s="115"/>
      <c r="BJ341" s="115"/>
      <c r="BK341" s="115"/>
      <c r="BL341" s="115"/>
      <c r="BM341" s="115"/>
      <c r="BN341" s="115"/>
      <c r="BO341" s="115"/>
      <c r="BP341" s="115"/>
      <c r="BQ341" s="115"/>
      <c r="BR341" s="25"/>
      <c r="BS341" s="13"/>
      <c r="BV341" s="114"/>
    </row>
    <row r="342" spans="1:74" ht="20.100000000000001" customHeight="1" x14ac:dyDescent="0.4">
      <c r="A342" s="117"/>
      <c r="B342" s="123"/>
      <c r="C342" s="123"/>
      <c r="D342" s="123"/>
      <c r="S342" s="25"/>
      <c r="T342" s="13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27"/>
      <c r="AJ342" s="29"/>
      <c r="AT342" s="25"/>
      <c r="AU342" s="13"/>
      <c r="AZ342" s="116"/>
      <c r="BA342" s="123"/>
      <c r="BB342" s="123"/>
      <c r="BC342" s="123"/>
      <c r="BH342" s="115"/>
      <c r="BI342" s="115"/>
      <c r="BJ342" s="115"/>
      <c r="BK342" s="115"/>
      <c r="BL342" s="115"/>
      <c r="BM342" s="115"/>
      <c r="BN342" s="115"/>
      <c r="BO342" s="115"/>
      <c r="BP342" s="115"/>
      <c r="BQ342" s="115"/>
      <c r="BR342" s="25"/>
      <c r="BS342" s="13"/>
      <c r="BV342" s="114"/>
    </row>
    <row r="343" spans="1:74" ht="20.100000000000001" customHeight="1" x14ac:dyDescent="0.4">
      <c r="A343" s="117"/>
      <c r="B343" s="123"/>
      <c r="C343" s="123"/>
      <c r="D343" s="123"/>
      <c r="S343" s="25"/>
      <c r="T343" s="13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29"/>
      <c r="AJ343" s="29"/>
      <c r="AT343" s="25"/>
      <c r="AU343" s="13"/>
      <c r="AZ343" s="116"/>
      <c r="BA343" s="123"/>
      <c r="BB343" s="123"/>
      <c r="BC343" s="123"/>
      <c r="BH343" s="115"/>
      <c r="BI343" s="115"/>
      <c r="BJ343" s="115"/>
      <c r="BK343" s="115"/>
      <c r="BL343" s="115"/>
      <c r="BM343" s="115"/>
      <c r="BN343" s="115"/>
      <c r="BO343" s="115"/>
      <c r="BP343" s="115"/>
      <c r="BQ343" s="115"/>
      <c r="BR343" s="25"/>
      <c r="BS343" s="13"/>
      <c r="BV343" s="114"/>
    </row>
    <row r="344" spans="1:74" ht="20.100000000000001" customHeight="1" x14ac:dyDescent="0.4">
      <c r="A344" s="117"/>
      <c r="B344" s="123"/>
      <c r="C344" s="123"/>
      <c r="D344" s="123"/>
      <c r="S344" s="25"/>
      <c r="T344" s="13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27"/>
      <c r="AJ344" s="29"/>
      <c r="AT344" s="25"/>
      <c r="AU344" s="13"/>
      <c r="AZ344" s="116"/>
      <c r="BA344" s="123"/>
      <c r="BB344" s="123"/>
      <c r="BC344" s="123"/>
      <c r="BH344" s="115"/>
      <c r="BI344" s="115"/>
      <c r="BJ344" s="115"/>
      <c r="BK344" s="115"/>
      <c r="BL344" s="115"/>
      <c r="BM344" s="115"/>
      <c r="BN344" s="115"/>
      <c r="BO344" s="115"/>
      <c r="BP344" s="115"/>
      <c r="BQ344" s="115"/>
      <c r="BR344" s="25"/>
      <c r="BS344" s="13"/>
      <c r="BV344" s="114"/>
    </row>
    <row r="345" spans="1:74" ht="20.100000000000001" customHeight="1" x14ac:dyDescent="0.4">
      <c r="A345" s="117"/>
      <c r="B345" s="123"/>
      <c r="C345" s="123"/>
      <c r="D345" s="123"/>
      <c r="S345" s="25"/>
      <c r="T345" s="13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27"/>
      <c r="AJ345" s="29"/>
      <c r="AT345" s="25"/>
      <c r="AU345" s="13"/>
      <c r="AZ345" s="116"/>
      <c r="BA345" s="123"/>
      <c r="BB345" s="123"/>
      <c r="BC345" s="123"/>
      <c r="BH345" s="115"/>
      <c r="BI345" s="115"/>
      <c r="BJ345" s="115"/>
      <c r="BK345" s="115"/>
      <c r="BL345" s="115"/>
      <c r="BM345" s="115"/>
      <c r="BN345" s="115"/>
      <c r="BO345" s="115"/>
      <c r="BP345" s="115"/>
      <c r="BQ345" s="115"/>
      <c r="BR345" s="25"/>
      <c r="BS345" s="13"/>
      <c r="BV345" s="114"/>
    </row>
    <row r="346" spans="1:74" ht="20.100000000000001" customHeight="1" x14ac:dyDescent="0.4">
      <c r="A346" s="117"/>
      <c r="B346" s="123"/>
      <c r="C346" s="123"/>
      <c r="D346" s="123"/>
      <c r="S346" s="25"/>
      <c r="T346" s="13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27"/>
      <c r="AJ346" s="29"/>
      <c r="AT346" s="25"/>
      <c r="AU346" s="13"/>
      <c r="AZ346" s="116"/>
      <c r="BA346" s="123"/>
      <c r="BB346" s="123"/>
      <c r="BC346" s="123"/>
      <c r="BH346" s="115"/>
      <c r="BI346" s="115"/>
      <c r="BJ346" s="115"/>
      <c r="BK346" s="115"/>
      <c r="BL346" s="115"/>
      <c r="BM346" s="115"/>
      <c r="BN346" s="115"/>
      <c r="BO346" s="115"/>
      <c r="BP346" s="115"/>
      <c r="BQ346" s="115"/>
      <c r="BR346" s="25"/>
      <c r="BS346" s="13"/>
      <c r="BV346" s="114"/>
    </row>
    <row r="347" spans="1:74" ht="20.100000000000001" customHeight="1" x14ac:dyDescent="0.4">
      <c r="A347" s="117"/>
      <c r="B347" s="123"/>
      <c r="C347" s="123"/>
      <c r="D347" s="123"/>
      <c r="S347" s="25"/>
      <c r="T347" s="133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29"/>
      <c r="AJ347" s="29"/>
      <c r="AT347" s="25"/>
      <c r="AU347" s="13"/>
      <c r="AZ347" s="116"/>
      <c r="BA347" s="123"/>
      <c r="BB347" s="123"/>
      <c r="BC347" s="123"/>
      <c r="BH347" s="115"/>
      <c r="BI347" s="115"/>
      <c r="BJ347" s="115"/>
      <c r="BK347" s="115"/>
      <c r="BL347" s="115"/>
      <c r="BM347" s="115"/>
      <c r="BN347" s="115"/>
      <c r="BO347" s="115"/>
      <c r="BP347" s="115"/>
      <c r="BQ347" s="115"/>
      <c r="BR347" s="25"/>
      <c r="BS347" s="13"/>
      <c r="BV347" s="114"/>
    </row>
    <row r="348" spans="1:74" ht="20.100000000000001" customHeight="1" x14ac:dyDescent="0.4">
      <c r="A348" s="117"/>
      <c r="B348" s="123"/>
      <c r="C348" s="123"/>
      <c r="D348" s="123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26"/>
      <c r="T348" s="13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29"/>
      <c r="AJ348" s="29"/>
      <c r="AT348" s="25"/>
      <c r="AU348" s="13"/>
      <c r="AZ348" s="116"/>
      <c r="BA348" s="123"/>
      <c r="BB348" s="123"/>
      <c r="BC348" s="123"/>
      <c r="BH348" s="115"/>
      <c r="BI348" s="115"/>
      <c r="BJ348" s="115"/>
      <c r="BK348" s="115"/>
      <c r="BL348" s="115"/>
      <c r="BM348" s="115"/>
      <c r="BN348" s="115"/>
      <c r="BO348" s="115"/>
      <c r="BP348" s="115"/>
      <c r="BQ348" s="115"/>
      <c r="BR348" s="25"/>
      <c r="BS348" s="13"/>
      <c r="BV348" s="114"/>
    </row>
    <row r="349" spans="1:74" ht="20.100000000000001" customHeight="1" x14ac:dyDescent="0.4">
      <c r="A349" s="117"/>
      <c r="B349" s="123"/>
      <c r="C349" s="123"/>
      <c r="D349" s="123"/>
      <c r="S349" s="26"/>
      <c r="T349" s="13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27"/>
      <c r="AJ349" s="29"/>
      <c r="AT349" s="25"/>
      <c r="AU349" s="13"/>
      <c r="AZ349" s="116"/>
      <c r="BA349" s="123"/>
      <c r="BB349" s="123"/>
      <c r="BC349" s="123"/>
      <c r="BH349" s="115"/>
      <c r="BI349" s="115"/>
      <c r="BJ349" s="115"/>
      <c r="BK349" s="115"/>
      <c r="BL349" s="115"/>
      <c r="BM349" s="115"/>
      <c r="BN349" s="115"/>
      <c r="BO349" s="115"/>
      <c r="BP349" s="115"/>
      <c r="BQ349" s="115"/>
      <c r="BR349" s="25"/>
      <c r="BS349" s="13"/>
      <c r="BV349" s="114"/>
    </row>
    <row r="350" spans="1:74" ht="20.100000000000001" customHeight="1" x14ac:dyDescent="0.4">
      <c r="A350" s="117"/>
      <c r="B350" s="123"/>
      <c r="C350" s="123"/>
      <c r="D350" s="123"/>
      <c r="S350" s="26"/>
      <c r="T350" s="13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29"/>
      <c r="AJ350" s="29"/>
      <c r="AT350" s="25"/>
      <c r="AU350" s="13"/>
      <c r="AZ350" s="116"/>
      <c r="BA350" s="123"/>
      <c r="BB350" s="123"/>
      <c r="BC350" s="123"/>
      <c r="BH350" s="115"/>
      <c r="BI350" s="115"/>
      <c r="BJ350" s="115"/>
      <c r="BK350" s="115"/>
      <c r="BL350" s="115"/>
      <c r="BM350" s="115"/>
      <c r="BN350" s="115"/>
      <c r="BO350" s="115"/>
      <c r="BP350" s="115"/>
      <c r="BQ350" s="115"/>
      <c r="BR350" s="25"/>
      <c r="BS350" s="13"/>
      <c r="BV350" s="114"/>
    </row>
    <row r="351" spans="1:74" ht="20.100000000000001" customHeight="1" x14ac:dyDescent="0.4">
      <c r="A351" s="117"/>
      <c r="B351" s="123"/>
      <c r="C351" s="123"/>
      <c r="D351" s="123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26"/>
      <c r="T351" s="13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29"/>
      <c r="AJ351" s="29"/>
      <c r="AT351" s="25"/>
      <c r="AU351" s="13"/>
      <c r="AZ351" s="116"/>
      <c r="BA351" s="123"/>
      <c r="BB351" s="123"/>
      <c r="BC351" s="123"/>
      <c r="BH351" s="115"/>
      <c r="BI351" s="115"/>
      <c r="BJ351" s="115"/>
      <c r="BK351" s="115"/>
      <c r="BL351" s="115"/>
      <c r="BM351" s="115"/>
      <c r="BN351" s="115"/>
      <c r="BO351" s="115"/>
      <c r="BP351" s="115"/>
      <c r="BQ351" s="115"/>
      <c r="BR351" s="25"/>
      <c r="BS351" s="13"/>
      <c r="BV351" s="114"/>
    </row>
    <row r="352" spans="1:74" ht="20.100000000000001" customHeight="1" x14ac:dyDescent="0.4">
      <c r="A352" s="117"/>
      <c r="B352" s="123"/>
      <c r="C352" s="123"/>
      <c r="D352" s="123"/>
      <c r="S352" s="26"/>
      <c r="T352" s="13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27"/>
      <c r="AJ352" s="29"/>
      <c r="AT352" s="25"/>
      <c r="AU352" s="13"/>
      <c r="AZ352" s="116"/>
      <c r="BA352" s="123"/>
      <c r="BB352" s="123"/>
      <c r="BC352" s="123"/>
      <c r="BH352" s="115"/>
      <c r="BI352" s="115"/>
      <c r="BJ352" s="115"/>
      <c r="BK352" s="115"/>
      <c r="BL352" s="115"/>
      <c r="BM352" s="115"/>
      <c r="BN352" s="115"/>
      <c r="BO352" s="115"/>
      <c r="BP352" s="115"/>
      <c r="BQ352" s="115"/>
      <c r="BR352" s="25"/>
      <c r="BS352" s="13"/>
      <c r="BV352" s="114"/>
    </row>
    <row r="353" spans="1:74" ht="20.100000000000001" customHeight="1" x14ac:dyDescent="0.4">
      <c r="A353" s="117"/>
      <c r="B353" s="123"/>
      <c r="C353" s="123"/>
      <c r="D353" s="123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7"/>
      <c r="T353" s="13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27"/>
      <c r="AJ353" s="29"/>
      <c r="AT353" s="25"/>
      <c r="AU353" s="13"/>
      <c r="AZ353" s="116"/>
      <c r="BA353" s="123"/>
      <c r="BB353" s="123"/>
      <c r="BC353" s="123"/>
      <c r="BH353" s="115"/>
      <c r="BI353" s="115"/>
      <c r="BJ353" s="115"/>
      <c r="BK353" s="115"/>
      <c r="BL353" s="115"/>
      <c r="BM353" s="115"/>
      <c r="BN353" s="115"/>
      <c r="BO353" s="115"/>
      <c r="BP353" s="115"/>
      <c r="BQ353" s="115"/>
      <c r="BR353" s="25"/>
      <c r="BS353" s="13"/>
      <c r="BV353" s="114"/>
    </row>
    <row r="354" spans="1:74" ht="20.100000000000001" customHeight="1" x14ac:dyDescent="0.4">
      <c r="A354" s="117"/>
      <c r="B354" s="123"/>
      <c r="C354" s="123"/>
      <c r="D354" s="123"/>
      <c r="S354" s="26"/>
      <c r="T354" s="13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29"/>
      <c r="AJ354" s="29"/>
      <c r="AT354" s="25"/>
      <c r="AU354" s="13"/>
      <c r="AZ354" s="116"/>
      <c r="BA354" s="123"/>
      <c r="BB354" s="123"/>
      <c r="BC354" s="123"/>
      <c r="BH354" s="115"/>
      <c r="BI354" s="115"/>
      <c r="BJ354" s="115"/>
      <c r="BK354" s="115"/>
      <c r="BL354" s="115"/>
      <c r="BM354" s="115"/>
      <c r="BN354" s="115"/>
      <c r="BO354" s="115"/>
      <c r="BP354" s="115"/>
      <c r="BQ354" s="115"/>
      <c r="BR354" s="25"/>
      <c r="BS354" s="13"/>
      <c r="BV354" s="114"/>
    </row>
    <row r="355" spans="1:74" ht="20.100000000000001" customHeight="1" x14ac:dyDescent="0.4">
      <c r="A355" s="117"/>
      <c r="B355" s="123"/>
      <c r="C355" s="123"/>
      <c r="D355" s="123"/>
      <c r="S355" s="26"/>
      <c r="T355" s="13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27"/>
      <c r="AJ355" s="29"/>
      <c r="AT355" s="25"/>
      <c r="AU355" s="13"/>
      <c r="AZ355" s="116"/>
      <c r="BA355" s="123"/>
      <c r="BB355" s="123"/>
      <c r="BC355" s="123"/>
      <c r="BH355" s="115"/>
      <c r="BI355" s="115"/>
      <c r="BJ355" s="115"/>
      <c r="BK355" s="115"/>
      <c r="BL355" s="115"/>
      <c r="BM355" s="115"/>
      <c r="BN355" s="115"/>
      <c r="BO355" s="115"/>
      <c r="BP355" s="115"/>
      <c r="BQ355" s="115"/>
      <c r="BR355" s="25"/>
      <c r="BS355" s="13"/>
      <c r="BV355" s="114"/>
    </row>
    <row r="356" spans="1:74" ht="20.100000000000001" customHeight="1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7"/>
      <c r="T356" s="13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27"/>
      <c r="AJ356" s="29"/>
      <c r="AT356" s="25"/>
      <c r="AU356" s="13"/>
      <c r="AZ356" s="116"/>
      <c r="BA356" s="123"/>
      <c r="BB356" s="123"/>
      <c r="BC356" s="123"/>
      <c r="BH356" s="115"/>
      <c r="BI356" s="115"/>
      <c r="BJ356" s="115"/>
      <c r="BK356" s="115"/>
      <c r="BL356" s="115"/>
      <c r="BM356" s="115"/>
      <c r="BN356" s="115"/>
      <c r="BO356" s="115"/>
      <c r="BP356" s="115"/>
      <c r="BQ356" s="115"/>
      <c r="BR356" s="25"/>
      <c r="BS356" s="13"/>
      <c r="BV356" s="114"/>
    </row>
    <row r="357" spans="1:74" ht="20.100000000000001" customHeight="1" x14ac:dyDescent="0.4">
      <c r="A357" s="117"/>
      <c r="B357" s="123"/>
      <c r="C357" s="123"/>
      <c r="D357" s="123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26"/>
      <c r="T357" s="13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27"/>
      <c r="AJ357" s="29"/>
      <c r="AT357" s="25"/>
      <c r="AU357" s="13"/>
      <c r="AZ357" s="116"/>
      <c r="BA357" s="123"/>
      <c r="BB357" s="123"/>
      <c r="BC357" s="123"/>
      <c r="BH357" s="115"/>
      <c r="BI357" s="115"/>
      <c r="BJ357" s="115"/>
      <c r="BK357" s="115"/>
      <c r="BL357" s="115"/>
      <c r="BM357" s="115"/>
      <c r="BN357" s="115"/>
      <c r="BO357" s="115"/>
      <c r="BP357" s="115"/>
      <c r="BQ357" s="115"/>
      <c r="BR357" s="25"/>
      <c r="BS357" s="13"/>
      <c r="BV357" s="114"/>
    </row>
    <row r="358" spans="1:74" ht="20.100000000000001" customHeight="1" x14ac:dyDescent="0.4">
      <c r="A358" s="117"/>
      <c r="B358" s="123"/>
      <c r="C358" s="123"/>
      <c r="D358" s="123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7"/>
      <c r="T358" s="13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27"/>
      <c r="AJ358" s="29"/>
      <c r="AT358" s="25"/>
      <c r="AU358" s="13"/>
      <c r="AZ358" s="116"/>
      <c r="BA358" s="123"/>
      <c r="BB358" s="123"/>
      <c r="BC358" s="123"/>
      <c r="BH358" s="115"/>
      <c r="BI358" s="115"/>
      <c r="BJ358" s="115"/>
      <c r="BK358" s="115"/>
      <c r="BL358" s="115"/>
      <c r="BM358" s="115"/>
      <c r="BN358" s="115"/>
      <c r="BO358" s="115"/>
      <c r="BP358" s="115"/>
      <c r="BQ358" s="115"/>
      <c r="BR358" s="25"/>
      <c r="BS358" s="13"/>
      <c r="BV358" s="114"/>
    </row>
    <row r="359" spans="1:74" ht="20.100000000000001" customHeight="1" x14ac:dyDescent="0.4">
      <c r="A359" s="117"/>
      <c r="B359" s="123"/>
      <c r="C359" s="123"/>
      <c r="D359" s="123"/>
      <c r="S359" s="26"/>
      <c r="T359" s="13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29"/>
      <c r="AJ359" s="29"/>
      <c r="AT359" s="25"/>
      <c r="AU359" s="13"/>
      <c r="AZ359" s="116"/>
      <c r="BA359" s="123"/>
      <c r="BB359" s="123"/>
      <c r="BC359" s="123"/>
      <c r="BH359" s="115"/>
      <c r="BI359" s="115"/>
      <c r="BJ359" s="115"/>
      <c r="BK359" s="115"/>
      <c r="BL359" s="115"/>
      <c r="BM359" s="115"/>
      <c r="BN359" s="115"/>
      <c r="BO359" s="115"/>
      <c r="BP359" s="115"/>
      <c r="BQ359" s="115"/>
      <c r="BR359" s="25"/>
      <c r="BS359" s="13"/>
      <c r="BV359" s="114"/>
    </row>
    <row r="360" spans="1:74" ht="20.100000000000001" customHeight="1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7"/>
      <c r="T360" s="13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29"/>
      <c r="AJ360" s="29"/>
      <c r="AT360" s="25"/>
      <c r="AU360" s="13"/>
      <c r="AZ360" s="116"/>
      <c r="BA360" s="123"/>
      <c r="BB360" s="123"/>
      <c r="BC360" s="123"/>
      <c r="BH360" s="115"/>
      <c r="BI360" s="115"/>
      <c r="BJ360" s="115"/>
      <c r="BK360" s="115"/>
      <c r="BL360" s="115"/>
      <c r="BM360" s="115"/>
      <c r="BN360" s="115"/>
      <c r="BO360" s="115"/>
      <c r="BP360" s="115"/>
      <c r="BQ360" s="115"/>
      <c r="BR360" s="25"/>
      <c r="BS360" s="13"/>
      <c r="BV360" s="114"/>
    </row>
    <row r="361" spans="1:74" ht="20.100000000000001" customHeight="1" x14ac:dyDescent="0.4">
      <c r="A361" s="117"/>
      <c r="B361" s="123"/>
      <c r="C361" s="123"/>
      <c r="D361" s="123"/>
      <c r="S361" s="26"/>
      <c r="T361" s="13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29"/>
      <c r="AJ361" s="29"/>
      <c r="AT361" s="25"/>
      <c r="AU361" s="13"/>
      <c r="AZ361" s="116"/>
      <c r="BA361" s="123"/>
      <c r="BB361" s="123"/>
      <c r="BC361" s="123"/>
      <c r="BH361" s="115"/>
      <c r="BI361" s="115"/>
      <c r="BJ361" s="115"/>
      <c r="BK361" s="115"/>
      <c r="BL361" s="115"/>
      <c r="BM361" s="115"/>
      <c r="BN361" s="115"/>
      <c r="BO361" s="115"/>
      <c r="BP361" s="115"/>
      <c r="BQ361" s="115"/>
      <c r="BR361" s="25"/>
      <c r="BS361" s="13"/>
      <c r="BV361" s="114"/>
    </row>
    <row r="362" spans="1:74" ht="20.100000000000001" customHeight="1" x14ac:dyDescent="0.4">
      <c r="A362" s="117"/>
      <c r="B362" s="123"/>
      <c r="C362" s="123"/>
      <c r="D362" s="123"/>
      <c r="S362" s="26"/>
      <c r="T362" s="13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27"/>
      <c r="AJ362" s="29"/>
      <c r="AT362" s="25"/>
      <c r="AU362" s="13"/>
      <c r="AZ362" s="116"/>
      <c r="BA362" s="123"/>
      <c r="BB362" s="123"/>
      <c r="BC362" s="123"/>
      <c r="BH362" s="115"/>
      <c r="BI362" s="115"/>
      <c r="BJ362" s="115"/>
      <c r="BK362" s="115"/>
      <c r="BL362" s="115"/>
      <c r="BM362" s="115"/>
      <c r="BN362" s="115"/>
      <c r="BO362" s="115"/>
      <c r="BP362" s="115"/>
      <c r="BQ362" s="115"/>
      <c r="BR362" s="25"/>
      <c r="BS362" s="13"/>
      <c r="BV362" s="114"/>
    </row>
    <row r="363" spans="1:74" ht="20.100000000000001" customHeight="1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20"/>
      <c r="T363" s="13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27"/>
      <c r="AJ363" s="29"/>
      <c r="AT363" s="25"/>
      <c r="AU363" s="13"/>
      <c r="AZ363" s="116"/>
      <c r="BA363" s="123"/>
      <c r="BB363" s="123"/>
      <c r="BC363" s="123"/>
      <c r="BH363" s="115"/>
      <c r="BI363" s="115"/>
      <c r="BJ363" s="115"/>
      <c r="BK363" s="115"/>
      <c r="BL363" s="115"/>
      <c r="BM363" s="115"/>
      <c r="BN363" s="115"/>
      <c r="BO363" s="115"/>
      <c r="BP363" s="115"/>
      <c r="BQ363" s="115"/>
      <c r="BR363" s="25"/>
      <c r="BS363" s="13"/>
      <c r="BV363" s="114"/>
    </row>
    <row r="364" spans="1:74" ht="20.100000000000001" customHeight="1" x14ac:dyDescent="0.4">
      <c r="A364" s="117"/>
      <c r="B364" s="123"/>
      <c r="C364" s="123"/>
      <c r="D364" s="123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20"/>
      <c r="T364" s="13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27"/>
      <c r="AJ364" s="29"/>
      <c r="AT364" s="25"/>
      <c r="AU364" s="13"/>
      <c r="AZ364" s="116"/>
      <c r="BA364" s="123"/>
      <c r="BB364" s="123"/>
      <c r="BC364" s="123"/>
      <c r="BH364" s="115"/>
      <c r="BI364" s="115"/>
      <c r="BJ364" s="115"/>
      <c r="BK364" s="115"/>
      <c r="BL364" s="115"/>
      <c r="BM364" s="115"/>
      <c r="BN364" s="115"/>
      <c r="BO364" s="115"/>
      <c r="BP364" s="115"/>
      <c r="BQ364" s="115"/>
      <c r="BR364" s="25"/>
      <c r="BS364" s="13"/>
      <c r="BV364" s="114"/>
    </row>
    <row r="365" spans="1:74" ht="20.100000000000001" customHeight="1" x14ac:dyDescent="0.4">
      <c r="A365" s="117"/>
      <c r="B365" s="123"/>
      <c r="C365" s="123"/>
      <c r="D365" s="123"/>
      <c r="S365" s="25"/>
      <c r="T365" s="13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27"/>
      <c r="AJ365" s="29"/>
      <c r="AT365" s="25"/>
      <c r="AU365" s="13"/>
      <c r="AZ365" s="116"/>
      <c r="BA365" s="123"/>
      <c r="BB365" s="123"/>
      <c r="BC365" s="123"/>
      <c r="BH365" s="115"/>
      <c r="BI365" s="115"/>
      <c r="BJ365" s="115"/>
      <c r="BK365" s="115"/>
      <c r="BL365" s="115"/>
      <c r="BM365" s="115"/>
      <c r="BN365" s="115"/>
      <c r="BO365" s="115"/>
      <c r="BP365" s="115"/>
      <c r="BQ365" s="115"/>
      <c r="BR365" s="25"/>
      <c r="BS365" s="13"/>
      <c r="BV365" s="114"/>
    </row>
    <row r="366" spans="1:74" ht="20.100000000000001" customHeight="1" x14ac:dyDescent="0.4">
      <c r="A366" s="117"/>
      <c r="B366" s="123"/>
      <c r="C366" s="123"/>
      <c r="D366" s="123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3"/>
      <c r="T366" s="13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27"/>
      <c r="AJ366" s="29"/>
      <c r="AT366" s="25"/>
      <c r="AU366" s="13"/>
      <c r="AZ366" s="116"/>
      <c r="BA366" s="123"/>
      <c r="BB366" s="123"/>
      <c r="BC366" s="123"/>
      <c r="BH366" s="115"/>
      <c r="BI366" s="115"/>
      <c r="BJ366" s="115"/>
      <c r="BK366" s="115"/>
      <c r="BL366" s="115"/>
      <c r="BM366" s="115"/>
      <c r="BN366" s="115"/>
      <c r="BO366" s="115"/>
      <c r="BP366" s="115"/>
      <c r="BQ366" s="115"/>
      <c r="BR366" s="25"/>
      <c r="BS366" s="13"/>
      <c r="BV366" s="114"/>
    </row>
    <row r="367" spans="1:74" ht="20.100000000000001" customHeight="1" x14ac:dyDescent="0.4">
      <c r="A367" s="117"/>
      <c r="B367" s="123"/>
      <c r="C367" s="123"/>
      <c r="D367" s="123"/>
      <c r="S367" s="25"/>
      <c r="T367" s="13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27"/>
      <c r="AJ367" s="29"/>
      <c r="AT367" s="25"/>
      <c r="AU367" s="13"/>
      <c r="AZ367" s="116"/>
      <c r="BA367" s="123"/>
      <c r="BB367" s="123"/>
      <c r="BC367" s="123"/>
      <c r="BH367" s="115"/>
      <c r="BI367" s="115"/>
      <c r="BJ367" s="115"/>
      <c r="BK367" s="115"/>
      <c r="BL367" s="115"/>
      <c r="BM367" s="115"/>
      <c r="BN367" s="115"/>
      <c r="BO367" s="115"/>
      <c r="BP367" s="115"/>
      <c r="BQ367" s="115"/>
      <c r="BR367" s="25"/>
      <c r="BS367" s="13"/>
      <c r="BV367" s="114"/>
    </row>
    <row r="368" spans="1:74" ht="20.100000000000001" customHeight="1" x14ac:dyDescent="0.4">
      <c r="A368" s="117"/>
      <c r="B368" s="123"/>
      <c r="C368" s="123"/>
      <c r="D368" s="123"/>
      <c r="S368" s="26"/>
      <c r="T368" s="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27"/>
      <c r="AJ368" s="29"/>
      <c r="AT368" s="25"/>
      <c r="AU368" s="13"/>
      <c r="AZ368" s="116"/>
      <c r="BA368" s="123"/>
      <c r="BB368" s="123"/>
      <c r="BC368" s="123"/>
      <c r="BH368" s="115"/>
      <c r="BI368" s="115"/>
      <c r="BJ368" s="115"/>
      <c r="BK368" s="115"/>
      <c r="BL368" s="115"/>
      <c r="BM368" s="115"/>
      <c r="BN368" s="115"/>
      <c r="BO368" s="115"/>
      <c r="BP368" s="115"/>
      <c r="BQ368" s="115"/>
      <c r="BR368" s="25"/>
      <c r="BS368" s="13"/>
      <c r="BV368" s="114"/>
    </row>
    <row r="369" spans="1:74" ht="20.100000000000001" customHeight="1" x14ac:dyDescent="0.4">
      <c r="A369" s="117"/>
      <c r="B369" s="123"/>
      <c r="C369" s="123"/>
      <c r="D369" s="123"/>
      <c r="F369" s="125"/>
      <c r="G369" s="125"/>
      <c r="H369" s="125"/>
      <c r="I369" s="125"/>
      <c r="J369" s="125"/>
      <c r="K369" s="125"/>
      <c r="L369" s="125"/>
      <c r="M369" s="125"/>
      <c r="N369" s="125"/>
      <c r="O369" s="125"/>
      <c r="P369" s="125"/>
      <c r="Q369" s="125"/>
      <c r="R369" s="125"/>
      <c r="S369" s="25"/>
      <c r="T369" s="13"/>
      <c r="AI369" s="127"/>
      <c r="AJ369" s="29"/>
      <c r="AT369" s="25"/>
      <c r="AU369" s="13"/>
      <c r="AZ369" s="116"/>
      <c r="BA369" s="123"/>
      <c r="BB369" s="123"/>
      <c r="BC369" s="123"/>
      <c r="BH369" s="115"/>
      <c r="BI369" s="115"/>
      <c r="BJ369" s="115"/>
      <c r="BK369" s="115"/>
      <c r="BL369" s="115"/>
      <c r="BM369" s="115"/>
      <c r="BN369" s="115"/>
      <c r="BO369" s="115"/>
      <c r="BP369" s="115"/>
      <c r="BQ369" s="115"/>
      <c r="BR369" s="25"/>
      <c r="BS369" s="13"/>
      <c r="BV369" s="114"/>
    </row>
    <row r="370" spans="1:74" ht="20.100000000000001" customHeight="1" x14ac:dyDescent="0.4">
      <c r="A370" s="117"/>
      <c r="B370" s="123"/>
      <c r="C370" s="123"/>
      <c r="D370" s="123"/>
      <c r="F370" s="125"/>
      <c r="G370" s="125"/>
      <c r="H370" s="125"/>
      <c r="I370" s="125"/>
      <c r="J370" s="125"/>
      <c r="K370" s="125"/>
      <c r="L370" s="125"/>
      <c r="M370" s="125"/>
      <c r="N370" s="125"/>
      <c r="O370" s="125"/>
      <c r="P370" s="125"/>
      <c r="Q370" s="125"/>
      <c r="R370" s="125"/>
      <c r="S370" s="25"/>
      <c r="T370" s="13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27"/>
      <c r="AJ370" s="29"/>
      <c r="AT370" s="25"/>
      <c r="AU370" s="13"/>
      <c r="AZ370" s="116"/>
      <c r="BA370" s="123"/>
      <c r="BB370" s="123"/>
      <c r="BC370" s="123"/>
      <c r="BH370" s="115"/>
      <c r="BI370" s="115"/>
      <c r="BJ370" s="115"/>
      <c r="BK370" s="115"/>
      <c r="BL370" s="115"/>
      <c r="BM370" s="115"/>
      <c r="BN370" s="115"/>
      <c r="BO370" s="115"/>
      <c r="BP370" s="115"/>
      <c r="BQ370" s="115"/>
      <c r="BR370" s="25"/>
      <c r="BS370" s="13"/>
      <c r="BV370" s="114"/>
    </row>
    <row r="371" spans="1:74" ht="20.100000000000001" customHeight="1" x14ac:dyDescent="0.4">
      <c r="A371" s="117"/>
      <c r="B371" s="123"/>
      <c r="C371" s="123"/>
      <c r="D371" s="123"/>
      <c r="F371" s="125"/>
      <c r="G371" s="125"/>
      <c r="H371" s="125"/>
      <c r="I371" s="125"/>
      <c r="J371" s="125"/>
      <c r="K371" s="125"/>
      <c r="L371" s="125"/>
      <c r="M371" s="125"/>
      <c r="N371" s="125"/>
      <c r="O371" s="125"/>
      <c r="P371" s="125"/>
      <c r="Q371" s="125"/>
      <c r="R371" s="125"/>
      <c r="S371" s="25"/>
      <c r="T371" s="13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29"/>
      <c r="AJ371" s="29"/>
      <c r="AT371" s="25"/>
      <c r="AU371" s="13"/>
      <c r="AZ371" s="116"/>
      <c r="BA371" s="123"/>
      <c r="BB371" s="123"/>
      <c r="BC371" s="123"/>
      <c r="BH371" s="115"/>
      <c r="BI371" s="115"/>
      <c r="BJ371" s="115"/>
      <c r="BK371" s="115"/>
      <c r="BL371" s="115"/>
      <c r="BM371" s="115"/>
      <c r="BN371" s="115"/>
      <c r="BO371" s="115"/>
      <c r="BP371" s="115"/>
      <c r="BQ371" s="115"/>
      <c r="BR371" s="25"/>
      <c r="BS371" s="13"/>
      <c r="BV371" s="114"/>
    </row>
    <row r="372" spans="1:74" ht="20.100000000000001" customHeight="1" x14ac:dyDescent="0.4">
      <c r="A372" s="117"/>
      <c r="B372" s="123"/>
      <c r="C372" s="123"/>
      <c r="D372" s="123"/>
      <c r="F372" s="125"/>
      <c r="G372" s="125"/>
      <c r="H372" s="125"/>
      <c r="I372" s="125"/>
      <c r="J372" s="125"/>
      <c r="K372" s="125"/>
      <c r="L372" s="125"/>
      <c r="M372" s="125"/>
      <c r="N372" s="125"/>
      <c r="O372" s="125"/>
      <c r="P372" s="125"/>
      <c r="Q372" s="125"/>
      <c r="R372" s="125"/>
      <c r="S372" s="25"/>
      <c r="T372" s="13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27"/>
      <c r="AJ372" s="29"/>
      <c r="AT372" s="25"/>
      <c r="AU372" s="13"/>
      <c r="AZ372" s="116"/>
      <c r="BA372" s="123"/>
      <c r="BB372" s="123"/>
      <c r="BC372" s="123"/>
      <c r="BH372" s="115"/>
      <c r="BI372" s="115"/>
      <c r="BJ372" s="115"/>
      <c r="BK372" s="115"/>
      <c r="BL372" s="115"/>
      <c r="BM372" s="115"/>
      <c r="BN372" s="115"/>
      <c r="BO372" s="115"/>
      <c r="BP372" s="115"/>
      <c r="BQ372" s="115"/>
      <c r="BR372" s="25"/>
      <c r="BS372" s="13"/>
      <c r="BV372" s="114"/>
    </row>
    <row r="373" spans="1:74" ht="20.100000000000001" customHeight="1" x14ac:dyDescent="0.4">
      <c r="A373" s="117"/>
      <c r="B373" s="123"/>
      <c r="C373" s="123"/>
      <c r="D373" s="123"/>
      <c r="F373" s="125"/>
      <c r="G373" s="125"/>
      <c r="H373" s="125"/>
      <c r="I373" s="125"/>
      <c r="J373" s="125"/>
      <c r="K373" s="125"/>
      <c r="L373" s="125"/>
      <c r="M373" s="125"/>
      <c r="N373" s="125"/>
      <c r="O373" s="125"/>
      <c r="P373" s="125"/>
      <c r="Q373" s="125"/>
      <c r="R373" s="125"/>
      <c r="S373" s="26"/>
      <c r="T373" s="13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27"/>
      <c r="AJ373" s="29"/>
      <c r="AT373" s="25"/>
      <c r="AU373" s="13"/>
      <c r="AZ373" s="116"/>
      <c r="BA373" s="123"/>
      <c r="BB373" s="123"/>
      <c r="BC373" s="123"/>
      <c r="BH373" s="115"/>
      <c r="BI373" s="115"/>
      <c r="BJ373" s="115"/>
      <c r="BK373" s="115"/>
      <c r="BL373" s="115"/>
      <c r="BM373" s="115"/>
      <c r="BN373" s="115"/>
      <c r="BO373" s="115"/>
      <c r="BP373" s="115"/>
      <c r="BQ373" s="115"/>
      <c r="BR373" s="25"/>
      <c r="BS373" s="13"/>
      <c r="BV373" s="114"/>
    </row>
    <row r="374" spans="1:74" ht="20.100000000000001" customHeight="1" x14ac:dyDescent="0.4">
      <c r="A374" s="117"/>
      <c r="B374" s="123"/>
      <c r="C374" s="123"/>
      <c r="D374" s="123"/>
      <c r="F374" s="125"/>
      <c r="G374" s="125"/>
      <c r="H374" s="125"/>
      <c r="I374" s="125"/>
      <c r="J374" s="125"/>
      <c r="K374" s="125"/>
      <c r="L374" s="125"/>
      <c r="M374" s="125"/>
      <c r="N374" s="125"/>
      <c r="O374" s="125"/>
      <c r="P374" s="125"/>
      <c r="Q374" s="125"/>
      <c r="R374" s="125"/>
      <c r="S374" s="26"/>
      <c r="T374" s="13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27"/>
      <c r="AJ374" s="29"/>
      <c r="AT374" s="25"/>
      <c r="AU374" s="13"/>
      <c r="AZ374" s="116"/>
      <c r="BA374" s="123"/>
      <c r="BB374" s="123"/>
      <c r="BC374" s="123"/>
      <c r="BH374" s="115"/>
      <c r="BI374" s="115"/>
      <c r="BJ374" s="115"/>
      <c r="BK374" s="115"/>
      <c r="BL374" s="115"/>
      <c r="BM374" s="115"/>
      <c r="BN374" s="115"/>
      <c r="BO374" s="115"/>
      <c r="BP374" s="115"/>
      <c r="BQ374" s="115"/>
      <c r="BR374" s="25"/>
      <c r="BS374" s="13"/>
      <c r="BV374" s="114"/>
    </row>
    <row r="375" spans="1:74" ht="20.100000000000001" customHeight="1" x14ac:dyDescent="0.4">
      <c r="A375" s="117"/>
      <c r="B375" s="123"/>
      <c r="C375" s="123"/>
      <c r="D375" s="123"/>
      <c r="F375" s="125"/>
      <c r="G375" s="125"/>
      <c r="H375" s="125"/>
      <c r="I375" s="125"/>
      <c r="J375" s="125"/>
      <c r="K375" s="125"/>
      <c r="L375" s="125"/>
      <c r="M375" s="125"/>
      <c r="N375" s="125"/>
      <c r="O375" s="125"/>
      <c r="P375" s="125"/>
      <c r="Q375" s="125"/>
      <c r="R375" s="125"/>
      <c r="S375" s="17"/>
      <c r="T375" s="13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27"/>
      <c r="AJ375" s="29"/>
      <c r="AT375" s="25"/>
      <c r="AU375" s="13"/>
      <c r="AZ375" s="116"/>
      <c r="BA375" s="123"/>
      <c r="BB375" s="123"/>
      <c r="BC375" s="123"/>
      <c r="BH375" s="115"/>
      <c r="BI375" s="115"/>
      <c r="BJ375" s="115"/>
      <c r="BK375" s="115"/>
      <c r="BL375" s="115"/>
      <c r="BM375" s="115"/>
      <c r="BN375" s="115"/>
      <c r="BO375" s="115"/>
      <c r="BP375" s="115"/>
      <c r="BQ375" s="115"/>
      <c r="BR375" s="25"/>
      <c r="BS375" s="13"/>
      <c r="BV375" s="114"/>
    </row>
    <row r="376" spans="1:74" ht="20.100000000000001" customHeight="1" x14ac:dyDescent="0.4">
      <c r="A376" s="117"/>
      <c r="B376" s="123"/>
      <c r="C376" s="123"/>
      <c r="D376" s="123"/>
      <c r="F376" s="125"/>
      <c r="G376" s="125"/>
      <c r="H376" s="125"/>
      <c r="I376" s="125"/>
      <c r="J376" s="125"/>
      <c r="K376" s="125"/>
      <c r="L376" s="125"/>
      <c r="M376" s="125"/>
      <c r="N376" s="125"/>
      <c r="O376" s="125"/>
      <c r="P376" s="125"/>
      <c r="Q376" s="125"/>
      <c r="R376" s="125"/>
      <c r="S376" s="26"/>
      <c r="T376" s="13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27"/>
      <c r="AJ376" s="29"/>
      <c r="AT376" s="25"/>
      <c r="AU376" s="13"/>
      <c r="AZ376" s="116"/>
      <c r="BA376" s="123"/>
      <c r="BB376" s="123"/>
      <c r="BC376" s="123"/>
      <c r="BH376" s="115"/>
      <c r="BI376" s="115"/>
      <c r="BJ376" s="115"/>
      <c r="BK376" s="115"/>
      <c r="BL376" s="115"/>
      <c r="BM376" s="115"/>
      <c r="BN376" s="115"/>
      <c r="BO376" s="115"/>
      <c r="BP376" s="115"/>
      <c r="BQ376" s="115"/>
      <c r="BR376" s="25"/>
      <c r="BS376" s="13"/>
      <c r="BV376" s="114"/>
    </row>
    <row r="377" spans="1:74" ht="20.100000000000001" customHeight="1" x14ac:dyDescent="0.4">
      <c r="A377" s="117"/>
      <c r="B377" s="123"/>
      <c r="C377" s="123"/>
      <c r="D377" s="123"/>
      <c r="F377" s="125"/>
      <c r="G377" s="125"/>
      <c r="H377" s="125"/>
      <c r="I377" s="125"/>
      <c r="J377" s="125"/>
      <c r="K377" s="125"/>
      <c r="L377" s="125"/>
      <c r="M377" s="125"/>
      <c r="N377" s="125"/>
      <c r="O377" s="125"/>
      <c r="P377" s="125"/>
      <c r="Q377" s="125"/>
      <c r="R377" s="125"/>
      <c r="S377" s="26"/>
      <c r="T377" s="13"/>
      <c r="U377" s="115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27"/>
      <c r="AJ377" s="29"/>
      <c r="AT377" s="25"/>
      <c r="AU377" s="13"/>
      <c r="AZ377" s="116"/>
      <c r="BA377" s="123"/>
      <c r="BB377" s="123"/>
      <c r="BC377" s="123"/>
      <c r="BH377" s="115"/>
      <c r="BI377" s="115"/>
      <c r="BJ377" s="115"/>
      <c r="BK377" s="115"/>
      <c r="BL377" s="115"/>
      <c r="BM377" s="115"/>
      <c r="BN377" s="115"/>
      <c r="BO377" s="115"/>
      <c r="BP377" s="115"/>
      <c r="BQ377" s="115"/>
      <c r="BR377" s="25"/>
      <c r="BS377" s="13"/>
      <c r="BV377" s="114"/>
    </row>
    <row r="378" spans="1:74" ht="20.100000000000001" customHeight="1" x14ac:dyDescent="0.4">
      <c r="A378" s="117"/>
      <c r="B378" s="123"/>
      <c r="C378" s="123"/>
      <c r="D378" s="123"/>
      <c r="F378" s="125"/>
      <c r="G378" s="125"/>
      <c r="H378" s="125"/>
      <c r="I378" s="125"/>
      <c r="J378" s="125"/>
      <c r="K378" s="125"/>
      <c r="L378" s="125"/>
      <c r="M378" s="125"/>
      <c r="N378" s="125"/>
      <c r="O378" s="125"/>
      <c r="P378" s="125"/>
      <c r="Q378" s="125"/>
      <c r="R378" s="125"/>
      <c r="S378" s="17"/>
      <c r="T378" s="13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27"/>
      <c r="AJ378" s="29"/>
      <c r="AT378" s="25"/>
      <c r="AU378" s="13"/>
      <c r="AZ378" s="116"/>
      <c r="BA378" s="123"/>
      <c r="BB378" s="123"/>
      <c r="BC378" s="123"/>
      <c r="BH378" s="115"/>
      <c r="BI378" s="115"/>
      <c r="BJ378" s="115"/>
      <c r="BK378" s="115"/>
      <c r="BL378" s="115"/>
      <c r="BM378" s="115"/>
      <c r="BN378" s="115"/>
      <c r="BO378" s="115"/>
      <c r="BP378" s="115"/>
      <c r="BQ378" s="115"/>
      <c r="BR378" s="25"/>
      <c r="BS378" s="13"/>
      <c r="BV378" s="114"/>
    </row>
    <row r="379" spans="1:74" ht="20.100000000000001" customHeight="1" x14ac:dyDescent="0.4">
      <c r="A379" s="117"/>
      <c r="B379" s="123"/>
      <c r="C379" s="123"/>
      <c r="D379" s="123"/>
      <c r="F379" s="125"/>
      <c r="G379" s="125"/>
      <c r="H379" s="125"/>
      <c r="I379" s="125"/>
      <c r="J379" s="125"/>
      <c r="K379" s="125"/>
      <c r="L379" s="125"/>
      <c r="M379" s="125"/>
      <c r="N379" s="125"/>
      <c r="O379" s="125"/>
      <c r="P379" s="125"/>
      <c r="Q379" s="125"/>
      <c r="R379" s="125"/>
      <c r="S379" s="26"/>
      <c r="T379" s="13"/>
      <c r="U379" s="115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27"/>
      <c r="AJ379" s="134"/>
      <c r="AT379" s="25"/>
      <c r="AU379" s="13"/>
      <c r="AZ379" s="116"/>
      <c r="BA379" s="123"/>
      <c r="BB379" s="123"/>
      <c r="BC379" s="123"/>
      <c r="BH379" s="115"/>
      <c r="BI379" s="115"/>
      <c r="BJ379" s="115"/>
      <c r="BK379" s="115"/>
      <c r="BL379" s="115"/>
      <c r="BM379" s="115"/>
      <c r="BN379" s="115"/>
      <c r="BO379" s="115"/>
      <c r="BP379" s="115"/>
      <c r="BQ379" s="115"/>
      <c r="BR379" s="25"/>
      <c r="BS379" s="13"/>
      <c r="BV379" s="114"/>
    </row>
    <row r="380" spans="1:74" ht="20.100000000000001" customHeight="1" x14ac:dyDescent="0.4">
      <c r="A380" s="117"/>
      <c r="B380" s="123"/>
      <c r="C380" s="123"/>
      <c r="D380" s="123"/>
      <c r="F380" s="125"/>
      <c r="G380" s="125"/>
      <c r="H380" s="125"/>
      <c r="I380" s="125"/>
      <c r="J380" s="125"/>
      <c r="K380" s="125"/>
      <c r="L380" s="125"/>
      <c r="M380" s="125"/>
      <c r="N380" s="125"/>
      <c r="O380" s="125"/>
      <c r="P380" s="125"/>
      <c r="Q380" s="125"/>
      <c r="R380" s="125"/>
      <c r="S380" s="26"/>
      <c r="T380" s="13"/>
      <c r="U380" s="115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27"/>
      <c r="AJ380" s="29"/>
      <c r="AT380" s="25"/>
      <c r="AU380" s="13"/>
      <c r="AZ380" s="116"/>
      <c r="BA380" s="123"/>
      <c r="BB380" s="123"/>
      <c r="BC380" s="123"/>
      <c r="BH380" s="115"/>
      <c r="BI380" s="115"/>
      <c r="BJ380" s="115"/>
      <c r="BK380" s="115"/>
      <c r="BL380" s="115"/>
      <c r="BM380" s="115"/>
      <c r="BN380" s="115"/>
      <c r="BO380" s="115"/>
      <c r="BP380" s="115"/>
      <c r="BQ380" s="115"/>
      <c r="BR380" s="25"/>
      <c r="BS380" s="13"/>
      <c r="BV380" s="114"/>
    </row>
    <row r="381" spans="1:74" ht="20.100000000000001" customHeight="1" x14ac:dyDescent="0.4">
      <c r="A381" s="117"/>
      <c r="B381" s="123"/>
      <c r="C381" s="123"/>
      <c r="D381" s="123"/>
      <c r="F381" s="125"/>
      <c r="G381" s="125"/>
      <c r="H381" s="125"/>
      <c r="I381" s="125"/>
      <c r="J381" s="125"/>
      <c r="K381" s="125"/>
      <c r="L381" s="125"/>
      <c r="M381" s="125"/>
      <c r="N381" s="125"/>
      <c r="O381" s="125"/>
      <c r="P381" s="125"/>
      <c r="Q381" s="125"/>
      <c r="R381" s="125"/>
      <c r="S381" s="26"/>
      <c r="T381" s="13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27"/>
      <c r="AJ381" s="29"/>
      <c r="AT381" s="25"/>
      <c r="AU381" s="13"/>
      <c r="AZ381" s="116"/>
      <c r="BA381" s="123"/>
      <c r="BB381" s="123"/>
      <c r="BC381" s="123"/>
      <c r="BH381" s="115"/>
      <c r="BI381" s="115"/>
      <c r="BJ381" s="115"/>
      <c r="BK381" s="115"/>
      <c r="BL381" s="115"/>
      <c r="BM381" s="115"/>
      <c r="BN381" s="115"/>
      <c r="BO381" s="115"/>
      <c r="BP381" s="115"/>
      <c r="BQ381" s="115"/>
      <c r="BR381" s="25"/>
      <c r="BS381" s="13"/>
      <c r="BV381" s="114"/>
    </row>
    <row r="382" spans="1:74" ht="20.100000000000001" customHeight="1" x14ac:dyDescent="0.4">
      <c r="A382" s="117"/>
      <c r="B382" s="123"/>
      <c r="C382" s="123"/>
      <c r="D382" s="123"/>
      <c r="F382" s="125"/>
      <c r="G382" s="125"/>
      <c r="H382" s="125"/>
      <c r="I382" s="125"/>
      <c r="J382" s="125"/>
      <c r="K382" s="125"/>
      <c r="L382" s="125"/>
      <c r="M382" s="125"/>
      <c r="N382" s="125"/>
      <c r="O382" s="125"/>
      <c r="P382" s="125"/>
      <c r="Q382" s="125"/>
      <c r="R382" s="125"/>
      <c r="S382" s="26"/>
      <c r="T382" s="13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27"/>
      <c r="AJ382" s="29"/>
      <c r="AT382" s="25"/>
      <c r="AU382" s="13"/>
      <c r="AZ382" s="116"/>
      <c r="BA382" s="123"/>
      <c r="BB382" s="123"/>
      <c r="BC382" s="123"/>
      <c r="BH382" s="115"/>
      <c r="BI382" s="115"/>
      <c r="BJ382" s="115"/>
      <c r="BK382" s="115"/>
      <c r="BL382" s="115"/>
      <c r="BM382" s="115"/>
      <c r="BN382" s="115"/>
      <c r="BO382" s="115"/>
      <c r="BP382" s="115"/>
      <c r="BQ382" s="115"/>
      <c r="BR382" s="25"/>
      <c r="BS382" s="13"/>
      <c r="BV382" s="114"/>
    </row>
    <row r="383" spans="1:74" ht="20.100000000000001" customHeight="1" x14ac:dyDescent="0.4">
      <c r="A383" s="117"/>
      <c r="B383" s="123"/>
      <c r="C383" s="123"/>
      <c r="D383" s="123"/>
      <c r="F383" s="125"/>
      <c r="G383" s="125"/>
      <c r="H383" s="125"/>
      <c r="I383" s="125"/>
      <c r="J383" s="125"/>
      <c r="K383" s="125"/>
      <c r="L383" s="125"/>
      <c r="M383" s="125"/>
      <c r="N383" s="125"/>
      <c r="O383" s="125"/>
      <c r="P383" s="125"/>
      <c r="Q383" s="125"/>
      <c r="R383" s="125"/>
      <c r="S383" s="26"/>
      <c r="T383" s="13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27"/>
      <c r="AJ383" s="29"/>
      <c r="AT383" s="25"/>
      <c r="AU383" s="13"/>
      <c r="AZ383" s="116"/>
      <c r="BA383" s="123"/>
      <c r="BB383" s="123"/>
      <c r="BC383" s="123"/>
      <c r="BH383" s="115"/>
      <c r="BI383" s="115"/>
      <c r="BJ383" s="115"/>
      <c r="BK383" s="115"/>
      <c r="BL383" s="115"/>
      <c r="BM383" s="115"/>
      <c r="BN383" s="115"/>
      <c r="BO383" s="115"/>
      <c r="BP383" s="115"/>
      <c r="BQ383" s="115"/>
      <c r="BR383" s="25"/>
      <c r="BS383" s="13"/>
      <c r="BV383" s="114"/>
    </row>
    <row r="384" spans="1:74" ht="20.100000000000001" customHeight="1" x14ac:dyDescent="0.4">
      <c r="A384" s="117"/>
      <c r="B384" s="123"/>
      <c r="C384" s="123"/>
      <c r="D384" s="123"/>
      <c r="F384" s="125"/>
      <c r="G384" s="125"/>
      <c r="H384" s="125"/>
      <c r="I384" s="125"/>
      <c r="J384" s="125"/>
      <c r="K384" s="125"/>
      <c r="L384" s="125"/>
      <c r="M384" s="125"/>
      <c r="N384" s="125"/>
      <c r="O384" s="125"/>
      <c r="P384" s="125"/>
      <c r="Q384" s="125"/>
      <c r="R384" s="125"/>
      <c r="S384" s="26"/>
      <c r="T384" s="13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27"/>
      <c r="AJ384" s="29"/>
      <c r="AT384" s="25"/>
      <c r="AU384" s="13"/>
      <c r="AZ384" s="116"/>
      <c r="BA384" s="123"/>
      <c r="BB384" s="123"/>
      <c r="BC384" s="123"/>
      <c r="BH384" s="115"/>
      <c r="BI384" s="115"/>
      <c r="BJ384" s="115"/>
      <c r="BK384" s="115"/>
      <c r="BL384" s="115"/>
      <c r="BM384" s="115"/>
      <c r="BN384" s="115"/>
      <c r="BO384" s="115"/>
      <c r="BP384" s="115"/>
      <c r="BQ384" s="115"/>
      <c r="BR384" s="25"/>
      <c r="BS384" s="13"/>
      <c r="BV384" s="114"/>
    </row>
    <row r="385" spans="1:74" ht="20.100000000000001" customHeight="1" x14ac:dyDescent="0.4">
      <c r="A385" s="117"/>
      <c r="B385" s="123"/>
      <c r="C385" s="123"/>
      <c r="D385" s="123"/>
      <c r="F385" s="125"/>
      <c r="G385" s="125"/>
      <c r="H385" s="125"/>
      <c r="I385" s="125"/>
      <c r="J385" s="125"/>
      <c r="K385" s="125"/>
      <c r="L385" s="125"/>
      <c r="M385" s="125"/>
      <c r="N385" s="125"/>
      <c r="O385" s="125"/>
      <c r="P385" s="125"/>
      <c r="Q385" s="125"/>
      <c r="R385" s="125"/>
      <c r="S385" s="26"/>
      <c r="T385" s="13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27"/>
      <c r="AJ385" s="29"/>
      <c r="AT385" s="25"/>
      <c r="AU385" s="13"/>
      <c r="AZ385" s="116"/>
      <c r="BA385" s="123"/>
      <c r="BB385" s="123"/>
      <c r="BC385" s="123"/>
      <c r="BH385" s="115"/>
      <c r="BI385" s="115"/>
      <c r="BJ385" s="115"/>
      <c r="BK385" s="115"/>
      <c r="BL385" s="115"/>
      <c r="BM385" s="115"/>
      <c r="BN385" s="115"/>
      <c r="BO385" s="115"/>
      <c r="BP385" s="115"/>
      <c r="BQ385" s="115"/>
      <c r="BR385" s="25"/>
      <c r="BS385" s="13"/>
      <c r="BV385" s="114"/>
    </row>
    <row r="386" spans="1:74" ht="20.100000000000001" customHeight="1" x14ac:dyDescent="0.4">
      <c r="A386" s="117"/>
      <c r="B386" s="123"/>
      <c r="C386" s="123"/>
      <c r="D386" s="123"/>
      <c r="F386" s="125"/>
      <c r="G386" s="125"/>
      <c r="H386" s="125"/>
      <c r="I386" s="125"/>
      <c r="J386" s="125"/>
      <c r="K386" s="125"/>
      <c r="L386" s="125"/>
      <c r="M386" s="125"/>
      <c r="N386" s="125"/>
      <c r="O386" s="125"/>
      <c r="P386" s="125"/>
      <c r="Q386" s="125"/>
      <c r="R386" s="125"/>
      <c r="S386" s="17"/>
      <c r="T386" s="13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27"/>
      <c r="AJ386" s="29"/>
      <c r="AT386" s="25"/>
      <c r="AU386" s="13"/>
      <c r="AZ386" s="116"/>
      <c r="BA386" s="123"/>
      <c r="BB386" s="123"/>
      <c r="BC386" s="123"/>
      <c r="BH386" s="115"/>
      <c r="BI386" s="115"/>
      <c r="BJ386" s="115"/>
      <c r="BK386" s="115"/>
      <c r="BL386" s="115"/>
      <c r="BM386" s="115"/>
      <c r="BN386" s="115"/>
      <c r="BO386" s="115"/>
      <c r="BP386" s="115"/>
      <c r="BQ386" s="115"/>
      <c r="BR386" s="25"/>
      <c r="BS386" s="13"/>
      <c r="BV386" s="114"/>
    </row>
    <row r="387" spans="1:74" ht="20.100000000000001" customHeight="1" x14ac:dyDescent="0.4">
      <c r="A387" s="117"/>
      <c r="B387" s="123"/>
      <c r="C387" s="123"/>
      <c r="D387" s="123"/>
      <c r="F387" s="125"/>
      <c r="G387" s="125"/>
      <c r="H387" s="125"/>
      <c r="I387" s="125"/>
      <c r="J387" s="125"/>
      <c r="K387" s="125"/>
      <c r="L387" s="125"/>
      <c r="M387" s="125"/>
      <c r="N387" s="125"/>
      <c r="O387" s="125"/>
      <c r="P387" s="125"/>
      <c r="Q387" s="125"/>
      <c r="R387" s="125"/>
      <c r="S387" s="26"/>
      <c r="T387" s="13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27"/>
      <c r="AJ387" s="29"/>
      <c r="AT387" s="25"/>
      <c r="AU387" s="13"/>
      <c r="AZ387" s="116"/>
      <c r="BA387" s="123"/>
      <c r="BB387" s="123"/>
      <c r="BC387" s="123"/>
      <c r="BH387" s="115"/>
      <c r="BI387" s="115"/>
      <c r="BJ387" s="115"/>
      <c r="BK387" s="115"/>
      <c r="BL387" s="115"/>
      <c r="BM387" s="115"/>
      <c r="BN387" s="115"/>
      <c r="BO387" s="115"/>
      <c r="BP387" s="115"/>
      <c r="BQ387" s="115"/>
      <c r="BR387" s="25"/>
      <c r="BS387" s="13"/>
      <c r="BV387" s="114"/>
    </row>
    <row r="388" spans="1:74" ht="20.100000000000001" customHeight="1" x14ac:dyDescent="0.4">
      <c r="A388" s="117"/>
      <c r="B388" s="123"/>
      <c r="C388" s="123"/>
      <c r="D388" s="123"/>
      <c r="F388" s="125"/>
      <c r="G388" s="125"/>
      <c r="H388" s="125"/>
      <c r="I388" s="125"/>
      <c r="J388" s="125"/>
      <c r="K388" s="125"/>
      <c r="L388" s="125"/>
      <c r="M388" s="125"/>
      <c r="N388" s="125"/>
      <c r="O388" s="125"/>
      <c r="P388" s="125"/>
      <c r="Q388" s="125"/>
      <c r="R388" s="125"/>
      <c r="S388" s="26"/>
      <c r="T388" s="13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27"/>
      <c r="AJ388" s="29"/>
      <c r="AT388" s="25"/>
      <c r="AU388" s="13"/>
      <c r="AZ388" s="116"/>
      <c r="BA388" s="123"/>
      <c r="BB388" s="123"/>
      <c r="BC388" s="123"/>
      <c r="BH388" s="115"/>
      <c r="BI388" s="115"/>
      <c r="BJ388" s="115"/>
      <c r="BK388" s="115"/>
      <c r="BL388" s="115"/>
      <c r="BM388" s="115"/>
      <c r="BN388" s="115"/>
      <c r="BO388" s="115"/>
      <c r="BP388" s="115"/>
      <c r="BQ388" s="115"/>
      <c r="BR388" s="25"/>
      <c r="BS388" s="13"/>
      <c r="BV388" s="114"/>
    </row>
    <row r="389" spans="1:74" ht="20.100000000000001" customHeight="1" x14ac:dyDescent="0.4">
      <c r="A389" s="117"/>
      <c r="B389" s="123"/>
      <c r="C389" s="123"/>
      <c r="D389" s="123"/>
      <c r="F389" s="125"/>
      <c r="G389" s="125"/>
      <c r="H389" s="125"/>
      <c r="I389" s="125"/>
      <c r="J389" s="125"/>
      <c r="K389" s="125"/>
      <c r="L389" s="125"/>
      <c r="M389" s="125"/>
      <c r="N389" s="125"/>
      <c r="O389" s="125"/>
      <c r="P389" s="125"/>
      <c r="Q389" s="125"/>
      <c r="R389" s="125"/>
      <c r="S389" s="17"/>
      <c r="T389" s="13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27"/>
      <c r="AJ389" s="29"/>
      <c r="AT389" s="25"/>
      <c r="AU389" s="13"/>
      <c r="AZ389" s="116"/>
      <c r="BA389" s="123"/>
      <c r="BB389" s="123"/>
      <c r="BC389" s="123"/>
      <c r="BH389" s="115"/>
      <c r="BI389" s="115"/>
      <c r="BJ389" s="115"/>
      <c r="BK389" s="115"/>
      <c r="BL389" s="115"/>
      <c r="BM389" s="115"/>
      <c r="BN389" s="115"/>
      <c r="BO389" s="115"/>
      <c r="BP389" s="115"/>
      <c r="BQ389" s="115"/>
      <c r="BR389" s="25"/>
      <c r="BS389" s="13"/>
      <c r="BV389" s="114"/>
    </row>
    <row r="390" spans="1:74" ht="20.100000000000001" customHeight="1" x14ac:dyDescent="0.4">
      <c r="A390" s="117"/>
      <c r="B390" s="123"/>
      <c r="C390" s="123"/>
      <c r="D390" s="123"/>
      <c r="F390" s="125"/>
      <c r="G390" s="125"/>
      <c r="H390" s="125"/>
      <c r="I390" s="125"/>
      <c r="J390" s="125"/>
      <c r="K390" s="125"/>
      <c r="L390" s="125"/>
      <c r="M390" s="125"/>
      <c r="N390" s="125"/>
      <c r="O390" s="125"/>
      <c r="P390" s="125"/>
      <c r="Q390" s="125"/>
      <c r="R390" s="125"/>
      <c r="S390" s="26"/>
      <c r="T390" s="13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27"/>
      <c r="AJ390" s="134"/>
      <c r="AT390" s="25"/>
      <c r="AU390" s="13"/>
      <c r="AZ390" s="116"/>
      <c r="BA390" s="123"/>
      <c r="BB390" s="123"/>
      <c r="BC390" s="123"/>
      <c r="BH390" s="115"/>
      <c r="BI390" s="115"/>
      <c r="BJ390" s="115"/>
      <c r="BK390" s="115"/>
      <c r="BL390" s="115"/>
      <c r="BM390" s="115"/>
      <c r="BN390" s="115"/>
      <c r="BO390" s="115"/>
      <c r="BP390" s="115"/>
      <c r="BQ390" s="115"/>
      <c r="BR390" s="25"/>
      <c r="BS390" s="13"/>
      <c r="BV390" s="114"/>
    </row>
    <row r="391" spans="1:74" ht="20.100000000000001" customHeight="1" x14ac:dyDescent="0.4">
      <c r="A391" s="117"/>
      <c r="B391" s="123"/>
      <c r="C391" s="123"/>
      <c r="D391" s="123"/>
      <c r="F391" s="125"/>
      <c r="G391" s="125"/>
      <c r="H391" s="125"/>
      <c r="I391" s="125"/>
      <c r="J391" s="125"/>
      <c r="K391" s="125"/>
      <c r="L391" s="125"/>
      <c r="M391" s="125"/>
      <c r="N391" s="125"/>
      <c r="O391" s="125"/>
      <c r="P391" s="125"/>
      <c r="Q391" s="125"/>
      <c r="R391" s="125"/>
      <c r="S391" s="26"/>
      <c r="T391" s="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27"/>
      <c r="AJ391" s="29"/>
      <c r="AT391" s="25"/>
      <c r="AU391" s="13"/>
      <c r="AZ391" s="116"/>
      <c r="BA391" s="123"/>
      <c r="BB391" s="123"/>
      <c r="BC391" s="123"/>
      <c r="BH391" s="115"/>
      <c r="BI391" s="115"/>
      <c r="BJ391" s="115"/>
      <c r="BK391" s="115"/>
      <c r="BL391" s="115"/>
      <c r="BM391" s="115"/>
      <c r="BN391" s="115"/>
      <c r="BO391" s="115"/>
      <c r="BP391" s="115"/>
      <c r="BQ391" s="115"/>
      <c r="BR391" s="25"/>
      <c r="BS391" s="13"/>
      <c r="BV391" s="114"/>
    </row>
    <row r="392" spans="1:74" ht="20.100000000000001" customHeight="1" x14ac:dyDescent="0.4">
      <c r="A392" s="117"/>
      <c r="B392" s="123"/>
      <c r="C392" s="123"/>
      <c r="D392" s="123"/>
      <c r="F392" s="125"/>
      <c r="G392" s="125"/>
      <c r="H392" s="125"/>
      <c r="I392" s="125"/>
      <c r="J392" s="125"/>
      <c r="K392" s="125"/>
      <c r="L392" s="125"/>
      <c r="M392" s="125"/>
      <c r="N392" s="125"/>
      <c r="O392" s="125"/>
      <c r="P392" s="125"/>
      <c r="Q392" s="125"/>
      <c r="R392" s="125"/>
      <c r="S392" s="26"/>
      <c r="T392" s="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27"/>
      <c r="AJ392" s="29"/>
      <c r="AT392" s="25"/>
      <c r="AU392" s="13"/>
      <c r="AZ392" s="116"/>
      <c r="BA392" s="123"/>
      <c r="BB392" s="123"/>
      <c r="BC392" s="123"/>
      <c r="BH392" s="115"/>
      <c r="BI392" s="115"/>
      <c r="BJ392" s="115"/>
      <c r="BK392" s="115"/>
      <c r="BL392" s="115"/>
      <c r="BM392" s="115"/>
      <c r="BN392" s="115"/>
      <c r="BO392" s="115"/>
      <c r="BP392" s="115"/>
      <c r="BQ392" s="115"/>
      <c r="BR392" s="25"/>
      <c r="BS392" s="13"/>
      <c r="BV392" s="114"/>
    </row>
    <row r="393" spans="1:74" ht="20.100000000000001" customHeight="1" x14ac:dyDescent="0.4">
      <c r="A393" s="117"/>
      <c r="B393" s="123"/>
      <c r="C393" s="123"/>
      <c r="D393" s="123"/>
      <c r="F393" s="125"/>
      <c r="G393" s="125"/>
      <c r="H393" s="125"/>
      <c r="I393" s="125"/>
      <c r="J393" s="125"/>
      <c r="K393" s="125"/>
      <c r="L393" s="125"/>
      <c r="M393" s="125"/>
      <c r="N393" s="125"/>
      <c r="O393" s="125"/>
      <c r="P393" s="125"/>
      <c r="Q393" s="125"/>
      <c r="R393" s="125"/>
      <c r="S393" s="26"/>
      <c r="T393" s="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27"/>
      <c r="AJ393" s="29"/>
      <c r="AT393" s="25"/>
      <c r="AU393" s="13"/>
      <c r="AZ393" s="116"/>
      <c r="BA393" s="123"/>
      <c r="BB393" s="123"/>
      <c r="BC393" s="123"/>
      <c r="BH393" s="115"/>
      <c r="BI393" s="115"/>
      <c r="BJ393" s="115"/>
      <c r="BK393" s="115"/>
      <c r="BL393" s="115"/>
      <c r="BM393" s="115"/>
      <c r="BN393" s="115"/>
      <c r="BO393" s="115"/>
      <c r="BP393" s="115"/>
      <c r="BQ393" s="115"/>
      <c r="BR393" s="25"/>
      <c r="BS393" s="13"/>
      <c r="BV393" s="114"/>
    </row>
    <row r="394" spans="1:74" ht="20.100000000000001" customHeight="1" x14ac:dyDescent="0.4">
      <c r="A394" s="117"/>
      <c r="B394" s="123"/>
      <c r="C394" s="123"/>
      <c r="D394" s="123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5"/>
      <c r="S394" s="26"/>
      <c r="T394" s="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29"/>
      <c r="AJ394" s="29"/>
      <c r="AT394" s="25"/>
      <c r="AU394" s="13"/>
      <c r="AZ394" s="116"/>
      <c r="BA394" s="123"/>
      <c r="BB394" s="123"/>
      <c r="BC394" s="123"/>
      <c r="BH394" s="115"/>
      <c r="BI394" s="115"/>
      <c r="BJ394" s="115"/>
      <c r="BK394" s="115"/>
      <c r="BL394" s="115"/>
      <c r="BM394" s="115"/>
      <c r="BN394" s="115"/>
      <c r="BO394" s="115"/>
      <c r="BP394" s="115"/>
      <c r="BQ394" s="115"/>
      <c r="BR394" s="25"/>
      <c r="BS394" s="13"/>
      <c r="BV394" s="114"/>
    </row>
    <row r="395" spans="1:74" ht="20.100000000000001" customHeight="1" x14ac:dyDescent="0.4">
      <c r="A395" s="117"/>
      <c r="B395" s="123"/>
      <c r="C395" s="123"/>
      <c r="D395" s="123"/>
      <c r="F395" s="125"/>
      <c r="G395" s="125"/>
      <c r="H395" s="125"/>
      <c r="I395" s="125"/>
      <c r="J395" s="125"/>
      <c r="K395" s="125"/>
      <c r="L395" s="125"/>
      <c r="M395" s="125"/>
      <c r="N395" s="125"/>
      <c r="O395" s="125"/>
      <c r="P395" s="125"/>
      <c r="Q395" s="125"/>
      <c r="R395" s="125"/>
      <c r="S395" s="26"/>
      <c r="T395" s="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27"/>
      <c r="AJ395" s="29"/>
      <c r="AT395" s="25"/>
      <c r="AU395" s="13"/>
      <c r="AZ395" s="116"/>
      <c r="BA395" s="123"/>
      <c r="BB395" s="123"/>
      <c r="BC395" s="123"/>
      <c r="BH395" s="115"/>
      <c r="BI395" s="115"/>
      <c r="BJ395" s="115"/>
      <c r="BK395" s="115"/>
      <c r="BL395" s="115"/>
      <c r="BM395" s="115"/>
      <c r="BN395" s="115"/>
      <c r="BO395" s="115"/>
      <c r="BP395" s="115"/>
      <c r="BQ395" s="115"/>
      <c r="BR395" s="25"/>
      <c r="BS395" s="13"/>
      <c r="BV395" s="114"/>
    </row>
    <row r="396" spans="1:74" ht="20.100000000000001" customHeight="1" x14ac:dyDescent="0.4">
      <c r="A396" s="117"/>
      <c r="B396" s="123"/>
      <c r="C396" s="123"/>
      <c r="D396" s="123"/>
      <c r="F396" s="125"/>
      <c r="G396" s="125"/>
      <c r="H396" s="125"/>
      <c r="I396" s="125"/>
      <c r="J396" s="125"/>
      <c r="K396" s="125"/>
      <c r="L396" s="125"/>
      <c r="M396" s="125"/>
      <c r="N396" s="125"/>
      <c r="O396" s="125"/>
      <c r="P396" s="125"/>
      <c r="Q396" s="125"/>
      <c r="R396" s="125"/>
      <c r="S396" s="26"/>
      <c r="T396" s="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27"/>
      <c r="AJ396" s="29"/>
      <c r="AT396" s="25"/>
      <c r="AU396" s="13"/>
      <c r="AZ396" s="116"/>
      <c r="BA396" s="123"/>
      <c r="BB396" s="123"/>
      <c r="BC396" s="123"/>
      <c r="BH396" s="115"/>
      <c r="BI396" s="115"/>
      <c r="BJ396" s="115"/>
      <c r="BK396" s="115"/>
      <c r="BL396" s="115"/>
      <c r="BM396" s="115"/>
      <c r="BN396" s="115"/>
      <c r="BO396" s="115"/>
      <c r="BP396" s="115"/>
      <c r="BQ396" s="115"/>
      <c r="BR396" s="25"/>
      <c r="BS396" s="13"/>
      <c r="BV396" s="114"/>
    </row>
    <row r="397" spans="1:74" ht="20.100000000000001" customHeight="1" x14ac:dyDescent="0.4">
      <c r="A397" s="117"/>
      <c r="B397" s="123"/>
      <c r="C397" s="123"/>
      <c r="D397" s="123"/>
      <c r="F397" s="125"/>
      <c r="G397" s="125"/>
      <c r="H397" s="125"/>
      <c r="I397" s="125"/>
      <c r="J397" s="125"/>
      <c r="K397" s="125"/>
      <c r="L397" s="125"/>
      <c r="M397" s="125"/>
      <c r="N397" s="125"/>
      <c r="O397" s="125"/>
      <c r="P397" s="125"/>
      <c r="Q397" s="125"/>
      <c r="R397" s="125"/>
      <c r="S397" s="26"/>
      <c r="T397" s="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27"/>
      <c r="AJ397" s="29"/>
      <c r="AT397" s="25"/>
      <c r="AU397" s="13"/>
      <c r="AZ397" s="116"/>
      <c r="BA397" s="123"/>
      <c r="BB397" s="123"/>
      <c r="BC397" s="123"/>
      <c r="BH397" s="115"/>
      <c r="BI397" s="115"/>
      <c r="BJ397" s="115"/>
      <c r="BK397" s="115"/>
      <c r="BL397" s="115"/>
      <c r="BM397" s="115"/>
      <c r="BN397" s="115"/>
      <c r="BO397" s="115"/>
      <c r="BP397" s="115"/>
      <c r="BQ397" s="115"/>
      <c r="BR397" s="25"/>
      <c r="BS397" s="13"/>
      <c r="BV397" s="114"/>
    </row>
    <row r="398" spans="1:74" ht="20.100000000000001" customHeight="1" x14ac:dyDescent="0.4">
      <c r="A398" s="117"/>
      <c r="B398" s="123"/>
      <c r="C398" s="123"/>
      <c r="D398" s="123"/>
      <c r="F398" s="125"/>
      <c r="G398" s="125"/>
      <c r="H398" s="125"/>
      <c r="I398" s="125"/>
      <c r="J398" s="125"/>
      <c r="K398" s="125"/>
      <c r="L398" s="125"/>
      <c r="M398" s="125"/>
      <c r="N398" s="125"/>
      <c r="O398" s="125"/>
      <c r="P398" s="125"/>
      <c r="Q398" s="125"/>
      <c r="R398" s="125"/>
      <c r="S398" s="26"/>
      <c r="T398" s="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27"/>
      <c r="AJ398" s="29"/>
      <c r="AT398" s="25"/>
      <c r="AU398" s="13"/>
      <c r="AZ398" s="116"/>
      <c r="BA398" s="123"/>
      <c r="BB398" s="123"/>
      <c r="BC398" s="123"/>
      <c r="BH398" s="115"/>
      <c r="BI398" s="115"/>
      <c r="BJ398" s="115"/>
      <c r="BK398" s="115"/>
      <c r="BL398" s="115"/>
      <c r="BM398" s="115"/>
      <c r="BN398" s="115"/>
      <c r="BO398" s="115"/>
      <c r="BP398" s="115"/>
      <c r="BQ398" s="115"/>
      <c r="BR398" s="25"/>
      <c r="BS398" s="13"/>
      <c r="BV398" s="114"/>
    </row>
    <row r="399" spans="1:74" ht="20.100000000000001" customHeight="1" x14ac:dyDescent="0.4">
      <c r="A399" s="117"/>
      <c r="B399" s="123"/>
      <c r="C399" s="123"/>
      <c r="D399" s="123"/>
      <c r="F399" s="125"/>
      <c r="G399" s="125"/>
      <c r="H399" s="125"/>
      <c r="I399" s="125"/>
      <c r="J399" s="125"/>
      <c r="K399" s="125"/>
      <c r="L399" s="125"/>
      <c r="M399" s="125"/>
      <c r="N399" s="125"/>
      <c r="O399" s="125"/>
      <c r="P399" s="125"/>
      <c r="Q399" s="125"/>
      <c r="R399" s="125"/>
      <c r="S399" s="26"/>
      <c r="T399" s="13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29"/>
      <c r="AJ399" s="29"/>
      <c r="AT399" s="25"/>
      <c r="AU399" s="13"/>
      <c r="AZ399" s="116"/>
      <c r="BA399" s="123"/>
      <c r="BB399" s="123"/>
      <c r="BC399" s="123"/>
      <c r="BH399" s="115"/>
      <c r="BI399" s="115"/>
      <c r="BJ399" s="115"/>
      <c r="BK399" s="115"/>
      <c r="BL399" s="115"/>
      <c r="BM399" s="115"/>
      <c r="BN399" s="115"/>
      <c r="BO399" s="115"/>
      <c r="BP399" s="115"/>
      <c r="BQ399" s="115"/>
      <c r="BR399" s="25"/>
      <c r="BS399" s="13"/>
      <c r="BV399" s="114"/>
    </row>
    <row r="400" spans="1:74" ht="20.100000000000001" customHeight="1" x14ac:dyDescent="0.4">
      <c r="A400" s="117"/>
      <c r="B400" s="123"/>
      <c r="C400" s="123"/>
      <c r="D400" s="123"/>
      <c r="F400" s="125"/>
      <c r="G400" s="125"/>
      <c r="H400" s="125"/>
      <c r="I400" s="125"/>
      <c r="J400" s="125"/>
      <c r="K400" s="125"/>
      <c r="L400" s="125"/>
      <c r="M400" s="125"/>
      <c r="N400" s="125"/>
      <c r="O400" s="125"/>
      <c r="P400" s="125"/>
      <c r="Q400" s="125"/>
      <c r="R400" s="125"/>
      <c r="S400" s="26"/>
      <c r="T400" s="13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27"/>
      <c r="AJ400" s="29"/>
      <c r="AT400" s="25"/>
      <c r="AU400" s="13"/>
      <c r="AZ400" s="116"/>
      <c r="BA400" s="123"/>
      <c r="BB400" s="123"/>
      <c r="BC400" s="123"/>
      <c r="BH400" s="115"/>
      <c r="BI400" s="115"/>
      <c r="BJ400" s="115"/>
      <c r="BK400" s="115"/>
      <c r="BL400" s="115"/>
      <c r="BM400" s="115"/>
      <c r="BN400" s="115"/>
      <c r="BO400" s="115"/>
      <c r="BP400" s="115"/>
      <c r="BQ400" s="115"/>
      <c r="BR400" s="25"/>
      <c r="BS400" s="13"/>
      <c r="BV400" s="114"/>
    </row>
    <row r="401" spans="1:74" ht="20.100000000000001" customHeight="1" x14ac:dyDescent="0.4">
      <c r="A401" s="117"/>
      <c r="B401" s="123"/>
      <c r="C401" s="123"/>
      <c r="D401" s="123"/>
      <c r="F401" s="125"/>
      <c r="G401" s="125"/>
      <c r="H401" s="125"/>
      <c r="I401" s="125"/>
      <c r="J401" s="125"/>
      <c r="K401" s="125"/>
      <c r="L401" s="125"/>
      <c r="M401" s="125"/>
      <c r="N401" s="125"/>
      <c r="O401" s="125"/>
      <c r="P401" s="125"/>
      <c r="Q401" s="125"/>
      <c r="R401" s="125"/>
      <c r="S401" s="26"/>
      <c r="T401" s="13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27"/>
      <c r="AJ401" s="29"/>
      <c r="AT401" s="25"/>
      <c r="AU401" s="13"/>
      <c r="AZ401" s="116"/>
      <c r="BA401" s="123"/>
      <c r="BB401" s="123"/>
      <c r="BC401" s="123"/>
      <c r="BH401" s="115"/>
      <c r="BI401" s="115"/>
      <c r="BJ401" s="115"/>
      <c r="BK401" s="115"/>
      <c r="BL401" s="115"/>
      <c r="BM401" s="115"/>
      <c r="BN401" s="115"/>
      <c r="BO401" s="115"/>
      <c r="BP401" s="115"/>
      <c r="BQ401" s="115"/>
      <c r="BR401" s="25"/>
      <c r="BS401" s="13"/>
      <c r="BV401" s="114"/>
    </row>
    <row r="402" spans="1:74" ht="20.100000000000001" customHeight="1" x14ac:dyDescent="0.4">
      <c r="A402" s="117"/>
      <c r="B402" s="123"/>
      <c r="C402" s="123"/>
      <c r="D402" s="123"/>
      <c r="F402" s="125"/>
      <c r="G402" s="125"/>
      <c r="H402" s="125"/>
      <c r="I402" s="125"/>
      <c r="J402" s="125"/>
      <c r="K402" s="125"/>
      <c r="L402" s="125"/>
      <c r="M402" s="125"/>
      <c r="N402" s="125"/>
      <c r="O402" s="125"/>
      <c r="P402" s="125"/>
      <c r="Q402" s="125"/>
      <c r="R402" s="125"/>
      <c r="S402" s="26"/>
      <c r="T402" s="13"/>
      <c r="U402" s="115"/>
      <c r="V402" s="115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27"/>
      <c r="AJ402" s="29"/>
      <c r="AT402" s="25"/>
      <c r="AU402" s="13"/>
      <c r="AZ402" s="116"/>
      <c r="BA402" s="123"/>
      <c r="BB402" s="123"/>
      <c r="BC402" s="123"/>
      <c r="BH402" s="115"/>
      <c r="BI402" s="115"/>
      <c r="BJ402" s="115"/>
      <c r="BK402" s="115"/>
      <c r="BL402" s="115"/>
      <c r="BM402" s="115"/>
      <c r="BN402" s="115"/>
      <c r="BO402" s="115"/>
      <c r="BP402" s="115"/>
      <c r="BQ402" s="115"/>
      <c r="BR402" s="25"/>
      <c r="BS402" s="13"/>
      <c r="BV402" s="114"/>
    </row>
    <row r="403" spans="1:74" ht="20.100000000000001" customHeight="1" x14ac:dyDescent="0.4">
      <c r="A403" s="117"/>
      <c r="B403" s="123"/>
      <c r="C403" s="123"/>
      <c r="D403" s="123"/>
      <c r="F403" s="125"/>
      <c r="G403" s="125"/>
      <c r="H403" s="125"/>
      <c r="I403" s="125"/>
      <c r="J403" s="125"/>
      <c r="K403" s="125"/>
      <c r="L403" s="125"/>
      <c r="M403" s="125"/>
      <c r="N403" s="125"/>
      <c r="O403" s="125"/>
      <c r="P403" s="125"/>
      <c r="Q403" s="125"/>
      <c r="R403" s="125"/>
      <c r="S403" s="26"/>
      <c r="T403" s="13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27"/>
      <c r="AJ403" s="29"/>
      <c r="AT403" s="25"/>
      <c r="AU403" s="13"/>
      <c r="AZ403" s="116"/>
      <c r="BA403" s="123"/>
      <c r="BB403" s="123"/>
      <c r="BC403" s="123"/>
      <c r="BH403" s="115"/>
      <c r="BI403" s="115"/>
      <c r="BJ403" s="115"/>
      <c r="BK403" s="115"/>
      <c r="BL403" s="115"/>
      <c r="BM403" s="115"/>
      <c r="BN403" s="115"/>
      <c r="BO403" s="115"/>
      <c r="BP403" s="115"/>
      <c r="BQ403" s="115"/>
      <c r="BR403" s="25"/>
      <c r="BS403" s="13"/>
      <c r="BV403" s="114"/>
    </row>
    <row r="404" spans="1:74" ht="20.100000000000001" customHeight="1" x14ac:dyDescent="0.4">
      <c r="A404" s="117"/>
      <c r="B404" s="123"/>
      <c r="C404" s="123"/>
      <c r="D404" s="123"/>
      <c r="F404" s="125"/>
      <c r="G404" s="125"/>
      <c r="H404" s="125"/>
      <c r="I404" s="125"/>
      <c r="J404" s="125"/>
      <c r="K404" s="125"/>
      <c r="L404" s="125"/>
      <c r="M404" s="125"/>
      <c r="N404" s="125"/>
      <c r="O404" s="125"/>
      <c r="P404" s="125"/>
      <c r="Q404" s="125"/>
      <c r="R404" s="125"/>
      <c r="S404" s="17"/>
      <c r="T404" s="13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27"/>
      <c r="AJ404" s="29"/>
      <c r="AT404" s="25"/>
      <c r="AU404" s="13"/>
      <c r="AZ404" s="116"/>
      <c r="BA404" s="123"/>
      <c r="BB404" s="123"/>
      <c r="BC404" s="123"/>
      <c r="BH404" s="115"/>
      <c r="BI404" s="115"/>
      <c r="BJ404" s="115"/>
      <c r="BK404" s="115"/>
      <c r="BL404" s="115"/>
      <c r="BM404" s="115"/>
      <c r="BN404" s="115"/>
      <c r="BO404" s="115"/>
      <c r="BP404" s="115"/>
      <c r="BQ404" s="115"/>
      <c r="BR404" s="25"/>
      <c r="BS404" s="13"/>
      <c r="BV404" s="114"/>
    </row>
    <row r="405" spans="1:74" ht="20.100000000000001" customHeight="1" x14ac:dyDescent="0.4">
      <c r="A405" s="117"/>
      <c r="B405" s="123"/>
      <c r="C405" s="123"/>
      <c r="D405" s="123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125"/>
      <c r="Q405" s="125"/>
      <c r="R405" s="125"/>
      <c r="S405" s="26"/>
      <c r="T405" s="13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27"/>
      <c r="AJ405" s="29"/>
      <c r="AT405" s="25"/>
      <c r="AU405" s="13"/>
      <c r="AZ405" s="116"/>
      <c r="BA405" s="123"/>
      <c r="BB405" s="123"/>
      <c r="BC405" s="123"/>
      <c r="BH405" s="115"/>
      <c r="BI405" s="115"/>
      <c r="BJ405" s="115"/>
      <c r="BK405" s="115"/>
      <c r="BL405" s="115"/>
      <c r="BM405" s="115"/>
      <c r="BN405" s="115"/>
      <c r="BO405" s="115"/>
      <c r="BP405" s="115"/>
      <c r="BQ405" s="115"/>
      <c r="BR405" s="25"/>
      <c r="BS405" s="13"/>
      <c r="BV405" s="114"/>
    </row>
    <row r="406" spans="1:74" ht="20.100000000000001" customHeight="1" x14ac:dyDescent="0.4">
      <c r="A406" s="117"/>
      <c r="B406" s="123"/>
      <c r="C406" s="123"/>
      <c r="D406" s="123"/>
      <c r="F406" s="125"/>
      <c r="G406" s="125"/>
      <c r="H406" s="125"/>
      <c r="I406" s="125"/>
      <c r="J406" s="125"/>
      <c r="K406" s="125"/>
      <c r="L406" s="125"/>
      <c r="M406" s="125"/>
      <c r="N406" s="125"/>
      <c r="O406" s="125"/>
      <c r="P406" s="125"/>
      <c r="Q406" s="125"/>
      <c r="R406" s="125"/>
      <c r="S406" s="26"/>
      <c r="T406" s="13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27"/>
      <c r="AJ406" s="29"/>
      <c r="AT406" s="25"/>
      <c r="AU406" s="13"/>
      <c r="AZ406" s="116"/>
      <c r="BA406" s="123"/>
      <c r="BB406" s="123"/>
      <c r="BC406" s="123"/>
      <c r="BH406" s="115"/>
      <c r="BI406" s="115"/>
      <c r="BJ406" s="115"/>
      <c r="BK406" s="115"/>
      <c r="BL406" s="115"/>
      <c r="BM406" s="115"/>
      <c r="BN406" s="115"/>
      <c r="BO406" s="115"/>
      <c r="BP406" s="115"/>
      <c r="BQ406" s="115"/>
      <c r="BR406" s="25"/>
      <c r="BS406" s="13"/>
      <c r="BV406" s="114"/>
    </row>
    <row r="407" spans="1:74" ht="20.100000000000001" customHeight="1" x14ac:dyDescent="0.4">
      <c r="A407" s="117"/>
      <c r="B407" s="123"/>
      <c r="C407" s="123"/>
      <c r="D407" s="123"/>
      <c r="F407" s="125"/>
      <c r="G407" s="125"/>
      <c r="H407" s="125"/>
      <c r="I407" s="125"/>
      <c r="J407" s="125"/>
      <c r="K407" s="125"/>
      <c r="L407" s="125"/>
      <c r="M407" s="125"/>
      <c r="N407" s="125"/>
      <c r="O407" s="125"/>
      <c r="P407" s="125"/>
      <c r="Q407" s="125"/>
      <c r="R407" s="125"/>
      <c r="S407" s="26"/>
      <c r="T407" s="13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29"/>
      <c r="AJ407" s="29"/>
      <c r="AT407" s="25"/>
      <c r="AU407" s="13"/>
      <c r="AZ407" s="116"/>
      <c r="BA407" s="123"/>
      <c r="BB407" s="123"/>
      <c r="BC407" s="123"/>
      <c r="BH407" s="115"/>
      <c r="BI407" s="115"/>
      <c r="BJ407" s="115"/>
      <c r="BK407" s="115"/>
      <c r="BL407" s="115"/>
      <c r="BM407" s="115"/>
      <c r="BN407" s="115"/>
      <c r="BO407" s="115"/>
      <c r="BP407" s="115"/>
      <c r="BQ407" s="115"/>
      <c r="BR407" s="25"/>
      <c r="BS407" s="13"/>
      <c r="BV407" s="114"/>
    </row>
    <row r="408" spans="1:74" ht="20.100000000000001" customHeight="1" x14ac:dyDescent="0.4">
      <c r="A408" s="117"/>
      <c r="B408" s="123"/>
      <c r="C408" s="123"/>
      <c r="D408" s="123"/>
      <c r="F408" s="125"/>
      <c r="G408" s="125"/>
      <c r="H408" s="125"/>
      <c r="I408" s="125"/>
      <c r="J408" s="125"/>
      <c r="K408" s="125"/>
      <c r="L408" s="125"/>
      <c r="M408" s="125"/>
      <c r="N408" s="125"/>
      <c r="O408" s="125"/>
      <c r="P408" s="125"/>
      <c r="Q408" s="125"/>
      <c r="R408" s="125"/>
      <c r="S408" s="26"/>
      <c r="T408" s="13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27"/>
      <c r="AJ408" s="29"/>
      <c r="AT408" s="25"/>
      <c r="AU408" s="13"/>
      <c r="AZ408" s="116"/>
      <c r="BA408" s="123"/>
      <c r="BB408" s="123"/>
      <c r="BC408" s="123"/>
      <c r="BH408" s="115"/>
      <c r="BI408" s="115"/>
      <c r="BJ408" s="115"/>
      <c r="BK408" s="115"/>
      <c r="BL408" s="115"/>
      <c r="BM408" s="115"/>
      <c r="BN408" s="115"/>
      <c r="BO408" s="115"/>
      <c r="BP408" s="115"/>
      <c r="BQ408" s="115"/>
      <c r="BR408" s="25"/>
      <c r="BS408" s="13"/>
      <c r="BV408" s="114"/>
    </row>
    <row r="409" spans="1:74" ht="20.100000000000001" customHeight="1" x14ac:dyDescent="0.4">
      <c r="A409" s="117"/>
      <c r="B409" s="123"/>
      <c r="C409" s="123"/>
      <c r="D409" s="123"/>
      <c r="F409" s="125"/>
      <c r="G409" s="125"/>
      <c r="H409" s="125"/>
      <c r="I409" s="125"/>
      <c r="J409" s="125"/>
      <c r="K409" s="125"/>
      <c r="L409" s="125"/>
      <c r="M409" s="125"/>
      <c r="N409" s="125"/>
      <c r="O409" s="125"/>
      <c r="P409" s="125"/>
      <c r="Q409" s="125"/>
      <c r="R409" s="125"/>
      <c r="S409" s="26"/>
      <c r="T409" s="13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27"/>
      <c r="AJ409" s="29"/>
      <c r="AT409" s="25"/>
      <c r="AU409" s="13"/>
      <c r="AZ409" s="116"/>
      <c r="BA409" s="123"/>
      <c r="BB409" s="123"/>
      <c r="BC409" s="123"/>
      <c r="BH409" s="115"/>
      <c r="BI409" s="115"/>
      <c r="BJ409" s="115"/>
      <c r="BK409" s="115"/>
      <c r="BL409" s="115"/>
      <c r="BM409" s="115"/>
      <c r="BN409" s="115"/>
      <c r="BO409" s="115"/>
      <c r="BP409" s="115"/>
      <c r="BQ409" s="115"/>
      <c r="BR409" s="25"/>
      <c r="BS409" s="13"/>
      <c r="BV409" s="114"/>
    </row>
    <row r="410" spans="1:74" ht="20.100000000000001" customHeight="1" x14ac:dyDescent="0.4">
      <c r="A410" s="117"/>
      <c r="B410" s="123"/>
      <c r="C410" s="123"/>
      <c r="D410" s="123"/>
      <c r="F410" s="125"/>
      <c r="G410" s="125"/>
      <c r="H410" s="125"/>
      <c r="I410" s="125"/>
      <c r="J410" s="125"/>
      <c r="K410" s="125"/>
      <c r="L410" s="125"/>
      <c r="M410" s="125"/>
      <c r="N410" s="125"/>
      <c r="O410" s="125"/>
      <c r="P410" s="125"/>
      <c r="Q410" s="125"/>
      <c r="R410" s="125"/>
      <c r="S410" s="26"/>
      <c r="T410" s="13"/>
      <c r="U410" s="115"/>
      <c r="V410" s="115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27"/>
      <c r="AJ410" s="29"/>
      <c r="AT410" s="25"/>
      <c r="AU410" s="13"/>
      <c r="AZ410" s="116"/>
      <c r="BA410" s="123"/>
      <c r="BB410" s="123"/>
      <c r="BC410" s="123"/>
      <c r="BH410" s="115"/>
      <c r="BI410" s="115"/>
      <c r="BJ410" s="115"/>
      <c r="BK410" s="115"/>
      <c r="BL410" s="115"/>
      <c r="BM410" s="115"/>
      <c r="BN410" s="115"/>
      <c r="BO410" s="115"/>
      <c r="BP410" s="115"/>
      <c r="BQ410" s="115"/>
      <c r="BR410" s="25"/>
      <c r="BS410" s="13"/>
      <c r="BV410" s="114"/>
    </row>
    <row r="411" spans="1:74" ht="20.100000000000001" customHeight="1" x14ac:dyDescent="0.4">
      <c r="A411" s="117"/>
      <c r="B411" s="123"/>
      <c r="C411" s="123"/>
      <c r="D411" s="123"/>
      <c r="F411" s="125"/>
      <c r="G411" s="125"/>
      <c r="H411" s="125"/>
      <c r="I411" s="125"/>
      <c r="J411" s="125"/>
      <c r="K411" s="125"/>
      <c r="L411" s="125"/>
      <c r="M411" s="125"/>
      <c r="N411" s="125"/>
      <c r="O411" s="125"/>
      <c r="P411" s="125"/>
      <c r="Q411" s="125"/>
      <c r="R411" s="125"/>
      <c r="S411" s="17"/>
      <c r="T411" s="13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27"/>
      <c r="AJ411" s="29"/>
      <c r="AT411" s="25"/>
      <c r="AU411" s="13"/>
      <c r="AZ411" s="116"/>
      <c r="BA411" s="123"/>
      <c r="BB411" s="123"/>
      <c r="BC411" s="123"/>
      <c r="BH411" s="115"/>
      <c r="BI411" s="115"/>
      <c r="BJ411" s="115"/>
      <c r="BK411" s="115"/>
      <c r="BL411" s="115"/>
      <c r="BM411" s="115"/>
      <c r="BN411" s="115"/>
      <c r="BO411" s="115"/>
      <c r="BP411" s="115"/>
      <c r="BQ411" s="115"/>
      <c r="BR411" s="25"/>
      <c r="BS411" s="13"/>
      <c r="BV411" s="114"/>
    </row>
    <row r="412" spans="1:74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26"/>
      <c r="T412" s="13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29"/>
      <c r="AJ412" s="29"/>
      <c r="AT412" s="25"/>
      <c r="AU412" s="13"/>
      <c r="AZ412" s="116"/>
      <c r="BA412" s="123"/>
      <c r="BB412" s="123"/>
      <c r="BC412" s="123"/>
      <c r="BH412" s="115"/>
      <c r="BI412" s="115"/>
      <c r="BJ412" s="115"/>
      <c r="BK412" s="115"/>
      <c r="BL412" s="115"/>
      <c r="BM412" s="115"/>
      <c r="BN412" s="115"/>
      <c r="BO412" s="115"/>
      <c r="BP412" s="115"/>
      <c r="BQ412" s="115"/>
      <c r="BR412" s="25"/>
      <c r="BS412" s="13"/>
      <c r="BV412" s="114"/>
    </row>
    <row r="413" spans="1:74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7"/>
      <c r="T413" s="13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29"/>
      <c r="AJ413" s="29"/>
      <c r="AT413" s="25"/>
      <c r="AU413" s="13"/>
      <c r="AZ413" s="116"/>
      <c r="BA413" s="123"/>
      <c r="BB413" s="123"/>
      <c r="BC413" s="123"/>
      <c r="BH413" s="115"/>
      <c r="BI413" s="115"/>
      <c r="BJ413" s="115"/>
      <c r="BK413" s="115"/>
      <c r="BL413" s="115"/>
      <c r="BM413" s="115"/>
      <c r="BN413" s="115"/>
      <c r="BO413" s="115"/>
      <c r="BP413" s="115"/>
      <c r="BQ413" s="115"/>
      <c r="BR413" s="25"/>
      <c r="BS413" s="13"/>
      <c r="BV413" s="114"/>
    </row>
    <row r="414" spans="1:74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26"/>
      <c r="T414" s="13"/>
      <c r="U414" s="1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27"/>
      <c r="AJ414" s="29"/>
      <c r="AT414" s="25"/>
      <c r="AU414" s="13"/>
      <c r="AZ414" s="116"/>
      <c r="BA414" s="123"/>
      <c r="BB414" s="123"/>
      <c r="BC414" s="123"/>
      <c r="BH414" s="115"/>
      <c r="BI414" s="115"/>
      <c r="BJ414" s="115"/>
      <c r="BK414" s="115"/>
      <c r="BL414" s="115"/>
      <c r="BM414" s="115"/>
      <c r="BN414" s="115"/>
      <c r="BO414" s="115"/>
      <c r="BP414" s="115"/>
      <c r="BQ414" s="115"/>
      <c r="BR414" s="25"/>
      <c r="BS414" s="13"/>
      <c r="BV414" s="114"/>
    </row>
    <row r="415" spans="1:74" ht="20.100000000000001" customHeight="1" x14ac:dyDescent="0.4">
      <c r="A415" s="117"/>
      <c r="B415" s="123"/>
      <c r="C415" s="123"/>
      <c r="D415" s="123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7"/>
      <c r="T415" s="13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27"/>
      <c r="AJ415" s="29"/>
      <c r="AT415" s="25"/>
      <c r="AU415" s="13"/>
      <c r="AZ415" s="116"/>
      <c r="BA415" s="123"/>
      <c r="BB415" s="123"/>
      <c r="BC415" s="123"/>
      <c r="BH415" s="115"/>
      <c r="BI415" s="115"/>
      <c r="BJ415" s="115"/>
      <c r="BK415" s="115"/>
      <c r="BL415" s="115"/>
      <c r="BM415" s="115"/>
      <c r="BN415" s="115"/>
      <c r="BO415" s="115"/>
      <c r="BP415" s="115"/>
      <c r="BQ415" s="115"/>
      <c r="BR415" s="25"/>
      <c r="BS415" s="13"/>
      <c r="BV415" s="114"/>
    </row>
    <row r="416" spans="1:74" ht="20.100000000000001" customHeight="1" x14ac:dyDescent="0.4">
      <c r="A416" s="117"/>
      <c r="B416" s="123"/>
      <c r="C416" s="123"/>
      <c r="D416" s="123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26"/>
      <c r="T416" s="13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27"/>
      <c r="AJ416" s="29"/>
      <c r="AT416" s="25"/>
      <c r="AU416" s="13"/>
      <c r="AZ416" s="116"/>
      <c r="BA416" s="123"/>
      <c r="BB416" s="123"/>
      <c r="BC416" s="123"/>
      <c r="BH416" s="115"/>
      <c r="BI416" s="115"/>
      <c r="BJ416" s="115"/>
      <c r="BK416" s="115"/>
      <c r="BL416" s="115"/>
      <c r="BM416" s="115"/>
      <c r="BN416" s="115"/>
      <c r="BO416" s="115"/>
      <c r="BP416" s="115"/>
      <c r="BQ416" s="115"/>
      <c r="BR416" s="25"/>
      <c r="BS416" s="13"/>
      <c r="BV416" s="114"/>
    </row>
    <row r="417" spans="1:74" ht="20.100000000000001" customHeight="1" x14ac:dyDescent="0.4">
      <c r="A417" s="117"/>
      <c r="B417" s="123"/>
      <c r="C417" s="123"/>
      <c r="D417" s="123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7"/>
      <c r="T417" s="13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27"/>
      <c r="AJ417" s="29"/>
      <c r="AT417" s="25"/>
      <c r="AU417" s="13"/>
      <c r="AZ417" s="116"/>
      <c r="BA417" s="123"/>
      <c r="BB417" s="123"/>
      <c r="BC417" s="123"/>
      <c r="BH417" s="115"/>
      <c r="BI417" s="115"/>
      <c r="BJ417" s="115"/>
      <c r="BK417" s="115"/>
      <c r="BL417" s="115"/>
      <c r="BM417" s="115"/>
      <c r="BN417" s="115"/>
      <c r="BO417" s="115"/>
      <c r="BP417" s="115"/>
      <c r="BQ417" s="115"/>
      <c r="BR417" s="25"/>
      <c r="BS417" s="13"/>
      <c r="BV417" s="114"/>
    </row>
    <row r="418" spans="1:74" ht="20.100000000000001" customHeight="1" x14ac:dyDescent="0.4">
      <c r="A418" s="117"/>
      <c r="B418" s="123"/>
      <c r="C418" s="123"/>
      <c r="D418" s="12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26"/>
      <c r="T418" s="13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27"/>
      <c r="AJ418" s="29"/>
      <c r="AT418" s="25"/>
      <c r="AU418" s="13"/>
      <c r="AZ418" s="116"/>
      <c r="BA418" s="123"/>
      <c r="BB418" s="123"/>
      <c r="BC418" s="123"/>
      <c r="BH418" s="115"/>
      <c r="BI418" s="115"/>
      <c r="BJ418" s="115"/>
      <c r="BK418" s="115"/>
      <c r="BL418" s="115"/>
      <c r="BM418" s="115"/>
      <c r="BN418" s="115"/>
      <c r="BO418" s="115"/>
      <c r="BP418" s="115"/>
      <c r="BQ418" s="115"/>
      <c r="BR418" s="25"/>
      <c r="BS418" s="13"/>
      <c r="BV418" s="114"/>
    </row>
    <row r="419" spans="1:74" ht="20.100000000000001" customHeight="1" x14ac:dyDescent="0.4">
      <c r="A419" s="117"/>
      <c r="B419" s="123"/>
      <c r="C419" s="123"/>
      <c r="D419" s="123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26"/>
      <c r="T419" s="133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29"/>
      <c r="AJ419" s="29"/>
      <c r="AT419" s="25"/>
      <c r="AU419" s="13"/>
      <c r="AZ419" s="116"/>
      <c r="BA419" s="123"/>
      <c r="BB419" s="123"/>
      <c r="BC419" s="123"/>
      <c r="BH419" s="115"/>
      <c r="BI419" s="115"/>
      <c r="BJ419" s="115"/>
      <c r="BK419" s="115"/>
      <c r="BL419" s="115"/>
      <c r="BM419" s="115"/>
      <c r="BN419" s="115"/>
      <c r="BO419" s="115"/>
      <c r="BP419" s="115"/>
      <c r="BQ419" s="115"/>
      <c r="BR419" s="25"/>
      <c r="BS419" s="13"/>
      <c r="BV419" s="114"/>
    </row>
    <row r="420" spans="1:74" ht="20.100000000000001" customHeight="1" x14ac:dyDescent="0.4">
      <c r="A420" s="117"/>
      <c r="B420" s="123"/>
      <c r="C420" s="123"/>
      <c r="D420" s="123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7"/>
      <c r="T420" s="13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29"/>
      <c r="AJ420" s="29"/>
      <c r="AT420" s="25"/>
      <c r="AU420" s="13"/>
      <c r="AZ420" s="116"/>
      <c r="BA420" s="123"/>
      <c r="BB420" s="123"/>
      <c r="BC420" s="123"/>
      <c r="BH420" s="115"/>
      <c r="BI420" s="115"/>
      <c r="BJ420" s="115"/>
      <c r="BK420" s="115"/>
      <c r="BL420" s="115"/>
      <c r="BM420" s="115"/>
      <c r="BN420" s="115"/>
      <c r="BO420" s="115"/>
      <c r="BP420" s="115"/>
      <c r="BQ420" s="115"/>
      <c r="BR420" s="25"/>
      <c r="BS420" s="13"/>
      <c r="BV420" s="114"/>
    </row>
    <row r="421" spans="1:74" ht="20.100000000000001" customHeight="1" x14ac:dyDescent="0.4">
      <c r="A421" s="117"/>
      <c r="B421" s="123"/>
      <c r="C421" s="123"/>
      <c r="D421" s="123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26"/>
      <c r="T421" s="15"/>
      <c r="U421" s="115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27"/>
      <c r="AJ421" s="29"/>
      <c r="AT421" s="25"/>
      <c r="AU421" s="13"/>
      <c r="AZ421" s="116"/>
      <c r="BA421" s="123"/>
      <c r="BB421" s="123"/>
      <c r="BC421" s="123"/>
      <c r="BH421" s="115"/>
      <c r="BI421" s="115"/>
      <c r="BJ421" s="115"/>
      <c r="BK421" s="115"/>
      <c r="BL421" s="115"/>
      <c r="BM421" s="115"/>
      <c r="BN421" s="115"/>
      <c r="BO421" s="115"/>
      <c r="BP421" s="115"/>
      <c r="BQ421" s="115"/>
      <c r="BR421" s="25"/>
      <c r="BS421" s="13"/>
      <c r="BV421" s="114"/>
    </row>
    <row r="422" spans="1:74" ht="20.100000000000001" customHeight="1" x14ac:dyDescent="0.4">
      <c r="A422" s="117"/>
      <c r="B422" s="123"/>
      <c r="C422" s="123"/>
      <c r="D422" s="123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19"/>
      <c r="T422" s="119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27"/>
      <c r="AJ422" s="29"/>
      <c r="AT422" s="25"/>
      <c r="AU422" s="13"/>
      <c r="AZ422" s="116"/>
      <c r="BA422" s="123"/>
      <c r="BB422" s="123"/>
      <c r="BC422" s="123"/>
      <c r="BH422" s="115"/>
      <c r="BI422" s="115"/>
      <c r="BJ422" s="115"/>
      <c r="BK422" s="115"/>
      <c r="BL422" s="115"/>
      <c r="BM422" s="115"/>
      <c r="BN422" s="115"/>
      <c r="BO422" s="115"/>
      <c r="BP422" s="115"/>
      <c r="BQ422" s="115"/>
      <c r="BR422" s="25"/>
      <c r="BS422" s="13"/>
      <c r="BV422" s="114"/>
    </row>
    <row r="423" spans="1:74" ht="20.100000000000001" customHeight="1" x14ac:dyDescent="0.4">
      <c r="A423" s="117"/>
      <c r="B423" s="123"/>
      <c r="C423" s="123"/>
      <c r="D423" s="123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19"/>
      <c r="T423" s="119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27"/>
      <c r="AJ423" s="29"/>
      <c r="AT423" s="25"/>
      <c r="AU423" s="13"/>
      <c r="AZ423" s="116"/>
      <c r="BA423" s="123"/>
      <c r="BB423" s="123"/>
      <c r="BC423" s="123"/>
      <c r="BH423" s="115"/>
      <c r="BI423" s="115"/>
      <c r="BJ423" s="115"/>
      <c r="BK423" s="115"/>
      <c r="BL423" s="115"/>
      <c r="BM423" s="115"/>
      <c r="BN423" s="115"/>
      <c r="BO423" s="115"/>
      <c r="BP423" s="115"/>
      <c r="BQ423" s="115"/>
      <c r="BR423" s="25"/>
      <c r="BS423" s="13"/>
      <c r="BV423" s="114"/>
    </row>
    <row r="424" spans="1:74" ht="20.100000000000001" customHeight="1" x14ac:dyDescent="0.4">
      <c r="A424" s="117"/>
      <c r="B424" s="123"/>
      <c r="C424" s="123"/>
      <c r="D424" s="123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27"/>
      <c r="AJ424" s="29"/>
      <c r="AT424" s="25"/>
      <c r="AU424" s="13"/>
      <c r="AZ424" s="116"/>
      <c r="BA424" s="123"/>
      <c r="BB424" s="123"/>
      <c r="BC424" s="123"/>
      <c r="BH424" s="115"/>
      <c r="BI424" s="115"/>
      <c r="BJ424" s="115"/>
      <c r="BK424" s="115"/>
      <c r="BL424" s="115"/>
      <c r="BM424" s="115"/>
      <c r="BN424" s="115"/>
      <c r="BO424" s="115"/>
      <c r="BP424" s="115"/>
      <c r="BQ424" s="115"/>
      <c r="BR424" s="25"/>
      <c r="BS424" s="13"/>
      <c r="BV424" s="114"/>
    </row>
    <row r="425" spans="1:74" ht="20.100000000000001" customHeight="1" x14ac:dyDescent="0.4">
      <c r="A425" s="117"/>
      <c r="B425" s="123"/>
      <c r="C425" s="123"/>
      <c r="D425" s="123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27"/>
      <c r="AJ425" s="29"/>
      <c r="AT425" s="25"/>
      <c r="AU425" s="13"/>
      <c r="AZ425" s="116"/>
      <c r="BA425" s="123"/>
      <c r="BB425" s="123"/>
      <c r="BC425" s="123"/>
      <c r="BH425" s="115"/>
      <c r="BI425" s="115"/>
      <c r="BJ425" s="115"/>
      <c r="BK425" s="115"/>
      <c r="BL425" s="115"/>
      <c r="BM425" s="115"/>
      <c r="BN425" s="115"/>
      <c r="BO425" s="115"/>
      <c r="BP425" s="115"/>
      <c r="BQ425" s="115"/>
      <c r="BR425" s="25"/>
      <c r="BS425" s="13"/>
      <c r="BV425" s="114"/>
    </row>
    <row r="426" spans="1:74" ht="20.100000000000001" customHeight="1" x14ac:dyDescent="0.4">
      <c r="A426" s="117"/>
      <c r="B426" s="123"/>
      <c r="C426" s="123"/>
      <c r="D426" s="123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27"/>
      <c r="AJ426" s="29"/>
      <c r="AT426" s="25"/>
      <c r="AU426" s="13"/>
      <c r="AZ426" s="116"/>
      <c r="BA426" s="123"/>
      <c r="BB426" s="123"/>
      <c r="BC426" s="123"/>
      <c r="BH426" s="115"/>
      <c r="BI426" s="115"/>
      <c r="BJ426" s="115"/>
      <c r="BK426" s="115"/>
      <c r="BL426" s="115"/>
      <c r="BM426" s="115"/>
      <c r="BN426" s="115"/>
      <c r="BO426" s="115"/>
      <c r="BP426" s="115"/>
      <c r="BQ426" s="115"/>
      <c r="BR426" s="25"/>
      <c r="BS426" s="13"/>
      <c r="BV426" s="114"/>
    </row>
    <row r="427" spans="1:74" ht="20.100000000000001" customHeight="1" x14ac:dyDescent="0.4">
      <c r="A427" s="117"/>
      <c r="B427" s="123"/>
      <c r="C427" s="123"/>
      <c r="D427" s="123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29"/>
      <c r="AJ427" s="29"/>
      <c r="AT427" s="25"/>
      <c r="AU427" s="13"/>
      <c r="AZ427" s="116"/>
      <c r="BA427" s="123"/>
      <c r="BB427" s="123"/>
      <c r="BC427" s="123"/>
      <c r="BH427" s="115"/>
      <c r="BI427" s="115"/>
      <c r="BJ427" s="115"/>
      <c r="BK427" s="115"/>
      <c r="BL427" s="115"/>
      <c r="BM427" s="115"/>
      <c r="BN427" s="115"/>
      <c r="BO427" s="115"/>
      <c r="BP427" s="115"/>
      <c r="BQ427" s="115"/>
      <c r="BR427" s="25"/>
      <c r="BS427" s="13"/>
      <c r="BV427" s="114"/>
    </row>
    <row r="428" spans="1:74" ht="20.100000000000001" customHeight="1" x14ac:dyDescent="0.4">
      <c r="A428" s="117"/>
      <c r="B428" s="123"/>
      <c r="C428" s="123"/>
      <c r="D428" s="123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AI428" s="127"/>
      <c r="AJ428" s="29"/>
      <c r="AP428" s="115"/>
      <c r="AQ428" s="115"/>
      <c r="AR428" s="115"/>
      <c r="AS428" s="115"/>
      <c r="AT428" s="25">
        <v>45669</v>
      </c>
      <c r="AU428" s="13" t="s">
        <v>147</v>
      </c>
      <c r="AZ428" s="116"/>
      <c r="BA428" s="123"/>
      <c r="BB428" s="123"/>
      <c r="BC428" s="123"/>
      <c r="BH428" s="115"/>
      <c r="BI428" s="115"/>
      <c r="BJ428" s="115"/>
      <c r="BK428" s="115"/>
      <c r="BL428" s="115"/>
      <c r="BM428" s="115"/>
      <c r="BN428" s="115"/>
      <c r="BO428" s="115"/>
      <c r="BP428" s="115"/>
      <c r="BQ428" s="115"/>
      <c r="BR428" s="25"/>
      <c r="BS428" s="13"/>
      <c r="BV428" s="114"/>
    </row>
    <row r="429" spans="1:74" ht="20.100000000000001" customHeight="1" x14ac:dyDescent="0.4">
      <c r="A429" s="117"/>
      <c r="B429" s="123"/>
      <c r="C429" s="123"/>
      <c r="D429" s="123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AG429" s="115"/>
      <c r="AH429" s="115"/>
      <c r="AI429" s="29"/>
      <c r="AJ429" s="29"/>
      <c r="AP429" s="115"/>
      <c r="AQ429" s="115"/>
      <c r="AR429" s="115"/>
      <c r="AS429" s="115"/>
      <c r="AT429" s="25"/>
      <c r="AU429" s="13"/>
      <c r="AZ429" s="116"/>
      <c r="BA429" s="123"/>
      <c r="BB429" s="123"/>
      <c r="BC429" s="123"/>
      <c r="BH429" s="115"/>
      <c r="BI429" s="115"/>
      <c r="BJ429" s="115"/>
      <c r="BK429" s="115"/>
      <c r="BL429" s="115"/>
      <c r="BM429" s="115"/>
      <c r="BN429" s="115"/>
      <c r="BO429" s="115"/>
      <c r="BP429" s="115"/>
      <c r="BQ429" s="115"/>
      <c r="BR429" s="25"/>
      <c r="BS429" s="13"/>
      <c r="BV429" s="114"/>
    </row>
    <row r="430" spans="1:74" ht="20.100000000000001" customHeight="1" x14ac:dyDescent="0.4">
      <c r="A430" s="117"/>
      <c r="B430" s="123"/>
      <c r="C430" s="123"/>
      <c r="D430" s="123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27"/>
      <c r="AJ430" s="29"/>
      <c r="AP430" s="115"/>
      <c r="AQ430" s="115"/>
      <c r="AR430" s="115"/>
      <c r="AS430" s="115"/>
      <c r="AT430" s="25"/>
      <c r="AU430" s="13"/>
      <c r="AZ430" s="116"/>
      <c r="BA430" s="123"/>
      <c r="BB430" s="123"/>
      <c r="BC430" s="123"/>
      <c r="BH430" s="115"/>
      <c r="BI430" s="115"/>
      <c r="BJ430" s="115"/>
      <c r="BK430" s="115"/>
      <c r="BL430" s="115"/>
      <c r="BM430" s="115"/>
      <c r="BN430" s="115"/>
      <c r="BO430" s="115"/>
      <c r="BP430" s="115"/>
      <c r="BQ430" s="115"/>
      <c r="BR430" s="25"/>
      <c r="BS430" s="13"/>
      <c r="BV430" s="114"/>
    </row>
    <row r="431" spans="1:74" ht="20.100000000000001" customHeight="1" x14ac:dyDescent="0.4">
      <c r="A431" s="117"/>
      <c r="B431" s="123"/>
      <c r="C431" s="123"/>
      <c r="D431" s="123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AI431" s="127"/>
      <c r="AJ431" s="29"/>
      <c r="AP431" s="115"/>
      <c r="AQ431" s="115"/>
      <c r="AR431" s="115"/>
      <c r="AS431" s="115"/>
      <c r="AT431" s="25"/>
      <c r="AU431" s="13"/>
      <c r="AZ431" s="116"/>
      <c r="BA431" s="123"/>
      <c r="BB431" s="123"/>
      <c r="BC431" s="123"/>
      <c r="BH431" s="115"/>
      <c r="BI431" s="115"/>
      <c r="BJ431" s="115"/>
      <c r="BK431" s="115"/>
      <c r="BL431" s="115"/>
      <c r="BM431" s="115"/>
      <c r="BN431" s="115"/>
      <c r="BO431" s="115"/>
      <c r="BP431" s="115"/>
      <c r="BQ431" s="115"/>
      <c r="BR431" s="25"/>
      <c r="BS431" s="13"/>
      <c r="BV431" s="114"/>
    </row>
    <row r="432" spans="1:74" ht="20.100000000000001" customHeight="1" x14ac:dyDescent="0.4">
      <c r="A432" s="117"/>
      <c r="B432" s="123"/>
      <c r="C432" s="123"/>
      <c r="D432" s="123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AG432" s="115"/>
      <c r="AH432" s="115"/>
      <c r="AI432" s="29"/>
      <c r="AJ432" s="29"/>
      <c r="AP432" s="115"/>
      <c r="AQ432" s="115"/>
      <c r="AR432" s="115"/>
      <c r="AS432" s="115"/>
      <c r="AT432" s="25"/>
      <c r="AU432" s="13"/>
      <c r="AZ432" s="116"/>
      <c r="BA432" s="123"/>
      <c r="BB432" s="123"/>
      <c r="BC432" s="123"/>
      <c r="BH432" s="115"/>
      <c r="BI432" s="115"/>
      <c r="BJ432" s="115"/>
      <c r="BK432" s="115"/>
      <c r="BL432" s="115"/>
      <c r="BM432" s="115"/>
      <c r="BN432" s="115"/>
      <c r="BO432" s="115"/>
      <c r="BP432" s="115"/>
      <c r="BQ432" s="115"/>
      <c r="BR432" s="25"/>
      <c r="BS432" s="13"/>
      <c r="BV432" s="114"/>
    </row>
    <row r="433" spans="1:74" ht="20.100000000000001" customHeight="1" x14ac:dyDescent="0.4">
      <c r="A433" s="117"/>
      <c r="B433" s="123"/>
      <c r="C433" s="123"/>
      <c r="D433" s="123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27"/>
      <c r="AJ433" s="29"/>
      <c r="AP433" s="115"/>
      <c r="AQ433" s="115"/>
      <c r="AR433" s="115"/>
      <c r="AS433" s="115"/>
      <c r="AT433" s="25"/>
      <c r="AU433" s="13"/>
      <c r="AZ433" s="116"/>
      <c r="BA433" s="123"/>
      <c r="BB433" s="123"/>
      <c r="BC433" s="123"/>
      <c r="BH433" s="115"/>
      <c r="BI433" s="115"/>
      <c r="BJ433" s="115"/>
      <c r="BK433" s="115"/>
      <c r="BL433" s="115"/>
      <c r="BM433" s="115"/>
      <c r="BN433" s="115"/>
      <c r="BO433" s="115"/>
      <c r="BP433" s="115"/>
      <c r="BQ433" s="115"/>
      <c r="BR433" s="25"/>
      <c r="BS433" s="13"/>
      <c r="BV433" s="114"/>
    </row>
    <row r="434" spans="1:74" ht="20.100000000000001" customHeight="1" x14ac:dyDescent="0.4">
      <c r="A434" s="117"/>
      <c r="B434" s="123"/>
      <c r="C434" s="123"/>
      <c r="D434" s="123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27"/>
      <c r="AJ434" s="29"/>
      <c r="AP434" s="115"/>
      <c r="AQ434" s="115"/>
      <c r="AR434" s="115"/>
      <c r="AS434" s="115"/>
      <c r="AT434" s="25"/>
      <c r="AU434" s="13"/>
      <c r="AZ434" s="116"/>
      <c r="BA434" s="123"/>
      <c r="BB434" s="123"/>
      <c r="BC434" s="123"/>
      <c r="BH434" s="115"/>
      <c r="BI434" s="115"/>
      <c r="BJ434" s="115"/>
      <c r="BK434" s="115"/>
      <c r="BL434" s="115"/>
      <c r="BM434" s="115"/>
      <c r="BN434" s="115"/>
      <c r="BO434" s="115"/>
      <c r="BP434" s="115"/>
      <c r="BQ434" s="115"/>
      <c r="BR434" s="25"/>
      <c r="BS434" s="13"/>
      <c r="BV434" s="114"/>
    </row>
    <row r="435" spans="1:74" ht="20.100000000000001" customHeight="1" x14ac:dyDescent="0.4">
      <c r="A435" s="117"/>
      <c r="B435" s="123"/>
      <c r="C435" s="123"/>
      <c r="D435" s="123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27"/>
      <c r="AJ435" s="29"/>
      <c r="AP435" s="115"/>
      <c r="AQ435" s="115"/>
      <c r="AR435" s="115"/>
      <c r="AS435" s="115"/>
      <c r="AT435" s="25"/>
      <c r="AU435" s="13"/>
      <c r="AZ435" s="116"/>
      <c r="BA435" s="123"/>
      <c r="BB435" s="123"/>
      <c r="BC435" s="123"/>
      <c r="BH435" s="115"/>
      <c r="BI435" s="115"/>
      <c r="BJ435" s="115"/>
      <c r="BK435" s="115"/>
      <c r="BL435" s="115"/>
      <c r="BM435" s="115"/>
      <c r="BN435" s="115"/>
      <c r="BO435" s="115"/>
      <c r="BP435" s="115"/>
      <c r="BQ435" s="115"/>
      <c r="BR435" s="25"/>
      <c r="BS435" s="13"/>
      <c r="BV435" s="114"/>
    </row>
    <row r="436" spans="1:74" ht="20.100000000000001" customHeight="1" x14ac:dyDescent="0.4">
      <c r="A436" s="117"/>
      <c r="B436" s="123"/>
      <c r="C436" s="123"/>
      <c r="D436" s="123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27"/>
      <c r="AJ436" s="29"/>
      <c r="AP436" s="115"/>
      <c r="AQ436" s="115"/>
      <c r="AR436" s="115"/>
      <c r="AS436" s="115"/>
      <c r="AT436" s="25"/>
      <c r="AU436" s="13"/>
      <c r="AZ436" s="116"/>
      <c r="BA436" s="123"/>
      <c r="BB436" s="123"/>
      <c r="BC436" s="123"/>
      <c r="BH436" s="115"/>
      <c r="BI436" s="115"/>
      <c r="BJ436" s="115"/>
      <c r="BK436" s="115"/>
      <c r="BL436" s="115"/>
      <c r="BM436" s="115"/>
      <c r="BN436" s="115"/>
      <c r="BO436" s="115"/>
      <c r="BP436" s="115"/>
      <c r="BQ436" s="115"/>
      <c r="BR436" s="25"/>
      <c r="BS436" s="13"/>
      <c r="BV436" s="114"/>
    </row>
    <row r="437" spans="1:74" ht="20.100000000000001" customHeight="1" x14ac:dyDescent="0.4">
      <c r="A437" s="117"/>
      <c r="B437" s="123"/>
      <c r="C437" s="123"/>
      <c r="D437" s="123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27"/>
      <c r="AJ437" s="29"/>
      <c r="AP437" s="115"/>
      <c r="AQ437" s="115"/>
      <c r="AR437" s="115"/>
      <c r="AS437" s="115"/>
      <c r="AT437" s="25"/>
      <c r="AU437" s="13"/>
      <c r="AZ437" s="116"/>
      <c r="BA437" s="123"/>
      <c r="BB437" s="123"/>
      <c r="BC437" s="123"/>
      <c r="BH437" s="115"/>
      <c r="BI437" s="115"/>
      <c r="BJ437" s="115"/>
      <c r="BK437" s="115"/>
      <c r="BL437" s="115"/>
      <c r="BM437" s="115"/>
      <c r="BN437" s="115"/>
      <c r="BO437" s="115"/>
      <c r="BP437" s="115"/>
      <c r="BQ437" s="115"/>
      <c r="BR437" s="25"/>
      <c r="BS437" s="13"/>
      <c r="BV437" s="114"/>
    </row>
    <row r="438" spans="1:74" ht="20.100000000000001" customHeight="1" x14ac:dyDescent="0.4">
      <c r="A438" s="117"/>
      <c r="B438" s="123"/>
      <c r="C438" s="123"/>
      <c r="D438" s="123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29"/>
      <c r="AJ438" s="29"/>
      <c r="AP438" s="115"/>
      <c r="AQ438" s="115"/>
      <c r="AR438" s="115"/>
      <c r="AS438" s="115"/>
      <c r="AT438" s="25"/>
      <c r="AU438" s="13"/>
      <c r="AZ438" s="116"/>
      <c r="BA438" s="123"/>
      <c r="BB438" s="123"/>
      <c r="BC438" s="123"/>
      <c r="BH438" s="115"/>
      <c r="BI438" s="115"/>
      <c r="BJ438" s="115"/>
      <c r="BK438" s="115"/>
      <c r="BL438" s="115"/>
      <c r="BM438" s="115"/>
      <c r="BN438" s="115"/>
      <c r="BO438" s="115"/>
      <c r="BP438" s="115"/>
      <c r="BQ438" s="115"/>
      <c r="BR438" s="25"/>
      <c r="BS438" s="13"/>
      <c r="BV438" s="114"/>
    </row>
    <row r="439" spans="1:74" ht="20.100000000000001" customHeight="1" x14ac:dyDescent="0.4">
      <c r="A439" s="117"/>
      <c r="B439" s="123"/>
      <c r="C439" s="123"/>
      <c r="D439" s="123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27"/>
      <c r="AJ439" s="29"/>
      <c r="AP439" s="115"/>
      <c r="AQ439" s="115"/>
      <c r="AR439" s="115"/>
      <c r="AS439" s="115"/>
      <c r="AT439" s="25"/>
      <c r="AU439" s="13"/>
      <c r="AZ439" s="116"/>
      <c r="BA439" s="123"/>
      <c r="BB439" s="123"/>
      <c r="BC439" s="123"/>
      <c r="BH439" s="115"/>
      <c r="BI439" s="115"/>
      <c r="BJ439" s="115"/>
      <c r="BK439" s="115"/>
      <c r="BL439" s="115"/>
      <c r="BM439" s="115"/>
      <c r="BN439" s="115"/>
      <c r="BO439" s="115"/>
      <c r="BP439" s="115"/>
      <c r="BQ439" s="115"/>
      <c r="BR439" s="25"/>
      <c r="BS439" s="13"/>
      <c r="BV439" s="114"/>
    </row>
    <row r="440" spans="1:74" ht="20.100000000000001" customHeight="1" x14ac:dyDescent="0.4">
      <c r="A440" s="117"/>
      <c r="B440" s="123"/>
      <c r="C440" s="123"/>
      <c r="D440" s="123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27"/>
      <c r="AJ440" s="29"/>
      <c r="AP440" s="115"/>
      <c r="AQ440" s="115"/>
      <c r="AR440" s="115"/>
      <c r="AS440" s="115"/>
      <c r="AT440" s="25"/>
      <c r="AU440" s="13"/>
      <c r="AZ440" s="116"/>
      <c r="BA440" s="123"/>
      <c r="BB440" s="123"/>
      <c r="BC440" s="123"/>
      <c r="BH440" s="115"/>
      <c r="BI440" s="115"/>
      <c r="BJ440" s="115"/>
      <c r="BK440" s="115"/>
      <c r="BL440" s="115"/>
      <c r="BM440" s="115"/>
      <c r="BN440" s="115"/>
      <c r="BO440" s="115"/>
      <c r="BP440" s="115"/>
      <c r="BQ440" s="115"/>
      <c r="BR440" s="25"/>
      <c r="BS440" s="13"/>
      <c r="BV440" s="114"/>
    </row>
    <row r="441" spans="1:74" ht="20.100000000000001" customHeight="1" x14ac:dyDescent="0.4">
      <c r="A441" s="117"/>
      <c r="B441" s="123"/>
      <c r="C441" s="123"/>
      <c r="D441" s="123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27"/>
      <c r="AJ441" s="29"/>
      <c r="AP441" s="115"/>
      <c r="AQ441" s="115"/>
      <c r="AR441" s="115"/>
      <c r="AS441" s="115"/>
      <c r="AT441" s="25"/>
      <c r="AU441" s="13"/>
      <c r="AZ441" s="116"/>
      <c r="BA441" s="123"/>
      <c r="BB441" s="123"/>
      <c r="BC441" s="123"/>
      <c r="BH441" s="115"/>
      <c r="BI441" s="115"/>
      <c r="BJ441" s="115"/>
      <c r="BK441" s="115"/>
      <c r="BL441" s="115"/>
      <c r="BM441" s="115"/>
      <c r="BN441" s="115"/>
      <c r="BO441" s="115"/>
      <c r="BP441" s="115"/>
      <c r="BQ441" s="115"/>
      <c r="BR441" s="25"/>
      <c r="BS441" s="13"/>
      <c r="BV441" s="114"/>
    </row>
    <row r="442" spans="1:74" ht="20.100000000000001" customHeight="1" x14ac:dyDescent="0.4">
      <c r="A442" s="117"/>
      <c r="B442" s="123"/>
      <c r="C442" s="123"/>
      <c r="D442" s="123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27"/>
      <c r="AJ442" s="29"/>
      <c r="AP442" s="115"/>
      <c r="AQ442" s="115"/>
      <c r="AR442" s="115"/>
      <c r="AS442" s="115"/>
      <c r="AT442" s="25"/>
      <c r="AU442" s="13"/>
      <c r="AZ442" s="116"/>
      <c r="BA442" s="123"/>
      <c r="BB442" s="123"/>
      <c r="BC442" s="123"/>
      <c r="BH442" s="115"/>
      <c r="BI442" s="115"/>
      <c r="BJ442" s="115"/>
      <c r="BK442" s="115"/>
      <c r="BL442" s="115"/>
      <c r="BM442" s="115"/>
      <c r="BN442" s="115"/>
      <c r="BO442" s="115"/>
      <c r="BP442" s="115"/>
      <c r="BQ442" s="115"/>
      <c r="BR442" s="25"/>
      <c r="BS442" s="13"/>
      <c r="BV442" s="114"/>
    </row>
    <row r="443" spans="1:74" ht="20.100000000000001" customHeight="1" x14ac:dyDescent="0.4">
      <c r="A443" s="117"/>
      <c r="B443" s="123"/>
      <c r="C443" s="123"/>
      <c r="D443" s="123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27"/>
      <c r="AJ443" s="29"/>
      <c r="AP443" s="115"/>
      <c r="AQ443" s="115"/>
      <c r="AR443" s="115"/>
      <c r="AS443" s="115"/>
      <c r="AT443" s="25"/>
      <c r="AU443" s="13"/>
      <c r="AZ443" s="116"/>
      <c r="BA443" s="123"/>
      <c r="BB443" s="123"/>
      <c r="BC443" s="123"/>
      <c r="BH443" s="115"/>
      <c r="BI443" s="115"/>
      <c r="BJ443" s="115"/>
      <c r="BK443" s="115"/>
      <c r="BL443" s="115"/>
      <c r="BM443" s="115"/>
      <c r="BN443" s="115"/>
      <c r="BO443" s="115"/>
      <c r="BP443" s="115"/>
      <c r="BQ443" s="115"/>
      <c r="BR443" s="25"/>
      <c r="BS443" s="13"/>
      <c r="BV443" s="114"/>
    </row>
    <row r="444" spans="1:74" ht="20.100000000000001" customHeight="1" x14ac:dyDescent="0.4">
      <c r="A444" s="117"/>
      <c r="B444" s="123"/>
      <c r="C444" s="123"/>
      <c r="D444" s="123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27"/>
      <c r="AJ444" s="29"/>
      <c r="AP444" s="115"/>
      <c r="AQ444" s="115"/>
      <c r="AR444" s="115"/>
      <c r="AS444" s="115"/>
      <c r="AT444" s="25"/>
      <c r="AU444" s="13"/>
      <c r="AZ444" s="116"/>
      <c r="BA444" s="123"/>
      <c r="BB444" s="123"/>
      <c r="BC444" s="123"/>
      <c r="BH444" s="115"/>
      <c r="BI444" s="115"/>
      <c r="BJ444" s="115"/>
      <c r="BK444" s="115"/>
      <c r="BL444" s="115"/>
      <c r="BM444" s="115"/>
      <c r="BN444" s="115"/>
      <c r="BO444" s="115"/>
      <c r="BP444" s="115"/>
      <c r="BQ444" s="115"/>
      <c r="BR444" s="25"/>
      <c r="BS444" s="13"/>
      <c r="BV444" s="114"/>
    </row>
    <row r="445" spans="1:74" ht="20.100000000000001" customHeight="1" x14ac:dyDescent="0.4">
      <c r="A445" s="117"/>
      <c r="B445" s="123"/>
      <c r="C445" s="123"/>
      <c r="D445" s="123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27"/>
      <c r="AJ445" s="29"/>
      <c r="AP445" s="115"/>
      <c r="AQ445" s="115"/>
      <c r="AR445" s="115"/>
      <c r="AS445" s="115"/>
      <c r="AT445" s="25"/>
      <c r="AU445" s="13"/>
      <c r="AZ445" s="116"/>
      <c r="BA445" s="123"/>
      <c r="BB445" s="123"/>
      <c r="BC445" s="123"/>
      <c r="BH445" s="115"/>
      <c r="BI445" s="115"/>
      <c r="BJ445" s="115"/>
      <c r="BK445" s="115"/>
      <c r="BL445" s="115"/>
      <c r="BM445" s="115"/>
      <c r="BN445" s="115"/>
      <c r="BO445" s="115"/>
      <c r="BP445" s="115"/>
      <c r="BQ445" s="115"/>
      <c r="BR445" s="25"/>
      <c r="BS445" s="13"/>
      <c r="BV445" s="114"/>
    </row>
    <row r="446" spans="1:74" ht="20.100000000000001" customHeight="1" x14ac:dyDescent="0.4">
      <c r="A446" s="117"/>
      <c r="B446" s="123"/>
      <c r="C446" s="123"/>
      <c r="D446" s="123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27"/>
      <c r="AJ446" s="29"/>
      <c r="AP446" s="115"/>
      <c r="AQ446" s="115"/>
      <c r="AR446" s="115"/>
      <c r="AS446" s="115"/>
      <c r="AT446" s="25"/>
      <c r="AU446" s="13"/>
      <c r="AZ446" s="116"/>
      <c r="BA446" s="123"/>
      <c r="BB446" s="123"/>
      <c r="BC446" s="123"/>
      <c r="BH446" s="115"/>
      <c r="BI446" s="115"/>
      <c r="BJ446" s="115"/>
      <c r="BK446" s="115"/>
      <c r="BL446" s="115"/>
      <c r="BM446" s="115"/>
      <c r="BN446" s="115"/>
      <c r="BO446" s="115"/>
      <c r="BP446" s="115"/>
      <c r="BQ446" s="115"/>
      <c r="BR446" s="25"/>
      <c r="BS446" s="13"/>
      <c r="BV446" s="114"/>
    </row>
    <row r="447" spans="1:74" ht="20.100000000000001" customHeight="1" x14ac:dyDescent="0.4">
      <c r="A447" s="117"/>
      <c r="B447" s="123"/>
      <c r="C447" s="123"/>
      <c r="D447" s="123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27"/>
      <c r="AJ447" s="29"/>
      <c r="AP447" s="115"/>
      <c r="AQ447" s="115"/>
      <c r="AR447" s="115"/>
      <c r="AS447" s="115"/>
      <c r="AT447" s="25"/>
      <c r="AU447" s="13"/>
      <c r="AZ447" s="116"/>
      <c r="BA447" s="123"/>
      <c r="BB447" s="123"/>
      <c r="BC447" s="123"/>
      <c r="BH447" s="115"/>
      <c r="BI447" s="115"/>
      <c r="BJ447" s="115"/>
      <c r="BK447" s="115"/>
      <c r="BL447" s="115"/>
      <c r="BM447" s="115"/>
      <c r="BN447" s="115"/>
      <c r="BO447" s="115"/>
      <c r="BP447" s="115"/>
      <c r="BQ447" s="115"/>
      <c r="BR447" s="25"/>
      <c r="BS447" s="13"/>
      <c r="BV447" s="114"/>
    </row>
    <row r="448" spans="1:74" ht="20.100000000000001" customHeight="1" x14ac:dyDescent="0.4">
      <c r="A448" s="117"/>
      <c r="B448" s="123"/>
      <c r="C448" s="123"/>
      <c r="D448" s="123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27"/>
      <c r="AJ448" s="29"/>
      <c r="AP448" s="115"/>
      <c r="AQ448" s="115"/>
      <c r="AR448" s="115"/>
      <c r="AS448" s="115"/>
      <c r="AT448" s="25"/>
      <c r="AU448" s="13"/>
      <c r="AZ448" s="116"/>
      <c r="BA448" s="123"/>
      <c r="BB448" s="123"/>
      <c r="BC448" s="123"/>
      <c r="BH448" s="115"/>
      <c r="BI448" s="115"/>
      <c r="BJ448" s="115"/>
      <c r="BK448" s="115"/>
      <c r="BL448" s="115"/>
      <c r="BM448" s="115"/>
      <c r="BN448" s="115"/>
      <c r="BO448" s="115"/>
      <c r="BP448" s="115"/>
      <c r="BQ448" s="115"/>
      <c r="BR448" s="25"/>
      <c r="BS448" s="13"/>
      <c r="BV448" s="114"/>
    </row>
    <row r="449" spans="1:74" ht="20.100000000000001" customHeight="1" x14ac:dyDescent="0.4">
      <c r="A449" s="117"/>
      <c r="B449" s="123"/>
      <c r="C449" s="123"/>
      <c r="D449" s="123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27"/>
      <c r="AJ449" s="29"/>
      <c r="AP449" s="115"/>
      <c r="AQ449" s="115"/>
      <c r="AR449" s="115"/>
      <c r="AS449" s="115"/>
      <c r="AT449" s="25"/>
      <c r="AU449" s="13"/>
      <c r="AZ449" s="116"/>
      <c r="BA449" s="123"/>
      <c r="BB449" s="123"/>
      <c r="BC449" s="123"/>
      <c r="BH449" s="115"/>
      <c r="BI449" s="115"/>
      <c r="BJ449" s="115"/>
      <c r="BK449" s="115"/>
      <c r="BL449" s="115"/>
      <c r="BM449" s="115"/>
      <c r="BN449" s="115"/>
      <c r="BO449" s="115"/>
      <c r="BP449" s="115"/>
      <c r="BQ449" s="115"/>
      <c r="BR449" s="25"/>
      <c r="BS449" s="13"/>
      <c r="BV449" s="114"/>
    </row>
    <row r="450" spans="1:74" ht="20.100000000000001" customHeight="1" x14ac:dyDescent="0.4">
      <c r="A450" s="117"/>
      <c r="B450" s="123"/>
      <c r="C450" s="123"/>
      <c r="D450" s="123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29"/>
      <c r="AJ450" s="29"/>
      <c r="AP450" s="115"/>
      <c r="AQ450" s="115"/>
      <c r="AR450" s="115"/>
      <c r="AS450" s="115"/>
      <c r="AT450" s="25"/>
      <c r="AU450" s="13"/>
      <c r="AZ450" s="116"/>
      <c r="BA450" s="123"/>
      <c r="BB450" s="123"/>
      <c r="BC450" s="123"/>
      <c r="BH450" s="115"/>
      <c r="BI450" s="115"/>
      <c r="BJ450" s="115"/>
      <c r="BK450" s="115"/>
      <c r="BL450" s="115"/>
      <c r="BM450" s="115"/>
      <c r="BN450" s="115"/>
      <c r="BO450" s="115"/>
      <c r="BP450" s="115"/>
      <c r="BQ450" s="115"/>
      <c r="BR450" s="25"/>
      <c r="BS450" s="13"/>
      <c r="BV450" s="114"/>
    </row>
    <row r="451" spans="1:74" ht="20.100000000000001" customHeight="1" x14ac:dyDescent="0.4">
      <c r="A451" s="117"/>
      <c r="B451" s="123"/>
      <c r="C451" s="123"/>
      <c r="D451" s="123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27"/>
      <c r="AJ451" s="29"/>
      <c r="AP451" s="115"/>
      <c r="AQ451" s="115"/>
      <c r="AR451" s="115"/>
      <c r="AS451" s="115"/>
      <c r="AT451" s="25"/>
      <c r="AU451" s="13"/>
      <c r="AZ451" s="116"/>
      <c r="BA451" s="123"/>
      <c r="BB451" s="123"/>
      <c r="BC451" s="123"/>
      <c r="BH451" s="115"/>
      <c r="BI451" s="115"/>
      <c r="BJ451" s="115"/>
      <c r="BK451" s="115"/>
      <c r="BL451" s="115"/>
      <c r="BM451" s="115"/>
      <c r="BN451" s="115"/>
      <c r="BO451" s="115"/>
      <c r="BP451" s="115"/>
      <c r="BQ451" s="115"/>
      <c r="BR451" s="25"/>
      <c r="BS451" s="13"/>
      <c r="BV451" s="114"/>
    </row>
    <row r="452" spans="1:74" ht="20.100000000000001" customHeight="1" x14ac:dyDescent="0.4">
      <c r="A452" s="117"/>
      <c r="B452" s="123"/>
      <c r="C452" s="123"/>
      <c r="D452" s="123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27"/>
      <c r="AJ452" s="29"/>
      <c r="AP452" s="115"/>
      <c r="AQ452" s="115"/>
      <c r="AR452" s="115"/>
      <c r="AS452" s="115"/>
      <c r="AT452" s="25"/>
      <c r="AU452" s="13"/>
      <c r="AZ452" s="116"/>
      <c r="BA452" s="123"/>
      <c r="BB452" s="123"/>
      <c r="BC452" s="123"/>
      <c r="BH452" s="115"/>
      <c r="BI452" s="115"/>
      <c r="BJ452" s="115"/>
      <c r="BK452" s="115"/>
      <c r="BL452" s="115"/>
      <c r="BM452" s="115"/>
      <c r="BN452" s="115"/>
      <c r="BO452" s="115"/>
      <c r="BP452" s="115"/>
      <c r="BQ452" s="115"/>
      <c r="BR452" s="25"/>
      <c r="BS452" s="13"/>
      <c r="BV452" s="114"/>
    </row>
    <row r="453" spans="1:74" ht="20.100000000000001" customHeight="1" x14ac:dyDescent="0.4">
      <c r="A453" s="117"/>
      <c r="B453" s="123"/>
      <c r="C453" s="123"/>
      <c r="D453" s="123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29"/>
      <c r="AJ453" s="29"/>
      <c r="AP453" s="115"/>
      <c r="AQ453" s="115"/>
      <c r="AR453" s="115"/>
      <c r="AS453" s="115"/>
      <c r="AT453" s="25"/>
      <c r="AU453" s="13"/>
      <c r="AZ453" s="116"/>
      <c r="BA453" s="123"/>
      <c r="BB453" s="123"/>
      <c r="BC453" s="123"/>
      <c r="BH453" s="115"/>
      <c r="BI453" s="115"/>
      <c r="BJ453" s="115"/>
      <c r="BK453" s="115"/>
      <c r="BL453" s="115"/>
      <c r="BM453" s="115"/>
      <c r="BN453" s="115"/>
      <c r="BO453" s="115"/>
      <c r="BP453" s="115"/>
      <c r="BQ453" s="115"/>
      <c r="BR453" s="25"/>
      <c r="BS453" s="13"/>
      <c r="BV453" s="114"/>
    </row>
    <row r="454" spans="1:74" ht="20.100000000000001" customHeight="1" x14ac:dyDescent="0.4">
      <c r="A454" s="117"/>
      <c r="B454" s="123"/>
      <c r="C454" s="123"/>
      <c r="D454" s="123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27"/>
      <c r="AJ454" s="29"/>
      <c r="AP454" s="115"/>
      <c r="AQ454" s="115"/>
      <c r="AR454" s="115"/>
      <c r="AS454" s="115"/>
      <c r="AT454" s="25"/>
      <c r="AU454" s="13"/>
      <c r="AZ454" s="116"/>
      <c r="BA454" s="123"/>
      <c r="BB454" s="123"/>
      <c r="BC454" s="123"/>
      <c r="BH454" s="115"/>
      <c r="BI454" s="115"/>
      <c r="BJ454" s="115"/>
      <c r="BK454" s="115"/>
      <c r="BL454" s="115"/>
      <c r="BM454" s="115"/>
      <c r="BN454" s="115"/>
      <c r="BO454" s="115"/>
      <c r="BP454" s="115"/>
      <c r="BQ454" s="115"/>
      <c r="BR454" s="25"/>
      <c r="BS454" s="13"/>
      <c r="BV454" s="114"/>
    </row>
    <row r="455" spans="1:74" ht="20.100000000000001" customHeight="1" x14ac:dyDescent="0.4">
      <c r="A455" s="117"/>
      <c r="B455" s="123"/>
      <c r="C455" s="123"/>
      <c r="D455" s="123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27"/>
      <c r="AJ455" s="29"/>
      <c r="AP455" s="115"/>
      <c r="AQ455" s="115"/>
      <c r="AR455" s="115"/>
      <c r="AS455" s="115"/>
      <c r="AT455" s="25"/>
      <c r="AU455" s="13"/>
      <c r="AZ455" s="116"/>
      <c r="BA455" s="123"/>
      <c r="BB455" s="123"/>
      <c r="BC455" s="123"/>
      <c r="BH455" s="115"/>
      <c r="BI455" s="115"/>
      <c r="BJ455" s="115"/>
      <c r="BK455" s="115"/>
      <c r="BL455" s="115"/>
      <c r="BM455" s="115"/>
      <c r="BN455" s="115"/>
      <c r="BO455" s="115"/>
      <c r="BP455" s="115"/>
      <c r="BQ455" s="115"/>
      <c r="BR455" s="25"/>
      <c r="BS455" s="13"/>
      <c r="BV455" s="114"/>
    </row>
    <row r="456" spans="1:74" ht="20.100000000000001" customHeight="1" x14ac:dyDescent="0.4">
      <c r="A456" s="117"/>
      <c r="B456" s="123"/>
      <c r="C456" s="123"/>
      <c r="D456" s="123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AI456" s="127"/>
      <c r="AJ456" s="29"/>
      <c r="AP456" s="115"/>
      <c r="AQ456" s="115"/>
      <c r="AR456" s="115"/>
      <c r="AS456" s="115"/>
      <c r="AT456" s="25">
        <v>45671</v>
      </c>
      <c r="AU456" s="13" t="s">
        <v>146</v>
      </c>
      <c r="AZ456" s="116"/>
      <c r="BA456" s="123"/>
      <c r="BB456" s="123"/>
      <c r="BC456" s="123"/>
      <c r="BH456" s="115"/>
      <c r="BI456" s="115"/>
      <c r="BJ456" s="115"/>
      <c r="BK456" s="115"/>
      <c r="BL456" s="115"/>
      <c r="BM456" s="115"/>
      <c r="BN456" s="115"/>
      <c r="BO456" s="115"/>
      <c r="BP456" s="115"/>
      <c r="BQ456" s="115"/>
      <c r="BR456" s="25"/>
      <c r="BS456" s="13"/>
      <c r="BV456" s="114"/>
    </row>
    <row r="457" spans="1:74" ht="20.100000000000001" customHeight="1" x14ac:dyDescent="0.4">
      <c r="A457" s="117"/>
      <c r="B457" s="123"/>
      <c r="C457" s="123"/>
      <c r="D457" s="123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27"/>
      <c r="AJ457" s="29"/>
      <c r="AP457" s="115"/>
      <c r="AQ457" s="115"/>
      <c r="AR457" s="115"/>
      <c r="AS457" s="115"/>
      <c r="AT457" s="25"/>
      <c r="AU457" s="13"/>
      <c r="AZ457" s="116"/>
      <c r="BA457" s="123"/>
      <c r="BB457" s="123"/>
      <c r="BC457" s="123"/>
      <c r="BH457" s="115"/>
      <c r="BI457" s="115"/>
      <c r="BJ457" s="115"/>
      <c r="BK457" s="115"/>
      <c r="BL457" s="115"/>
      <c r="BM457" s="115"/>
      <c r="BN457" s="115"/>
      <c r="BO457" s="115"/>
      <c r="BP457" s="115"/>
      <c r="BQ457" s="115"/>
      <c r="BR457" s="25"/>
      <c r="BS457" s="13"/>
      <c r="BV457" s="114"/>
    </row>
    <row r="458" spans="1:74" ht="20.100000000000001" customHeight="1" x14ac:dyDescent="0.4">
      <c r="A458" s="117"/>
      <c r="B458" s="123"/>
      <c r="C458" s="123"/>
      <c r="D458" s="123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29"/>
      <c r="AJ458" s="29"/>
      <c r="AP458" s="115"/>
      <c r="AQ458" s="115"/>
      <c r="AR458" s="115"/>
      <c r="AS458" s="115"/>
      <c r="AT458" s="25"/>
      <c r="AU458" s="13"/>
      <c r="AZ458" s="116"/>
      <c r="BA458" s="123"/>
      <c r="BB458" s="123"/>
      <c r="BC458" s="123"/>
      <c r="BH458" s="115"/>
      <c r="BI458" s="115"/>
      <c r="BJ458" s="115"/>
      <c r="BK458" s="115"/>
      <c r="BL458" s="115"/>
      <c r="BM458" s="115"/>
      <c r="BN458" s="115"/>
      <c r="BO458" s="115"/>
      <c r="BP458" s="115"/>
      <c r="BQ458" s="115"/>
      <c r="BR458" s="25"/>
      <c r="BS458" s="13"/>
      <c r="BV458" s="114"/>
    </row>
    <row r="459" spans="1:74" ht="20.100000000000001" customHeight="1" x14ac:dyDescent="0.4">
      <c r="A459" s="117"/>
      <c r="B459" s="123"/>
      <c r="C459" s="123"/>
      <c r="D459" s="123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27"/>
      <c r="AJ459" s="29"/>
      <c r="AP459" s="115"/>
      <c r="AQ459" s="115"/>
      <c r="AR459" s="115"/>
      <c r="AS459" s="115"/>
      <c r="AT459" s="25"/>
      <c r="AU459" s="13"/>
      <c r="AZ459" s="116"/>
      <c r="BA459" s="123"/>
      <c r="BB459" s="123"/>
      <c r="BC459" s="123"/>
      <c r="BH459" s="115"/>
      <c r="BI459" s="115"/>
      <c r="BJ459" s="115"/>
      <c r="BK459" s="115"/>
      <c r="BL459" s="115"/>
      <c r="BM459" s="115"/>
      <c r="BN459" s="115"/>
      <c r="BO459" s="115"/>
      <c r="BP459" s="115"/>
      <c r="BQ459" s="115"/>
      <c r="BR459" s="25"/>
      <c r="BS459" s="13"/>
      <c r="BV459" s="114"/>
    </row>
    <row r="460" spans="1:74" ht="20.100000000000001" customHeight="1" x14ac:dyDescent="0.4">
      <c r="A460" s="117"/>
      <c r="B460" s="123"/>
      <c r="C460" s="123"/>
      <c r="D460" s="123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29"/>
      <c r="AJ460" s="29"/>
      <c r="AP460" s="115"/>
      <c r="AQ460" s="115"/>
      <c r="AR460" s="115"/>
      <c r="AS460" s="115"/>
      <c r="AT460" s="25"/>
      <c r="AU460" s="13"/>
      <c r="AZ460" s="116"/>
      <c r="BA460" s="123"/>
      <c r="BB460" s="123"/>
      <c r="BC460" s="123"/>
      <c r="BH460" s="115"/>
      <c r="BI460" s="115"/>
      <c r="BJ460" s="115"/>
      <c r="BK460" s="115"/>
      <c r="BL460" s="115"/>
      <c r="BM460" s="115"/>
      <c r="BN460" s="115"/>
      <c r="BO460" s="115"/>
      <c r="BP460" s="115"/>
      <c r="BQ460" s="115"/>
      <c r="BR460" s="25"/>
      <c r="BS460" s="13"/>
      <c r="BV460" s="114"/>
    </row>
    <row r="461" spans="1:74" ht="20.100000000000001" customHeight="1" x14ac:dyDescent="0.4">
      <c r="A461" s="117"/>
      <c r="B461" s="123"/>
      <c r="C461" s="123"/>
      <c r="D461" s="123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AI461" s="127"/>
      <c r="AJ461" s="29"/>
      <c r="AN461" s="115"/>
      <c r="AO461" s="115"/>
      <c r="AP461" s="115"/>
      <c r="AQ461" s="115"/>
      <c r="AR461" s="115"/>
      <c r="AS461" s="115"/>
      <c r="AT461" s="25">
        <v>45671</v>
      </c>
      <c r="AU461" s="13" t="s">
        <v>148</v>
      </c>
      <c r="AZ461" s="116"/>
      <c r="BA461" s="123"/>
      <c r="BB461" s="123"/>
      <c r="BC461" s="123"/>
      <c r="BH461" s="115"/>
      <c r="BI461" s="115"/>
      <c r="BJ461" s="115"/>
      <c r="BK461" s="115"/>
      <c r="BL461" s="115"/>
      <c r="BM461" s="115"/>
      <c r="BN461" s="115"/>
      <c r="BO461" s="115"/>
      <c r="BP461" s="115"/>
      <c r="BQ461" s="115"/>
      <c r="BR461" s="25"/>
      <c r="BS461" s="13"/>
      <c r="BV461" s="114"/>
    </row>
    <row r="462" spans="1:74" ht="20.100000000000001" customHeight="1" x14ac:dyDescent="0.4">
      <c r="A462" s="117"/>
      <c r="B462" s="123"/>
      <c r="C462" s="123"/>
      <c r="D462" s="123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AG462" s="115"/>
      <c r="AH462" s="115"/>
      <c r="AI462" s="29"/>
      <c r="AJ462" s="29"/>
      <c r="AN462" s="115"/>
      <c r="AO462" s="115"/>
      <c r="AP462" s="115"/>
      <c r="AQ462" s="115"/>
      <c r="AR462" s="115"/>
      <c r="AS462" s="115"/>
      <c r="AT462" s="25"/>
      <c r="AU462" s="13"/>
      <c r="AZ462" s="116"/>
      <c r="BA462" s="123"/>
      <c r="BB462" s="123"/>
      <c r="BC462" s="123"/>
      <c r="BH462" s="115"/>
      <c r="BI462" s="115"/>
      <c r="BJ462" s="115"/>
      <c r="BK462" s="115"/>
      <c r="BL462" s="115"/>
      <c r="BM462" s="115"/>
      <c r="BN462" s="115"/>
      <c r="BO462" s="115"/>
      <c r="BP462" s="115"/>
      <c r="BQ462" s="115"/>
      <c r="BR462" s="25"/>
      <c r="BS462" s="13"/>
      <c r="BV462" s="114"/>
    </row>
    <row r="463" spans="1:74" ht="20.100000000000001" customHeight="1" x14ac:dyDescent="0.4">
      <c r="A463" s="117"/>
      <c r="B463" s="123"/>
      <c r="C463" s="123"/>
      <c r="D463" s="123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AC463" s="115"/>
      <c r="AD463" s="115"/>
      <c r="AE463" s="115"/>
      <c r="AF463" s="115"/>
      <c r="AG463" s="115"/>
      <c r="AH463" s="115"/>
      <c r="AI463" s="127"/>
      <c r="AJ463" s="29"/>
      <c r="AN463" s="115"/>
      <c r="AO463" s="115"/>
      <c r="AP463" s="115"/>
      <c r="AQ463" s="115"/>
      <c r="AR463" s="115"/>
      <c r="AS463" s="115"/>
      <c r="AT463" s="25"/>
      <c r="AU463" s="13"/>
      <c r="AZ463" s="116"/>
      <c r="BA463" s="123"/>
      <c r="BB463" s="123"/>
      <c r="BC463" s="123"/>
      <c r="BH463" s="115"/>
      <c r="BI463" s="115"/>
      <c r="BJ463" s="115"/>
      <c r="BK463" s="115"/>
      <c r="BL463" s="115"/>
      <c r="BM463" s="115"/>
      <c r="BN463" s="115"/>
      <c r="BO463" s="115"/>
      <c r="BP463" s="115"/>
      <c r="BQ463" s="115"/>
      <c r="BR463" s="25"/>
      <c r="BS463" s="13"/>
      <c r="BV463" s="114"/>
    </row>
    <row r="464" spans="1:74" ht="20.100000000000001" customHeight="1" x14ac:dyDescent="0.4">
      <c r="A464" s="117"/>
      <c r="B464" s="123"/>
      <c r="C464" s="123"/>
      <c r="D464" s="123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AC464" s="115"/>
      <c r="AD464" s="115"/>
      <c r="AE464" s="115"/>
      <c r="AF464" s="115"/>
      <c r="AG464" s="115"/>
      <c r="AH464" s="115"/>
      <c r="AI464" s="29"/>
      <c r="AJ464" s="29"/>
      <c r="AN464" s="115"/>
      <c r="AO464" s="115"/>
      <c r="AP464" s="115"/>
      <c r="AQ464" s="115"/>
      <c r="AR464" s="115"/>
      <c r="AS464" s="115"/>
      <c r="AT464" s="25"/>
      <c r="AU464" s="13"/>
      <c r="AZ464" s="116"/>
      <c r="BA464" s="123"/>
      <c r="BB464" s="123"/>
      <c r="BC464" s="123"/>
      <c r="BH464" s="115"/>
      <c r="BI464" s="115"/>
      <c r="BJ464" s="115"/>
      <c r="BK464" s="115"/>
      <c r="BL464" s="115"/>
      <c r="BM464" s="115"/>
      <c r="BN464" s="115"/>
      <c r="BO464" s="115"/>
      <c r="BP464" s="115"/>
      <c r="BQ464" s="115"/>
      <c r="BR464" s="25"/>
      <c r="BS464" s="13"/>
      <c r="BV464" s="114"/>
    </row>
    <row r="465" spans="1:74" ht="20.100000000000001" customHeight="1" x14ac:dyDescent="0.4">
      <c r="A465" s="117"/>
      <c r="B465" s="123"/>
      <c r="C465" s="123"/>
      <c r="D465" s="123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AC465" s="115"/>
      <c r="AD465" s="115"/>
      <c r="AE465" s="115"/>
      <c r="AF465" s="115"/>
      <c r="AG465" s="115"/>
      <c r="AH465" s="115"/>
      <c r="AI465" s="29"/>
      <c r="AJ465" s="29"/>
      <c r="AN465" s="115"/>
      <c r="AO465" s="115"/>
      <c r="AP465" s="115"/>
      <c r="AQ465" s="115"/>
      <c r="AR465" s="115"/>
      <c r="AS465" s="115"/>
      <c r="AT465" s="25"/>
      <c r="AU465" s="13"/>
      <c r="AZ465" s="116"/>
      <c r="BA465" s="123"/>
      <c r="BB465" s="123"/>
      <c r="BC465" s="123"/>
      <c r="BH465" s="115"/>
      <c r="BI465" s="115"/>
      <c r="BJ465" s="115"/>
      <c r="BK465" s="115"/>
      <c r="BL465" s="115"/>
      <c r="BM465" s="115"/>
      <c r="BN465" s="115"/>
      <c r="BO465" s="115"/>
      <c r="BP465" s="115"/>
      <c r="BQ465" s="115"/>
      <c r="BR465" s="25"/>
      <c r="BS465" s="13"/>
      <c r="BV465" s="114"/>
    </row>
    <row r="466" spans="1:74" ht="20.100000000000001" customHeight="1" x14ac:dyDescent="0.4">
      <c r="A466" s="117"/>
      <c r="B466" s="123"/>
      <c r="C466" s="123"/>
      <c r="D466" s="123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AB466" s="115"/>
      <c r="AC466" s="115"/>
      <c r="AD466" s="115"/>
      <c r="AE466" s="115"/>
      <c r="AF466" s="115"/>
      <c r="AG466" s="115"/>
      <c r="AH466" s="115"/>
      <c r="AI466" s="127"/>
      <c r="AJ466" s="29"/>
      <c r="AN466" s="115"/>
      <c r="AO466" s="115"/>
      <c r="AP466" s="115"/>
      <c r="AQ466" s="115"/>
      <c r="AR466" s="115"/>
      <c r="AS466" s="115"/>
      <c r="AT466" s="25"/>
      <c r="AU466" s="13"/>
      <c r="AZ466" s="116"/>
      <c r="BA466" s="123"/>
      <c r="BB466" s="123"/>
      <c r="BC466" s="123"/>
      <c r="BH466" s="115"/>
      <c r="BI466" s="115"/>
      <c r="BJ466" s="115"/>
      <c r="BK466" s="115"/>
      <c r="BL466" s="115"/>
      <c r="BM466" s="115"/>
      <c r="BN466" s="115"/>
      <c r="BO466" s="115"/>
      <c r="BP466" s="115"/>
      <c r="BQ466" s="115"/>
      <c r="BR466" s="25"/>
      <c r="BS466" s="13"/>
      <c r="BV466" s="114"/>
    </row>
    <row r="467" spans="1:74" ht="20.100000000000001" customHeight="1" x14ac:dyDescent="0.4">
      <c r="A467" s="117"/>
      <c r="B467" s="123"/>
      <c r="C467" s="123"/>
      <c r="D467" s="123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AB467" s="115"/>
      <c r="AC467" s="115"/>
      <c r="AD467" s="115"/>
      <c r="AE467" s="115"/>
      <c r="AF467" s="115"/>
      <c r="AG467" s="115"/>
      <c r="AH467" s="115"/>
      <c r="AI467" s="127"/>
      <c r="AJ467" s="29"/>
      <c r="AN467" s="115"/>
      <c r="AO467" s="115"/>
      <c r="AP467" s="115"/>
      <c r="AQ467" s="115"/>
      <c r="AR467" s="115"/>
      <c r="AS467" s="115"/>
      <c r="AT467" s="25"/>
      <c r="AU467" s="13"/>
      <c r="AZ467" s="116"/>
      <c r="BA467" s="123"/>
      <c r="BB467" s="123"/>
      <c r="BC467" s="123"/>
      <c r="BH467" s="115"/>
      <c r="BI467" s="115"/>
      <c r="BJ467" s="115"/>
      <c r="BK467" s="115"/>
      <c r="BL467" s="115"/>
      <c r="BM467" s="115"/>
      <c r="BN467" s="115"/>
      <c r="BO467" s="115"/>
      <c r="BP467" s="115"/>
      <c r="BQ467" s="115"/>
      <c r="BR467" s="25"/>
      <c r="BS467" s="13"/>
      <c r="BV467" s="114"/>
    </row>
    <row r="468" spans="1:74" ht="20.100000000000001" customHeight="1" x14ac:dyDescent="0.4">
      <c r="A468" s="117"/>
      <c r="B468" s="123"/>
      <c r="C468" s="123"/>
      <c r="D468" s="123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AB468" s="115"/>
      <c r="AC468" s="115"/>
      <c r="AD468" s="115"/>
      <c r="AE468" s="115"/>
      <c r="AF468" s="115"/>
      <c r="AG468" s="115"/>
      <c r="AH468" s="115"/>
      <c r="AI468" s="127"/>
      <c r="AJ468" s="29"/>
      <c r="AN468" s="115"/>
      <c r="AO468" s="115"/>
      <c r="AP468" s="115"/>
      <c r="AQ468" s="115"/>
      <c r="AR468" s="115"/>
      <c r="AS468" s="115"/>
      <c r="AT468" s="25"/>
      <c r="AU468" s="13"/>
      <c r="AZ468" s="116"/>
      <c r="BA468" s="123"/>
      <c r="BB468" s="123"/>
      <c r="BC468" s="123"/>
      <c r="BH468" s="115"/>
      <c r="BI468" s="115"/>
      <c r="BJ468" s="115"/>
      <c r="BK468" s="115"/>
      <c r="BL468" s="115"/>
      <c r="BM468" s="115"/>
      <c r="BN468" s="115"/>
      <c r="BO468" s="115"/>
      <c r="BP468" s="115"/>
      <c r="BQ468" s="115"/>
      <c r="BR468" s="25"/>
      <c r="BS468" s="13"/>
      <c r="BV468" s="114"/>
    </row>
    <row r="469" spans="1:74" ht="20.100000000000001" customHeight="1" x14ac:dyDescent="0.4">
      <c r="A469" s="117"/>
      <c r="B469" s="123"/>
      <c r="C469" s="123"/>
      <c r="D469" s="123"/>
      <c r="AI469" s="127"/>
      <c r="AJ469" s="29"/>
      <c r="AN469" s="115"/>
      <c r="AO469" s="115"/>
      <c r="AP469" s="115"/>
      <c r="AQ469" s="115"/>
      <c r="AR469" s="115"/>
      <c r="AS469" s="115"/>
      <c r="AT469" s="25"/>
      <c r="AU469" s="13"/>
      <c r="AZ469" s="116"/>
      <c r="BA469" s="123"/>
      <c r="BB469" s="123"/>
      <c r="BC469" s="123"/>
      <c r="BH469" s="115"/>
      <c r="BI469" s="115"/>
      <c r="BJ469" s="115"/>
      <c r="BK469" s="115"/>
      <c r="BL469" s="115"/>
      <c r="BM469" s="115"/>
      <c r="BN469" s="115"/>
      <c r="BO469" s="115"/>
      <c r="BP469" s="115"/>
      <c r="BQ469" s="115"/>
      <c r="BR469" s="25"/>
      <c r="BS469" s="13"/>
      <c r="BV469" s="114"/>
    </row>
    <row r="470" spans="1:74" ht="20.100000000000001" customHeight="1" x14ac:dyDescent="0.4">
      <c r="A470" s="117"/>
      <c r="B470" s="123"/>
      <c r="C470" s="123"/>
      <c r="D470" s="123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27"/>
      <c r="AJ470" s="29"/>
      <c r="AN470" s="115"/>
      <c r="AO470" s="115"/>
      <c r="AP470" s="115"/>
      <c r="AQ470" s="115"/>
      <c r="AR470" s="115"/>
      <c r="AS470" s="115"/>
      <c r="AT470" s="25"/>
      <c r="AU470" s="13"/>
      <c r="AZ470" s="116"/>
      <c r="BA470" s="123"/>
      <c r="BB470" s="123"/>
      <c r="BC470" s="123"/>
      <c r="BH470" s="115"/>
      <c r="BI470" s="115"/>
      <c r="BJ470" s="115"/>
      <c r="BK470" s="115"/>
      <c r="BL470" s="115"/>
      <c r="BM470" s="115"/>
      <c r="BN470" s="115"/>
      <c r="BO470" s="115"/>
      <c r="BP470" s="115"/>
      <c r="BQ470" s="115"/>
      <c r="BR470" s="25"/>
      <c r="BS470" s="13"/>
      <c r="BV470" s="114"/>
    </row>
    <row r="471" spans="1:74" ht="20.100000000000001" customHeight="1" x14ac:dyDescent="0.4">
      <c r="A471" s="117"/>
      <c r="B471" s="123"/>
      <c r="C471" s="123"/>
      <c r="D471" s="123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27"/>
      <c r="AJ471" s="29"/>
      <c r="AN471" s="115"/>
      <c r="AO471" s="115"/>
      <c r="AP471" s="115"/>
      <c r="AQ471" s="115"/>
      <c r="AR471" s="115"/>
      <c r="AS471" s="115"/>
      <c r="AT471" s="25"/>
      <c r="AU471" s="13"/>
      <c r="AZ471" s="116"/>
      <c r="BA471" s="123"/>
      <c r="BB471" s="123"/>
      <c r="BC471" s="123"/>
      <c r="BH471" s="115"/>
      <c r="BI471" s="115"/>
      <c r="BJ471" s="115"/>
      <c r="BK471" s="115"/>
      <c r="BL471" s="115"/>
      <c r="BM471" s="115"/>
      <c r="BN471" s="115"/>
      <c r="BO471" s="115"/>
      <c r="BP471" s="115"/>
      <c r="BQ471" s="115"/>
      <c r="BR471" s="25"/>
      <c r="BS471" s="13"/>
      <c r="BV471" s="114"/>
    </row>
    <row r="472" spans="1:74" ht="20.100000000000001" customHeight="1" x14ac:dyDescent="0.4">
      <c r="A472" s="117"/>
      <c r="B472" s="123"/>
      <c r="C472" s="123"/>
      <c r="D472" s="123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27"/>
      <c r="AJ472" s="29"/>
      <c r="AN472" s="115"/>
      <c r="AO472" s="115"/>
      <c r="AP472" s="115"/>
      <c r="AQ472" s="115"/>
      <c r="AR472" s="115"/>
      <c r="AS472" s="115"/>
      <c r="AT472" s="25"/>
      <c r="AU472" s="13"/>
      <c r="AZ472" s="116"/>
      <c r="BA472" s="123"/>
      <c r="BB472" s="123"/>
      <c r="BC472" s="123"/>
      <c r="BH472" s="115"/>
      <c r="BI472" s="115"/>
      <c r="BJ472" s="115"/>
      <c r="BK472" s="115"/>
      <c r="BL472" s="115"/>
      <c r="BM472" s="115"/>
      <c r="BN472" s="115"/>
      <c r="BO472" s="115"/>
      <c r="BP472" s="115"/>
      <c r="BQ472" s="115"/>
      <c r="BR472" s="25"/>
      <c r="BS472" s="13"/>
      <c r="BV472" s="114"/>
    </row>
    <row r="473" spans="1:74" ht="20.100000000000001" customHeight="1" x14ac:dyDescent="0.4">
      <c r="A473" s="117"/>
      <c r="B473" s="123"/>
      <c r="C473" s="123"/>
      <c r="D473" s="123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29"/>
      <c r="AJ473" s="29"/>
      <c r="AN473" s="115"/>
      <c r="AO473" s="115"/>
      <c r="AP473" s="115"/>
      <c r="AQ473" s="115"/>
      <c r="AR473" s="115"/>
      <c r="AS473" s="115"/>
      <c r="AT473" s="25"/>
      <c r="AU473" s="13"/>
      <c r="AZ473" s="116"/>
      <c r="BA473" s="123"/>
      <c r="BB473" s="123"/>
      <c r="BC473" s="123"/>
      <c r="BH473" s="115"/>
      <c r="BI473" s="115"/>
      <c r="BJ473" s="115"/>
      <c r="BK473" s="115"/>
      <c r="BL473" s="115"/>
      <c r="BM473" s="115"/>
      <c r="BN473" s="115"/>
      <c r="BO473" s="115"/>
      <c r="BP473" s="115"/>
      <c r="BQ473" s="115"/>
      <c r="BR473" s="25"/>
      <c r="BS473" s="13"/>
      <c r="BV473" s="114"/>
    </row>
    <row r="474" spans="1:74" ht="20.100000000000001" customHeight="1" x14ac:dyDescent="0.4">
      <c r="A474" s="117"/>
      <c r="B474" s="123"/>
      <c r="C474" s="123"/>
      <c r="D474" s="123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27"/>
      <c r="AJ474" s="29"/>
      <c r="AN474" s="115"/>
      <c r="AO474" s="115"/>
      <c r="AP474" s="115"/>
      <c r="AQ474" s="115"/>
      <c r="AR474" s="115"/>
      <c r="AS474" s="115"/>
      <c r="AT474" s="25"/>
      <c r="AU474" s="13"/>
      <c r="AZ474" s="116"/>
      <c r="BA474" s="123"/>
      <c r="BB474" s="123"/>
      <c r="BC474" s="123"/>
      <c r="BH474" s="115"/>
      <c r="BI474" s="115"/>
      <c r="BJ474" s="115"/>
      <c r="BK474" s="115"/>
      <c r="BL474" s="115"/>
      <c r="BM474" s="115"/>
      <c r="BN474" s="115"/>
      <c r="BO474" s="115"/>
      <c r="BP474" s="115"/>
      <c r="BQ474" s="115"/>
      <c r="BR474" s="25"/>
      <c r="BS474" s="13"/>
      <c r="BV474" s="114"/>
    </row>
    <row r="475" spans="1:74" ht="20.100000000000001" customHeight="1" x14ac:dyDescent="0.4">
      <c r="A475" s="117"/>
      <c r="B475" s="123"/>
      <c r="C475" s="123"/>
      <c r="D475" s="123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27"/>
      <c r="AJ475" s="29"/>
      <c r="AN475" s="115"/>
      <c r="AO475" s="115"/>
      <c r="AP475" s="115"/>
      <c r="AQ475" s="115"/>
      <c r="AR475" s="115"/>
      <c r="AS475" s="115"/>
      <c r="AT475" s="25"/>
      <c r="AU475" s="13"/>
      <c r="AZ475" s="116"/>
      <c r="BA475" s="123"/>
      <c r="BB475" s="123"/>
      <c r="BC475" s="123"/>
      <c r="BH475" s="115"/>
      <c r="BI475" s="115"/>
      <c r="BJ475" s="115"/>
      <c r="BK475" s="115"/>
      <c r="BL475" s="115"/>
      <c r="BM475" s="115"/>
      <c r="BN475" s="115"/>
      <c r="BO475" s="115"/>
      <c r="BP475" s="115"/>
      <c r="BQ475" s="115"/>
      <c r="BR475" s="25"/>
      <c r="BS475" s="13"/>
      <c r="BV475" s="114"/>
    </row>
    <row r="476" spans="1:74" ht="20.100000000000001" customHeight="1" x14ac:dyDescent="0.4">
      <c r="A476" s="117"/>
      <c r="B476" s="123"/>
      <c r="C476" s="123"/>
      <c r="D476" s="123"/>
      <c r="AI476" s="127"/>
      <c r="AJ476" s="29"/>
      <c r="AN476" s="115"/>
      <c r="AO476" s="115"/>
      <c r="AP476" s="115"/>
      <c r="AQ476" s="115"/>
      <c r="AR476" s="115"/>
      <c r="AS476" s="115"/>
      <c r="AT476" s="25"/>
      <c r="AU476" s="13"/>
      <c r="AZ476" s="116"/>
      <c r="BA476" s="123"/>
      <c r="BB476" s="123"/>
      <c r="BC476" s="123"/>
      <c r="BH476" s="115"/>
      <c r="BI476" s="115"/>
      <c r="BJ476" s="115"/>
      <c r="BK476" s="115"/>
      <c r="BL476" s="115"/>
      <c r="BM476" s="115"/>
      <c r="BN476" s="115"/>
      <c r="BO476" s="115"/>
      <c r="BP476" s="115"/>
      <c r="BQ476" s="115"/>
      <c r="BR476" s="25"/>
      <c r="BS476" s="13"/>
      <c r="BV476" s="114"/>
    </row>
    <row r="477" spans="1:74" ht="20.100000000000001" customHeight="1" x14ac:dyDescent="0.4">
      <c r="A477" s="117"/>
      <c r="B477" s="123"/>
      <c r="C477" s="123"/>
      <c r="D477" s="123"/>
      <c r="AE477" s="115"/>
      <c r="AF477" s="115"/>
      <c r="AG477" s="115"/>
      <c r="AH477" s="115"/>
      <c r="AI477" s="127"/>
      <c r="AJ477" s="29"/>
      <c r="AN477" s="115"/>
      <c r="AO477" s="115"/>
      <c r="AP477" s="115"/>
      <c r="AQ477" s="115"/>
      <c r="AR477" s="115"/>
      <c r="AS477" s="115"/>
      <c r="AT477" s="25"/>
      <c r="AU477" s="13"/>
      <c r="AZ477" s="116"/>
      <c r="BA477" s="123"/>
      <c r="BB477" s="123"/>
      <c r="BC477" s="123"/>
      <c r="BH477" s="115"/>
      <c r="BI477" s="115"/>
      <c r="BJ477" s="115"/>
      <c r="BK477" s="115"/>
      <c r="BL477" s="115"/>
      <c r="BM477" s="115"/>
      <c r="BN477" s="115"/>
      <c r="BO477" s="115"/>
      <c r="BP477" s="115"/>
      <c r="BQ477" s="115"/>
      <c r="BR477" s="25"/>
      <c r="BS477" s="13"/>
      <c r="BV477" s="114"/>
    </row>
    <row r="478" spans="1:74" ht="20.100000000000001" customHeight="1" x14ac:dyDescent="0.4">
      <c r="A478" s="117"/>
      <c r="B478" s="123"/>
      <c r="C478" s="123"/>
      <c r="D478" s="123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27"/>
      <c r="AJ478" s="29"/>
      <c r="AN478" s="115"/>
      <c r="AO478" s="115"/>
      <c r="AP478" s="115"/>
      <c r="AQ478" s="115"/>
      <c r="AR478" s="115"/>
      <c r="AS478" s="115"/>
      <c r="AT478" s="25"/>
      <c r="AU478" s="13"/>
      <c r="AZ478" s="116"/>
      <c r="BA478" s="123"/>
      <c r="BB478" s="123"/>
      <c r="BC478" s="123"/>
      <c r="BH478" s="115"/>
      <c r="BI478" s="115"/>
      <c r="BJ478" s="115"/>
      <c r="BK478" s="115"/>
      <c r="BL478" s="115"/>
      <c r="BM478" s="115"/>
      <c r="BN478" s="115"/>
      <c r="BO478" s="115"/>
      <c r="BP478" s="115"/>
      <c r="BQ478" s="115"/>
      <c r="BR478" s="25"/>
      <c r="BS478" s="13"/>
      <c r="BV478" s="114"/>
    </row>
    <row r="479" spans="1:74" ht="20.100000000000001" customHeight="1" x14ac:dyDescent="0.4">
      <c r="A479" s="117"/>
      <c r="B479" s="123"/>
      <c r="C479" s="123"/>
      <c r="D479" s="123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27"/>
      <c r="AJ479" s="29"/>
      <c r="AN479" s="115"/>
      <c r="AO479" s="115"/>
      <c r="AP479" s="115"/>
      <c r="AQ479" s="115"/>
      <c r="AR479" s="115"/>
      <c r="AS479" s="115"/>
      <c r="AT479" s="25"/>
      <c r="AU479" s="13"/>
      <c r="AZ479" s="116"/>
      <c r="BA479" s="123"/>
      <c r="BB479" s="123"/>
      <c r="BC479" s="123"/>
      <c r="BH479" s="115"/>
      <c r="BI479" s="115"/>
      <c r="BJ479" s="115"/>
      <c r="BK479" s="115"/>
      <c r="BL479" s="115"/>
      <c r="BM479" s="115"/>
      <c r="BN479" s="115"/>
      <c r="BO479" s="115"/>
      <c r="BP479" s="115"/>
      <c r="BQ479" s="115"/>
      <c r="BR479" s="25"/>
      <c r="BS479" s="13"/>
      <c r="BV479" s="114"/>
    </row>
    <row r="480" spans="1:74" ht="20.100000000000001" customHeight="1" x14ac:dyDescent="0.4">
      <c r="A480" s="117"/>
      <c r="B480" s="123"/>
      <c r="C480" s="123"/>
      <c r="D480" s="123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27"/>
      <c r="AJ480" s="29"/>
      <c r="AN480" s="115"/>
      <c r="AO480" s="115"/>
      <c r="AP480" s="115"/>
      <c r="AQ480" s="115"/>
      <c r="AR480" s="115"/>
      <c r="AS480" s="115"/>
      <c r="AT480" s="25"/>
      <c r="AU480" s="13"/>
      <c r="AZ480" s="116"/>
      <c r="BA480" s="123"/>
      <c r="BB480" s="123"/>
      <c r="BC480" s="123"/>
      <c r="BH480" s="115"/>
      <c r="BI480" s="115"/>
      <c r="BJ480" s="115"/>
      <c r="BK480" s="115"/>
      <c r="BL480" s="115"/>
      <c r="BM480" s="115"/>
      <c r="BN480" s="115"/>
      <c r="BO480" s="115"/>
      <c r="BP480" s="115"/>
      <c r="BQ480" s="115"/>
      <c r="BR480" s="25"/>
      <c r="BS480" s="13"/>
      <c r="BV480" s="114"/>
    </row>
    <row r="481" spans="1:74" ht="20.100000000000001" customHeight="1" x14ac:dyDescent="0.4">
      <c r="A481" s="117"/>
      <c r="B481" s="123"/>
      <c r="C481" s="123"/>
      <c r="D481" s="123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27"/>
      <c r="AJ481" s="29"/>
      <c r="AN481" s="115"/>
      <c r="AO481" s="115"/>
      <c r="AP481" s="115"/>
      <c r="AQ481" s="115"/>
      <c r="AR481" s="115"/>
      <c r="AS481" s="115"/>
      <c r="AT481" s="25"/>
      <c r="AU481" s="13"/>
      <c r="AZ481" s="116"/>
      <c r="BA481" s="123"/>
      <c r="BB481" s="123"/>
      <c r="BC481" s="123"/>
      <c r="BH481" s="115"/>
      <c r="BI481" s="115"/>
      <c r="BJ481" s="115"/>
      <c r="BK481" s="115"/>
      <c r="BL481" s="115"/>
      <c r="BM481" s="115"/>
      <c r="BN481" s="115"/>
      <c r="BO481" s="115"/>
      <c r="BP481" s="115"/>
      <c r="BQ481" s="115"/>
      <c r="BR481" s="25"/>
      <c r="BS481" s="13"/>
      <c r="BV481" s="114"/>
    </row>
    <row r="482" spans="1:74" ht="20.100000000000001" customHeight="1" x14ac:dyDescent="0.4">
      <c r="A482" s="117"/>
      <c r="B482" s="123"/>
      <c r="C482" s="123"/>
      <c r="D482" s="123"/>
      <c r="AI482" s="127"/>
      <c r="AJ482" s="29"/>
      <c r="AN482" s="115"/>
      <c r="AO482" s="115"/>
      <c r="AP482" s="115"/>
      <c r="AQ482" s="115"/>
      <c r="AR482" s="115"/>
      <c r="AS482" s="115"/>
      <c r="AT482" s="25"/>
      <c r="AU482" s="13"/>
      <c r="AZ482" s="116"/>
      <c r="BA482" s="123"/>
      <c r="BB482" s="123"/>
      <c r="BC482" s="123"/>
      <c r="BH482" s="115"/>
      <c r="BI482" s="115"/>
      <c r="BJ482" s="115"/>
      <c r="BK482" s="115"/>
      <c r="BL482" s="115"/>
      <c r="BM482" s="115"/>
      <c r="BN482" s="115"/>
      <c r="BO482" s="115"/>
      <c r="BP482" s="115"/>
      <c r="BQ482" s="115"/>
      <c r="BR482" s="25"/>
      <c r="BS482" s="13"/>
      <c r="BV482" s="114"/>
    </row>
    <row r="483" spans="1:74" ht="20.100000000000001" customHeight="1" x14ac:dyDescent="0.4">
      <c r="A483" s="117"/>
      <c r="B483" s="123"/>
      <c r="C483" s="123"/>
      <c r="D483" s="123"/>
      <c r="AE483" s="115"/>
      <c r="AF483" s="115"/>
      <c r="AG483" s="115"/>
      <c r="AH483" s="115"/>
      <c r="AI483" s="127"/>
      <c r="AJ483" s="29"/>
      <c r="AN483" s="115"/>
      <c r="AO483" s="115"/>
      <c r="AP483" s="115"/>
      <c r="AQ483" s="115"/>
      <c r="AR483" s="115"/>
      <c r="AS483" s="115"/>
      <c r="AT483" s="25"/>
      <c r="AU483" s="13"/>
      <c r="AZ483" s="116"/>
      <c r="BA483" s="123"/>
      <c r="BB483" s="123"/>
      <c r="BC483" s="123"/>
      <c r="BH483" s="115"/>
      <c r="BI483" s="115"/>
      <c r="BJ483" s="115"/>
      <c r="BK483" s="115"/>
      <c r="BL483" s="115"/>
      <c r="BM483" s="115"/>
      <c r="BN483" s="115"/>
      <c r="BO483" s="115"/>
      <c r="BP483" s="115"/>
      <c r="BQ483" s="115"/>
      <c r="BR483" s="25"/>
      <c r="BS483" s="13"/>
      <c r="BV483" s="114"/>
    </row>
    <row r="484" spans="1:74" ht="20.100000000000001" customHeight="1" x14ac:dyDescent="0.4">
      <c r="A484" s="117"/>
      <c r="B484" s="123"/>
      <c r="C484" s="123"/>
      <c r="D484" s="123"/>
      <c r="AE484" s="115"/>
      <c r="AF484" s="115"/>
      <c r="AG484" s="115"/>
      <c r="AH484" s="115"/>
      <c r="AI484" s="29"/>
      <c r="AJ484" s="29"/>
      <c r="AN484" s="115"/>
      <c r="AO484" s="115"/>
      <c r="AP484" s="115"/>
      <c r="AQ484" s="115"/>
      <c r="AR484" s="115"/>
      <c r="AS484" s="115"/>
      <c r="AT484" s="25"/>
      <c r="AU484" s="13"/>
      <c r="AZ484" s="116"/>
      <c r="BA484" s="123"/>
      <c r="BB484" s="123"/>
      <c r="BC484" s="123"/>
      <c r="BH484" s="115"/>
      <c r="BI484" s="115"/>
      <c r="BJ484" s="115"/>
      <c r="BK484" s="115"/>
      <c r="BL484" s="115"/>
      <c r="BM484" s="115"/>
      <c r="BN484" s="115"/>
      <c r="BO484" s="115"/>
      <c r="BP484" s="115"/>
      <c r="BQ484" s="115"/>
      <c r="BR484" s="25"/>
      <c r="BS484" s="13"/>
      <c r="BV484" s="114"/>
    </row>
    <row r="485" spans="1:74" ht="20.100000000000001" customHeight="1" x14ac:dyDescent="0.4">
      <c r="A485" s="117"/>
      <c r="B485" s="123"/>
      <c r="C485" s="123"/>
      <c r="D485" s="123"/>
      <c r="AE485" s="115"/>
      <c r="AF485" s="115"/>
      <c r="AG485" s="115"/>
      <c r="AH485" s="115"/>
      <c r="AI485" s="127"/>
      <c r="AJ485" s="29"/>
      <c r="AN485" s="115"/>
      <c r="AO485" s="115"/>
      <c r="AP485" s="115"/>
      <c r="AQ485" s="115"/>
      <c r="AR485" s="115"/>
      <c r="AS485" s="115"/>
      <c r="AT485" s="25"/>
      <c r="AU485" s="13"/>
      <c r="AZ485" s="116"/>
      <c r="BA485" s="123"/>
      <c r="BB485" s="123"/>
      <c r="BC485" s="123"/>
      <c r="BH485" s="115"/>
      <c r="BI485" s="115"/>
      <c r="BJ485" s="115"/>
      <c r="BK485" s="115"/>
      <c r="BL485" s="115"/>
      <c r="BM485" s="115"/>
      <c r="BN485" s="115"/>
      <c r="BO485" s="115"/>
      <c r="BP485" s="115"/>
      <c r="BQ485" s="115"/>
      <c r="BR485" s="25"/>
      <c r="BS485" s="13"/>
      <c r="BV485" s="114"/>
    </row>
    <row r="486" spans="1:74" ht="20.100000000000001" customHeight="1" x14ac:dyDescent="0.4">
      <c r="A486" s="117"/>
      <c r="B486" s="123"/>
      <c r="C486" s="123"/>
      <c r="D486" s="123"/>
      <c r="AE486" s="115"/>
      <c r="AF486" s="115"/>
      <c r="AG486" s="115"/>
      <c r="AH486" s="115"/>
      <c r="AI486" s="29"/>
      <c r="AJ486" s="29"/>
      <c r="AN486" s="115"/>
      <c r="AO486" s="115"/>
      <c r="AP486" s="115"/>
      <c r="AQ486" s="115"/>
      <c r="AR486" s="115"/>
      <c r="AS486" s="115"/>
      <c r="AT486" s="25"/>
      <c r="AU486" s="13"/>
      <c r="AZ486" s="116"/>
      <c r="BA486" s="123"/>
      <c r="BB486" s="123"/>
      <c r="BC486" s="123"/>
      <c r="BH486" s="115"/>
      <c r="BI486" s="115"/>
      <c r="BJ486" s="115"/>
      <c r="BK486" s="115"/>
      <c r="BL486" s="115"/>
      <c r="BM486" s="115"/>
      <c r="BN486" s="115"/>
      <c r="BO486" s="115"/>
      <c r="BP486" s="115"/>
      <c r="BQ486" s="115"/>
      <c r="BR486" s="25"/>
      <c r="BS486" s="13"/>
      <c r="BV486" s="114"/>
    </row>
    <row r="487" spans="1:74" ht="20.100000000000001" customHeight="1" x14ac:dyDescent="0.4">
      <c r="A487" s="117"/>
      <c r="B487" s="123"/>
      <c r="C487" s="123"/>
      <c r="D487" s="123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27"/>
      <c r="AJ487" s="29"/>
      <c r="AN487" s="115"/>
      <c r="AO487" s="115"/>
      <c r="AP487" s="115"/>
      <c r="AQ487" s="115"/>
      <c r="AR487" s="115"/>
      <c r="AS487" s="115"/>
      <c r="AT487" s="25"/>
      <c r="AU487" s="13"/>
      <c r="AZ487" s="116"/>
      <c r="BA487" s="123"/>
      <c r="BB487" s="123"/>
      <c r="BC487" s="123"/>
      <c r="BH487" s="115"/>
      <c r="BI487" s="115"/>
      <c r="BJ487" s="115"/>
      <c r="BK487" s="115"/>
      <c r="BL487" s="115"/>
      <c r="BM487" s="115"/>
      <c r="BN487" s="115"/>
      <c r="BO487" s="115"/>
      <c r="BP487" s="115"/>
      <c r="BQ487" s="115"/>
      <c r="BR487" s="25"/>
      <c r="BS487" s="13"/>
      <c r="BV487" s="114"/>
    </row>
    <row r="488" spans="1:74" ht="20.100000000000001" customHeight="1" x14ac:dyDescent="0.4">
      <c r="A488" s="117"/>
      <c r="B488" s="123"/>
      <c r="C488" s="123"/>
      <c r="D488" s="123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27"/>
      <c r="AJ488" s="29"/>
      <c r="AN488" s="115"/>
      <c r="AO488" s="115"/>
      <c r="AP488" s="115"/>
      <c r="AQ488" s="115"/>
      <c r="AR488" s="115"/>
      <c r="AS488" s="115"/>
      <c r="AT488" s="25"/>
      <c r="AU488" s="13"/>
      <c r="AZ488" s="116"/>
      <c r="BA488" s="123"/>
      <c r="BB488" s="123"/>
      <c r="BC488" s="123"/>
      <c r="BH488" s="115"/>
      <c r="BI488" s="115"/>
      <c r="BJ488" s="115"/>
      <c r="BK488" s="115"/>
      <c r="BL488" s="115"/>
      <c r="BM488" s="115"/>
      <c r="BN488" s="115"/>
      <c r="BO488" s="115"/>
      <c r="BP488" s="115"/>
      <c r="BQ488" s="115"/>
      <c r="BR488" s="25"/>
      <c r="BS488" s="13"/>
      <c r="BV488" s="114"/>
    </row>
    <row r="489" spans="1:74" ht="20.100000000000001" customHeight="1" x14ac:dyDescent="0.4">
      <c r="A489" s="117"/>
      <c r="B489" s="123"/>
      <c r="C489" s="123"/>
      <c r="D489" s="123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27"/>
      <c r="AJ489" s="29"/>
      <c r="AN489" s="115"/>
      <c r="AO489" s="115"/>
      <c r="AP489" s="115"/>
      <c r="AQ489" s="115"/>
      <c r="AR489" s="115"/>
      <c r="AS489" s="115"/>
      <c r="AT489" s="25"/>
      <c r="AU489" s="13"/>
      <c r="AZ489" s="116"/>
      <c r="BA489" s="123"/>
      <c r="BB489" s="123"/>
      <c r="BC489" s="123"/>
      <c r="BH489" s="115"/>
      <c r="BI489" s="115"/>
      <c r="BJ489" s="115"/>
      <c r="BK489" s="115"/>
      <c r="BL489" s="115"/>
      <c r="BM489" s="115"/>
      <c r="BN489" s="115"/>
      <c r="BO489" s="115"/>
      <c r="BP489" s="115"/>
      <c r="BQ489" s="115"/>
      <c r="BR489" s="25"/>
      <c r="BS489" s="13"/>
      <c r="BV489" s="114"/>
    </row>
    <row r="490" spans="1:74" ht="20.100000000000001" customHeight="1" x14ac:dyDescent="0.4">
      <c r="A490" s="117"/>
      <c r="B490" s="123"/>
      <c r="C490" s="123"/>
      <c r="D490" s="123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27"/>
      <c r="AJ490" s="29"/>
      <c r="AN490" s="115"/>
      <c r="AO490" s="115"/>
      <c r="AP490" s="115"/>
      <c r="AQ490" s="115"/>
      <c r="AR490" s="115"/>
      <c r="AS490" s="115"/>
      <c r="AT490" s="25"/>
      <c r="AU490" s="13"/>
      <c r="AZ490" s="116"/>
      <c r="BA490" s="123"/>
      <c r="BB490" s="123"/>
      <c r="BC490" s="123"/>
      <c r="BH490" s="115"/>
      <c r="BI490" s="115"/>
      <c r="BJ490" s="115"/>
      <c r="BK490" s="115"/>
      <c r="BL490" s="115"/>
      <c r="BM490" s="115"/>
      <c r="BN490" s="115"/>
      <c r="BO490" s="115"/>
      <c r="BP490" s="115"/>
      <c r="BQ490" s="115"/>
      <c r="BR490" s="25"/>
      <c r="BS490" s="13"/>
      <c r="BV490" s="114"/>
    </row>
    <row r="491" spans="1:74" ht="20.100000000000001" customHeight="1" x14ac:dyDescent="0.4">
      <c r="A491" s="117"/>
      <c r="B491" s="123"/>
      <c r="C491" s="123"/>
      <c r="D491" s="123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29"/>
      <c r="AJ491" s="29"/>
      <c r="AN491" s="115"/>
      <c r="AO491" s="115"/>
      <c r="AP491" s="115"/>
      <c r="AQ491" s="115"/>
      <c r="AR491" s="115"/>
      <c r="AS491" s="115"/>
      <c r="AT491" s="25"/>
      <c r="AU491" s="13"/>
      <c r="AZ491" s="116"/>
      <c r="BA491" s="123"/>
      <c r="BB491" s="123"/>
      <c r="BC491" s="123"/>
      <c r="BH491" s="115"/>
      <c r="BI491" s="115"/>
      <c r="BJ491" s="115"/>
      <c r="BK491" s="115"/>
      <c r="BL491" s="115"/>
      <c r="BM491" s="115"/>
      <c r="BN491" s="115"/>
      <c r="BO491" s="115"/>
      <c r="BP491" s="115"/>
      <c r="BQ491" s="115"/>
      <c r="BR491" s="25"/>
      <c r="BS491" s="13"/>
      <c r="BV491" s="114"/>
    </row>
    <row r="492" spans="1:74" ht="20.100000000000001" customHeight="1" x14ac:dyDescent="0.4">
      <c r="A492" s="117"/>
      <c r="B492" s="123"/>
      <c r="C492" s="123"/>
      <c r="D492" s="123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27"/>
      <c r="AJ492" s="29"/>
      <c r="AN492" s="115"/>
      <c r="AO492" s="115"/>
      <c r="AP492" s="115"/>
      <c r="AQ492" s="115"/>
      <c r="AR492" s="115"/>
      <c r="AS492" s="115"/>
      <c r="AT492" s="25"/>
      <c r="AU492" s="13"/>
      <c r="AZ492" s="116"/>
      <c r="BA492" s="123"/>
      <c r="BB492" s="123"/>
      <c r="BC492" s="123"/>
      <c r="BH492" s="115"/>
      <c r="BI492" s="115"/>
      <c r="BJ492" s="115"/>
      <c r="BK492" s="115"/>
      <c r="BL492" s="115"/>
      <c r="BM492" s="115"/>
      <c r="BN492" s="115"/>
      <c r="BO492" s="115"/>
      <c r="BP492" s="115"/>
      <c r="BQ492" s="115"/>
      <c r="BR492" s="25"/>
      <c r="BS492" s="13"/>
      <c r="BV492" s="114"/>
    </row>
    <row r="493" spans="1:74" ht="20.100000000000001" customHeight="1" x14ac:dyDescent="0.4">
      <c r="A493" s="117"/>
      <c r="B493" s="123"/>
      <c r="C493" s="123"/>
      <c r="D493" s="123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27"/>
      <c r="AJ493" s="29"/>
      <c r="AN493" s="115"/>
      <c r="AO493" s="115"/>
      <c r="AP493" s="115"/>
      <c r="AQ493" s="115"/>
      <c r="AR493" s="115"/>
      <c r="AS493" s="115"/>
      <c r="AT493" s="25"/>
      <c r="AU493" s="13"/>
      <c r="AZ493" s="116"/>
      <c r="BA493" s="123"/>
      <c r="BB493" s="123"/>
      <c r="BC493" s="123"/>
      <c r="BH493" s="115"/>
      <c r="BI493" s="115"/>
      <c r="BJ493" s="115"/>
      <c r="BK493" s="115"/>
      <c r="BL493" s="115"/>
      <c r="BM493" s="115"/>
      <c r="BN493" s="115"/>
      <c r="BO493" s="115"/>
      <c r="BP493" s="115"/>
      <c r="BQ493" s="115"/>
      <c r="BR493" s="25"/>
      <c r="BS493" s="13"/>
      <c r="BV493" s="114"/>
    </row>
    <row r="494" spans="1:74" ht="20.100000000000001" customHeight="1" x14ac:dyDescent="0.4">
      <c r="A494" s="117"/>
      <c r="B494" s="123"/>
      <c r="C494" s="123"/>
      <c r="D494" s="123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29"/>
      <c r="AJ494" s="29"/>
      <c r="AN494" s="115"/>
      <c r="AO494" s="115"/>
      <c r="AP494" s="115"/>
      <c r="AQ494" s="115"/>
      <c r="AR494" s="115"/>
      <c r="AS494" s="115"/>
      <c r="AT494" s="25"/>
      <c r="AU494" s="13"/>
      <c r="AZ494" s="116"/>
      <c r="BA494" s="123"/>
      <c r="BB494" s="123"/>
      <c r="BC494" s="123"/>
      <c r="BH494" s="115"/>
      <c r="BI494" s="115"/>
      <c r="BJ494" s="115"/>
      <c r="BK494" s="115"/>
      <c r="BL494" s="115"/>
      <c r="BM494" s="115"/>
      <c r="BN494" s="115"/>
      <c r="BO494" s="115"/>
      <c r="BP494" s="115"/>
      <c r="BQ494" s="115"/>
      <c r="BR494" s="25"/>
      <c r="BS494" s="13"/>
      <c r="BV494" s="114"/>
    </row>
    <row r="495" spans="1:74" ht="20.100000000000001" customHeight="1" x14ac:dyDescent="0.4">
      <c r="A495" s="117"/>
      <c r="B495" s="123"/>
      <c r="C495" s="123"/>
      <c r="D495" s="123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27"/>
      <c r="AJ495" s="29"/>
      <c r="AN495" s="115"/>
      <c r="AO495" s="115"/>
      <c r="AP495" s="115"/>
      <c r="AQ495" s="115"/>
      <c r="AR495" s="115"/>
      <c r="AS495" s="115"/>
      <c r="AT495" s="25"/>
      <c r="AU495" s="13"/>
      <c r="AZ495" s="116"/>
      <c r="BA495" s="123"/>
      <c r="BB495" s="123"/>
      <c r="BC495" s="123"/>
      <c r="BH495" s="115"/>
      <c r="BI495" s="115"/>
      <c r="BJ495" s="115"/>
      <c r="BK495" s="115"/>
      <c r="BL495" s="115"/>
      <c r="BM495" s="115"/>
      <c r="BN495" s="115"/>
      <c r="BO495" s="115"/>
      <c r="BP495" s="115"/>
      <c r="BQ495" s="115"/>
      <c r="BR495" s="25"/>
      <c r="BS495" s="13"/>
      <c r="BV495" s="114"/>
    </row>
    <row r="496" spans="1:74" ht="20.100000000000001" customHeight="1" x14ac:dyDescent="0.4">
      <c r="A496" s="117"/>
      <c r="B496" s="123"/>
      <c r="C496" s="123"/>
      <c r="D496" s="123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29"/>
      <c r="AJ496" s="29"/>
      <c r="AN496" s="115"/>
      <c r="AO496" s="115"/>
      <c r="AP496" s="115"/>
      <c r="AQ496" s="115"/>
      <c r="AR496" s="115"/>
      <c r="AS496" s="115"/>
      <c r="AT496" s="25"/>
      <c r="AU496" s="13"/>
      <c r="AZ496" s="116"/>
      <c r="BA496" s="123"/>
      <c r="BB496" s="123"/>
      <c r="BC496" s="123"/>
      <c r="BH496" s="115"/>
      <c r="BI496" s="115"/>
      <c r="BJ496" s="115"/>
      <c r="BK496" s="115"/>
      <c r="BL496" s="115"/>
      <c r="BM496" s="115"/>
      <c r="BN496" s="115"/>
      <c r="BO496" s="115"/>
      <c r="BP496" s="115"/>
      <c r="BQ496" s="115"/>
      <c r="BR496" s="25"/>
      <c r="BS496" s="13"/>
      <c r="BV496" s="114"/>
    </row>
    <row r="497" spans="1:74" ht="20.100000000000001" customHeight="1" x14ac:dyDescent="0.4">
      <c r="A497" s="117"/>
      <c r="B497" s="123"/>
      <c r="C497" s="123"/>
      <c r="D497" s="123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29"/>
      <c r="AJ497" s="29"/>
      <c r="AN497" s="115"/>
      <c r="AO497" s="115"/>
      <c r="AP497" s="115"/>
      <c r="AQ497" s="115"/>
      <c r="AR497" s="115"/>
      <c r="AS497" s="115"/>
      <c r="AT497" s="25"/>
      <c r="AU497" s="13"/>
      <c r="AZ497" s="116"/>
      <c r="BA497" s="123"/>
      <c r="BB497" s="123"/>
      <c r="BC497" s="123"/>
      <c r="BH497" s="115"/>
      <c r="BI497" s="115"/>
      <c r="BJ497" s="115"/>
      <c r="BK497" s="115"/>
      <c r="BL497" s="115"/>
      <c r="BM497" s="115"/>
      <c r="BN497" s="115"/>
      <c r="BO497" s="115"/>
      <c r="BP497" s="115"/>
      <c r="BQ497" s="115"/>
      <c r="BR497" s="25"/>
      <c r="BS497" s="13"/>
      <c r="BV497" s="114"/>
    </row>
    <row r="498" spans="1:74" ht="20.100000000000001" customHeight="1" x14ac:dyDescent="0.4">
      <c r="A498" s="117"/>
      <c r="B498" s="123"/>
      <c r="C498" s="123"/>
      <c r="D498" s="123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27"/>
      <c r="AJ498" s="29"/>
      <c r="AN498" s="115"/>
      <c r="AO498" s="115"/>
      <c r="AP498" s="115"/>
      <c r="AQ498" s="115"/>
      <c r="AR498" s="115"/>
      <c r="AS498" s="115"/>
      <c r="AT498" s="25"/>
      <c r="AU498" s="13"/>
      <c r="AZ498" s="116"/>
      <c r="BA498" s="123"/>
      <c r="BB498" s="123"/>
      <c r="BC498" s="123"/>
      <c r="BH498" s="115"/>
      <c r="BI498" s="115"/>
      <c r="BJ498" s="115"/>
      <c r="BK498" s="115"/>
      <c r="BL498" s="115"/>
      <c r="BM498" s="115"/>
      <c r="BN498" s="115"/>
      <c r="BO498" s="115"/>
      <c r="BP498" s="115"/>
      <c r="BQ498" s="115"/>
      <c r="BR498" s="25"/>
      <c r="BS498" s="13"/>
      <c r="BV498" s="114"/>
    </row>
    <row r="499" spans="1:74" ht="20.100000000000001" customHeight="1" x14ac:dyDescent="0.4">
      <c r="A499" s="117"/>
      <c r="B499" s="123"/>
      <c r="C499" s="123"/>
      <c r="D499" s="123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29"/>
      <c r="AJ499" s="29"/>
      <c r="AN499" s="115"/>
      <c r="AO499" s="115"/>
      <c r="AP499" s="115"/>
      <c r="AQ499" s="115"/>
      <c r="AR499" s="115"/>
      <c r="AS499" s="115"/>
      <c r="AT499" s="25"/>
      <c r="AU499" s="13"/>
      <c r="AZ499" s="116"/>
      <c r="BA499" s="123"/>
      <c r="BB499" s="123"/>
      <c r="BC499" s="123"/>
      <c r="BH499" s="115"/>
      <c r="BI499" s="115"/>
      <c r="BJ499" s="115"/>
      <c r="BK499" s="115"/>
      <c r="BL499" s="115"/>
      <c r="BM499" s="115"/>
      <c r="BN499" s="115"/>
      <c r="BO499" s="115"/>
      <c r="BP499" s="115"/>
      <c r="BQ499" s="115"/>
      <c r="BR499" s="25"/>
      <c r="BS499" s="13"/>
      <c r="BV499" s="114"/>
    </row>
    <row r="500" spans="1:74" ht="20.100000000000001" customHeight="1" x14ac:dyDescent="0.4">
      <c r="A500" s="117"/>
      <c r="B500" s="123"/>
      <c r="C500" s="123"/>
      <c r="D500" s="123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27"/>
      <c r="AJ500" s="29"/>
      <c r="AN500" s="115"/>
      <c r="AO500" s="115"/>
      <c r="AP500" s="115"/>
      <c r="AQ500" s="115"/>
      <c r="AR500" s="115"/>
      <c r="AS500" s="115"/>
      <c r="AT500" s="25"/>
      <c r="AU500" s="13"/>
      <c r="AZ500" s="116"/>
      <c r="BA500" s="123"/>
      <c r="BB500" s="123"/>
      <c r="BC500" s="123"/>
      <c r="BH500" s="115"/>
      <c r="BI500" s="115"/>
      <c r="BJ500" s="115"/>
      <c r="BK500" s="115"/>
      <c r="BL500" s="115"/>
      <c r="BM500" s="115"/>
      <c r="BN500" s="115"/>
      <c r="BO500" s="115"/>
      <c r="BP500" s="115"/>
      <c r="BQ500" s="115"/>
      <c r="BR500" s="25"/>
      <c r="BS500" s="13"/>
      <c r="BV500" s="114"/>
    </row>
    <row r="501" spans="1:74" ht="20.100000000000001" customHeight="1" x14ac:dyDescent="0.4">
      <c r="A501" s="117"/>
      <c r="B501" s="123"/>
      <c r="C501" s="123"/>
      <c r="D501" s="123"/>
      <c r="AI501" s="127"/>
      <c r="AJ501" s="127"/>
      <c r="AN501" s="115"/>
      <c r="AO501" s="115"/>
      <c r="AP501" s="115"/>
      <c r="AQ501" s="115"/>
      <c r="AR501" s="115"/>
      <c r="AS501" s="115"/>
      <c r="AT501" s="25">
        <v>45672</v>
      </c>
      <c r="AU501" s="13" t="s">
        <v>146</v>
      </c>
      <c r="AZ501" s="116"/>
      <c r="BA501" s="123"/>
      <c r="BB501" s="123"/>
      <c r="BC501" s="123"/>
      <c r="BH501" s="115"/>
      <c r="BI501" s="115"/>
      <c r="BJ501" s="115"/>
      <c r="BK501" s="115"/>
      <c r="BL501" s="115"/>
      <c r="BM501" s="115"/>
      <c r="BN501" s="115"/>
      <c r="BO501" s="115"/>
      <c r="BP501" s="115"/>
      <c r="BQ501" s="115"/>
      <c r="BR501" s="25"/>
      <c r="BS501" s="13"/>
      <c r="BV501" s="114"/>
    </row>
    <row r="502" spans="1:74" ht="20.100000000000001" customHeight="1" x14ac:dyDescent="0.4">
      <c r="A502" s="117"/>
      <c r="B502" s="123"/>
      <c r="C502" s="123"/>
      <c r="D502" s="123"/>
      <c r="AD502" s="115"/>
      <c r="AE502" s="115"/>
      <c r="AF502" s="115"/>
      <c r="AG502" s="115"/>
      <c r="AH502" s="115"/>
      <c r="AI502" s="29"/>
      <c r="AJ502" s="29"/>
      <c r="AN502" s="115"/>
      <c r="AO502" s="115"/>
      <c r="AP502" s="115"/>
      <c r="AQ502" s="115"/>
      <c r="AR502" s="115"/>
      <c r="AS502" s="115"/>
      <c r="AT502" s="25"/>
      <c r="AU502" s="13"/>
      <c r="AZ502" s="116"/>
      <c r="BA502" s="123"/>
      <c r="BB502" s="123"/>
      <c r="BC502" s="123"/>
      <c r="BH502" s="115"/>
      <c r="BI502" s="115"/>
      <c r="BJ502" s="115"/>
      <c r="BK502" s="115"/>
      <c r="BL502" s="115"/>
      <c r="BM502" s="115"/>
      <c r="BN502" s="115"/>
      <c r="BO502" s="115"/>
      <c r="BP502" s="115"/>
      <c r="BQ502" s="115"/>
      <c r="BR502" s="25"/>
      <c r="BS502" s="13"/>
      <c r="BV502" s="114"/>
    </row>
    <row r="503" spans="1:74" ht="20.100000000000001" customHeight="1" x14ac:dyDescent="0.4">
      <c r="A503" s="117"/>
      <c r="B503" s="123"/>
      <c r="C503" s="123"/>
      <c r="D503" s="123"/>
      <c r="AA503" s="115"/>
      <c r="AB503" s="115"/>
      <c r="AC503" s="115"/>
      <c r="AD503" s="115"/>
      <c r="AE503" s="115"/>
      <c r="AF503" s="115"/>
      <c r="AG503" s="115"/>
      <c r="AH503" s="115"/>
      <c r="AI503" s="127"/>
      <c r="AJ503" s="29"/>
      <c r="AN503" s="115"/>
      <c r="AO503" s="115"/>
      <c r="AP503" s="115"/>
      <c r="AQ503" s="115"/>
      <c r="AR503" s="115"/>
      <c r="AS503" s="115"/>
      <c r="AT503" s="25"/>
      <c r="AU503" s="13"/>
      <c r="AZ503" s="116"/>
      <c r="BA503" s="123"/>
      <c r="BB503" s="123"/>
      <c r="BC503" s="123"/>
      <c r="BH503" s="115"/>
      <c r="BI503" s="115"/>
      <c r="BJ503" s="115"/>
      <c r="BK503" s="115"/>
      <c r="BL503" s="115"/>
      <c r="BM503" s="115"/>
      <c r="BN503" s="115"/>
      <c r="BO503" s="115"/>
      <c r="BP503" s="115"/>
      <c r="BQ503" s="115"/>
      <c r="BR503" s="25"/>
      <c r="BS503" s="13"/>
      <c r="BV503" s="114"/>
    </row>
    <row r="504" spans="1:74" ht="20.100000000000001" customHeight="1" x14ac:dyDescent="0.4">
      <c r="A504" s="117"/>
      <c r="B504" s="123"/>
      <c r="C504" s="123"/>
      <c r="D504" s="123"/>
      <c r="AA504" s="115"/>
      <c r="AB504" s="115"/>
      <c r="AC504" s="115"/>
      <c r="AD504" s="115"/>
      <c r="AE504" s="115"/>
      <c r="AF504" s="115"/>
      <c r="AG504" s="115"/>
      <c r="AH504" s="115"/>
      <c r="AI504" s="29"/>
      <c r="AJ504" s="29"/>
      <c r="AN504" s="115"/>
      <c r="AO504" s="115"/>
      <c r="AP504" s="115"/>
      <c r="AQ504" s="115"/>
      <c r="AR504" s="115"/>
      <c r="AS504" s="115"/>
      <c r="AT504" s="25"/>
      <c r="AU504" s="13"/>
      <c r="AZ504" s="116"/>
      <c r="BA504" s="123"/>
      <c r="BB504" s="123"/>
      <c r="BC504" s="123"/>
      <c r="BH504" s="115"/>
      <c r="BI504" s="115"/>
      <c r="BJ504" s="115"/>
      <c r="BK504" s="115"/>
      <c r="BL504" s="115"/>
      <c r="BM504" s="115"/>
      <c r="BN504" s="115"/>
      <c r="BO504" s="115"/>
      <c r="BP504" s="115"/>
      <c r="BQ504" s="115"/>
      <c r="BR504" s="25"/>
      <c r="BS504" s="13"/>
      <c r="BV504" s="114"/>
    </row>
    <row r="505" spans="1:74" ht="20.100000000000001" customHeight="1" x14ac:dyDescent="0.4">
      <c r="A505" s="117"/>
      <c r="B505" s="123"/>
      <c r="C505" s="123"/>
      <c r="D505" s="123"/>
      <c r="Z505" s="115"/>
      <c r="AA505" s="115"/>
      <c r="AB505" s="115"/>
      <c r="AC505" s="115"/>
      <c r="AD505" s="115"/>
      <c r="AE505" s="115"/>
      <c r="AF505" s="115"/>
      <c r="AG505" s="115"/>
      <c r="AH505" s="115"/>
      <c r="AI505" s="127"/>
      <c r="AJ505" s="29"/>
      <c r="AN505" s="115"/>
      <c r="AO505" s="115"/>
      <c r="AP505" s="115"/>
      <c r="AQ505" s="115"/>
      <c r="AR505" s="115"/>
      <c r="AS505" s="115"/>
      <c r="AT505" s="25"/>
      <c r="AU505" s="13"/>
      <c r="AZ505" s="116"/>
      <c r="BA505" s="123"/>
      <c r="BB505" s="123"/>
      <c r="BC505" s="123"/>
      <c r="BH505" s="115"/>
      <c r="BI505" s="115"/>
      <c r="BJ505" s="115"/>
      <c r="BK505" s="115"/>
      <c r="BL505" s="115"/>
      <c r="BM505" s="115"/>
      <c r="BN505" s="115"/>
      <c r="BO505" s="115"/>
      <c r="BP505" s="115"/>
      <c r="BQ505" s="115"/>
      <c r="BR505" s="25"/>
      <c r="BS505" s="13"/>
      <c r="BV505" s="114"/>
    </row>
    <row r="506" spans="1:74" ht="20.100000000000001" customHeight="1" x14ac:dyDescent="0.4">
      <c r="A506" s="117"/>
      <c r="B506" s="123"/>
      <c r="C506" s="123"/>
      <c r="D506" s="123"/>
      <c r="AI506" s="127"/>
      <c r="AJ506" s="29"/>
      <c r="AN506" s="115"/>
      <c r="AO506" s="115"/>
      <c r="AP506" s="115"/>
      <c r="AQ506" s="115"/>
      <c r="AR506" s="115"/>
      <c r="AS506" s="115"/>
      <c r="AT506" s="25">
        <v>45672</v>
      </c>
      <c r="AU506" s="13" t="s">
        <v>146</v>
      </c>
      <c r="AZ506" s="116"/>
      <c r="BA506" s="123"/>
      <c r="BB506" s="123"/>
      <c r="BC506" s="123"/>
      <c r="BH506" s="115"/>
      <c r="BI506" s="115"/>
      <c r="BJ506" s="115"/>
      <c r="BK506" s="115"/>
      <c r="BL506" s="115"/>
      <c r="BM506" s="115"/>
      <c r="BN506" s="115"/>
      <c r="BO506" s="115"/>
      <c r="BP506" s="115"/>
      <c r="BQ506" s="115"/>
      <c r="BR506" s="25"/>
      <c r="BS506" s="13"/>
      <c r="BV506" s="114"/>
    </row>
    <row r="507" spans="1:74" ht="20.100000000000001" customHeight="1" x14ac:dyDescent="0.4">
      <c r="A507" s="117"/>
      <c r="B507" s="123"/>
      <c r="C507" s="123"/>
      <c r="D507" s="123"/>
      <c r="AI507" s="127"/>
      <c r="AJ507" s="29"/>
      <c r="AN507" s="115"/>
      <c r="AO507" s="115"/>
      <c r="AP507" s="115"/>
      <c r="AQ507" s="115"/>
      <c r="AR507" s="115"/>
      <c r="AS507" s="115"/>
      <c r="AT507" s="25"/>
      <c r="AU507" s="13"/>
      <c r="AZ507" s="116"/>
      <c r="BA507" s="123"/>
      <c r="BB507" s="123"/>
      <c r="BC507" s="123"/>
      <c r="BH507" s="115"/>
      <c r="BI507" s="115"/>
      <c r="BJ507" s="115"/>
      <c r="BK507" s="115"/>
      <c r="BL507" s="115"/>
      <c r="BM507" s="115"/>
      <c r="BN507" s="115"/>
      <c r="BO507" s="115"/>
      <c r="BP507" s="115"/>
      <c r="BQ507" s="115"/>
      <c r="BR507" s="25"/>
      <c r="BS507" s="13"/>
      <c r="BV507" s="114"/>
    </row>
    <row r="508" spans="1:74" ht="20.100000000000001" customHeight="1" x14ac:dyDescent="0.4">
      <c r="A508" s="117"/>
      <c r="B508" s="123"/>
      <c r="C508" s="123"/>
      <c r="D508" s="123"/>
      <c r="AD508" s="115"/>
      <c r="AE508" s="115"/>
      <c r="AF508" s="115"/>
      <c r="AG508" s="115"/>
      <c r="AH508" s="115"/>
      <c r="AI508" s="29"/>
      <c r="AJ508" s="29"/>
      <c r="AN508" s="115"/>
      <c r="AO508" s="115"/>
      <c r="AP508" s="115"/>
      <c r="AQ508" s="115"/>
      <c r="AR508" s="115"/>
      <c r="AS508" s="115"/>
      <c r="AT508" s="25"/>
      <c r="AU508" s="13"/>
      <c r="AZ508" s="116"/>
      <c r="BA508" s="123"/>
      <c r="BB508" s="123"/>
      <c r="BC508" s="123"/>
      <c r="BH508" s="115"/>
      <c r="BI508" s="115"/>
      <c r="BJ508" s="115"/>
      <c r="BK508" s="115"/>
      <c r="BL508" s="115"/>
      <c r="BM508" s="115"/>
      <c r="BN508" s="115"/>
      <c r="BO508" s="115"/>
      <c r="BP508" s="115"/>
      <c r="BQ508" s="115"/>
      <c r="BR508" s="25"/>
      <c r="BS508" s="13"/>
      <c r="BV508" s="114"/>
    </row>
    <row r="509" spans="1:74" ht="20.100000000000001" customHeight="1" x14ac:dyDescent="0.4">
      <c r="A509" s="117"/>
      <c r="B509" s="123"/>
      <c r="C509" s="123"/>
      <c r="D509" s="123"/>
      <c r="AI509" s="127"/>
      <c r="AJ509" s="29"/>
      <c r="AN509" s="115"/>
      <c r="AO509" s="115"/>
      <c r="AP509" s="115"/>
      <c r="AQ509" s="115"/>
      <c r="AR509" s="115"/>
      <c r="AS509" s="115"/>
      <c r="AT509" s="25">
        <v>45672</v>
      </c>
      <c r="AU509" s="25" t="s">
        <v>147</v>
      </c>
      <c r="AZ509" s="116"/>
      <c r="BA509" s="123"/>
      <c r="BB509" s="123"/>
      <c r="BC509" s="123"/>
      <c r="BH509" s="115"/>
      <c r="BI509" s="115"/>
      <c r="BJ509" s="115"/>
      <c r="BK509" s="115"/>
      <c r="BL509" s="115"/>
      <c r="BM509" s="115"/>
      <c r="BN509" s="115"/>
      <c r="BO509" s="115"/>
      <c r="BP509" s="115"/>
      <c r="BQ509" s="115"/>
      <c r="BR509" s="25"/>
      <c r="BS509" s="13"/>
      <c r="BV509" s="114"/>
    </row>
    <row r="510" spans="1:74" ht="20.100000000000001" customHeight="1" x14ac:dyDescent="0.4">
      <c r="A510" s="117"/>
      <c r="B510" s="123"/>
      <c r="C510" s="123"/>
      <c r="D510" s="123"/>
      <c r="AI510" s="127"/>
      <c r="AJ510" s="29"/>
      <c r="AN510" s="115"/>
      <c r="AO510" s="115"/>
      <c r="AP510" s="115"/>
      <c r="AQ510" s="115"/>
      <c r="AR510" s="115"/>
      <c r="AS510" s="115"/>
      <c r="AT510" s="25"/>
      <c r="AU510" s="25"/>
      <c r="AZ510" s="116"/>
      <c r="BA510" s="123"/>
      <c r="BB510" s="123"/>
      <c r="BC510" s="123"/>
      <c r="BH510" s="115"/>
      <c r="BI510" s="115"/>
      <c r="BJ510" s="115"/>
      <c r="BK510" s="115"/>
      <c r="BL510" s="115"/>
      <c r="BM510" s="115"/>
      <c r="BN510" s="115"/>
      <c r="BO510" s="115"/>
      <c r="BP510" s="115"/>
      <c r="BQ510" s="115"/>
      <c r="BR510" s="25"/>
      <c r="BS510" s="13"/>
      <c r="BV510" s="114"/>
    </row>
    <row r="511" spans="1:74" ht="20.100000000000001" customHeight="1" x14ac:dyDescent="0.4">
      <c r="A511" s="117"/>
      <c r="B511" s="123"/>
      <c r="C511" s="123"/>
      <c r="D511" s="123"/>
      <c r="AD511" s="115"/>
      <c r="AE511" s="115"/>
      <c r="AF511" s="115"/>
      <c r="AG511" s="115"/>
      <c r="AH511" s="115"/>
      <c r="AI511" s="29"/>
      <c r="AJ511" s="29"/>
      <c r="AN511" s="115"/>
      <c r="AO511" s="115"/>
      <c r="AP511" s="115"/>
      <c r="AQ511" s="115"/>
      <c r="AR511" s="115"/>
      <c r="AS511" s="115"/>
      <c r="AT511" s="25"/>
      <c r="AU511" s="25"/>
      <c r="AZ511" s="116"/>
      <c r="BA511" s="123"/>
      <c r="BB511" s="123"/>
      <c r="BC511" s="123"/>
      <c r="BH511" s="115"/>
      <c r="BI511" s="115"/>
      <c r="BJ511" s="115"/>
      <c r="BK511" s="115"/>
      <c r="BL511" s="115"/>
      <c r="BM511" s="115"/>
      <c r="BN511" s="115"/>
      <c r="BO511" s="115"/>
      <c r="BP511" s="115"/>
      <c r="BQ511" s="115"/>
      <c r="BR511" s="25"/>
      <c r="BS511" s="13"/>
      <c r="BV511" s="114"/>
    </row>
    <row r="512" spans="1:74" ht="20.100000000000001" customHeight="1" x14ac:dyDescent="0.4">
      <c r="A512" s="117"/>
      <c r="B512" s="123"/>
      <c r="C512" s="123"/>
      <c r="D512" s="123"/>
      <c r="AD512" s="115"/>
      <c r="AE512" s="115"/>
      <c r="AF512" s="115"/>
      <c r="AG512" s="115"/>
      <c r="AH512" s="115"/>
      <c r="AI512" s="29"/>
      <c r="AJ512" s="29"/>
      <c r="AN512" s="115"/>
      <c r="AO512" s="115"/>
      <c r="AP512" s="115"/>
      <c r="AQ512" s="115"/>
      <c r="AR512" s="115"/>
      <c r="AS512" s="115"/>
      <c r="AT512" s="25"/>
      <c r="AU512" s="25"/>
      <c r="AZ512" s="116"/>
      <c r="BA512" s="123"/>
      <c r="BB512" s="123"/>
      <c r="BC512" s="123"/>
      <c r="BH512" s="115"/>
      <c r="BI512" s="115"/>
      <c r="BJ512" s="115"/>
      <c r="BK512" s="115"/>
      <c r="BL512" s="115"/>
      <c r="BM512" s="115"/>
      <c r="BN512" s="115"/>
      <c r="BO512" s="115"/>
      <c r="BP512" s="115"/>
      <c r="BQ512" s="115"/>
      <c r="BR512" s="25"/>
      <c r="BS512" s="13"/>
      <c r="BV512" s="114"/>
    </row>
    <row r="513" spans="1:74" ht="20.100000000000001" customHeight="1" x14ac:dyDescent="0.4">
      <c r="A513" s="117"/>
      <c r="B513" s="123"/>
      <c r="C513" s="123"/>
      <c r="D513" s="123"/>
      <c r="AA513" s="115"/>
      <c r="AB513" s="115"/>
      <c r="AC513" s="115"/>
      <c r="AD513" s="115"/>
      <c r="AE513" s="115"/>
      <c r="AF513" s="115"/>
      <c r="AG513" s="115"/>
      <c r="AH513" s="115"/>
      <c r="AI513" s="127"/>
      <c r="AJ513" s="29"/>
      <c r="AN513" s="115"/>
      <c r="AO513" s="115"/>
      <c r="AP513" s="115"/>
      <c r="AQ513" s="115"/>
      <c r="AR513" s="115"/>
      <c r="AS513" s="115"/>
      <c r="AT513" s="25"/>
      <c r="AU513" s="25"/>
      <c r="AZ513" s="116"/>
      <c r="BA513" s="123"/>
      <c r="BB513" s="123"/>
      <c r="BC513" s="123"/>
      <c r="BH513" s="115"/>
      <c r="BI513" s="115"/>
      <c r="BJ513" s="115"/>
      <c r="BK513" s="115"/>
      <c r="BL513" s="115"/>
      <c r="BM513" s="115"/>
      <c r="BN513" s="115"/>
      <c r="BO513" s="115"/>
      <c r="BP513" s="115"/>
      <c r="BQ513" s="115"/>
      <c r="BR513" s="25"/>
      <c r="BS513" s="13"/>
      <c r="BV513" s="114"/>
    </row>
    <row r="514" spans="1:74" ht="20.100000000000001" customHeight="1" x14ac:dyDescent="0.4">
      <c r="A514" s="117"/>
      <c r="B514" s="123"/>
      <c r="C514" s="123"/>
      <c r="D514" s="123"/>
      <c r="AA514" s="115"/>
      <c r="AB514" s="115"/>
      <c r="AC514" s="115"/>
      <c r="AD514" s="115"/>
      <c r="AE514" s="115"/>
      <c r="AF514" s="115"/>
      <c r="AG514" s="115"/>
      <c r="AH514" s="115"/>
      <c r="AI514" s="29"/>
      <c r="AJ514" s="29"/>
      <c r="AN514" s="115"/>
      <c r="AO514" s="115"/>
      <c r="AP514" s="115"/>
      <c r="AQ514" s="115"/>
      <c r="AR514" s="115"/>
      <c r="AS514" s="115"/>
      <c r="AT514" s="25"/>
      <c r="AU514" s="25"/>
      <c r="AZ514" s="116"/>
      <c r="BA514" s="123"/>
      <c r="BB514" s="123"/>
      <c r="BC514" s="123"/>
      <c r="BH514" s="115"/>
      <c r="BI514" s="115"/>
      <c r="BJ514" s="115"/>
      <c r="BK514" s="115"/>
      <c r="BL514" s="115"/>
      <c r="BM514" s="115"/>
      <c r="BN514" s="115"/>
      <c r="BO514" s="115"/>
      <c r="BP514" s="115"/>
      <c r="BQ514" s="115"/>
      <c r="BR514" s="25"/>
      <c r="BS514" s="13"/>
      <c r="BV514" s="114"/>
    </row>
    <row r="515" spans="1:74" ht="20.100000000000001" customHeight="1" x14ac:dyDescent="0.4">
      <c r="A515" s="117"/>
      <c r="B515" s="123"/>
      <c r="C515" s="123"/>
      <c r="D515" s="123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27"/>
      <c r="AJ515" s="29"/>
      <c r="AN515" s="115"/>
      <c r="AO515" s="115"/>
      <c r="AP515" s="115"/>
      <c r="AQ515" s="115"/>
      <c r="AR515" s="115"/>
      <c r="AS515" s="115"/>
      <c r="AT515" s="25"/>
      <c r="AU515" s="25"/>
      <c r="AZ515" s="116"/>
      <c r="BA515" s="123"/>
      <c r="BB515" s="123"/>
      <c r="BC515" s="123"/>
      <c r="BH515" s="115"/>
      <c r="BI515" s="115"/>
      <c r="BJ515" s="115"/>
      <c r="BK515" s="115"/>
      <c r="BL515" s="115"/>
      <c r="BM515" s="115"/>
      <c r="BN515" s="115"/>
      <c r="BO515" s="115"/>
      <c r="BP515" s="115"/>
      <c r="BQ515" s="115"/>
      <c r="BR515" s="25"/>
      <c r="BS515" s="13"/>
      <c r="BV515" s="114"/>
    </row>
    <row r="516" spans="1:74" ht="20.100000000000001" customHeight="1" x14ac:dyDescent="0.4">
      <c r="A516" s="117"/>
      <c r="B516" s="123"/>
      <c r="C516" s="123"/>
      <c r="D516" s="123"/>
      <c r="AI516" s="127"/>
      <c r="AJ516" s="29"/>
      <c r="AN516" s="115"/>
      <c r="AO516" s="115"/>
      <c r="AP516" s="115"/>
      <c r="AQ516" s="115"/>
      <c r="AR516" s="115"/>
      <c r="AS516" s="115"/>
      <c r="AT516" s="25">
        <v>45673</v>
      </c>
      <c r="AU516" s="13" t="s">
        <v>147</v>
      </c>
      <c r="AZ516" s="116"/>
      <c r="BA516" s="123"/>
      <c r="BB516" s="123"/>
      <c r="BC516" s="123"/>
      <c r="BH516" s="115"/>
      <c r="BI516" s="115"/>
      <c r="BJ516" s="115"/>
      <c r="BK516" s="115"/>
      <c r="BL516" s="115"/>
      <c r="BM516" s="115"/>
      <c r="BN516" s="115"/>
      <c r="BO516" s="115"/>
      <c r="BP516" s="115"/>
      <c r="BQ516" s="115"/>
      <c r="BR516" s="25"/>
      <c r="BS516" s="13"/>
      <c r="BV516" s="114"/>
    </row>
    <row r="517" spans="1:74" ht="20.100000000000001" customHeight="1" x14ac:dyDescent="0.4">
      <c r="A517" s="117"/>
      <c r="B517" s="123"/>
      <c r="C517" s="123"/>
      <c r="D517" s="123"/>
      <c r="AB517" s="115"/>
      <c r="AC517" s="115"/>
      <c r="AD517" s="115"/>
      <c r="AE517" s="115"/>
      <c r="AF517" s="115"/>
      <c r="AG517" s="115"/>
      <c r="AH517" s="115"/>
      <c r="AI517" s="127"/>
      <c r="AJ517" s="29"/>
      <c r="AN517" s="115"/>
      <c r="AO517" s="115"/>
      <c r="AP517" s="115"/>
      <c r="AQ517" s="115"/>
      <c r="AR517" s="115"/>
      <c r="AS517" s="115"/>
      <c r="AT517" s="25"/>
      <c r="AU517" s="13"/>
      <c r="AZ517" s="116"/>
      <c r="BA517" s="123"/>
      <c r="BB517" s="123"/>
      <c r="BC517" s="123"/>
      <c r="BH517" s="115"/>
      <c r="BI517" s="115"/>
      <c r="BJ517" s="115"/>
      <c r="BK517" s="115"/>
      <c r="BL517" s="115"/>
      <c r="BM517" s="115"/>
      <c r="BN517" s="115"/>
      <c r="BO517" s="115"/>
      <c r="BP517" s="115"/>
      <c r="BQ517" s="115"/>
      <c r="BR517" s="25"/>
      <c r="BS517" s="13"/>
      <c r="BV517" s="114"/>
    </row>
    <row r="518" spans="1:74" ht="20.100000000000001" customHeight="1" x14ac:dyDescent="0.4">
      <c r="A518" s="117"/>
      <c r="B518" s="123"/>
      <c r="C518" s="123"/>
      <c r="D518" s="123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27"/>
      <c r="AJ518" s="29"/>
      <c r="AN518" s="115"/>
      <c r="AO518" s="115"/>
      <c r="AP518" s="115"/>
      <c r="AQ518" s="115"/>
      <c r="AR518" s="115"/>
      <c r="AS518" s="115"/>
      <c r="AT518" s="25"/>
      <c r="AU518" s="13"/>
      <c r="AZ518" s="116"/>
      <c r="BA518" s="123"/>
      <c r="BB518" s="123"/>
      <c r="BC518" s="123"/>
      <c r="BH518" s="115"/>
      <c r="BI518" s="115"/>
      <c r="BJ518" s="115"/>
      <c r="BK518" s="115"/>
      <c r="BL518" s="115"/>
      <c r="BM518" s="115"/>
      <c r="BN518" s="115"/>
      <c r="BO518" s="115"/>
      <c r="BP518" s="115"/>
      <c r="BQ518" s="115"/>
      <c r="BR518" s="25"/>
      <c r="BS518" s="13"/>
      <c r="BV518" s="114"/>
    </row>
    <row r="519" spans="1:74" ht="20.100000000000001" customHeight="1" x14ac:dyDescent="0.4">
      <c r="A519" s="117"/>
      <c r="B519" s="123"/>
      <c r="C519" s="123"/>
      <c r="D519" s="123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29"/>
      <c r="AJ519" s="29"/>
      <c r="AN519" s="115"/>
      <c r="AO519" s="115"/>
      <c r="AP519" s="115"/>
      <c r="AQ519" s="115"/>
      <c r="AR519" s="115"/>
      <c r="AS519" s="115"/>
      <c r="AT519" s="25"/>
      <c r="AU519" s="13"/>
      <c r="AZ519" s="116"/>
      <c r="BA519" s="123"/>
      <c r="BB519" s="123"/>
      <c r="BC519" s="123"/>
      <c r="BH519" s="115"/>
      <c r="BI519" s="115"/>
      <c r="BJ519" s="115"/>
      <c r="BK519" s="115"/>
      <c r="BL519" s="115"/>
      <c r="BM519" s="115"/>
      <c r="BN519" s="115"/>
      <c r="BO519" s="115"/>
      <c r="BP519" s="115"/>
      <c r="BQ519" s="115"/>
      <c r="BR519" s="25"/>
      <c r="BS519" s="13"/>
      <c r="BV519" s="114"/>
    </row>
    <row r="520" spans="1:74" ht="20.100000000000001" customHeight="1" x14ac:dyDescent="0.4">
      <c r="A520" s="117"/>
      <c r="B520" s="123"/>
      <c r="C520" s="123"/>
      <c r="D520" s="123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27"/>
      <c r="AJ520" s="29"/>
      <c r="AN520" s="115"/>
      <c r="AO520" s="115"/>
      <c r="AP520" s="115"/>
      <c r="AQ520" s="115"/>
      <c r="AR520" s="115"/>
      <c r="AS520" s="115"/>
      <c r="AT520" s="25"/>
      <c r="AU520" s="13"/>
      <c r="AZ520" s="116"/>
      <c r="BA520" s="123"/>
      <c r="BB520" s="123"/>
      <c r="BC520" s="123"/>
      <c r="BH520" s="115"/>
      <c r="BI520" s="115"/>
      <c r="BJ520" s="115"/>
      <c r="BK520" s="115"/>
      <c r="BL520" s="115"/>
      <c r="BM520" s="115"/>
      <c r="BN520" s="115"/>
      <c r="BO520" s="115"/>
      <c r="BP520" s="115"/>
      <c r="BQ520" s="115"/>
      <c r="BR520" s="25"/>
      <c r="BS520" s="13"/>
      <c r="BV520" s="114"/>
    </row>
    <row r="521" spans="1:74" ht="20.100000000000001" customHeight="1" x14ac:dyDescent="0.4">
      <c r="A521" s="117"/>
      <c r="B521" s="123"/>
      <c r="C521" s="123"/>
      <c r="D521" s="123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29"/>
      <c r="AJ521" s="29"/>
      <c r="AN521" s="115"/>
      <c r="AO521" s="115"/>
      <c r="AP521" s="115"/>
      <c r="AQ521" s="115"/>
      <c r="AR521" s="115"/>
      <c r="AS521" s="115"/>
      <c r="AT521" s="25"/>
      <c r="AU521" s="13"/>
      <c r="AZ521" s="116"/>
      <c r="BA521" s="123"/>
      <c r="BB521" s="123"/>
      <c r="BC521" s="123"/>
      <c r="BH521" s="115"/>
      <c r="BI521" s="115"/>
      <c r="BJ521" s="115"/>
      <c r="BK521" s="115"/>
      <c r="BL521" s="115"/>
      <c r="BM521" s="115"/>
      <c r="BN521" s="115"/>
      <c r="BO521" s="115"/>
      <c r="BP521" s="115"/>
      <c r="BQ521" s="115"/>
      <c r="BR521" s="25"/>
      <c r="BS521" s="13"/>
      <c r="BV521" s="114"/>
    </row>
    <row r="522" spans="1:74" ht="20.100000000000001" customHeight="1" x14ac:dyDescent="0.4">
      <c r="A522" s="117"/>
      <c r="B522" s="123"/>
      <c r="C522" s="123"/>
      <c r="D522" s="123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27"/>
      <c r="AJ522" s="29"/>
      <c r="AN522" s="115"/>
      <c r="AO522" s="115"/>
      <c r="AP522" s="115"/>
      <c r="AQ522" s="115"/>
      <c r="AR522" s="115"/>
      <c r="AS522" s="115"/>
      <c r="AT522" s="25"/>
      <c r="AU522" s="13"/>
      <c r="AZ522" s="116"/>
      <c r="BA522" s="123"/>
      <c r="BB522" s="123"/>
      <c r="BC522" s="123"/>
      <c r="BH522" s="115"/>
      <c r="BI522" s="115"/>
      <c r="BJ522" s="115"/>
      <c r="BK522" s="115"/>
      <c r="BL522" s="115"/>
      <c r="BM522" s="115"/>
      <c r="BN522" s="115"/>
      <c r="BO522" s="115"/>
      <c r="BP522" s="115"/>
      <c r="BQ522" s="115"/>
      <c r="BR522" s="25"/>
      <c r="BS522" s="13"/>
      <c r="BV522" s="114"/>
    </row>
    <row r="523" spans="1:74" ht="20.100000000000001" customHeight="1" x14ac:dyDescent="0.4">
      <c r="A523" s="117"/>
      <c r="B523" s="123"/>
      <c r="C523" s="123"/>
      <c r="D523" s="123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29"/>
      <c r="AJ523" s="29"/>
      <c r="AN523" s="115"/>
      <c r="AO523" s="115"/>
      <c r="AP523" s="115"/>
      <c r="AQ523" s="115"/>
      <c r="AR523" s="115"/>
      <c r="AS523" s="115"/>
      <c r="AT523" s="25"/>
      <c r="AU523" s="13"/>
      <c r="AZ523" s="116"/>
      <c r="BA523" s="123"/>
      <c r="BB523" s="123"/>
      <c r="BC523" s="123"/>
      <c r="BH523" s="115"/>
      <c r="BI523" s="115"/>
      <c r="BJ523" s="115"/>
      <c r="BK523" s="115"/>
      <c r="BL523" s="115"/>
      <c r="BM523" s="115"/>
      <c r="BN523" s="115"/>
      <c r="BO523" s="115"/>
      <c r="BP523" s="115"/>
      <c r="BQ523" s="115"/>
      <c r="BR523" s="25"/>
      <c r="BS523" s="13"/>
      <c r="BV523" s="114"/>
    </row>
    <row r="524" spans="1:74" ht="20.100000000000001" customHeight="1" x14ac:dyDescent="0.4">
      <c r="A524" s="117"/>
      <c r="B524" s="123"/>
      <c r="C524" s="123"/>
      <c r="D524" s="123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15"/>
      <c r="AE524" s="115"/>
      <c r="AF524" s="115"/>
      <c r="AG524" s="115"/>
      <c r="AH524" s="115"/>
      <c r="AI524" s="127"/>
      <c r="AJ524" s="127"/>
      <c r="AN524" s="115"/>
      <c r="AO524" s="115"/>
      <c r="AP524" s="115"/>
      <c r="AQ524" s="115"/>
      <c r="AR524" s="115"/>
      <c r="AS524" s="115"/>
      <c r="AT524" s="25"/>
      <c r="AU524" s="13"/>
      <c r="AZ524" s="116"/>
      <c r="BA524" s="123"/>
      <c r="BB524" s="123"/>
      <c r="BC524" s="123"/>
      <c r="BH524" s="115"/>
      <c r="BI524" s="115"/>
      <c r="BJ524" s="115"/>
      <c r="BK524" s="115"/>
      <c r="BL524" s="115"/>
      <c r="BM524" s="115"/>
      <c r="BN524" s="115"/>
      <c r="BO524" s="115"/>
      <c r="BP524" s="115"/>
      <c r="BQ524" s="115"/>
      <c r="BR524" s="25"/>
      <c r="BS524" s="13"/>
      <c r="BV524" s="114"/>
    </row>
    <row r="525" spans="1:74" ht="20.100000000000001" customHeight="1" x14ac:dyDescent="0.4">
      <c r="A525" s="117"/>
      <c r="B525" s="123"/>
      <c r="C525" s="123"/>
      <c r="D525" s="123"/>
      <c r="AI525" s="127"/>
      <c r="AJ525" s="127"/>
      <c r="AN525" s="115"/>
      <c r="AO525" s="115"/>
      <c r="AP525" s="115"/>
      <c r="AQ525" s="115"/>
      <c r="AR525" s="115"/>
      <c r="AS525" s="115"/>
      <c r="AT525" s="25">
        <v>45673</v>
      </c>
      <c r="AU525" s="13" t="s">
        <v>147</v>
      </c>
      <c r="AZ525" s="116"/>
      <c r="BA525" s="123"/>
      <c r="BB525" s="123"/>
      <c r="BC525" s="123"/>
      <c r="BH525" s="115"/>
      <c r="BI525" s="115"/>
      <c r="BJ525" s="115"/>
      <c r="BK525" s="115"/>
      <c r="BL525" s="115"/>
      <c r="BM525" s="115"/>
      <c r="BN525" s="115"/>
      <c r="BO525" s="115"/>
      <c r="BP525" s="115"/>
      <c r="BQ525" s="115"/>
      <c r="BR525" s="25"/>
      <c r="BS525" s="13"/>
      <c r="BV525" s="114"/>
    </row>
    <row r="526" spans="1:74" ht="20.100000000000001" customHeight="1" x14ac:dyDescent="0.4">
      <c r="A526" s="117"/>
      <c r="B526" s="123"/>
      <c r="C526" s="123"/>
      <c r="D526" s="123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27"/>
      <c r="AJ526" s="29"/>
      <c r="AN526" s="115"/>
      <c r="AO526" s="115"/>
      <c r="AP526" s="115"/>
      <c r="AQ526" s="115"/>
      <c r="AR526" s="115"/>
      <c r="AS526" s="115"/>
      <c r="AT526" s="25"/>
      <c r="AU526" s="13"/>
      <c r="AZ526" s="116"/>
      <c r="BA526" s="123"/>
      <c r="BB526" s="123"/>
      <c r="BC526" s="123"/>
      <c r="BH526" s="115"/>
      <c r="BI526" s="115"/>
      <c r="BJ526" s="115"/>
      <c r="BK526" s="115"/>
      <c r="BL526" s="115"/>
      <c r="BM526" s="115"/>
      <c r="BN526" s="115"/>
      <c r="BO526" s="115"/>
      <c r="BP526" s="115"/>
      <c r="BQ526" s="115"/>
      <c r="BR526" s="25"/>
      <c r="BS526" s="13"/>
      <c r="BV526" s="114"/>
    </row>
    <row r="527" spans="1:74" ht="20.100000000000001" customHeight="1" x14ac:dyDescent="0.4">
      <c r="A527" s="117"/>
      <c r="B527" s="123"/>
      <c r="C527" s="123"/>
      <c r="D527" s="123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27"/>
      <c r="AJ527" s="29"/>
      <c r="AN527" s="115"/>
      <c r="AO527" s="115"/>
      <c r="AP527" s="115"/>
      <c r="AQ527" s="115"/>
      <c r="AR527" s="115"/>
      <c r="AS527" s="115"/>
      <c r="AT527" s="25"/>
      <c r="AU527" s="13"/>
      <c r="AZ527" s="116"/>
      <c r="BA527" s="123"/>
      <c r="BB527" s="123"/>
      <c r="BC527" s="123"/>
      <c r="BH527" s="115"/>
      <c r="BI527" s="115"/>
      <c r="BJ527" s="115"/>
      <c r="BK527" s="115"/>
      <c r="BL527" s="115"/>
      <c r="BM527" s="115"/>
      <c r="BN527" s="115"/>
      <c r="BO527" s="115"/>
      <c r="BP527" s="115"/>
      <c r="BQ527" s="115"/>
      <c r="BR527" s="25"/>
      <c r="BS527" s="13"/>
      <c r="BV527" s="114"/>
    </row>
    <row r="528" spans="1:74" ht="20.100000000000001" customHeight="1" x14ac:dyDescent="0.4">
      <c r="A528" s="117"/>
      <c r="B528" s="123"/>
      <c r="C528" s="123"/>
      <c r="D528" s="123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27"/>
      <c r="AJ528" s="29"/>
      <c r="AN528" s="115"/>
      <c r="AO528" s="115"/>
      <c r="AP528" s="115"/>
      <c r="AQ528" s="115"/>
      <c r="AR528" s="115"/>
      <c r="AS528" s="115"/>
      <c r="AT528" s="25"/>
      <c r="AU528" s="13"/>
      <c r="AZ528" s="116"/>
      <c r="BA528" s="123"/>
      <c r="BB528" s="123"/>
      <c r="BC528" s="123"/>
      <c r="BH528" s="115"/>
      <c r="BI528" s="115"/>
      <c r="BJ528" s="115"/>
      <c r="BK528" s="115"/>
      <c r="BL528" s="115"/>
      <c r="BM528" s="115"/>
      <c r="BN528" s="115"/>
      <c r="BO528" s="115"/>
      <c r="BP528" s="115"/>
      <c r="BQ528" s="115"/>
      <c r="BR528" s="25"/>
      <c r="BS528" s="13"/>
      <c r="BV528" s="114"/>
    </row>
    <row r="529" spans="1:74" ht="20.100000000000001" customHeight="1" x14ac:dyDescent="0.4">
      <c r="A529" s="117"/>
      <c r="B529" s="123"/>
      <c r="C529" s="123"/>
      <c r="D529" s="123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115"/>
      <c r="AF529" s="115"/>
      <c r="AG529" s="115"/>
      <c r="AH529" s="115"/>
      <c r="AI529" s="127"/>
      <c r="AJ529" s="29"/>
      <c r="AN529" s="115"/>
      <c r="AO529" s="115"/>
      <c r="AP529" s="115"/>
      <c r="AQ529" s="115"/>
      <c r="AR529" s="115"/>
      <c r="AS529" s="115"/>
      <c r="AT529" s="25"/>
      <c r="AU529" s="13"/>
      <c r="AZ529" s="116"/>
      <c r="BA529" s="123"/>
      <c r="BB529" s="123"/>
      <c r="BC529" s="123"/>
      <c r="BH529" s="115"/>
      <c r="BI529" s="115"/>
      <c r="BJ529" s="115"/>
      <c r="BK529" s="115"/>
      <c r="BL529" s="115"/>
      <c r="BM529" s="115"/>
      <c r="BN529" s="115"/>
      <c r="BO529" s="115"/>
      <c r="BP529" s="115"/>
      <c r="BQ529" s="115"/>
      <c r="BR529" s="25"/>
      <c r="BS529" s="13"/>
      <c r="BV529" s="114"/>
    </row>
    <row r="530" spans="1:74" ht="20.100000000000001" customHeight="1" x14ac:dyDescent="0.4">
      <c r="A530" s="117"/>
      <c r="B530" s="123"/>
      <c r="C530" s="123"/>
      <c r="D530" s="123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29"/>
      <c r="AJ530" s="29"/>
      <c r="AN530" s="115"/>
      <c r="AO530" s="115"/>
      <c r="AP530" s="115"/>
      <c r="AQ530" s="115"/>
      <c r="AR530" s="115"/>
      <c r="AS530" s="115"/>
      <c r="AT530" s="25"/>
      <c r="AU530" s="13"/>
      <c r="AZ530" s="116"/>
      <c r="BA530" s="123"/>
      <c r="BB530" s="123"/>
      <c r="BC530" s="123"/>
      <c r="BH530" s="115"/>
      <c r="BI530" s="115"/>
      <c r="BJ530" s="115"/>
      <c r="BK530" s="115"/>
      <c r="BL530" s="115"/>
      <c r="BM530" s="115"/>
      <c r="BN530" s="115"/>
      <c r="BO530" s="115"/>
      <c r="BP530" s="115"/>
      <c r="BQ530" s="115"/>
      <c r="BR530" s="25"/>
      <c r="BS530" s="13"/>
      <c r="BV530" s="114"/>
    </row>
    <row r="531" spans="1:74" ht="20.100000000000001" customHeight="1" x14ac:dyDescent="0.4">
      <c r="A531" s="117"/>
      <c r="B531" s="123"/>
      <c r="C531" s="123"/>
      <c r="D531" s="123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29"/>
      <c r="AJ531" s="29"/>
      <c r="AN531" s="115"/>
      <c r="AO531" s="115"/>
      <c r="AP531" s="115"/>
      <c r="AQ531" s="115"/>
      <c r="AR531" s="115"/>
      <c r="AS531" s="115"/>
      <c r="AT531" s="25"/>
      <c r="AU531" s="13"/>
      <c r="AZ531" s="116"/>
      <c r="BA531" s="123"/>
      <c r="BB531" s="123"/>
      <c r="BC531" s="123"/>
      <c r="BH531" s="115"/>
      <c r="BI531" s="115"/>
      <c r="BJ531" s="115"/>
      <c r="BK531" s="115"/>
      <c r="BL531" s="115"/>
      <c r="BM531" s="115"/>
      <c r="BN531" s="115"/>
      <c r="BO531" s="115"/>
      <c r="BP531" s="115"/>
      <c r="BQ531" s="115"/>
      <c r="BR531" s="25"/>
      <c r="BS531" s="13"/>
      <c r="BV531" s="114"/>
    </row>
    <row r="532" spans="1:74" ht="20.100000000000001" customHeight="1" x14ac:dyDescent="0.4">
      <c r="A532" s="117"/>
      <c r="B532" s="123"/>
      <c r="C532" s="123"/>
      <c r="D532" s="123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27"/>
      <c r="AJ532" s="29"/>
      <c r="AN532" s="115"/>
      <c r="AO532" s="115"/>
      <c r="AP532" s="115"/>
      <c r="AQ532" s="115"/>
      <c r="AR532" s="115"/>
      <c r="AS532" s="115"/>
      <c r="AT532" s="25"/>
      <c r="AU532" s="13"/>
      <c r="AZ532" s="116"/>
      <c r="BA532" s="123"/>
      <c r="BB532" s="123"/>
      <c r="BC532" s="123"/>
      <c r="BH532" s="115"/>
      <c r="BI532" s="115"/>
      <c r="BJ532" s="115"/>
      <c r="BK532" s="115"/>
      <c r="BL532" s="115"/>
      <c r="BM532" s="115"/>
      <c r="BN532" s="115"/>
      <c r="BO532" s="115"/>
      <c r="BP532" s="115"/>
      <c r="BQ532" s="115"/>
      <c r="BR532" s="25"/>
      <c r="BS532" s="13"/>
      <c r="BV532" s="114"/>
    </row>
    <row r="533" spans="1:74" ht="20.100000000000001" customHeight="1" x14ac:dyDescent="0.4">
      <c r="A533" s="117"/>
      <c r="B533" s="123"/>
      <c r="C533" s="123"/>
      <c r="D533" s="123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27"/>
      <c r="AJ533" s="29"/>
      <c r="AN533" s="115"/>
      <c r="AO533" s="115"/>
      <c r="AP533" s="115"/>
      <c r="AQ533" s="115"/>
      <c r="AR533" s="115"/>
      <c r="AS533" s="115"/>
      <c r="AT533" s="25"/>
      <c r="AU533" s="13"/>
      <c r="AZ533" s="116"/>
      <c r="BA533" s="123"/>
      <c r="BB533" s="123"/>
      <c r="BC533" s="123"/>
      <c r="BH533" s="115"/>
      <c r="BI533" s="115"/>
      <c r="BJ533" s="115"/>
      <c r="BK533" s="115"/>
      <c r="BL533" s="115"/>
      <c r="BM533" s="115"/>
      <c r="BN533" s="115"/>
      <c r="BO533" s="115"/>
      <c r="BP533" s="115"/>
      <c r="BQ533" s="115"/>
      <c r="BR533" s="25"/>
      <c r="BS533" s="13"/>
      <c r="BV533" s="114"/>
    </row>
    <row r="534" spans="1:74" ht="20.100000000000001" customHeight="1" x14ac:dyDescent="0.4">
      <c r="A534" s="117"/>
      <c r="B534" s="123"/>
      <c r="C534" s="123"/>
      <c r="D534" s="123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27"/>
      <c r="AJ534" s="29"/>
      <c r="AN534" s="115"/>
      <c r="AO534" s="115"/>
      <c r="AP534" s="115"/>
      <c r="AQ534" s="115"/>
      <c r="AR534" s="115"/>
      <c r="AS534" s="115"/>
      <c r="AT534" s="25"/>
      <c r="AU534" s="13"/>
      <c r="AZ534" s="116"/>
      <c r="BA534" s="123"/>
      <c r="BB534" s="123"/>
      <c r="BC534" s="123"/>
      <c r="BH534" s="115"/>
      <c r="BI534" s="115"/>
      <c r="BJ534" s="115"/>
      <c r="BK534" s="115"/>
      <c r="BL534" s="115"/>
      <c r="BM534" s="115"/>
      <c r="BN534" s="115"/>
      <c r="BO534" s="115"/>
      <c r="BP534" s="115"/>
      <c r="BQ534" s="115"/>
      <c r="BR534" s="25"/>
      <c r="BS534" s="13"/>
      <c r="BV534" s="114"/>
    </row>
    <row r="535" spans="1:74" ht="20.100000000000001" customHeight="1" x14ac:dyDescent="0.4">
      <c r="A535" s="117"/>
      <c r="B535" s="123"/>
      <c r="C535" s="123"/>
      <c r="D535" s="123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27"/>
      <c r="AJ535" s="29"/>
      <c r="AN535" s="115"/>
      <c r="AO535" s="115"/>
      <c r="AP535" s="115"/>
      <c r="AQ535" s="115"/>
      <c r="AR535" s="115"/>
      <c r="AS535" s="115"/>
      <c r="AT535" s="25"/>
      <c r="AU535" s="13"/>
      <c r="AZ535" s="116"/>
      <c r="BA535" s="123"/>
      <c r="BB535" s="123"/>
      <c r="BC535" s="123"/>
      <c r="BH535" s="115"/>
      <c r="BI535" s="115"/>
      <c r="BJ535" s="115"/>
      <c r="BK535" s="115"/>
      <c r="BL535" s="115"/>
      <c r="BM535" s="115"/>
      <c r="BN535" s="115"/>
      <c r="BO535" s="115"/>
      <c r="BP535" s="115"/>
      <c r="BQ535" s="115"/>
      <c r="BR535" s="25"/>
      <c r="BS535" s="13"/>
      <c r="BV535" s="114"/>
    </row>
    <row r="536" spans="1:74" ht="20.100000000000001" customHeight="1" x14ac:dyDescent="0.4">
      <c r="A536" s="117"/>
      <c r="B536" s="123"/>
      <c r="C536" s="123"/>
      <c r="D536" s="123"/>
      <c r="AI536" s="127"/>
      <c r="AJ536" s="29"/>
      <c r="AL536" s="115"/>
      <c r="AM536" s="115"/>
      <c r="AN536" s="115"/>
      <c r="AO536" s="115"/>
      <c r="AP536" s="115"/>
      <c r="AQ536" s="115"/>
      <c r="AR536" s="115"/>
      <c r="AS536" s="115"/>
      <c r="AT536" s="25">
        <v>45673</v>
      </c>
      <c r="AU536" s="13" t="s">
        <v>148</v>
      </c>
      <c r="AZ536" s="116"/>
      <c r="BA536" s="123"/>
      <c r="BB536" s="123"/>
      <c r="BC536" s="123"/>
      <c r="BH536" s="115"/>
      <c r="BI536" s="115"/>
      <c r="BJ536" s="115"/>
      <c r="BK536" s="115"/>
      <c r="BL536" s="115"/>
      <c r="BM536" s="115"/>
      <c r="BN536" s="115"/>
      <c r="BO536" s="115"/>
      <c r="BP536" s="115"/>
      <c r="BQ536" s="115"/>
      <c r="BR536" s="25"/>
      <c r="BS536" s="13"/>
      <c r="BV536" s="114"/>
    </row>
    <row r="537" spans="1:74" ht="20.100000000000001" customHeight="1" x14ac:dyDescent="0.4">
      <c r="A537" s="117"/>
      <c r="B537" s="123"/>
      <c r="C537" s="123"/>
      <c r="D537" s="123"/>
      <c r="AB537" s="115"/>
      <c r="AC537" s="115"/>
      <c r="AD537" s="115"/>
      <c r="AE537" s="115"/>
      <c r="AF537" s="115"/>
      <c r="AG537" s="115"/>
      <c r="AH537" s="115"/>
      <c r="AI537" s="29"/>
      <c r="AJ537" s="29"/>
      <c r="AL537" s="115"/>
      <c r="AM537" s="115"/>
      <c r="AN537" s="115"/>
      <c r="AO537" s="115"/>
      <c r="AP537" s="115"/>
      <c r="AQ537" s="115"/>
      <c r="AR537" s="115"/>
      <c r="AS537" s="115"/>
      <c r="AT537" s="25"/>
      <c r="AU537" s="13"/>
      <c r="AZ537" s="116"/>
      <c r="BA537" s="123"/>
      <c r="BB537" s="123"/>
      <c r="BC537" s="123"/>
      <c r="BH537" s="115"/>
      <c r="BI537" s="115"/>
      <c r="BJ537" s="115"/>
      <c r="BK537" s="115"/>
      <c r="BL537" s="115"/>
      <c r="BM537" s="115"/>
      <c r="BN537" s="115"/>
      <c r="BO537" s="115"/>
      <c r="BP537" s="115"/>
      <c r="BQ537" s="115"/>
      <c r="BR537" s="25"/>
      <c r="BS537" s="13"/>
      <c r="BV537" s="114"/>
    </row>
    <row r="538" spans="1:74" ht="20.100000000000001" customHeight="1" x14ac:dyDescent="0.4">
      <c r="A538" s="117"/>
      <c r="B538" s="123"/>
      <c r="C538" s="123"/>
      <c r="D538" s="123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27"/>
      <c r="AJ538" s="29"/>
      <c r="AL538" s="115"/>
      <c r="AM538" s="115"/>
      <c r="AN538" s="115"/>
      <c r="AO538" s="115"/>
      <c r="AP538" s="115"/>
      <c r="AQ538" s="115"/>
      <c r="AR538" s="115"/>
      <c r="AS538" s="115"/>
      <c r="AT538" s="25"/>
      <c r="AU538" s="13"/>
      <c r="AZ538" s="116"/>
      <c r="BA538" s="123"/>
      <c r="BB538" s="123"/>
      <c r="BC538" s="123"/>
      <c r="BH538" s="115"/>
      <c r="BI538" s="115"/>
      <c r="BJ538" s="115"/>
      <c r="BK538" s="115"/>
      <c r="BL538" s="115"/>
      <c r="BM538" s="115"/>
      <c r="BN538" s="115"/>
      <c r="BO538" s="115"/>
      <c r="BP538" s="115"/>
      <c r="BQ538" s="115"/>
      <c r="BR538" s="25"/>
      <c r="BS538" s="13"/>
      <c r="BV538" s="114"/>
    </row>
    <row r="539" spans="1:74" ht="20.100000000000001" customHeight="1" x14ac:dyDescent="0.4">
      <c r="A539" s="117"/>
      <c r="B539" s="123"/>
      <c r="C539" s="123"/>
      <c r="D539" s="123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27"/>
      <c r="AJ539" s="29"/>
      <c r="AL539" s="115"/>
      <c r="AM539" s="115"/>
      <c r="AN539" s="115"/>
      <c r="AO539" s="115"/>
      <c r="AP539" s="115"/>
      <c r="AQ539" s="115"/>
      <c r="AR539" s="115"/>
      <c r="AS539" s="115"/>
      <c r="AT539" s="25"/>
      <c r="AU539" s="13"/>
      <c r="AZ539" s="116"/>
      <c r="BA539" s="123"/>
      <c r="BB539" s="123"/>
      <c r="BC539" s="123"/>
      <c r="BH539" s="115"/>
      <c r="BI539" s="115"/>
      <c r="BJ539" s="115"/>
      <c r="BK539" s="115"/>
      <c r="BL539" s="115"/>
      <c r="BM539" s="115"/>
      <c r="BN539" s="115"/>
      <c r="BO539" s="115"/>
      <c r="BP539" s="115"/>
      <c r="BQ539" s="115"/>
      <c r="BR539" s="25"/>
      <c r="BS539" s="13"/>
      <c r="BV539" s="114"/>
    </row>
    <row r="540" spans="1:74" ht="20.100000000000001" customHeight="1" x14ac:dyDescent="0.4">
      <c r="A540" s="117"/>
      <c r="B540" s="123"/>
      <c r="C540" s="123"/>
      <c r="D540" s="123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27"/>
      <c r="AJ540" s="29"/>
      <c r="AL540" s="115"/>
      <c r="AM540" s="115"/>
      <c r="AN540" s="115"/>
      <c r="AO540" s="115"/>
      <c r="AP540" s="115"/>
      <c r="AQ540" s="115"/>
      <c r="AR540" s="115"/>
      <c r="AS540" s="115"/>
      <c r="AT540" s="25"/>
      <c r="AU540" s="13"/>
      <c r="AZ540" s="116"/>
      <c r="BA540" s="123"/>
      <c r="BB540" s="123"/>
      <c r="BC540" s="123"/>
      <c r="BH540" s="115"/>
      <c r="BI540" s="115"/>
      <c r="BJ540" s="115"/>
      <c r="BK540" s="115"/>
      <c r="BL540" s="115"/>
      <c r="BM540" s="115"/>
      <c r="BN540" s="115"/>
      <c r="BO540" s="115"/>
      <c r="BP540" s="115"/>
      <c r="BQ540" s="115"/>
      <c r="BR540" s="25"/>
      <c r="BS540" s="13"/>
      <c r="BV540" s="114"/>
    </row>
    <row r="541" spans="1:74" ht="20.100000000000001" customHeight="1" x14ac:dyDescent="0.4">
      <c r="A541" s="117"/>
      <c r="B541" s="123"/>
      <c r="C541" s="123"/>
      <c r="D541" s="123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27"/>
      <c r="AJ541" s="29"/>
      <c r="AL541" s="115"/>
      <c r="AM541" s="115"/>
      <c r="AN541" s="115"/>
      <c r="AO541" s="115"/>
      <c r="AP541" s="115"/>
      <c r="AQ541" s="115"/>
      <c r="AR541" s="115"/>
      <c r="AS541" s="115"/>
      <c r="AT541" s="25"/>
      <c r="AU541" s="13"/>
      <c r="AZ541" s="116"/>
      <c r="BA541" s="123"/>
      <c r="BB541" s="123"/>
      <c r="BC541" s="123"/>
      <c r="BH541" s="115"/>
      <c r="BI541" s="115"/>
      <c r="BJ541" s="115"/>
      <c r="BK541" s="115"/>
      <c r="BL541" s="115"/>
      <c r="BM541" s="115"/>
      <c r="BN541" s="115"/>
      <c r="BO541" s="115"/>
      <c r="BP541" s="115"/>
      <c r="BQ541" s="115"/>
      <c r="BR541" s="25"/>
      <c r="BS541" s="13"/>
      <c r="BV541" s="114"/>
    </row>
    <row r="542" spans="1:74" ht="20.100000000000001" customHeight="1" x14ac:dyDescent="0.4">
      <c r="A542" s="117"/>
      <c r="B542" s="123"/>
      <c r="C542" s="123"/>
      <c r="D542" s="123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29"/>
      <c r="AJ542" s="29"/>
      <c r="AL542" s="115"/>
      <c r="AM542" s="115"/>
      <c r="AN542" s="115"/>
      <c r="AO542" s="115"/>
      <c r="AP542" s="115"/>
      <c r="AQ542" s="115"/>
      <c r="AR542" s="115"/>
      <c r="AS542" s="115"/>
      <c r="AT542" s="25"/>
      <c r="AU542" s="13"/>
      <c r="AZ542" s="116"/>
      <c r="BA542" s="123"/>
      <c r="BB542" s="123"/>
      <c r="BC542" s="123"/>
      <c r="BH542" s="115"/>
      <c r="BI542" s="115"/>
      <c r="BJ542" s="115"/>
      <c r="BK542" s="115"/>
      <c r="BL542" s="115"/>
      <c r="BM542" s="115"/>
      <c r="BN542" s="115"/>
      <c r="BO542" s="115"/>
      <c r="BP542" s="115"/>
      <c r="BQ542" s="115"/>
      <c r="BR542" s="25"/>
      <c r="BS542" s="13"/>
      <c r="BV542" s="114"/>
    </row>
    <row r="543" spans="1:74" ht="20.100000000000001" customHeight="1" x14ac:dyDescent="0.4">
      <c r="A543" s="117"/>
      <c r="B543" s="123"/>
      <c r="C543" s="123"/>
      <c r="D543" s="123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27"/>
      <c r="AJ543" s="29"/>
      <c r="AL543" s="115"/>
      <c r="AM543" s="115"/>
      <c r="AN543" s="115"/>
      <c r="AO543" s="115"/>
      <c r="AP543" s="115"/>
      <c r="AQ543" s="115"/>
      <c r="AR543" s="115"/>
      <c r="AS543" s="115"/>
      <c r="AT543" s="25"/>
      <c r="AU543" s="13"/>
      <c r="AZ543" s="116"/>
      <c r="BA543" s="123"/>
      <c r="BB543" s="123"/>
      <c r="BC543" s="123"/>
      <c r="BH543" s="115"/>
      <c r="BI543" s="115"/>
      <c r="BJ543" s="115"/>
      <c r="BK543" s="115"/>
      <c r="BL543" s="115"/>
      <c r="BM543" s="115"/>
      <c r="BN543" s="115"/>
      <c r="BO543" s="115"/>
      <c r="BP543" s="115"/>
      <c r="BQ543" s="115"/>
      <c r="BR543" s="25"/>
      <c r="BS543" s="13"/>
      <c r="BV543" s="114"/>
    </row>
    <row r="544" spans="1:74" ht="20.100000000000001" customHeight="1" x14ac:dyDescent="0.4">
      <c r="A544" s="117"/>
      <c r="B544" s="123"/>
      <c r="C544" s="123"/>
      <c r="D544" s="123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27"/>
      <c r="AJ544" s="29"/>
      <c r="AL544" s="115"/>
      <c r="AM544" s="115"/>
      <c r="AN544" s="115"/>
      <c r="AO544" s="115"/>
      <c r="AP544" s="115"/>
      <c r="AQ544" s="115"/>
      <c r="AR544" s="115"/>
      <c r="AS544" s="115"/>
      <c r="AT544" s="25"/>
      <c r="AU544" s="13"/>
      <c r="AZ544" s="116"/>
      <c r="BA544" s="123"/>
      <c r="BB544" s="123"/>
      <c r="BC544" s="123"/>
      <c r="BH544" s="115"/>
      <c r="BI544" s="115"/>
      <c r="BJ544" s="115"/>
      <c r="BK544" s="115"/>
      <c r="BL544" s="115"/>
      <c r="BM544" s="115"/>
      <c r="BN544" s="115"/>
      <c r="BO544" s="115"/>
      <c r="BP544" s="115"/>
      <c r="BQ544" s="115"/>
      <c r="BR544" s="25"/>
      <c r="BS544" s="13"/>
      <c r="BV544" s="114"/>
    </row>
    <row r="545" spans="1:74" ht="20.100000000000001" customHeight="1" x14ac:dyDescent="0.4">
      <c r="A545" s="117"/>
      <c r="B545" s="123"/>
      <c r="C545" s="123"/>
      <c r="D545" s="123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15"/>
      <c r="AF545" s="115"/>
      <c r="AG545" s="115"/>
      <c r="AH545" s="115"/>
      <c r="AI545" s="127"/>
      <c r="AJ545" s="29"/>
      <c r="AL545" s="115"/>
      <c r="AM545" s="115"/>
      <c r="AN545" s="115"/>
      <c r="AO545" s="115"/>
      <c r="AP545" s="115"/>
      <c r="AQ545" s="115"/>
      <c r="AR545" s="115"/>
      <c r="AS545" s="115"/>
      <c r="AT545" s="25"/>
      <c r="AU545" s="13"/>
      <c r="AZ545" s="116"/>
      <c r="BA545" s="123"/>
      <c r="BB545" s="123"/>
      <c r="BC545" s="123"/>
      <c r="BH545" s="115"/>
      <c r="BI545" s="115"/>
      <c r="BJ545" s="115"/>
      <c r="BK545" s="115"/>
      <c r="BL545" s="115"/>
      <c r="BM545" s="115"/>
      <c r="BN545" s="115"/>
      <c r="BO545" s="115"/>
      <c r="BP545" s="115"/>
      <c r="BQ545" s="115"/>
      <c r="BR545" s="25"/>
      <c r="BS545" s="13"/>
      <c r="BV545" s="114"/>
    </row>
    <row r="546" spans="1:74" ht="20.100000000000001" customHeight="1" x14ac:dyDescent="0.4">
      <c r="A546" s="117"/>
      <c r="B546" s="123"/>
      <c r="C546" s="123"/>
      <c r="D546" s="123"/>
      <c r="AI546" s="127"/>
      <c r="AJ546" s="29"/>
      <c r="AL546" s="115"/>
      <c r="AM546" s="115"/>
      <c r="AN546" s="115"/>
      <c r="AO546" s="115"/>
      <c r="AP546" s="115"/>
      <c r="AQ546" s="115"/>
      <c r="AR546" s="115"/>
      <c r="AS546" s="115"/>
      <c r="AT546" s="25">
        <v>45673</v>
      </c>
      <c r="AU546" s="13" t="s">
        <v>147</v>
      </c>
      <c r="AZ546" s="116"/>
      <c r="BA546" s="123"/>
      <c r="BB546" s="123"/>
      <c r="BC546" s="123"/>
      <c r="BH546" s="115"/>
      <c r="BI546" s="115"/>
      <c r="BJ546" s="115"/>
      <c r="BK546" s="115"/>
      <c r="BL546" s="115"/>
      <c r="BM546" s="115"/>
      <c r="BN546" s="115"/>
      <c r="BO546" s="115"/>
      <c r="BP546" s="115"/>
      <c r="BQ546" s="115"/>
      <c r="BR546" s="25"/>
      <c r="BS546" s="13"/>
      <c r="BV546" s="114"/>
    </row>
    <row r="547" spans="1:74" ht="20.100000000000001" customHeight="1" x14ac:dyDescent="0.4">
      <c r="A547" s="117"/>
      <c r="B547" s="123"/>
      <c r="C547" s="123"/>
      <c r="D547" s="123"/>
      <c r="AB547" s="115"/>
      <c r="AC547" s="115"/>
      <c r="AD547" s="115"/>
      <c r="AE547" s="115"/>
      <c r="AF547" s="115"/>
      <c r="AG547" s="115"/>
      <c r="AH547" s="115"/>
      <c r="AI547" s="29"/>
      <c r="AJ547" s="29"/>
      <c r="AL547" s="115"/>
      <c r="AM547" s="115"/>
      <c r="AN547" s="115"/>
      <c r="AO547" s="115"/>
      <c r="AP547" s="115"/>
      <c r="AQ547" s="115"/>
      <c r="AR547" s="115"/>
      <c r="AS547" s="115"/>
      <c r="AT547" s="25"/>
      <c r="AU547" s="13"/>
      <c r="AZ547" s="116"/>
      <c r="BA547" s="123"/>
      <c r="BB547" s="123"/>
      <c r="BC547" s="123"/>
      <c r="BH547" s="115"/>
      <c r="BI547" s="115"/>
      <c r="BJ547" s="115"/>
      <c r="BK547" s="115"/>
      <c r="BL547" s="115"/>
      <c r="BM547" s="115"/>
      <c r="BN547" s="115"/>
      <c r="BO547" s="115"/>
      <c r="BP547" s="115"/>
      <c r="BQ547" s="115"/>
      <c r="BR547" s="25"/>
      <c r="BS547" s="13"/>
      <c r="BV547" s="114"/>
    </row>
    <row r="548" spans="1:74" ht="20.100000000000001" customHeight="1" x14ac:dyDescent="0.4">
      <c r="A548" s="117"/>
      <c r="B548" s="123"/>
      <c r="C548" s="123"/>
      <c r="D548" s="123"/>
      <c r="AI548" s="127"/>
      <c r="AJ548" s="29"/>
      <c r="AL548" s="115"/>
      <c r="AM548" s="115"/>
      <c r="AN548" s="115"/>
      <c r="AO548" s="115"/>
      <c r="AP548" s="115"/>
      <c r="AQ548" s="115"/>
      <c r="AR548" s="115"/>
      <c r="AS548" s="115"/>
      <c r="AT548" s="25"/>
      <c r="AU548" s="13"/>
      <c r="AZ548" s="116"/>
      <c r="BA548" s="123"/>
      <c r="BB548" s="123"/>
      <c r="BC548" s="123"/>
      <c r="BH548" s="115"/>
      <c r="BI548" s="115"/>
      <c r="BJ548" s="115"/>
      <c r="BK548" s="115"/>
      <c r="BL548" s="115"/>
      <c r="BM548" s="115"/>
      <c r="BN548" s="115"/>
      <c r="BO548" s="115"/>
      <c r="BP548" s="115"/>
      <c r="BQ548" s="115"/>
      <c r="BR548" s="25"/>
      <c r="BS548" s="13"/>
      <c r="BV548" s="114"/>
    </row>
    <row r="549" spans="1:74" ht="20.100000000000001" customHeight="1" x14ac:dyDescent="0.4">
      <c r="A549" s="117"/>
      <c r="B549" s="123"/>
      <c r="C549" s="123"/>
      <c r="D549" s="123"/>
      <c r="AB549" s="115"/>
      <c r="AC549" s="115"/>
      <c r="AD549" s="115"/>
      <c r="AE549" s="115"/>
      <c r="AF549" s="115"/>
      <c r="AG549" s="115"/>
      <c r="AH549" s="115"/>
      <c r="AI549" s="29"/>
      <c r="AJ549" s="29"/>
      <c r="AL549" s="115"/>
      <c r="AM549" s="115"/>
      <c r="AN549" s="115"/>
      <c r="AO549" s="115"/>
      <c r="AP549" s="115"/>
      <c r="AQ549" s="115"/>
      <c r="AR549" s="115"/>
      <c r="AS549" s="115"/>
      <c r="AT549" s="25"/>
      <c r="AU549" s="13"/>
      <c r="AZ549" s="116"/>
      <c r="BA549" s="123"/>
      <c r="BB549" s="123"/>
      <c r="BC549" s="123"/>
      <c r="BH549" s="115"/>
      <c r="BI549" s="115"/>
      <c r="BJ549" s="115"/>
      <c r="BK549" s="115"/>
      <c r="BL549" s="115"/>
      <c r="BM549" s="115"/>
      <c r="BN549" s="115"/>
      <c r="BO549" s="115"/>
      <c r="BP549" s="115"/>
      <c r="BQ549" s="115"/>
      <c r="BR549" s="25"/>
      <c r="BS549" s="13"/>
      <c r="BV549" s="114"/>
    </row>
    <row r="550" spans="1:74" ht="20.100000000000001" customHeight="1" x14ac:dyDescent="0.4">
      <c r="A550" s="117"/>
      <c r="B550" s="123"/>
      <c r="C550" s="123"/>
      <c r="D550" s="123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27"/>
      <c r="AJ550" s="29"/>
      <c r="AL550" s="115"/>
      <c r="AM550" s="115"/>
      <c r="AN550" s="115"/>
      <c r="AO550" s="115"/>
      <c r="AP550" s="115"/>
      <c r="AQ550" s="115"/>
      <c r="AR550" s="115"/>
      <c r="AS550" s="115"/>
      <c r="AT550" s="25"/>
      <c r="AU550" s="13"/>
      <c r="AZ550" s="116"/>
      <c r="BA550" s="123"/>
      <c r="BB550" s="123"/>
      <c r="BC550" s="123"/>
      <c r="BH550" s="115"/>
      <c r="BI550" s="115"/>
      <c r="BJ550" s="115"/>
      <c r="BK550" s="115"/>
      <c r="BL550" s="115"/>
      <c r="BM550" s="115"/>
      <c r="BN550" s="115"/>
      <c r="BO550" s="115"/>
      <c r="BP550" s="115"/>
      <c r="BQ550" s="115"/>
      <c r="BR550" s="25"/>
      <c r="BS550" s="13"/>
      <c r="BV550" s="114"/>
    </row>
    <row r="551" spans="1:74" ht="20.100000000000001" customHeight="1" x14ac:dyDescent="0.4">
      <c r="A551" s="117"/>
      <c r="B551" s="123"/>
      <c r="C551" s="123"/>
      <c r="D551" s="123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29"/>
      <c r="AJ551" s="29"/>
      <c r="AL551" s="115"/>
      <c r="AM551" s="115"/>
      <c r="AN551" s="115"/>
      <c r="AO551" s="115"/>
      <c r="AP551" s="115"/>
      <c r="AQ551" s="115"/>
      <c r="AR551" s="115"/>
      <c r="AS551" s="115"/>
      <c r="AT551" s="25"/>
      <c r="AU551" s="13"/>
      <c r="AZ551" s="116"/>
      <c r="BA551" s="123"/>
      <c r="BB551" s="123"/>
      <c r="BC551" s="123"/>
      <c r="BH551" s="115"/>
      <c r="BI551" s="115"/>
      <c r="BJ551" s="115"/>
      <c r="BK551" s="115"/>
      <c r="BL551" s="115"/>
      <c r="BM551" s="115"/>
      <c r="BN551" s="115"/>
      <c r="BO551" s="115"/>
      <c r="BP551" s="115"/>
      <c r="BQ551" s="115"/>
      <c r="BR551" s="25"/>
      <c r="BS551" s="13"/>
      <c r="BV551" s="114"/>
    </row>
    <row r="552" spans="1:74" ht="20.100000000000001" customHeight="1" x14ac:dyDescent="0.4">
      <c r="A552" s="117"/>
      <c r="B552" s="123"/>
      <c r="C552" s="123"/>
      <c r="D552" s="123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29"/>
      <c r="AJ552" s="29"/>
      <c r="AL552" s="115"/>
      <c r="AM552" s="115"/>
      <c r="AN552" s="115"/>
      <c r="AO552" s="115"/>
      <c r="AP552" s="115"/>
      <c r="AQ552" s="115"/>
      <c r="AR552" s="115"/>
      <c r="AS552" s="115"/>
      <c r="AT552" s="25"/>
      <c r="AU552" s="13"/>
      <c r="AZ552" s="116"/>
      <c r="BA552" s="123"/>
      <c r="BB552" s="123"/>
      <c r="BC552" s="123"/>
      <c r="BH552" s="115"/>
      <c r="BI552" s="115"/>
      <c r="BJ552" s="115"/>
      <c r="BK552" s="115"/>
      <c r="BL552" s="115"/>
      <c r="BM552" s="115"/>
      <c r="BN552" s="115"/>
      <c r="BO552" s="115"/>
      <c r="BP552" s="115"/>
      <c r="BQ552" s="115"/>
      <c r="BR552" s="25"/>
      <c r="BS552" s="13"/>
      <c r="BV552" s="114"/>
    </row>
    <row r="553" spans="1:74" ht="20.100000000000001" customHeight="1" x14ac:dyDescent="0.4">
      <c r="A553" s="117"/>
      <c r="B553" s="123"/>
      <c r="C553" s="123"/>
      <c r="D553" s="123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29"/>
      <c r="AJ553" s="29"/>
      <c r="AL553" s="115"/>
      <c r="AM553" s="115"/>
      <c r="AN553" s="115"/>
      <c r="AO553" s="115"/>
      <c r="AP553" s="115"/>
      <c r="AQ553" s="115"/>
      <c r="AR553" s="115"/>
      <c r="AS553" s="115"/>
      <c r="AT553" s="25"/>
      <c r="AU553" s="13"/>
      <c r="AZ553" s="116"/>
      <c r="BA553" s="123"/>
      <c r="BB553" s="123"/>
      <c r="BC553" s="123"/>
      <c r="BH553" s="115"/>
      <c r="BI553" s="115"/>
      <c r="BJ553" s="115"/>
      <c r="BK553" s="115"/>
      <c r="BL553" s="115"/>
      <c r="BM553" s="115"/>
      <c r="BN553" s="115"/>
      <c r="BO553" s="115"/>
      <c r="BP553" s="115"/>
      <c r="BQ553" s="115"/>
      <c r="BR553" s="25"/>
      <c r="BS553" s="13"/>
      <c r="BV553" s="114"/>
    </row>
    <row r="554" spans="1:74" ht="20.100000000000001" customHeight="1" x14ac:dyDescent="0.4">
      <c r="A554" s="117"/>
      <c r="B554" s="123"/>
      <c r="C554" s="123"/>
      <c r="D554" s="123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27"/>
      <c r="AJ554" s="29"/>
      <c r="AL554" s="115"/>
      <c r="AM554" s="115"/>
      <c r="AN554" s="115"/>
      <c r="AO554" s="115"/>
      <c r="AP554" s="115"/>
      <c r="AQ554" s="115"/>
      <c r="AR554" s="115"/>
      <c r="AS554" s="115"/>
      <c r="AT554" s="25"/>
      <c r="AU554" s="13"/>
      <c r="AZ554" s="116"/>
      <c r="BA554" s="123"/>
      <c r="BB554" s="123"/>
      <c r="BC554" s="123"/>
      <c r="BH554" s="115"/>
      <c r="BI554" s="115"/>
      <c r="BJ554" s="115"/>
      <c r="BK554" s="115"/>
      <c r="BL554" s="115"/>
      <c r="BM554" s="115"/>
      <c r="BN554" s="115"/>
      <c r="BO554" s="115"/>
      <c r="BP554" s="115"/>
      <c r="BQ554" s="115"/>
      <c r="BR554" s="25"/>
      <c r="BS554" s="13"/>
      <c r="BV554" s="114"/>
    </row>
    <row r="555" spans="1:74" ht="20.100000000000001" customHeight="1" x14ac:dyDescent="0.4">
      <c r="A555" s="117"/>
      <c r="B555" s="123"/>
      <c r="C555" s="123"/>
      <c r="D555" s="123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29"/>
      <c r="AJ555" s="29"/>
      <c r="AL555" s="115"/>
      <c r="AM555" s="115"/>
      <c r="AN555" s="115"/>
      <c r="AO555" s="115"/>
      <c r="AP555" s="115"/>
      <c r="AQ555" s="115"/>
      <c r="AR555" s="115"/>
      <c r="AS555" s="115"/>
      <c r="AT555" s="25"/>
      <c r="AU555" s="13"/>
      <c r="AZ555" s="116"/>
      <c r="BA555" s="123"/>
      <c r="BB555" s="123"/>
      <c r="BC555" s="123"/>
      <c r="BH555" s="115"/>
      <c r="BI555" s="115"/>
      <c r="BJ555" s="115"/>
      <c r="BK555" s="115"/>
      <c r="BL555" s="115"/>
      <c r="BM555" s="115"/>
      <c r="BN555" s="115"/>
      <c r="BO555" s="115"/>
      <c r="BP555" s="115"/>
      <c r="BQ555" s="115"/>
      <c r="BR555" s="25"/>
      <c r="BS555" s="13"/>
      <c r="BV555" s="114"/>
    </row>
    <row r="556" spans="1:74" ht="20.100000000000001" customHeight="1" x14ac:dyDescent="0.4">
      <c r="A556" s="117"/>
      <c r="B556" s="123"/>
      <c r="C556" s="123"/>
      <c r="D556" s="123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27"/>
      <c r="AJ556" s="29"/>
      <c r="AL556" s="115"/>
      <c r="AM556" s="115"/>
      <c r="AN556" s="115"/>
      <c r="AO556" s="115"/>
      <c r="AP556" s="115"/>
      <c r="AQ556" s="115"/>
      <c r="AR556" s="115"/>
      <c r="AS556" s="115"/>
      <c r="AT556" s="25"/>
      <c r="AU556" s="13"/>
      <c r="AZ556" s="116"/>
      <c r="BA556" s="123"/>
      <c r="BB556" s="123"/>
      <c r="BC556" s="123"/>
      <c r="BH556" s="115"/>
      <c r="BI556" s="115"/>
      <c r="BJ556" s="115"/>
      <c r="BK556" s="115"/>
      <c r="BL556" s="115"/>
      <c r="BM556" s="115"/>
      <c r="BN556" s="115"/>
      <c r="BO556" s="115"/>
      <c r="BP556" s="115"/>
      <c r="BQ556" s="115"/>
      <c r="BR556" s="25"/>
      <c r="BS556" s="13"/>
      <c r="BV556" s="114"/>
    </row>
    <row r="557" spans="1:74" ht="20.100000000000001" customHeight="1" x14ac:dyDescent="0.4">
      <c r="A557" s="117"/>
      <c r="B557" s="123"/>
      <c r="C557" s="123"/>
      <c r="D557" s="123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27"/>
      <c r="AJ557" s="29"/>
      <c r="AL557" s="115"/>
      <c r="AM557" s="115"/>
      <c r="AN557" s="115"/>
      <c r="AO557" s="115"/>
      <c r="AP557" s="115"/>
      <c r="AQ557" s="115"/>
      <c r="AR557" s="115"/>
      <c r="AS557" s="115"/>
      <c r="AT557" s="25"/>
      <c r="AU557" s="13"/>
      <c r="AZ557" s="116"/>
      <c r="BA557" s="123"/>
      <c r="BB557" s="123"/>
      <c r="BC557" s="123"/>
      <c r="BH557" s="115"/>
      <c r="BI557" s="115"/>
      <c r="BJ557" s="115"/>
      <c r="BK557" s="115"/>
      <c r="BL557" s="115"/>
      <c r="BM557" s="115"/>
      <c r="BN557" s="115"/>
      <c r="BO557" s="115"/>
      <c r="BP557" s="115"/>
      <c r="BQ557" s="115"/>
      <c r="BR557" s="25"/>
      <c r="BS557" s="13"/>
      <c r="BV557" s="114"/>
    </row>
    <row r="558" spans="1:74" ht="20.100000000000001" customHeight="1" x14ac:dyDescent="0.4">
      <c r="A558" s="117"/>
      <c r="B558" s="123"/>
      <c r="C558" s="123"/>
      <c r="D558" s="123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15"/>
      <c r="AF558" s="115"/>
      <c r="AG558" s="115"/>
      <c r="AH558" s="115"/>
      <c r="AI558" s="127"/>
      <c r="AJ558" s="29"/>
      <c r="AL558" s="115"/>
      <c r="AM558" s="115"/>
      <c r="AN558" s="115"/>
      <c r="AO558" s="115"/>
      <c r="AP558" s="115"/>
      <c r="AQ558" s="115"/>
      <c r="AR558" s="115"/>
      <c r="AS558" s="115"/>
      <c r="AT558" s="25"/>
      <c r="AU558" s="13"/>
      <c r="AZ558" s="116"/>
      <c r="BA558" s="123"/>
      <c r="BB558" s="123"/>
      <c r="BC558" s="123"/>
      <c r="BH558" s="115"/>
      <c r="BI558" s="115"/>
      <c r="BJ558" s="115"/>
      <c r="BK558" s="115"/>
      <c r="BL558" s="115"/>
      <c r="BM558" s="115"/>
      <c r="BN558" s="115"/>
      <c r="BO558" s="115"/>
      <c r="BP558" s="115"/>
      <c r="BQ558" s="115"/>
      <c r="BR558" s="25"/>
      <c r="BS558" s="13"/>
      <c r="BV558" s="114"/>
    </row>
    <row r="559" spans="1:74" ht="20.100000000000001" customHeight="1" x14ac:dyDescent="0.4">
      <c r="A559" s="117"/>
      <c r="B559" s="123"/>
      <c r="C559" s="123"/>
      <c r="D559" s="123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15"/>
      <c r="AF559" s="115"/>
      <c r="AG559" s="115"/>
      <c r="AH559" s="115"/>
      <c r="AI559" s="127"/>
      <c r="AJ559" s="29"/>
      <c r="AL559" s="115"/>
      <c r="AM559" s="115"/>
      <c r="AN559" s="115"/>
      <c r="AO559" s="115"/>
      <c r="AP559" s="115"/>
      <c r="AQ559" s="115"/>
      <c r="AR559" s="115"/>
      <c r="AS559" s="115"/>
      <c r="AT559" s="25"/>
      <c r="AU559" s="13"/>
      <c r="AZ559" s="116"/>
      <c r="BA559" s="123"/>
      <c r="BB559" s="123"/>
      <c r="BC559" s="123"/>
      <c r="BH559" s="115"/>
      <c r="BI559" s="115"/>
      <c r="BJ559" s="115"/>
      <c r="BK559" s="115"/>
      <c r="BL559" s="115"/>
      <c r="BM559" s="115"/>
      <c r="BN559" s="115"/>
      <c r="BO559" s="115"/>
      <c r="BP559" s="115"/>
      <c r="BQ559" s="115"/>
      <c r="BR559" s="25"/>
      <c r="BS559" s="13"/>
      <c r="BV559" s="114"/>
    </row>
    <row r="560" spans="1:74" ht="20.100000000000001" customHeight="1" x14ac:dyDescent="0.4">
      <c r="A560" s="117"/>
      <c r="B560" s="123"/>
      <c r="C560" s="123"/>
      <c r="D560" s="123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15"/>
      <c r="AE560" s="115"/>
      <c r="AF560" s="115"/>
      <c r="AG560" s="115"/>
      <c r="AH560" s="115"/>
      <c r="AI560" s="127"/>
      <c r="AJ560" s="29"/>
      <c r="AL560" s="115"/>
      <c r="AM560" s="115"/>
      <c r="AN560" s="115"/>
      <c r="AO560" s="115"/>
      <c r="AP560" s="115"/>
      <c r="AQ560" s="115"/>
      <c r="AR560" s="115"/>
      <c r="AS560" s="115"/>
      <c r="AT560" s="25"/>
      <c r="AU560" s="13"/>
      <c r="AZ560" s="116"/>
      <c r="BA560" s="123"/>
      <c r="BB560" s="123"/>
      <c r="BC560" s="123"/>
      <c r="BH560" s="115"/>
      <c r="BI560" s="115"/>
      <c r="BJ560" s="115"/>
      <c r="BK560" s="115"/>
      <c r="BL560" s="115"/>
      <c r="BM560" s="115"/>
      <c r="BN560" s="115"/>
      <c r="BO560" s="115"/>
      <c r="BP560" s="115"/>
      <c r="BQ560" s="115"/>
      <c r="BR560" s="25"/>
      <c r="BS560" s="13"/>
      <c r="BV560" s="114"/>
    </row>
    <row r="561" spans="1:74" ht="20.100000000000001" customHeight="1" x14ac:dyDescent="0.4">
      <c r="A561" s="117"/>
      <c r="B561" s="123"/>
      <c r="C561" s="123"/>
      <c r="D561" s="123"/>
      <c r="AI561" s="127"/>
      <c r="AJ561" s="29"/>
      <c r="AL561" s="115"/>
      <c r="AM561" s="115"/>
      <c r="AN561" s="115"/>
      <c r="AO561" s="115"/>
      <c r="AP561" s="115"/>
      <c r="AQ561" s="115"/>
      <c r="AR561" s="115"/>
      <c r="AS561" s="115"/>
      <c r="AT561" s="25">
        <v>45673</v>
      </c>
      <c r="AU561" s="13" t="s">
        <v>147</v>
      </c>
      <c r="AZ561" s="116"/>
      <c r="BA561" s="123"/>
      <c r="BB561" s="123"/>
      <c r="BC561" s="123"/>
      <c r="BH561" s="115"/>
      <c r="BI561" s="115"/>
      <c r="BJ561" s="115"/>
      <c r="BK561" s="115"/>
      <c r="BL561" s="115"/>
      <c r="BM561" s="115"/>
      <c r="BN561" s="115"/>
      <c r="BO561" s="115"/>
      <c r="BP561" s="115"/>
      <c r="BQ561" s="115"/>
      <c r="BR561" s="25"/>
      <c r="BS561" s="13"/>
      <c r="BV561" s="114"/>
    </row>
    <row r="562" spans="1:74" ht="20.100000000000001" customHeight="1" x14ac:dyDescent="0.4">
      <c r="A562" s="117"/>
      <c r="B562" s="123"/>
      <c r="C562" s="123"/>
      <c r="D562" s="123"/>
      <c r="AI562" s="127"/>
      <c r="AJ562" s="29"/>
      <c r="AL562" s="115"/>
      <c r="AM562" s="115"/>
      <c r="AN562" s="115"/>
      <c r="AO562" s="115"/>
      <c r="AP562" s="115"/>
      <c r="AQ562" s="115"/>
      <c r="AR562" s="115"/>
      <c r="AS562" s="115"/>
      <c r="AT562" s="25">
        <v>45673</v>
      </c>
      <c r="AU562" s="13" t="s">
        <v>147</v>
      </c>
      <c r="AZ562" s="116"/>
      <c r="BA562" s="123"/>
      <c r="BB562" s="123"/>
      <c r="BC562" s="123"/>
      <c r="BH562" s="115"/>
      <c r="BI562" s="115"/>
      <c r="BJ562" s="115"/>
      <c r="BK562" s="115"/>
      <c r="BL562" s="115"/>
      <c r="BM562" s="115"/>
      <c r="BN562" s="115"/>
      <c r="BO562" s="115"/>
      <c r="BP562" s="115"/>
      <c r="BQ562" s="115"/>
      <c r="BR562" s="25"/>
      <c r="BS562" s="13"/>
      <c r="BV562" s="114"/>
    </row>
    <row r="563" spans="1:74" ht="20.100000000000001" customHeight="1" x14ac:dyDescent="0.4">
      <c r="A563" s="117"/>
      <c r="B563" s="123"/>
      <c r="C563" s="123"/>
      <c r="D563" s="123"/>
      <c r="AI563" s="127"/>
      <c r="AJ563" s="29"/>
      <c r="AL563" s="115"/>
      <c r="AM563" s="115"/>
      <c r="AN563" s="115"/>
      <c r="AO563" s="115"/>
      <c r="AP563" s="115"/>
      <c r="AQ563" s="115"/>
      <c r="AR563" s="115"/>
      <c r="AS563" s="115"/>
      <c r="AT563" s="25">
        <v>45675</v>
      </c>
      <c r="AU563" s="13" t="s">
        <v>147</v>
      </c>
      <c r="AZ563" s="116"/>
      <c r="BA563" s="123"/>
      <c r="BB563" s="123"/>
      <c r="BC563" s="123"/>
      <c r="BH563" s="115"/>
      <c r="BI563" s="115"/>
      <c r="BJ563" s="115"/>
      <c r="BK563" s="115"/>
      <c r="BL563" s="115"/>
      <c r="BM563" s="115"/>
      <c r="BN563" s="115"/>
      <c r="BO563" s="115"/>
      <c r="BP563" s="115"/>
      <c r="BQ563" s="115"/>
      <c r="BR563" s="25"/>
      <c r="BS563" s="13"/>
      <c r="BV563" s="114"/>
    </row>
    <row r="564" spans="1:74" ht="20.100000000000001" customHeight="1" x14ac:dyDescent="0.4">
      <c r="A564" s="117"/>
      <c r="B564" s="123"/>
      <c r="C564" s="123"/>
      <c r="D564" s="123"/>
      <c r="AI564" s="127"/>
      <c r="AJ564" s="29"/>
      <c r="AL564" s="115"/>
      <c r="AM564" s="115"/>
      <c r="AN564" s="115"/>
      <c r="AO564" s="115"/>
      <c r="AP564" s="115"/>
      <c r="AQ564" s="115"/>
      <c r="AR564" s="115"/>
      <c r="AS564" s="115"/>
      <c r="AT564" s="25"/>
      <c r="AU564" s="13"/>
      <c r="AZ564" s="116"/>
      <c r="BA564" s="123"/>
      <c r="BB564" s="123"/>
      <c r="BC564" s="123"/>
      <c r="BH564" s="115"/>
      <c r="BI564" s="115"/>
      <c r="BJ564" s="115"/>
      <c r="BK564" s="115"/>
      <c r="BL564" s="115"/>
      <c r="BM564" s="115"/>
      <c r="BN564" s="115"/>
      <c r="BO564" s="115"/>
      <c r="BP564" s="115"/>
      <c r="BQ564" s="115"/>
      <c r="BR564" s="25"/>
      <c r="BS564" s="13"/>
      <c r="BV564" s="114"/>
    </row>
    <row r="565" spans="1:74" ht="20.100000000000001" customHeight="1" x14ac:dyDescent="0.4">
      <c r="A565" s="117"/>
      <c r="B565" s="123"/>
      <c r="C565" s="123"/>
      <c r="D565" s="123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27"/>
      <c r="AJ565" s="29"/>
      <c r="AL565" s="115"/>
      <c r="AM565" s="115"/>
      <c r="AN565" s="115"/>
      <c r="AO565" s="115"/>
      <c r="AP565" s="115"/>
      <c r="AQ565" s="115"/>
      <c r="AR565" s="115"/>
      <c r="AS565" s="115"/>
      <c r="AT565" s="25"/>
      <c r="AU565" s="13"/>
      <c r="AZ565" s="116"/>
      <c r="BA565" s="123"/>
      <c r="BB565" s="123"/>
      <c r="BC565" s="123"/>
      <c r="BH565" s="115"/>
      <c r="BI565" s="115"/>
      <c r="BJ565" s="115"/>
      <c r="BK565" s="115"/>
      <c r="BL565" s="115"/>
      <c r="BM565" s="115"/>
      <c r="BN565" s="115"/>
      <c r="BO565" s="115"/>
      <c r="BP565" s="115"/>
      <c r="BQ565" s="115"/>
      <c r="BR565" s="25"/>
      <c r="BS565" s="13"/>
      <c r="BV565" s="114"/>
    </row>
    <row r="566" spans="1:74" ht="20.100000000000001" customHeight="1" x14ac:dyDescent="0.4">
      <c r="A566" s="117"/>
      <c r="B566" s="123"/>
      <c r="C566" s="123"/>
      <c r="D566" s="123"/>
      <c r="AI566" s="127"/>
      <c r="AJ566" s="29"/>
      <c r="AL566" s="115"/>
      <c r="AM566" s="115"/>
      <c r="AN566" s="115"/>
      <c r="AO566" s="115"/>
      <c r="AP566" s="115"/>
      <c r="AQ566" s="115"/>
      <c r="AR566" s="115"/>
      <c r="AS566" s="115"/>
      <c r="AT566" s="25">
        <v>45675</v>
      </c>
      <c r="AU566" s="15" t="s">
        <v>147</v>
      </c>
      <c r="AZ566" s="116"/>
      <c r="BA566" s="123"/>
      <c r="BB566" s="123"/>
      <c r="BC566" s="123"/>
      <c r="BH566" s="115"/>
      <c r="BI566" s="115"/>
      <c r="BJ566" s="115"/>
      <c r="BK566" s="115"/>
      <c r="BL566" s="115"/>
      <c r="BM566" s="115"/>
      <c r="BN566" s="115"/>
      <c r="BO566" s="115"/>
      <c r="BP566" s="115"/>
      <c r="BQ566" s="115"/>
      <c r="BR566" s="25"/>
      <c r="BS566" s="13"/>
      <c r="BV566" s="114"/>
    </row>
    <row r="567" spans="1:74" ht="20.100000000000001" customHeight="1" x14ac:dyDescent="0.4">
      <c r="A567" s="117"/>
      <c r="B567" s="123"/>
      <c r="C567" s="123"/>
      <c r="D567" s="123"/>
      <c r="AI567" s="127"/>
      <c r="AJ567" s="29"/>
      <c r="AL567" s="115"/>
      <c r="AM567" s="115"/>
      <c r="AN567" s="115"/>
      <c r="AO567" s="115"/>
      <c r="AP567" s="115"/>
      <c r="AQ567" s="115"/>
      <c r="AR567" s="115"/>
      <c r="AS567" s="115"/>
      <c r="AT567" s="25"/>
      <c r="AU567" s="13"/>
      <c r="AZ567" s="116"/>
      <c r="BA567" s="123"/>
      <c r="BB567" s="123"/>
      <c r="BC567" s="123"/>
      <c r="BH567" s="115"/>
      <c r="BI567" s="115"/>
      <c r="BJ567" s="115"/>
      <c r="BK567" s="115"/>
      <c r="BL567" s="115"/>
      <c r="BM567" s="115"/>
      <c r="BN567" s="115"/>
      <c r="BO567" s="115"/>
      <c r="BP567" s="115"/>
      <c r="BQ567" s="115"/>
      <c r="BR567" s="25"/>
      <c r="BS567" s="13"/>
      <c r="BV567" s="114"/>
    </row>
    <row r="568" spans="1:74" ht="20.100000000000001" customHeight="1" x14ac:dyDescent="0.4">
      <c r="A568" s="117"/>
      <c r="B568" s="123"/>
      <c r="C568" s="123"/>
      <c r="D568" s="123"/>
      <c r="AI568" s="127"/>
      <c r="AJ568" s="29"/>
      <c r="AL568" s="115"/>
      <c r="AM568" s="115"/>
      <c r="AN568" s="115"/>
      <c r="AO568" s="115"/>
      <c r="AP568" s="115"/>
      <c r="AQ568" s="115"/>
      <c r="AR568" s="115"/>
      <c r="AS568" s="115"/>
      <c r="AT568" s="25">
        <v>45675</v>
      </c>
      <c r="AU568" s="13" t="s">
        <v>147</v>
      </c>
      <c r="AZ568" s="116"/>
      <c r="BA568" s="123"/>
      <c r="BB568" s="123"/>
      <c r="BC568" s="123"/>
      <c r="BH568" s="115"/>
      <c r="BI568" s="115"/>
      <c r="BJ568" s="115"/>
      <c r="BK568" s="115"/>
      <c r="BL568" s="115"/>
      <c r="BM568" s="115"/>
      <c r="BN568" s="115"/>
      <c r="BO568" s="115"/>
      <c r="BP568" s="115"/>
      <c r="BQ568" s="115"/>
      <c r="BR568" s="25"/>
      <c r="BS568" s="13"/>
      <c r="BV568" s="114"/>
    </row>
    <row r="569" spans="1:74" ht="20.100000000000001" customHeight="1" x14ac:dyDescent="0.4">
      <c r="A569" s="117"/>
      <c r="B569" s="123"/>
      <c r="C569" s="123"/>
      <c r="D569" s="123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27"/>
      <c r="AJ569" s="29"/>
      <c r="AL569" s="115"/>
      <c r="AM569" s="115"/>
      <c r="AN569" s="115"/>
      <c r="AO569" s="115"/>
      <c r="AP569" s="115"/>
      <c r="AQ569" s="115"/>
      <c r="AR569" s="115"/>
      <c r="AS569" s="115"/>
      <c r="AT569" s="25"/>
      <c r="AU569" s="13"/>
      <c r="AZ569" s="116"/>
      <c r="BA569" s="123"/>
      <c r="BB569" s="123"/>
      <c r="BC569" s="123"/>
      <c r="BH569" s="115"/>
      <c r="BI569" s="115"/>
      <c r="BJ569" s="115"/>
      <c r="BK569" s="115"/>
      <c r="BL569" s="115"/>
      <c r="BM569" s="115"/>
      <c r="BN569" s="115"/>
      <c r="BO569" s="115"/>
      <c r="BP569" s="115"/>
      <c r="BQ569" s="115"/>
      <c r="BR569" s="25"/>
      <c r="BS569" s="13"/>
      <c r="BV569" s="114"/>
    </row>
    <row r="570" spans="1:74" ht="20.100000000000001" customHeight="1" x14ac:dyDescent="0.4">
      <c r="A570" s="117"/>
      <c r="B570" s="123"/>
      <c r="C570" s="123"/>
      <c r="D570" s="123"/>
      <c r="AI570" s="127"/>
      <c r="AJ570" s="29"/>
      <c r="AL570" s="115"/>
      <c r="AM570" s="115"/>
      <c r="AN570" s="115"/>
      <c r="AO570" s="115"/>
      <c r="AP570" s="115"/>
      <c r="AQ570" s="115"/>
      <c r="AR570" s="115"/>
      <c r="AS570" s="115"/>
      <c r="AT570" s="25"/>
      <c r="AU570" s="13"/>
      <c r="AZ570" s="116"/>
      <c r="BA570" s="123"/>
      <c r="BB570" s="123"/>
      <c r="BC570" s="123"/>
      <c r="BH570" s="115"/>
      <c r="BI570" s="115"/>
      <c r="BJ570" s="115"/>
      <c r="BK570" s="115"/>
      <c r="BL570" s="115"/>
      <c r="BM570" s="115"/>
      <c r="BN570" s="115"/>
      <c r="BO570" s="115"/>
      <c r="BP570" s="115"/>
      <c r="BQ570" s="115"/>
      <c r="BR570" s="25"/>
      <c r="BS570" s="13"/>
      <c r="BV570" s="114"/>
    </row>
    <row r="571" spans="1:74" ht="20.100000000000001" customHeight="1" x14ac:dyDescent="0.4">
      <c r="A571" s="117"/>
      <c r="B571" s="123"/>
      <c r="C571" s="123"/>
      <c r="D571" s="123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27"/>
      <c r="AJ571" s="29"/>
      <c r="AL571" s="115"/>
      <c r="AM571" s="115"/>
      <c r="AN571" s="115"/>
      <c r="AO571" s="115"/>
      <c r="AP571" s="115"/>
      <c r="AQ571" s="115"/>
      <c r="AR571" s="115"/>
      <c r="AS571" s="115"/>
      <c r="AT571" s="25"/>
      <c r="AU571" s="13"/>
      <c r="AZ571" s="116"/>
      <c r="BA571" s="123"/>
      <c r="BB571" s="123"/>
      <c r="BC571" s="123"/>
      <c r="BH571" s="115"/>
      <c r="BI571" s="115"/>
      <c r="BJ571" s="115"/>
      <c r="BK571" s="115"/>
      <c r="BL571" s="115"/>
      <c r="BM571" s="115"/>
      <c r="BN571" s="115"/>
      <c r="BO571" s="115"/>
      <c r="BP571" s="115"/>
      <c r="BQ571" s="115"/>
      <c r="BR571" s="25"/>
      <c r="BS571" s="13"/>
      <c r="BV571" s="114"/>
    </row>
    <row r="572" spans="1:74" ht="20.100000000000001" customHeight="1" x14ac:dyDescent="0.4">
      <c r="A572" s="117"/>
      <c r="B572" s="123"/>
      <c r="C572" s="123"/>
      <c r="D572" s="123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29"/>
      <c r="AJ572" s="29"/>
      <c r="AL572" s="115"/>
      <c r="AM572" s="115"/>
      <c r="AN572" s="115"/>
      <c r="AO572" s="115"/>
      <c r="AP572" s="115"/>
      <c r="AQ572" s="115"/>
      <c r="AR572" s="115"/>
      <c r="AS572" s="115"/>
      <c r="AT572" s="25"/>
      <c r="AU572" s="13"/>
      <c r="AZ572" s="116"/>
      <c r="BA572" s="123"/>
      <c r="BB572" s="123"/>
      <c r="BC572" s="123"/>
      <c r="BH572" s="115"/>
      <c r="BI572" s="115"/>
      <c r="BJ572" s="115"/>
      <c r="BK572" s="115"/>
      <c r="BL572" s="115"/>
      <c r="BM572" s="115"/>
      <c r="BN572" s="115"/>
      <c r="BO572" s="115"/>
      <c r="BP572" s="115"/>
      <c r="BQ572" s="115"/>
      <c r="BR572" s="25"/>
      <c r="BS572" s="13"/>
      <c r="BV572" s="114"/>
    </row>
    <row r="573" spans="1:74" ht="20.100000000000001" customHeight="1" x14ac:dyDescent="0.4">
      <c r="A573" s="117"/>
      <c r="B573" s="123"/>
      <c r="C573" s="123"/>
      <c r="D573" s="123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27"/>
      <c r="AJ573" s="127"/>
      <c r="AL573" s="115"/>
      <c r="AM573" s="115"/>
      <c r="AN573" s="115"/>
      <c r="AO573" s="115"/>
      <c r="AP573" s="115"/>
      <c r="AQ573" s="115"/>
      <c r="AR573" s="115"/>
      <c r="AS573" s="115"/>
      <c r="AT573" s="25"/>
      <c r="AU573" s="13"/>
      <c r="AZ573" s="116"/>
      <c r="BA573" s="123"/>
      <c r="BB573" s="123"/>
      <c r="BC573" s="123"/>
      <c r="BH573" s="115"/>
      <c r="BI573" s="115"/>
      <c r="BJ573" s="115"/>
      <c r="BK573" s="115"/>
      <c r="BL573" s="115"/>
      <c r="BM573" s="115"/>
      <c r="BN573" s="115"/>
      <c r="BO573" s="115"/>
      <c r="BP573" s="115"/>
      <c r="BQ573" s="115"/>
      <c r="BR573" s="25"/>
      <c r="BS573" s="13"/>
      <c r="BV573" s="114"/>
    </row>
    <row r="574" spans="1:74" ht="20.100000000000001" customHeight="1" x14ac:dyDescent="0.4">
      <c r="A574" s="117"/>
      <c r="B574" s="123"/>
      <c r="C574" s="123"/>
      <c r="D574" s="123"/>
      <c r="AI574" s="127"/>
      <c r="AJ574" s="127"/>
      <c r="AL574" s="115"/>
      <c r="AM574" s="115"/>
      <c r="AN574" s="115"/>
      <c r="AO574" s="115"/>
      <c r="AP574" s="115"/>
      <c r="AQ574" s="115"/>
      <c r="AR574" s="115"/>
      <c r="AS574" s="115"/>
      <c r="AT574" s="25"/>
      <c r="AU574" s="13"/>
      <c r="AZ574" s="116"/>
      <c r="BA574" s="123"/>
      <c r="BB574" s="123"/>
      <c r="BC574" s="123"/>
      <c r="BH574" s="115"/>
      <c r="BI574" s="115"/>
      <c r="BJ574" s="115"/>
      <c r="BK574" s="115"/>
      <c r="BL574" s="115"/>
      <c r="BM574" s="115"/>
      <c r="BN574" s="115"/>
      <c r="BO574" s="115"/>
      <c r="BP574" s="115"/>
      <c r="BQ574" s="115"/>
      <c r="BR574" s="25"/>
      <c r="BS574" s="13"/>
      <c r="BV574" s="114"/>
    </row>
    <row r="575" spans="1:74" ht="20.100000000000001" customHeight="1" x14ac:dyDescent="0.4">
      <c r="A575" s="117"/>
      <c r="B575" s="123"/>
      <c r="C575" s="123"/>
      <c r="D575" s="123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27"/>
      <c r="AJ575" s="127"/>
      <c r="AL575" s="115"/>
      <c r="AM575" s="115"/>
      <c r="AN575" s="115"/>
      <c r="AO575" s="115"/>
      <c r="AP575" s="115"/>
      <c r="AQ575" s="115"/>
      <c r="AR575" s="115"/>
      <c r="AS575" s="115"/>
      <c r="AT575" s="25"/>
      <c r="AU575" s="13"/>
      <c r="AZ575" s="116"/>
      <c r="BA575" s="123"/>
      <c r="BB575" s="123"/>
      <c r="BC575" s="123"/>
      <c r="BH575" s="115"/>
      <c r="BI575" s="115"/>
      <c r="BJ575" s="115"/>
      <c r="BK575" s="115"/>
      <c r="BL575" s="115"/>
      <c r="BM575" s="115"/>
      <c r="BN575" s="115"/>
      <c r="BO575" s="115"/>
      <c r="BP575" s="115"/>
      <c r="BQ575" s="115"/>
      <c r="BR575" s="25"/>
      <c r="BS575" s="13"/>
      <c r="BV575" s="114"/>
    </row>
    <row r="576" spans="1:74" ht="20.100000000000001" customHeight="1" x14ac:dyDescent="0.4">
      <c r="A576" s="117"/>
      <c r="B576" s="123"/>
      <c r="C576" s="123"/>
      <c r="D576" s="123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27"/>
      <c r="AJ576" s="29"/>
      <c r="AL576" s="115"/>
      <c r="AM576" s="115"/>
      <c r="AN576" s="115"/>
      <c r="AO576" s="115"/>
      <c r="AP576" s="115"/>
      <c r="AQ576" s="115"/>
      <c r="AR576" s="115"/>
      <c r="AS576" s="115"/>
      <c r="AT576" s="25"/>
      <c r="AU576" s="13"/>
      <c r="AZ576" s="116"/>
      <c r="BA576" s="123"/>
      <c r="BB576" s="123"/>
      <c r="BC576" s="123"/>
      <c r="BH576" s="115"/>
      <c r="BI576" s="115"/>
      <c r="BJ576" s="115"/>
      <c r="BK576" s="115"/>
      <c r="BL576" s="115"/>
      <c r="BM576" s="115"/>
      <c r="BN576" s="115"/>
      <c r="BO576" s="115"/>
      <c r="BP576" s="115"/>
      <c r="BQ576" s="115"/>
      <c r="BR576" s="25"/>
      <c r="BS576" s="13"/>
      <c r="BV576" s="114"/>
    </row>
    <row r="577" spans="1:74" ht="20.100000000000001" customHeight="1" x14ac:dyDescent="0.4">
      <c r="A577" s="117"/>
      <c r="B577" s="123"/>
      <c r="C577" s="123"/>
      <c r="D577" s="123"/>
      <c r="AI577" s="127"/>
      <c r="AJ577" s="29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25">
        <v>45675</v>
      </c>
      <c r="AU577" s="13" t="s">
        <v>146</v>
      </c>
      <c r="AZ577" s="116"/>
      <c r="BA577" s="123"/>
      <c r="BB577" s="123"/>
      <c r="BC577" s="123"/>
      <c r="BH577" s="115"/>
      <c r="BI577" s="115"/>
      <c r="BJ577" s="115"/>
      <c r="BK577" s="115"/>
      <c r="BL577" s="115"/>
      <c r="BM577" s="115"/>
      <c r="BN577" s="115"/>
      <c r="BO577" s="115"/>
      <c r="BP577" s="115"/>
      <c r="BQ577" s="115"/>
      <c r="BR577" s="25"/>
      <c r="BS577" s="13"/>
      <c r="BV577" s="114"/>
    </row>
    <row r="578" spans="1:74" ht="20.100000000000001" customHeight="1" x14ac:dyDescent="0.4">
      <c r="A578" s="117"/>
      <c r="B578" s="123"/>
      <c r="C578" s="123"/>
      <c r="D578" s="123"/>
      <c r="AA578" s="115"/>
      <c r="AB578" s="115"/>
      <c r="AC578" s="115"/>
      <c r="AD578" s="115"/>
      <c r="AE578" s="115"/>
      <c r="AF578" s="115"/>
      <c r="AG578" s="115"/>
      <c r="AH578" s="115"/>
      <c r="AI578" s="29"/>
      <c r="AJ578" s="29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25"/>
      <c r="AU578" s="13"/>
      <c r="AZ578" s="116"/>
      <c r="BA578" s="123"/>
      <c r="BB578" s="123"/>
      <c r="BC578" s="123"/>
      <c r="BH578" s="115"/>
      <c r="BI578" s="115"/>
      <c r="BJ578" s="115"/>
      <c r="BK578" s="115"/>
      <c r="BL578" s="115"/>
      <c r="BM578" s="115"/>
      <c r="BN578" s="115"/>
      <c r="BO578" s="115"/>
      <c r="BP578" s="115"/>
      <c r="BQ578" s="115"/>
      <c r="BR578" s="25"/>
      <c r="BS578" s="13"/>
      <c r="BV578" s="114"/>
    </row>
    <row r="579" spans="1:74" ht="20.100000000000001" customHeight="1" x14ac:dyDescent="0.4">
      <c r="A579" s="117"/>
      <c r="B579" s="123"/>
      <c r="C579" s="123"/>
      <c r="D579" s="123"/>
      <c r="AI579" s="127"/>
      <c r="AJ579" s="29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25">
        <v>45676</v>
      </c>
      <c r="AU579" s="13" t="s">
        <v>148</v>
      </c>
      <c r="AZ579" s="116"/>
      <c r="BA579" s="123"/>
      <c r="BB579" s="123"/>
      <c r="BC579" s="123"/>
      <c r="BH579" s="115"/>
      <c r="BI579" s="115"/>
      <c r="BJ579" s="115"/>
      <c r="BK579" s="115"/>
      <c r="BL579" s="115"/>
      <c r="BM579" s="115"/>
      <c r="BN579" s="115"/>
      <c r="BO579" s="115"/>
      <c r="BP579" s="115"/>
      <c r="BQ579" s="115"/>
      <c r="BR579" s="25"/>
      <c r="BS579" s="13"/>
      <c r="BV579" s="114"/>
    </row>
    <row r="580" spans="1:74" ht="20.100000000000001" customHeight="1" x14ac:dyDescent="0.4">
      <c r="A580" s="117"/>
      <c r="B580" s="123"/>
      <c r="C580" s="123"/>
      <c r="D580" s="123"/>
      <c r="AA580" s="115"/>
      <c r="AB580" s="115"/>
      <c r="AC580" s="115"/>
      <c r="AD580" s="115"/>
      <c r="AE580" s="115"/>
      <c r="AF580" s="115"/>
      <c r="AG580" s="115"/>
      <c r="AH580" s="115"/>
      <c r="AI580" s="29"/>
      <c r="AJ580" s="29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25"/>
      <c r="AU580" s="13"/>
      <c r="AZ580" s="116"/>
      <c r="BA580" s="123"/>
      <c r="BB580" s="123"/>
      <c r="BC580" s="123"/>
      <c r="BH580" s="115"/>
      <c r="BI580" s="115"/>
      <c r="BJ580" s="115"/>
      <c r="BK580" s="115"/>
      <c r="BL580" s="115"/>
      <c r="BM580" s="115"/>
      <c r="BN580" s="115"/>
      <c r="BO580" s="115"/>
      <c r="BP580" s="115"/>
      <c r="BQ580" s="115"/>
      <c r="BR580" s="25"/>
      <c r="BS580" s="13"/>
      <c r="BV580" s="114"/>
    </row>
    <row r="581" spans="1:74" ht="20.100000000000001" customHeight="1" x14ac:dyDescent="0.4">
      <c r="A581" s="117"/>
      <c r="B581" s="123"/>
      <c r="C581" s="123"/>
      <c r="D581" s="123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27"/>
      <c r="AJ581" s="29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25"/>
      <c r="AU581" s="13"/>
      <c r="AZ581" s="116"/>
      <c r="BA581" s="123"/>
      <c r="BB581" s="123"/>
      <c r="BC581" s="123"/>
      <c r="BH581" s="115"/>
      <c r="BI581" s="115"/>
      <c r="BJ581" s="115"/>
      <c r="BK581" s="115"/>
      <c r="BL581" s="115"/>
      <c r="BM581" s="115"/>
      <c r="BN581" s="115"/>
      <c r="BO581" s="115"/>
      <c r="BP581" s="115"/>
      <c r="BQ581" s="115"/>
      <c r="BR581" s="25"/>
      <c r="BS581" s="13"/>
      <c r="BV581" s="114"/>
    </row>
    <row r="582" spans="1:74" ht="20.100000000000001" customHeight="1" x14ac:dyDescent="0.4">
      <c r="A582" s="117"/>
      <c r="B582" s="123"/>
      <c r="C582" s="123"/>
      <c r="D582" s="123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29"/>
      <c r="AJ582" s="29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25"/>
      <c r="AU582" s="13"/>
      <c r="AZ582" s="116"/>
      <c r="BA582" s="123"/>
      <c r="BB582" s="123"/>
      <c r="BC582" s="123"/>
      <c r="BH582" s="115"/>
      <c r="BI582" s="115"/>
      <c r="BJ582" s="115"/>
      <c r="BK582" s="115"/>
      <c r="BL582" s="115"/>
      <c r="BM582" s="115"/>
      <c r="BN582" s="115"/>
      <c r="BO582" s="115"/>
      <c r="BP582" s="115"/>
      <c r="BQ582" s="115"/>
      <c r="BR582" s="25"/>
      <c r="BS582" s="13"/>
      <c r="BV582" s="114"/>
    </row>
    <row r="583" spans="1:74" ht="20.100000000000001" customHeight="1" x14ac:dyDescent="0.4">
      <c r="A583" s="117"/>
      <c r="B583" s="123"/>
      <c r="C583" s="123"/>
      <c r="D583" s="123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27"/>
      <c r="AJ583" s="29"/>
      <c r="AK583" s="115"/>
      <c r="AL583" s="115"/>
      <c r="AM583" s="115"/>
      <c r="AN583" s="115"/>
      <c r="AO583" s="115"/>
      <c r="AP583" s="115"/>
      <c r="AQ583" s="115"/>
      <c r="AR583" s="115"/>
      <c r="AS583" s="115"/>
      <c r="AT583" s="25"/>
      <c r="AU583" s="13"/>
      <c r="AZ583" s="116"/>
      <c r="BA583" s="123"/>
      <c r="BB583" s="123"/>
      <c r="BC583" s="123"/>
      <c r="BH583" s="115"/>
      <c r="BI583" s="115"/>
      <c r="BJ583" s="115"/>
      <c r="BK583" s="115"/>
      <c r="BL583" s="115"/>
      <c r="BM583" s="115"/>
      <c r="BN583" s="115"/>
      <c r="BO583" s="115"/>
      <c r="BP583" s="115"/>
      <c r="BQ583" s="115"/>
      <c r="BR583" s="25"/>
      <c r="BS583" s="13"/>
      <c r="BV583" s="114"/>
    </row>
    <row r="584" spans="1:74" ht="20.100000000000001" customHeight="1" x14ac:dyDescent="0.4">
      <c r="A584" s="117"/>
      <c r="B584" s="123"/>
      <c r="C584" s="123"/>
      <c r="D584" s="123"/>
      <c r="V584" s="115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27"/>
      <c r="AJ584" s="29"/>
      <c r="AK584" s="115"/>
      <c r="AL584" s="115"/>
      <c r="AM584" s="115"/>
      <c r="AN584" s="115"/>
      <c r="AO584" s="115"/>
      <c r="AP584" s="115"/>
      <c r="AQ584" s="115"/>
      <c r="AR584" s="115"/>
      <c r="AS584" s="115"/>
      <c r="AT584" s="25"/>
      <c r="AU584" s="13"/>
      <c r="AZ584" s="116"/>
      <c r="BA584" s="123"/>
      <c r="BB584" s="123"/>
      <c r="BC584" s="123"/>
      <c r="BH584" s="115"/>
      <c r="BI584" s="115"/>
      <c r="BJ584" s="115"/>
      <c r="BK584" s="115"/>
      <c r="BL584" s="115"/>
      <c r="BM584" s="115"/>
      <c r="BN584" s="115"/>
      <c r="BO584" s="115"/>
      <c r="BP584" s="115"/>
      <c r="BQ584" s="115"/>
      <c r="BR584" s="25"/>
      <c r="BS584" s="13"/>
      <c r="BV584" s="114"/>
    </row>
    <row r="585" spans="1:74" ht="20.100000000000001" customHeight="1" x14ac:dyDescent="0.4">
      <c r="A585" s="117"/>
      <c r="B585" s="123"/>
      <c r="C585" s="123"/>
      <c r="D585" s="123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27"/>
      <c r="AJ585" s="29"/>
      <c r="AK585" s="115"/>
      <c r="AL585" s="115"/>
      <c r="AM585" s="115"/>
      <c r="AN585" s="115"/>
      <c r="AO585" s="115"/>
      <c r="AP585" s="115"/>
      <c r="AQ585" s="115"/>
      <c r="AR585" s="115"/>
      <c r="AS585" s="115"/>
      <c r="AT585" s="25"/>
      <c r="AU585" s="13"/>
      <c r="AZ585" s="116"/>
      <c r="BA585" s="123"/>
      <c r="BB585" s="123"/>
      <c r="BC585" s="123"/>
      <c r="BH585" s="115"/>
      <c r="BI585" s="115"/>
      <c r="BJ585" s="115"/>
      <c r="BK585" s="115"/>
      <c r="BL585" s="115"/>
      <c r="BM585" s="115"/>
      <c r="BN585" s="115"/>
      <c r="BO585" s="115"/>
      <c r="BP585" s="115"/>
      <c r="BQ585" s="115"/>
      <c r="BR585" s="25"/>
      <c r="BS585" s="13"/>
      <c r="BV585" s="114"/>
    </row>
    <row r="586" spans="1:74" ht="20.100000000000001" customHeight="1" x14ac:dyDescent="0.4">
      <c r="A586" s="117"/>
      <c r="B586" s="123"/>
      <c r="C586" s="123"/>
      <c r="D586" s="123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27"/>
      <c r="AJ586" s="29"/>
      <c r="AK586" s="115"/>
      <c r="AL586" s="115"/>
      <c r="AM586" s="115"/>
      <c r="AN586" s="115"/>
      <c r="AO586" s="115"/>
      <c r="AP586" s="115"/>
      <c r="AQ586" s="115"/>
      <c r="AR586" s="115"/>
      <c r="AS586" s="115"/>
      <c r="AT586" s="25"/>
      <c r="AU586" s="13"/>
      <c r="AZ586" s="116"/>
      <c r="BA586" s="123"/>
      <c r="BB586" s="123"/>
      <c r="BC586" s="123"/>
      <c r="BH586" s="115"/>
      <c r="BI586" s="115"/>
      <c r="BJ586" s="115"/>
      <c r="BK586" s="115"/>
      <c r="BL586" s="115"/>
      <c r="BM586" s="115"/>
      <c r="BN586" s="115"/>
      <c r="BO586" s="115"/>
      <c r="BP586" s="115"/>
      <c r="BQ586" s="115"/>
      <c r="BR586" s="25"/>
      <c r="BS586" s="13"/>
      <c r="BV586" s="114"/>
    </row>
    <row r="587" spans="1:74" ht="20.100000000000001" customHeight="1" x14ac:dyDescent="0.4">
      <c r="A587" s="117"/>
      <c r="B587" s="123"/>
      <c r="C587" s="123"/>
      <c r="D587" s="123"/>
      <c r="AI587" s="127"/>
      <c r="AJ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25">
        <v>45677</v>
      </c>
      <c r="AU587" s="13" t="s">
        <v>146</v>
      </c>
      <c r="AZ587" s="116"/>
      <c r="BA587" s="123"/>
      <c r="BB587" s="123"/>
      <c r="BC587" s="123"/>
      <c r="BH587" s="115"/>
      <c r="BI587" s="115"/>
      <c r="BJ587" s="115"/>
      <c r="BK587" s="115"/>
      <c r="BL587" s="115"/>
      <c r="BM587" s="115"/>
      <c r="BN587" s="115"/>
      <c r="BO587" s="115"/>
      <c r="BP587" s="115"/>
      <c r="BQ587" s="115"/>
      <c r="BR587" s="25"/>
      <c r="BS587" s="13"/>
      <c r="BV587" s="114"/>
    </row>
    <row r="588" spans="1:74" ht="20.100000000000001" customHeight="1" x14ac:dyDescent="0.4">
      <c r="A588" s="117"/>
      <c r="B588" s="123"/>
      <c r="C588" s="123"/>
      <c r="D588" s="123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27"/>
      <c r="AJ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25"/>
      <c r="AU588" s="13"/>
      <c r="AZ588" s="116"/>
      <c r="BA588" s="123"/>
      <c r="BB588" s="123"/>
      <c r="BC588" s="123"/>
      <c r="BH588" s="115"/>
      <c r="BI588" s="115"/>
      <c r="BJ588" s="115"/>
      <c r="BK588" s="115"/>
      <c r="BL588" s="115"/>
      <c r="BM588" s="115"/>
      <c r="BN588" s="115"/>
      <c r="BO588" s="115"/>
      <c r="BP588" s="115"/>
      <c r="BQ588" s="115"/>
      <c r="BR588" s="25"/>
      <c r="BS588" s="13"/>
      <c r="BV588" s="114"/>
    </row>
    <row r="589" spans="1:74" ht="20.100000000000001" customHeight="1" x14ac:dyDescent="0.4">
      <c r="A589" s="117"/>
      <c r="B589" s="123"/>
      <c r="C589" s="123"/>
      <c r="D589" s="123"/>
      <c r="AI589" s="127"/>
      <c r="AJ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25"/>
      <c r="AU589" s="13"/>
      <c r="AZ589" s="116"/>
      <c r="BA589" s="123"/>
      <c r="BB589" s="123"/>
      <c r="BC589" s="123"/>
      <c r="BH589" s="115"/>
      <c r="BI589" s="115"/>
      <c r="BJ589" s="115"/>
      <c r="BK589" s="115"/>
      <c r="BL589" s="115"/>
      <c r="BM589" s="115"/>
      <c r="BN589" s="115"/>
      <c r="BO589" s="115"/>
      <c r="BP589" s="115"/>
      <c r="BQ589" s="115"/>
      <c r="BR589" s="25"/>
      <c r="BS589" s="13"/>
      <c r="BV589" s="114"/>
    </row>
    <row r="590" spans="1:74" ht="20.100000000000001" customHeight="1" x14ac:dyDescent="0.4">
      <c r="A590" s="117"/>
      <c r="B590" s="123"/>
      <c r="C590" s="123"/>
      <c r="D590" s="123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27"/>
      <c r="AJ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25"/>
      <c r="AU590" s="13"/>
      <c r="AZ590" s="116"/>
      <c r="BA590" s="123"/>
      <c r="BB590" s="123"/>
      <c r="BC590" s="123"/>
      <c r="BH590" s="115"/>
      <c r="BI590" s="115"/>
      <c r="BJ590" s="115"/>
      <c r="BK590" s="115"/>
      <c r="BL590" s="115"/>
      <c r="BM590" s="115"/>
      <c r="BN590" s="115"/>
      <c r="BO590" s="115"/>
      <c r="BP590" s="115"/>
      <c r="BQ590" s="115"/>
      <c r="BR590" s="25"/>
      <c r="BS590" s="13"/>
      <c r="BV590" s="114"/>
    </row>
    <row r="591" spans="1:74" ht="20.100000000000001" customHeight="1" x14ac:dyDescent="0.4">
      <c r="A591" s="117"/>
      <c r="B591" s="123"/>
      <c r="C591" s="123"/>
      <c r="D591" s="123"/>
      <c r="W591" s="115"/>
      <c r="X591" s="115"/>
      <c r="Y591" s="115"/>
      <c r="Z591" s="115"/>
      <c r="AA591" s="115"/>
      <c r="AB591" s="115"/>
      <c r="AC591" s="115"/>
      <c r="AD591" s="115"/>
      <c r="AE591" s="115"/>
      <c r="AF591" s="115"/>
      <c r="AG591" s="115"/>
      <c r="AH591" s="115"/>
      <c r="AI591" s="127"/>
      <c r="AJ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25"/>
      <c r="AU591" s="13"/>
      <c r="AZ591" s="116"/>
      <c r="BA591" s="123"/>
      <c r="BB591" s="123"/>
      <c r="BC591" s="123"/>
      <c r="BH591" s="115"/>
      <c r="BI591" s="115"/>
      <c r="BJ591" s="115"/>
      <c r="BK591" s="115"/>
      <c r="BL591" s="115"/>
      <c r="BM591" s="115"/>
      <c r="BN591" s="115"/>
      <c r="BO591" s="115"/>
      <c r="BP591" s="115"/>
      <c r="BQ591" s="115"/>
      <c r="BR591" s="25"/>
      <c r="BS591" s="13"/>
      <c r="BV591" s="114"/>
    </row>
    <row r="592" spans="1:74" ht="20.100000000000001" customHeight="1" x14ac:dyDescent="0.4">
      <c r="A592" s="117"/>
      <c r="B592" s="123"/>
      <c r="C592" s="123"/>
      <c r="D592" s="123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27"/>
      <c r="AJ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25"/>
      <c r="AU592" s="13"/>
      <c r="AZ592" s="116"/>
      <c r="BA592" s="123"/>
      <c r="BB592" s="123"/>
      <c r="BC592" s="123"/>
      <c r="BH592" s="115"/>
      <c r="BI592" s="115"/>
      <c r="BJ592" s="115"/>
      <c r="BK592" s="115"/>
      <c r="BL592" s="115"/>
      <c r="BM592" s="115"/>
      <c r="BN592" s="115"/>
      <c r="BO592" s="115"/>
      <c r="BP592" s="115"/>
      <c r="BQ592" s="115"/>
      <c r="BR592" s="25"/>
      <c r="BS592" s="13"/>
      <c r="BV592" s="114"/>
    </row>
    <row r="593" spans="1:74" ht="20.100000000000001" customHeight="1" x14ac:dyDescent="0.4">
      <c r="A593" s="117"/>
      <c r="B593" s="123"/>
      <c r="C593" s="123"/>
      <c r="D593" s="123"/>
      <c r="AI593" s="127"/>
      <c r="AJ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25">
        <v>45677</v>
      </c>
      <c r="AU593" s="13" t="s">
        <v>146</v>
      </c>
      <c r="AZ593" s="116"/>
      <c r="BA593" s="123"/>
      <c r="BB593" s="123"/>
      <c r="BC593" s="123"/>
      <c r="BH593" s="115"/>
      <c r="BI593" s="115"/>
      <c r="BJ593" s="115"/>
      <c r="BK593" s="115"/>
      <c r="BL593" s="115"/>
      <c r="BM593" s="115"/>
      <c r="BN593" s="115"/>
      <c r="BO593" s="115"/>
      <c r="BP593" s="115"/>
      <c r="BQ593" s="115"/>
      <c r="BR593" s="25"/>
      <c r="BS593" s="13"/>
      <c r="BV593" s="114"/>
    </row>
    <row r="594" spans="1:74" ht="20.100000000000001" customHeight="1" x14ac:dyDescent="0.4">
      <c r="A594" s="117"/>
      <c r="B594" s="123"/>
      <c r="C594" s="123"/>
      <c r="D594" s="123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27"/>
      <c r="AJ594" s="29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25"/>
      <c r="AU594" s="13"/>
      <c r="AZ594" s="116"/>
      <c r="BA594" s="123"/>
      <c r="BB594" s="123"/>
      <c r="BC594" s="123"/>
      <c r="BH594" s="115"/>
      <c r="BI594" s="115"/>
      <c r="BJ594" s="115"/>
      <c r="BK594" s="115"/>
      <c r="BL594" s="115"/>
      <c r="BM594" s="115"/>
      <c r="BN594" s="115"/>
      <c r="BO594" s="115"/>
      <c r="BP594" s="115"/>
      <c r="BQ594" s="115"/>
      <c r="BR594" s="25"/>
      <c r="BS594" s="13"/>
      <c r="BV594" s="114"/>
    </row>
    <row r="595" spans="1:74" ht="20.100000000000001" customHeight="1" x14ac:dyDescent="0.4">
      <c r="A595" s="117"/>
      <c r="B595" s="123"/>
      <c r="C595" s="123"/>
      <c r="D595" s="123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27"/>
      <c r="AJ595" s="29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5"/>
      <c r="AU595" s="13"/>
      <c r="AZ595" s="116"/>
      <c r="BA595" s="123"/>
      <c r="BB595" s="123"/>
      <c r="BC595" s="123"/>
      <c r="BH595" s="115"/>
      <c r="BI595" s="115"/>
      <c r="BJ595" s="115"/>
      <c r="BK595" s="115"/>
      <c r="BL595" s="115"/>
      <c r="BM595" s="115"/>
      <c r="BN595" s="115"/>
      <c r="BO595" s="115"/>
      <c r="BP595" s="115"/>
      <c r="BQ595" s="115"/>
      <c r="BR595" s="25"/>
      <c r="BS595" s="13"/>
      <c r="BV595" s="114"/>
    </row>
    <row r="596" spans="1:74" ht="20.100000000000001" customHeight="1" x14ac:dyDescent="0.4">
      <c r="A596" s="117"/>
      <c r="B596" s="123"/>
      <c r="C596" s="123"/>
      <c r="D596" s="123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29"/>
      <c r="AJ596" s="29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25"/>
      <c r="AU596" s="13"/>
      <c r="AZ596" s="116"/>
      <c r="BA596" s="123"/>
      <c r="BB596" s="123"/>
      <c r="BC596" s="123"/>
      <c r="BH596" s="115"/>
      <c r="BI596" s="115"/>
      <c r="BJ596" s="115"/>
      <c r="BK596" s="115"/>
      <c r="BL596" s="115"/>
      <c r="BM596" s="115"/>
      <c r="BN596" s="115"/>
      <c r="BO596" s="115"/>
      <c r="BP596" s="115"/>
      <c r="BQ596" s="115"/>
      <c r="BR596" s="25"/>
      <c r="BS596" s="13"/>
      <c r="BV596" s="114"/>
    </row>
    <row r="597" spans="1:74" ht="20.100000000000001" customHeight="1" x14ac:dyDescent="0.4">
      <c r="A597" s="117"/>
      <c r="B597" s="123"/>
      <c r="C597" s="123"/>
      <c r="D597" s="123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27"/>
      <c r="AJ597" s="29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5"/>
      <c r="AU597" s="13"/>
      <c r="AZ597" s="116"/>
      <c r="BA597" s="123"/>
      <c r="BB597" s="123"/>
      <c r="BC597" s="123"/>
      <c r="BH597" s="115"/>
      <c r="BI597" s="115"/>
      <c r="BJ597" s="115"/>
      <c r="BK597" s="115"/>
      <c r="BL597" s="115"/>
      <c r="BM597" s="115"/>
      <c r="BN597" s="115"/>
      <c r="BO597" s="115"/>
      <c r="BP597" s="115"/>
      <c r="BQ597" s="115"/>
      <c r="BR597" s="25"/>
      <c r="BS597" s="13"/>
      <c r="BV597" s="114"/>
    </row>
    <row r="598" spans="1:74" ht="20.100000000000001" customHeight="1" x14ac:dyDescent="0.4">
      <c r="A598" s="117"/>
      <c r="B598" s="123"/>
      <c r="C598" s="123"/>
      <c r="D598" s="123"/>
      <c r="AI598" s="127"/>
      <c r="AJ598" s="29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5">
        <v>45677</v>
      </c>
      <c r="AU598" s="13" t="s">
        <v>148</v>
      </c>
      <c r="AZ598" s="116"/>
      <c r="BA598" s="123"/>
      <c r="BB598" s="123"/>
      <c r="BC598" s="123"/>
      <c r="BH598" s="115"/>
      <c r="BI598" s="115"/>
      <c r="BJ598" s="115"/>
      <c r="BK598" s="115"/>
      <c r="BL598" s="115"/>
      <c r="BM598" s="115"/>
      <c r="BN598" s="115"/>
      <c r="BO598" s="115"/>
      <c r="BP598" s="115"/>
      <c r="BQ598" s="115"/>
      <c r="BR598" s="25"/>
      <c r="BS598" s="13"/>
      <c r="BV598" s="114"/>
    </row>
    <row r="599" spans="1:74" ht="19.5" x14ac:dyDescent="0.4">
      <c r="A599" s="117"/>
      <c r="B599" s="123"/>
      <c r="C599" s="123"/>
      <c r="D599" s="123"/>
      <c r="AI599" s="127"/>
      <c r="AJ599" s="29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25"/>
      <c r="AU599" s="13"/>
      <c r="AZ599" s="116"/>
      <c r="BA599" s="123"/>
      <c r="BB599" s="123"/>
      <c r="BC599" s="123"/>
      <c r="BH599" s="115"/>
      <c r="BI599" s="115"/>
      <c r="BJ599" s="115"/>
      <c r="BK599" s="115"/>
      <c r="BL599" s="115"/>
      <c r="BM599" s="115"/>
      <c r="BN599" s="115"/>
      <c r="BO599" s="115"/>
      <c r="BP599" s="115"/>
      <c r="BQ599" s="115"/>
      <c r="BR599" s="25"/>
      <c r="BS599" s="13"/>
      <c r="BV599" s="114"/>
    </row>
    <row r="600" spans="1:74" ht="19.5" x14ac:dyDescent="0.4">
      <c r="A600" s="117"/>
      <c r="B600" s="123"/>
      <c r="C600" s="123"/>
      <c r="D600" s="123"/>
      <c r="AA600" s="115"/>
      <c r="AB600" s="115"/>
      <c r="AC600" s="115"/>
      <c r="AD600" s="115"/>
      <c r="AE600" s="115"/>
      <c r="AF600" s="115"/>
      <c r="AG600" s="115"/>
      <c r="AH600" s="115"/>
      <c r="AI600" s="29"/>
      <c r="AJ600" s="29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25"/>
      <c r="AU600" s="13"/>
      <c r="AZ600" s="116"/>
      <c r="BA600" s="123"/>
      <c r="BB600" s="123"/>
      <c r="BC600" s="123"/>
      <c r="BH600" s="115"/>
      <c r="BI600" s="115"/>
      <c r="BJ600" s="115"/>
      <c r="BK600" s="115"/>
      <c r="BL600" s="115"/>
      <c r="BM600" s="115"/>
      <c r="BN600" s="115"/>
      <c r="BO600" s="115"/>
      <c r="BP600" s="115"/>
      <c r="BQ600" s="115"/>
      <c r="BR600" s="25"/>
      <c r="BS600" s="13"/>
      <c r="BV600" s="114"/>
    </row>
    <row r="601" spans="1:74" ht="19.5" x14ac:dyDescent="0.4">
      <c r="A601" s="117"/>
      <c r="B601" s="123"/>
      <c r="C601" s="123"/>
      <c r="D601" s="123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27"/>
      <c r="AJ601" s="29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5"/>
      <c r="AU601" s="13"/>
      <c r="AZ601" s="116"/>
      <c r="BA601" s="123"/>
      <c r="BB601" s="123"/>
      <c r="BC601" s="123"/>
      <c r="BH601" s="115"/>
      <c r="BI601" s="115"/>
      <c r="BJ601" s="115"/>
      <c r="BK601" s="115"/>
      <c r="BL601" s="115"/>
      <c r="BM601" s="115"/>
      <c r="BN601" s="115"/>
      <c r="BO601" s="115"/>
      <c r="BP601" s="115"/>
      <c r="BQ601" s="115"/>
      <c r="BR601" s="25"/>
      <c r="BS601" s="13"/>
      <c r="BV601" s="114"/>
    </row>
    <row r="602" spans="1:74" ht="19.5" x14ac:dyDescent="0.4">
      <c r="A602" s="117"/>
      <c r="B602" s="123"/>
      <c r="C602" s="123"/>
      <c r="D602" s="123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29"/>
      <c r="AJ602" s="29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25"/>
      <c r="AU602" s="13"/>
      <c r="AZ602" s="116"/>
      <c r="BA602" s="123"/>
      <c r="BB602" s="123"/>
      <c r="BC602" s="123"/>
      <c r="BH602" s="115"/>
      <c r="BI602" s="115"/>
      <c r="BJ602" s="115"/>
      <c r="BK602" s="115"/>
      <c r="BL602" s="115"/>
      <c r="BM602" s="115"/>
      <c r="BN602" s="115"/>
      <c r="BO602" s="115"/>
      <c r="BP602" s="115"/>
      <c r="BQ602" s="115"/>
      <c r="BR602" s="25"/>
      <c r="BS602" s="13"/>
      <c r="BV602" s="114"/>
    </row>
    <row r="603" spans="1:74" ht="19.5" x14ac:dyDescent="0.4">
      <c r="A603" s="117"/>
      <c r="B603" s="123"/>
      <c r="C603" s="123"/>
      <c r="D603" s="123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27"/>
      <c r="AJ603" s="29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5"/>
      <c r="AU603" s="13"/>
      <c r="AZ603" s="116"/>
      <c r="BA603" s="123"/>
      <c r="BB603" s="123"/>
      <c r="BC603" s="123"/>
      <c r="BH603" s="115"/>
      <c r="BI603" s="115"/>
      <c r="BJ603" s="115"/>
      <c r="BK603" s="115"/>
      <c r="BL603" s="115"/>
      <c r="BM603" s="115"/>
      <c r="BN603" s="115"/>
      <c r="BO603" s="115"/>
      <c r="BP603" s="115"/>
      <c r="BQ603" s="115"/>
      <c r="BR603" s="25"/>
      <c r="BS603" s="13"/>
      <c r="BV603" s="114"/>
    </row>
    <row r="604" spans="1:74" ht="19.5" x14ac:dyDescent="0.4">
      <c r="A604" s="117"/>
      <c r="B604" s="123"/>
      <c r="C604" s="123"/>
      <c r="D604" s="123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29"/>
      <c r="AJ604" s="29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5"/>
      <c r="AU604" s="13"/>
      <c r="AZ604" s="116"/>
      <c r="BA604" s="123"/>
      <c r="BB604" s="123"/>
      <c r="BC604" s="123"/>
      <c r="BH604" s="115"/>
      <c r="BI604" s="115"/>
      <c r="BJ604" s="115"/>
      <c r="BK604" s="115"/>
      <c r="BL604" s="115"/>
      <c r="BM604" s="115"/>
      <c r="BN604" s="115"/>
      <c r="BO604" s="115"/>
      <c r="BP604" s="115"/>
      <c r="BQ604" s="115"/>
      <c r="BR604" s="25"/>
      <c r="BS604" s="13"/>
      <c r="BV604" s="114"/>
    </row>
    <row r="605" spans="1:74" ht="19.5" x14ac:dyDescent="0.4">
      <c r="A605" s="117"/>
      <c r="B605" s="123"/>
      <c r="C605" s="123"/>
      <c r="D605" s="123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27"/>
      <c r="AJ605" s="29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5"/>
      <c r="AU605" s="13"/>
      <c r="AZ605" s="116"/>
      <c r="BA605" s="123"/>
      <c r="BB605" s="123"/>
      <c r="BC605" s="123"/>
      <c r="BH605" s="115"/>
      <c r="BI605" s="115"/>
      <c r="BJ605" s="115"/>
      <c r="BK605" s="115"/>
      <c r="BL605" s="115"/>
      <c r="BM605" s="115"/>
      <c r="BN605" s="115"/>
      <c r="BO605" s="115"/>
      <c r="BP605" s="115"/>
      <c r="BQ605" s="115"/>
      <c r="BR605" s="25"/>
      <c r="BS605" s="13"/>
      <c r="BV605" s="114"/>
    </row>
    <row r="606" spans="1:74" ht="19.5" x14ac:dyDescent="0.4">
      <c r="A606" s="117"/>
      <c r="B606" s="123"/>
      <c r="C606" s="123"/>
      <c r="D606" s="123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27"/>
      <c r="AJ606" s="29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25"/>
      <c r="AU606" s="13"/>
      <c r="AZ606" s="116"/>
      <c r="BA606" s="123"/>
      <c r="BB606" s="123"/>
      <c r="BC606" s="123"/>
      <c r="BH606" s="115"/>
      <c r="BI606" s="115"/>
      <c r="BJ606" s="115"/>
      <c r="BK606" s="115"/>
      <c r="BL606" s="115"/>
      <c r="BM606" s="115"/>
      <c r="BN606" s="115"/>
      <c r="BO606" s="115"/>
      <c r="BP606" s="115"/>
      <c r="BQ606" s="115"/>
      <c r="BR606" s="25"/>
      <c r="BS606" s="13"/>
      <c r="BV606" s="114"/>
    </row>
    <row r="607" spans="1:74" ht="19.5" x14ac:dyDescent="0.4">
      <c r="A607" s="117"/>
      <c r="B607" s="123"/>
      <c r="C607" s="123"/>
      <c r="D607" s="123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27"/>
      <c r="AJ607" s="29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25"/>
      <c r="AU607" s="13"/>
      <c r="AZ607" s="116"/>
      <c r="BA607" s="123"/>
      <c r="BB607" s="123"/>
      <c r="BC607" s="123"/>
      <c r="BH607" s="115"/>
      <c r="BI607" s="115"/>
      <c r="BJ607" s="115"/>
      <c r="BK607" s="115"/>
      <c r="BL607" s="115"/>
      <c r="BM607" s="115"/>
      <c r="BN607" s="115"/>
      <c r="BO607" s="115"/>
      <c r="BP607" s="115"/>
      <c r="BQ607" s="115"/>
      <c r="BR607" s="25"/>
      <c r="BS607" s="13"/>
      <c r="BV607" s="114"/>
    </row>
    <row r="608" spans="1:74" ht="19.5" x14ac:dyDescent="0.4">
      <c r="A608" s="117"/>
      <c r="B608" s="123"/>
      <c r="C608" s="123"/>
      <c r="D608" s="123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29"/>
      <c r="AJ608" s="29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25"/>
      <c r="AU608" s="13"/>
      <c r="AZ608" s="116"/>
      <c r="BA608" s="123"/>
      <c r="BB608" s="123"/>
      <c r="BC608" s="123"/>
      <c r="BH608" s="115"/>
      <c r="BI608" s="115"/>
      <c r="BJ608" s="115"/>
      <c r="BK608" s="115"/>
      <c r="BL608" s="115"/>
      <c r="BM608" s="115"/>
      <c r="BN608" s="115"/>
      <c r="BO608" s="115"/>
      <c r="BP608" s="115"/>
      <c r="BQ608" s="115"/>
      <c r="BR608" s="25"/>
      <c r="BS608" s="13"/>
      <c r="BV608" s="114"/>
    </row>
    <row r="609" spans="1:74" ht="19.5" x14ac:dyDescent="0.4">
      <c r="A609" s="117"/>
      <c r="B609" s="123"/>
      <c r="C609" s="123"/>
      <c r="D609" s="123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27"/>
      <c r="AJ609" s="29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5"/>
      <c r="AU609" s="13"/>
      <c r="AZ609" s="116"/>
      <c r="BA609" s="123"/>
      <c r="BB609" s="123"/>
      <c r="BC609" s="123"/>
      <c r="BH609" s="115"/>
      <c r="BI609" s="115"/>
      <c r="BJ609" s="115"/>
      <c r="BK609" s="115"/>
      <c r="BL609" s="115"/>
      <c r="BM609" s="115"/>
      <c r="BN609" s="115"/>
      <c r="BO609" s="115"/>
      <c r="BP609" s="115"/>
      <c r="BQ609" s="115"/>
      <c r="BR609" s="25"/>
      <c r="BS609" s="13"/>
      <c r="BV609" s="114"/>
    </row>
    <row r="610" spans="1:74" ht="19.5" x14ac:dyDescent="0.4">
      <c r="A610" s="117"/>
      <c r="B610" s="123"/>
      <c r="C610" s="123"/>
      <c r="D610" s="123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29"/>
      <c r="AJ610" s="29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5"/>
      <c r="AU610" s="13"/>
      <c r="AZ610" s="116"/>
      <c r="BA610" s="123"/>
      <c r="BB610" s="123"/>
      <c r="BC610" s="123"/>
      <c r="BH610" s="115"/>
      <c r="BI610" s="115"/>
      <c r="BJ610" s="115"/>
      <c r="BK610" s="115"/>
      <c r="BL610" s="115"/>
      <c r="BM610" s="115"/>
      <c r="BN610" s="115"/>
      <c r="BO610" s="115"/>
      <c r="BP610" s="115"/>
      <c r="BQ610" s="115"/>
      <c r="BR610" s="25"/>
      <c r="BS610" s="13"/>
      <c r="BV610" s="114"/>
    </row>
    <row r="611" spans="1:74" ht="19.5" x14ac:dyDescent="0.4">
      <c r="A611" s="117"/>
      <c r="B611" s="123"/>
      <c r="C611" s="123"/>
      <c r="D611" s="123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115"/>
      <c r="AE611" s="115"/>
      <c r="AF611" s="115"/>
      <c r="AG611" s="115"/>
      <c r="AH611" s="115"/>
      <c r="AI611" s="127"/>
      <c r="AJ611" s="29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5"/>
      <c r="AU611" s="13"/>
      <c r="AZ611" s="116"/>
      <c r="BA611" s="123"/>
      <c r="BB611" s="123"/>
      <c r="BC611" s="123"/>
      <c r="BH611" s="115"/>
      <c r="BI611" s="115"/>
      <c r="BJ611" s="115"/>
      <c r="BK611" s="115"/>
      <c r="BL611" s="115"/>
      <c r="BM611" s="115"/>
      <c r="BN611" s="115"/>
      <c r="BO611" s="115"/>
      <c r="BP611" s="115"/>
      <c r="BQ611" s="115"/>
      <c r="BR611" s="25"/>
      <c r="BS611" s="13"/>
      <c r="BV611" s="114"/>
    </row>
    <row r="612" spans="1:74" ht="19.5" x14ac:dyDescent="0.4">
      <c r="A612" s="117"/>
      <c r="B612" s="123"/>
      <c r="C612" s="123"/>
      <c r="D612" s="123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29"/>
      <c r="AJ612" s="29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25"/>
      <c r="AU612" s="13"/>
      <c r="AZ612" s="116"/>
      <c r="BA612" s="123"/>
      <c r="BB612" s="123"/>
      <c r="BC612" s="123"/>
      <c r="BH612" s="115"/>
      <c r="BI612" s="115"/>
      <c r="BJ612" s="115"/>
      <c r="BK612" s="115"/>
      <c r="BL612" s="115"/>
      <c r="BM612" s="115"/>
      <c r="BN612" s="115"/>
      <c r="BO612" s="115"/>
      <c r="BP612" s="115"/>
      <c r="BQ612" s="115"/>
      <c r="BR612" s="25"/>
      <c r="BS612" s="13"/>
      <c r="BV612" s="114"/>
    </row>
    <row r="613" spans="1:74" ht="19.5" x14ac:dyDescent="0.4">
      <c r="A613" s="117"/>
      <c r="B613" s="123"/>
      <c r="C613" s="123"/>
      <c r="D613" s="123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29"/>
      <c r="AJ613" s="29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25"/>
      <c r="AU613" s="13"/>
      <c r="AZ613" s="116"/>
      <c r="BA613" s="123"/>
      <c r="BB613" s="123"/>
      <c r="BC613" s="123"/>
      <c r="BH613" s="115"/>
      <c r="BI613" s="115"/>
      <c r="BJ613" s="115"/>
      <c r="BK613" s="115"/>
      <c r="BL613" s="115"/>
      <c r="BM613" s="115"/>
      <c r="BN613" s="115"/>
      <c r="BO613" s="115"/>
      <c r="BP613" s="115"/>
      <c r="BQ613" s="115"/>
      <c r="BR613" s="25"/>
      <c r="BS613" s="13"/>
      <c r="BV613" s="114"/>
    </row>
    <row r="614" spans="1:74" ht="19.5" x14ac:dyDescent="0.4">
      <c r="A614" s="117"/>
      <c r="B614" s="123"/>
      <c r="C614" s="123"/>
      <c r="D614" s="123"/>
      <c r="AI614" s="127"/>
      <c r="AJ614" s="29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5">
        <v>45677</v>
      </c>
      <c r="AU614" s="13" t="s">
        <v>146</v>
      </c>
      <c r="AZ614" s="116"/>
      <c r="BA614" s="123"/>
      <c r="BB614" s="123"/>
      <c r="BC614" s="123"/>
      <c r="BH614" s="115"/>
      <c r="BI614" s="115"/>
      <c r="BJ614" s="115"/>
      <c r="BK614" s="115"/>
      <c r="BL614" s="115"/>
      <c r="BM614" s="115"/>
      <c r="BN614" s="115"/>
      <c r="BO614" s="115"/>
      <c r="BP614" s="115"/>
      <c r="BQ614" s="115"/>
      <c r="BR614" s="25"/>
      <c r="BS614" s="13"/>
      <c r="BV614" s="114"/>
    </row>
    <row r="615" spans="1:74" ht="19.5" x14ac:dyDescent="0.4">
      <c r="A615" s="117"/>
      <c r="B615" s="123"/>
      <c r="C615" s="123"/>
      <c r="D615" s="123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27"/>
      <c r="AJ615" s="29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25"/>
      <c r="AU615" s="13"/>
      <c r="AZ615" s="116"/>
      <c r="BA615" s="123"/>
      <c r="BB615" s="123"/>
      <c r="BC615" s="123"/>
      <c r="BH615" s="115"/>
      <c r="BI615" s="115"/>
      <c r="BJ615" s="115"/>
      <c r="BK615" s="115"/>
      <c r="BL615" s="115"/>
      <c r="BM615" s="115"/>
      <c r="BN615" s="115"/>
      <c r="BO615" s="115"/>
      <c r="BP615" s="115"/>
      <c r="BQ615" s="115"/>
      <c r="BR615" s="25"/>
      <c r="BS615" s="13"/>
      <c r="BV615" s="114"/>
    </row>
    <row r="616" spans="1:74" ht="19.5" x14ac:dyDescent="0.4">
      <c r="A616" s="117"/>
      <c r="B616" s="123"/>
      <c r="C616" s="123"/>
      <c r="D616" s="123"/>
      <c r="AI616" s="127"/>
      <c r="AJ616" s="29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25"/>
      <c r="AU616" s="13"/>
      <c r="AZ616" s="116"/>
      <c r="BA616" s="123"/>
      <c r="BB616" s="123"/>
      <c r="BC616" s="123"/>
      <c r="BH616" s="115"/>
      <c r="BI616" s="115"/>
      <c r="BJ616" s="115"/>
      <c r="BK616" s="115"/>
      <c r="BL616" s="115"/>
      <c r="BM616" s="115"/>
      <c r="BN616" s="115"/>
      <c r="BO616" s="115"/>
      <c r="BP616" s="115"/>
      <c r="BQ616" s="115"/>
      <c r="BR616" s="25"/>
      <c r="BS616" s="13"/>
      <c r="BV616" s="114"/>
    </row>
    <row r="617" spans="1:74" ht="19.5" x14ac:dyDescent="0.4">
      <c r="A617" s="117"/>
      <c r="B617" s="123"/>
      <c r="C617" s="123"/>
      <c r="D617" s="123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27"/>
      <c r="AJ617" s="29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25"/>
      <c r="AU617" s="13"/>
      <c r="AZ617" s="116"/>
      <c r="BA617" s="123"/>
      <c r="BB617" s="123"/>
      <c r="BC617" s="123"/>
      <c r="BH617" s="115"/>
      <c r="BI617" s="115"/>
      <c r="BJ617" s="115"/>
      <c r="BK617" s="115"/>
      <c r="BL617" s="115"/>
      <c r="BM617" s="115"/>
      <c r="BN617" s="115"/>
      <c r="BO617" s="115"/>
      <c r="BP617" s="115"/>
      <c r="BQ617" s="115"/>
      <c r="BR617" s="25"/>
      <c r="BS617" s="13"/>
      <c r="BV617" s="114"/>
    </row>
    <row r="618" spans="1:74" ht="19.5" x14ac:dyDescent="0.4">
      <c r="A618" s="117"/>
      <c r="B618" s="123"/>
      <c r="C618" s="123"/>
      <c r="D618" s="123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27"/>
      <c r="AJ618" s="29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5"/>
      <c r="AU618" s="13"/>
      <c r="AZ618" s="116"/>
      <c r="BA618" s="123"/>
      <c r="BB618" s="123"/>
      <c r="BC618" s="123"/>
      <c r="BH618" s="115"/>
      <c r="BI618" s="115"/>
      <c r="BJ618" s="115"/>
      <c r="BK618" s="115"/>
      <c r="BL618" s="115"/>
      <c r="BM618" s="115"/>
      <c r="BN618" s="115"/>
      <c r="BO618" s="115"/>
      <c r="BP618" s="115"/>
      <c r="BQ618" s="115"/>
      <c r="BR618" s="25"/>
      <c r="BS618" s="13"/>
      <c r="BV618" s="114"/>
    </row>
    <row r="619" spans="1:74" ht="19.5" x14ac:dyDescent="0.4">
      <c r="A619" s="117"/>
      <c r="B619" s="123"/>
      <c r="C619" s="123"/>
      <c r="D619" s="123"/>
      <c r="AI619" s="127"/>
      <c r="AJ619" s="29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5"/>
      <c r="AU619" s="13"/>
      <c r="AZ619" s="116"/>
      <c r="BA619" s="123"/>
      <c r="BB619" s="123"/>
      <c r="BC619" s="123"/>
      <c r="BH619" s="115"/>
      <c r="BI619" s="115"/>
      <c r="BJ619" s="115"/>
      <c r="BK619" s="115"/>
      <c r="BL619" s="115"/>
      <c r="BM619" s="115"/>
      <c r="BN619" s="115"/>
      <c r="BO619" s="115"/>
      <c r="BP619" s="115"/>
      <c r="BQ619" s="115"/>
      <c r="BR619" s="25"/>
      <c r="BS619" s="13"/>
      <c r="BV619" s="114"/>
    </row>
    <row r="620" spans="1:74" ht="19.5" x14ac:dyDescent="0.4">
      <c r="A620" s="117"/>
      <c r="B620" s="123"/>
      <c r="C620" s="123"/>
      <c r="D620" s="123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27"/>
      <c r="AJ620" s="29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25"/>
      <c r="AU620" s="13"/>
      <c r="AZ620" s="116"/>
      <c r="BA620" s="123"/>
      <c r="BB620" s="123"/>
      <c r="BC620" s="123"/>
      <c r="BH620" s="115"/>
      <c r="BI620" s="115"/>
      <c r="BJ620" s="115"/>
      <c r="BK620" s="115"/>
      <c r="BL620" s="115"/>
      <c r="BM620" s="115"/>
      <c r="BN620" s="115"/>
      <c r="BO620" s="115"/>
      <c r="BP620" s="115"/>
      <c r="BQ620" s="115"/>
      <c r="BR620" s="25"/>
      <c r="BS620" s="13"/>
      <c r="BV620" s="114"/>
    </row>
    <row r="621" spans="1:74" ht="19.5" x14ac:dyDescent="0.4">
      <c r="A621" s="117"/>
      <c r="B621" s="123"/>
      <c r="C621" s="123"/>
      <c r="D621" s="123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27"/>
      <c r="AJ621" s="29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5"/>
      <c r="AU621" s="13"/>
      <c r="AZ621" s="116"/>
      <c r="BA621" s="123"/>
      <c r="BB621" s="123"/>
      <c r="BC621" s="123"/>
      <c r="BH621" s="115"/>
      <c r="BI621" s="115"/>
      <c r="BJ621" s="115"/>
      <c r="BK621" s="115"/>
      <c r="BL621" s="115"/>
      <c r="BM621" s="115"/>
      <c r="BN621" s="115"/>
      <c r="BO621" s="115"/>
      <c r="BP621" s="115"/>
      <c r="BQ621" s="115"/>
      <c r="BR621" s="25"/>
      <c r="BS621" s="13"/>
      <c r="BV621" s="114"/>
    </row>
    <row r="622" spans="1:74" ht="19.5" x14ac:dyDescent="0.4">
      <c r="A622" s="117"/>
      <c r="B622" s="123"/>
      <c r="C622" s="123"/>
      <c r="D622" s="123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27"/>
      <c r="AJ622" s="29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5"/>
      <c r="AU622" s="13"/>
      <c r="AZ622" s="116"/>
      <c r="BA622" s="123"/>
      <c r="BB622" s="123"/>
      <c r="BC622" s="123"/>
      <c r="BH622" s="115"/>
      <c r="BI622" s="115"/>
      <c r="BJ622" s="115"/>
      <c r="BK622" s="115"/>
      <c r="BL622" s="115"/>
      <c r="BM622" s="115"/>
      <c r="BN622" s="115"/>
      <c r="BO622" s="115"/>
      <c r="BP622" s="115"/>
      <c r="BQ622" s="115"/>
      <c r="BR622" s="25"/>
      <c r="BS622" s="13"/>
      <c r="BV622" s="114"/>
    </row>
    <row r="623" spans="1:74" ht="19.5" x14ac:dyDescent="0.4">
      <c r="A623" s="117"/>
      <c r="B623" s="123"/>
      <c r="C623" s="123"/>
      <c r="D623" s="123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29"/>
      <c r="AJ623" s="29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25"/>
      <c r="AU623" s="13"/>
      <c r="AZ623" s="116"/>
      <c r="BA623" s="123"/>
      <c r="BB623" s="123"/>
      <c r="BC623" s="123"/>
      <c r="BH623" s="115"/>
      <c r="BI623" s="115"/>
      <c r="BJ623" s="115"/>
      <c r="BK623" s="115"/>
      <c r="BL623" s="115"/>
      <c r="BM623" s="115"/>
      <c r="BN623" s="115"/>
      <c r="BO623" s="115"/>
      <c r="BP623" s="115"/>
      <c r="BQ623" s="115"/>
      <c r="BR623" s="25"/>
      <c r="BS623" s="13"/>
      <c r="BV623" s="114"/>
    </row>
    <row r="624" spans="1:74" ht="19.5" x14ac:dyDescent="0.4">
      <c r="A624" s="117"/>
      <c r="B624" s="123"/>
      <c r="C624" s="123"/>
      <c r="D624" s="123"/>
      <c r="AI624" s="127"/>
      <c r="AJ624" s="29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25">
        <v>45677</v>
      </c>
      <c r="AU624" s="13" t="s">
        <v>147</v>
      </c>
      <c r="AZ624" s="116"/>
      <c r="BA624" s="123"/>
      <c r="BB624" s="123"/>
      <c r="BC624" s="123"/>
      <c r="BH624" s="115"/>
      <c r="BI624" s="115"/>
      <c r="BJ624" s="115"/>
      <c r="BK624" s="115"/>
      <c r="BL624" s="115"/>
      <c r="BM624" s="115"/>
      <c r="BN624" s="115"/>
      <c r="BO624" s="115"/>
      <c r="BP624" s="115"/>
      <c r="BQ624" s="115"/>
      <c r="BR624" s="25"/>
      <c r="BS624" s="13"/>
      <c r="BV624" s="114"/>
    </row>
    <row r="625" spans="1:74" ht="19.5" x14ac:dyDescent="0.4">
      <c r="A625" s="117"/>
      <c r="B625" s="123"/>
      <c r="C625" s="123"/>
      <c r="D625" s="123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27"/>
      <c r="AJ625" s="29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5"/>
      <c r="AU625" s="13"/>
      <c r="AZ625" s="116"/>
      <c r="BA625" s="123"/>
      <c r="BB625" s="123"/>
      <c r="BC625" s="123"/>
      <c r="BH625" s="115"/>
      <c r="BI625" s="115"/>
      <c r="BJ625" s="115"/>
      <c r="BK625" s="115"/>
      <c r="BL625" s="115"/>
      <c r="BM625" s="115"/>
      <c r="BN625" s="115"/>
      <c r="BO625" s="115"/>
      <c r="BP625" s="115"/>
      <c r="BQ625" s="115"/>
      <c r="BR625" s="25"/>
      <c r="BS625" s="13"/>
      <c r="BV625" s="114"/>
    </row>
    <row r="626" spans="1:74" ht="19.5" x14ac:dyDescent="0.4">
      <c r="A626" s="117"/>
      <c r="B626" s="123"/>
      <c r="C626" s="123"/>
      <c r="D626" s="123"/>
      <c r="AI626" s="127"/>
      <c r="AJ626" s="29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25">
        <v>45677</v>
      </c>
      <c r="AU626" s="25" t="s">
        <v>147</v>
      </c>
      <c r="AZ626" s="116"/>
      <c r="BA626" s="123"/>
      <c r="BB626" s="123"/>
      <c r="BC626" s="123"/>
      <c r="BH626" s="115"/>
      <c r="BI626" s="115"/>
      <c r="BJ626" s="115"/>
      <c r="BK626" s="115"/>
      <c r="BL626" s="115"/>
      <c r="BM626" s="115"/>
      <c r="BN626" s="115"/>
      <c r="BO626" s="115"/>
      <c r="BP626" s="115"/>
      <c r="BQ626" s="115"/>
      <c r="BR626" s="25"/>
      <c r="BS626" s="13"/>
      <c r="BV626" s="114"/>
    </row>
    <row r="627" spans="1:74" ht="19.5" x14ac:dyDescent="0.4">
      <c r="A627" s="117"/>
      <c r="B627" s="123"/>
      <c r="C627" s="123"/>
      <c r="D627" s="123"/>
      <c r="AI627" s="127"/>
      <c r="AJ627" s="29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25"/>
      <c r="AU627" s="25"/>
      <c r="AZ627" s="116"/>
      <c r="BA627" s="123"/>
      <c r="BB627" s="123"/>
      <c r="BC627" s="123"/>
      <c r="BH627" s="115"/>
      <c r="BI627" s="115"/>
      <c r="BJ627" s="115"/>
      <c r="BK627" s="115"/>
      <c r="BL627" s="115"/>
      <c r="BM627" s="115"/>
      <c r="BN627" s="115"/>
      <c r="BO627" s="115"/>
      <c r="BP627" s="115"/>
      <c r="BQ627" s="115"/>
      <c r="BR627" s="25"/>
      <c r="BS627" s="13"/>
      <c r="BV627" s="114"/>
    </row>
    <row r="628" spans="1:74" ht="19.5" x14ac:dyDescent="0.4">
      <c r="A628" s="117"/>
      <c r="B628" s="123"/>
      <c r="C628" s="123"/>
      <c r="D628" s="123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27"/>
      <c r="AJ628" s="29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25"/>
      <c r="AU628" s="25"/>
      <c r="AZ628" s="116"/>
      <c r="BA628" s="123"/>
      <c r="BB628" s="123"/>
      <c r="BC628" s="123"/>
      <c r="BH628" s="115"/>
      <c r="BI628" s="115"/>
      <c r="BJ628" s="115"/>
      <c r="BK628" s="115"/>
      <c r="BL628" s="115"/>
      <c r="BM628" s="115"/>
      <c r="BN628" s="115"/>
      <c r="BO628" s="115"/>
      <c r="BP628" s="115"/>
      <c r="BQ628" s="115"/>
      <c r="BR628" s="25"/>
      <c r="BS628" s="13"/>
      <c r="BV628" s="114"/>
    </row>
    <row r="629" spans="1:74" ht="19.5" x14ac:dyDescent="0.4">
      <c r="A629" s="117"/>
      <c r="B629" s="123"/>
      <c r="C629" s="123"/>
      <c r="D629" s="123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27"/>
      <c r="AJ629" s="29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25"/>
      <c r="AU629" s="25"/>
      <c r="AZ629" s="116"/>
      <c r="BA629" s="123"/>
      <c r="BB629" s="123"/>
      <c r="BC629" s="123"/>
      <c r="BH629" s="115"/>
      <c r="BI629" s="115"/>
      <c r="BJ629" s="115"/>
      <c r="BK629" s="115"/>
      <c r="BL629" s="115"/>
      <c r="BM629" s="115"/>
      <c r="BN629" s="115"/>
      <c r="BO629" s="115"/>
      <c r="BP629" s="115"/>
      <c r="BQ629" s="115"/>
      <c r="BR629" s="25"/>
      <c r="BS629" s="13"/>
      <c r="BV629" s="114"/>
    </row>
    <row r="630" spans="1:74" ht="19.5" x14ac:dyDescent="0.4">
      <c r="A630" s="117"/>
      <c r="B630" s="123"/>
      <c r="C630" s="123"/>
      <c r="D630" s="123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15"/>
      <c r="AF630" s="115"/>
      <c r="AG630" s="115"/>
      <c r="AH630" s="115"/>
      <c r="AI630" s="127"/>
      <c r="AJ630" s="29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5"/>
      <c r="AU630" s="25"/>
      <c r="AZ630" s="116"/>
      <c r="BA630" s="123"/>
      <c r="BB630" s="123"/>
      <c r="BC630" s="123"/>
      <c r="BH630" s="115"/>
      <c r="BI630" s="115"/>
      <c r="BJ630" s="115"/>
      <c r="BK630" s="115"/>
      <c r="BL630" s="115"/>
      <c r="BM630" s="115"/>
      <c r="BN630" s="115"/>
      <c r="BO630" s="115"/>
      <c r="BP630" s="115"/>
      <c r="BQ630" s="115"/>
      <c r="BR630" s="25"/>
      <c r="BS630" s="13"/>
      <c r="BV630" s="114"/>
    </row>
    <row r="631" spans="1:74" ht="19.5" x14ac:dyDescent="0.4">
      <c r="A631" s="117"/>
      <c r="B631" s="123"/>
      <c r="C631" s="123"/>
      <c r="D631" s="123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29"/>
      <c r="AJ631" s="29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5"/>
      <c r="AU631" s="25"/>
      <c r="AZ631" s="116"/>
      <c r="BA631" s="123"/>
      <c r="BB631" s="123"/>
      <c r="BC631" s="123"/>
      <c r="BH631" s="115"/>
      <c r="BI631" s="115"/>
      <c r="BJ631" s="115"/>
      <c r="BK631" s="115"/>
      <c r="BL631" s="115"/>
      <c r="BM631" s="115"/>
      <c r="BN631" s="115"/>
      <c r="BO631" s="115"/>
      <c r="BP631" s="115"/>
      <c r="BQ631" s="115"/>
      <c r="BR631" s="25"/>
      <c r="BS631" s="13"/>
      <c r="BV631" s="114"/>
    </row>
    <row r="632" spans="1:74" ht="19.5" x14ac:dyDescent="0.4">
      <c r="A632" s="117"/>
      <c r="B632" s="123"/>
      <c r="C632" s="123"/>
      <c r="D632" s="123"/>
      <c r="AI632" s="127"/>
      <c r="AJ632" s="29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5">
        <v>45678</v>
      </c>
      <c r="AU632" s="13" t="s">
        <v>147</v>
      </c>
      <c r="AZ632" s="116"/>
      <c r="BA632" s="123"/>
      <c r="BB632" s="123"/>
      <c r="BC632" s="123"/>
      <c r="BH632" s="115"/>
      <c r="BI632" s="115"/>
      <c r="BJ632" s="115"/>
      <c r="BK632" s="115"/>
      <c r="BL632" s="115"/>
      <c r="BM632" s="115"/>
      <c r="BN632" s="115"/>
      <c r="BO632" s="115"/>
      <c r="BP632" s="115"/>
      <c r="BQ632" s="115"/>
      <c r="BR632" s="25"/>
      <c r="BS632" s="13"/>
      <c r="BV632" s="114"/>
    </row>
    <row r="633" spans="1:74" ht="19.5" x14ac:dyDescent="0.4">
      <c r="A633" s="117"/>
      <c r="B633" s="123"/>
      <c r="C633" s="123"/>
      <c r="D633" s="123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27"/>
      <c r="AJ633" s="29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25"/>
      <c r="AU633" s="13"/>
      <c r="AZ633" s="116"/>
      <c r="BA633" s="123"/>
      <c r="BB633" s="123"/>
      <c r="BC633" s="123"/>
      <c r="BH633" s="115"/>
      <c r="BI633" s="115"/>
      <c r="BJ633" s="115"/>
      <c r="BK633" s="115"/>
      <c r="BL633" s="115"/>
      <c r="BM633" s="115"/>
      <c r="BN633" s="115"/>
      <c r="BO633" s="115"/>
      <c r="BP633" s="115"/>
      <c r="BQ633" s="115"/>
      <c r="BR633" s="25"/>
      <c r="BS633" s="13"/>
      <c r="BV633" s="114"/>
    </row>
    <row r="634" spans="1:74" ht="19.5" x14ac:dyDescent="0.4">
      <c r="A634" s="117"/>
      <c r="B634" s="123"/>
      <c r="C634" s="123"/>
      <c r="D634" s="123"/>
      <c r="AI634" s="127"/>
      <c r="AJ634" s="29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25">
        <v>45678</v>
      </c>
      <c r="AU634" s="13" t="s">
        <v>146</v>
      </c>
      <c r="AZ634" s="116"/>
      <c r="BA634" s="123"/>
      <c r="BB634" s="123"/>
      <c r="BC634" s="123"/>
      <c r="BH634" s="115"/>
      <c r="BI634" s="115"/>
      <c r="BJ634" s="115"/>
      <c r="BK634" s="115"/>
      <c r="BL634" s="115"/>
      <c r="BM634" s="115"/>
      <c r="BN634" s="115"/>
      <c r="BO634" s="115"/>
      <c r="BP634" s="115"/>
      <c r="BQ634" s="115"/>
      <c r="BR634" s="25"/>
      <c r="BS634" s="13"/>
      <c r="BV634" s="114"/>
    </row>
    <row r="635" spans="1:74" ht="19.5" x14ac:dyDescent="0.4">
      <c r="A635" s="117"/>
      <c r="B635" s="123"/>
      <c r="C635" s="123"/>
      <c r="D635" s="123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27"/>
      <c r="AJ635" s="29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25"/>
      <c r="AU635" s="13"/>
      <c r="AZ635" s="116"/>
      <c r="BA635" s="123"/>
      <c r="BB635" s="123"/>
      <c r="BC635" s="123"/>
      <c r="BH635" s="115"/>
      <c r="BI635" s="115"/>
      <c r="BJ635" s="115"/>
      <c r="BK635" s="115"/>
      <c r="BL635" s="115"/>
      <c r="BM635" s="115"/>
      <c r="BN635" s="115"/>
      <c r="BO635" s="115"/>
      <c r="BP635" s="115"/>
      <c r="BQ635" s="115"/>
      <c r="BR635" s="25"/>
      <c r="BS635" s="13"/>
      <c r="BV635" s="114"/>
    </row>
    <row r="636" spans="1:74" ht="19.5" x14ac:dyDescent="0.4">
      <c r="A636" s="117"/>
      <c r="B636" s="123"/>
      <c r="C636" s="123"/>
      <c r="D636" s="123"/>
      <c r="U636" s="115"/>
      <c r="V636" s="115"/>
      <c r="W636" s="115"/>
      <c r="X636" s="115"/>
      <c r="Y636" s="115"/>
      <c r="Z636" s="115"/>
      <c r="AA636" s="115"/>
      <c r="AB636" s="115"/>
      <c r="AC636" s="115"/>
      <c r="AD636" s="115"/>
      <c r="AE636" s="115"/>
      <c r="AF636" s="115"/>
      <c r="AG636" s="115"/>
      <c r="AH636" s="115"/>
      <c r="AI636" s="127"/>
      <c r="AJ636" s="29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25"/>
      <c r="AU636" s="13"/>
      <c r="AZ636" s="116"/>
      <c r="BA636" s="123"/>
      <c r="BB636" s="123"/>
      <c r="BC636" s="123"/>
      <c r="BH636" s="115"/>
      <c r="BI636" s="115"/>
      <c r="BJ636" s="115"/>
      <c r="BK636" s="115"/>
      <c r="BL636" s="115"/>
      <c r="BM636" s="115"/>
      <c r="BN636" s="115"/>
      <c r="BO636" s="115"/>
      <c r="BP636" s="115"/>
      <c r="BQ636" s="115"/>
      <c r="BR636" s="25"/>
      <c r="BS636" s="13"/>
      <c r="BV636" s="114"/>
    </row>
    <row r="637" spans="1:74" ht="19.5" x14ac:dyDescent="0.4">
      <c r="A637" s="117"/>
      <c r="B637" s="123"/>
      <c r="C637" s="123"/>
      <c r="D637" s="123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27"/>
      <c r="AJ637" s="29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25"/>
      <c r="AU637" s="13"/>
      <c r="AZ637" s="116"/>
      <c r="BA637" s="123"/>
      <c r="BB637" s="123"/>
      <c r="BC637" s="123"/>
      <c r="BH637" s="115"/>
      <c r="BI637" s="115"/>
      <c r="BJ637" s="115"/>
      <c r="BK637" s="115"/>
      <c r="BL637" s="115"/>
      <c r="BM637" s="115"/>
      <c r="BN637" s="115"/>
      <c r="BO637" s="115"/>
      <c r="BP637" s="115"/>
      <c r="BQ637" s="115"/>
      <c r="BR637" s="25"/>
      <c r="BS637" s="13"/>
      <c r="BV637" s="114"/>
    </row>
    <row r="638" spans="1:74" ht="19.5" x14ac:dyDescent="0.4">
      <c r="A638" s="117"/>
      <c r="B638" s="123"/>
      <c r="C638" s="123"/>
      <c r="D638" s="123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27"/>
      <c r="AJ638" s="29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25"/>
      <c r="AU638" s="13"/>
      <c r="AZ638" s="116"/>
      <c r="BA638" s="123"/>
      <c r="BB638" s="123"/>
      <c r="BC638" s="123"/>
      <c r="BH638" s="115"/>
      <c r="BI638" s="115"/>
      <c r="BJ638" s="115"/>
      <c r="BK638" s="115"/>
      <c r="BL638" s="115"/>
      <c r="BM638" s="115"/>
      <c r="BN638" s="115"/>
      <c r="BO638" s="115"/>
      <c r="BP638" s="115"/>
      <c r="BQ638" s="115"/>
      <c r="BR638" s="25"/>
      <c r="BS638" s="13"/>
      <c r="BV638" s="114"/>
    </row>
    <row r="639" spans="1:74" ht="19.5" x14ac:dyDescent="0.4">
      <c r="A639" s="117"/>
      <c r="B639" s="123"/>
      <c r="C639" s="123"/>
      <c r="D639" s="123"/>
      <c r="AI639" s="127"/>
      <c r="AJ639" s="29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25">
        <v>45678</v>
      </c>
      <c r="AU639" s="13" t="s">
        <v>148</v>
      </c>
      <c r="AZ639" s="116"/>
      <c r="BA639" s="123"/>
      <c r="BB639" s="123"/>
      <c r="BC639" s="123"/>
      <c r="BH639" s="115"/>
      <c r="BI639" s="115"/>
      <c r="BJ639" s="115"/>
      <c r="BK639" s="115"/>
      <c r="BL639" s="115"/>
      <c r="BM639" s="115"/>
      <c r="BN639" s="115"/>
      <c r="BO639" s="115"/>
      <c r="BP639" s="115"/>
      <c r="BQ639" s="115"/>
      <c r="BR639" s="25"/>
      <c r="BS639" s="13"/>
      <c r="BV639" s="114"/>
    </row>
    <row r="640" spans="1:74" ht="19.5" x14ac:dyDescent="0.4">
      <c r="A640" s="117"/>
      <c r="B640" s="123"/>
      <c r="C640" s="123"/>
      <c r="D640" s="123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27"/>
      <c r="AJ640" s="29"/>
      <c r="AK640" s="115"/>
      <c r="AL640" s="115"/>
      <c r="AM640" s="115"/>
      <c r="AN640" s="115"/>
      <c r="AO640" s="115"/>
      <c r="AP640" s="115"/>
      <c r="AQ640" s="115"/>
      <c r="AR640" s="115"/>
      <c r="AS640" s="115"/>
      <c r="AT640" s="25"/>
      <c r="AU640" s="13"/>
      <c r="AZ640" s="116"/>
      <c r="BA640" s="123"/>
      <c r="BB640" s="123"/>
      <c r="BC640" s="123"/>
      <c r="BH640" s="115"/>
      <c r="BI640" s="115"/>
      <c r="BJ640" s="115"/>
      <c r="BK640" s="115"/>
      <c r="BL640" s="115"/>
      <c r="BM640" s="115"/>
      <c r="BN640" s="115"/>
      <c r="BO640" s="115"/>
      <c r="BP640" s="115"/>
      <c r="BQ640" s="115"/>
      <c r="BR640" s="25"/>
      <c r="BS640" s="13"/>
      <c r="BV640" s="114"/>
    </row>
    <row r="641" spans="1:74" ht="19.5" x14ac:dyDescent="0.4">
      <c r="A641" s="117"/>
      <c r="B641" s="123"/>
      <c r="C641" s="123"/>
      <c r="D641" s="123"/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29"/>
      <c r="AJ641" s="29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25"/>
      <c r="AU641" s="13"/>
      <c r="AZ641" s="116"/>
      <c r="BA641" s="123"/>
      <c r="BB641" s="123"/>
      <c r="BC641" s="123"/>
      <c r="BH641" s="115"/>
      <c r="BI641" s="115"/>
      <c r="BJ641" s="115"/>
      <c r="BK641" s="115"/>
      <c r="BL641" s="115"/>
      <c r="BM641" s="115"/>
      <c r="BN641" s="115"/>
      <c r="BO641" s="115"/>
      <c r="BP641" s="115"/>
      <c r="BQ641" s="115"/>
      <c r="BR641" s="25"/>
      <c r="BS641" s="13"/>
      <c r="BV641" s="114"/>
    </row>
    <row r="642" spans="1:74" ht="19.5" x14ac:dyDescent="0.4">
      <c r="A642" s="117"/>
      <c r="B642" s="123"/>
      <c r="C642" s="123"/>
      <c r="D642" s="123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27"/>
      <c r="AJ642" s="134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5"/>
      <c r="AU642" s="13"/>
      <c r="AZ642" s="116"/>
      <c r="BA642" s="123"/>
      <c r="BB642" s="123"/>
      <c r="BC642" s="123"/>
      <c r="BH642" s="115"/>
      <c r="BI642" s="115"/>
      <c r="BJ642" s="115"/>
      <c r="BK642" s="115"/>
      <c r="BL642" s="115"/>
      <c r="BM642" s="115"/>
      <c r="BN642" s="115"/>
      <c r="BO642" s="115"/>
      <c r="BP642" s="115"/>
      <c r="BQ642" s="115"/>
      <c r="BR642" s="25"/>
      <c r="BS642" s="13"/>
      <c r="BV642" s="114"/>
    </row>
    <row r="643" spans="1:74" ht="19.5" x14ac:dyDescent="0.4">
      <c r="A643" s="117"/>
      <c r="B643" s="123"/>
      <c r="C643" s="123"/>
      <c r="D643" s="123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27"/>
      <c r="AJ643" s="29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25"/>
      <c r="AU643" s="13"/>
      <c r="AZ643" s="116"/>
      <c r="BA643" s="123"/>
      <c r="BB643" s="123"/>
      <c r="BC643" s="123"/>
      <c r="BH643" s="115"/>
      <c r="BI643" s="115"/>
      <c r="BJ643" s="115"/>
      <c r="BK643" s="115"/>
      <c r="BL643" s="115"/>
      <c r="BM643" s="115"/>
      <c r="BN643" s="115"/>
      <c r="BO643" s="115"/>
      <c r="BP643" s="115"/>
      <c r="BQ643" s="115"/>
      <c r="BR643" s="25"/>
      <c r="BS643" s="13"/>
      <c r="BV643" s="114"/>
    </row>
    <row r="644" spans="1:74" ht="19.5" x14ac:dyDescent="0.4">
      <c r="A644" s="117"/>
      <c r="B644" s="123"/>
      <c r="C644" s="123"/>
      <c r="D644" s="123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27"/>
      <c r="AJ644" s="29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25"/>
      <c r="AU644" s="13"/>
      <c r="AZ644" s="116"/>
      <c r="BA644" s="123"/>
      <c r="BB644" s="123"/>
      <c r="BC644" s="123"/>
      <c r="BH644" s="115"/>
      <c r="BI644" s="115"/>
      <c r="BJ644" s="115"/>
      <c r="BK644" s="115"/>
      <c r="BL644" s="115"/>
      <c r="BM644" s="115"/>
      <c r="BN644" s="115"/>
      <c r="BO644" s="115"/>
      <c r="BP644" s="115"/>
      <c r="BQ644" s="115"/>
      <c r="BR644" s="25"/>
      <c r="BS644" s="13"/>
      <c r="BV644" s="114"/>
    </row>
    <row r="645" spans="1:74" ht="19.5" x14ac:dyDescent="0.4">
      <c r="A645" s="117"/>
      <c r="B645" s="123"/>
      <c r="C645" s="123"/>
      <c r="D645" s="123"/>
      <c r="AI645" s="127"/>
      <c r="AJ645" s="29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25">
        <v>45678</v>
      </c>
      <c r="AU645" s="13" t="s">
        <v>148</v>
      </c>
      <c r="AZ645" s="116"/>
      <c r="BA645" s="123"/>
      <c r="BB645" s="123"/>
      <c r="BC645" s="123"/>
      <c r="BH645" s="115"/>
      <c r="BI645" s="115"/>
      <c r="BJ645" s="115"/>
      <c r="BK645" s="115"/>
      <c r="BL645" s="115"/>
      <c r="BM645" s="115"/>
      <c r="BN645" s="115"/>
      <c r="BO645" s="115"/>
      <c r="BP645" s="115"/>
      <c r="BQ645" s="115"/>
      <c r="BR645" s="25"/>
      <c r="BS645" s="13"/>
      <c r="BV645" s="114"/>
    </row>
    <row r="646" spans="1:74" ht="19.5" x14ac:dyDescent="0.4">
      <c r="A646" s="117"/>
      <c r="B646" s="123"/>
      <c r="C646" s="123"/>
      <c r="D646" s="123"/>
      <c r="AI646" s="127"/>
      <c r="AJ646" s="29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25">
        <v>45678</v>
      </c>
      <c r="AU646" s="13" t="s">
        <v>148</v>
      </c>
      <c r="AZ646" s="116"/>
      <c r="BA646" s="123"/>
      <c r="BB646" s="123"/>
      <c r="BC646" s="123"/>
      <c r="BH646" s="115"/>
      <c r="BI646" s="115"/>
      <c r="BJ646" s="115"/>
      <c r="BK646" s="115"/>
      <c r="BL646" s="115"/>
      <c r="BM646" s="115"/>
      <c r="BN646" s="115"/>
      <c r="BO646" s="115"/>
      <c r="BP646" s="115"/>
      <c r="BQ646" s="115"/>
      <c r="BR646" s="25"/>
      <c r="BS646" s="13"/>
      <c r="BV646" s="114"/>
    </row>
    <row r="647" spans="1:74" ht="19.5" x14ac:dyDescent="0.4">
      <c r="A647" s="117"/>
      <c r="B647" s="123"/>
      <c r="C647" s="123"/>
      <c r="D647" s="123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27"/>
      <c r="AJ647" s="29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25"/>
      <c r="AU647" s="13"/>
      <c r="AZ647" s="116"/>
      <c r="BA647" s="123"/>
      <c r="BB647" s="123"/>
      <c r="BC647" s="123"/>
      <c r="BH647" s="115"/>
      <c r="BI647" s="115"/>
      <c r="BJ647" s="115"/>
      <c r="BK647" s="115"/>
      <c r="BL647" s="115"/>
      <c r="BM647" s="115"/>
      <c r="BN647" s="115"/>
      <c r="BO647" s="115"/>
      <c r="BP647" s="115"/>
      <c r="BQ647" s="115"/>
      <c r="BR647" s="25"/>
      <c r="BS647" s="13"/>
      <c r="BV647" s="114"/>
    </row>
    <row r="648" spans="1:74" ht="19.5" x14ac:dyDescent="0.4">
      <c r="A648" s="117"/>
      <c r="B648" s="123"/>
      <c r="C648" s="123"/>
      <c r="D648" s="123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27"/>
      <c r="AJ648" s="29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25"/>
      <c r="AU648" s="13"/>
      <c r="AZ648" s="116"/>
      <c r="BA648" s="123"/>
      <c r="BB648" s="123"/>
      <c r="BC648" s="123"/>
      <c r="BH648" s="115"/>
      <c r="BI648" s="115"/>
      <c r="BJ648" s="115"/>
      <c r="BK648" s="115"/>
      <c r="BL648" s="115"/>
      <c r="BM648" s="115"/>
      <c r="BN648" s="115"/>
      <c r="BO648" s="115"/>
      <c r="BP648" s="115"/>
      <c r="BQ648" s="115"/>
      <c r="BR648" s="25"/>
      <c r="BS648" s="13"/>
      <c r="BV648" s="114"/>
    </row>
    <row r="649" spans="1:74" ht="19.5" x14ac:dyDescent="0.4">
      <c r="A649" s="117"/>
      <c r="B649" s="123"/>
      <c r="C649" s="123"/>
      <c r="D649" s="123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27"/>
      <c r="AJ649" s="29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25"/>
      <c r="AU649" s="13"/>
      <c r="AZ649" s="116"/>
      <c r="BA649" s="123"/>
      <c r="BB649" s="123"/>
      <c r="BC649" s="123"/>
      <c r="BH649" s="115"/>
      <c r="BI649" s="115"/>
      <c r="BJ649" s="115"/>
      <c r="BK649" s="115"/>
      <c r="BL649" s="115"/>
      <c r="BM649" s="115"/>
      <c r="BN649" s="115"/>
      <c r="BO649" s="115"/>
      <c r="BP649" s="115"/>
      <c r="BQ649" s="115"/>
      <c r="BR649" s="25"/>
      <c r="BS649" s="13"/>
      <c r="BV649" s="114"/>
    </row>
    <row r="650" spans="1:74" ht="19.5" x14ac:dyDescent="0.4">
      <c r="A650" s="117"/>
      <c r="B650" s="123"/>
      <c r="C650" s="123"/>
      <c r="D650" s="123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27"/>
      <c r="AJ650" s="29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25"/>
      <c r="AU650" s="13"/>
      <c r="AZ650" s="116"/>
      <c r="BA650" s="123"/>
      <c r="BB650" s="123"/>
      <c r="BC650" s="123"/>
      <c r="BH650" s="115"/>
      <c r="BI650" s="115"/>
      <c r="BJ650" s="115"/>
      <c r="BK650" s="115"/>
      <c r="BL650" s="115"/>
      <c r="BM650" s="115"/>
      <c r="BN650" s="115"/>
      <c r="BO650" s="115"/>
      <c r="BP650" s="115"/>
      <c r="BQ650" s="115"/>
      <c r="BR650" s="25"/>
      <c r="BS650" s="13"/>
      <c r="BV650" s="114"/>
    </row>
    <row r="651" spans="1:74" ht="19.5" x14ac:dyDescent="0.4">
      <c r="A651" s="117"/>
      <c r="B651" s="123"/>
      <c r="C651" s="123"/>
      <c r="D651" s="123"/>
      <c r="AI651" s="127"/>
      <c r="AJ651" s="29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25">
        <v>45679</v>
      </c>
      <c r="AU651" s="15" t="s">
        <v>146</v>
      </c>
      <c r="AZ651" s="116"/>
      <c r="BA651" s="123"/>
      <c r="BB651" s="123"/>
      <c r="BC651" s="123"/>
      <c r="BH651" s="115"/>
      <c r="BI651" s="115"/>
      <c r="BJ651" s="115"/>
      <c r="BK651" s="115"/>
      <c r="BL651" s="115"/>
      <c r="BM651" s="115"/>
      <c r="BN651" s="115"/>
      <c r="BO651" s="115"/>
      <c r="BP651" s="115"/>
      <c r="BQ651" s="115"/>
      <c r="BR651" s="25"/>
      <c r="BS651" s="13"/>
      <c r="BV651" s="114"/>
    </row>
    <row r="652" spans="1:74" ht="19.5" x14ac:dyDescent="0.4">
      <c r="A652" s="117"/>
      <c r="B652" s="123"/>
      <c r="C652" s="123"/>
      <c r="D652" s="123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27"/>
      <c r="AJ652" s="29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25"/>
      <c r="AU652" s="15"/>
      <c r="AZ652" s="116"/>
      <c r="BA652" s="123"/>
      <c r="BB652" s="123"/>
      <c r="BC652" s="123"/>
      <c r="BH652" s="115"/>
      <c r="BI652" s="115"/>
      <c r="BJ652" s="115"/>
      <c r="BK652" s="115"/>
      <c r="BL652" s="115"/>
      <c r="BM652" s="115"/>
      <c r="BN652" s="115"/>
      <c r="BO652" s="115"/>
      <c r="BP652" s="115"/>
      <c r="BQ652" s="115"/>
      <c r="BR652" s="25"/>
      <c r="BS652" s="13"/>
      <c r="BV652" s="114"/>
    </row>
    <row r="653" spans="1:74" ht="19.5" x14ac:dyDescent="0.4">
      <c r="A653" s="117"/>
      <c r="B653" s="123"/>
      <c r="C653" s="123"/>
      <c r="D653" s="123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29"/>
      <c r="AJ653" s="29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25"/>
      <c r="AU653" s="15"/>
      <c r="AZ653" s="116"/>
      <c r="BA653" s="123"/>
      <c r="BB653" s="123"/>
      <c r="BC653" s="123"/>
      <c r="BH653" s="115"/>
      <c r="BI653" s="115"/>
      <c r="BJ653" s="115"/>
      <c r="BK653" s="115"/>
      <c r="BL653" s="115"/>
      <c r="BM653" s="115"/>
      <c r="BN653" s="115"/>
      <c r="BO653" s="115"/>
      <c r="BP653" s="115"/>
      <c r="BQ653" s="115"/>
      <c r="BR653" s="25"/>
      <c r="BS653" s="13"/>
      <c r="BV653" s="114"/>
    </row>
    <row r="654" spans="1:74" ht="19.5" x14ac:dyDescent="0.4">
      <c r="A654" s="117"/>
      <c r="B654" s="123"/>
      <c r="C654" s="123"/>
      <c r="D654" s="123"/>
      <c r="AI654" s="127"/>
      <c r="AJ654" s="29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25"/>
      <c r="AU654" s="15"/>
      <c r="AZ654" s="116"/>
      <c r="BA654" s="123"/>
      <c r="BB654" s="123"/>
      <c r="BC654" s="123"/>
      <c r="BH654" s="115"/>
      <c r="BI654" s="115"/>
      <c r="BJ654" s="115"/>
      <c r="BK654" s="115"/>
      <c r="BL654" s="115"/>
      <c r="BM654" s="115"/>
      <c r="BN654" s="115"/>
      <c r="BO654" s="115"/>
      <c r="BP654" s="115"/>
      <c r="BQ654" s="115"/>
      <c r="BR654" s="25"/>
      <c r="BS654" s="13"/>
      <c r="BV654" s="114"/>
    </row>
    <row r="655" spans="1:74" ht="19.5" x14ac:dyDescent="0.4">
      <c r="A655" s="117"/>
      <c r="B655" s="123"/>
      <c r="C655" s="123"/>
      <c r="D655" s="123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27"/>
      <c r="AJ655" s="29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25"/>
      <c r="AU655" s="15"/>
      <c r="AZ655" s="116"/>
      <c r="BA655" s="123"/>
      <c r="BB655" s="123"/>
      <c r="BC655" s="123"/>
      <c r="BH655" s="115"/>
      <c r="BI655" s="115"/>
      <c r="BJ655" s="115"/>
      <c r="BK655" s="115"/>
      <c r="BL655" s="115"/>
      <c r="BM655" s="115"/>
      <c r="BN655" s="115"/>
      <c r="BO655" s="115"/>
      <c r="BP655" s="115"/>
      <c r="BQ655" s="115"/>
      <c r="BR655" s="25"/>
      <c r="BS655" s="13"/>
      <c r="BV655" s="114"/>
    </row>
    <row r="656" spans="1:74" ht="19.5" x14ac:dyDescent="0.4">
      <c r="A656" s="117"/>
      <c r="B656" s="123"/>
      <c r="C656" s="123"/>
      <c r="D656" s="123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29"/>
      <c r="AJ656" s="29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25"/>
      <c r="AU656" s="15"/>
      <c r="AZ656" s="116"/>
      <c r="BA656" s="123"/>
      <c r="BB656" s="123"/>
      <c r="BC656" s="123"/>
      <c r="BH656" s="115"/>
      <c r="BI656" s="115"/>
      <c r="BJ656" s="115"/>
      <c r="BK656" s="115"/>
      <c r="BL656" s="115"/>
      <c r="BM656" s="115"/>
      <c r="BN656" s="115"/>
      <c r="BO656" s="115"/>
      <c r="BP656" s="115"/>
      <c r="BQ656" s="115"/>
      <c r="BR656" s="25"/>
      <c r="BS656" s="13"/>
      <c r="BV656" s="114"/>
    </row>
    <row r="657" spans="1:74" ht="19.5" x14ac:dyDescent="0.4">
      <c r="A657" s="117"/>
      <c r="B657" s="123"/>
      <c r="C657" s="123"/>
      <c r="D657" s="123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27"/>
      <c r="AJ657" s="29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25"/>
      <c r="AU657" s="15"/>
      <c r="AZ657" s="116"/>
      <c r="BA657" s="123"/>
      <c r="BB657" s="123"/>
      <c r="BC657" s="123"/>
      <c r="BH657" s="115"/>
      <c r="BI657" s="115"/>
      <c r="BJ657" s="115"/>
      <c r="BK657" s="115"/>
      <c r="BL657" s="115"/>
      <c r="BM657" s="115"/>
      <c r="BN657" s="115"/>
      <c r="BO657" s="115"/>
      <c r="BP657" s="115"/>
      <c r="BQ657" s="115"/>
      <c r="BR657" s="25"/>
      <c r="BS657" s="13"/>
      <c r="BV657" s="114"/>
    </row>
    <row r="658" spans="1:74" ht="19.5" x14ac:dyDescent="0.4">
      <c r="A658" s="117"/>
      <c r="B658" s="123"/>
      <c r="C658" s="123"/>
      <c r="D658" s="123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27"/>
      <c r="AJ658" s="29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25"/>
      <c r="AU658" s="15"/>
      <c r="AZ658" s="116"/>
      <c r="BA658" s="123"/>
      <c r="BB658" s="123"/>
      <c r="BC658" s="123"/>
      <c r="BH658" s="115"/>
      <c r="BI658" s="115"/>
      <c r="BJ658" s="115"/>
      <c r="BK658" s="115"/>
      <c r="BL658" s="115"/>
      <c r="BM658" s="115"/>
      <c r="BN658" s="115"/>
      <c r="BO658" s="115"/>
      <c r="BP658" s="115"/>
      <c r="BQ658" s="115"/>
      <c r="BR658" s="25"/>
      <c r="BS658" s="13"/>
      <c r="BV658" s="114"/>
    </row>
    <row r="659" spans="1:74" ht="19.5" x14ac:dyDescent="0.4">
      <c r="A659" s="117"/>
      <c r="B659" s="123"/>
      <c r="C659" s="123"/>
      <c r="D659" s="123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27"/>
      <c r="AJ659" s="29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25"/>
      <c r="AU659" s="15"/>
      <c r="AZ659" s="116"/>
      <c r="BA659" s="123"/>
      <c r="BB659" s="123"/>
      <c r="BC659" s="123"/>
      <c r="BH659" s="115"/>
      <c r="BI659" s="115"/>
      <c r="BJ659" s="115"/>
      <c r="BK659" s="115"/>
      <c r="BL659" s="115"/>
      <c r="BM659" s="115"/>
      <c r="BN659" s="115"/>
      <c r="BO659" s="115"/>
      <c r="BP659" s="115"/>
      <c r="BQ659" s="115"/>
      <c r="BR659" s="25"/>
      <c r="BS659" s="13"/>
      <c r="BV659" s="114"/>
    </row>
    <row r="660" spans="1:74" ht="19.5" x14ac:dyDescent="0.4">
      <c r="A660" s="117"/>
      <c r="B660" s="123"/>
      <c r="C660" s="123"/>
      <c r="D660" s="123"/>
      <c r="AI660" s="127"/>
      <c r="AJ660" s="29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25">
        <v>45679</v>
      </c>
      <c r="AU660" s="15" t="s">
        <v>148</v>
      </c>
      <c r="AZ660" s="116"/>
      <c r="BA660" s="123"/>
      <c r="BB660" s="123"/>
      <c r="BC660" s="123"/>
      <c r="BH660" s="115"/>
      <c r="BI660" s="115"/>
      <c r="BJ660" s="115"/>
      <c r="BK660" s="115"/>
      <c r="BL660" s="115"/>
      <c r="BM660" s="115"/>
      <c r="BN660" s="115"/>
      <c r="BO660" s="115"/>
      <c r="BP660" s="115"/>
      <c r="BQ660" s="115"/>
      <c r="BR660" s="25"/>
      <c r="BS660" s="13"/>
      <c r="BV660" s="114"/>
    </row>
    <row r="661" spans="1:74" ht="19.5" x14ac:dyDescent="0.4">
      <c r="A661" s="117"/>
      <c r="B661" s="123"/>
      <c r="C661" s="123"/>
      <c r="D661" s="123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27"/>
      <c r="AJ661" s="29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25"/>
      <c r="AU661" s="13"/>
      <c r="AZ661" s="116"/>
      <c r="BA661" s="123"/>
      <c r="BB661" s="123"/>
      <c r="BC661" s="123"/>
      <c r="BH661" s="115"/>
      <c r="BI661" s="115"/>
      <c r="BJ661" s="115"/>
      <c r="BK661" s="115"/>
      <c r="BL661" s="115"/>
      <c r="BM661" s="115"/>
      <c r="BN661" s="115"/>
      <c r="BO661" s="115"/>
      <c r="BP661" s="115"/>
      <c r="BQ661" s="115"/>
      <c r="BR661" s="25"/>
      <c r="BS661" s="13"/>
      <c r="BV661" s="114"/>
    </row>
    <row r="662" spans="1:74" ht="19.5" x14ac:dyDescent="0.4">
      <c r="A662" s="117"/>
      <c r="B662" s="123"/>
      <c r="C662" s="123"/>
      <c r="D662" s="123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27"/>
      <c r="AJ662" s="29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25"/>
      <c r="AU662" s="13"/>
      <c r="AZ662" s="116"/>
      <c r="BA662" s="123"/>
      <c r="BB662" s="123"/>
      <c r="BC662" s="123"/>
      <c r="BH662" s="115"/>
      <c r="BI662" s="115"/>
      <c r="BJ662" s="115"/>
      <c r="BK662" s="115"/>
      <c r="BL662" s="115"/>
      <c r="BM662" s="115"/>
      <c r="BN662" s="115"/>
      <c r="BO662" s="115"/>
      <c r="BP662" s="115"/>
      <c r="BQ662" s="115"/>
      <c r="BR662" s="25"/>
      <c r="BS662" s="13"/>
      <c r="BV662" s="114"/>
    </row>
    <row r="663" spans="1:74" ht="19.5" x14ac:dyDescent="0.4">
      <c r="A663" s="117"/>
      <c r="B663" s="123"/>
      <c r="C663" s="123"/>
      <c r="D663" s="123"/>
      <c r="X663" s="115"/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27"/>
      <c r="AJ663" s="29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25"/>
      <c r="AU663" s="13"/>
      <c r="AZ663" s="116"/>
      <c r="BA663" s="123"/>
      <c r="BB663" s="123"/>
      <c r="BC663" s="123"/>
      <c r="BH663" s="115"/>
      <c r="BI663" s="115"/>
      <c r="BJ663" s="115"/>
      <c r="BK663" s="115"/>
      <c r="BL663" s="115"/>
      <c r="BM663" s="115"/>
      <c r="BN663" s="115"/>
      <c r="BO663" s="115"/>
      <c r="BP663" s="115"/>
      <c r="BQ663" s="115"/>
      <c r="BR663" s="25"/>
      <c r="BS663" s="13"/>
      <c r="BV663" s="114"/>
    </row>
    <row r="664" spans="1:74" ht="19.5" x14ac:dyDescent="0.4">
      <c r="A664" s="117"/>
      <c r="B664" s="123"/>
      <c r="C664" s="123"/>
      <c r="D664" s="123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29"/>
      <c r="AJ664" s="29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25"/>
      <c r="AU664" s="13"/>
      <c r="AZ664" s="116"/>
      <c r="BA664" s="123"/>
      <c r="BB664" s="123"/>
      <c r="BC664" s="123"/>
      <c r="BH664" s="115"/>
      <c r="BI664" s="115"/>
      <c r="BJ664" s="115"/>
      <c r="BK664" s="115"/>
      <c r="BL664" s="115"/>
      <c r="BM664" s="115"/>
      <c r="BN664" s="115"/>
      <c r="BO664" s="115"/>
      <c r="BP664" s="115"/>
      <c r="BQ664" s="115"/>
      <c r="BR664" s="25"/>
      <c r="BS664" s="13"/>
      <c r="BV664" s="114"/>
    </row>
    <row r="665" spans="1:74" ht="19.5" x14ac:dyDescent="0.4">
      <c r="A665" s="117"/>
      <c r="B665" s="123"/>
      <c r="C665" s="123"/>
      <c r="D665" s="123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27"/>
      <c r="AJ665" s="29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5"/>
      <c r="AU665" s="13"/>
      <c r="AZ665" s="116"/>
      <c r="BA665" s="123"/>
      <c r="BB665" s="123"/>
      <c r="BC665" s="123"/>
      <c r="BH665" s="115"/>
      <c r="BI665" s="115"/>
      <c r="BJ665" s="115"/>
      <c r="BK665" s="115"/>
      <c r="BL665" s="115"/>
      <c r="BM665" s="115"/>
      <c r="BN665" s="115"/>
      <c r="BO665" s="115"/>
      <c r="BP665" s="115"/>
      <c r="BQ665" s="115"/>
      <c r="BR665" s="25"/>
      <c r="BS665" s="13"/>
      <c r="BV665" s="114"/>
    </row>
    <row r="666" spans="1:74" ht="19.5" x14ac:dyDescent="0.4">
      <c r="A666" s="117"/>
      <c r="B666" s="123"/>
      <c r="C666" s="123"/>
      <c r="D666" s="123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29"/>
      <c r="AJ666" s="29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25"/>
      <c r="AU666" s="13"/>
      <c r="AZ666" s="116"/>
      <c r="BA666" s="123"/>
      <c r="BB666" s="123"/>
      <c r="BC666" s="123"/>
      <c r="BH666" s="115"/>
      <c r="BI666" s="115"/>
      <c r="BJ666" s="115"/>
      <c r="BK666" s="115"/>
      <c r="BL666" s="115"/>
      <c r="BM666" s="115"/>
      <c r="BN666" s="115"/>
      <c r="BO666" s="115"/>
      <c r="BP666" s="115"/>
      <c r="BQ666" s="115"/>
      <c r="BR666" s="25"/>
      <c r="BS666" s="13"/>
      <c r="BV666" s="114"/>
    </row>
    <row r="667" spans="1:74" ht="19.5" x14ac:dyDescent="0.4">
      <c r="A667" s="117"/>
      <c r="B667" s="123"/>
      <c r="C667" s="123"/>
      <c r="D667" s="123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27"/>
      <c r="AJ667" s="29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25"/>
      <c r="AU667" s="13"/>
      <c r="AZ667" s="116"/>
      <c r="BA667" s="123"/>
      <c r="BB667" s="123"/>
      <c r="BC667" s="123"/>
      <c r="BH667" s="115"/>
      <c r="BI667" s="115"/>
      <c r="BJ667" s="115"/>
      <c r="BK667" s="115"/>
      <c r="BL667" s="115"/>
      <c r="BM667" s="115"/>
      <c r="BN667" s="115"/>
      <c r="BO667" s="115"/>
      <c r="BP667" s="115"/>
      <c r="BQ667" s="115"/>
      <c r="BR667" s="25"/>
      <c r="BS667" s="13"/>
      <c r="BV667" s="114"/>
    </row>
    <row r="668" spans="1:74" ht="19.5" x14ac:dyDescent="0.4">
      <c r="A668" s="117"/>
      <c r="B668" s="123"/>
      <c r="C668" s="123"/>
      <c r="D668" s="123"/>
      <c r="W668" s="115"/>
      <c r="X668" s="115"/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29"/>
      <c r="AJ668" s="29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25"/>
      <c r="AU668" s="13"/>
      <c r="AZ668" s="116"/>
      <c r="BA668" s="123"/>
      <c r="BB668" s="123"/>
      <c r="BC668" s="123"/>
      <c r="BH668" s="115"/>
      <c r="BI668" s="115"/>
      <c r="BJ668" s="115"/>
      <c r="BK668" s="115"/>
      <c r="BL668" s="115"/>
      <c r="BM668" s="115"/>
      <c r="BN668" s="115"/>
      <c r="BO668" s="115"/>
      <c r="BP668" s="115"/>
      <c r="BQ668" s="115"/>
      <c r="BR668" s="25"/>
      <c r="BS668" s="13"/>
      <c r="BV668" s="114"/>
    </row>
    <row r="669" spans="1:74" ht="19.5" x14ac:dyDescent="0.4">
      <c r="A669" s="117"/>
      <c r="B669" s="123"/>
      <c r="C669" s="123"/>
      <c r="D669" s="123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27"/>
      <c r="AJ669" s="29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25"/>
      <c r="AU669" s="13"/>
      <c r="AZ669" s="116"/>
      <c r="BA669" s="123"/>
      <c r="BB669" s="123"/>
      <c r="BC669" s="123"/>
      <c r="BH669" s="115"/>
      <c r="BI669" s="115"/>
      <c r="BJ669" s="115"/>
      <c r="BK669" s="115"/>
      <c r="BL669" s="115"/>
      <c r="BM669" s="115"/>
      <c r="BN669" s="115"/>
      <c r="BO669" s="115"/>
      <c r="BP669" s="115"/>
      <c r="BQ669" s="115"/>
      <c r="BR669" s="25"/>
      <c r="BS669" s="13"/>
      <c r="BV669" s="114"/>
    </row>
    <row r="670" spans="1:74" ht="19.5" x14ac:dyDescent="0.4">
      <c r="A670" s="117"/>
      <c r="B670" s="123"/>
      <c r="C670" s="123"/>
      <c r="D670" s="123"/>
      <c r="AI670" s="127"/>
      <c r="AJ670" s="29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5">
        <v>45679</v>
      </c>
      <c r="AU670" s="13" t="s">
        <v>147</v>
      </c>
      <c r="AZ670" s="116"/>
      <c r="BA670" s="123"/>
      <c r="BB670" s="123"/>
      <c r="BC670" s="123"/>
      <c r="BH670" s="115"/>
      <c r="BI670" s="115"/>
      <c r="BJ670" s="115"/>
      <c r="BK670" s="115"/>
      <c r="BL670" s="115"/>
      <c r="BM670" s="115"/>
      <c r="BN670" s="115"/>
      <c r="BO670" s="115"/>
      <c r="BP670" s="115"/>
      <c r="BQ670" s="115"/>
      <c r="BR670" s="25"/>
      <c r="BS670" s="13"/>
      <c r="BV670" s="114"/>
    </row>
    <row r="671" spans="1:74" ht="19.5" x14ac:dyDescent="0.4">
      <c r="A671" s="117"/>
      <c r="B671" s="123"/>
      <c r="C671" s="123"/>
      <c r="D671" s="123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29"/>
      <c r="AJ671" s="29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25"/>
      <c r="AU671" s="13"/>
      <c r="AZ671" s="116"/>
      <c r="BA671" s="123"/>
      <c r="BB671" s="123"/>
      <c r="BC671" s="123"/>
      <c r="BH671" s="115"/>
      <c r="BI671" s="115"/>
      <c r="BJ671" s="115"/>
      <c r="BK671" s="115"/>
      <c r="BL671" s="115"/>
      <c r="BM671" s="115"/>
      <c r="BN671" s="115"/>
      <c r="BO671" s="115"/>
      <c r="BP671" s="115"/>
      <c r="BQ671" s="115"/>
      <c r="BR671" s="25"/>
      <c r="BS671" s="13"/>
      <c r="BV671" s="114"/>
    </row>
    <row r="672" spans="1:74" ht="19.5" x14ac:dyDescent="0.4">
      <c r="A672" s="117"/>
      <c r="B672" s="123"/>
      <c r="C672" s="123"/>
      <c r="D672" s="123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27"/>
      <c r="AJ672" s="29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25"/>
      <c r="AU672" s="13"/>
      <c r="AZ672" s="116"/>
      <c r="BA672" s="123"/>
      <c r="BB672" s="123"/>
      <c r="BC672" s="123"/>
      <c r="BH672" s="115"/>
      <c r="BI672" s="115"/>
      <c r="BJ672" s="115"/>
      <c r="BK672" s="115"/>
      <c r="BL672" s="115"/>
      <c r="BM672" s="115"/>
      <c r="BN672" s="115"/>
      <c r="BO672" s="115"/>
      <c r="BP672" s="115"/>
      <c r="BQ672" s="115"/>
      <c r="BR672" s="25"/>
      <c r="BS672" s="13"/>
      <c r="BV672" s="114"/>
    </row>
    <row r="673" spans="1:74" ht="19.5" x14ac:dyDescent="0.4">
      <c r="A673" s="117"/>
      <c r="B673" s="123"/>
      <c r="C673" s="123"/>
      <c r="D673" s="123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27"/>
      <c r="AJ673" s="29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25"/>
      <c r="AU673" s="13"/>
      <c r="AZ673" s="116"/>
      <c r="BA673" s="123"/>
      <c r="BB673" s="123"/>
      <c r="BC673" s="123"/>
      <c r="BH673" s="115"/>
      <c r="BI673" s="115"/>
      <c r="BJ673" s="115"/>
      <c r="BK673" s="115"/>
      <c r="BL673" s="115"/>
      <c r="BM673" s="115"/>
      <c r="BN673" s="115"/>
      <c r="BO673" s="115"/>
      <c r="BP673" s="115"/>
      <c r="BQ673" s="115"/>
      <c r="BR673" s="25"/>
      <c r="BS673" s="13"/>
      <c r="BV673" s="114"/>
    </row>
    <row r="674" spans="1:74" ht="19.5" x14ac:dyDescent="0.4">
      <c r="A674" s="117"/>
      <c r="B674" s="123"/>
      <c r="C674" s="123"/>
      <c r="D674" s="123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29"/>
      <c r="AJ674" s="29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25"/>
      <c r="AU674" s="13"/>
      <c r="AZ674" s="116"/>
      <c r="BA674" s="123"/>
      <c r="BB674" s="123"/>
      <c r="BC674" s="123"/>
      <c r="BH674" s="115"/>
      <c r="BI674" s="115"/>
      <c r="BJ674" s="115"/>
      <c r="BK674" s="115"/>
      <c r="BL674" s="115"/>
      <c r="BM674" s="115"/>
      <c r="BN674" s="115"/>
      <c r="BO674" s="115"/>
      <c r="BP674" s="115"/>
      <c r="BQ674" s="115"/>
      <c r="BR674" s="25"/>
      <c r="BS674" s="13"/>
      <c r="BV674" s="114"/>
    </row>
    <row r="675" spans="1:74" ht="19.5" x14ac:dyDescent="0.4">
      <c r="A675" s="117"/>
      <c r="B675" s="123"/>
      <c r="C675" s="123"/>
      <c r="D675" s="123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29"/>
      <c r="AJ675" s="29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25"/>
      <c r="AU675" s="13"/>
      <c r="AZ675" s="116"/>
      <c r="BA675" s="123"/>
      <c r="BB675" s="123"/>
      <c r="BC675" s="123"/>
      <c r="BH675" s="115"/>
      <c r="BI675" s="115"/>
      <c r="BJ675" s="115"/>
      <c r="BK675" s="115"/>
      <c r="BL675" s="115"/>
      <c r="BM675" s="115"/>
      <c r="BN675" s="115"/>
      <c r="BO675" s="115"/>
      <c r="BP675" s="115"/>
      <c r="BQ675" s="115"/>
      <c r="BR675" s="25"/>
      <c r="BS675" s="13"/>
      <c r="BV675" s="114"/>
    </row>
    <row r="676" spans="1:74" ht="19.5" x14ac:dyDescent="0.4">
      <c r="A676" s="117"/>
      <c r="B676" s="123"/>
      <c r="C676" s="123"/>
      <c r="D676" s="123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27"/>
      <c r="AJ676" s="29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25"/>
      <c r="AU676" s="13"/>
      <c r="AZ676" s="116"/>
      <c r="BA676" s="123"/>
      <c r="BB676" s="123"/>
      <c r="BC676" s="123"/>
      <c r="BH676" s="115"/>
      <c r="BI676" s="115"/>
      <c r="BJ676" s="115"/>
      <c r="BK676" s="115"/>
      <c r="BL676" s="115"/>
      <c r="BM676" s="115"/>
      <c r="BN676" s="115"/>
      <c r="BO676" s="115"/>
      <c r="BP676" s="115"/>
      <c r="BQ676" s="115"/>
      <c r="BR676" s="25"/>
      <c r="BS676" s="13"/>
      <c r="BV676" s="114"/>
    </row>
    <row r="677" spans="1:74" ht="19.5" x14ac:dyDescent="0.4">
      <c r="A677" s="117"/>
      <c r="B677" s="123"/>
      <c r="C677" s="123"/>
      <c r="D677" s="123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29"/>
      <c r="AJ677" s="29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25"/>
      <c r="AU677" s="13"/>
      <c r="AZ677" s="116"/>
      <c r="BA677" s="123"/>
      <c r="BB677" s="123"/>
      <c r="BC677" s="123"/>
      <c r="BH677" s="115"/>
      <c r="BI677" s="115"/>
      <c r="BJ677" s="115"/>
      <c r="BK677" s="115"/>
      <c r="BL677" s="115"/>
      <c r="BM677" s="115"/>
      <c r="BN677" s="115"/>
      <c r="BO677" s="115"/>
      <c r="BP677" s="115"/>
      <c r="BQ677" s="115"/>
      <c r="BR677" s="25"/>
      <c r="BS677" s="13"/>
      <c r="BV677" s="114"/>
    </row>
    <row r="678" spans="1:74" ht="19.5" x14ac:dyDescent="0.4">
      <c r="A678" s="117"/>
      <c r="B678" s="123"/>
      <c r="C678" s="123"/>
      <c r="D678" s="123"/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27"/>
      <c r="AJ678" s="29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5"/>
      <c r="AU678" s="13"/>
      <c r="AZ678" s="116"/>
      <c r="BA678" s="123"/>
      <c r="BB678" s="123"/>
      <c r="BC678" s="123"/>
      <c r="BH678" s="115"/>
      <c r="BI678" s="115"/>
      <c r="BJ678" s="115"/>
      <c r="BK678" s="115"/>
      <c r="BL678" s="115"/>
      <c r="BM678" s="115"/>
      <c r="BN678" s="115"/>
      <c r="BO678" s="115"/>
      <c r="BP678" s="115"/>
      <c r="BQ678" s="115"/>
      <c r="BR678" s="25"/>
      <c r="BS678" s="13"/>
      <c r="BV678" s="114"/>
    </row>
    <row r="679" spans="1:74" ht="19.5" x14ac:dyDescent="0.4">
      <c r="A679" s="117"/>
      <c r="B679" s="123"/>
      <c r="C679" s="123"/>
      <c r="D679" s="123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27"/>
      <c r="AJ679" s="29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25"/>
      <c r="AU679" s="13"/>
      <c r="AZ679" s="116"/>
      <c r="BA679" s="123"/>
      <c r="BB679" s="123"/>
      <c r="BC679" s="123"/>
      <c r="BH679" s="115"/>
      <c r="BI679" s="115"/>
      <c r="BJ679" s="115"/>
      <c r="BK679" s="115"/>
      <c r="BL679" s="115"/>
      <c r="BM679" s="115"/>
      <c r="BN679" s="115"/>
      <c r="BO679" s="115"/>
      <c r="BP679" s="115"/>
      <c r="BQ679" s="115"/>
      <c r="BR679" s="25"/>
      <c r="BS679" s="13"/>
      <c r="BV679" s="114"/>
    </row>
    <row r="680" spans="1:74" ht="19.5" x14ac:dyDescent="0.4">
      <c r="A680" s="117"/>
      <c r="B680" s="123"/>
      <c r="C680" s="123"/>
      <c r="D680" s="123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27"/>
      <c r="AJ680" s="29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25"/>
      <c r="AU680" s="13"/>
      <c r="AZ680" s="116"/>
      <c r="BA680" s="123"/>
      <c r="BB680" s="123"/>
      <c r="BC680" s="123"/>
      <c r="BH680" s="115"/>
      <c r="BI680" s="115"/>
      <c r="BJ680" s="115"/>
      <c r="BK680" s="115"/>
      <c r="BL680" s="115"/>
      <c r="BM680" s="115"/>
      <c r="BN680" s="115"/>
      <c r="BO680" s="115"/>
      <c r="BP680" s="115"/>
      <c r="BQ680" s="115"/>
      <c r="BR680" s="25"/>
      <c r="BS680" s="13"/>
      <c r="BV680" s="114"/>
    </row>
    <row r="681" spans="1:74" ht="19.5" x14ac:dyDescent="0.4">
      <c r="A681" s="117"/>
      <c r="B681" s="123"/>
      <c r="C681" s="123"/>
      <c r="D681" s="123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27"/>
      <c r="AJ681" s="29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25"/>
      <c r="AU681" s="13"/>
      <c r="AZ681" s="116"/>
      <c r="BA681" s="123"/>
      <c r="BB681" s="123"/>
      <c r="BC681" s="123"/>
      <c r="BH681" s="115"/>
      <c r="BI681" s="115"/>
      <c r="BJ681" s="115"/>
      <c r="BK681" s="115"/>
      <c r="BL681" s="115"/>
      <c r="BM681" s="115"/>
      <c r="BN681" s="115"/>
      <c r="BO681" s="115"/>
      <c r="BP681" s="115"/>
      <c r="BQ681" s="115"/>
      <c r="BR681" s="25"/>
      <c r="BS681" s="13"/>
      <c r="BV681" s="114"/>
    </row>
    <row r="682" spans="1:74" ht="19.5" x14ac:dyDescent="0.4">
      <c r="A682" s="117"/>
      <c r="B682" s="123"/>
      <c r="C682" s="123"/>
      <c r="D682" s="123"/>
      <c r="AI682" s="127"/>
      <c r="AJ682" s="29"/>
      <c r="AT682" s="25">
        <v>45679</v>
      </c>
      <c r="AU682" s="13" t="s">
        <v>147</v>
      </c>
      <c r="AZ682" s="116"/>
      <c r="BA682" s="123"/>
      <c r="BB682" s="123"/>
      <c r="BC682" s="123"/>
      <c r="BH682" s="115"/>
      <c r="BI682" s="115"/>
      <c r="BJ682" s="115"/>
      <c r="BK682" s="115"/>
      <c r="BL682" s="115"/>
      <c r="BM682" s="115"/>
      <c r="BN682" s="115"/>
      <c r="BO682" s="115"/>
      <c r="BP682" s="115"/>
      <c r="BQ682" s="115"/>
      <c r="BR682" s="25"/>
      <c r="BS682" s="13"/>
      <c r="BV682" s="114"/>
    </row>
    <row r="683" spans="1:74" ht="19.5" x14ac:dyDescent="0.4">
      <c r="A683" s="117"/>
      <c r="B683" s="123"/>
      <c r="C683" s="123"/>
      <c r="D683" s="123"/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27"/>
      <c r="AJ683" s="29"/>
      <c r="AT683" s="25"/>
      <c r="AU683" s="13"/>
      <c r="AZ683" s="116"/>
      <c r="BA683" s="123"/>
      <c r="BB683" s="123"/>
      <c r="BC683" s="123"/>
      <c r="BH683" s="115"/>
      <c r="BI683" s="115"/>
      <c r="BJ683" s="115"/>
      <c r="BK683" s="115"/>
      <c r="BL683" s="115"/>
      <c r="BM683" s="115"/>
      <c r="BN683" s="115"/>
      <c r="BO683" s="115"/>
      <c r="BP683" s="115"/>
      <c r="BQ683" s="115"/>
      <c r="BR683" s="25"/>
      <c r="BS683" s="13"/>
      <c r="BV683" s="114"/>
    </row>
    <row r="684" spans="1:74" ht="19.5" x14ac:dyDescent="0.4">
      <c r="A684" s="117"/>
      <c r="B684" s="123"/>
      <c r="C684" s="123"/>
      <c r="D684" s="123"/>
      <c r="AI684" s="127"/>
      <c r="AJ684" s="29"/>
      <c r="AT684" s="25"/>
      <c r="AU684" s="13"/>
      <c r="AZ684" s="116"/>
      <c r="BA684" s="123"/>
      <c r="BB684" s="123"/>
      <c r="BC684" s="123"/>
      <c r="BH684" s="115"/>
      <c r="BI684" s="115"/>
      <c r="BJ684" s="115"/>
      <c r="BK684" s="115"/>
      <c r="BL684" s="115"/>
      <c r="BM684" s="115"/>
      <c r="BN684" s="115"/>
      <c r="BO684" s="115"/>
      <c r="BP684" s="115"/>
      <c r="BQ684" s="115"/>
      <c r="BR684" s="25"/>
      <c r="BS684" s="13"/>
      <c r="BV684" s="114"/>
    </row>
    <row r="685" spans="1:74" ht="19.5" x14ac:dyDescent="0.4">
      <c r="A685" s="117"/>
      <c r="B685" s="123"/>
      <c r="C685" s="123"/>
      <c r="D685" s="123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27"/>
      <c r="AJ685" s="29"/>
      <c r="AT685" s="25"/>
      <c r="AU685" s="13"/>
      <c r="AZ685" s="116"/>
      <c r="BA685" s="123"/>
      <c r="BB685" s="123"/>
      <c r="BC685" s="123"/>
      <c r="BH685" s="115"/>
      <c r="BI685" s="115"/>
      <c r="BJ685" s="115"/>
      <c r="BK685" s="115"/>
      <c r="BL685" s="115"/>
      <c r="BM685" s="115"/>
      <c r="BN685" s="115"/>
      <c r="BO685" s="115"/>
      <c r="BP685" s="115"/>
      <c r="BQ685" s="115"/>
      <c r="BR685" s="25"/>
      <c r="BS685" s="13"/>
      <c r="BV685" s="114"/>
    </row>
    <row r="686" spans="1:74" ht="19.5" x14ac:dyDescent="0.4">
      <c r="A686" s="117"/>
      <c r="B686" s="123"/>
      <c r="C686" s="123"/>
      <c r="D686" s="123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29"/>
      <c r="AJ686" s="29"/>
      <c r="AT686" s="25"/>
      <c r="AU686" s="13"/>
      <c r="AZ686" s="116"/>
      <c r="BA686" s="123"/>
      <c r="BB686" s="123"/>
      <c r="BC686" s="123"/>
      <c r="BH686" s="115"/>
      <c r="BI686" s="115"/>
      <c r="BJ686" s="115"/>
      <c r="BK686" s="115"/>
      <c r="BL686" s="115"/>
      <c r="BM686" s="115"/>
      <c r="BN686" s="115"/>
      <c r="BO686" s="115"/>
      <c r="BP686" s="115"/>
      <c r="BQ686" s="115"/>
      <c r="BR686" s="25"/>
      <c r="BS686" s="13"/>
      <c r="BV686" s="114"/>
    </row>
    <row r="687" spans="1:74" ht="19.5" x14ac:dyDescent="0.4">
      <c r="A687" s="117"/>
      <c r="B687" s="123"/>
      <c r="C687" s="123"/>
      <c r="D687" s="123"/>
      <c r="AI687" s="127"/>
      <c r="AJ687" s="29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25">
        <v>45679</v>
      </c>
      <c r="AU687" s="13" t="s">
        <v>146</v>
      </c>
      <c r="AZ687" s="116"/>
      <c r="BA687" s="123"/>
      <c r="BB687" s="123"/>
      <c r="BC687" s="123"/>
      <c r="BH687" s="115"/>
      <c r="BI687" s="115"/>
      <c r="BJ687" s="115"/>
      <c r="BK687" s="115"/>
      <c r="BL687" s="115"/>
      <c r="BM687" s="115"/>
      <c r="BN687" s="115"/>
      <c r="BO687" s="115"/>
      <c r="BP687" s="115"/>
      <c r="BQ687" s="115"/>
      <c r="BR687" s="25"/>
      <c r="BS687" s="13"/>
      <c r="BV687" s="114"/>
    </row>
    <row r="688" spans="1:74" ht="19.5" x14ac:dyDescent="0.4">
      <c r="A688" s="117"/>
      <c r="B688" s="123"/>
      <c r="C688" s="123"/>
      <c r="D688" s="123"/>
      <c r="W688" s="115"/>
      <c r="X688" s="115"/>
      <c r="Y688" s="115"/>
      <c r="Z688" s="115"/>
      <c r="AA688" s="115"/>
      <c r="AB688" s="115"/>
      <c r="AC688" s="115"/>
      <c r="AD688" s="115"/>
      <c r="AE688" s="115"/>
      <c r="AF688" s="115"/>
      <c r="AG688" s="115"/>
      <c r="AH688" s="115"/>
      <c r="AI688" s="127"/>
      <c r="AJ688" s="29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25"/>
      <c r="AU688" s="13"/>
      <c r="AZ688" s="116"/>
      <c r="BA688" s="123"/>
      <c r="BB688" s="123"/>
      <c r="BC688" s="123"/>
      <c r="BH688" s="115"/>
      <c r="BI688" s="115"/>
      <c r="BJ688" s="115"/>
      <c r="BK688" s="115"/>
      <c r="BL688" s="115"/>
      <c r="BM688" s="115"/>
      <c r="BN688" s="115"/>
      <c r="BO688" s="115"/>
      <c r="BP688" s="115"/>
      <c r="BQ688" s="115"/>
      <c r="BR688" s="25"/>
      <c r="BS688" s="13"/>
      <c r="BV688" s="114"/>
    </row>
    <row r="689" spans="1:74" ht="19.5" x14ac:dyDescent="0.4">
      <c r="A689" s="117"/>
      <c r="B689" s="123"/>
      <c r="C689" s="123"/>
      <c r="D689" s="123"/>
      <c r="AI689" s="127"/>
      <c r="AJ689" s="29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25"/>
      <c r="AU689" s="13"/>
      <c r="AZ689" s="116"/>
      <c r="BA689" s="123"/>
      <c r="BB689" s="123"/>
      <c r="BC689" s="123"/>
      <c r="BH689" s="115"/>
      <c r="BI689" s="115"/>
      <c r="BJ689" s="115"/>
      <c r="BK689" s="115"/>
      <c r="BL689" s="115"/>
      <c r="BM689" s="115"/>
      <c r="BN689" s="115"/>
      <c r="BO689" s="115"/>
      <c r="BP689" s="115"/>
      <c r="BQ689" s="115"/>
      <c r="BR689" s="25"/>
      <c r="BS689" s="13"/>
      <c r="BV689" s="114"/>
    </row>
    <row r="690" spans="1:74" ht="19.5" x14ac:dyDescent="0.4">
      <c r="A690" s="117"/>
      <c r="B690" s="123"/>
      <c r="C690" s="123"/>
      <c r="D690" s="123"/>
      <c r="W690" s="115"/>
      <c r="X690" s="115"/>
      <c r="Y690" s="115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27"/>
      <c r="AJ690" s="29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5"/>
      <c r="AU690" s="13"/>
      <c r="AZ690" s="116"/>
      <c r="BA690" s="123"/>
      <c r="BB690" s="123"/>
      <c r="BC690" s="123"/>
      <c r="BH690" s="115"/>
      <c r="BI690" s="115"/>
      <c r="BJ690" s="115"/>
      <c r="BK690" s="115"/>
      <c r="BL690" s="115"/>
      <c r="BM690" s="115"/>
      <c r="BN690" s="115"/>
      <c r="BO690" s="115"/>
      <c r="BP690" s="115"/>
      <c r="BQ690" s="115"/>
      <c r="BR690" s="25"/>
      <c r="BS690" s="13"/>
      <c r="BV690" s="114"/>
    </row>
    <row r="691" spans="1:74" ht="19.5" x14ac:dyDescent="0.4">
      <c r="A691" s="117"/>
      <c r="B691" s="123"/>
      <c r="C691" s="123"/>
      <c r="D691" s="123"/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27"/>
      <c r="AJ691" s="29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5"/>
      <c r="AU691" s="13"/>
      <c r="AZ691" s="116"/>
      <c r="BA691" s="123"/>
      <c r="BB691" s="123"/>
      <c r="BC691" s="123"/>
      <c r="BH691" s="115"/>
      <c r="BI691" s="115"/>
      <c r="BJ691" s="115"/>
      <c r="BK691" s="115"/>
      <c r="BL691" s="115"/>
      <c r="BM691" s="115"/>
      <c r="BN691" s="115"/>
      <c r="BO691" s="115"/>
      <c r="BP691" s="115"/>
      <c r="BQ691" s="115"/>
      <c r="BR691" s="25"/>
      <c r="BS691" s="13"/>
      <c r="BV691" s="114"/>
    </row>
    <row r="692" spans="1:74" ht="19.5" x14ac:dyDescent="0.4">
      <c r="A692" s="117"/>
      <c r="B692" s="123"/>
      <c r="C692" s="123"/>
      <c r="D692" s="123"/>
      <c r="AI692" s="127"/>
      <c r="AJ692" s="29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25">
        <v>45679</v>
      </c>
      <c r="AU692" s="13" t="s">
        <v>147</v>
      </c>
      <c r="AZ692" s="116"/>
      <c r="BA692" s="123"/>
      <c r="BB692" s="123"/>
      <c r="BC692" s="123"/>
      <c r="BH692" s="115"/>
      <c r="BI692" s="115"/>
      <c r="BJ692" s="115"/>
      <c r="BK692" s="115"/>
      <c r="BL692" s="115"/>
      <c r="BM692" s="115"/>
      <c r="BN692" s="115"/>
      <c r="BO692" s="115"/>
      <c r="BP692" s="115"/>
      <c r="BQ692" s="115"/>
      <c r="BR692" s="25"/>
      <c r="BS692" s="13"/>
      <c r="BV692" s="114"/>
    </row>
    <row r="693" spans="1:74" ht="19.5" x14ac:dyDescent="0.4">
      <c r="A693" s="117"/>
      <c r="B693" s="123"/>
      <c r="C693" s="123"/>
      <c r="D693" s="123"/>
      <c r="AI693" s="127"/>
      <c r="AJ693" s="29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25">
        <v>45680</v>
      </c>
      <c r="AU693" s="13" t="s">
        <v>148</v>
      </c>
      <c r="AZ693" s="116"/>
      <c r="BA693" s="123"/>
      <c r="BB693" s="123"/>
      <c r="BC693" s="123"/>
      <c r="BH693" s="115"/>
      <c r="BI693" s="115"/>
      <c r="BJ693" s="115"/>
      <c r="BK693" s="115"/>
      <c r="BL693" s="115"/>
      <c r="BM693" s="115"/>
      <c r="BN693" s="115"/>
      <c r="BO693" s="115"/>
      <c r="BP693" s="115"/>
      <c r="BQ693" s="115"/>
      <c r="BR693" s="25"/>
      <c r="BS693" s="13"/>
      <c r="BV693" s="114"/>
    </row>
    <row r="694" spans="1:74" ht="19.5" x14ac:dyDescent="0.4">
      <c r="A694" s="117"/>
      <c r="B694" s="123"/>
      <c r="C694" s="123"/>
      <c r="D694" s="123"/>
      <c r="Y694" s="115"/>
      <c r="Z694" s="115"/>
      <c r="AA694" s="115"/>
      <c r="AB694" s="115"/>
      <c r="AC694" s="115"/>
      <c r="AD694" s="115"/>
      <c r="AE694" s="115"/>
      <c r="AF694" s="115"/>
      <c r="AG694" s="115"/>
      <c r="AH694" s="115"/>
      <c r="AI694" s="29"/>
      <c r="AJ694" s="29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25"/>
      <c r="AU694" s="13"/>
      <c r="AZ694" s="116"/>
      <c r="BA694" s="123"/>
      <c r="BB694" s="123"/>
      <c r="BC694" s="123"/>
      <c r="BH694" s="115"/>
      <c r="BI694" s="115"/>
      <c r="BJ694" s="115"/>
      <c r="BK694" s="115"/>
      <c r="BL694" s="115"/>
      <c r="BM694" s="115"/>
      <c r="BN694" s="115"/>
      <c r="BO694" s="115"/>
      <c r="BP694" s="115"/>
      <c r="BQ694" s="115"/>
      <c r="BR694" s="25"/>
      <c r="BS694" s="13"/>
      <c r="BV694" s="114"/>
    </row>
    <row r="695" spans="1:74" ht="19.5" x14ac:dyDescent="0.4">
      <c r="A695" s="117"/>
      <c r="B695" s="123"/>
      <c r="C695" s="123"/>
      <c r="D695" s="123"/>
      <c r="U695" s="115"/>
      <c r="V695" s="115"/>
      <c r="W695" s="115"/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27"/>
      <c r="AJ695" s="29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25"/>
      <c r="AU695" s="13"/>
      <c r="AZ695" s="116"/>
      <c r="BA695" s="123"/>
      <c r="BB695" s="123"/>
      <c r="BC695" s="123"/>
      <c r="BH695" s="115"/>
      <c r="BI695" s="115"/>
      <c r="BJ695" s="115"/>
      <c r="BK695" s="115"/>
      <c r="BL695" s="115"/>
      <c r="BM695" s="115"/>
      <c r="BN695" s="115"/>
      <c r="BO695" s="115"/>
      <c r="BP695" s="115"/>
      <c r="BQ695" s="115"/>
      <c r="BR695" s="25"/>
      <c r="BS695" s="13"/>
      <c r="BV695" s="114"/>
    </row>
    <row r="696" spans="1:74" ht="19.5" x14ac:dyDescent="0.4">
      <c r="A696" s="117"/>
      <c r="B696" s="123"/>
      <c r="C696" s="123"/>
      <c r="D696" s="123"/>
      <c r="AI696" s="127"/>
      <c r="AJ696" s="29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25">
        <v>45680</v>
      </c>
      <c r="AU696" s="13" t="s">
        <v>147</v>
      </c>
      <c r="AZ696" s="116"/>
      <c r="BA696" s="123"/>
      <c r="BB696" s="123"/>
      <c r="BC696" s="123"/>
      <c r="BH696" s="115"/>
      <c r="BI696" s="115"/>
      <c r="BJ696" s="115"/>
      <c r="BK696" s="115"/>
      <c r="BL696" s="115"/>
      <c r="BM696" s="115"/>
      <c r="BN696" s="115"/>
      <c r="BO696" s="115"/>
      <c r="BP696" s="115"/>
      <c r="BQ696" s="115"/>
      <c r="BR696" s="25"/>
      <c r="BS696" s="13"/>
      <c r="BV696" s="114"/>
    </row>
    <row r="697" spans="1:74" ht="19.5" x14ac:dyDescent="0.4">
      <c r="A697" s="117"/>
      <c r="B697" s="123"/>
      <c r="C697" s="123"/>
      <c r="D697" s="123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27"/>
      <c r="AJ697" s="29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25"/>
      <c r="AU697" s="13"/>
      <c r="AZ697" s="116"/>
      <c r="BA697" s="123"/>
      <c r="BB697" s="123"/>
      <c r="BC697" s="123"/>
      <c r="BH697" s="115"/>
      <c r="BI697" s="115"/>
      <c r="BJ697" s="115"/>
      <c r="BK697" s="115"/>
      <c r="BL697" s="115"/>
      <c r="BM697" s="115"/>
      <c r="BN697" s="115"/>
      <c r="BO697" s="115"/>
      <c r="BP697" s="115"/>
      <c r="BQ697" s="115"/>
      <c r="BR697" s="25"/>
      <c r="BS697" s="13"/>
      <c r="BV697" s="114"/>
    </row>
    <row r="698" spans="1:74" ht="19.5" x14ac:dyDescent="0.4">
      <c r="A698" s="117"/>
      <c r="B698" s="123"/>
      <c r="C698" s="123"/>
      <c r="D698" s="123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27"/>
      <c r="AJ698" s="29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5"/>
      <c r="AU698" s="13"/>
      <c r="AZ698" s="116"/>
      <c r="BA698" s="123"/>
      <c r="BB698" s="123"/>
      <c r="BC698" s="123"/>
      <c r="BH698" s="115"/>
      <c r="BI698" s="115"/>
      <c r="BJ698" s="115"/>
      <c r="BK698" s="115"/>
      <c r="BL698" s="115"/>
      <c r="BM698" s="115"/>
      <c r="BN698" s="115"/>
      <c r="BO698" s="115"/>
      <c r="BP698" s="115"/>
      <c r="BQ698" s="115"/>
      <c r="BR698" s="25"/>
      <c r="BS698" s="13"/>
      <c r="BV698" s="114"/>
    </row>
    <row r="699" spans="1:74" ht="19.5" x14ac:dyDescent="0.4">
      <c r="A699" s="117"/>
      <c r="B699" s="123"/>
      <c r="C699" s="123"/>
      <c r="D699" s="123"/>
      <c r="AI699" s="127"/>
      <c r="AJ699" s="29"/>
      <c r="AK699" s="115"/>
      <c r="AL699" s="115"/>
      <c r="AM699" s="115"/>
      <c r="AN699" s="115"/>
      <c r="AO699" s="115"/>
      <c r="AP699" s="115"/>
      <c r="AQ699" s="115"/>
      <c r="AR699" s="115"/>
      <c r="AS699" s="115"/>
      <c r="AT699" s="25">
        <v>45680</v>
      </c>
      <c r="AU699" s="13" t="s">
        <v>147</v>
      </c>
      <c r="AZ699" s="116"/>
      <c r="BA699" s="123"/>
      <c r="BB699" s="123"/>
      <c r="BC699" s="123"/>
      <c r="BH699" s="115"/>
      <c r="BI699" s="115"/>
      <c r="BJ699" s="115"/>
      <c r="BK699" s="115"/>
      <c r="BL699" s="115"/>
      <c r="BM699" s="115"/>
      <c r="BN699" s="115"/>
      <c r="BO699" s="115"/>
      <c r="BP699" s="115"/>
      <c r="BQ699" s="115"/>
      <c r="BR699" s="25"/>
      <c r="BS699" s="13"/>
      <c r="BV699" s="114"/>
    </row>
    <row r="700" spans="1:74" ht="19.5" x14ac:dyDescent="0.4">
      <c r="A700" s="117"/>
      <c r="B700" s="123"/>
      <c r="C700" s="123"/>
      <c r="D700" s="123"/>
      <c r="AI700" s="127"/>
      <c r="AJ700" s="29"/>
      <c r="AK700" s="115"/>
      <c r="AL700" s="115"/>
      <c r="AM700" s="115"/>
      <c r="AN700" s="115"/>
      <c r="AO700" s="115"/>
      <c r="AP700" s="115"/>
      <c r="AQ700" s="115"/>
      <c r="AR700" s="115"/>
      <c r="AS700" s="115"/>
      <c r="AT700" s="25"/>
      <c r="AU700" s="13"/>
      <c r="AZ700" s="116"/>
      <c r="BA700" s="123"/>
      <c r="BB700" s="123"/>
      <c r="BC700" s="123"/>
      <c r="BH700" s="115"/>
      <c r="BI700" s="115"/>
      <c r="BJ700" s="115"/>
      <c r="BK700" s="115"/>
      <c r="BL700" s="115"/>
      <c r="BM700" s="115"/>
      <c r="BN700" s="115"/>
      <c r="BO700" s="115"/>
      <c r="BP700" s="115"/>
      <c r="BQ700" s="115"/>
      <c r="BR700" s="25"/>
      <c r="BS700" s="13"/>
      <c r="BV700" s="114"/>
    </row>
    <row r="701" spans="1:74" ht="19.5" x14ac:dyDescent="0.4">
      <c r="A701" s="117"/>
      <c r="B701" s="123"/>
      <c r="C701" s="123"/>
      <c r="D701" s="123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27"/>
      <c r="AJ701" s="29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25"/>
      <c r="AU701" s="13"/>
      <c r="AZ701" s="116"/>
      <c r="BA701" s="123"/>
      <c r="BB701" s="123"/>
      <c r="BC701" s="123"/>
      <c r="BH701" s="115"/>
      <c r="BI701" s="115"/>
      <c r="BJ701" s="115"/>
      <c r="BK701" s="115"/>
      <c r="BL701" s="115"/>
      <c r="BM701" s="115"/>
      <c r="BN701" s="115"/>
      <c r="BO701" s="115"/>
      <c r="BP701" s="115"/>
      <c r="BQ701" s="115"/>
      <c r="BR701" s="25"/>
      <c r="BS701" s="13"/>
      <c r="BV701" s="114"/>
    </row>
    <row r="702" spans="1:74" ht="19.5" x14ac:dyDescent="0.4">
      <c r="A702" s="117"/>
      <c r="B702" s="123"/>
      <c r="C702" s="123"/>
      <c r="D702" s="123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27"/>
      <c r="AJ702" s="29"/>
      <c r="AK702" s="115"/>
      <c r="AL702" s="115"/>
      <c r="AM702" s="115"/>
      <c r="AN702" s="115"/>
      <c r="AO702" s="115"/>
      <c r="AP702" s="115"/>
      <c r="AQ702" s="115"/>
      <c r="AR702" s="115"/>
      <c r="AS702" s="115"/>
      <c r="AT702" s="25"/>
      <c r="AU702" s="13"/>
      <c r="AZ702" s="116"/>
      <c r="BA702" s="123"/>
      <c r="BB702" s="123"/>
      <c r="BC702" s="123"/>
      <c r="BH702" s="115"/>
      <c r="BI702" s="115"/>
      <c r="BJ702" s="115"/>
      <c r="BK702" s="115"/>
      <c r="BL702" s="115"/>
      <c r="BM702" s="115"/>
      <c r="BN702" s="115"/>
      <c r="BO702" s="115"/>
      <c r="BP702" s="115"/>
      <c r="BQ702" s="115"/>
      <c r="BR702" s="25"/>
      <c r="BS702" s="13"/>
      <c r="BV702" s="114"/>
    </row>
    <row r="703" spans="1:74" ht="19.5" x14ac:dyDescent="0.4">
      <c r="A703" s="117"/>
      <c r="B703" s="123"/>
      <c r="C703" s="123"/>
      <c r="D703" s="123"/>
      <c r="AI703" s="127"/>
      <c r="AJ703" s="29"/>
      <c r="AK703" s="115"/>
      <c r="AL703" s="115"/>
      <c r="AM703" s="115"/>
      <c r="AN703" s="115"/>
      <c r="AO703" s="115"/>
      <c r="AP703" s="115"/>
      <c r="AQ703" s="115"/>
      <c r="AR703" s="115"/>
      <c r="AS703" s="115"/>
      <c r="AT703" s="25">
        <v>45680</v>
      </c>
      <c r="AU703" s="13" t="s">
        <v>146</v>
      </c>
      <c r="AZ703" s="116"/>
      <c r="BA703" s="123"/>
      <c r="BB703" s="123"/>
      <c r="BC703" s="123"/>
      <c r="BH703" s="115"/>
      <c r="BI703" s="115"/>
      <c r="BJ703" s="115"/>
      <c r="BK703" s="115"/>
      <c r="BL703" s="115"/>
      <c r="BM703" s="115"/>
      <c r="BN703" s="115"/>
      <c r="BO703" s="115"/>
      <c r="BP703" s="115"/>
      <c r="BQ703" s="115"/>
      <c r="BR703" s="25"/>
      <c r="BS703" s="13"/>
      <c r="BV703" s="114"/>
    </row>
    <row r="704" spans="1:74" ht="19.5" x14ac:dyDescent="0.4">
      <c r="A704" s="117"/>
      <c r="B704" s="123"/>
      <c r="C704" s="123"/>
      <c r="D704" s="123"/>
      <c r="AI704" s="127"/>
      <c r="AJ704" s="29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25">
        <v>45680</v>
      </c>
      <c r="AU704" s="13" t="s">
        <v>146</v>
      </c>
      <c r="AZ704" s="116"/>
      <c r="BA704" s="123"/>
      <c r="BB704" s="123"/>
      <c r="BC704" s="123"/>
      <c r="BH704" s="115"/>
      <c r="BI704" s="115"/>
      <c r="BJ704" s="115"/>
      <c r="BK704" s="115"/>
      <c r="BL704" s="115"/>
      <c r="BM704" s="115"/>
      <c r="BN704" s="115"/>
      <c r="BO704" s="115"/>
      <c r="BP704" s="115"/>
      <c r="BQ704" s="115"/>
      <c r="BR704" s="25"/>
      <c r="BS704" s="13"/>
      <c r="BV704" s="114"/>
    </row>
    <row r="705" spans="1:74" ht="19.5" x14ac:dyDescent="0.4">
      <c r="A705" s="117"/>
      <c r="B705" s="123"/>
      <c r="C705" s="123"/>
      <c r="D705" s="123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27"/>
      <c r="AJ705" s="29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25">
        <v>45680</v>
      </c>
      <c r="AU705" s="13" t="s">
        <v>147</v>
      </c>
      <c r="AZ705" s="116"/>
      <c r="BA705" s="123"/>
      <c r="BB705" s="123"/>
      <c r="BC705" s="123"/>
      <c r="BH705" s="115"/>
      <c r="BI705" s="115"/>
      <c r="BJ705" s="115"/>
      <c r="BK705" s="115"/>
      <c r="BL705" s="115"/>
      <c r="BM705" s="115"/>
      <c r="BN705" s="115"/>
      <c r="BO705" s="115"/>
      <c r="BP705" s="115"/>
      <c r="BQ705" s="115"/>
      <c r="BR705" s="25"/>
      <c r="BS705" s="13"/>
      <c r="BV705" s="114"/>
    </row>
    <row r="706" spans="1:74" ht="19.5" x14ac:dyDescent="0.4">
      <c r="A706" s="117"/>
      <c r="B706" s="123"/>
      <c r="C706" s="123"/>
      <c r="D706" s="123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27"/>
      <c r="AJ706" s="29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25"/>
      <c r="AU706" s="13"/>
      <c r="AZ706" s="116"/>
      <c r="BA706" s="123"/>
      <c r="BB706" s="123"/>
      <c r="BC706" s="123"/>
      <c r="BH706" s="115"/>
      <c r="BI706" s="115"/>
      <c r="BJ706" s="115"/>
      <c r="BK706" s="115"/>
      <c r="BL706" s="115"/>
      <c r="BM706" s="115"/>
      <c r="BN706" s="115"/>
      <c r="BO706" s="115"/>
      <c r="BP706" s="115"/>
      <c r="BQ706" s="115"/>
      <c r="BR706" s="25"/>
      <c r="BS706" s="13"/>
      <c r="BV706" s="114"/>
    </row>
    <row r="707" spans="1:74" ht="19.5" x14ac:dyDescent="0.4">
      <c r="A707" s="117"/>
      <c r="B707" s="123"/>
      <c r="C707" s="123"/>
      <c r="D707" s="123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29"/>
      <c r="AJ707" s="29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25"/>
      <c r="AU707" s="13"/>
      <c r="AZ707" s="116"/>
      <c r="BA707" s="123"/>
      <c r="BB707" s="123"/>
      <c r="BC707" s="123"/>
      <c r="BH707" s="115"/>
      <c r="BI707" s="115"/>
      <c r="BJ707" s="115"/>
      <c r="BK707" s="115"/>
      <c r="BL707" s="115"/>
      <c r="BM707" s="115"/>
      <c r="BN707" s="115"/>
      <c r="BO707" s="115"/>
      <c r="BP707" s="115"/>
      <c r="BQ707" s="115"/>
      <c r="BR707" s="25"/>
      <c r="BS707" s="13"/>
      <c r="BV707" s="114"/>
    </row>
    <row r="708" spans="1:74" ht="19.5" x14ac:dyDescent="0.4">
      <c r="A708" s="117"/>
      <c r="B708" s="123"/>
      <c r="C708" s="123"/>
      <c r="D708" s="123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27"/>
      <c r="AJ708" s="29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25"/>
      <c r="AU708" s="13"/>
      <c r="AZ708" s="116"/>
      <c r="BA708" s="123"/>
      <c r="BB708" s="123"/>
      <c r="BC708" s="123"/>
      <c r="BH708" s="115"/>
      <c r="BI708" s="115"/>
      <c r="BJ708" s="115"/>
      <c r="BK708" s="115"/>
      <c r="BL708" s="115"/>
      <c r="BM708" s="115"/>
      <c r="BN708" s="115"/>
      <c r="BO708" s="115"/>
      <c r="BP708" s="115"/>
      <c r="BQ708" s="115"/>
      <c r="BR708" s="25"/>
      <c r="BS708" s="13"/>
      <c r="BV708" s="114"/>
    </row>
    <row r="709" spans="1:74" ht="19.5" x14ac:dyDescent="0.4">
      <c r="A709" s="117"/>
      <c r="B709" s="123"/>
      <c r="C709" s="123"/>
      <c r="D709" s="123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29"/>
      <c r="AJ709" s="29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5"/>
      <c r="AU709" s="13"/>
      <c r="AZ709" s="116"/>
      <c r="BA709" s="123"/>
      <c r="BB709" s="123"/>
      <c r="BC709" s="123"/>
      <c r="BH709" s="115"/>
      <c r="BI709" s="115"/>
      <c r="BJ709" s="115"/>
      <c r="BK709" s="115"/>
      <c r="BL709" s="115"/>
      <c r="BM709" s="115"/>
      <c r="BN709" s="115"/>
      <c r="BO709" s="115"/>
      <c r="BP709" s="115"/>
      <c r="BQ709" s="115"/>
      <c r="BR709" s="25"/>
      <c r="BS709" s="13"/>
      <c r="BV709" s="114"/>
    </row>
    <row r="710" spans="1:74" ht="19.5" x14ac:dyDescent="0.4">
      <c r="A710" s="117"/>
      <c r="B710" s="123"/>
      <c r="C710" s="123"/>
      <c r="D710" s="123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27"/>
      <c r="AJ710" s="29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25">
        <v>45680</v>
      </c>
      <c r="AU710" s="15" t="s">
        <v>142</v>
      </c>
      <c r="AZ710" s="116"/>
      <c r="BA710" s="123"/>
      <c r="BB710" s="123"/>
      <c r="BC710" s="123"/>
      <c r="BH710" s="115"/>
      <c r="BI710" s="115"/>
      <c r="BJ710" s="115"/>
      <c r="BK710" s="115"/>
      <c r="BL710" s="115"/>
      <c r="BM710" s="115"/>
      <c r="BN710" s="115"/>
      <c r="BO710" s="115"/>
      <c r="BP710" s="115"/>
      <c r="BQ710" s="115"/>
      <c r="BR710" s="25"/>
      <c r="BS710" s="13"/>
      <c r="BV710" s="114"/>
    </row>
    <row r="711" spans="1:74" ht="19.5" x14ac:dyDescent="0.4">
      <c r="A711" s="117"/>
      <c r="B711" s="123"/>
      <c r="C711" s="123"/>
      <c r="D711" s="123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29"/>
      <c r="AJ711" s="29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25"/>
      <c r="AU711" s="15"/>
      <c r="AZ711" s="116"/>
      <c r="BA711" s="123"/>
      <c r="BB711" s="123"/>
      <c r="BC711" s="123"/>
      <c r="BH711" s="115"/>
      <c r="BI711" s="115"/>
      <c r="BJ711" s="115"/>
      <c r="BK711" s="115"/>
      <c r="BL711" s="115"/>
      <c r="BM711" s="115"/>
      <c r="BN711" s="115"/>
      <c r="BO711" s="115"/>
      <c r="BP711" s="115"/>
      <c r="BQ711" s="115"/>
      <c r="BR711" s="25"/>
      <c r="BS711" s="13"/>
      <c r="BV711" s="114"/>
    </row>
    <row r="712" spans="1:74" ht="19.5" x14ac:dyDescent="0.4">
      <c r="A712" s="117"/>
      <c r="B712" s="123"/>
      <c r="C712" s="123"/>
      <c r="D712" s="123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27"/>
      <c r="AJ712" s="29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25"/>
      <c r="AU712" s="15"/>
      <c r="AZ712" s="116"/>
      <c r="BA712" s="123"/>
      <c r="BB712" s="123"/>
      <c r="BC712" s="123"/>
      <c r="BH712" s="115"/>
      <c r="BI712" s="115"/>
      <c r="BJ712" s="115"/>
      <c r="BK712" s="115"/>
      <c r="BL712" s="115"/>
      <c r="BM712" s="115"/>
      <c r="BN712" s="115"/>
      <c r="BO712" s="115"/>
      <c r="BP712" s="115"/>
      <c r="BQ712" s="115"/>
      <c r="BR712" s="25"/>
      <c r="BS712" s="13"/>
      <c r="BV712" s="114"/>
    </row>
    <row r="713" spans="1:74" ht="19.5" x14ac:dyDescent="0.4">
      <c r="A713" s="117"/>
      <c r="B713" s="123"/>
      <c r="C713" s="123"/>
      <c r="D713" s="123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27"/>
      <c r="AJ713" s="29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25">
        <v>45680</v>
      </c>
      <c r="AU713" s="15" t="s">
        <v>146</v>
      </c>
      <c r="AZ713" s="116"/>
      <c r="BA713" s="123"/>
      <c r="BB713" s="123"/>
      <c r="BC713" s="123"/>
      <c r="BH713" s="115"/>
      <c r="BI713" s="115"/>
      <c r="BJ713" s="115"/>
      <c r="BK713" s="115"/>
      <c r="BL713" s="115"/>
      <c r="BM713" s="115"/>
      <c r="BN713" s="115"/>
      <c r="BO713" s="115"/>
      <c r="BP713" s="115"/>
      <c r="BQ713" s="115"/>
      <c r="BR713" s="25"/>
      <c r="BS713" s="13"/>
      <c r="BV713" s="114"/>
    </row>
    <row r="714" spans="1:74" ht="19.5" x14ac:dyDescent="0.4">
      <c r="A714" s="117"/>
      <c r="B714" s="123"/>
      <c r="C714" s="123"/>
      <c r="D714" s="123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  <c r="AD714" s="115"/>
      <c r="AE714" s="115"/>
      <c r="AF714" s="115"/>
      <c r="AG714" s="115"/>
      <c r="AH714" s="115"/>
      <c r="AI714" s="127"/>
      <c r="AJ714" s="29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25"/>
      <c r="AU714" s="15"/>
      <c r="AZ714" s="116"/>
      <c r="BA714" s="123"/>
      <c r="BB714" s="123"/>
      <c r="BC714" s="123"/>
      <c r="BH714" s="115"/>
      <c r="BI714" s="115"/>
      <c r="BJ714" s="115"/>
      <c r="BK714" s="115"/>
      <c r="BL714" s="115"/>
      <c r="BM714" s="115"/>
      <c r="BN714" s="115"/>
      <c r="BO714" s="115"/>
      <c r="BP714" s="115"/>
      <c r="BQ714" s="115"/>
      <c r="BR714" s="25"/>
      <c r="BS714" s="13"/>
      <c r="BV714" s="114"/>
    </row>
    <row r="715" spans="1:74" ht="19.5" x14ac:dyDescent="0.4">
      <c r="A715" s="117"/>
      <c r="B715" s="123"/>
      <c r="C715" s="123"/>
      <c r="D715" s="123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27"/>
      <c r="AJ715" s="29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25">
        <v>45680</v>
      </c>
      <c r="AU715" s="15" t="s">
        <v>146</v>
      </c>
      <c r="AZ715" s="116"/>
      <c r="BA715" s="123"/>
      <c r="BB715" s="123"/>
      <c r="BC715" s="123"/>
      <c r="BH715" s="115"/>
      <c r="BI715" s="115"/>
      <c r="BJ715" s="115"/>
      <c r="BK715" s="115"/>
      <c r="BL715" s="115"/>
      <c r="BM715" s="115"/>
      <c r="BN715" s="115"/>
      <c r="BO715" s="115"/>
      <c r="BP715" s="115"/>
      <c r="BQ715" s="115"/>
      <c r="BR715" s="25"/>
      <c r="BS715" s="13"/>
      <c r="BV715" s="114"/>
    </row>
    <row r="716" spans="1:74" ht="19.5" x14ac:dyDescent="0.4">
      <c r="A716" s="117"/>
      <c r="B716" s="123"/>
      <c r="C716" s="123"/>
      <c r="D716" s="123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27"/>
      <c r="AJ716" s="29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25"/>
      <c r="AU716" s="15"/>
      <c r="AZ716" s="116"/>
      <c r="BA716" s="123"/>
      <c r="BB716" s="123"/>
      <c r="BC716" s="123"/>
      <c r="BH716" s="115"/>
      <c r="BI716" s="115"/>
      <c r="BJ716" s="115"/>
      <c r="BK716" s="115"/>
      <c r="BL716" s="115"/>
      <c r="BM716" s="115"/>
      <c r="BN716" s="115"/>
      <c r="BO716" s="115"/>
      <c r="BP716" s="115"/>
      <c r="BQ716" s="115"/>
      <c r="BR716" s="25"/>
      <c r="BS716" s="13"/>
      <c r="BV716" s="114"/>
    </row>
    <row r="717" spans="1:74" ht="19.5" x14ac:dyDescent="0.4">
      <c r="A717" s="117"/>
      <c r="B717" s="123"/>
      <c r="C717" s="123"/>
      <c r="D717" s="123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27"/>
      <c r="AJ717" s="29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25"/>
      <c r="AU717" s="15"/>
      <c r="AZ717" s="116"/>
      <c r="BA717" s="123"/>
      <c r="BB717" s="123"/>
      <c r="BC717" s="123"/>
      <c r="BH717" s="115"/>
      <c r="BI717" s="115"/>
      <c r="BJ717" s="115"/>
      <c r="BK717" s="115"/>
      <c r="BL717" s="115"/>
      <c r="BM717" s="115"/>
      <c r="BN717" s="115"/>
      <c r="BO717" s="115"/>
      <c r="BP717" s="115"/>
      <c r="BQ717" s="115"/>
      <c r="BR717" s="25"/>
      <c r="BS717" s="13"/>
      <c r="BV717" s="114"/>
    </row>
    <row r="718" spans="1:74" ht="19.5" x14ac:dyDescent="0.4">
      <c r="A718" s="117"/>
      <c r="B718" s="123"/>
      <c r="C718" s="123"/>
      <c r="D718" s="123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27"/>
      <c r="AJ718" s="29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25"/>
      <c r="AU718" s="15"/>
      <c r="AZ718" s="116"/>
      <c r="BA718" s="123"/>
      <c r="BB718" s="123"/>
      <c r="BC718" s="123"/>
      <c r="BH718" s="115"/>
      <c r="BI718" s="115"/>
      <c r="BJ718" s="115"/>
      <c r="BK718" s="115"/>
      <c r="BL718" s="115"/>
      <c r="BM718" s="115"/>
      <c r="BN718" s="115"/>
      <c r="BO718" s="115"/>
      <c r="BP718" s="115"/>
      <c r="BQ718" s="115"/>
      <c r="BR718" s="25"/>
      <c r="BS718" s="13"/>
      <c r="BV718" s="114"/>
    </row>
    <row r="719" spans="1:74" ht="19.5" x14ac:dyDescent="0.4">
      <c r="A719" s="117"/>
      <c r="B719" s="123"/>
      <c r="C719" s="123"/>
      <c r="D719" s="123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27"/>
      <c r="AJ719" s="29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25">
        <v>45680</v>
      </c>
      <c r="AU719" s="15" t="s">
        <v>146</v>
      </c>
      <c r="AZ719" s="116"/>
      <c r="BA719" s="123"/>
      <c r="BB719" s="123"/>
      <c r="BC719" s="123"/>
      <c r="BH719" s="115"/>
      <c r="BI719" s="115"/>
      <c r="BJ719" s="115"/>
      <c r="BK719" s="115"/>
      <c r="BL719" s="115"/>
      <c r="BM719" s="115"/>
      <c r="BN719" s="115"/>
      <c r="BO719" s="115"/>
      <c r="BP719" s="115"/>
      <c r="BQ719" s="115"/>
      <c r="BR719" s="25"/>
      <c r="BS719" s="13"/>
      <c r="BV719" s="114"/>
    </row>
    <row r="720" spans="1:74" ht="19.5" x14ac:dyDescent="0.4">
      <c r="A720" s="117"/>
      <c r="B720" s="123"/>
      <c r="C720" s="123"/>
      <c r="D720" s="123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27"/>
      <c r="AJ720" s="29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25"/>
      <c r="AU720" s="15"/>
      <c r="AZ720" s="116"/>
      <c r="BA720" s="123"/>
      <c r="BB720" s="123"/>
      <c r="BC720" s="123"/>
      <c r="BH720" s="115"/>
      <c r="BI720" s="115"/>
      <c r="BJ720" s="115"/>
      <c r="BK720" s="115"/>
      <c r="BL720" s="115"/>
      <c r="BM720" s="115"/>
      <c r="BN720" s="115"/>
      <c r="BO720" s="115"/>
      <c r="BP720" s="115"/>
      <c r="BQ720" s="115"/>
      <c r="BR720" s="25"/>
      <c r="BS720" s="13"/>
      <c r="BV720" s="114"/>
    </row>
    <row r="721" spans="1:74" ht="19.5" x14ac:dyDescent="0.4">
      <c r="A721" s="117"/>
      <c r="B721" s="123"/>
      <c r="C721" s="123"/>
      <c r="D721" s="123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29"/>
      <c r="AJ721" s="29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5"/>
      <c r="AU721" s="15"/>
      <c r="AZ721" s="116"/>
      <c r="BA721" s="123"/>
      <c r="BB721" s="123"/>
      <c r="BC721" s="123"/>
      <c r="BH721" s="115"/>
      <c r="BI721" s="115"/>
      <c r="BJ721" s="115"/>
      <c r="BK721" s="115"/>
      <c r="BL721" s="115"/>
      <c r="BM721" s="115"/>
      <c r="BN721" s="115"/>
      <c r="BO721" s="115"/>
      <c r="BP721" s="115"/>
      <c r="BQ721" s="115"/>
      <c r="BR721" s="25"/>
      <c r="BS721" s="13"/>
      <c r="BV721" s="114"/>
    </row>
    <row r="722" spans="1:74" ht="19.5" x14ac:dyDescent="0.4">
      <c r="A722" s="117"/>
      <c r="B722" s="123"/>
      <c r="C722" s="123"/>
      <c r="D722" s="123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27"/>
      <c r="AJ722" s="29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25">
        <v>45680</v>
      </c>
      <c r="AU722" s="15" t="s">
        <v>147</v>
      </c>
      <c r="AZ722" s="116"/>
      <c r="BA722" s="123"/>
      <c r="BB722" s="123"/>
      <c r="BC722" s="123"/>
      <c r="BH722" s="115"/>
      <c r="BI722" s="115"/>
      <c r="BJ722" s="115"/>
      <c r="BK722" s="115"/>
      <c r="BL722" s="115"/>
      <c r="BM722" s="115"/>
      <c r="BN722" s="115"/>
      <c r="BO722" s="115"/>
      <c r="BP722" s="115"/>
      <c r="BQ722" s="115"/>
      <c r="BR722" s="25"/>
      <c r="BS722" s="13"/>
      <c r="BV722" s="114"/>
    </row>
    <row r="723" spans="1:74" ht="19.5" x14ac:dyDescent="0.4">
      <c r="A723" s="117"/>
      <c r="B723" s="123"/>
      <c r="C723" s="123"/>
      <c r="D723" s="123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29"/>
      <c r="AJ723" s="29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25"/>
      <c r="AU723" s="13"/>
      <c r="AZ723" s="116"/>
      <c r="BA723" s="123"/>
      <c r="BB723" s="123"/>
      <c r="BC723" s="123"/>
      <c r="BH723" s="115"/>
      <c r="BI723" s="115"/>
      <c r="BJ723" s="115"/>
      <c r="BK723" s="115"/>
      <c r="BL723" s="115"/>
      <c r="BM723" s="115"/>
      <c r="BN723" s="115"/>
      <c r="BO723" s="115"/>
      <c r="BP723" s="115"/>
      <c r="BQ723" s="115"/>
      <c r="BR723" s="25"/>
      <c r="BS723" s="13"/>
      <c r="BV723" s="114"/>
    </row>
    <row r="724" spans="1:74" ht="19.5" x14ac:dyDescent="0.4">
      <c r="A724" s="117"/>
      <c r="B724" s="123"/>
      <c r="C724" s="123"/>
      <c r="D724" s="123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27"/>
      <c r="AJ724" s="29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5"/>
      <c r="AU724" s="13"/>
      <c r="AZ724" s="116"/>
      <c r="BA724" s="123"/>
      <c r="BB724" s="123"/>
      <c r="BC724" s="123"/>
      <c r="BH724" s="115"/>
      <c r="BI724" s="115"/>
      <c r="BJ724" s="115"/>
      <c r="BK724" s="115"/>
      <c r="BL724" s="115"/>
      <c r="BM724" s="115"/>
      <c r="BN724" s="115"/>
      <c r="BO724" s="115"/>
      <c r="BP724" s="115"/>
      <c r="BQ724" s="115"/>
      <c r="BR724" s="25"/>
      <c r="BS724" s="13"/>
      <c r="BV724" s="114"/>
    </row>
    <row r="725" spans="1:74" ht="19.5" x14ac:dyDescent="0.4">
      <c r="A725" s="117"/>
      <c r="B725" s="123"/>
      <c r="C725" s="123"/>
      <c r="D725" s="123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  <c r="AD725" s="115"/>
      <c r="AE725" s="115"/>
      <c r="AF725" s="115"/>
      <c r="AG725" s="115"/>
      <c r="AH725" s="115"/>
      <c r="AI725" s="127"/>
      <c r="AJ725" s="29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25"/>
      <c r="AU725" s="13"/>
      <c r="AZ725" s="116"/>
      <c r="BA725" s="123"/>
      <c r="BB725" s="123"/>
      <c r="BC725" s="123"/>
      <c r="BH725" s="115"/>
      <c r="BI725" s="115"/>
      <c r="BJ725" s="115"/>
      <c r="BK725" s="115"/>
      <c r="BL725" s="115"/>
      <c r="BM725" s="115"/>
      <c r="BN725" s="115"/>
      <c r="BO725" s="115"/>
      <c r="BP725" s="115"/>
      <c r="BQ725" s="115"/>
      <c r="BR725" s="25"/>
      <c r="BS725" s="13"/>
      <c r="BV725" s="114"/>
    </row>
    <row r="726" spans="1:74" ht="19.5" x14ac:dyDescent="0.4">
      <c r="A726" s="117"/>
      <c r="B726" s="123"/>
      <c r="C726" s="123"/>
      <c r="D726" s="123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29"/>
      <c r="AJ726" s="29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25"/>
      <c r="AU726" s="13"/>
      <c r="AZ726" s="116"/>
      <c r="BA726" s="123"/>
      <c r="BB726" s="123"/>
      <c r="BC726" s="123"/>
      <c r="BH726" s="115"/>
      <c r="BI726" s="115"/>
      <c r="BJ726" s="115"/>
      <c r="BK726" s="115"/>
      <c r="BL726" s="115"/>
      <c r="BM726" s="115"/>
      <c r="BN726" s="115"/>
      <c r="BO726" s="115"/>
      <c r="BP726" s="115"/>
      <c r="BQ726" s="115"/>
      <c r="BR726" s="25"/>
      <c r="BS726" s="13"/>
      <c r="BV726" s="114"/>
    </row>
    <row r="727" spans="1:74" ht="19.5" x14ac:dyDescent="0.4">
      <c r="A727" s="117"/>
      <c r="B727" s="123"/>
      <c r="C727" s="123"/>
      <c r="D727" s="123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29"/>
      <c r="AJ727" s="29"/>
      <c r="AK727" s="115"/>
      <c r="AL727" s="115"/>
      <c r="AM727" s="115"/>
      <c r="AN727" s="115"/>
      <c r="AO727" s="115"/>
      <c r="AP727" s="115"/>
      <c r="AQ727" s="115"/>
      <c r="AR727" s="115"/>
      <c r="AS727" s="115"/>
      <c r="AT727" s="25"/>
      <c r="AU727" s="13"/>
      <c r="AZ727" s="116"/>
      <c r="BA727" s="123"/>
      <c r="BB727" s="123"/>
      <c r="BC727" s="123"/>
      <c r="BH727" s="115"/>
      <c r="BI727" s="115"/>
      <c r="BJ727" s="115"/>
      <c r="BK727" s="115"/>
      <c r="BL727" s="115"/>
      <c r="BM727" s="115"/>
      <c r="BN727" s="115"/>
      <c r="BO727" s="115"/>
      <c r="BP727" s="115"/>
      <c r="BQ727" s="115"/>
      <c r="BR727" s="25"/>
      <c r="BS727" s="13"/>
      <c r="BV727" s="114"/>
    </row>
    <row r="728" spans="1:74" ht="19.5" x14ac:dyDescent="0.4">
      <c r="A728" s="117"/>
      <c r="B728" s="123"/>
      <c r="C728" s="123"/>
      <c r="D728" s="123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27"/>
      <c r="AJ728" s="29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25"/>
      <c r="AU728" s="13"/>
      <c r="AZ728" s="116"/>
      <c r="BA728" s="123"/>
      <c r="BB728" s="123"/>
      <c r="BC728" s="123"/>
      <c r="BH728" s="115"/>
      <c r="BI728" s="115"/>
      <c r="BJ728" s="115"/>
      <c r="BK728" s="115"/>
      <c r="BL728" s="115"/>
      <c r="BM728" s="115"/>
      <c r="BN728" s="115"/>
      <c r="BO728" s="115"/>
      <c r="BP728" s="115"/>
      <c r="BQ728" s="115"/>
      <c r="BR728" s="25"/>
      <c r="BS728" s="13"/>
      <c r="BV728" s="114"/>
    </row>
    <row r="729" spans="1:74" ht="19.5" x14ac:dyDescent="0.4">
      <c r="A729" s="117"/>
      <c r="B729" s="123"/>
      <c r="C729" s="123"/>
      <c r="D729" s="123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27"/>
      <c r="AJ729" s="29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5"/>
      <c r="AU729" s="13"/>
      <c r="AZ729" s="116"/>
      <c r="BA729" s="123"/>
      <c r="BB729" s="123"/>
      <c r="BC729" s="123"/>
      <c r="BH729" s="115"/>
      <c r="BI729" s="115"/>
      <c r="BJ729" s="115"/>
      <c r="BK729" s="115"/>
      <c r="BL729" s="115"/>
      <c r="BM729" s="115"/>
      <c r="BN729" s="115"/>
      <c r="BO729" s="115"/>
      <c r="BP729" s="115"/>
      <c r="BQ729" s="115"/>
      <c r="BR729" s="25"/>
      <c r="BS729" s="13"/>
      <c r="BV729" s="114"/>
    </row>
    <row r="730" spans="1:74" ht="19.5" x14ac:dyDescent="0.4">
      <c r="A730" s="117"/>
      <c r="B730" s="123"/>
      <c r="C730" s="123"/>
      <c r="D730" s="123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27"/>
      <c r="AJ730" s="29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25"/>
      <c r="AU730" s="13"/>
      <c r="AZ730" s="116"/>
      <c r="BA730" s="123"/>
      <c r="BB730" s="123"/>
      <c r="BC730" s="123"/>
      <c r="BH730" s="115"/>
      <c r="BI730" s="115"/>
      <c r="BJ730" s="115"/>
      <c r="BK730" s="115"/>
      <c r="BL730" s="115"/>
      <c r="BM730" s="115"/>
      <c r="BN730" s="115"/>
      <c r="BO730" s="115"/>
      <c r="BP730" s="115"/>
      <c r="BQ730" s="115"/>
      <c r="BR730" s="25"/>
      <c r="BS730" s="13"/>
      <c r="BV730" s="114"/>
    </row>
    <row r="731" spans="1:74" ht="19.5" x14ac:dyDescent="0.4">
      <c r="A731" s="117"/>
      <c r="B731" s="123"/>
      <c r="C731" s="123"/>
      <c r="D731" s="123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27"/>
      <c r="AJ731" s="29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5"/>
      <c r="AU731" s="13"/>
      <c r="AZ731" s="116"/>
      <c r="BA731" s="123"/>
      <c r="BB731" s="123"/>
      <c r="BC731" s="123"/>
      <c r="BH731" s="115"/>
      <c r="BI731" s="115"/>
      <c r="BJ731" s="115"/>
      <c r="BK731" s="115"/>
      <c r="BL731" s="115"/>
      <c r="BM731" s="115"/>
      <c r="BN731" s="115"/>
      <c r="BO731" s="115"/>
      <c r="BP731" s="115"/>
      <c r="BQ731" s="115"/>
      <c r="BR731" s="25"/>
      <c r="BS731" s="13"/>
      <c r="BV731" s="114"/>
    </row>
    <row r="732" spans="1:74" ht="19.5" x14ac:dyDescent="0.4">
      <c r="A732" s="117"/>
      <c r="B732" s="123"/>
      <c r="C732" s="123"/>
      <c r="D732" s="123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5"/>
      <c r="AF732" s="115"/>
      <c r="AG732" s="115"/>
      <c r="AH732" s="115"/>
      <c r="AI732" s="127"/>
      <c r="AJ732" s="29"/>
      <c r="AK732" s="115"/>
      <c r="AL732" s="115"/>
      <c r="AM732" s="115"/>
      <c r="AN732" s="115"/>
      <c r="AO732" s="115"/>
      <c r="AP732" s="115"/>
      <c r="AQ732" s="115"/>
      <c r="AR732" s="115"/>
      <c r="AS732" s="115"/>
      <c r="AT732" s="25">
        <v>45680</v>
      </c>
      <c r="AU732" s="13" t="s">
        <v>146</v>
      </c>
      <c r="AZ732" s="116"/>
      <c r="BA732" s="123"/>
      <c r="BB732" s="123"/>
      <c r="BC732" s="123"/>
      <c r="BH732" s="115"/>
      <c r="BI732" s="115"/>
      <c r="BJ732" s="115"/>
      <c r="BK732" s="115"/>
      <c r="BL732" s="115"/>
      <c r="BM732" s="115"/>
      <c r="BN732" s="115"/>
      <c r="BO732" s="115"/>
      <c r="BP732" s="115"/>
      <c r="BQ732" s="115"/>
      <c r="BR732" s="25"/>
      <c r="BS732" s="13"/>
      <c r="BV732" s="114"/>
    </row>
    <row r="733" spans="1:74" ht="19.5" x14ac:dyDescent="0.4">
      <c r="A733" s="117"/>
      <c r="B733" s="123"/>
      <c r="C733" s="123"/>
      <c r="D733" s="123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29"/>
      <c r="AJ733" s="29"/>
      <c r="AK733" s="115"/>
      <c r="AL733" s="115"/>
      <c r="AM733" s="115"/>
      <c r="AN733" s="115"/>
      <c r="AO733" s="115"/>
      <c r="AP733" s="115"/>
      <c r="AQ733" s="115"/>
      <c r="AR733" s="115"/>
      <c r="AS733" s="115"/>
      <c r="AT733" s="25"/>
      <c r="AU733" s="13"/>
      <c r="AZ733" s="116"/>
      <c r="BA733" s="123"/>
      <c r="BB733" s="123"/>
      <c r="BC733" s="123"/>
      <c r="BH733" s="115"/>
      <c r="BI733" s="115"/>
      <c r="BJ733" s="115"/>
      <c r="BK733" s="115"/>
      <c r="BL733" s="115"/>
      <c r="BM733" s="115"/>
      <c r="BN733" s="115"/>
      <c r="BO733" s="115"/>
      <c r="BP733" s="115"/>
      <c r="BQ733" s="115"/>
      <c r="BR733" s="25"/>
      <c r="BS733" s="13"/>
      <c r="BV733" s="114"/>
    </row>
    <row r="734" spans="1:74" ht="19.5" x14ac:dyDescent="0.4">
      <c r="A734" s="117"/>
      <c r="B734" s="123"/>
      <c r="C734" s="123"/>
      <c r="D734" s="123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27"/>
      <c r="AJ734" s="29"/>
      <c r="AK734" s="115"/>
      <c r="AL734" s="115"/>
      <c r="AM734" s="115"/>
      <c r="AN734" s="115"/>
      <c r="AO734" s="115"/>
      <c r="AP734" s="115"/>
      <c r="AQ734" s="115"/>
      <c r="AR734" s="115"/>
      <c r="AS734" s="115"/>
      <c r="AT734" s="25">
        <v>45680</v>
      </c>
      <c r="AU734" s="13" t="s">
        <v>147</v>
      </c>
      <c r="AZ734" s="116"/>
      <c r="BA734" s="123"/>
      <c r="BB734" s="123"/>
      <c r="BC734" s="123"/>
      <c r="BH734" s="115"/>
      <c r="BI734" s="115"/>
      <c r="BJ734" s="115"/>
      <c r="BK734" s="115"/>
      <c r="BL734" s="115"/>
      <c r="BM734" s="115"/>
      <c r="BN734" s="115"/>
      <c r="BO734" s="115"/>
      <c r="BP734" s="115"/>
      <c r="BQ734" s="115"/>
      <c r="BR734" s="25"/>
      <c r="BS734" s="13"/>
      <c r="BV734" s="114"/>
    </row>
    <row r="735" spans="1:74" ht="19.5" x14ac:dyDescent="0.4">
      <c r="A735" s="117"/>
      <c r="B735" s="123"/>
      <c r="C735" s="123"/>
      <c r="D735" s="123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27"/>
      <c r="AJ735" s="29"/>
      <c r="AK735" s="115"/>
      <c r="AL735" s="115"/>
      <c r="AM735" s="115"/>
      <c r="AN735" s="115"/>
      <c r="AO735" s="115"/>
      <c r="AP735" s="115"/>
      <c r="AQ735" s="115"/>
      <c r="AR735" s="115"/>
      <c r="AS735" s="115"/>
      <c r="AT735" s="25">
        <v>45680</v>
      </c>
      <c r="AU735" s="13" t="s">
        <v>146</v>
      </c>
      <c r="AZ735" s="116"/>
      <c r="BA735" s="123"/>
      <c r="BB735" s="123"/>
      <c r="BC735" s="123"/>
      <c r="BH735" s="115"/>
      <c r="BI735" s="115"/>
      <c r="BJ735" s="115"/>
      <c r="BK735" s="115"/>
      <c r="BL735" s="115"/>
      <c r="BM735" s="115"/>
      <c r="BN735" s="115"/>
      <c r="BO735" s="115"/>
      <c r="BP735" s="115"/>
      <c r="BQ735" s="115"/>
      <c r="BR735" s="25"/>
      <c r="BS735" s="13"/>
      <c r="BV735" s="114"/>
    </row>
    <row r="736" spans="1:74" ht="19.5" x14ac:dyDescent="0.4">
      <c r="A736" s="117"/>
      <c r="B736" s="123"/>
      <c r="C736" s="123"/>
      <c r="D736" s="123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5"/>
      <c r="AF736" s="115"/>
      <c r="AG736" s="115"/>
      <c r="AH736" s="115"/>
      <c r="AI736" s="29"/>
      <c r="AJ736" s="29"/>
      <c r="AK736" s="115"/>
      <c r="AL736" s="115"/>
      <c r="AM736" s="115"/>
      <c r="AN736" s="115"/>
      <c r="AO736" s="115"/>
      <c r="AP736" s="115"/>
      <c r="AQ736" s="115"/>
      <c r="AR736" s="115"/>
      <c r="AS736" s="115"/>
      <c r="AT736" s="25"/>
      <c r="AU736" s="13"/>
      <c r="AZ736" s="116"/>
      <c r="BA736" s="123"/>
      <c r="BB736" s="123"/>
      <c r="BC736" s="123"/>
      <c r="BH736" s="115"/>
      <c r="BI736" s="115"/>
      <c r="BJ736" s="115"/>
      <c r="BK736" s="115"/>
      <c r="BL736" s="115"/>
      <c r="BM736" s="115"/>
      <c r="BN736" s="115"/>
      <c r="BO736" s="115"/>
      <c r="BP736" s="115"/>
      <c r="BQ736" s="115"/>
      <c r="BR736" s="25"/>
      <c r="BS736" s="13"/>
      <c r="BV736" s="114"/>
    </row>
    <row r="737" spans="1:74" ht="19.5" x14ac:dyDescent="0.4">
      <c r="A737" s="117"/>
      <c r="B737" s="123"/>
      <c r="C737" s="123"/>
      <c r="D737" s="123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27"/>
      <c r="AJ737" s="29"/>
      <c r="AK737" s="115"/>
      <c r="AL737" s="115"/>
      <c r="AM737" s="115"/>
      <c r="AN737" s="115"/>
      <c r="AO737" s="115"/>
      <c r="AP737" s="115"/>
      <c r="AQ737" s="115"/>
      <c r="AR737" s="115"/>
      <c r="AS737" s="115"/>
      <c r="AT737" s="25"/>
      <c r="AU737" s="13"/>
      <c r="AZ737" s="116"/>
      <c r="BA737" s="123"/>
      <c r="BB737" s="123"/>
      <c r="BC737" s="123"/>
      <c r="BH737" s="115"/>
      <c r="BI737" s="115"/>
      <c r="BJ737" s="115"/>
      <c r="BK737" s="115"/>
      <c r="BL737" s="115"/>
      <c r="BM737" s="115"/>
      <c r="BN737" s="115"/>
      <c r="BO737" s="115"/>
      <c r="BP737" s="115"/>
      <c r="BQ737" s="115"/>
      <c r="BR737" s="25"/>
      <c r="BS737" s="13"/>
      <c r="BV737" s="114"/>
    </row>
    <row r="738" spans="1:74" ht="19.5" x14ac:dyDescent="0.4">
      <c r="A738" s="117"/>
      <c r="B738" s="123"/>
      <c r="C738" s="123"/>
      <c r="D738" s="123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29"/>
      <c r="AJ738" s="29"/>
      <c r="AK738" s="115"/>
      <c r="AL738" s="115"/>
      <c r="AM738" s="115"/>
      <c r="AN738" s="115"/>
      <c r="AO738" s="115"/>
      <c r="AP738" s="115"/>
      <c r="AQ738" s="115"/>
      <c r="AR738" s="115"/>
      <c r="AS738" s="115"/>
      <c r="AT738" s="25"/>
      <c r="AU738" s="13"/>
      <c r="AZ738" s="116"/>
      <c r="BA738" s="123"/>
      <c r="BB738" s="123"/>
      <c r="BC738" s="123"/>
      <c r="BH738" s="115"/>
      <c r="BI738" s="115"/>
      <c r="BJ738" s="115"/>
      <c r="BK738" s="115"/>
      <c r="BL738" s="115"/>
      <c r="BM738" s="115"/>
      <c r="BN738" s="115"/>
      <c r="BO738" s="115"/>
      <c r="BP738" s="115"/>
      <c r="BQ738" s="115"/>
      <c r="BR738" s="25"/>
      <c r="BS738" s="13"/>
      <c r="BV738" s="114"/>
    </row>
    <row r="739" spans="1:74" ht="19.5" x14ac:dyDescent="0.4">
      <c r="A739" s="117"/>
      <c r="B739" s="123"/>
      <c r="C739" s="123"/>
      <c r="D739" s="123"/>
      <c r="AI739" s="127"/>
      <c r="AJ739" s="29"/>
      <c r="AT739" s="25">
        <v>45680</v>
      </c>
      <c r="AU739" s="13" t="s">
        <v>146</v>
      </c>
      <c r="AZ739" s="117"/>
      <c r="BA739" s="123"/>
      <c r="BB739" s="123"/>
      <c r="BC739" s="123"/>
      <c r="BH739" s="115"/>
      <c r="BI739" s="115"/>
      <c r="BJ739" s="115"/>
      <c r="BK739" s="115"/>
      <c r="BL739" s="115"/>
      <c r="BM739" s="115"/>
      <c r="BN739" s="115"/>
      <c r="BO739" s="115"/>
      <c r="BP739" s="115"/>
      <c r="BQ739" s="115" t="s">
        <v>149</v>
      </c>
      <c r="BR739" s="13">
        <f>SUBTOTAL(3,BR2:BR2)</f>
        <v>1</v>
      </c>
      <c r="BS739" s="13">
        <f>SUBTOTAL(3,BS2:BS2)</f>
        <v>1</v>
      </c>
      <c r="BV739" s="114"/>
    </row>
    <row r="740" spans="1:74" ht="19.5" x14ac:dyDescent="0.4">
      <c r="A740" s="117"/>
      <c r="B740" s="123"/>
      <c r="C740" s="123"/>
      <c r="D740" s="123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29"/>
      <c r="AJ740" s="29"/>
      <c r="AT740" s="25"/>
      <c r="AU740" s="13"/>
      <c r="AZ740" s="117"/>
      <c r="BA740" s="123"/>
      <c r="BB740" s="123"/>
      <c r="BC740" s="123"/>
      <c r="BH740" s="115"/>
      <c r="BI740" s="115"/>
      <c r="BJ740" s="115"/>
      <c r="BK740" s="115"/>
      <c r="BL740" s="115"/>
      <c r="BM740" s="115"/>
      <c r="BN740" s="115"/>
      <c r="BO740" s="115"/>
      <c r="BP740" s="115"/>
      <c r="BQ740" s="115"/>
      <c r="BR740" s="13"/>
      <c r="BS740" s="13"/>
      <c r="BV740" s="114"/>
    </row>
    <row r="741" spans="1:74" ht="19.5" x14ac:dyDescent="0.4">
      <c r="A741" s="117"/>
      <c r="B741" s="123"/>
      <c r="C741" s="123"/>
      <c r="D741" s="123"/>
      <c r="AI741" s="127"/>
      <c r="AJ741" s="29"/>
      <c r="AT741" s="25"/>
      <c r="AU741" s="13"/>
      <c r="AZ741" s="117"/>
      <c r="BA741" s="123"/>
      <c r="BB741" s="123"/>
      <c r="BC741" s="123"/>
      <c r="BH741" s="115"/>
      <c r="BI741" s="115"/>
      <c r="BJ741" s="115"/>
      <c r="BK741" s="115"/>
      <c r="BL741" s="115"/>
      <c r="BM741" s="115"/>
      <c r="BN741" s="115"/>
      <c r="BO741" s="115"/>
      <c r="BP741" s="115"/>
      <c r="BQ741" s="115"/>
      <c r="BR741" s="13"/>
      <c r="BS741" s="13"/>
      <c r="BV741" s="114"/>
    </row>
    <row r="742" spans="1:74" ht="19.5" x14ac:dyDescent="0.4">
      <c r="A742" s="117"/>
      <c r="B742" s="123"/>
      <c r="C742" s="123"/>
      <c r="D742" s="123"/>
      <c r="AI742" s="127"/>
      <c r="AJ742" s="29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25">
        <v>45682</v>
      </c>
      <c r="AU742" s="13" t="s">
        <v>147</v>
      </c>
      <c r="AZ742" s="117"/>
      <c r="BA742" s="123"/>
      <c r="BB742" s="123"/>
      <c r="BC742" s="123"/>
      <c r="BH742" s="115"/>
      <c r="BI742" s="115"/>
      <c r="BJ742" s="115"/>
      <c r="BK742" s="115"/>
      <c r="BL742" s="115"/>
      <c r="BM742" s="115"/>
      <c r="BN742" s="115"/>
      <c r="BO742" s="115"/>
      <c r="BP742" s="115"/>
      <c r="BQ742" s="115"/>
      <c r="BR742" s="13"/>
      <c r="BS742" s="13"/>
      <c r="BV742" s="114"/>
    </row>
    <row r="743" spans="1:74" ht="19.5" x14ac:dyDescent="0.4">
      <c r="A743" s="117"/>
      <c r="B743" s="123"/>
      <c r="C743" s="123"/>
      <c r="D743" s="123"/>
      <c r="AI743" s="127"/>
      <c r="AJ743" s="29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25">
        <v>45682</v>
      </c>
      <c r="AU743" s="13" t="s">
        <v>146</v>
      </c>
      <c r="AZ743" s="117"/>
      <c r="BA743" s="123"/>
      <c r="BB743" s="123"/>
      <c r="BC743" s="123"/>
      <c r="BH743" s="115"/>
      <c r="BI743" s="115"/>
      <c r="BJ743" s="115"/>
      <c r="BK743" s="115"/>
      <c r="BL743" s="115"/>
      <c r="BM743" s="115"/>
      <c r="BN743" s="115"/>
      <c r="BO743" s="115"/>
      <c r="BP743" s="115"/>
      <c r="BQ743" s="115"/>
      <c r="BR743" s="13"/>
      <c r="BS743" s="13"/>
      <c r="BV743" s="114"/>
    </row>
    <row r="744" spans="1:74" ht="19.5" x14ac:dyDescent="0.4">
      <c r="A744" s="117"/>
      <c r="B744" s="123"/>
      <c r="C744" s="123"/>
      <c r="D744" s="123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27"/>
      <c r="AJ744" s="29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5"/>
      <c r="AU744" s="13"/>
      <c r="AZ744" s="117"/>
      <c r="BA744" s="123"/>
      <c r="BB744" s="123"/>
      <c r="BC744" s="123"/>
      <c r="BH744" s="115"/>
      <c r="BI744" s="115"/>
      <c r="BJ744" s="115"/>
      <c r="BK744" s="115"/>
      <c r="BL744" s="115"/>
      <c r="BM744" s="115"/>
      <c r="BN744" s="115"/>
      <c r="BO744" s="115"/>
      <c r="BP744" s="115"/>
      <c r="BQ744" s="115"/>
      <c r="BR744" s="13"/>
      <c r="BS744" s="13"/>
      <c r="BV744" s="114"/>
    </row>
    <row r="745" spans="1:74" ht="19.5" x14ac:dyDescent="0.4">
      <c r="A745" s="117"/>
      <c r="B745" s="123"/>
      <c r="C745" s="123"/>
      <c r="D745" s="123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27"/>
      <c r="AJ745" s="29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25"/>
      <c r="AU745" s="13"/>
      <c r="AZ745" s="117"/>
      <c r="BA745" s="123"/>
      <c r="BB745" s="123"/>
      <c r="BC745" s="123"/>
      <c r="BH745" s="115"/>
      <c r="BI745" s="115"/>
      <c r="BJ745" s="115"/>
      <c r="BK745" s="115"/>
      <c r="BL745" s="115"/>
      <c r="BM745" s="115"/>
      <c r="BN745" s="115"/>
      <c r="BO745" s="115"/>
      <c r="BP745" s="115"/>
      <c r="BQ745" s="115"/>
      <c r="BR745" s="13"/>
      <c r="BS745" s="13"/>
      <c r="BV745" s="114"/>
    </row>
    <row r="746" spans="1:74" ht="19.5" x14ac:dyDescent="0.4">
      <c r="A746" s="117"/>
      <c r="B746" s="123"/>
      <c r="C746" s="123"/>
      <c r="D746" s="123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  <c r="AD746" s="115"/>
      <c r="AE746" s="115"/>
      <c r="AF746" s="115"/>
      <c r="AG746" s="115"/>
      <c r="AH746" s="115"/>
      <c r="AI746" s="29"/>
      <c r="AJ746" s="29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25"/>
      <c r="AU746" s="13"/>
      <c r="AZ746" s="117"/>
      <c r="BA746" s="123"/>
      <c r="BB746" s="123"/>
      <c r="BC746" s="123"/>
      <c r="BH746" s="115"/>
      <c r="BI746" s="115"/>
      <c r="BJ746" s="115"/>
      <c r="BK746" s="115"/>
      <c r="BL746" s="115"/>
      <c r="BM746" s="115"/>
      <c r="BN746" s="115"/>
      <c r="BO746" s="115"/>
      <c r="BP746" s="115"/>
      <c r="BQ746" s="115"/>
      <c r="BR746" s="13"/>
      <c r="BS746" s="13"/>
      <c r="BV746" s="114"/>
    </row>
    <row r="747" spans="1:74" ht="19.5" x14ac:dyDescent="0.4">
      <c r="A747" s="117"/>
      <c r="B747" s="123"/>
      <c r="C747" s="123"/>
      <c r="D747" s="123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  <c r="AD747" s="115"/>
      <c r="AE747" s="115"/>
      <c r="AF747" s="115"/>
      <c r="AG747" s="115"/>
      <c r="AH747" s="115"/>
      <c r="AI747" s="127"/>
      <c r="AJ747" s="29"/>
      <c r="AK747" s="115"/>
      <c r="AL747" s="115"/>
      <c r="AM747" s="115"/>
      <c r="AN747" s="115"/>
      <c r="AO747" s="115"/>
      <c r="AP747" s="115"/>
      <c r="AQ747" s="115"/>
      <c r="AR747" s="115"/>
      <c r="AS747" s="115"/>
      <c r="AT747" s="25"/>
      <c r="AU747" s="13"/>
      <c r="AZ747" s="117"/>
      <c r="BA747" s="123"/>
      <c r="BB747" s="123"/>
      <c r="BC747" s="123"/>
      <c r="BH747" s="115"/>
      <c r="BI747" s="115"/>
      <c r="BJ747" s="115"/>
      <c r="BK747" s="115"/>
      <c r="BL747" s="115"/>
      <c r="BM747" s="115"/>
      <c r="BN747" s="115"/>
      <c r="BO747" s="115"/>
      <c r="BP747" s="115"/>
      <c r="BQ747" s="115"/>
      <c r="BR747" s="13"/>
      <c r="BS747" s="13"/>
      <c r="BV747" s="114"/>
    </row>
    <row r="748" spans="1:74" ht="19.5" x14ac:dyDescent="0.4">
      <c r="A748" s="117"/>
      <c r="B748" s="123"/>
      <c r="C748" s="123"/>
      <c r="D748" s="123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29"/>
      <c r="AJ748" s="29"/>
      <c r="AK748" s="115"/>
      <c r="AL748" s="115"/>
      <c r="AM748" s="115"/>
      <c r="AN748" s="115"/>
      <c r="AO748" s="115"/>
      <c r="AP748" s="115"/>
      <c r="AQ748" s="115"/>
      <c r="AR748" s="115"/>
      <c r="AS748" s="115"/>
      <c r="AT748" s="25"/>
      <c r="AU748" s="13"/>
      <c r="AZ748" s="117"/>
      <c r="BA748" s="123"/>
      <c r="BB748" s="123"/>
      <c r="BC748" s="123"/>
      <c r="BH748" s="115"/>
      <c r="BI748" s="115"/>
      <c r="BJ748" s="115"/>
      <c r="BK748" s="115"/>
      <c r="BL748" s="115"/>
      <c r="BM748" s="115"/>
      <c r="BN748" s="115"/>
      <c r="BO748" s="115"/>
      <c r="BP748" s="115"/>
      <c r="BQ748" s="115"/>
      <c r="BR748" s="13"/>
      <c r="BS748" s="13"/>
      <c r="BV748" s="114"/>
    </row>
    <row r="749" spans="1:74" ht="19.5" x14ac:dyDescent="0.4">
      <c r="A749" s="117"/>
      <c r="B749" s="123"/>
      <c r="C749" s="123"/>
      <c r="D749" s="123"/>
      <c r="AI749" s="127"/>
      <c r="AJ749" s="29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25">
        <v>45682</v>
      </c>
      <c r="AU749" s="13" t="s">
        <v>147</v>
      </c>
      <c r="AZ749" s="117"/>
      <c r="BA749" s="123"/>
      <c r="BB749" s="123"/>
      <c r="BC749" s="123"/>
      <c r="BH749" s="115"/>
      <c r="BI749" s="115"/>
      <c r="BJ749" s="115"/>
      <c r="BK749" s="115"/>
      <c r="BL749" s="115"/>
      <c r="BM749" s="115"/>
      <c r="BN749" s="115"/>
      <c r="BO749" s="115"/>
      <c r="BP749" s="115"/>
      <c r="BQ749" s="115"/>
      <c r="BR749" s="13"/>
      <c r="BS749" s="13"/>
      <c r="BV749" s="114"/>
    </row>
    <row r="750" spans="1:74" ht="19.5" x14ac:dyDescent="0.4">
      <c r="A750" s="117"/>
      <c r="B750" s="123"/>
      <c r="C750" s="123"/>
      <c r="D750" s="123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29"/>
      <c r="AJ750" s="29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25"/>
      <c r="AU750" s="13"/>
      <c r="AZ750" s="117"/>
      <c r="BA750" s="123"/>
      <c r="BB750" s="123"/>
      <c r="BC750" s="123"/>
      <c r="BH750" s="115"/>
      <c r="BI750" s="115"/>
      <c r="BJ750" s="115"/>
      <c r="BK750" s="115"/>
      <c r="BL750" s="115"/>
      <c r="BM750" s="115"/>
      <c r="BN750" s="115"/>
      <c r="BO750" s="115"/>
      <c r="BP750" s="115"/>
      <c r="BQ750" s="115"/>
      <c r="BR750" s="13"/>
      <c r="BS750" s="13"/>
      <c r="BV750" s="114"/>
    </row>
    <row r="751" spans="1:74" ht="19.5" x14ac:dyDescent="0.4">
      <c r="A751" s="117"/>
      <c r="B751" s="123"/>
      <c r="C751" s="123"/>
      <c r="D751" s="123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29"/>
      <c r="AJ751" s="29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25"/>
      <c r="AU751" s="13"/>
      <c r="AZ751" s="117"/>
      <c r="BA751" s="123"/>
      <c r="BB751" s="123"/>
      <c r="BC751" s="123"/>
      <c r="BH751" s="115"/>
      <c r="BI751" s="115"/>
      <c r="BJ751" s="115"/>
      <c r="BK751" s="115"/>
      <c r="BL751" s="115"/>
      <c r="BM751" s="115"/>
      <c r="BN751" s="115"/>
      <c r="BO751" s="115"/>
      <c r="BP751" s="115"/>
      <c r="BQ751" s="115"/>
      <c r="BR751" s="13"/>
      <c r="BS751" s="13"/>
      <c r="BV751" s="114"/>
    </row>
    <row r="752" spans="1:74" ht="19.5" x14ac:dyDescent="0.4">
      <c r="A752" s="117"/>
      <c r="B752" s="123"/>
      <c r="C752" s="123"/>
      <c r="D752" s="123"/>
      <c r="AI752" s="128"/>
      <c r="AJ752" s="29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25"/>
      <c r="AU752" s="13"/>
      <c r="AZ752" s="117"/>
      <c r="BA752" s="123"/>
      <c r="BB752" s="123"/>
      <c r="BC752" s="123"/>
      <c r="BH752" s="115"/>
      <c r="BI752" s="115"/>
      <c r="BJ752" s="115"/>
      <c r="BK752" s="115"/>
      <c r="BL752" s="115"/>
      <c r="BM752" s="115"/>
      <c r="BN752" s="115"/>
      <c r="BO752" s="115"/>
      <c r="BP752" s="115"/>
      <c r="BQ752" s="115"/>
      <c r="BR752" s="13"/>
      <c r="BS752" s="13"/>
      <c r="BV752" s="114"/>
    </row>
    <row r="753" spans="1:74" ht="19.5" x14ac:dyDescent="0.4">
      <c r="A753" s="117"/>
      <c r="B753" s="123"/>
      <c r="C753" s="123"/>
      <c r="D753" s="123"/>
      <c r="AI753" s="127"/>
      <c r="AJ753" s="29"/>
      <c r="AK753" s="115"/>
      <c r="AL753" s="115"/>
      <c r="AM753" s="115"/>
      <c r="AN753" s="115"/>
      <c r="AO753" s="115"/>
      <c r="AP753" s="115"/>
      <c r="AQ753" s="115"/>
      <c r="AR753" s="115"/>
      <c r="AS753" s="115"/>
      <c r="AT753" s="25"/>
      <c r="AU753" s="13"/>
      <c r="AZ753" s="117"/>
      <c r="BA753" s="123"/>
      <c r="BB753" s="123"/>
      <c r="BC753" s="123"/>
      <c r="BH753" s="115"/>
      <c r="BI753" s="115"/>
      <c r="BJ753" s="115"/>
      <c r="BK753" s="115"/>
      <c r="BL753" s="115"/>
      <c r="BM753" s="115"/>
      <c r="BN753" s="115"/>
      <c r="BO753" s="115"/>
      <c r="BP753" s="115"/>
      <c r="BQ753" s="115"/>
      <c r="BR753" s="13"/>
      <c r="BS753" s="13"/>
      <c r="BV753" s="114"/>
    </row>
    <row r="754" spans="1:74" ht="19.5" x14ac:dyDescent="0.4">
      <c r="A754" s="117"/>
      <c r="B754" s="123"/>
      <c r="C754" s="123"/>
      <c r="D754" s="123"/>
      <c r="AI754" s="127"/>
      <c r="AJ754" s="29"/>
      <c r="AT754" s="25">
        <v>45682</v>
      </c>
      <c r="AU754" s="15" t="s">
        <v>146</v>
      </c>
      <c r="AZ754" s="117"/>
      <c r="BA754" s="123"/>
      <c r="BB754" s="123"/>
      <c r="BC754" s="123"/>
      <c r="BH754" s="115"/>
      <c r="BI754" s="115"/>
      <c r="BJ754" s="115"/>
      <c r="BK754" s="115"/>
      <c r="BL754" s="115"/>
      <c r="BM754" s="115"/>
      <c r="BN754" s="115"/>
      <c r="BO754" s="115"/>
      <c r="BP754" s="115"/>
      <c r="BQ754" s="115"/>
      <c r="BR754" s="13"/>
      <c r="BS754" s="13"/>
      <c r="BV754" s="114"/>
    </row>
    <row r="755" spans="1:74" ht="19.5" x14ac:dyDescent="0.4">
      <c r="A755" s="117"/>
      <c r="B755" s="123"/>
      <c r="C755" s="123"/>
      <c r="D755" s="123"/>
      <c r="AI755" s="128"/>
      <c r="AJ755" s="29"/>
      <c r="AT755" s="25"/>
      <c r="AU755" s="15"/>
      <c r="AZ755" s="117"/>
      <c r="BA755" s="123"/>
      <c r="BB755" s="123"/>
      <c r="BC755" s="123"/>
      <c r="BH755" s="115"/>
      <c r="BI755" s="115"/>
      <c r="BJ755" s="115"/>
      <c r="BK755" s="115"/>
      <c r="BL755" s="115"/>
      <c r="BM755" s="115"/>
      <c r="BN755" s="115"/>
      <c r="BO755" s="115"/>
      <c r="BP755" s="115"/>
      <c r="BQ755" s="115"/>
      <c r="BR755" s="13"/>
      <c r="BS755" s="13"/>
      <c r="BV755" s="114"/>
    </row>
    <row r="756" spans="1:74" ht="19.5" x14ac:dyDescent="0.4">
      <c r="A756" s="117"/>
      <c r="B756" s="123"/>
      <c r="C756" s="123"/>
      <c r="D756" s="123"/>
      <c r="AI756" s="127"/>
      <c r="AJ756" s="29"/>
      <c r="AT756" s="25"/>
      <c r="AU756" s="15"/>
      <c r="AZ756" s="117"/>
      <c r="BA756" s="123"/>
      <c r="BB756" s="123"/>
      <c r="BC756" s="123"/>
      <c r="BH756" s="115"/>
      <c r="BI756" s="115"/>
      <c r="BJ756" s="115"/>
      <c r="BK756" s="115"/>
      <c r="BL756" s="115"/>
      <c r="BM756" s="115"/>
      <c r="BN756" s="115"/>
      <c r="BO756" s="115"/>
      <c r="BP756" s="115"/>
      <c r="BQ756" s="115"/>
      <c r="BR756" s="13"/>
      <c r="BS756" s="13"/>
      <c r="BV756" s="114"/>
    </row>
    <row r="757" spans="1:74" ht="19.5" x14ac:dyDescent="0.4">
      <c r="A757" s="117"/>
      <c r="B757" s="123"/>
      <c r="C757" s="123"/>
      <c r="D757" s="123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27"/>
      <c r="AJ757" s="29"/>
      <c r="AT757" s="25"/>
      <c r="AU757" s="15"/>
      <c r="AZ757" s="117"/>
      <c r="BA757" s="123"/>
      <c r="BB757" s="123"/>
      <c r="BC757" s="123"/>
      <c r="BH757" s="115"/>
      <c r="BI757" s="115"/>
      <c r="BJ757" s="115"/>
      <c r="BK757" s="115"/>
      <c r="BL757" s="115"/>
      <c r="BM757" s="115"/>
      <c r="BN757" s="115"/>
      <c r="BO757" s="115"/>
      <c r="BP757" s="115"/>
      <c r="BQ757" s="115"/>
      <c r="BR757" s="13"/>
      <c r="BS757" s="13"/>
      <c r="BV757" s="114"/>
    </row>
    <row r="758" spans="1:74" ht="19.5" x14ac:dyDescent="0.4">
      <c r="A758" s="117"/>
      <c r="B758" s="123"/>
      <c r="C758" s="123"/>
      <c r="D758" s="123"/>
      <c r="AI758" s="127"/>
      <c r="AJ758" s="29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25">
        <v>45682</v>
      </c>
      <c r="AU758" s="15" t="s">
        <v>146</v>
      </c>
      <c r="AZ758" s="117"/>
      <c r="BA758" s="123"/>
      <c r="BB758" s="123"/>
      <c r="BC758" s="123"/>
      <c r="BH758" s="115"/>
      <c r="BI758" s="115"/>
      <c r="BJ758" s="115"/>
      <c r="BK758" s="115"/>
      <c r="BL758" s="115"/>
      <c r="BM758" s="115"/>
      <c r="BN758" s="115"/>
      <c r="BO758" s="115"/>
      <c r="BP758" s="115"/>
      <c r="BQ758" s="115"/>
      <c r="BR758" s="13"/>
      <c r="BS758" s="13"/>
      <c r="BV758" s="114"/>
    </row>
    <row r="759" spans="1:74" ht="19.5" x14ac:dyDescent="0.4">
      <c r="A759" s="117"/>
      <c r="B759" s="123"/>
      <c r="C759" s="123"/>
      <c r="D759" s="123"/>
      <c r="AI759" s="128"/>
      <c r="AJ759" s="29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25"/>
      <c r="AU759" s="15"/>
      <c r="AZ759" s="117"/>
      <c r="BA759" s="123"/>
      <c r="BB759" s="123"/>
      <c r="BC759" s="123"/>
      <c r="BH759" s="115"/>
      <c r="BI759" s="115"/>
      <c r="BJ759" s="115"/>
      <c r="BK759" s="115"/>
      <c r="BL759" s="115"/>
      <c r="BM759" s="115"/>
      <c r="BN759" s="115"/>
      <c r="BO759" s="115"/>
      <c r="BP759" s="115"/>
      <c r="BQ759" s="115"/>
      <c r="BR759" s="13"/>
      <c r="BS759" s="13"/>
      <c r="BV759" s="114"/>
    </row>
    <row r="760" spans="1:74" ht="19.5" x14ac:dyDescent="0.4">
      <c r="A760" s="117"/>
      <c r="B760" s="123"/>
      <c r="C760" s="123"/>
      <c r="D760" s="123"/>
      <c r="AI760" s="127"/>
      <c r="AJ760" s="29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25">
        <v>45682</v>
      </c>
      <c r="AU760" s="15" t="s">
        <v>148</v>
      </c>
      <c r="AZ760" s="117"/>
      <c r="BA760" s="123"/>
      <c r="BB760" s="123"/>
      <c r="BC760" s="123"/>
      <c r="BH760" s="115"/>
      <c r="BI760" s="115"/>
      <c r="BJ760" s="115"/>
      <c r="BK760" s="115"/>
      <c r="BL760" s="115"/>
      <c r="BM760" s="115"/>
      <c r="BN760" s="115"/>
      <c r="BO760" s="115"/>
      <c r="BP760" s="115"/>
      <c r="BQ760" s="115"/>
      <c r="BR760" s="13"/>
      <c r="BS760" s="13"/>
      <c r="BV760" s="114"/>
    </row>
    <row r="761" spans="1:74" ht="19.5" x14ac:dyDescent="0.4">
      <c r="A761" s="117"/>
      <c r="B761" s="123"/>
      <c r="C761" s="123"/>
      <c r="D761" s="123"/>
      <c r="AI761" s="127"/>
      <c r="AJ761" s="29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25">
        <v>45682</v>
      </c>
      <c r="AU761" s="15" t="s">
        <v>146</v>
      </c>
      <c r="AZ761" s="117"/>
      <c r="BA761" s="123"/>
      <c r="BB761" s="123"/>
      <c r="BC761" s="123"/>
      <c r="BH761" s="115"/>
      <c r="BI761" s="115"/>
      <c r="BJ761" s="115"/>
      <c r="BK761" s="115"/>
      <c r="BL761" s="115"/>
      <c r="BM761" s="115"/>
      <c r="BN761" s="115"/>
      <c r="BO761" s="115"/>
      <c r="BP761" s="115"/>
      <c r="BQ761" s="115"/>
      <c r="BR761" s="13"/>
      <c r="BS761" s="13"/>
      <c r="BV761" s="114"/>
    </row>
    <row r="762" spans="1:74" ht="19.5" x14ac:dyDescent="0.4">
      <c r="A762" s="117"/>
      <c r="B762" s="123"/>
      <c r="C762" s="123"/>
      <c r="D762" s="123"/>
      <c r="AI762" s="127"/>
      <c r="AJ762" s="29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5">
        <v>45682</v>
      </c>
      <c r="AU762" s="15" t="s">
        <v>148</v>
      </c>
      <c r="AZ762" s="117"/>
      <c r="BA762" s="123"/>
      <c r="BB762" s="123"/>
      <c r="BC762" s="123"/>
      <c r="BH762" s="115"/>
      <c r="BI762" s="115"/>
      <c r="BJ762" s="115"/>
      <c r="BK762" s="115"/>
      <c r="BL762" s="115"/>
      <c r="BM762" s="115"/>
      <c r="BN762" s="115"/>
      <c r="BO762" s="115"/>
      <c r="BP762" s="115"/>
      <c r="BQ762" s="115"/>
      <c r="BR762" s="13"/>
      <c r="BS762" s="13"/>
      <c r="BV762" s="114"/>
    </row>
    <row r="763" spans="1:74" ht="19.5" x14ac:dyDescent="0.4">
      <c r="A763" s="117"/>
      <c r="B763" s="123"/>
      <c r="C763" s="123"/>
      <c r="D763" s="123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27"/>
      <c r="AJ763" s="29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25"/>
      <c r="AU763" s="15"/>
      <c r="AZ763" s="117"/>
      <c r="BA763" s="123"/>
      <c r="BB763" s="123"/>
      <c r="BC763" s="123"/>
      <c r="BH763" s="115"/>
      <c r="BI763" s="115"/>
      <c r="BJ763" s="115"/>
      <c r="BK763" s="115"/>
      <c r="BL763" s="115"/>
      <c r="BM763" s="115"/>
      <c r="BN763" s="115"/>
      <c r="BO763" s="115"/>
      <c r="BP763" s="115"/>
      <c r="BQ763" s="115"/>
      <c r="BR763" s="13"/>
      <c r="BS763" s="13"/>
      <c r="BV763" s="114"/>
    </row>
    <row r="764" spans="1:74" ht="19.5" x14ac:dyDescent="0.4">
      <c r="A764" s="117"/>
      <c r="B764" s="123"/>
      <c r="C764" s="123"/>
      <c r="D764" s="123"/>
      <c r="AI764" s="127"/>
      <c r="AJ764" s="29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25">
        <v>45682</v>
      </c>
      <c r="AU764" s="15" t="s">
        <v>148</v>
      </c>
      <c r="AZ764" s="117"/>
      <c r="BA764" s="123"/>
      <c r="BB764" s="123"/>
      <c r="BC764" s="123"/>
      <c r="BH764" s="115"/>
      <c r="BI764" s="115"/>
      <c r="BJ764" s="115"/>
      <c r="BK764" s="115"/>
      <c r="BL764" s="115"/>
      <c r="BM764" s="115"/>
      <c r="BN764" s="115"/>
      <c r="BO764" s="115"/>
      <c r="BP764" s="115"/>
      <c r="BQ764" s="115"/>
      <c r="BR764" s="13"/>
      <c r="BS764" s="13"/>
      <c r="BV764" s="114"/>
    </row>
    <row r="765" spans="1:74" ht="19.5" x14ac:dyDescent="0.4">
      <c r="A765" s="117"/>
      <c r="B765" s="123"/>
      <c r="C765" s="123"/>
      <c r="D765" s="123"/>
      <c r="AI765" s="127"/>
      <c r="AJ765" s="29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5">
        <v>45682</v>
      </c>
      <c r="AU765" s="105" t="s">
        <v>148</v>
      </c>
      <c r="AZ765" s="117"/>
      <c r="BA765" s="123"/>
      <c r="BB765" s="123"/>
      <c r="BC765" s="123"/>
      <c r="BH765" s="115"/>
      <c r="BI765" s="115"/>
      <c r="BJ765" s="115"/>
      <c r="BK765" s="115"/>
      <c r="BL765" s="115"/>
      <c r="BM765" s="115"/>
      <c r="BN765" s="115"/>
      <c r="BO765" s="115"/>
      <c r="BP765" s="115"/>
      <c r="BQ765" s="115"/>
      <c r="BR765" s="13"/>
      <c r="BS765" s="13"/>
      <c r="BV765" s="114"/>
    </row>
    <row r="766" spans="1:74" ht="19.5" x14ac:dyDescent="0.4">
      <c r="A766" s="117"/>
      <c r="B766" s="123"/>
      <c r="C766" s="123"/>
      <c r="D766" s="123"/>
      <c r="AI766" s="127"/>
      <c r="AJ766" s="29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25">
        <v>45682</v>
      </c>
      <c r="AU766" s="105" t="s">
        <v>146</v>
      </c>
      <c r="AZ766" s="117"/>
      <c r="BA766" s="123"/>
      <c r="BB766" s="123"/>
      <c r="BC766" s="123"/>
      <c r="BH766" s="115"/>
      <c r="BI766" s="115"/>
      <c r="BJ766" s="115"/>
      <c r="BK766" s="115"/>
      <c r="BL766" s="115"/>
      <c r="BM766" s="115"/>
      <c r="BN766" s="115"/>
      <c r="BO766" s="115"/>
      <c r="BP766" s="115"/>
      <c r="BQ766" s="115"/>
      <c r="BR766" s="13"/>
      <c r="BS766" s="13"/>
      <c r="BV766" s="114"/>
    </row>
    <row r="767" spans="1:74" ht="19.5" x14ac:dyDescent="0.4">
      <c r="A767" s="117"/>
      <c r="B767" s="123"/>
      <c r="C767" s="123"/>
      <c r="D767" s="123"/>
      <c r="AI767" s="128"/>
      <c r="AJ767" s="29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5"/>
      <c r="AU767" s="105"/>
      <c r="AZ767" s="117"/>
      <c r="BA767" s="123"/>
      <c r="BB767" s="123"/>
      <c r="BC767" s="123"/>
      <c r="BH767" s="115"/>
      <c r="BI767" s="115"/>
      <c r="BJ767" s="115"/>
      <c r="BK767" s="115"/>
      <c r="BL767" s="115"/>
      <c r="BM767" s="115"/>
      <c r="BN767" s="115"/>
      <c r="BO767" s="115"/>
      <c r="BP767" s="115"/>
      <c r="BQ767" s="115"/>
      <c r="BR767" s="13"/>
      <c r="BS767" s="13"/>
      <c r="BV767" s="114"/>
    </row>
    <row r="768" spans="1:74" ht="19.5" x14ac:dyDescent="0.4">
      <c r="A768" s="117"/>
      <c r="B768" s="123"/>
      <c r="C768" s="123"/>
      <c r="D768" s="123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27"/>
      <c r="AJ768" s="29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5">
        <v>45682</v>
      </c>
      <c r="AU768" s="15" t="s">
        <v>146</v>
      </c>
      <c r="AZ768" s="117"/>
      <c r="BA768" s="123"/>
      <c r="BB768" s="123"/>
      <c r="BC768" s="123"/>
      <c r="BH768" s="115"/>
      <c r="BI768" s="115"/>
      <c r="BJ768" s="115"/>
      <c r="BK768" s="115"/>
      <c r="BL768" s="115"/>
      <c r="BM768" s="115"/>
      <c r="BN768" s="115"/>
      <c r="BO768" s="115"/>
      <c r="BP768" s="115"/>
      <c r="BQ768" s="115"/>
      <c r="BR768" s="13"/>
      <c r="BS768" s="13"/>
      <c r="BV768" s="114"/>
    </row>
    <row r="769" spans="1:74" ht="19.5" x14ac:dyDescent="0.4">
      <c r="A769" s="117"/>
      <c r="B769" s="123"/>
      <c r="C769" s="123"/>
      <c r="D769" s="123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27"/>
      <c r="AJ769" s="29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25">
        <v>45683</v>
      </c>
      <c r="AU769" s="13" t="s">
        <v>147</v>
      </c>
      <c r="AZ769" s="117"/>
      <c r="BA769" s="123"/>
      <c r="BB769" s="123"/>
      <c r="BC769" s="123"/>
      <c r="BH769" s="115"/>
      <c r="BI769" s="115"/>
      <c r="BJ769" s="115"/>
      <c r="BK769" s="115"/>
      <c r="BL769" s="115"/>
      <c r="BM769" s="115"/>
      <c r="BN769" s="115"/>
      <c r="BO769" s="115"/>
      <c r="BP769" s="115"/>
      <c r="BQ769" s="115"/>
      <c r="BR769" s="13"/>
      <c r="BS769" s="13"/>
      <c r="BV769" s="114"/>
    </row>
    <row r="770" spans="1:74" ht="19.5" x14ac:dyDescent="0.4">
      <c r="A770" s="117"/>
      <c r="B770" s="123"/>
      <c r="C770" s="123"/>
      <c r="D770" s="123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27"/>
      <c r="AJ770" s="29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5">
        <v>45683</v>
      </c>
      <c r="AU770" s="13" t="s">
        <v>147</v>
      </c>
      <c r="AZ770" s="117"/>
      <c r="BA770" s="123"/>
      <c r="BB770" s="123"/>
      <c r="BC770" s="123"/>
      <c r="BH770" s="115"/>
      <c r="BI770" s="115"/>
      <c r="BJ770" s="115"/>
      <c r="BK770" s="115"/>
      <c r="BL770" s="115"/>
      <c r="BM770" s="115"/>
      <c r="BN770" s="115"/>
      <c r="BO770" s="115"/>
      <c r="BP770" s="115"/>
      <c r="BQ770" s="115"/>
      <c r="BR770" s="13"/>
      <c r="BS770" s="13"/>
      <c r="BV770" s="114"/>
    </row>
    <row r="771" spans="1:74" ht="19.5" x14ac:dyDescent="0.4">
      <c r="A771" s="117"/>
      <c r="B771" s="123"/>
      <c r="C771" s="123"/>
      <c r="D771" s="123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27"/>
      <c r="AJ771" s="29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25"/>
      <c r="AU771" s="13"/>
      <c r="AZ771" s="117"/>
      <c r="BA771" s="123"/>
      <c r="BB771" s="123"/>
      <c r="BC771" s="123"/>
      <c r="BH771" s="115"/>
      <c r="BI771" s="115"/>
      <c r="BJ771" s="115"/>
      <c r="BK771" s="115"/>
      <c r="BL771" s="115"/>
      <c r="BM771" s="115"/>
      <c r="BN771" s="115"/>
      <c r="BO771" s="115"/>
      <c r="BP771" s="115"/>
      <c r="BQ771" s="115"/>
      <c r="BR771" s="13"/>
      <c r="BS771" s="13"/>
      <c r="BV771" s="114"/>
    </row>
    <row r="772" spans="1:74" ht="19.5" x14ac:dyDescent="0.4">
      <c r="A772" s="117"/>
      <c r="B772" s="123"/>
      <c r="C772" s="123"/>
      <c r="D772" s="123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27"/>
      <c r="AJ772" s="29"/>
      <c r="AK772" s="115"/>
      <c r="AL772" s="115"/>
      <c r="AM772" s="115"/>
      <c r="AN772" s="115"/>
      <c r="AO772" s="115"/>
      <c r="AP772" s="115"/>
      <c r="AQ772" s="115"/>
      <c r="AR772" s="115"/>
      <c r="AS772" s="115"/>
      <c r="AT772" s="25">
        <v>45684</v>
      </c>
      <c r="AU772" s="13" t="s">
        <v>146</v>
      </c>
      <c r="AZ772" s="117"/>
      <c r="BA772" s="123"/>
      <c r="BB772" s="123"/>
      <c r="BC772" s="123"/>
      <c r="BH772" s="115"/>
      <c r="BI772" s="115"/>
      <c r="BJ772" s="115"/>
      <c r="BK772" s="115"/>
      <c r="BL772" s="115"/>
      <c r="BM772" s="115"/>
      <c r="BN772" s="115"/>
      <c r="BO772" s="115"/>
      <c r="BP772" s="115"/>
      <c r="BQ772" s="115"/>
      <c r="BR772" s="13"/>
      <c r="BS772" s="13"/>
      <c r="BV772" s="114"/>
    </row>
    <row r="773" spans="1:74" ht="19.5" x14ac:dyDescent="0.4">
      <c r="A773" s="117"/>
      <c r="B773" s="123"/>
      <c r="C773" s="123"/>
      <c r="D773" s="123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27"/>
      <c r="AJ773" s="29"/>
      <c r="AK773" s="115"/>
      <c r="AL773" s="115"/>
      <c r="AM773" s="115"/>
      <c r="AN773" s="115"/>
      <c r="AO773" s="115"/>
      <c r="AP773" s="115"/>
      <c r="AQ773" s="115"/>
      <c r="AR773" s="115"/>
      <c r="AS773" s="115"/>
      <c r="AT773" s="25"/>
      <c r="AU773" s="13"/>
      <c r="AZ773" s="117"/>
      <c r="BA773" s="123"/>
      <c r="BB773" s="123"/>
      <c r="BC773" s="123"/>
      <c r="BH773" s="115"/>
      <c r="BI773" s="115"/>
      <c r="BJ773" s="115"/>
      <c r="BK773" s="115"/>
      <c r="BL773" s="115"/>
      <c r="BM773" s="115"/>
      <c r="BN773" s="115"/>
      <c r="BO773" s="115"/>
      <c r="BP773" s="115"/>
      <c r="BQ773" s="115"/>
      <c r="BR773" s="13"/>
      <c r="BS773" s="13"/>
      <c r="BV773" s="114"/>
    </row>
    <row r="774" spans="1:74" ht="19.5" x14ac:dyDescent="0.4">
      <c r="A774" s="117"/>
      <c r="B774" s="123"/>
      <c r="C774" s="123"/>
      <c r="D774" s="123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28"/>
      <c r="AJ774" s="29"/>
      <c r="AK774" s="115"/>
      <c r="AL774" s="115"/>
      <c r="AM774" s="115"/>
      <c r="AN774" s="115"/>
      <c r="AO774" s="115"/>
      <c r="AP774" s="115"/>
      <c r="AQ774" s="115"/>
      <c r="AR774" s="115"/>
      <c r="AS774" s="115"/>
      <c r="AT774" s="25"/>
      <c r="AU774" s="13"/>
      <c r="AZ774" s="117"/>
      <c r="BA774" s="123"/>
      <c r="BB774" s="123"/>
      <c r="BC774" s="123"/>
      <c r="BH774" s="115"/>
      <c r="BI774" s="115"/>
      <c r="BJ774" s="115"/>
      <c r="BK774" s="115"/>
      <c r="BL774" s="115"/>
      <c r="BM774" s="115"/>
      <c r="BN774" s="115"/>
      <c r="BO774" s="115"/>
      <c r="BP774" s="115"/>
      <c r="BQ774" s="115"/>
      <c r="BR774" s="13"/>
      <c r="BS774" s="13"/>
      <c r="BV774" s="114"/>
    </row>
    <row r="775" spans="1:74" ht="19.5" x14ac:dyDescent="0.4">
      <c r="A775" s="117"/>
      <c r="B775" s="123"/>
      <c r="C775" s="123"/>
      <c r="D775" s="123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27"/>
      <c r="AJ775" s="29"/>
      <c r="AK775" s="115"/>
      <c r="AL775" s="115"/>
      <c r="AM775" s="115"/>
      <c r="AN775" s="115"/>
      <c r="AO775" s="115"/>
      <c r="AP775" s="115"/>
      <c r="AQ775" s="115"/>
      <c r="AR775" s="115"/>
      <c r="AS775" s="115"/>
      <c r="AT775" s="25">
        <v>45684</v>
      </c>
      <c r="AU775" s="13" t="s">
        <v>148</v>
      </c>
      <c r="AZ775" s="117"/>
      <c r="BA775" s="123"/>
      <c r="BB775" s="123"/>
      <c r="BC775" s="123"/>
      <c r="BH775" s="115"/>
      <c r="BI775" s="115"/>
      <c r="BJ775" s="115"/>
      <c r="BK775" s="115"/>
      <c r="BL775" s="115"/>
      <c r="BM775" s="115"/>
      <c r="BN775" s="115"/>
      <c r="BO775" s="115"/>
      <c r="BP775" s="115"/>
      <c r="BQ775" s="115"/>
      <c r="BR775" s="13"/>
      <c r="BS775" s="13"/>
      <c r="BV775" s="114"/>
    </row>
    <row r="776" spans="1:74" ht="19.5" x14ac:dyDescent="0.4">
      <c r="A776" s="117"/>
      <c r="B776" s="123"/>
      <c r="C776" s="123"/>
      <c r="D776" s="123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27"/>
      <c r="AJ776" s="29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25"/>
      <c r="AU776" s="13"/>
      <c r="AZ776" s="117"/>
      <c r="BA776" s="123"/>
      <c r="BB776" s="123"/>
      <c r="BC776" s="123"/>
      <c r="BH776" s="115"/>
      <c r="BI776" s="115"/>
      <c r="BJ776" s="115"/>
      <c r="BK776" s="115"/>
      <c r="BL776" s="115"/>
      <c r="BM776" s="115"/>
      <c r="BN776" s="115"/>
      <c r="BO776" s="115"/>
      <c r="BP776" s="115"/>
      <c r="BQ776" s="115"/>
      <c r="BR776" s="13"/>
      <c r="BS776" s="13"/>
      <c r="BV776" s="114"/>
    </row>
    <row r="777" spans="1:74" ht="19.5" x14ac:dyDescent="0.4">
      <c r="A777" s="117"/>
      <c r="B777" s="123"/>
      <c r="C777" s="123"/>
      <c r="D777" s="123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27"/>
      <c r="AJ777" s="29"/>
      <c r="AK777" s="115"/>
      <c r="AL777" s="115"/>
      <c r="AM777" s="115"/>
      <c r="AN777" s="115"/>
      <c r="AO777" s="115"/>
      <c r="AP777" s="115"/>
      <c r="AQ777" s="115"/>
      <c r="AR777" s="115"/>
      <c r="AS777" s="115"/>
      <c r="AT777" s="25"/>
      <c r="AU777" s="13"/>
      <c r="AZ777" s="117"/>
      <c r="BA777" s="123"/>
      <c r="BB777" s="123"/>
      <c r="BC777" s="123"/>
      <c r="BH777" s="115"/>
      <c r="BI777" s="115"/>
      <c r="BJ777" s="115"/>
      <c r="BK777" s="115"/>
      <c r="BL777" s="115"/>
      <c r="BM777" s="115"/>
      <c r="BN777" s="115"/>
      <c r="BO777" s="115"/>
      <c r="BP777" s="115"/>
      <c r="BQ777" s="115"/>
      <c r="BR777" s="13"/>
      <c r="BS777" s="13"/>
      <c r="BV777" s="114"/>
    </row>
    <row r="778" spans="1:74" ht="19.5" x14ac:dyDescent="0.4">
      <c r="A778" s="117"/>
      <c r="B778" s="123"/>
      <c r="C778" s="123"/>
      <c r="D778" s="123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28"/>
      <c r="AJ778" s="29"/>
      <c r="AK778" s="115"/>
      <c r="AL778" s="115"/>
      <c r="AM778" s="115"/>
      <c r="AN778" s="115"/>
      <c r="AO778" s="115"/>
      <c r="AP778" s="115"/>
      <c r="AQ778" s="115"/>
      <c r="AR778" s="115"/>
      <c r="AS778" s="115"/>
      <c r="AT778" s="25"/>
      <c r="AU778" s="13"/>
      <c r="AZ778" s="117"/>
      <c r="BA778" s="123"/>
      <c r="BB778" s="123"/>
      <c r="BC778" s="123"/>
      <c r="BH778" s="115"/>
      <c r="BI778" s="115"/>
      <c r="BJ778" s="115"/>
      <c r="BK778" s="115"/>
      <c r="BL778" s="115"/>
      <c r="BM778" s="115"/>
      <c r="BN778" s="115"/>
      <c r="BO778" s="115"/>
      <c r="BP778" s="115"/>
      <c r="BQ778" s="115"/>
      <c r="BR778" s="13"/>
      <c r="BS778" s="13"/>
      <c r="BV778" s="114"/>
    </row>
    <row r="779" spans="1:74" ht="19.5" x14ac:dyDescent="0.4">
      <c r="A779" s="117"/>
      <c r="B779" s="123"/>
      <c r="C779" s="123"/>
      <c r="D779" s="123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27"/>
      <c r="AJ779" s="127"/>
      <c r="AK779" s="115"/>
      <c r="AL779" s="115"/>
      <c r="AM779" s="115"/>
      <c r="AN779" s="115"/>
      <c r="AO779" s="115"/>
      <c r="AP779" s="115"/>
      <c r="AQ779" s="115"/>
      <c r="AR779" s="115"/>
      <c r="AS779" s="115"/>
      <c r="AT779" s="25"/>
      <c r="AU779" s="13"/>
      <c r="AZ779" s="117"/>
      <c r="BA779" s="123"/>
      <c r="BB779" s="123"/>
      <c r="BC779" s="123"/>
      <c r="BH779" s="115"/>
      <c r="BI779" s="115"/>
      <c r="BJ779" s="115"/>
      <c r="BK779" s="115"/>
      <c r="BL779" s="115"/>
      <c r="BM779" s="115"/>
      <c r="BN779" s="115"/>
      <c r="BO779" s="115"/>
      <c r="BP779" s="115"/>
      <c r="BQ779" s="115"/>
      <c r="BR779" s="13"/>
      <c r="BS779" s="13"/>
      <c r="BV779" s="114"/>
    </row>
    <row r="780" spans="1:74" ht="19.5" x14ac:dyDescent="0.4">
      <c r="A780" s="117"/>
      <c r="B780" s="123"/>
      <c r="C780" s="123"/>
      <c r="D780" s="123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27"/>
      <c r="AJ780" s="29"/>
      <c r="AK780" s="115"/>
      <c r="AL780" s="115"/>
      <c r="AM780" s="115"/>
      <c r="AN780" s="115"/>
      <c r="AO780" s="115"/>
      <c r="AP780" s="115"/>
      <c r="AQ780" s="115"/>
      <c r="AR780" s="115"/>
      <c r="AS780" s="115"/>
      <c r="AT780" s="25"/>
      <c r="AU780" s="13"/>
      <c r="AZ780" s="117"/>
      <c r="BA780" s="123"/>
      <c r="BB780" s="123"/>
      <c r="BC780" s="123"/>
      <c r="BH780" s="115"/>
      <c r="BI780" s="115"/>
      <c r="BJ780" s="115"/>
      <c r="BK780" s="115"/>
      <c r="BL780" s="115"/>
      <c r="BM780" s="115"/>
      <c r="BN780" s="115"/>
      <c r="BO780" s="115"/>
      <c r="BP780" s="115"/>
      <c r="BQ780" s="115"/>
      <c r="BR780" s="13"/>
      <c r="BS780" s="13"/>
      <c r="BV780" s="114"/>
    </row>
    <row r="781" spans="1:74" ht="19.5" x14ac:dyDescent="0.4">
      <c r="A781" s="117"/>
      <c r="B781" s="123"/>
      <c r="C781" s="123"/>
      <c r="D781" s="123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27"/>
      <c r="AJ781" s="29"/>
      <c r="AK781" s="115"/>
      <c r="AL781" s="115"/>
      <c r="AM781" s="115"/>
      <c r="AN781" s="115"/>
      <c r="AO781" s="115"/>
      <c r="AP781" s="115"/>
      <c r="AQ781" s="115"/>
      <c r="AR781" s="115"/>
      <c r="AS781" s="115"/>
      <c r="AT781" s="25"/>
      <c r="AU781" s="13"/>
      <c r="AZ781" s="117"/>
      <c r="BA781" s="123"/>
      <c r="BB781" s="123"/>
      <c r="BC781" s="123"/>
      <c r="BH781" s="115"/>
      <c r="BI781" s="115"/>
      <c r="BJ781" s="115"/>
      <c r="BK781" s="115"/>
      <c r="BL781" s="115"/>
      <c r="BM781" s="115"/>
      <c r="BN781" s="115"/>
      <c r="BO781" s="115"/>
      <c r="BP781" s="115"/>
      <c r="BQ781" s="115"/>
      <c r="BR781" s="13"/>
      <c r="BS781" s="13"/>
      <c r="BV781" s="114"/>
    </row>
    <row r="782" spans="1:74" ht="19.5" x14ac:dyDescent="0.4">
      <c r="A782" s="117"/>
      <c r="B782" s="123"/>
      <c r="C782" s="123"/>
      <c r="D782" s="123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  <c r="AD782" s="115"/>
      <c r="AE782" s="115"/>
      <c r="AF782" s="115"/>
      <c r="AG782" s="115"/>
      <c r="AH782" s="115"/>
      <c r="AI782" s="128"/>
      <c r="AJ782" s="29"/>
      <c r="AK782" s="115"/>
      <c r="AL782" s="115"/>
      <c r="AM782" s="115"/>
      <c r="AN782" s="115"/>
      <c r="AO782" s="115"/>
      <c r="AP782" s="115"/>
      <c r="AQ782" s="115"/>
      <c r="AR782" s="115"/>
      <c r="AS782" s="115"/>
      <c r="AT782" s="25"/>
      <c r="AU782" s="13"/>
      <c r="AZ782" s="117"/>
      <c r="BA782" s="123"/>
      <c r="BB782" s="123"/>
      <c r="BC782" s="123"/>
      <c r="BH782" s="115"/>
      <c r="BI782" s="115"/>
      <c r="BJ782" s="115"/>
      <c r="BK782" s="115"/>
      <c r="BL782" s="115"/>
      <c r="BM782" s="115"/>
      <c r="BN782" s="115"/>
      <c r="BO782" s="115"/>
      <c r="BP782" s="115"/>
      <c r="BQ782" s="115"/>
      <c r="BR782" s="13"/>
      <c r="BS782" s="13"/>
      <c r="BV782" s="114"/>
    </row>
    <row r="783" spans="1:74" ht="19.5" x14ac:dyDescent="0.4">
      <c r="A783" s="117"/>
      <c r="B783" s="123"/>
      <c r="C783" s="123"/>
      <c r="D783" s="123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27"/>
      <c r="AJ783" s="134"/>
      <c r="AK783" s="115"/>
      <c r="AL783" s="115"/>
      <c r="AM783" s="115"/>
      <c r="AN783" s="115"/>
      <c r="AO783" s="115"/>
      <c r="AP783" s="115"/>
      <c r="AQ783" s="115"/>
      <c r="AR783" s="115"/>
      <c r="AS783" s="115"/>
      <c r="AT783" s="25"/>
      <c r="AU783" s="13"/>
      <c r="AZ783" s="117"/>
      <c r="BA783" s="123"/>
      <c r="BB783" s="123"/>
      <c r="BC783" s="123"/>
      <c r="BH783" s="115"/>
      <c r="BI783" s="115"/>
      <c r="BJ783" s="115"/>
      <c r="BK783" s="115"/>
      <c r="BL783" s="115"/>
      <c r="BM783" s="115"/>
      <c r="BN783" s="115"/>
      <c r="BO783" s="115"/>
      <c r="BP783" s="115"/>
      <c r="BQ783" s="115"/>
      <c r="BR783" s="13"/>
      <c r="BS783" s="13"/>
      <c r="BV783" s="114"/>
    </row>
    <row r="784" spans="1:74" ht="19.5" x14ac:dyDescent="0.4">
      <c r="A784" s="117"/>
      <c r="B784" s="123"/>
      <c r="C784" s="123"/>
      <c r="D784" s="123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  <c r="AD784" s="115"/>
      <c r="AE784" s="115"/>
      <c r="AF784" s="115"/>
      <c r="AG784" s="115"/>
      <c r="AH784" s="115"/>
      <c r="AI784" s="127"/>
      <c r="AJ784" s="29"/>
      <c r="AK784" s="115"/>
      <c r="AL784" s="115"/>
      <c r="AM784" s="115"/>
      <c r="AN784" s="115"/>
      <c r="AO784" s="115"/>
      <c r="AP784" s="115"/>
      <c r="AQ784" s="115"/>
      <c r="AR784" s="115"/>
      <c r="AS784" s="115"/>
      <c r="AT784" s="25">
        <v>45684</v>
      </c>
      <c r="AU784" s="13" t="s">
        <v>147</v>
      </c>
      <c r="AZ784" s="117"/>
      <c r="BA784" s="123"/>
      <c r="BB784" s="123"/>
      <c r="BC784" s="123"/>
      <c r="BH784" s="115"/>
      <c r="BI784" s="115"/>
      <c r="BJ784" s="115"/>
      <c r="BK784" s="115"/>
      <c r="BL784" s="115"/>
      <c r="BM784" s="115"/>
      <c r="BN784" s="115"/>
      <c r="BO784" s="115"/>
      <c r="BP784" s="115"/>
      <c r="BQ784" s="115"/>
      <c r="BR784" s="13"/>
      <c r="BS784" s="13"/>
      <c r="BV784" s="114"/>
    </row>
    <row r="785" spans="1:74" ht="19.5" x14ac:dyDescent="0.4">
      <c r="A785" s="117"/>
      <c r="B785" s="123"/>
      <c r="C785" s="123"/>
      <c r="D785" s="123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  <c r="AD785" s="115"/>
      <c r="AE785" s="115"/>
      <c r="AF785" s="115"/>
      <c r="AG785" s="115"/>
      <c r="AH785" s="115"/>
      <c r="AI785" s="128"/>
      <c r="AJ785" s="29"/>
      <c r="AK785" s="115"/>
      <c r="AL785" s="115"/>
      <c r="AM785" s="115"/>
      <c r="AN785" s="115"/>
      <c r="AO785" s="115"/>
      <c r="AP785" s="115"/>
      <c r="AQ785" s="115"/>
      <c r="AR785" s="115"/>
      <c r="AS785" s="115"/>
      <c r="AT785" s="25"/>
      <c r="AU785" s="13"/>
      <c r="AZ785" s="117"/>
      <c r="BA785" s="123"/>
      <c r="BB785" s="123"/>
      <c r="BC785" s="123"/>
      <c r="BH785" s="115"/>
      <c r="BI785" s="115"/>
      <c r="BJ785" s="115"/>
      <c r="BK785" s="115"/>
      <c r="BL785" s="115"/>
      <c r="BM785" s="115"/>
      <c r="BN785" s="115"/>
      <c r="BO785" s="115"/>
      <c r="BP785" s="115"/>
      <c r="BQ785" s="115"/>
      <c r="BR785" s="13"/>
      <c r="BS785" s="13"/>
      <c r="BV785" s="114"/>
    </row>
    <row r="786" spans="1:74" ht="19.5" x14ac:dyDescent="0.4">
      <c r="A786" s="117"/>
      <c r="B786" s="123"/>
      <c r="C786" s="123"/>
      <c r="D786" s="123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27"/>
      <c r="AJ786" s="29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25"/>
      <c r="AU786" s="13"/>
      <c r="AZ786" s="117"/>
      <c r="BA786" s="123"/>
      <c r="BB786" s="123"/>
      <c r="BC786" s="123"/>
      <c r="BH786" s="115"/>
      <c r="BI786" s="115"/>
      <c r="BJ786" s="115"/>
      <c r="BK786" s="115"/>
      <c r="BL786" s="115"/>
      <c r="BM786" s="115"/>
      <c r="BN786" s="115"/>
      <c r="BO786" s="115"/>
      <c r="BP786" s="115"/>
      <c r="BQ786" s="115"/>
      <c r="BR786" s="13"/>
      <c r="BS786" s="13"/>
      <c r="BV786" s="114"/>
    </row>
    <row r="787" spans="1:74" ht="19.5" x14ac:dyDescent="0.4">
      <c r="A787" s="117"/>
      <c r="B787" s="123"/>
      <c r="C787" s="123"/>
      <c r="D787" s="123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27"/>
      <c r="AJ787" s="29"/>
      <c r="AK787" s="115"/>
      <c r="AL787" s="115"/>
      <c r="AM787" s="115"/>
      <c r="AN787" s="115"/>
      <c r="AO787" s="115"/>
      <c r="AP787" s="115"/>
      <c r="AQ787" s="115"/>
      <c r="AR787" s="115"/>
      <c r="AS787" s="115"/>
      <c r="AT787" s="25">
        <v>45684</v>
      </c>
      <c r="AU787" s="13" t="s">
        <v>146</v>
      </c>
      <c r="AZ787" s="117"/>
      <c r="BA787" s="123"/>
      <c r="BB787" s="123"/>
      <c r="BC787" s="123"/>
      <c r="BH787" s="115"/>
      <c r="BI787" s="115"/>
      <c r="BJ787" s="115"/>
      <c r="BK787" s="115"/>
      <c r="BL787" s="115"/>
      <c r="BM787" s="115"/>
      <c r="BN787" s="115"/>
      <c r="BO787" s="115"/>
      <c r="BP787" s="115"/>
      <c r="BQ787" s="115"/>
      <c r="BR787" s="13"/>
      <c r="BS787" s="13"/>
      <c r="BV787" s="114"/>
    </row>
    <row r="788" spans="1:74" ht="19.5" x14ac:dyDescent="0.4">
      <c r="A788" s="117"/>
      <c r="B788" s="123"/>
      <c r="C788" s="123"/>
      <c r="D788" s="123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28"/>
      <c r="AJ788" s="29"/>
      <c r="AK788" s="115"/>
      <c r="AL788" s="115"/>
      <c r="AM788" s="115"/>
      <c r="AN788" s="115"/>
      <c r="AO788" s="115"/>
      <c r="AP788" s="115"/>
      <c r="AQ788" s="115"/>
      <c r="AR788" s="115"/>
      <c r="AS788" s="115"/>
      <c r="AT788" s="25"/>
      <c r="AU788" s="13"/>
      <c r="AZ788" s="117"/>
      <c r="BA788" s="123"/>
      <c r="BB788" s="123"/>
      <c r="BC788" s="123"/>
      <c r="BH788" s="115"/>
      <c r="BI788" s="115"/>
      <c r="BJ788" s="115"/>
      <c r="BK788" s="115"/>
      <c r="BL788" s="115"/>
      <c r="BM788" s="115"/>
      <c r="BN788" s="115"/>
      <c r="BO788" s="115"/>
      <c r="BP788" s="115"/>
      <c r="BQ788" s="115"/>
      <c r="BR788" s="13"/>
      <c r="BS788" s="13"/>
      <c r="BV788" s="114"/>
    </row>
    <row r="789" spans="1:74" ht="19.5" x14ac:dyDescent="0.4">
      <c r="A789" s="117"/>
      <c r="B789" s="123"/>
      <c r="C789" s="123"/>
      <c r="D789" s="123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27"/>
      <c r="AJ789" s="29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25"/>
      <c r="AU789" s="13"/>
      <c r="AZ789" s="117"/>
      <c r="BA789" s="123"/>
      <c r="BB789" s="123"/>
      <c r="BC789" s="123"/>
      <c r="BH789" s="115"/>
      <c r="BI789" s="115"/>
      <c r="BJ789" s="115"/>
      <c r="BK789" s="115"/>
      <c r="BL789" s="115"/>
      <c r="BM789" s="115"/>
      <c r="BN789" s="115"/>
      <c r="BO789" s="115"/>
      <c r="BP789" s="115"/>
      <c r="BQ789" s="115"/>
      <c r="BR789" s="13"/>
      <c r="BS789" s="13"/>
      <c r="BV789" s="114"/>
    </row>
    <row r="790" spans="1:74" ht="19.5" x14ac:dyDescent="0.4">
      <c r="A790" s="117"/>
      <c r="B790" s="123"/>
      <c r="C790" s="123"/>
      <c r="D790" s="123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28"/>
      <c r="AJ790" s="29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5"/>
      <c r="AU790" s="13"/>
      <c r="AZ790" s="117"/>
      <c r="BA790" s="123"/>
      <c r="BB790" s="123"/>
      <c r="BC790" s="123"/>
      <c r="BH790" s="115"/>
      <c r="BI790" s="115"/>
      <c r="BJ790" s="115"/>
      <c r="BK790" s="115"/>
      <c r="BL790" s="115"/>
      <c r="BM790" s="115"/>
      <c r="BN790" s="115"/>
      <c r="BO790" s="115"/>
      <c r="BP790" s="115"/>
      <c r="BQ790" s="115"/>
      <c r="BR790" s="13"/>
      <c r="BS790" s="13"/>
      <c r="BV790" s="114"/>
    </row>
    <row r="791" spans="1:74" ht="19.5" x14ac:dyDescent="0.4">
      <c r="A791" s="117"/>
      <c r="B791" s="123"/>
      <c r="C791" s="123"/>
      <c r="D791" s="123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27"/>
      <c r="AJ791" s="29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25"/>
      <c r="AU791" s="13"/>
      <c r="AZ791" s="117"/>
      <c r="BA791" s="123"/>
      <c r="BB791" s="123"/>
      <c r="BC791" s="123"/>
      <c r="BH791" s="115"/>
      <c r="BI791" s="115"/>
      <c r="BJ791" s="115"/>
      <c r="BK791" s="115"/>
      <c r="BL791" s="115"/>
      <c r="BM791" s="115"/>
      <c r="BN791" s="115"/>
      <c r="BO791" s="115"/>
      <c r="BP791" s="115"/>
      <c r="BQ791" s="115"/>
      <c r="BR791" s="13"/>
      <c r="BS791" s="13"/>
      <c r="BV791" s="114"/>
    </row>
    <row r="792" spans="1:74" ht="19.5" x14ac:dyDescent="0.4">
      <c r="A792" s="117"/>
      <c r="B792" s="123"/>
      <c r="C792" s="123"/>
      <c r="D792" s="123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  <c r="AD792" s="115"/>
      <c r="AE792" s="115"/>
      <c r="AF792" s="115"/>
      <c r="AG792" s="115"/>
      <c r="AH792" s="115"/>
      <c r="AI792" s="128"/>
      <c r="AJ792" s="29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5"/>
      <c r="AU792" s="13"/>
      <c r="AZ792" s="117"/>
      <c r="BA792" s="123"/>
      <c r="BB792" s="123"/>
      <c r="BC792" s="123"/>
      <c r="BH792" s="115"/>
      <c r="BI792" s="115"/>
      <c r="BJ792" s="115"/>
      <c r="BK792" s="115"/>
      <c r="BL792" s="115"/>
      <c r="BM792" s="115"/>
      <c r="BN792" s="115"/>
      <c r="BO792" s="115"/>
      <c r="BP792" s="115"/>
      <c r="BQ792" s="115"/>
      <c r="BR792" s="13"/>
      <c r="BS792" s="13"/>
      <c r="BV792" s="114"/>
    </row>
    <row r="793" spans="1:74" ht="19.5" x14ac:dyDescent="0.4">
      <c r="A793" s="117"/>
      <c r="B793" s="123"/>
      <c r="C793" s="123"/>
      <c r="D793" s="123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28"/>
      <c r="AJ793" s="29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25"/>
      <c r="AU793" s="13"/>
      <c r="AZ793" s="117"/>
      <c r="BA793" s="123"/>
      <c r="BB793" s="123"/>
      <c r="BC793" s="123"/>
      <c r="BH793" s="115"/>
      <c r="BI793" s="115"/>
      <c r="BJ793" s="115"/>
      <c r="BK793" s="115"/>
      <c r="BL793" s="115"/>
      <c r="BM793" s="115"/>
      <c r="BN793" s="115"/>
      <c r="BO793" s="115"/>
      <c r="BP793" s="115"/>
      <c r="BQ793" s="115"/>
      <c r="BR793" s="13"/>
      <c r="BS793" s="13"/>
      <c r="BV793" s="114"/>
    </row>
    <row r="794" spans="1:74" ht="19.5" x14ac:dyDescent="0.4">
      <c r="A794" s="117"/>
      <c r="B794" s="123"/>
      <c r="C794" s="123"/>
      <c r="D794" s="123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27"/>
      <c r="AJ794" s="29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5">
        <v>45684</v>
      </c>
      <c r="AU794" s="13" t="s">
        <v>147</v>
      </c>
      <c r="AZ794" s="117"/>
      <c r="BA794" s="123"/>
      <c r="BB794" s="123"/>
      <c r="BC794" s="123"/>
      <c r="BH794" s="115"/>
      <c r="BI794" s="115"/>
      <c r="BJ794" s="115"/>
      <c r="BK794" s="115"/>
      <c r="BL794" s="115"/>
      <c r="BM794" s="115"/>
      <c r="BN794" s="115"/>
      <c r="BO794" s="115"/>
      <c r="BP794" s="115"/>
      <c r="BQ794" s="115"/>
      <c r="BR794" s="13"/>
      <c r="BS794" s="13"/>
      <c r="BV794" s="114"/>
    </row>
    <row r="795" spans="1:74" ht="19.5" x14ac:dyDescent="0.4">
      <c r="A795" s="117"/>
      <c r="B795" s="123"/>
      <c r="C795" s="123"/>
      <c r="D795" s="123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  <c r="AD795" s="115"/>
      <c r="AE795" s="115"/>
      <c r="AF795" s="115"/>
      <c r="AG795" s="115"/>
      <c r="AH795" s="115"/>
      <c r="AI795" s="127"/>
      <c r="AJ795" s="29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25">
        <v>45684</v>
      </c>
      <c r="AU795" s="13" t="s">
        <v>146</v>
      </c>
      <c r="AZ795" s="117"/>
      <c r="BA795" s="123"/>
      <c r="BB795" s="123"/>
      <c r="BC795" s="123"/>
      <c r="BH795" s="115"/>
      <c r="BI795" s="115"/>
      <c r="BJ795" s="115"/>
      <c r="BK795" s="115"/>
      <c r="BL795" s="115"/>
      <c r="BM795" s="115"/>
      <c r="BN795" s="115"/>
      <c r="BO795" s="115"/>
      <c r="BP795" s="115"/>
      <c r="BQ795" s="115"/>
      <c r="BR795" s="13"/>
      <c r="BS795" s="13"/>
      <c r="BV795" s="114"/>
    </row>
    <row r="796" spans="1:74" ht="19.5" x14ac:dyDescent="0.4">
      <c r="A796" s="117"/>
      <c r="B796" s="123"/>
      <c r="C796" s="123"/>
      <c r="D796" s="123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  <c r="AD796" s="115"/>
      <c r="AE796" s="115"/>
      <c r="AF796" s="115"/>
      <c r="AG796" s="115"/>
      <c r="AH796" s="115"/>
      <c r="AI796" s="127"/>
      <c r="AJ796" s="29"/>
      <c r="AK796" s="115"/>
      <c r="AL796" s="115"/>
      <c r="AM796" s="115"/>
      <c r="AN796" s="115"/>
      <c r="AO796" s="115"/>
      <c r="AP796" s="115"/>
      <c r="AQ796" s="115"/>
      <c r="AR796" s="115"/>
      <c r="AS796" s="115"/>
      <c r="AT796" s="25">
        <v>45684</v>
      </c>
      <c r="AU796" s="13" t="s">
        <v>146</v>
      </c>
      <c r="AZ796" s="117"/>
      <c r="BA796" s="123"/>
      <c r="BB796" s="123"/>
      <c r="BC796" s="123"/>
      <c r="BH796" s="115"/>
      <c r="BI796" s="115"/>
      <c r="BJ796" s="115"/>
      <c r="BK796" s="115"/>
      <c r="BL796" s="115"/>
      <c r="BM796" s="115"/>
      <c r="BN796" s="115"/>
      <c r="BO796" s="115"/>
      <c r="BP796" s="115"/>
      <c r="BQ796" s="115"/>
      <c r="BR796" s="13"/>
      <c r="BS796" s="13"/>
      <c r="BV796" s="114"/>
    </row>
    <row r="797" spans="1:74" ht="19.5" x14ac:dyDescent="0.4">
      <c r="A797" s="117"/>
      <c r="B797" s="123"/>
      <c r="C797" s="123"/>
      <c r="D797" s="123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  <c r="AD797" s="115"/>
      <c r="AE797" s="115"/>
      <c r="AF797" s="115"/>
      <c r="AG797" s="115"/>
      <c r="AH797" s="115"/>
      <c r="AI797" s="29"/>
      <c r="AJ797" s="29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25"/>
      <c r="AU797" s="13"/>
      <c r="AZ797" s="117"/>
      <c r="BA797" s="123"/>
      <c r="BB797" s="123"/>
      <c r="BC797" s="123"/>
      <c r="BH797" s="115"/>
      <c r="BI797" s="115"/>
      <c r="BJ797" s="115"/>
      <c r="BK797" s="115"/>
      <c r="BL797" s="115"/>
      <c r="BM797" s="115"/>
      <c r="BN797" s="115"/>
      <c r="BO797" s="115"/>
      <c r="BP797" s="115"/>
      <c r="BQ797" s="115"/>
      <c r="BR797" s="13"/>
      <c r="BS797" s="13"/>
      <c r="BV797" s="114"/>
    </row>
    <row r="798" spans="1:74" ht="19.5" x14ac:dyDescent="0.4">
      <c r="A798" s="117"/>
      <c r="B798" s="123"/>
      <c r="C798" s="123"/>
      <c r="D798" s="123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  <c r="AD798" s="115"/>
      <c r="AE798" s="115"/>
      <c r="AF798" s="115"/>
      <c r="AG798" s="115"/>
      <c r="AH798" s="115"/>
      <c r="AI798" s="29"/>
      <c r="AJ798" s="29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25"/>
      <c r="AU798" s="13"/>
      <c r="AZ798" s="117"/>
      <c r="BA798" s="123"/>
      <c r="BB798" s="123"/>
      <c r="BC798" s="123"/>
      <c r="BH798" s="115"/>
      <c r="BI798" s="115"/>
      <c r="BJ798" s="115"/>
      <c r="BK798" s="115"/>
      <c r="BL798" s="115"/>
      <c r="BM798" s="115"/>
      <c r="BN798" s="115"/>
      <c r="BO798" s="115"/>
      <c r="BP798" s="115"/>
      <c r="BQ798" s="115"/>
      <c r="BR798" s="13"/>
      <c r="BS798" s="13"/>
      <c r="BV798" s="114"/>
    </row>
    <row r="799" spans="1:74" ht="19.5" x14ac:dyDescent="0.4">
      <c r="A799" s="117"/>
      <c r="B799" s="123"/>
      <c r="C799" s="123"/>
      <c r="D799" s="123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27"/>
      <c r="AJ799" s="29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25">
        <v>45684</v>
      </c>
      <c r="AU799" s="13" t="s">
        <v>147</v>
      </c>
      <c r="AZ799" s="117"/>
      <c r="BA799" s="123"/>
      <c r="BB799" s="123"/>
      <c r="BC799" s="123"/>
      <c r="BH799" s="115"/>
      <c r="BI799" s="115"/>
      <c r="BJ799" s="115"/>
      <c r="BK799" s="115"/>
      <c r="BL799" s="115"/>
      <c r="BM799" s="115"/>
      <c r="BN799" s="115"/>
      <c r="BO799" s="115"/>
      <c r="BP799" s="115"/>
      <c r="BQ799" s="115"/>
      <c r="BR799" s="13"/>
      <c r="BS799" s="13"/>
      <c r="BV799" s="114"/>
    </row>
    <row r="800" spans="1:74" ht="19.5" x14ac:dyDescent="0.4">
      <c r="A800" s="117"/>
      <c r="B800" s="123"/>
      <c r="C800" s="123"/>
      <c r="D800" s="123"/>
      <c r="AI800" s="127"/>
      <c r="AJ800" s="29"/>
      <c r="AT800" s="25">
        <v>45685</v>
      </c>
      <c r="AU800" s="13" t="s">
        <v>146</v>
      </c>
      <c r="AZ800" s="117"/>
      <c r="BA800" s="123"/>
      <c r="BB800" s="123"/>
      <c r="BC800" s="123"/>
      <c r="BH800" s="115"/>
      <c r="BI800" s="115"/>
      <c r="BJ800" s="115"/>
      <c r="BK800" s="115"/>
      <c r="BL800" s="115"/>
      <c r="BM800" s="115"/>
      <c r="BN800" s="115"/>
      <c r="BO800" s="115"/>
      <c r="BP800" s="115"/>
      <c r="BQ800" s="115"/>
      <c r="BR800" s="25">
        <v>45263</v>
      </c>
      <c r="BS800" s="13" t="s">
        <v>162</v>
      </c>
      <c r="BV800" s="114"/>
    </row>
    <row r="801" spans="1:74" ht="19.5" x14ac:dyDescent="0.4">
      <c r="A801" s="117"/>
      <c r="B801" s="123"/>
      <c r="C801" s="123"/>
      <c r="D801" s="123"/>
      <c r="AI801" s="127"/>
      <c r="AJ801" s="29"/>
      <c r="AQ801" s="115"/>
      <c r="AR801" s="115"/>
      <c r="AS801" s="115"/>
      <c r="AT801" s="25">
        <v>45685</v>
      </c>
      <c r="AU801" s="13" t="s">
        <v>147</v>
      </c>
      <c r="AZ801" s="117"/>
      <c r="BA801" s="123"/>
      <c r="BB801" s="123"/>
      <c r="BC801" s="123"/>
      <c r="BH801" s="115"/>
      <c r="BI801" s="115"/>
      <c r="BJ801" s="115"/>
      <c r="BK801" s="115"/>
      <c r="BL801" s="115"/>
      <c r="BM801" s="115"/>
      <c r="BN801" s="115"/>
      <c r="BO801" s="115"/>
      <c r="BP801" s="115"/>
      <c r="BQ801" s="115"/>
      <c r="BR801" s="25"/>
      <c r="BS801" s="13"/>
      <c r="BV801" s="114"/>
    </row>
    <row r="802" spans="1:74" ht="19.5" x14ac:dyDescent="0.4">
      <c r="A802" s="117"/>
      <c r="B802" s="123"/>
      <c r="C802" s="123"/>
      <c r="D802" s="123"/>
      <c r="AI802" s="128"/>
      <c r="AJ802" s="29"/>
      <c r="AQ802" s="115"/>
      <c r="AR802" s="115"/>
      <c r="AS802" s="115"/>
      <c r="AT802" s="25"/>
      <c r="AU802" s="13"/>
      <c r="AZ802" s="117"/>
      <c r="BA802" s="123"/>
      <c r="BB802" s="123"/>
      <c r="BC802" s="123"/>
      <c r="BH802" s="115"/>
      <c r="BI802" s="115"/>
      <c r="BJ802" s="115"/>
      <c r="BK802" s="115"/>
      <c r="BL802" s="115"/>
      <c r="BM802" s="115"/>
      <c r="BN802" s="115"/>
      <c r="BO802" s="115"/>
      <c r="BP802" s="115"/>
      <c r="BQ802" s="115"/>
      <c r="BR802" s="25"/>
      <c r="BS802" s="13"/>
      <c r="BV802" s="114"/>
    </row>
    <row r="803" spans="1:74" ht="19.5" x14ac:dyDescent="0.4">
      <c r="A803" s="117"/>
      <c r="B803" s="123"/>
      <c r="C803" s="123"/>
      <c r="D803" s="123"/>
      <c r="AI803" s="127"/>
      <c r="AJ803" s="29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25">
        <v>45685</v>
      </c>
      <c r="AU803" s="13" t="s">
        <v>147</v>
      </c>
      <c r="AZ803" s="117"/>
      <c r="BA803" s="123"/>
      <c r="BB803" s="123"/>
      <c r="BC803" s="123"/>
      <c r="BH803" s="115"/>
      <c r="BI803" s="115"/>
      <c r="BJ803" s="115"/>
      <c r="BK803" s="115"/>
      <c r="BL803" s="115"/>
      <c r="BM803" s="115"/>
      <c r="BN803" s="115"/>
      <c r="BO803" s="115"/>
      <c r="BP803" s="115"/>
      <c r="BQ803" s="115"/>
      <c r="BR803" s="25"/>
      <c r="BS803" s="13"/>
      <c r="BV803" s="114"/>
    </row>
    <row r="804" spans="1:74" ht="19.5" x14ac:dyDescent="0.4">
      <c r="A804" s="117"/>
      <c r="B804" s="123"/>
      <c r="C804" s="123"/>
      <c r="D804" s="123"/>
      <c r="AI804" s="127"/>
      <c r="AJ804" s="29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25">
        <v>45685</v>
      </c>
      <c r="AU804" s="13" t="s">
        <v>148</v>
      </c>
      <c r="AZ804" s="117"/>
      <c r="BA804" s="123"/>
      <c r="BB804" s="123"/>
      <c r="BC804" s="123"/>
      <c r="BH804" s="115"/>
      <c r="BI804" s="115"/>
      <c r="BJ804" s="115"/>
      <c r="BK804" s="115"/>
      <c r="BL804" s="115"/>
      <c r="BM804" s="115"/>
      <c r="BN804" s="115"/>
      <c r="BO804" s="115"/>
      <c r="BP804" s="115"/>
      <c r="BQ804" s="115"/>
      <c r="BR804" s="25"/>
      <c r="BS804" s="13"/>
      <c r="BV804" s="114"/>
    </row>
    <row r="805" spans="1:74" ht="19.5" x14ac:dyDescent="0.4">
      <c r="A805" s="117"/>
      <c r="B805" s="123"/>
      <c r="C805" s="123"/>
      <c r="D805" s="123"/>
      <c r="AI805" s="127"/>
      <c r="AJ805" s="29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25">
        <v>45685</v>
      </c>
      <c r="AU805" s="13" t="s">
        <v>148</v>
      </c>
      <c r="AZ805" s="117"/>
      <c r="BA805" s="123"/>
      <c r="BB805" s="123"/>
      <c r="BC805" s="123"/>
      <c r="BH805" s="115"/>
      <c r="BI805" s="115"/>
      <c r="BJ805" s="115"/>
      <c r="BK805" s="115"/>
      <c r="BL805" s="115"/>
      <c r="BM805" s="115"/>
      <c r="BN805" s="115"/>
      <c r="BO805" s="115"/>
      <c r="BP805" s="115"/>
      <c r="BQ805" s="115"/>
      <c r="BR805" s="25"/>
      <c r="BS805" s="13"/>
      <c r="BV805" s="114"/>
    </row>
    <row r="806" spans="1:74" ht="19.5" x14ac:dyDescent="0.4">
      <c r="A806" s="117"/>
      <c r="B806" s="123"/>
      <c r="C806" s="123"/>
      <c r="D806" s="123"/>
      <c r="AI806" s="128"/>
      <c r="AJ806" s="29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25"/>
      <c r="AU806" s="13"/>
      <c r="AZ806" s="117"/>
      <c r="BA806" s="123"/>
      <c r="BB806" s="123"/>
      <c r="BC806" s="123"/>
      <c r="BH806" s="115"/>
      <c r="BI806" s="115"/>
      <c r="BJ806" s="115"/>
      <c r="BK806" s="115"/>
      <c r="BL806" s="115"/>
      <c r="BM806" s="115"/>
      <c r="BN806" s="115"/>
      <c r="BO806" s="115"/>
      <c r="BP806" s="115"/>
      <c r="BQ806" s="115"/>
      <c r="BR806" s="25"/>
      <c r="BS806" s="13"/>
      <c r="BV806" s="114"/>
    </row>
    <row r="807" spans="1:74" ht="19.5" x14ac:dyDescent="0.4">
      <c r="A807" s="117"/>
      <c r="B807" s="123"/>
      <c r="C807" s="123"/>
      <c r="D807" s="123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  <c r="AD807" s="115"/>
      <c r="AE807" s="115"/>
      <c r="AF807" s="115"/>
      <c r="AG807" s="115"/>
      <c r="AH807" s="115"/>
      <c r="AI807" s="127"/>
      <c r="AJ807" s="29"/>
      <c r="AK807" s="115"/>
      <c r="AL807" s="115"/>
      <c r="AM807" s="115"/>
      <c r="AN807" s="115"/>
      <c r="AO807" s="115"/>
      <c r="AP807" s="115"/>
      <c r="AQ807" s="115"/>
      <c r="AR807" s="115"/>
      <c r="AS807" s="115"/>
      <c r="AT807" s="25"/>
      <c r="AU807" s="13"/>
      <c r="AZ807" s="117"/>
      <c r="BA807" s="123"/>
      <c r="BB807" s="123"/>
      <c r="BC807" s="123"/>
      <c r="BH807" s="115"/>
      <c r="BI807" s="115"/>
      <c r="BJ807" s="115"/>
      <c r="BK807" s="115"/>
      <c r="BL807" s="115"/>
      <c r="BM807" s="115"/>
      <c r="BN807" s="115"/>
      <c r="BO807" s="115"/>
      <c r="BP807" s="115"/>
      <c r="BQ807" s="115"/>
      <c r="BR807" s="25"/>
      <c r="BS807" s="13"/>
      <c r="BV807" s="114"/>
    </row>
    <row r="808" spans="1:74" ht="19.5" x14ac:dyDescent="0.4">
      <c r="A808" s="117"/>
      <c r="B808" s="123"/>
      <c r="C808" s="123"/>
      <c r="D808" s="123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  <c r="AD808" s="115"/>
      <c r="AE808" s="115"/>
      <c r="AF808" s="115"/>
      <c r="AG808" s="115"/>
      <c r="AH808" s="115"/>
      <c r="AI808" s="128"/>
      <c r="AJ808" s="29"/>
      <c r="AK808" s="115"/>
      <c r="AL808" s="115"/>
      <c r="AM808" s="115"/>
      <c r="AN808" s="115"/>
      <c r="AO808" s="115"/>
      <c r="AP808" s="115"/>
      <c r="AQ808" s="115"/>
      <c r="AR808" s="115"/>
      <c r="AS808" s="115"/>
      <c r="AT808" s="25"/>
      <c r="AU808" s="13"/>
      <c r="AZ808" s="117"/>
      <c r="BA808" s="123"/>
      <c r="BB808" s="123"/>
      <c r="BC808" s="123"/>
      <c r="BH808" s="115"/>
      <c r="BI808" s="115"/>
      <c r="BJ808" s="115"/>
      <c r="BK808" s="115"/>
      <c r="BL808" s="115"/>
      <c r="BM808" s="115"/>
      <c r="BN808" s="115"/>
      <c r="BO808" s="115"/>
      <c r="BP808" s="115"/>
      <c r="BQ808" s="115"/>
      <c r="BR808" s="25"/>
      <c r="BS808" s="13"/>
      <c r="BV808" s="114"/>
    </row>
    <row r="809" spans="1:74" ht="19.5" x14ac:dyDescent="0.4">
      <c r="A809" s="117"/>
      <c r="B809" s="123"/>
      <c r="C809" s="123"/>
      <c r="D809" s="123"/>
      <c r="AI809" s="127"/>
      <c r="AJ809" s="29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25">
        <v>45685</v>
      </c>
      <c r="AU809" s="13" t="s">
        <v>148</v>
      </c>
      <c r="AZ809" s="117"/>
      <c r="BA809" s="123"/>
      <c r="BB809" s="123"/>
      <c r="BC809" s="123"/>
      <c r="BH809" s="115"/>
      <c r="BI809" s="115"/>
      <c r="BJ809" s="115"/>
      <c r="BK809" s="115"/>
      <c r="BL809" s="115"/>
      <c r="BM809" s="115"/>
      <c r="BN809" s="115"/>
      <c r="BO809" s="115"/>
      <c r="BP809" s="115"/>
      <c r="BQ809" s="115"/>
      <c r="BR809" s="25"/>
      <c r="BS809" s="13"/>
      <c r="BV809" s="114"/>
    </row>
    <row r="810" spans="1:74" ht="19.5" x14ac:dyDescent="0.4">
      <c r="A810" s="117"/>
      <c r="B810" s="123"/>
      <c r="C810" s="123"/>
      <c r="D810" s="123"/>
      <c r="AI810" s="127"/>
      <c r="AJ810" s="29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25">
        <v>45685</v>
      </c>
      <c r="AU810" s="13" t="s">
        <v>148</v>
      </c>
      <c r="AZ810" s="117"/>
      <c r="BA810" s="123"/>
      <c r="BB810" s="123"/>
      <c r="BC810" s="123"/>
      <c r="BH810" s="115"/>
      <c r="BI810" s="115"/>
      <c r="BJ810" s="115"/>
      <c r="BK810" s="115"/>
      <c r="BL810" s="115"/>
      <c r="BM810" s="115"/>
      <c r="BN810" s="115"/>
      <c r="BO810" s="115"/>
      <c r="BP810" s="115"/>
      <c r="BQ810" s="115"/>
      <c r="BR810" s="25"/>
      <c r="BS810" s="13"/>
      <c r="BV810" s="114"/>
    </row>
    <row r="811" spans="1:74" ht="19.5" x14ac:dyDescent="0.4">
      <c r="A811" s="117"/>
      <c r="B811" s="123"/>
      <c r="C811" s="123"/>
      <c r="D811" s="123"/>
      <c r="AI811" s="127"/>
      <c r="AJ811" s="29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25">
        <v>45685</v>
      </c>
      <c r="AU811" s="13" t="s">
        <v>146</v>
      </c>
      <c r="AZ811" s="117"/>
      <c r="BA811" s="123"/>
      <c r="BB811" s="123"/>
      <c r="BC811" s="123"/>
      <c r="BH811" s="115"/>
      <c r="BI811" s="115"/>
      <c r="BJ811" s="115"/>
      <c r="BK811" s="115"/>
      <c r="BL811" s="115"/>
      <c r="BM811" s="115"/>
      <c r="BN811" s="115"/>
      <c r="BO811" s="115"/>
      <c r="BP811" s="115"/>
      <c r="BQ811" s="115"/>
      <c r="BR811" s="25"/>
      <c r="BS811" s="13"/>
      <c r="BV811" s="114"/>
    </row>
    <row r="812" spans="1:74" ht="19.5" x14ac:dyDescent="0.4">
      <c r="A812" s="117"/>
      <c r="B812" s="123"/>
      <c r="C812" s="123"/>
      <c r="D812" s="123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27"/>
      <c r="AJ812" s="29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25"/>
      <c r="AU812" s="13"/>
      <c r="AZ812" s="117"/>
      <c r="BA812" s="123"/>
      <c r="BB812" s="123"/>
      <c r="BC812" s="123"/>
      <c r="BH812" s="115"/>
      <c r="BI812" s="115"/>
      <c r="BJ812" s="115"/>
      <c r="BK812" s="115"/>
      <c r="BL812" s="115"/>
      <c r="BM812" s="115"/>
      <c r="BN812" s="115"/>
      <c r="BO812" s="115"/>
      <c r="BP812" s="115"/>
      <c r="BQ812" s="115"/>
      <c r="BR812" s="25"/>
      <c r="BS812" s="13"/>
      <c r="BV812" s="114"/>
    </row>
    <row r="813" spans="1:74" ht="19.5" x14ac:dyDescent="0.4">
      <c r="A813" s="117"/>
      <c r="B813" s="123"/>
      <c r="C813" s="123"/>
      <c r="D813" s="123"/>
      <c r="AI813" s="127"/>
      <c r="AJ813" s="29"/>
      <c r="AT813" s="25">
        <v>45685</v>
      </c>
      <c r="AU813" s="13" t="s">
        <v>148</v>
      </c>
      <c r="AZ813" s="117"/>
      <c r="BA813" s="123"/>
      <c r="BB813" s="123"/>
      <c r="BC813" s="123"/>
      <c r="BH813" s="115"/>
      <c r="BI813" s="115"/>
      <c r="BJ813" s="115"/>
      <c r="BK813" s="115"/>
      <c r="BL813" s="115"/>
      <c r="BM813" s="115"/>
      <c r="BN813" s="115"/>
      <c r="BO813" s="115"/>
      <c r="BP813" s="115"/>
      <c r="BQ813" s="115" t="s">
        <v>150</v>
      </c>
      <c r="BR813" s="13">
        <f>SUBTOTAL(3,BR800:BR800)</f>
        <v>1</v>
      </c>
      <c r="BS813" s="13">
        <f>SUBTOTAL(3,BS800:BS800)</f>
        <v>1</v>
      </c>
      <c r="BV813" s="114"/>
    </row>
    <row r="814" spans="1:74" ht="19.5" x14ac:dyDescent="0.4">
      <c r="A814" s="117"/>
      <c r="B814" s="123"/>
      <c r="C814" s="123"/>
      <c r="D814" s="123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27"/>
      <c r="AJ814" s="29"/>
      <c r="AT814" s="25"/>
      <c r="AU814" s="13"/>
      <c r="AZ814" s="117"/>
      <c r="BA814" s="123"/>
      <c r="BB814" s="123"/>
      <c r="BC814" s="123"/>
      <c r="BH814" s="115"/>
      <c r="BI814" s="115"/>
      <c r="BJ814" s="115"/>
      <c r="BK814" s="115"/>
      <c r="BL814" s="115"/>
      <c r="BM814" s="115"/>
      <c r="BN814" s="115"/>
      <c r="BO814" s="115"/>
      <c r="BP814" s="115"/>
      <c r="BQ814" s="115"/>
      <c r="BR814" s="13"/>
      <c r="BS814" s="13"/>
      <c r="BV814" s="114"/>
    </row>
    <row r="815" spans="1:74" ht="19.5" x14ac:dyDescent="0.4">
      <c r="A815" s="117"/>
      <c r="B815" s="123"/>
      <c r="C815" s="123"/>
      <c r="D815" s="123"/>
      <c r="AI815" s="127"/>
      <c r="AJ815" s="29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25">
        <v>45685</v>
      </c>
      <c r="AU815" s="15" t="s">
        <v>146</v>
      </c>
      <c r="AZ815" s="117"/>
      <c r="BA815" s="123"/>
      <c r="BB815" s="123"/>
      <c r="BC815" s="123"/>
      <c r="BH815" s="115"/>
      <c r="BI815" s="115"/>
      <c r="BJ815" s="115"/>
      <c r="BK815" s="115"/>
      <c r="BL815" s="115"/>
      <c r="BM815" s="115"/>
      <c r="BN815" s="115"/>
      <c r="BO815" s="115"/>
      <c r="BP815" s="115"/>
      <c r="BQ815" s="115"/>
      <c r="BR815" s="13"/>
      <c r="BS815" s="13"/>
      <c r="BV815" s="114"/>
    </row>
    <row r="816" spans="1:74" ht="19.5" x14ac:dyDescent="0.4">
      <c r="A816" s="117"/>
      <c r="B816" s="123"/>
      <c r="C816" s="123"/>
      <c r="D816" s="123"/>
      <c r="AI816" s="127"/>
      <c r="AJ816" s="29"/>
      <c r="AT816" s="25">
        <v>45685</v>
      </c>
      <c r="AU816" s="15" t="s">
        <v>146</v>
      </c>
      <c r="AZ816" s="117"/>
      <c r="BA816" s="123"/>
      <c r="BB816" s="123"/>
      <c r="BC816" s="123"/>
      <c r="BH816" s="115"/>
      <c r="BI816" s="115"/>
      <c r="BJ816" s="115"/>
      <c r="BK816" s="115"/>
      <c r="BL816" s="115"/>
      <c r="BM816" s="115"/>
      <c r="BN816" s="115"/>
      <c r="BO816" s="115"/>
      <c r="BP816" s="115"/>
      <c r="BQ816" s="115"/>
      <c r="BR816" s="25">
        <v>45264</v>
      </c>
      <c r="BS816" s="13" t="s">
        <v>162</v>
      </c>
      <c r="BV816" s="114"/>
    </row>
    <row r="817" spans="1:74" ht="19.5" x14ac:dyDescent="0.4">
      <c r="A817" s="117"/>
      <c r="B817" s="123"/>
      <c r="C817" s="123"/>
      <c r="D817" s="123"/>
      <c r="AI817" s="127"/>
      <c r="AJ817" s="29"/>
      <c r="AP817" s="115"/>
      <c r="AQ817" s="115"/>
      <c r="AR817" s="115"/>
      <c r="AS817" s="115"/>
      <c r="AT817" s="25">
        <v>45686</v>
      </c>
      <c r="AU817" s="15" t="s">
        <v>148</v>
      </c>
      <c r="AZ817" s="117"/>
      <c r="BA817" s="123"/>
      <c r="BB817" s="123"/>
      <c r="BC817" s="123"/>
      <c r="BH817" s="115"/>
      <c r="BI817" s="115"/>
      <c r="BJ817" s="115"/>
      <c r="BK817" s="115"/>
      <c r="BL817" s="115"/>
      <c r="BM817" s="115"/>
      <c r="BN817" s="115"/>
      <c r="BO817" s="115"/>
      <c r="BP817" s="115"/>
      <c r="BQ817" s="115"/>
      <c r="BR817" s="25"/>
      <c r="BS817" s="13"/>
      <c r="BV817" s="114"/>
    </row>
    <row r="818" spans="1:74" ht="19.5" x14ac:dyDescent="0.4">
      <c r="A818" s="117"/>
      <c r="B818" s="123"/>
      <c r="C818" s="123"/>
      <c r="D818" s="123"/>
      <c r="AI818" s="127"/>
      <c r="AJ818" s="29"/>
      <c r="AN818" s="115"/>
      <c r="AO818" s="115"/>
      <c r="AP818" s="115"/>
      <c r="AQ818" s="115"/>
      <c r="AR818" s="115"/>
      <c r="AS818" s="115"/>
      <c r="AT818" s="25">
        <v>45686</v>
      </c>
      <c r="AU818" s="15" t="s">
        <v>146</v>
      </c>
      <c r="AZ818" s="117"/>
      <c r="BA818" s="123"/>
      <c r="BB818" s="123"/>
      <c r="BC818" s="123"/>
      <c r="BH818" s="115"/>
      <c r="BI818" s="115"/>
      <c r="BJ818" s="115"/>
      <c r="BK818" s="115"/>
      <c r="BL818" s="115"/>
      <c r="BM818" s="115"/>
      <c r="BN818" s="115"/>
      <c r="BO818" s="115"/>
      <c r="BP818" s="115"/>
      <c r="BQ818" s="115"/>
      <c r="BR818" s="25"/>
      <c r="BS818" s="13"/>
      <c r="BV818" s="114"/>
    </row>
    <row r="819" spans="1:74" ht="19.5" x14ac:dyDescent="0.4">
      <c r="A819" s="117"/>
      <c r="B819" s="123"/>
      <c r="C819" s="123"/>
      <c r="D819" s="123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27"/>
      <c r="AJ819" s="29"/>
      <c r="AN819" s="115"/>
      <c r="AO819" s="115"/>
      <c r="AP819" s="115"/>
      <c r="AQ819" s="115"/>
      <c r="AR819" s="115"/>
      <c r="AS819" s="115"/>
      <c r="AT819" s="25"/>
      <c r="AU819" s="15"/>
      <c r="AZ819" s="117"/>
      <c r="BA819" s="123"/>
      <c r="BB819" s="123"/>
      <c r="BC819" s="123"/>
      <c r="BH819" s="115"/>
      <c r="BI819" s="115"/>
      <c r="BJ819" s="115"/>
      <c r="BK819" s="115"/>
      <c r="BL819" s="115"/>
      <c r="BM819" s="115"/>
      <c r="BN819" s="115"/>
      <c r="BO819" s="115"/>
      <c r="BP819" s="115"/>
      <c r="BQ819" s="115"/>
      <c r="BR819" s="25"/>
      <c r="BS819" s="13"/>
      <c r="BV819" s="114"/>
    </row>
    <row r="820" spans="1:74" ht="19.5" x14ac:dyDescent="0.4">
      <c r="A820" s="117"/>
      <c r="B820" s="123"/>
      <c r="C820" s="123"/>
      <c r="D820" s="123"/>
      <c r="AI820" s="127"/>
      <c r="AJ820" s="29"/>
      <c r="AN820" s="115"/>
      <c r="AO820" s="115"/>
      <c r="AP820" s="115"/>
      <c r="AQ820" s="115"/>
      <c r="AR820" s="115"/>
      <c r="AS820" s="115"/>
      <c r="AT820" s="25">
        <v>45686</v>
      </c>
      <c r="AU820" s="15" t="s">
        <v>148</v>
      </c>
      <c r="AZ820" s="117"/>
      <c r="BA820" s="123"/>
      <c r="BB820" s="123"/>
      <c r="BC820" s="123"/>
      <c r="BH820" s="115"/>
      <c r="BI820" s="115"/>
      <c r="BJ820" s="115"/>
      <c r="BK820" s="115"/>
      <c r="BL820" s="115"/>
      <c r="BM820" s="115"/>
      <c r="BN820" s="115"/>
      <c r="BO820" s="115"/>
      <c r="BP820" s="115"/>
      <c r="BQ820" s="115"/>
      <c r="BR820" s="25"/>
      <c r="BS820" s="13"/>
      <c r="BV820" s="114"/>
    </row>
    <row r="821" spans="1:74" ht="19.5" x14ac:dyDescent="0.4">
      <c r="A821" s="117"/>
      <c r="B821" s="123"/>
      <c r="C821" s="123"/>
      <c r="D821" s="123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27"/>
      <c r="AJ821" s="29"/>
      <c r="AN821" s="115"/>
      <c r="AO821" s="115"/>
      <c r="AP821" s="115"/>
      <c r="AQ821" s="115"/>
      <c r="AR821" s="115"/>
      <c r="AS821" s="115"/>
      <c r="AT821" s="25"/>
      <c r="AU821" s="15"/>
      <c r="AZ821" s="117"/>
      <c r="BA821" s="123"/>
      <c r="BB821" s="123"/>
      <c r="BC821" s="123"/>
      <c r="BH821" s="115"/>
      <c r="BI821" s="115"/>
      <c r="BJ821" s="115"/>
      <c r="BK821" s="115"/>
      <c r="BL821" s="115"/>
      <c r="BM821" s="115"/>
      <c r="BN821" s="115"/>
      <c r="BO821" s="115"/>
      <c r="BP821" s="115"/>
      <c r="BQ821" s="115"/>
      <c r="BR821" s="25"/>
      <c r="BS821" s="13"/>
      <c r="BV821" s="114"/>
    </row>
    <row r="822" spans="1:74" ht="19.5" x14ac:dyDescent="0.4">
      <c r="A822" s="117"/>
      <c r="B822" s="123"/>
      <c r="C822" s="123"/>
      <c r="D822" s="123"/>
      <c r="AI822" s="127"/>
      <c r="AJ822" s="29"/>
      <c r="AT822" s="25">
        <v>45686</v>
      </c>
      <c r="AU822" s="15" t="s">
        <v>146</v>
      </c>
      <c r="AZ822" s="117"/>
      <c r="BA822" s="123"/>
      <c r="BB822" s="123"/>
      <c r="BC822" s="123"/>
      <c r="BH822" s="115"/>
      <c r="BI822" s="115"/>
      <c r="BJ822" s="115"/>
      <c r="BK822" s="115"/>
      <c r="BL822" s="115"/>
      <c r="BM822" s="115"/>
      <c r="BN822" s="115"/>
      <c r="BO822" s="115"/>
      <c r="BP822" s="115"/>
      <c r="BQ822" s="115" t="s">
        <v>154</v>
      </c>
      <c r="BR822" s="13">
        <f>SUBTOTAL(3,BR816:BR816)</f>
        <v>1</v>
      </c>
      <c r="BS822" s="13">
        <f>SUBTOTAL(3,BS816:BS816)</f>
        <v>1</v>
      </c>
      <c r="BV822" s="114"/>
    </row>
    <row r="823" spans="1:74" ht="19.5" x14ac:dyDescent="0.4">
      <c r="A823" s="117"/>
      <c r="B823" s="123"/>
      <c r="C823" s="123"/>
      <c r="D823" s="123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27"/>
      <c r="AJ823" s="29"/>
      <c r="AT823" s="25"/>
      <c r="AU823" s="15"/>
      <c r="AZ823" s="117"/>
      <c r="BA823" s="123"/>
      <c r="BB823" s="123"/>
      <c r="BC823" s="123"/>
      <c r="BH823" s="115"/>
      <c r="BI823" s="115"/>
      <c r="BJ823" s="115"/>
      <c r="BK823" s="115"/>
      <c r="BL823" s="115"/>
      <c r="BM823" s="115"/>
      <c r="BN823" s="115"/>
      <c r="BO823" s="115"/>
      <c r="BP823" s="115"/>
      <c r="BQ823" s="115"/>
      <c r="BR823" s="13"/>
      <c r="BS823" s="13"/>
      <c r="BV823" s="114"/>
    </row>
    <row r="824" spans="1:74" ht="19.5" x14ac:dyDescent="0.4">
      <c r="A824" s="117"/>
      <c r="B824" s="123"/>
      <c r="C824" s="123"/>
      <c r="D824" s="123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27"/>
      <c r="AJ824" s="29"/>
      <c r="AT824" s="25"/>
      <c r="AU824" s="15"/>
      <c r="AZ824" s="117"/>
      <c r="BA824" s="123"/>
      <c r="BB824" s="123"/>
      <c r="BC824" s="123"/>
      <c r="BH824" s="115"/>
      <c r="BI824" s="115"/>
      <c r="BJ824" s="115"/>
      <c r="BK824" s="115"/>
      <c r="BL824" s="115"/>
      <c r="BM824" s="115"/>
      <c r="BN824" s="115"/>
      <c r="BO824" s="115"/>
      <c r="BP824" s="115"/>
      <c r="BQ824" s="115"/>
      <c r="BR824" s="13"/>
      <c r="BS824" s="13"/>
      <c r="BV824" s="114"/>
    </row>
    <row r="825" spans="1:74" ht="19.5" x14ac:dyDescent="0.4">
      <c r="A825" s="117"/>
      <c r="B825" s="123"/>
      <c r="C825" s="123"/>
      <c r="D825" s="123"/>
      <c r="AI825" s="127"/>
      <c r="AJ825" s="29"/>
      <c r="AT825" s="25">
        <v>45686</v>
      </c>
      <c r="AU825" s="15" t="s">
        <v>146</v>
      </c>
      <c r="AZ825" s="117"/>
      <c r="BA825" s="123"/>
      <c r="BB825" s="123"/>
      <c r="BC825" s="123"/>
      <c r="BH825" s="115"/>
      <c r="BI825" s="115"/>
      <c r="BJ825" s="115"/>
      <c r="BK825" s="115"/>
      <c r="BL825" s="115"/>
      <c r="BM825" s="115"/>
      <c r="BN825" s="115"/>
      <c r="BO825" s="115"/>
      <c r="BP825" s="115"/>
      <c r="BQ825" s="115"/>
      <c r="BR825" s="25">
        <v>45265</v>
      </c>
      <c r="BS825" s="13" t="s">
        <v>162</v>
      </c>
      <c r="BV825" s="114"/>
    </row>
    <row r="826" spans="1:74" ht="19.5" x14ac:dyDescent="0.4">
      <c r="A826" s="117"/>
      <c r="B826" s="123"/>
      <c r="C826" s="123"/>
      <c r="D826" s="123"/>
      <c r="AI826" s="127"/>
      <c r="AJ826" s="29"/>
      <c r="AT826" s="25">
        <v>45686</v>
      </c>
      <c r="AU826" s="15" t="s">
        <v>146</v>
      </c>
      <c r="AZ826" s="117"/>
      <c r="BA826" s="123"/>
      <c r="BB826" s="123"/>
      <c r="BC826" s="123"/>
      <c r="BH826" s="115"/>
      <c r="BI826" s="115"/>
      <c r="BJ826" s="115"/>
      <c r="BK826" s="115"/>
      <c r="BL826" s="115"/>
      <c r="BM826" s="115"/>
      <c r="BN826" s="115"/>
      <c r="BO826" s="115"/>
      <c r="BP826" s="115"/>
      <c r="BQ826" s="115"/>
      <c r="BR826" s="25">
        <v>45265</v>
      </c>
      <c r="BS826" s="25" t="s">
        <v>162</v>
      </c>
      <c r="BV826" s="114"/>
    </row>
    <row r="827" spans="1:74" ht="19.5" x14ac:dyDescent="0.4">
      <c r="A827" s="117"/>
      <c r="B827" s="123"/>
      <c r="C827" s="123"/>
      <c r="D827" s="123"/>
      <c r="AI827" s="127"/>
      <c r="AJ827" s="29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25">
        <v>45686</v>
      </c>
      <c r="AU827" s="15" t="s">
        <v>146</v>
      </c>
      <c r="AZ827" s="117"/>
      <c r="BA827" s="123"/>
      <c r="BB827" s="123"/>
      <c r="BC827" s="123"/>
      <c r="BH827" s="115"/>
      <c r="BI827" s="115"/>
      <c r="BJ827" s="115"/>
      <c r="BK827" s="115"/>
      <c r="BL827" s="115"/>
      <c r="BM827" s="115"/>
      <c r="BN827" s="115"/>
      <c r="BO827" s="115"/>
      <c r="BP827" s="115"/>
      <c r="BQ827" s="115"/>
      <c r="BR827" s="25"/>
      <c r="BS827" s="25"/>
      <c r="BV827" s="114"/>
    </row>
    <row r="828" spans="1:74" ht="19.5" x14ac:dyDescent="0.4">
      <c r="A828" s="117"/>
      <c r="B828" s="123"/>
      <c r="C828" s="123"/>
      <c r="D828" s="123"/>
      <c r="AI828" s="128"/>
      <c r="AJ828" s="29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25"/>
      <c r="AU828" s="13"/>
      <c r="AZ828" s="117"/>
      <c r="BA828" s="123"/>
      <c r="BB828" s="123"/>
      <c r="BC828" s="123"/>
      <c r="BH828" s="115"/>
      <c r="BI828" s="115"/>
      <c r="BJ828" s="115"/>
      <c r="BK828" s="115"/>
      <c r="BL828" s="115"/>
      <c r="BM828" s="115"/>
      <c r="BN828" s="115"/>
      <c r="BO828" s="115"/>
      <c r="BP828" s="115"/>
      <c r="BQ828" s="115"/>
      <c r="BR828" s="25"/>
      <c r="BS828" s="25"/>
      <c r="BV828" s="114"/>
    </row>
    <row r="829" spans="1:74" ht="19.5" x14ac:dyDescent="0.4">
      <c r="A829" s="117"/>
      <c r="B829" s="123"/>
      <c r="C829" s="123"/>
      <c r="D829" s="123"/>
      <c r="AI829" s="127"/>
      <c r="AJ829" s="29"/>
      <c r="AT829" s="25">
        <v>45686</v>
      </c>
      <c r="AU829" s="13" t="s">
        <v>146</v>
      </c>
      <c r="AZ829" s="117"/>
      <c r="BA829" s="123"/>
      <c r="BB829" s="123"/>
      <c r="BC829" s="123"/>
      <c r="BH829" s="115"/>
      <c r="BI829" s="115"/>
      <c r="BJ829" s="115"/>
      <c r="BK829" s="115"/>
      <c r="BL829" s="115"/>
      <c r="BM829" s="115"/>
      <c r="BN829" s="115"/>
      <c r="BO829" s="115"/>
      <c r="BP829" s="115"/>
      <c r="BQ829" s="115"/>
      <c r="BR829" s="25">
        <v>45265</v>
      </c>
      <c r="BS829" s="13" t="s">
        <v>162</v>
      </c>
      <c r="BV829" s="114"/>
    </row>
    <row r="830" spans="1:74" ht="19.5" x14ac:dyDescent="0.4">
      <c r="A830" s="117"/>
      <c r="B830" s="123"/>
      <c r="C830" s="123"/>
      <c r="D830" s="123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27"/>
      <c r="AJ830" s="29"/>
      <c r="AT830" s="25"/>
      <c r="AU830" s="13"/>
      <c r="AZ830" s="117"/>
      <c r="BA830" s="123"/>
      <c r="BB830" s="123"/>
      <c r="BC830" s="123"/>
      <c r="BH830" s="115"/>
      <c r="BI830" s="115"/>
      <c r="BJ830" s="115"/>
      <c r="BK830" s="115"/>
      <c r="BL830" s="115"/>
      <c r="BM830" s="115"/>
      <c r="BN830" s="115"/>
      <c r="BO830" s="115"/>
      <c r="BP830" s="115"/>
      <c r="BQ830" s="115"/>
      <c r="BR830" s="25"/>
      <c r="BS830" s="13"/>
      <c r="BV830" s="114"/>
    </row>
    <row r="831" spans="1:74" ht="19.5" x14ac:dyDescent="0.4">
      <c r="A831" s="117"/>
      <c r="B831" s="123"/>
      <c r="C831" s="123"/>
      <c r="D831" s="123"/>
      <c r="AI831" s="127"/>
      <c r="AJ831" s="29"/>
      <c r="AP831" s="115"/>
      <c r="AQ831" s="115"/>
      <c r="AR831" s="115"/>
      <c r="AS831" s="115"/>
      <c r="AT831" s="25">
        <v>45686</v>
      </c>
      <c r="AU831" s="15" t="s">
        <v>146</v>
      </c>
      <c r="AZ831" s="117"/>
      <c r="BA831" s="123"/>
      <c r="BB831" s="123"/>
      <c r="BC831" s="123"/>
      <c r="BH831" s="115"/>
      <c r="BI831" s="115"/>
      <c r="BJ831" s="115"/>
      <c r="BK831" s="115"/>
      <c r="BL831" s="115"/>
      <c r="BM831" s="115"/>
      <c r="BN831" s="115"/>
      <c r="BO831" s="115"/>
      <c r="BP831" s="115"/>
      <c r="BQ831" s="115"/>
      <c r="BR831" s="25"/>
      <c r="BS831" s="13"/>
      <c r="BV831" s="114"/>
    </row>
    <row r="832" spans="1:74" ht="19.5" x14ac:dyDescent="0.4">
      <c r="A832" s="117"/>
      <c r="B832" s="123"/>
      <c r="C832" s="123"/>
      <c r="D832" s="123"/>
      <c r="AI832" s="127"/>
      <c r="AJ832" s="29"/>
      <c r="AT832" s="25">
        <v>45686</v>
      </c>
      <c r="AU832" s="15" t="s">
        <v>147</v>
      </c>
      <c r="AZ832" s="117"/>
      <c r="BA832" s="123"/>
      <c r="BB832" s="123"/>
      <c r="BC832" s="123"/>
      <c r="BH832" s="115"/>
      <c r="BI832" s="115"/>
      <c r="BJ832" s="115"/>
      <c r="BK832" s="115"/>
      <c r="BL832" s="115"/>
      <c r="BM832" s="115"/>
      <c r="BN832" s="115"/>
      <c r="BO832" s="115"/>
      <c r="BP832" s="115"/>
      <c r="BQ832" s="115"/>
      <c r="BR832" s="25">
        <v>45265</v>
      </c>
      <c r="BS832" s="13" t="s">
        <v>162</v>
      </c>
      <c r="BV832" s="114"/>
    </row>
    <row r="833" spans="1:74" ht="19.5" x14ac:dyDescent="0.4">
      <c r="A833" s="117"/>
      <c r="B833" s="123"/>
      <c r="C833" s="123"/>
      <c r="D833" s="123"/>
      <c r="AI833" s="127"/>
      <c r="AJ833" s="29"/>
      <c r="AQ833" s="115"/>
      <c r="AR833" s="115"/>
      <c r="AS833" s="115"/>
      <c r="AT833" s="25">
        <v>45686</v>
      </c>
      <c r="AU833" s="15" t="s">
        <v>147</v>
      </c>
      <c r="AZ833" s="117"/>
      <c r="BA833" s="123"/>
      <c r="BB833" s="123"/>
      <c r="BC833" s="123"/>
      <c r="BH833" s="115"/>
      <c r="BI833" s="115"/>
      <c r="BJ833" s="115"/>
      <c r="BK833" s="115"/>
      <c r="BL833" s="115"/>
      <c r="BM833" s="115"/>
      <c r="BN833" s="115"/>
      <c r="BO833" s="115"/>
      <c r="BP833" s="115"/>
      <c r="BQ833" s="115"/>
      <c r="BR833" s="25"/>
      <c r="BS833" s="13"/>
      <c r="BV833" s="114"/>
    </row>
    <row r="834" spans="1:74" ht="19.5" x14ac:dyDescent="0.4">
      <c r="A834" s="117"/>
      <c r="B834" s="123"/>
      <c r="C834" s="123"/>
      <c r="D834" s="123"/>
      <c r="AI834" s="127"/>
      <c r="AJ834" s="29"/>
      <c r="AK834" s="115"/>
      <c r="AL834" s="115"/>
      <c r="AM834" s="115"/>
      <c r="AN834" s="115"/>
      <c r="AO834" s="115"/>
      <c r="AP834" s="115"/>
      <c r="AQ834" s="115"/>
      <c r="AR834" s="115"/>
      <c r="AS834" s="115"/>
      <c r="AT834" s="25">
        <v>45686</v>
      </c>
      <c r="AU834" s="13" t="s">
        <v>146</v>
      </c>
      <c r="AZ834" s="117"/>
      <c r="BA834" s="123"/>
      <c r="BB834" s="123"/>
      <c r="BC834" s="123"/>
      <c r="BH834" s="115"/>
      <c r="BI834" s="115"/>
      <c r="BJ834" s="115"/>
      <c r="BK834" s="115"/>
      <c r="BL834" s="115"/>
      <c r="BM834" s="115"/>
      <c r="BN834" s="115"/>
      <c r="BO834" s="115"/>
      <c r="BP834" s="115"/>
      <c r="BQ834" s="115"/>
      <c r="BR834" s="25"/>
      <c r="BS834" s="13"/>
      <c r="BV834" s="114"/>
    </row>
    <row r="835" spans="1:74" ht="19.5" x14ac:dyDescent="0.4">
      <c r="A835" s="117"/>
      <c r="B835" s="123"/>
      <c r="C835" s="123"/>
      <c r="D835" s="123"/>
      <c r="AI835" s="127"/>
      <c r="AJ835" s="29"/>
      <c r="AT835" s="25">
        <v>45686</v>
      </c>
      <c r="AU835" s="25" t="s">
        <v>146</v>
      </c>
      <c r="AZ835" s="117"/>
      <c r="BA835" s="123"/>
      <c r="BB835" s="123"/>
      <c r="BC835" s="123"/>
      <c r="BH835" s="115"/>
      <c r="BI835" s="115"/>
      <c r="BJ835" s="115"/>
      <c r="BK835" s="115"/>
      <c r="BL835" s="115"/>
      <c r="BM835" s="115"/>
      <c r="BN835" s="115"/>
      <c r="BO835" s="115"/>
      <c r="BP835" s="115"/>
      <c r="BQ835" s="115"/>
      <c r="BR835" s="25">
        <v>45265</v>
      </c>
      <c r="BS835" s="13" t="s">
        <v>163</v>
      </c>
      <c r="BV835" s="114"/>
    </row>
    <row r="836" spans="1:74" ht="19.5" x14ac:dyDescent="0.4">
      <c r="A836" s="117"/>
      <c r="B836" s="123"/>
      <c r="C836" s="123"/>
      <c r="D836" s="123"/>
      <c r="AI836" s="127"/>
      <c r="AJ836" s="29"/>
      <c r="AT836" s="25">
        <v>45686</v>
      </c>
      <c r="AU836" s="25" t="s">
        <v>147</v>
      </c>
      <c r="AZ836" s="117"/>
      <c r="BA836" s="123"/>
      <c r="BB836" s="123"/>
      <c r="BC836" s="123"/>
      <c r="BH836" s="115"/>
      <c r="BI836" s="115"/>
      <c r="BJ836" s="115"/>
      <c r="BK836" s="115"/>
      <c r="BL836" s="115"/>
      <c r="BM836" s="115"/>
      <c r="BN836" s="115"/>
      <c r="BO836" s="115"/>
      <c r="BP836" s="115"/>
      <c r="BQ836" s="115" t="s">
        <v>155</v>
      </c>
      <c r="BR836" s="13">
        <f>SUBTOTAL(3,BR825:BR835)</f>
        <v>5</v>
      </c>
      <c r="BS836" s="13">
        <f>SUBTOTAL(3,BS825:BS835)</f>
        <v>5</v>
      </c>
      <c r="BV836" s="114"/>
    </row>
    <row r="837" spans="1:74" ht="19.5" x14ac:dyDescent="0.4">
      <c r="A837" s="117"/>
      <c r="B837" s="123"/>
      <c r="C837" s="123"/>
      <c r="D837" s="123"/>
      <c r="AI837" s="127"/>
      <c r="AJ837" s="29"/>
      <c r="AK837" s="115"/>
      <c r="AL837" s="115"/>
      <c r="AM837" s="115"/>
      <c r="AN837" s="115"/>
      <c r="AO837" s="115"/>
      <c r="AP837" s="115"/>
      <c r="AQ837" s="115"/>
      <c r="AR837" s="115"/>
      <c r="AS837" s="115"/>
      <c r="AT837" s="25">
        <v>45686</v>
      </c>
      <c r="AU837" s="25" t="s">
        <v>148</v>
      </c>
      <c r="AZ837" s="117"/>
      <c r="BA837" s="123"/>
      <c r="BB837" s="123"/>
      <c r="BC837" s="123"/>
      <c r="BH837" s="115"/>
      <c r="BI837" s="115"/>
      <c r="BJ837" s="115"/>
      <c r="BK837" s="115"/>
      <c r="BL837" s="115"/>
      <c r="BM837" s="115"/>
      <c r="BN837" s="115"/>
      <c r="BO837" s="115"/>
      <c r="BP837" s="115"/>
      <c r="BQ837" s="115"/>
      <c r="BR837" s="13"/>
      <c r="BS837" s="13"/>
      <c r="BV837" s="114"/>
    </row>
    <row r="838" spans="1:74" ht="19.5" x14ac:dyDescent="0.4">
      <c r="A838" s="117"/>
      <c r="B838" s="123"/>
      <c r="C838" s="123"/>
      <c r="D838" s="123"/>
      <c r="AI838" s="127"/>
      <c r="AJ838" s="29"/>
      <c r="AK838" s="115"/>
      <c r="AL838" s="115"/>
      <c r="AM838" s="115"/>
      <c r="AN838" s="115"/>
      <c r="AO838" s="115"/>
      <c r="AP838" s="115"/>
      <c r="AQ838" s="115"/>
      <c r="AR838" s="115"/>
      <c r="AS838" s="115"/>
      <c r="AT838" s="25">
        <v>45686</v>
      </c>
      <c r="AU838" s="13" t="s">
        <v>146</v>
      </c>
      <c r="AZ838" s="117"/>
      <c r="BA838" s="123"/>
      <c r="BB838" s="123"/>
      <c r="BC838" s="123"/>
      <c r="BH838" s="115"/>
      <c r="BI838" s="115"/>
      <c r="BJ838" s="115"/>
      <c r="BK838" s="115"/>
      <c r="BL838" s="115"/>
      <c r="BM838" s="115"/>
      <c r="BN838" s="115"/>
      <c r="BO838" s="115"/>
      <c r="BP838" s="115"/>
      <c r="BQ838" s="115"/>
      <c r="BR838" s="13"/>
      <c r="BS838" s="13"/>
      <c r="BV838" s="114"/>
    </row>
    <row r="839" spans="1:74" ht="19.5" x14ac:dyDescent="0.4">
      <c r="A839" s="117"/>
      <c r="B839" s="123"/>
      <c r="C839" s="123"/>
      <c r="D839" s="123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27"/>
      <c r="AJ839" s="29"/>
      <c r="AK839" s="115"/>
      <c r="AL839" s="115"/>
      <c r="AM839" s="115"/>
      <c r="AN839" s="115"/>
      <c r="AO839" s="115"/>
      <c r="AP839" s="115"/>
      <c r="AQ839" s="115"/>
      <c r="AR839" s="115"/>
      <c r="AS839" s="115"/>
      <c r="AT839" s="25">
        <v>45686</v>
      </c>
      <c r="AU839" s="13" t="s">
        <v>146</v>
      </c>
      <c r="AZ839" s="117"/>
      <c r="BA839" s="123"/>
      <c r="BB839" s="123"/>
      <c r="BC839" s="123"/>
      <c r="BH839" s="115"/>
      <c r="BI839" s="115"/>
      <c r="BJ839" s="115"/>
      <c r="BK839" s="115"/>
      <c r="BL839" s="115"/>
      <c r="BM839" s="115"/>
      <c r="BN839" s="115"/>
      <c r="BO839" s="115"/>
      <c r="BP839" s="115"/>
      <c r="BQ839" s="115"/>
      <c r="BR839" s="13"/>
      <c r="BS839" s="13"/>
      <c r="BV839" s="114"/>
    </row>
    <row r="840" spans="1:74" ht="19.5" x14ac:dyDescent="0.4">
      <c r="A840" s="117"/>
      <c r="B840" s="123"/>
      <c r="C840" s="123"/>
      <c r="D840" s="123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27"/>
      <c r="AJ840" s="29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25">
        <v>45686</v>
      </c>
      <c r="AU840" s="15" t="s">
        <v>148</v>
      </c>
      <c r="AZ840" s="117"/>
      <c r="BA840" s="123"/>
      <c r="BB840" s="123"/>
      <c r="BC840" s="123"/>
      <c r="BH840" s="115"/>
      <c r="BI840" s="115"/>
      <c r="BJ840" s="115"/>
      <c r="BK840" s="115"/>
      <c r="BL840" s="115"/>
      <c r="BM840" s="115"/>
      <c r="BN840" s="115"/>
      <c r="BO840" s="115"/>
      <c r="BP840" s="115"/>
      <c r="BQ840" s="115"/>
      <c r="BR840" s="13"/>
      <c r="BS840" s="13"/>
      <c r="BV840" s="114"/>
    </row>
    <row r="841" spans="1:74" ht="19.5" x14ac:dyDescent="0.4">
      <c r="A841" s="117"/>
      <c r="B841" s="123"/>
      <c r="C841" s="123"/>
      <c r="D841" s="123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27"/>
      <c r="AJ841" s="29"/>
      <c r="AK841" s="115"/>
      <c r="AL841" s="115"/>
      <c r="AM841" s="115"/>
      <c r="AN841" s="115"/>
      <c r="AO841" s="115"/>
      <c r="AP841" s="115"/>
      <c r="AQ841" s="115"/>
      <c r="AR841" s="115"/>
      <c r="AS841" s="115"/>
      <c r="AT841" s="25">
        <v>45686</v>
      </c>
      <c r="AU841" s="15" t="s">
        <v>148</v>
      </c>
      <c r="AZ841" s="117"/>
      <c r="BA841" s="123"/>
      <c r="BB841" s="123"/>
      <c r="BC841" s="123"/>
      <c r="BH841" s="115"/>
      <c r="BI841" s="115"/>
      <c r="BJ841" s="115"/>
      <c r="BK841" s="115"/>
      <c r="BL841" s="115"/>
      <c r="BM841" s="115"/>
      <c r="BN841" s="115"/>
      <c r="BO841" s="115"/>
      <c r="BP841" s="115"/>
      <c r="BQ841" s="115"/>
      <c r="BR841" s="13"/>
      <c r="BS841" s="13"/>
      <c r="BV841" s="114"/>
    </row>
    <row r="842" spans="1:74" ht="19.5" x14ac:dyDescent="0.4">
      <c r="A842" s="117"/>
      <c r="B842" s="123"/>
      <c r="C842" s="123"/>
      <c r="D842" s="123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27"/>
      <c r="AJ842" s="29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25">
        <v>45686</v>
      </c>
      <c r="AU842" s="15" t="s">
        <v>148</v>
      </c>
      <c r="AZ842" s="117"/>
      <c r="BA842" s="123"/>
      <c r="BB842" s="123"/>
      <c r="BC842" s="123"/>
      <c r="BH842" s="115"/>
      <c r="BI842" s="115"/>
      <c r="BJ842" s="115"/>
      <c r="BK842" s="115"/>
      <c r="BL842" s="115"/>
      <c r="BM842" s="115"/>
      <c r="BN842" s="115"/>
      <c r="BO842" s="115"/>
      <c r="BP842" s="115"/>
      <c r="BQ842" s="115"/>
      <c r="BR842" s="13"/>
      <c r="BS842" s="13"/>
      <c r="BV842" s="114"/>
    </row>
    <row r="843" spans="1:74" ht="19.5" x14ac:dyDescent="0.4">
      <c r="A843" s="117"/>
      <c r="B843" s="123"/>
      <c r="C843" s="123"/>
      <c r="D843" s="123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27"/>
      <c r="AJ843" s="29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5">
        <v>45686</v>
      </c>
      <c r="AU843" s="15" t="s">
        <v>146</v>
      </c>
      <c r="AZ843" s="117"/>
      <c r="BA843" s="123"/>
      <c r="BB843" s="123"/>
      <c r="BC843" s="123"/>
      <c r="BH843" s="115"/>
      <c r="BI843" s="115"/>
      <c r="BJ843" s="115"/>
      <c r="BK843" s="115"/>
      <c r="BL843" s="115"/>
      <c r="BM843" s="115"/>
      <c r="BN843" s="115"/>
      <c r="BO843" s="115"/>
      <c r="BP843" s="115"/>
      <c r="BQ843" s="115"/>
      <c r="BR843" s="13"/>
      <c r="BS843" s="13"/>
      <c r="BV843" s="114"/>
    </row>
    <row r="844" spans="1:74" ht="19.5" x14ac:dyDescent="0.4">
      <c r="A844" s="117"/>
      <c r="B844" s="123"/>
      <c r="C844" s="123"/>
      <c r="D844" s="123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  <c r="AD844" s="115"/>
      <c r="AE844" s="115"/>
      <c r="AF844" s="115"/>
      <c r="AG844" s="115"/>
      <c r="AH844" s="115"/>
      <c r="AI844" s="127"/>
      <c r="AJ844" s="29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25">
        <v>45686</v>
      </c>
      <c r="AU844" s="15" t="s">
        <v>148</v>
      </c>
      <c r="AZ844" s="117"/>
      <c r="BA844" s="123"/>
      <c r="BB844" s="123"/>
      <c r="BC844" s="123"/>
      <c r="BH844" s="115"/>
      <c r="BI844" s="115"/>
      <c r="BJ844" s="115"/>
      <c r="BK844" s="115"/>
      <c r="BL844" s="115"/>
      <c r="BM844" s="115"/>
      <c r="BN844" s="115"/>
      <c r="BO844" s="115"/>
      <c r="BP844" s="115"/>
      <c r="BQ844" s="115"/>
      <c r="BR844" s="13"/>
      <c r="BS844" s="13"/>
      <c r="BV844" s="114"/>
    </row>
    <row r="845" spans="1:74" ht="19.5" x14ac:dyDescent="0.4">
      <c r="A845" s="117"/>
      <c r="B845" s="123"/>
      <c r="C845" s="123"/>
      <c r="D845" s="123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27"/>
      <c r="AJ845" s="29"/>
      <c r="AK845" s="115"/>
      <c r="AL845" s="115"/>
      <c r="AM845" s="115"/>
      <c r="AN845" s="115"/>
      <c r="AO845" s="115"/>
      <c r="AP845" s="115"/>
      <c r="AQ845" s="115"/>
      <c r="AR845" s="115"/>
      <c r="AS845" s="115"/>
      <c r="AT845" s="25">
        <v>45689</v>
      </c>
      <c r="AU845" s="15" t="s">
        <v>147</v>
      </c>
      <c r="AZ845" s="117"/>
      <c r="BA845" s="123"/>
      <c r="BB845" s="123"/>
      <c r="BC845" s="123"/>
      <c r="BH845" s="115"/>
      <c r="BI845" s="115"/>
      <c r="BJ845" s="115"/>
      <c r="BK845" s="115"/>
      <c r="BL845" s="115"/>
      <c r="BM845" s="115"/>
      <c r="BN845" s="115"/>
      <c r="BO845" s="115"/>
      <c r="BP845" s="115"/>
      <c r="BQ845" s="115"/>
      <c r="BR845" s="13"/>
      <c r="BS845" s="13"/>
      <c r="BV845" s="114"/>
    </row>
    <row r="846" spans="1:74" ht="19.5" x14ac:dyDescent="0.4">
      <c r="A846" s="117"/>
      <c r="B846" s="123"/>
      <c r="C846" s="123"/>
      <c r="D846" s="123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  <c r="AD846" s="115"/>
      <c r="AE846" s="115"/>
      <c r="AF846" s="115"/>
      <c r="AG846" s="115"/>
      <c r="AH846" s="115"/>
      <c r="AI846" s="127"/>
      <c r="AJ846" s="29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25"/>
      <c r="AU846" s="15"/>
      <c r="AZ846" s="117"/>
      <c r="BA846" s="123"/>
      <c r="BB846" s="123"/>
      <c r="BC846" s="123"/>
      <c r="BH846" s="115"/>
      <c r="BI846" s="115"/>
      <c r="BJ846" s="115"/>
      <c r="BK846" s="115"/>
      <c r="BL846" s="115"/>
      <c r="BM846" s="115"/>
      <c r="BN846" s="115"/>
      <c r="BO846" s="115"/>
      <c r="BP846" s="115"/>
      <c r="BQ846" s="115"/>
      <c r="BR846" s="13"/>
      <c r="BS846" s="13"/>
      <c r="BV846" s="114"/>
    </row>
    <row r="847" spans="1:74" ht="19.5" x14ac:dyDescent="0.4">
      <c r="A847" s="117"/>
      <c r="B847" s="123"/>
      <c r="C847" s="123"/>
      <c r="D847" s="123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27"/>
      <c r="AJ847" s="29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25">
        <v>45689</v>
      </c>
      <c r="AU847" s="15" t="s">
        <v>147</v>
      </c>
      <c r="AZ847" s="117"/>
      <c r="BA847" s="123"/>
      <c r="BB847" s="123"/>
      <c r="BC847" s="123"/>
      <c r="BH847" s="115"/>
      <c r="BI847" s="115"/>
      <c r="BJ847" s="115"/>
      <c r="BK847" s="115"/>
      <c r="BL847" s="115"/>
      <c r="BM847" s="115"/>
      <c r="BN847" s="115"/>
      <c r="BO847" s="115"/>
      <c r="BP847" s="115"/>
      <c r="BQ847" s="115"/>
      <c r="BR847" s="13"/>
      <c r="BS847" s="13"/>
      <c r="BV847" s="114"/>
    </row>
    <row r="848" spans="1:74" ht="19.5" x14ac:dyDescent="0.4">
      <c r="A848" s="117"/>
      <c r="B848" s="123"/>
      <c r="C848" s="123"/>
      <c r="D848" s="123"/>
      <c r="AI848" s="127"/>
      <c r="AJ848" s="29"/>
      <c r="AT848" s="25">
        <v>45689</v>
      </c>
      <c r="AU848" s="15" t="s">
        <v>146</v>
      </c>
      <c r="AZ848" s="117"/>
      <c r="BA848" s="123"/>
      <c r="BB848" s="123"/>
      <c r="BC848" s="123"/>
      <c r="BE848" s="115"/>
      <c r="BF848" s="115"/>
      <c r="BG848" s="115"/>
      <c r="BH848" s="115"/>
      <c r="BI848" s="115"/>
      <c r="BJ848" s="115"/>
      <c r="BK848" s="115"/>
      <c r="BL848" s="115"/>
      <c r="BM848" s="115"/>
      <c r="BN848" s="115"/>
      <c r="BO848" s="115"/>
      <c r="BP848" s="115"/>
      <c r="BQ848" s="115"/>
      <c r="BR848" s="25">
        <v>45266</v>
      </c>
      <c r="BS848" s="25" t="s">
        <v>162</v>
      </c>
      <c r="BV848" s="114"/>
    </row>
    <row r="849" spans="1:74" ht="19.5" x14ac:dyDescent="0.4">
      <c r="A849" s="117"/>
      <c r="B849" s="123"/>
      <c r="C849" s="123"/>
      <c r="D849" s="123"/>
      <c r="AI849" s="128"/>
      <c r="AJ849" s="29"/>
      <c r="AT849" s="25"/>
      <c r="AU849" s="15"/>
      <c r="AZ849" s="117"/>
      <c r="BA849" s="123"/>
      <c r="BB849" s="123"/>
      <c r="BC849" s="123"/>
      <c r="BE849" s="115"/>
      <c r="BF849" s="115"/>
      <c r="BG849" s="115"/>
      <c r="BH849" s="115"/>
      <c r="BI849" s="115"/>
      <c r="BJ849" s="115"/>
      <c r="BK849" s="115"/>
      <c r="BL849" s="115"/>
      <c r="BM849" s="115"/>
      <c r="BN849" s="115"/>
      <c r="BO849" s="115"/>
      <c r="BP849" s="115"/>
      <c r="BQ849" s="115"/>
      <c r="BR849" s="25"/>
      <c r="BS849" s="25"/>
      <c r="BV849" s="114"/>
    </row>
    <row r="850" spans="1:74" ht="19.5" x14ac:dyDescent="0.4">
      <c r="A850" s="117"/>
      <c r="B850" s="123"/>
      <c r="C850" s="123"/>
      <c r="D850" s="123"/>
      <c r="AI850" s="127"/>
      <c r="AJ850" s="29"/>
      <c r="AK850" s="115"/>
      <c r="AL850" s="115"/>
      <c r="AM850" s="115"/>
      <c r="AN850" s="115"/>
      <c r="AO850" s="115"/>
      <c r="AP850" s="115"/>
      <c r="AQ850" s="115"/>
      <c r="AR850" s="115"/>
      <c r="AS850" s="115"/>
      <c r="AT850" s="25">
        <v>45689</v>
      </c>
      <c r="AU850" s="15" t="s">
        <v>146</v>
      </c>
      <c r="AZ850" s="117"/>
      <c r="BA850" s="123"/>
      <c r="BB850" s="123"/>
      <c r="BC850" s="123"/>
      <c r="BE850" s="115"/>
      <c r="BF850" s="115"/>
      <c r="BG850" s="115"/>
      <c r="BH850" s="115"/>
      <c r="BI850" s="115"/>
      <c r="BJ850" s="115"/>
      <c r="BK850" s="115"/>
      <c r="BL850" s="115"/>
      <c r="BM850" s="115"/>
      <c r="BN850" s="115"/>
      <c r="BO850" s="115"/>
      <c r="BP850" s="115"/>
      <c r="BQ850" s="115"/>
      <c r="BR850" s="25"/>
      <c r="BS850" s="25"/>
      <c r="BV850" s="114"/>
    </row>
    <row r="851" spans="1:74" ht="19.5" x14ac:dyDescent="0.4">
      <c r="A851" s="117"/>
      <c r="B851" s="123"/>
      <c r="C851" s="123"/>
      <c r="D851" s="123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27"/>
      <c r="AJ851" s="29"/>
      <c r="AK851" s="115"/>
      <c r="AL851" s="115"/>
      <c r="AM851" s="115"/>
      <c r="AN851" s="115"/>
      <c r="AO851" s="115"/>
      <c r="AP851" s="115"/>
      <c r="AQ851" s="115"/>
      <c r="AR851" s="115"/>
      <c r="AS851" s="115"/>
      <c r="AT851" s="25"/>
      <c r="AU851" s="15"/>
      <c r="AZ851" s="117"/>
      <c r="BA851" s="123"/>
      <c r="BB851" s="123"/>
      <c r="BC851" s="123"/>
      <c r="BE851" s="115"/>
      <c r="BF851" s="115"/>
      <c r="BG851" s="115"/>
      <c r="BH851" s="115"/>
      <c r="BI851" s="115"/>
      <c r="BJ851" s="115"/>
      <c r="BK851" s="115"/>
      <c r="BL851" s="115"/>
      <c r="BM851" s="115"/>
      <c r="BN851" s="115"/>
      <c r="BO851" s="115"/>
      <c r="BP851" s="115"/>
      <c r="BQ851" s="115"/>
      <c r="BR851" s="25"/>
      <c r="BS851" s="25"/>
      <c r="BV851" s="114"/>
    </row>
    <row r="852" spans="1:74" ht="19.5" x14ac:dyDescent="0.4">
      <c r="A852" s="117"/>
      <c r="B852" s="123"/>
      <c r="C852" s="123"/>
      <c r="D852" s="123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  <c r="AD852" s="115"/>
      <c r="AE852" s="115"/>
      <c r="AF852" s="115"/>
      <c r="AG852" s="115"/>
      <c r="AH852" s="115"/>
      <c r="AI852" s="127"/>
      <c r="AJ852" s="29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25"/>
      <c r="AU852" s="15"/>
      <c r="AZ852" s="117"/>
      <c r="BA852" s="123"/>
      <c r="BB852" s="123"/>
      <c r="BC852" s="123"/>
      <c r="BE852" s="115"/>
      <c r="BF852" s="115"/>
      <c r="BG852" s="115"/>
      <c r="BH852" s="115"/>
      <c r="BI852" s="115"/>
      <c r="BJ852" s="115"/>
      <c r="BK852" s="115"/>
      <c r="BL852" s="115"/>
      <c r="BM852" s="115"/>
      <c r="BN852" s="115"/>
      <c r="BO852" s="115"/>
      <c r="BP852" s="115"/>
      <c r="BQ852" s="115"/>
      <c r="BR852" s="25"/>
      <c r="BS852" s="25"/>
      <c r="BV852" s="114"/>
    </row>
    <row r="853" spans="1:74" ht="19.5" x14ac:dyDescent="0.4">
      <c r="A853" s="117"/>
      <c r="B853" s="123"/>
      <c r="C853" s="123"/>
      <c r="D853" s="123"/>
      <c r="AI853" s="127"/>
      <c r="AJ853" s="29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5">
        <v>45690</v>
      </c>
      <c r="AU853" s="15" t="s">
        <v>146</v>
      </c>
      <c r="AZ853" s="117"/>
      <c r="BA853" s="123"/>
      <c r="BB853" s="123"/>
      <c r="BC853" s="123"/>
      <c r="BE853" s="115"/>
      <c r="BF853" s="115"/>
      <c r="BG853" s="115"/>
      <c r="BH853" s="115"/>
      <c r="BI853" s="115"/>
      <c r="BJ853" s="115"/>
      <c r="BK853" s="115"/>
      <c r="BL853" s="115"/>
      <c r="BM853" s="115"/>
      <c r="BN853" s="115"/>
      <c r="BO853" s="115"/>
      <c r="BP853" s="115"/>
      <c r="BQ853" s="115"/>
      <c r="BR853" s="25"/>
      <c r="BS853" s="25"/>
      <c r="BV853" s="114"/>
    </row>
    <row r="854" spans="1:74" ht="19.5" x14ac:dyDescent="0.4">
      <c r="A854" s="117"/>
      <c r="B854" s="123"/>
      <c r="C854" s="123"/>
      <c r="D854" s="123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  <c r="AD854" s="115"/>
      <c r="AE854" s="115"/>
      <c r="AF854" s="115"/>
      <c r="AG854" s="115"/>
      <c r="AH854" s="115"/>
      <c r="AI854" s="127"/>
      <c r="AJ854" s="29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25"/>
      <c r="AU854" s="15"/>
      <c r="AZ854" s="117"/>
      <c r="BA854" s="123"/>
      <c r="BB854" s="123"/>
      <c r="BC854" s="123"/>
      <c r="BE854" s="115"/>
      <c r="BF854" s="115"/>
      <c r="BG854" s="115"/>
      <c r="BH854" s="115"/>
      <c r="BI854" s="115"/>
      <c r="BJ854" s="115"/>
      <c r="BK854" s="115"/>
      <c r="BL854" s="115"/>
      <c r="BM854" s="115"/>
      <c r="BN854" s="115"/>
      <c r="BO854" s="115"/>
      <c r="BP854" s="115"/>
      <c r="BQ854" s="115"/>
      <c r="BR854" s="25"/>
      <c r="BS854" s="25"/>
      <c r="BV854" s="114"/>
    </row>
    <row r="855" spans="1:74" ht="19.5" x14ac:dyDescent="0.4">
      <c r="A855" s="117"/>
      <c r="B855" s="123"/>
      <c r="C855" s="123"/>
      <c r="D855" s="123"/>
      <c r="AI855" s="127"/>
      <c r="AJ855" s="29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25">
        <v>45691</v>
      </c>
      <c r="AU855" s="15" t="s">
        <v>146</v>
      </c>
      <c r="AZ855" s="117"/>
      <c r="BA855" s="123"/>
      <c r="BB855" s="123"/>
      <c r="BC855" s="123"/>
      <c r="BE855" s="115"/>
      <c r="BF855" s="115"/>
      <c r="BG855" s="115"/>
      <c r="BH855" s="115"/>
      <c r="BI855" s="115"/>
      <c r="BJ855" s="115"/>
      <c r="BK855" s="115"/>
      <c r="BL855" s="115"/>
      <c r="BM855" s="115"/>
      <c r="BN855" s="115"/>
      <c r="BO855" s="115"/>
      <c r="BP855" s="115"/>
      <c r="BQ855" s="115"/>
      <c r="BR855" s="25"/>
      <c r="BS855" s="25"/>
      <c r="BV855" s="114"/>
    </row>
    <row r="856" spans="1:74" ht="19.5" x14ac:dyDescent="0.4">
      <c r="A856" s="117"/>
      <c r="B856" s="123"/>
      <c r="C856" s="123"/>
      <c r="D856" s="123"/>
      <c r="AI856" s="127"/>
      <c r="AJ856" s="29"/>
      <c r="AT856" s="25">
        <v>45691</v>
      </c>
      <c r="AU856" s="15" t="s">
        <v>146</v>
      </c>
      <c r="AZ856" s="117"/>
      <c r="BA856" s="123"/>
      <c r="BB856" s="123"/>
      <c r="BC856" s="123"/>
      <c r="BE856" s="115"/>
      <c r="BF856" s="115"/>
      <c r="BG856" s="115"/>
      <c r="BH856" s="115"/>
      <c r="BI856" s="115"/>
      <c r="BJ856" s="115"/>
      <c r="BK856" s="115"/>
      <c r="BL856" s="115"/>
      <c r="BM856" s="115"/>
      <c r="BN856" s="115"/>
      <c r="BO856" s="115"/>
      <c r="BP856" s="115"/>
      <c r="BQ856" s="115" t="s">
        <v>156</v>
      </c>
      <c r="BR856" s="13">
        <f>SUBTOTAL(3,BR848:BR848)</f>
        <v>1</v>
      </c>
      <c r="BS856" s="13">
        <f>SUBTOTAL(3,BS848:BS848)</f>
        <v>1</v>
      </c>
      <c r="BV856" s="114"/>
    </row>
    <row r="857" spans="1:74" ht="19.5" x14ac:dyDescent="0.4">
      <c r="A857" s="117"/>
      <c r="B857" s="123"/>
      <c r="C857" s="123"/>
      <c r="D857" s="123"/>
      <c r="AI857" s="127"/>
      <c r="AJ857" s="29"/>
      <c r="AP857" s="115"/>
      <c r="AQ857" s="115"/>
      <c r="AR857" s="115"/>
      <c r="AS857" s="115"/>
      <c r="AT857" s="25">
        <v>45691</v>
      </c>
      <c r="AU857" s="15" t="s">
        <v>146</v>
      </c>
      <c r="AZ857" s="117"/>
      <c r="BA857" s="123"/>
      <c r="BB857" s="123"/>
      <c r="BC857" s="123"/>
      <c r="BE857" s="115"/>
      <c r="BF857" s="115"/>
      <c r="BG857" s="115"/>
      <c r="BH857" s="115"/>
      <c r="BI857" s="115"/>
      <c r="BJ857" s="115"/>
      <c r="BK857" s="115"/>
      <c r="BL857" s="115"/>
      <c r="BM857" s="115"/>
      <c r="BN857" s="115"/>
      <c r="BO857" s="115"/>
      <c r="BP857" s="115"/>
      <c r="BQ857" s="115"/>
      <c r="BR857" s="13"/>
      <c r="BS857" s="13"/>
      <c r="BV857" s="114"/>
    </row>
    <row r="858" spans="1:74" ht="19.5" x14ac:dyDescent="0.4">
      <c r="A858" s="117"/>
      <c r="B858" s="123"/>
      <c r="C858" s="123"/>
      <c r="D858" s="123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  <c r="AD858" s="115"/>
      <c r="AE858" s="115"/>
      <c r="AF858" s="115"/>
      <c r="AG858" s="115"/>
      <c r="AH858" s="115"/>
      <c r="AI858" s="127"/>
      <c r="AJ858" s="29"/>
      <c r="AP858" s="115"/>
      <c r="AQ858" s="115"/>
      <c r="AR858" s="115"/>
      <c r="AS858" s="115"/>
      <c r="AT858" s="25"/>
      <c r="AU858" s="15"/>
      <c r="AZ858" s="117"/>
      <c r="BA858" s="123"/>
      <c r="BB858" s="123"/>
      <c r="BC858" s="123"/>
      <c r="BE858" s="115"/>
      <c r="BF858" s="115"/>
      <c r="BG858" s="115"/>
      <c r="BH858" s="115"/>
      <c r="BI858" s="115"/>
      <c r="BJ858" s="115"/>
      <c r="BK858" s="115"/>
      <c r="BL858" s="115"/>
      <c r="BM858" s="115"/>
      <c r="BN858" s="115"/>
      <c r="BO858" s="115"/>
      <c r="BP858" s="115"/>
      <c r="BQ858" s="115"/>
      <c r="BR858" s="13"/>
      <c r="BS858" s="13"/>
      <c r="BV858" s="114"/>
    </row>
    <row r="859" spans="1:74" ht="19.5" x14ac:dyDescent="0.4">
      <c r="A859" s="117"/>
      <c r="B859" s="123"/>
      <c r="C859" s="123"/>
      <c r="D859" s="123"/>
      <c r="AI859" s="127"/>
      <c r="AJ859" s="29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25">
        <v>45691</v>
      </c>
      <c r="AU859" s="15" t="s">
        <v>146</v>
      </c>
      <c r="AZ859" s="117"/>
      <c r="BA859" s="123"/>
      <c r="BB859" s="123"/>
      <c r="BC859" s="123"/>
      <c r="BE859" s="115"/>
      <c r="BF859" s="115"/>
      <c r="BG859" s="115"/>
      <c r="BH859" s="115"/>
      <c r="BI859" s="115"/>
      <c r="BJ859" s="115"/>
      <c r="BK859" s="115"/>
      <c r="BL859" s="115"/>
      <c r="BM859" s="115"/>
      <c r="BN859" s="115"/>
      <c r="BO859" s="115"/>
      <c r="BP859" s="115"/>
      <c r="BQ859" s="115"/>
      <c r="BR859" s="13"/>
      <c r="BS859" s="13"/>
      <c r="BV859" s="114"/>
    </row>
    <row r="860" spans="1:74" ht="19.5" x14ac:dyDescent="0.4">
      <c r="A860" s="117"/>
      <c r="B860" s="123"/>
      <c r="C860" s="123"/>
      <c r="D860" s="123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  <c r="AD860" s="115"/>
      <c r="AE860" s="115"/>
      <c r="AF860" s="115"/>
      <c r="AG860" s="115"/>
      <c r="AH860" s="115"/>
      <c r="AI860" s="127"/>
      <c r="AJ860" s="29"/>
      <c r="AK860" s="115"/>
      <c r="AL860" s="115"/>
      <c r="AM860" s="115"/>
      <c r="AN860" s="115"/>
      <c r="AO860" s="115"/>
      <c r="AP860" s="115"/>
      <c r="AQ860" s="115"/>
      <c r="AR860" s="115"/>
      <c r="AS860" s="115"/>
      <c r="AT860" s="25"/>
      <c r="AU860" s="15"/>
      <c r="AZ860" s="117"/>
      <c r="BA860" s="123"/>
      <c r="BB860" s="123"/>
      <c r="BC860" s="123"/>
      <c r="BE860" s="115"/>
      <c r="BF860" s="115"/>
      <c r="BG860" s="115"/>
      <c r="BH860" s="115"/>
      <c r="BI860" s="115"/>
      <c r="BJ860" s="115"/>
      <c r="BK860" s="115"/>
      <c r="BL860" s="115"/>
      <c r="BM860" s="115"/>
      <c r="BN860" s="115"/>
      <c r="BO860" s="115"/>
      <c r="BP860" s="115"/>
      <c r="BQ860" s="115"/>
      <c r="BR860" s="13"/>
      <c r="BS860" s="13"/>
      <c r="BV860" s="114"/>
    </row>
    <row r="861" spans="1:74" ht="19.5" x14ac:dyDescent="0.4">
      <c r="A861" s="117"/>
      <c r="B861" s="123"/>
      <c r="C861" s="123"/>
      <c r="D861" s="123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  <c r="AD861" s="115"/>
      <c r="AE861" s="115"/>
      <c r="AF861" s="115"/>
      <c r="AG861" s="115"/>
      <c r="AH861" s="115"/>
      <c r="AI861" s="127"/>
      <c r="AJ861" s="29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25"/>
      <c r="AU861" s="15"/>
      <c r="AZ861" s="117"/>
      <c r="BA861" s="123"/>
      <c r="BB861" s="123"/>
      <c r="BC861" s="123"/>
      <c r="BE861" s="115"/>
      <c r="BF861" s="115"/>
      <c r="BG861" s="115"/>
      <c r="BH861" s="115"/>
      <c r="BI861" s="115"/>
      <c r="BJ861" s="115"/>
      <c r="BK861" s="115"/>
      <c r="BL861" s="115"/>
      <c r="BM861" s="115"/>
      <c r="BN861" s="115"/>
      <c r="BO861" s="115"/>
      <c r="BP861" s="115"/>
      <c r="BQ861" s="115"/>
      <c r="BR861" s="13"/>
      <c r="BS861" s="13"/>
      <c r="BV861" s="114"/>
    </row>
    <row r="862" spans="1:74" ht="19.5" x14ac:dyDescent="0.4">
      <c r="A862" s="117"/>
      <c r="B862" s="123"/>
      <c r="C862" s="123"/>
      <c r="D862" s="123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27"/>
      <c r="AJ862" s="29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25"/>
      <c r="AU862" s="15"/>
      <c r="AZ862" s="117"/>
      <c r="BA862" s="123"/>
      <c r="BB862" s="123"/>
      <c r="BC862" s="123"/>
      <c r="BE862" s="115"/>
      <c r="BF862" s="115"/>
      <c r="BG862" s="115"/>
      <c r="BH862" s="115"/>
      <c r="BI862" s="115"/>
      <c r="BJ862" s="115"/>
      <c r="BK862" s="115"/>
      <c r="BL862" s="115"/>
      <c r="BM862" s="115"/>
      <c r="BN862" s="115"/>
      <c r="BO862" s="115"/>
      <c r="BP862" s="115"/>
      <c r="BQ862" s="115"/>
      <c r="BR862" s="13"/>
      <c r="BS862" s="13"/>
      <c r="BV862" s="114"/>
    </row>
    <row r="863" spans="1:74" ht="19.5" x14ac:dyDescent="0.4">
      <c r="A863" s="117"/>
      <c r="B863" s="123"/>
      <c r="C863" s="123"/>
      <c r="D863" s="123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  <c r="AD863" s="115"/>
      <c r="AE863" s="115"/>
      <c r="AF863" s="115"/>
      <c r="AG863" s="115"/>
      <c r="AH863" s="115"/>
      <c r="AI863" s="128"/>
      <c r="AJ863" s="29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25"/>
      <c r="AU863" s="15"/>
      <c r="AZ863" s="117"/>
      <c r="BA863" s="123"/>
      <c r="BB863" s="123"/>
      <c r="BC863" s="123"/>
      <c r="BE863" s="115"/>
      <c r="BF863" s="115"/>
      <c r="BG863" s="115"/>
      <c r="BH863" s="115"/>
      <c r="BI863" s="115"/>
      <c r="BJ863" s="115"/>
      <c r="BK863" s="115"/>
      <c r="BL863" s="115"/>
      <c r="BM863" s="115"/>
      <c r="BN863" s="115"/>
      <c r="BO863" s="115"/>
      <c r="BP863" s="115"/>
      <c r="BQ863" s="115"/>
      <c r="BR863" s="13"/>
      <c r="BS863" s="13"/>
      <c r="BV863" s="114"/>
    </row>
    <row r="864" spans="1:74" ht="19.5" x14ac:dyDescent="0.4">
      <c r="A864" s="117"/>
      <c r="B864" s="123"/>
      <c r="C864" s="123"/>
      <c r="D864" s="123"/>
      <c r="AI864" s="127"/>
      <c r="AJ864" s="29"/>
      <c r="AK864" s="115"/>
      <c r="AL864" s="115"/>
      <c r="AM864" s="115"/>
      <c r="AN864" s="115"/>
      <c r="AO864" s="115"/>
      <c r="AP864" s="115"/>
      <c r="AQ864" s="115"/>
      <c r="AR864" s="115"/>
      <c r="AS864" s="115"/>
      <c r="AT864" s="25">
        <v>45692</v>
      </c>
      <c r="AU864" s="15" t="s">
        <v>146</v>
      </c>
      <c r="AZ864" s="117"/>
      <c r="BA864" s="123"/>
      <c r="BB864" s="123"/>
      <c r="BC864" s="123"/>
      <c r="BE864" s="115"/>
      <c r="BF864" s="115"/>
      <c r="BG864" s="115"/>
      <c r="BH864" s="115"/>
      <c r="BI864" s="115"/>
      <c r="BJ864" s="115"/>
      <c r="BK864" s="115"/>
      <c r="BL864" s="115"/>
      <c r="BM864" s="115"/>
      <c r="BN864" s="115"/>
      <c r="BO864" s="115"/>
      <c r="BP864" s="115"/>
      <c r="BQ864" s="115"/>
      <c r="BR864" s="13"/>
      <c r="BS864" s="13"/>
      <c r="BV864" s="114"/>
    </row>
    <row r="865" spans="1:74" ht="19.5" x14ac:dyDescent="0.4">
      <c r="A865" s="117"/>
      <c r="B865" s="123"/>
      <c r="C865" s="123"/>
      <c r="D865" s="123"/>
      <c r="AI865" s="128"/>
      <c r="AJ865" s="29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25"/>
      <c r="AU865" s="15"/>
      <c r="AZ865" s="117"/>
      <c r="BA865" s="123"/>
      <c r="BB865" s="123"/>
      <c r="BC865" s="123"/>
      <c r="BE865" s="115"/>
      <c r="BF865" s="115"/>
      <c r="BG865" s="115"/>
      <c r="BH865" s="115"/>
      <c r="BI865" s="115"/>
      <c r="BJ865" s="115"/>
      <c r="BK865" s="115"/>
      <c r="BL865" s="115"/>
      <c r="BM865" s="115"/>
      <c r="BN865" s="115"/>
      <c r="BO865" s="115"/>
      <c r="BP865" s="115"/>
      <c r="BQ865" s="115"/>
      <c r="BR865" s="13"/>
      <c r="BS865" s="13"/>
      <c r="BV865" s="114"/>
    </row>
    <row r="866" spans="1:74" ht="19.5" x14ac:dyDescent="0.4">
      <c r="A866" s="117"/>
      <c r="B866" s="123"/>
      <c r="C866" s="123"/>
      <c r="D866" s="123"/>
      <c r="AI866" s="127"/>
      <c r="AJ866" s="29"/>
      <c r="AT866" s="25">
        <v>45692</v>
      </c>
      <c r="AU866" s="15" t="s">
        <v>146</v>
      </c>
      <c r="AZ866" s="117"/>
      <c r="BA866" s="123"/>
      <c r="BB866" s="123"/>
      <c r="BC866" s="123"/>
      <c r="BE866" s="115"/>
      <c r="BF866" s="115"/>
      <c r="BG866" s="115"/>
      <c r="BH866" s="115"/>
      <c r="BI866" s="115"/>
      <c r="BJ866" s="115"/>
      <c r="BK866" s="115"/>
      <c r="BL866" s="115"/>
      <c r="BM866" s="115"/>
      <c r="BN866" s="115"/>
      <c r="BO866" s="115"/>
      <c r="BP866" s="115"/>
      <c r="BQ866" s="115"/>
      <c r="BR866" s="25">
        <v>45267</v>
      </c>
      <c r="BS866" s="13" t="s">
        <v>142</v>
      </c>
      <c r="BV866" s="114"/>
    </row>
    <row r="867" spans="1:74" ht="19.5" x14ac:dyDescent="0.4">
      <c r="A867" s="117"/>
      <c r="B867" s="123"/>
      <c r="C867" s="123"/>
      <c r="D867" s="123"/>
      <c r="AI867" s="127"/>
      <c r="AJ867" s="29"/>
      <c r="AP867" s="115"/>
      <c r="AQ867" s="115"/>
      <c r="AR867" s="115"/>
      <c r="AS867" s="115"/>
      <c r="AT867" s="25">
        <v>45692</v>
      </c>
      <c r="AU867" s="15" t="s">
        <v>146</v>
      </c>
      <c r="AZ867" s="117"/>
      <c r="BA867" s="123"/>
      <c r="BB867" s="123"/>
      <c r="BC867" s="123"/>
      <c r="BE867" s="115"/>
      <c r="BF867" s="115"/>
      <c r="BG867" s="115"/>
      <c r="BH867" s="115"/>
      <c r="BI867" s="115"/>
      <c r="BJ867" s="115"/>
      <c r="BK867" s="115"/>
      <c r="BL867" s="115"/>
      <c r="BM867" s="115"/>
      <c r="BN867" s="115"/>
      <c r="BO867" s="115"/>
      <c r="BP867" s="115"/>
      <c r="BQ867" s="115"/>
      <c r="BR867" s="25"/>
      <c r="BS867" s="13"/>
      <c r="BV867" s="114"/>
    </row>
    <row r="868" spans="1:74" ht="19.5" x14ac:dyDescent="0.4">
      <c r="A868" s="117"/>
      <c r="B868" s="123"/>
      <c r="C868" s="123"/>
      <c r="D868" s="123"/>
      <c r="AI868" s="127"/>
      <c r="AJ868" s="29"/>
      <c r="AL868" s="115"/>
      <c r="AM868" s="115"/>
      <c r="AN868" s="115"/>
      <c r="AO868" s="115"/>
      <c r="AP868" s="115"/>
      <c r="AQ868" s="115"/>
      <c r="AR868" s="115"/>
      <c r="AS868" s="115"/>
      <c r="AT868" s="25">
        <v>45692</v>
      </c>
      <c r="AU868" s="15" t="s">
        <v>146</v>
      </c>
      <c r="AZ868" s="117"/>
      <c r="BA868" s="123"/>
      <c r="BB868" s="123"/>
      <c r="BC868" s="123"/>
      <c r="BE868" s="115"/>
      <c r="BF868" s="115"/>
      <c r="BG868" s="115"/>
      <c r="BH868" s="115"/>
      <c r="BI868" s="115"/>
      <c r="BJ868" s="115"/>
      <c r="BK868" s="115"/>
      <c r="BL868" s="115"/>
      <c r="BM868" s="115"/>
      <c r="BN868" s="115"/>
      <c r="BO868" s="115"/>
      <c r="BP868" s="115"/>
      <c r="BQ868" s="115"/>
      <c r="BR868" s="25"/>
      <c r="BS868" s="13"/>
      <c r="BV868" s="114"/>
    </row>
    <row r="869" spans="1:74" ht="19.5" x14ac:dyDescent="0.4">
      <c r="A869" s="117"/>
      <c r="B869" s="123"/>
      <c r="C869" s="123"/>
      <c r="D869" s="123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  <c r="AD869" s="115"/>
      <c r="AE869" s="115"/>
      <c r="AF869" s="115"/>
      <c r="AG869" s="115"/>
      <c r="AH869" s="115"/>
      <c r="AI869" s="127"/>
      <c r="AJ869" s="29"/>
      <c r="AL869" s="115"/>
      <c r="AM869" s="115"/>
      <c r="AN869" s="115"/>
      <c r="AO869" s="115"/>
      <c r="AP869" s="115"/>
      <c r="AQ869" s="115"/>
      <c r="AR869" s="115"/>
      <c r="AS869" s="115"/>
      <c r="AT869" s="25"/>
      <c r="AU869" s="15"/>
      <c r="AZ869" s="117"/>
      <c r="BA869" s="123"/>
      <c r="BB869" s="123"/>
      <c r="BC869" s="123"/>
      <c r="BE869" s="115"/>
      <c r="BF869" s="115"/>
      <c r="BG869" s="115"/>
      <c r="BH869" s="115"/>
      <c r="BI869" s="115"/>
      <c r="BJ869" s="115"/>
      <c r="BK869" s="115"/>
      <c r="BL869" s="115"/>
      <c r="BM869" s="115"/>
      <c r="BN869" s="115"/>
      <c r="BO869" s="115"/>
      <c r="BP869" s="115"/>
      <c r="BQ869" s="115"/>
      <c r="BR869" s="25"/>
      <c r="BS869" s="13"/>
      <c r="BV869" s="114"/>
    </row>
    <row r="870" spans="1:74" ht="19.5" x14ac:dyDescent="0.4">
      <c r="A870" s="117"/>
      <c r="B870" s="123"/>
      <c r="C870" s="123"/>
      <c r="D870" s="123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  <c r="AD870" s="115"/>
      <c r="AE870" s="115"/>
      <c r="AF870" s="115"/>
      <c r="AG870" s="115"/>
      <c r="AH870" s="115"/>
      <c r="AI870" s="128"/>
      <c r="AJ870" s="29"/>
      <c r="AL870" s="115"/>
      <c r="AM870" s="115"/>
      <c r="AN870" s="115"/>
      <c r="AO870" s="115"/>
      <c r="AP870" s="115"/>
      <c r="AQ870" s="115"/>
      <c r="AR870" s="115"/>
      <c r="AS870" s="115"/>
      <c r="AT870" s="25"/>
      <c r="AU870" s="15"/>
      <c r="AZ870" s="117"/>
      <c r="BA870" s="123"/>
      <c r="BB870" s="123"/>
      <c r="BC870" s="123"/>
      <c r="BE870" s="115"/>
      <c r="BF870" s="115"/>
      <c r="BG870" s="115"/>
      <c r="BH870" s="115"/>
      <c r="BI870" s="115"/>
      <c r="BJ870" s="115"/>
      <c r="BK870" s="115"/>
      <c r="BL870" s="115"/>
      <c r="BM870" s="115"/>
      <c r="BN870" s="115"/>
      <c r="BO870" s="115"/>
      <c r="BP870" s="115"/>
      <c r="BQ870" s="115"/>
      <c r="BR870" s="25"/>
      <c r="BS870" s="13"/>
      <c r="BV870" s="114"/>
    </row>
    <row r="871" spans="1:74" ht="19.5" x14ac:dyDescent="0.4">
      <c r="A871" s="117"/>
      <c r="B871" s="123"/>
      <c r="C871" s="123"/>
      <c r="D871" s="123"/>
      <c r="AI871" s="127"/>
      <c r="AJ871" s="29"/>
      <c r="AK871" s="115"/>
      <c r="AL871" s="115"/>
      <c r="AM871" s="115"/>
      <c r="AN871" s="115"/>
      <c r="AO871" s="115"/>
      <c r="AP871" s="115"/>
      <c r="AQ871" s="115"/>
      <c r="AR871" s="115"/>
      <c r="AS871" s="115"/>
      <c r="AT871" s="25">
        <v>45693</v>
      </c>
      <c r="AU871" s="15" t="s">
        <v>146</v>
      </c>
      <c r="AZ871" s="117"/>
      <c r="BA871" s="123"/>
      <c r="BB871" s="123"/>
      <c r="BC871" s="123"/>
      <c r="BE871" s="115"/>
      <c r="BF871" s="115"/>
      <c r="BG871" s="115"/>
      <c r="BH871" s="115"/>
      <c r="BI871" s="115"/>
      <c r="BJ871" s="115"/>
      <c r="BK871" s="115"/>
      <c r="BL871" s="115"/>
      <c r="BM871" s="115"/>
      <c r="BN871" s="115"/>
      <c r="BO871" s="115"/>
      <c r="BP871" s="115"/>
      <c r="BQ871" s="115"/>
      <c r="BR871" s="25"/>
      <c r="BS871" s="13"/>
      <c r="BV871" s="114"/>
    </row>
    <row r="872" spans="1:74" ht="19.5" x14ac:dyDescent="0.4">
      <c r="A872" s="117"/>
      <c r="B872" s="123"/>
      <c r="C872" s="123"/>
      <c r="D872" s="123"/>
      <c r="AI872" s="128"/>
      <c r="AJ872" s="29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25"/>
      <c r="AU872" s="15"/>
      <c r="AZ872" s="117"/>
      <c r="BA872" s="123"/>
      <c r="BB872" s="123"/>
      <c r="BC872" s="123"/>
      <c r="BE872" s="115"/>
      <c r="BF872" s="115"/>
      <c r="BG872" s="115"/>
      <c r="BH872" s="115"/>
      <c r="BI872" s="115"/>
      <c r="BJ872" s="115"/>
      <c r="BK872" s="115"/>
      <c r="BL872" s="115"/>
      <c r="BM872" s="115"/>
      <c r="BN872" s="115"/>
      <c r="BO872" s="115"/>
      <c r="BP872" s="115"/>
      <c r="BQ872" s="115"/>
      <c r="BR872" s="25"/>
      <c r="BS872" s="13"/>
      <c r="BV872" s="114"/>
    </row>
    <row r="873" spans="1:74" ht="19.5" x14ac:dyDescent="0.4">
      <c r="A873" s="117"/>
      <c r="B873" s="123"/>
      <c r="C873" s="123"/>
      <c r="D873" s="123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27"/>
      <c r="AJ873" s="29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5"/>
      <c r="AU873" s="15"/>
      <c r="AZ873" s="117"/>
      <c r="BA873" s="123"/>
      <c r="BB873" s="123"/>
      <c r="BC873" s="123"/>
      <c r="BE873" s="115"/>
      <c r="BF873" s="115"/>
      <c r="BG873" s="115"/>
      <c r="BH873" s="115"/>
      <c r="BI873" s="115"/>
      <c r="BJ873" s="115"/>
      <c r="BK873" s="115"/>
      <c r="BL873" s="115"/>
      <c r="BM873" s="115"/>
      <c r="BN873" s="115"/>
      <c r="BO873" s="115"/>
      <c r="BP873" s="115"/>
      <c r="BQ873" s="115"/>
      <c r="BR873" s="25"/>
      <c r="BS873" s="13"/>
      <c r="BV873" s="114"/>
    </row>
    <row r="874" spans="1:74" ht="19.5" x14ac:dyDescent="0.4">
      <c r="A874" s="117"/>
      <c r="B874" s="123"/>
      <c r="C874" s="123"/>
      <c r="D874" s="123"/>
      <c r="AI874" s="127"/>
      <c r="AJ874" s="29"/>
      <c r="AT874" s="25">
        <v>45693</v>
      </c>
      <c r="AU874" s="15" t="s">
        <v>146</v>
      </c>
      <c r="AZ874" s="117"/>
      <c r="BA874" s="123"/>
      <c r="BB874" s="123"/>
      <c r="BC874" s="123"/>
      <c r="BE874" s="115"/>
      <c r="BF874" s="115"/>
      <c r="BG874" s="115"/>
      <c r="BH874" s="115"/>
      <c r="BI874" s="115"/>
      <c r="BJ874" s="115"/>
      <c r="BK874" s="115"/>
      <c r="BL874" s="115"/>
      <c r="BM874" s="115"/>
      <c r="BN874" s="115"/>
      <c r="BO874" s="115"/>
      <c r="BP874" s="115"/>
      <c r="BQ874" s="115" t="s">
        <v>157</v>
      </c>
      <c r="BR874" s="13">
        <f>SUBTOTAL(3,BR866:BR866)</f>
        <v>1</v>
      </c>
      <c r="BS874" s="13">
        <f>SUBTOTAL(3,BS866:BS866)</f>
        <v>1</v>
      </c>
      <c r="BV874" s="114"/>
    </row>
    <row r="875" spans="1:74" ht="19.5" x14ac:dyDescent="0.4">
      <c r="A875" s="117"/>
      <c r="B875" s="123"/>
      <c r="C875" s="123"/>
      <c r="D875" s="123"/>
      <c r="AI875" s="127"/>
      <c r="AJ875" s="29"/>
      <c r="AL875" s="115"/>
      <c r="AM875" s="115"/>
      <c r="AN875" s="115"/>
      <c r="AO875" s="115"/>
      <c r="AP875" s="115"/>
      <c r="AQ875" s="115"/>
      <c r="AR875" s="115"/>
      <c r="AS875" s="115"/>
      <c r="AT875" s="25">
        <v>45693</v>
      </c>
      <c r="AU875" s="15" t="s">
        <v>146</v>
      </c>
      <c r="AZ875" s="117"/>
      <c r="BA875" s="123"/>
      <c r="BB875" s="123"/>
      <c r="BC875" s="123"/>
      <c r="BE875" s="115"/>
      <c r="BF875" s="115"/>
      <c r="BG875" s="115"/>
      <c r="BH875" s="115"/>
      <c r="BI875" s="115"/>
      <c r="BJ875" s="115"/>
      <c r="BK875" s="115"/>
      <c r="BL875" s="115"/>
      <c r="BM875" s="115"/>
      <c r="BN875" s="115"/>
      <c r="BO875" s="115"/>
      <c r="BP875" s="115"/>
      <c r="BQ875" s="115"/>
      <c r="BR875" s="13"/>
      <c r="BS875" s="13"/>
      <c r="BV875" s="114"/>
    </row>
    <row r="876" spans="1:74" ht="19.5" x14ac:dyDescent="0.4">
      <c r="A876" s="117"/>
      <c r="B876" s="123"/>
      <c r="C876" s="123"/>
      <c r="D876" s="123"/>
      <c r="AI876" s="128"/>
      <c r="AJ876" s="29"/>
      <c r="AL876" s="115"/>
      <c r="AM876" s="115"/>
      <c r="AN876" s="115"/>
      <c r="AO876" s="115"/>
      <c r="AP876" s="115"/>
      <c r="AQ876" s="115"/>
      <c r="AR876" s="115"/>
      <c r="AS876" s="115"/>
      <c r="AT876" s="25"/>
      <c r="AU876" s="15"/>
      <c r="AZ876" s="117"/>
      <c r="BA876" s="123"/>
      <c r="BB876" s="123"/>
      <c r="BC876" s="123"/>
      <c r="BE876" s="115"/>
      <c r="BF876" s="115"/>
      <c r="BG876" s="115"/>
      <c r="BH876" s="115"/>
      <c r="BI876" s="115"/>
      <c r="BJ876" s="115"/>
      <c r="BK876" s="115"/>
      <c r="BL876" s="115"/>
      <c r="BM876" s="115"/>
      <c r="BN876" s="115"/>
      <c r="BO876" s="115"/>
      <c r="BP876" s="115"/>
      <c r="BQ876" s="115"/>
      <c r="BR876" s="13"/>
      <c r="BS876" s="13"/>
      <c r="BV876" s="114"/>
    </row>
    <row r="877" spans="1:74" ht="19.5" x14ac:dyDescent="0.4">
      <c r="A877" s="117"/>
      <c r="B877" s="123"/>
      <c r="C877" s="123"/>
      <c r="D877" s="123"/>
      <c r="AI877" s="128"/>
      <c r="AJ877" s="29"/>
      <c r="AL877" s="115"/>
      <c r="AM877" s="115"/>
      <c r="AN877" s="115"/>
      <c r="AO877" s="115"/>
      <c r="AP877" s="115"/>
      <c r="AQ877" s="115"/>
      <c r="AR877" s="115"/>
      <c r="AS877" s="115"/>
      <c r="AT877" s="25"/>
      <c r="AU877" s="15"/>
      <c r="AZ877" s="117"/>
      <c r="BA877" s="123"/>
      <c r="BB877" s="123"/>
      <c r="BC877" s="123"/>
      <c r="BE877" s="115"/>
      <c r="BF877" s="115"/>
      <c r="BG877" s="115"/>
      <c r="BH877" s="115"/>
      <c r="BI877" s="115"/>
      <c r="BJ877" s="115"/>
      <c r="BK877" s="115"/>
      <c r="BL877" s="115"/>
      <c r="BM877" s="115"/>
      <c r="BN877" s="115"/>
      <c r="BO877" s="115"/>
      <c r="BP877" s="115"/>
      <c r="BQ877" s="115"/>
      <c r="BR877" s="13"/>
      <c r="BS877" s="13"/>
      <c r="BV877" s="114"/>
    </row>
    <row r="878" spans="1:74" ht="19.5" x14ac:dyDescent="0.4">
      <c r="A878" s="117"/>
      <c r="B878" s="123"/>
      <c r="C878" s="123"/>
      <c r="D878" s="123"/>
      <c r="AI878" s="127"/>
      <c r="AJ878" s="29"/>
      <c r="AL878" s="115"/>
      <c r="AM878" s="115"/>
      <c r="AN878" s="115"/>
      <c r="AO878" s="115"/>
      <c r="AP878" s="115"/>
      <c r="AQ878" s="115"/>
      <c r="AR878" s="115"/>
      <c r="AS878" s="115"/>
      <c r="AT878" s="25">
        <v>45694</v>
      </c>
      <c r="AU878" s="15" t="s">
        <v>147</v>
      </c>
      <c r="AZ878" s="117"/>
      <c r="BA878" s="123"/>
      <c r="BB878" s="123"/>
      <c r="BC878" s="123"/>
      <c r="BE878" s="115"/>
      <c r="BF878" s="115"/>
      <c r="BG878" s="115"/>
      <c r="BH878" s="115"/>
      <c r="BI878" s="115"/>
      <c r="BJ878" s="115"/>
      <c r="BK878" s="115"/>
      <c r="BL878" s="115"/>
      <c r="BM878" s="115"/>
      <c r="BN878" s="115"/>
      <c r="BO878" s="115"/>
      <c r="BP878" s="115"/>
      <c r="BQ878" s="115"/>
      <c r="BR878" s="13"/>
      <c r="BS878" s="13"/>
      <c r="BV878" s="114"/>
    </row>
    <row r="879" spans="1:74" ht="19.5" x14ac:dyDescent="0.4">
      <c r="A879" s="117"/>
      <c r="B879" s="123"/>
      <c r="C879" s="123"/>
      <c r="D879" s="123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  <c r="AD879" s="115"/>
      <c r="AE879" s="115"/>
      <c r="AF879" s="115"/>
      <c r="AG879" s="115"/>
      <c r="AH879" s="115"/>
      <c r="AI879" s="29"/>
      <c r="AJ879" s="29"/>
      <c r="AL879" s="115"/>
      <c r="AM879" s="115"/>
      <c r="AN879" s="115"/>
      <c r="AO879" s="115"/>
      <c r="AP879" s="115"/>
      <c r="AQ879" s="115"/>
      <c r="AR879" s="115"/>
      <c r="AS879" s="115"/>
      <c r="AT879" s="25"/>
      <c r="AU879" s="15"/>
      <c r="AZ879" s="117"/>
      <c r="BA879" s="123"/>
      <c r="BB879" s="123"/>
      <c r="BC879" s="123"/>
      <c r="BE879" s="115"/>
      <c r="BF879" s="115"/>
      <c r="BG879" s="115"/>
      <c r="BH879" s="115"/>
      <c r="BI879" s="115"/>
      <c r="BJ879" s="115"/>
      <c r="BK879" s="115"/>
      <c r="BL879" s="115"/>
      <c r="BM879" s="115"/>
      <c r="BN879" s="115"/>
      <c r="BO879" s="115"/>
      <c r="BP879" s="115"/>
      <c r="BQ879" s="115"/>
      <c r="BR879" s="13"/>
      <c r="BS879" s="13"/>
      <c r="BV879" s="114"/>
    </row>
    <row r="880" spans="1:74" ht="19.5" x14ac:dyDescent="0.4">
      <c r="A880" s="117"/>
      <c r="B880" s="123"/>
      <c r="C880" s="123"/>
      <c r="D880" s="123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  <c r="AD880" s="115"/>
      <c r="AE880" s="115"/>
      <c r="AF880" s="115"/>
      <c r="AG880" s="115"/>
      <c r="AH880" s="115"/>
      <c r="AI880" s="29"/>
      <c r="AJ880" s="29"/>
      <c r="AL880" s="115"/>
      <c r="AM880" s="115"/>
      <c r="AN880" s="115"/>
      <c r="AO880" s="115"/>
      <c r="AP880" s="115"/>
      <c r="AQ880" s="115"/>
      <c r="AR880" s="115"/>
      <c r="AS880" s="115"/>
      <c r="AT880" s="25"/>
      <c r="AU880" s="15"/>
      <c r="AZ880" s="117"/>
      <c r="BA880" s="123"/>
      <c r="BB880" s="123"/>
      <c r="BC880" s="123"/>
      <c r="BE880" s="115"/>
      <c r="BF880" s="115"/>
      <c r="BG880" s="115"/>
      <c r="BH880" s="115"/>
      <c r="BI880" s="115"/>
      <c r="BJ880" s="115"/>
      <c r="BK880" s="115"/>
      <c r="BL880" s="115"/>
      <c r="BM880" s="115"/>
      <c r="BN880" s="115"/>
      <c r="BO880" s="115"/>
      <c r="BP880" s="115"/>
      <c r="BQ880" s="115"/>
      <c r="BR880" s="13"/>
      <c r="BS880" s="13"/>
      <c r="BV880" s="114"/>
    </row>
    <row r="881" spans="1:74" ht="19.5" x14ac:dyDescent="0.4">
      <c r="A881" s="117"/>
      <c r="B881" s="123"/>
      <c r="C881" s="123"/>
      <c r="D881" s="123"/>
      <c r="AI881" s="127"/>
      <c r="AJ881" s="29"/>
      <c r="AL881" s="115"/>
      <c r="AM881" s="115"/>
      <c r="AN881" s="115"/>
      <c r="AO881" s="115"/>
      <c r="AP881" s="115"/>
      <c r="AQ881" s="115"/>
      <c r="AR881" s="115"/>
      <c r="AS881" s="115"/>
      <c r="AT881" s="25">
        <v>45694</v>
      </c>
      <c r="AU881" s="105" t="s">
        <v>147</v>
      </c>
      <c r="AZ881" s="117"/>
      <c r="BA881" s="123"/>
      <c r="BB881" s="123"/>
      <c r="BC881" s="123"/>
      <c r="BE881" s="115"/>
      <c r="BF881" s="115"/>
      <c r="BG881" s="115"/>
      <c r="BH881" s="115"/>
      <c r="BI881" s="115"/>
      <c r="BJ881" s="115"/>
      <c r="BK881" s="115"/>
      <c r="BL881" s="115"/>
      <c r="BM881" s="115"/>
      <c r="BN881" s="115"/>
      <c r="BO881" s="115"/>
      <c r="BP881" s="115"/>
      <c r="BQ881" s="115"/>
      <c r="BR881" s="13"/>
      <c r="BS881" s="13"/>
      <c r="BV881" s="114"/>
    </row>
    <row r="882" spans="1:74" ht="19.5" x14ac:dyDescent="0.4">
      <c r="A882" s="117"/>
      <c r="B882" s="123"/>
      <c r="C882" s="123"/>
      <c r="D882" s="123"/>
      <c r="AI882" s="127"/>
      <c r="AJ882" s="29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25">
        <v>45694</v>
      </c>
      <c r="AU882" s="15" t="s">
        <v>147</v>
      </c>
      <c r="AZ882" s="117"/>
      <c r="BA882" s="123"/>
      <c r="BB882" s="123"/>
      <c r="BC882" s="123"/>
      <c r="BE882" s="115"/>
      <c r="BF882" s="115"/>
      <c r="BG882" s="115"/>
      <c r="BH882" s="115"/>
      <c r="BI882" s="115"/>
      <c r="BJ882" s="115"/>
      <c r="BK882" s="115"/>
      <c r="BL882" s="115"/>
      <c r="BM882" s="115"/>
      <c r="BN882" s="115"/>
      <c r="BO882" s="115"/>
      <c r="BP882" s="115"/>
      <c r="BQ882" s="115"/>
      <c r="BR882" s="13"/>
      <c r="BS882" s="13"/>
      <c r="BV882" s="114"/>
    </row>
    <row r="883" spans="1:74" ht="19.5" x14ac:dyDescent="0.4">
      <c r="A883" s="117"/>
      <c r="B883" s="123"/>
      <c r="C883" s="123"/>
      <c r="D883" s="123"/>
      <c r="AI883" s="127"/>
      <c r="AJ883" s="29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6">
        <v>45694</v>
      </c>
      <c r="AU883" s="15" t="s">
        <v>148</v>
      </c>
      <c r="AZ883" s="117"/>
      <c r="BA883" s="123"/>
      <c r="BB883" s="123"/>
      <c r="BC883" s="123"/>
      <c r="BE883" s="115"/>
      <c r="BF883" s="115"/>
      <c r="BG883" s="115"/>
      <c r="BH883" s="115"/>
      <c r="BI883" s="115"/>
      <c r="BJ883" s="115"/>
      <c r="BK883" s="115"/>
      <c r="BL883" s="115"/>
      <c r="BM883" s="115"/>
      <c r="BN883" s="115"/>
      <c r="BO883" s="115"/>
      <c r="BP883" s="115"/>
      <c r="BQ883" s="115"/>
      <c r="BR883" s="13"/>
      <c r="BS883" s="13"/>
      <c r="BV883" s="114"/>
    </row>
    <row r="884" spans="1:74" ht="19.5" x14ac:dyDescent="0.4">
      <c r="A884" s="117"/>
      <c r="B884" s="123"/>
      <c r="C884" s="123"/>
      <c r="D884" s="123"/>
      <c r="AI884" s="127"/>
      <c r="AJ884" s="29"/>
      <c r="AT884" s="26">
        <v>45694</v>
      </c>
      <c r="AU884" s="13" t="s">
        <v>147</v>
      </c>
      <c r="AZ884" s="117"/>
      <c r="BA884" s="123"/>
      <c r="BB884" s="123"/>
      <c r="BC884" s="123"/>
      <c r="BE884" s="115"/>
      <c r="BF884" s="115"/>
      <c r="BG884" s="115"/>
      <c r="BH884" s="115"/>
      <c r="BI884" s="115"/>
      <c r="BJ884" s="115"/>
      <c r="BK884" s="115"/>
      <c r="BL884" s="115"/>
      <c r="BM884" s="115"/>
      <c r="BN884" s="115"/>
      <c r="BO884" s="115"/>
      <c r="BP884" s="115"/>
      <c r="BQ884" s="115"/>
      <c r="BR884" s="25">
        <v>45268</v>
      </c>
      <c r="BS884" s="13" t="s">
        <v>162</v>
      </c>
      <c r="BV884" s="114"/>
    </row>
    <row r="885" spans="1:74" ht="19.5" x14ac:dyDescent="0.4">
      <c r="A885" s="117"/>
      <c r="B885" s="123"/>
      <c r="C885" s="123"/>
      <c r="D885" s="123"/>
      <c r="AI885" s="127"/>
      <c r="AJ885" s="29"/>
      <c r="AL885" s="115"/>
      <c r="AM885" s="115"/>
      <c r="AN885" s="115"/>
      <c r="AO885" s="115"/>
      <c r="AP885" s="115"/>
      <c r="AQ885" s="115"/>
      <c r="AR885" s="115"/>
      <c r="AS885" s="115"/>
      <c r="AT885" s="26">
        <v>45694</v>
      </c>
      <c r="AU885" s="13" t="s">
        <v>147</v>
      </c>
      <c r="AZ885" s="117"/>
      <c r="BA885" s="123"/>
      <c r="BB885" s="123"/>
      <c r="BC885" s="123"/>
      <c r="BE885" s="115"/>
      <c r="BF885" s="115"/>
      <c r="BG885" s="115"/>
      <c r="BH885" s="115"/>
      <c r="BI885" s="115"/>
      <c r="BJ885" s="115"/>
      <c r="BK885" s="115"/>
      <c r="BL885" s="115"/>
      <c r="BM885" s="115"/>
      <c r="BN885" s="115"/>
      <c r="BO885" s="115"/>
      <c r="BP885" s="115"/>
      <c r="BQ885" s="115"/>
      <c r="BR885" s="25"/>
      <c r="BS885" s="13"/>
      <c r="BV885" s="114"/>
    </row>
    <row r="886" spans="1:74" ht="19.5" x14ac:dyDescent="0.4">
      <c r="A886" s="117"/>
      <c r="B886" s="123"/>
      <c r="C886" s="123"/>
      <c r="D886" s="123"/>
      <c r="AI886" s="127"/>
      <c r="AJ886" s="29"/>
      <c r="AT886" s="26">
        <v>45694</v>
      </c>
      <c r="AU886" s="13" t="s">
        <v>147</v>
      </c>
      <c r="AZ886" s="117"/>
      <c r="BA886" s="123"/>
      <c r="BB886" s="123"/>
      <c r="BC886" s="123"/>
      <c r="BE886" s="115"/>
      <c r="BF886" s="115"/>
      <c r="BG886" s="115"/>
      <c r="BH886" s="115"/>
      <c r="BI886" s="115"/>
      <c r="BJ886" s="115"/>
      <c r="BK886" s="115"/>
      <c r="BL886" s="115"/>
      <c r="BM886" s="115"/>
      <c r="BN886" s="115"/>
      <c r="BO886" s="115"/>
      <c r="BP886" s="115"/>
      <c r="BQ886" s="115"/>
      <c r="BR886" s="25">
        <v>45268</v>
      </c>
      <c r="BS886" s="13" t="s">
        <v>162</v>
      </c>
      <c r="BV886" s="114"/>
    </row>
    <row r="887" spans="1:74" ht="19.5" x14ac:dyDescent="0.4">
      <c r="A887" s="117"/>
      <c r="B887" s="123"/>
      <c r="C887" s="123"/>
      <c r="D887" s="123"/>
      <c r="AI887" s="127"/>
      <c r="AJ887" s="29"/>
      <c r="AQ887" s="115"/>
      <c r="AR887" s="115"/>
      <c r="AS887" s="115"/>
      <c r="AT887" s="26">
        <v>45696</v>
      </c>
      <c r="AU887" s="13" t="s">
        <v>147</v>
      </c>
      <c r="AZ887" s="117"/>
      <c r="BA887" s="123"/>
      <c r="BB887" s="123"/>
      <c r="BC887" s="123"/>
      <c r="BE887" s="115"/>
      <c r="BF887" s="115"/>
      <c r="BG887" s="115"/>
      <c r="BH887" s="115"/>
      <c r="BI887" s="115"/>
      <c r="BJ887" s="115"/>
      <c r="BK887" s="115"/>
      <c r="BL887" s="115"/>
      <c r="BM887" s="115"/>
      <c r="BN887" s="115"/>
      <c r="BO887" s="115"/>
      <c r="BP887" s="115"/>
      <c r="BQ887" s="115"/>
      <c r="BR887" s="25"/>
      <c r="BS887" s="13"/>
      <c r="BV887" s="114"/>
    </row>
    <row r="888" spans="1:74" ht="19.5" x14ac:dyDescent="0.4">
      <c r="A888" s="117"/>
      <c r="B888" s="123"/>
      <c r="C888" s="123"/>
      <c r="D888" s="123"/>
      <c r="AI888" s="127"/>
      <c r="AJ888" s="29"/>
      <c r="AT888" s="26">
        <v>45698</v>
      </c>
      <c r="AU888" s="13" t="s">
        <v>147</v>
      </c>
      <c r="AZ888" s="117"/>
      <c r="BA888" s="123"/>
      <c r="BB888" s="123"/>
      <c r="BC888" s="123"/>
      <c r="BE888" s="115"/>
      <c r="BF888" s="115"/>
      <c r="BG888" s="115"/>
      <c r="BH888" s="115"/>
      <c r="BI888" s="115"/>
      <c r="BJ888" s="115"/>
      <c r="BK888" s="115"/>
      <c r="BL888" s="115"/>
      <c r="BM888" s="115"/>
      <c r="BN888" s="115"/>
      <c r="BO888" s="115"/>
      <c r="BP888" s="115"/>
      <c r="BQ888" s="115"/>
      <c r="BR888" s="25">
        <v>45268</v>
      </c>
      <c r="BS888" s="13" t="s">
        <v>163</v>
      </c>
      <c r="BV888" s="114"/>
    </row>
    <row r="889" spans="1:74" ht="19.5" x14ac:dyDescent="0.4">
      <c r="A889" s="117"/>
      <c r="B889" s="123"/>
      <c r="C889" s="123"/>
      <c r="D889" s="123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29"/>
      <c r="AJ889" s="29"/>
      <c r="AT889" s="26"/>
      <c r="AU889" s="13"/>
      <c r="AZ889" s="117"/>
      <c r="BA889" s="123"/>
      <c r="BB889" s="123"/>
      <c r="BC889" s="123"/>
      <c r="BE889" s="115"/>
      <c r="BF889" s="115"/>
      <c r="BG889" s="115"/>
      <c r="BH889" s="115"/>
      <c r="BI889" s="115"/>
      <c r="BJ889" s="115"/>
      <c r="BK889" s="115"/>
      <c r="BL889" s="115"/>
      <c r="BM889" s="115"/>
      <c r="BN889" s="115"/>
      <c r="BO889" s="115"/>
      <c r="BP889" s="115"/>
      <c r="BQ889" s="115"/>
      <c r="BR889" s="25"/>
      <c r="BS889" s="13"/>
      <c r="BV889" s="114"/>
    </row>
    <row r="890" spans="1:74" ht="19.5" x14ac:dyDescent="0.4">
      <c r="A890" s="117"/>
      <c r="B890" s="123"/>
      <c r="C890" s="123"/>
      <c r="D890" s="123"/>
      <c r="AI890" s="127"/>
      <c r="AJ890" s="29"/>
      <c r="AQ890" s="115"/>
      <c r="AR890" s="115"/>
      <c r="AS890" s="115"/>
      <c r="AT890" s="26">
        <v>45698</v>
      </c>
      <c r="AU890" s="13" t="s">
        <v>147</v>
      </c>
      <c r="AZ890" s="117"/>
      <c r="BA890" s="123"/>
      <c r="BB890" s="123"/>
      <c r="BC890" s="123"/>
      <c r="BE890" s="115"/>
      <c r="BF890" s="115"/>
      <c r="BG890" s="115"/>
      <c r="BH890" s="115"/>
      <c r="BI890" s="115"/>
      <c r="BJ890" s="115"/>
      <c r="BK890" s="115"/>
      <c r="BL890" s="115"/>
      <c r="BM890" s="115"/>
      <c r="BN890" s="115"/>
      <c r="BO890" s="115"/>
      <c r="BP890" s="115"/>
      <c r="BQ890" s="115"/>
      <c r="BR890" s="25"/>
      <c r="BS890" s="13"/>
      <c r="BV890" s="114"/>
    </row>
    <row r="891" spans="1:74" ht="19.5" x14ac:dyDescent="0.4">
      <c r="A891" s="117"/>
      <c r="B891" s="123"/>
      <c r="C891" s="123"/>
      <c r="D891" s="123"/>
      <c r="AI891" s="127"/>
      <c r="AJ891" s="29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26">
        <v>45699</v>
      </c>
      <c r="AU891" s="13" t="s">
        <v>148</v>
      </c>
      <c r="AZ891" s="117"/>
      <c r="BA891" s="123"/>
      <c r="BB891" s="123"/>
      <c r="BC891" s="123"/>
      <c r="BE891" s="115"/>
      <c r="BF891" s="115"/>
      <c r="BG891" s="115"/>
      <c r="BH891" s="115"/>
      <c r="BI891" s="115"/>
      <c r="BJ891" s="115"/>
      <c r="BK891" s="115"/>
      <c r="BL891" s="115"/>
      <c r="BM891" s="115"/>
      <c r="BN891" s="115"/>
      <c r="BO891" s="115"/>
      <c r="BP891" s="115"/>
      <c r="BQ891" s="115"/>
      <c r="BR891" s="25"/>
      <c r="BS891" s="13"/>
      <c r="BV891" s="114"/>
    </row>
    <row r="892" spans="1:74" ht="19.5" x14ac:dyDescent="0.4">
      <c r="A892" s="117"/>
      <c r="B892" s="123"/>
      <c r="C892" s="123"/>
      <c r="D892" s="123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  <c r="AD892" s="115"/>
      <c r="AE892" s="115"/>
      <c r="AF892" s="115"/>
      <c r="AG892" s="115"/>
      <c r="AH892" s="115"/>
      <c r="AI892" s="29"/>
      <c r="AJ892" s="29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26"/>
      <c r="AU892" s="13"/>
      <c r="AZ892" s="117"/>
      <c r="BA892" s="123"/>
      <c r="BB892" s="123"/>
      <c r="BC892" s="123"/>
      <c r="BE892" s="115"/>
      <c r="BF892" s="115"/>
      <c r="BG892" s="115"/>
      <c r="BH892" s="115"/>
      <c r="BI892" s="115"/>
      <c r="BJ892" s="115"/>
      <c r="BK892" s="115"/>
      <c r="BL892" s="115"/>
      <c r="BM892" s="115"/>
      <c r="BN892" s="115"/>
      <c r="BO892" s="115"/>
      <c r="BP892" s="115"/>
      <c r="BQ892" s="115"/>
      <c r="BR892" s="25"/>
      <c r="BS892" s="13"/>
      <c r="BV892" s="114"/>
    </row>
    <row r="893" spans="1:74" ht="19.5" x14ac:dyDescent="0.4">
      <c r="A893" s="117"/>
      <c r="B893" s="123"/>
      <c r="C893" s="123"/>
      <c r="D893" s="123"/>
      <c r="AI893" s="127"/>
      <c r="AJ893" s="29"/>
      <c r="AT893" s="26">
        <v>45699</v>
      </c>
      <c r="AU893" s="13" t="s">
        <v>148</v>
      </c>
      <c r="AZ893" s="117"/>
      <c r="BA893" s="123"/>
      <c r="BB893" s="123"/>
      <c r="BC893" s="123"/>
      <c r="BD893" s="115"/>
      <c r="BE893" s="115"/>
      <c r="BF893" s="115"/>
      <c r="BG893" s="115"/>
      <c r="BH893" s="115"/>
      <c r="BI893" s="115"/>
      <c r="BJ893" s="115"/>
      <c r="BK893" s="115"/>
      <c r="BL893" s="115"/>
      <c r="BM893" s="115"/>
      <c r="BN893" s="115"/>
      <c r="BO893" s="115"/>
      <c r="BP893" s="115"/>
      <c r="BQ893" s="115"/>
      <c r="BR893" s="25">
        <v>45268</v>
      </c>
      <c r="BS893" s="13" t="s">
        <v>163</v>
      </c>
      <c r="BV893" s="114"/>
    </row>
    <row r="894" spans="1:74" ht="19.5" x14ac:dyDescent="0.4">
      <c r="A894" s="117"/>
      <c r="B894" s="123"/>
      <c r="C894" s="123"/>
      <c r="D894" s="123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29"/>
      <c r="AJ894" s="29"/>
      <c r="AT894" s="26"/>
      <c r="AU894" s="13"/>
      <c r="AZ894" s="117"/>
      <c r="BA894" s="123"/>
      <c r="BB894" s="123"/>
      <c r="BC894" s="123"/>
      <c r="BD894" s="115"/>
      <c r="BE894" s="115"/>
      <c r="BF894" s="115"/>
      <c r="BG894" s="115"/>
      <c r="BH894" s="115"/>
      <c r="BI894" s="115"/>
      <c r="BJ894" s="115"/>
      <c r="BK894" s="115"/>
      <c r="BL894" s="115"/>
      <c r="BM894" s="115"/>
      <c r="BN894" s="115"/>
      <c r="BO894" s="115"/>
      <c r="BP894" s="115"/>
      <c r="BQ894" s="115"/>
      <c r="BR894" s="25"/>
      <c r="BS894" s="13"/>
      <c r="BV894" s="114"/>
    </row>
    <row r="895" spans="1:74" ht="19.5" x14ac:dyDescent="0.4">
      <c r="A895" s="117"/>
      <c r="B895" s="123"/>
      <c r="C895" s="123"/>
      <c r="D895" s="123"/>
      <c r="AI895" s="127"/>
      <c r="AJ895" s="29"/>
      <c r="AM895" s="115"/>
      <c r="AN895" s="115"/>
      <c r="AO895" s="115"/>
      <c r="AP895" s="115"/>
      <c r="AQ895" s="115"/>
      <c r="AR895" s="115"/>
      <c r="AS895" s="115"/>
      <c r="AT895" s="26">
        <v>45699</v>
      </c>
      <c r="AU895" s="13" t="s">
        <v>148</v>
      </c>
      <c r="AZ895" s="117"/>
      <c r="BA895" s="123"/>
      <c r="BB895" s="123"/>
      <c r="BC895" s="123"/>
      <c r="BD895" s="115"/>
      <c r="BE895" s="115"/>
      <c r="BF895" s="115"/>
      <c r="BG895" s="115"/>
      <c r="BH895" s="115"/>
      <c r="BI895" s="115"/>
      <c r="BJ895" s="115"/>
      <c r="BK895" s="115"/>
      <c r="BL895" s="115"/>
      <c r="BM895" s="115"/>
      <c r="BN895" s="115"/>
      <c r="BO895" s="115"/>
      <c r="BP895" s="115"/>
      <c r="BQ895" s="115"/>
      <c r="BR895" s="25"/>
      <c r="BS895" s="13"/>
      <c r="BV895" s="114"/>
    </row>
    <row r="896" spans="1:74" ht="19.5" x14ac:dyDescent="0.4">
      <c r="A896" s="117"/>
      <c r="B896" s="123"/>
      <c r="C896" s="123"/>
      <c r="D896" s="123"/>
      <c r="AI896" s="127"/>
      <c r="AJ896" s="29"/>
      <c r="AM896" s="115"/>
      <c r="AN896" s="115"/>
      <c r="AO896" s="115"/>
      <c r="AP896" s="115"/>
      <c r="AQ896" s="115"/>
      <c r="AR896" s="115"/>
      <c r="AS896" s="115"/>
      <c r="AT896" s="26">
        <v>45699</v>
      </c>
      <c r="AU896" s="13" t="s">
        <v>148</v>
      </c>
      <c r="AZ896" s="117"/>
      <c r="BA896" s="123"/>
      <c r="BB896" s="123"/>
      <c r="BC896" s="123"/>
      <c r="BD896" s="115"/>
      <c r="BE896" s="115"/>
      <c r="BF896" s="115"/>
      <c r="BG896" s="115"/>
      <c r="BH896" s="115"/>
      <c r="BI896" s="115"/>
      <c r="BJ896" s="115"/>
      <c r="BK896" s="115"/>
      <c r="BL896" s="115"/>
      <c r="BM896" s="115"/>
      <c r="BN896" s="115"/>
      <c r="BO896" s="115"/>
      <c r="BP896" s="115"/>
      <c r="BQ896" s="115"/>
      <c r="BR896" s="25"/>
      <c r="BS896" s="13"/>
      <c r="BV896" s="114"/>
    </row>
    <row r="897" spans="1:74" ht="19.5" x14ac:dyDescent="0.4">
      <c r="A897" s="117"/>
      <c r="B897" s="123"/>
      <c r="C897" s="123"/>
      <c r="D897" s="123"/>
      <c r="AI897" s="127"/>
      <c r="AJ897" s="29"/>
      <c r="AM897" s="115"/>
      <c r="AN897" s="115"/>
      <c r="AO897" s="115"/>
      <c r="AP897" s="115"/>
      <c r="AQ897" s="115"/>
      <c r="AR897" s="115"/>
      <c r="AS897" s="115"/>
      <c r="AT897" s="26">
        <v>45699</v>
      </c>
      <c r="AU897" s="13" t="s">
        <v>148</v>
      </c>
      <c r="AZ897" s="117"/>
      <c r="BA897" s="123"/>
      <c r="BB897" s="123"/>
      <c r="BC897" s="123"/>
      <c r="BD897" s="115"/>
      <c r="BE897" s="115"/>
      <c r="BF897" s="115"/>
      <c r="BG897" s="115"/>
      <c r="BH897" s="115"/>
      <c r="BI897" s="115"/>
      <c r="BJ897" s="115"/>
      <c r="BK897" s="115"/>
      <c r="BL897" s="115"/>
      <c r="BM897" s="115"/>
      <c r="BN897" s="115"/>
      <c r="BO897" s="115"/>
      <c r="BP897" s="115"/>
      <c r="BQ897" s="115"/>
      <c r="BR897" s="25"/>
      <c r="BS897" s="13"/>
      <c r="BV897" s="114"/>
    </row>
    <row r="898" spans="1:74" ht="19.5" x14ac:dyDescent="0.4">
      <c r="A898" s="117"/>
      <c r="B898" s="123"/>
      <c r="C898" s="123"/>
      <c r="D898" s="123"/>
      <c r="AI898" s="127"/>
      <c r="AJ898" s="29"/>
      <c r="AT898" s="26">
        <v>45699</v>
      </c>
      <c r="AU898" s="13" t="s">
        <v>148</v>
      </c>
      <c r="AZ898" s="117"/>
      <c r="BA898" s="123"/>
      <c r="BB898" s="123"/>
      <c r="BC898" s="123"/>
      <c r="BD898" s="115"/>
      <c r="BE898" s="115"/>
      <c r="BF898" s="115"/>
      <c r="BG898" s="115"/>
      <c r="BH898" s="115"/>
      <c r="BI898" s="115"/>
      <c r="BJ898" s="115"/>
      <c r="BK898" s="115"/>
      <c r="BL898" s="115"/>
      <c r="BM898" s="115"/>
      <c r="BN898" s="115"/>
      <c r="BO898" s="115"/>
      <c r="BP898" s="115"/>
      <c r="BQ898" s="115" t="s">
        <v>158</v>
      </c>
      <c r="BR898" s="13">
        <f>SUBTOTAL(3,BR884:BR893)</f>
        <v>4</v>
      </c>
      <c r="BS898" s="13">
        <f>SUBTOTAL(3,BS884:BS893)</f>
        <v>4</v>
      </c>
      <c r="BV898" s="114"/>
    </row>
    <row r="899" spans="1:74" ht="19.5" x14ac:dyDescent="0.4">
      <c r="A899" s="117"/>
      <c r="B899" s="123"/>
      <c r="C899" s="123"/>
      <c r="D899" s="123"/>
      <c r="AI899" s="127"/>
      <c r="AJ899" s="29"/>
      <c r="AQ899" s="115"/>
      <c r="AR899" s="115"/>
      <c r="AS899" s="115"/>
      <c r="AT899" s="26">
        <v>45706</v>
      </c>
      <c r="AU899" s="13" t="s">
        <v>146</v>
      </c>
      <c r="AZ899" s="117"/>
      <c r="BA899" s="123"/>
      <c r="BB899" s="123"/>
      <c r="BC899" s="123"/>
      <c r="BD899" s="115"/>
      <c r="BE899" s="115"/>
      <c r="BF899" s="115"/>
      <c r="BG899" s="115"/>
      <c r="BH899" s="115"/>
      <c r="BI899" s="115"/>
      <c r="BJ899" s="115"/>
      <c r="BK899" s="115"/>
      <c r="BL899" s="115"/>
      <c r="BM899" s="115"/>
      <c r="BN899" s="115"/>
      <c r="BO899" s="115"/>
      <c r="BP899" s="115"/>
      <c r="BQ899" s="115"/>
      <c r="BR899" s="13"/>
      <c r="BS899" s="13"/>
      <c r="BV899" s="114"/>
    </row>
    <row r="900" spans="1:74" ht="19.5" x14ac:dyDescent="0.4">
      <c r="A900" s="117"/>
      <c r="B900" s="123"/>
      <c r="C900" s="123"/>
      <c r="D900" s="123"/>
      <c r="AI900" s="127"/>
      <c r="AJ900" s="29"/>
      <c r="AP900" s="115"/>
      <c r="AQ900" s="115"/>
      <c r="AR900" s="115"/>
      <c r="AS900" s="115"/>
      <c r="AT900" s="26">
        <v>45709</v>
      </c>
      <c r="AU900" s="13" t="s">
        <v>148</v>
      </c>
      <c r="AZ900" s="117"/>
      <c r="BA900" s="123"/>
      <c r="BB900" s="123"/>
      <c r="BC900" s="123"/>
      <c r="BD900" s="115"/>
      <c r="BE900" s="115"/>
      <c r="BF900" s="115"/>
      <c r="BG900" s="115"/>
      <c r="BH900" s="115"/>
      <c r="BI900" s="115"/>
      <c r="BJ900" s="115"/>
      <c r="BK900" s="115"/>
      <c r="BL900" s="115"/>
      <c r="BM900" s="115"/>
      <c r="BN900" s="115"/>
      <c r="BO900" s="115"/>
      <c r="BP900" s="115"/>
      <c r="BQ900" s="115"/>
      <c r="BR900" s="13"/>
      <c r="BS900" s="13"/>
      <c r="BV900" s="114"/>
    </row>
    <row r="901" spans="1:74" ht="19.5" x14ac:dyDescent="0.4">
      <c r="A901" s="117"/>
      <c r="B901" s="123"/>
      <c r="C901" s="123"/>
      <c r="D901" s="123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29"/>
      <c r="AJ901" s="29"/>
      <c r="AP901" s="115"/>
      <c r="AQ901" s="115"/>
      <c r="AR901" s="115"/>
      <c r="AS901" s="115"/>
      <c r="AT901" s="26"/>
      <c r="AU901" s="13"/>
      <c r="AZ901" s="117"/>
      <c r="BA901" s="123"/>
      <c r="BB901" s="123"/>
      <c r="BC901" s="123"/>
      <c r="BD901" s="115"/>
      <c r="BE901" s="115"/>
      <c r="BF901" s="115"/>
      <c r="BG901" s="115"/>
      <c r="BH901" s="115"/>
      <c r="BI901" s="115"/>
      <c r="BJ901" s="115"/>
      <c r="BK901" s="115"/>
      <c r="BL901" s="115"/>
      <c r="BM901" s="115"/>
      <c r="BN901" s="115"/>
      <c r="BO901" s="115"/>
      <c r="BP901" s="115"/>
      <c r="BQ901" s="115"/>
      <c r="BR901" s="13"/>
      <c r="BS901" s="13"/>
      <c r="BV901" s="114"/>
    </row>
    <row r="902" spans="1:74" ht="19.5" x14ac:dyDescent="0.4">
      <c r="A902" s="117"/>
      <c r="B902" s="123"/>
      <c r="C902" s="123"/>
      <c r="D902" s="123"/>
      <c r="AI902" s="127"/>
      <c r="AJ902" s="29"/>
      <c r="AP902" s="115"/>
      <c r="AQ902" s="115"/>
      <c r="AR902" s="115"/>
      <c r="AS902" s="115"/>
      <c r="AT902" s="26">
        <v>45709</v>
      </c>
      <c r="AU902" s="13" t="s">
        <v>147</v>
      </c>
      <c r="AZ902" s="117"/>
      <c r="BA902" s="123"/>
      <c r="BB902" s="123"/>
      <c r="BC902" s="123"/>
      <c r="BD902" s="115"/>
      <c r="BE902" s="115"/>
      <c r="BF902" s="115"/>
      <c r="BG902" s="115"/>
      <c r="BH902" s="115"/>
      <c r="BI902" s="115"/>
      <c r="BJ902" s="115"/>
      <c r="BK902" s="115"/>
      <c r="BL902" s="115"/>
      <c r="BM902" s="115"/>
      <c r="BN902" s="115"/>
      <c r="BO902" s="115"/>
      <c r="BP902" s="115"/>
      <c r="BQ902" s="115"/>
      <c r="BR902" s="13"/>
      <c r="BS902" s="13"/>
      <c r="BV902" s="114"/>
    </row>
    <row r="903" spans="1:74" ht="19.5" x14ac:dyDescent="0.4">
      <c r="A903" s="117"/>
      <c r="B903" s="123"/>
      <c r="C903" s="123"/>
      <c r="D903" s="123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29"/>
      <c r="AJ903" s="29"/>
      <c r="AP903" s="115"/>
      <c r="AQ903" s="115"/>
      <c r="AR903" s="115"/>
      <c r="AS903" s="115"/>
      <c r="AT903" s="26"/>
      <c r="AU903" s="13"/>
      <c r="AZ903" s="117"/>
      <c r="BA903" s="123"/>
      <c r="BB903" s="123"/>
      <c r="BC903" s="123"/>
      <c r="BD903" s="115"/>
      <c r="BE903" s="115"/>
      <c r="BF903" s="115"/>
      <c r="BG903" s="115"/>
      <c r="BH903" s="115"/>
      <c r="BI903" s="115"/>
      <c r="BJ903" s="115"/>
      <c r="BK903" s="115"/>
      <c r="BL903" s="115"/>
      <c r="BM903" s="115"/>
      <c r="BN903" s="115"/>
      <c r="BO903" s="115"/>
      <c r="BP903" s="115"/>
      <c r="BQ903" s="115"/>
      <c r="BR903" s="13"/>
      <c r="BS903" s="13"/>
      <c r="BV903" s="114"/>
    </row>
    <row r="904" spans="1:74" ht="19.5" x14ac:dyDescent="0.4">
      <c r="A904" s="117"/>
      <c r="B904" s="123"/>
      <c r="C904" s="123"/>
      <c r="D904" s="123"/>
      <c r="AI904" s="127"/>
      <c r="AJ904" s="29"/>
      <c r="AP904" s="115"/>
      <c r="AQ904" s="115"/>
      <c r="AR904" s="115"/>
      <c r="AS904" s="115"/>
      <c r="AT904" s="26">
        <v>45712</v>
      </c>
      <c r="AU904" s="13" t="s">
        <v>146</v>
      </c>
      <c r="AZ904" s="117"/>
      <c r="BA904" s="123"/>
      <c r="BB904" s="123"/>
      <c r="BC904" s="123"/>
      <c r="BD904" s="115"/>
      <c r="BE904" s="115"/>
      <c r="BF904" s="115"/>
      <c r="BG904" s="115"/>
      <c r="BH904" s="115"/>
      <c r="BI904" s="115"/>
      <c r="BJ904" s="115"/>
      <c r="BK904" s="115"/>
      <c r="BL904" s="115"/>
      <c r="BM904" s="115"/>
      <c r="BN904" s="115"/>
      <c r="BO904" s="115"/>
      <c r="BP904" s="115"/>
      <c r="BQ904" s="115"/>
      <c r="BR904" s="13"/>
      <c r="BS904" s="13"/>
      <c r="BV904" s="114"/>
    </row>
    <row r="905" spans="1:74" ht="19.5" x14ac:dyDescent="0.4">
      <c r="A905" s="117"/>
      <c r="B905" s="123"/>
      <c r="C905" s="123"/>
      <c r="D905" s="123"/>
      <c r="AI905" s="127"/>
      <c r="AJ905" s="29"/>
      <c r="AP905" s="115"/>
      <c r="AQ905" s="115"/>
      <c r="AR905" s="115"/>
      <c r="AS905" s="115"/>
      <c r="AT905" s="26">
        <v>45712</v>
      </c>
      <c r="AU905" s="13" t="s">
        <v>148</v>
      </c>
      <c r="AZ905" s="117"/>
      <c r="BA905" s="123"/>
      <c r="BB905" s="123"/>
      <c r="BC905" s="123"/>
      <c r="BD905" s="115"/>
      <c r="BE905" s="115"/>
      <c r="BF905" s="115"/>
      <c r="BG905" s="115"/>
      <c r="BH905" s="115"/>
      <c r="BI905" s="115"/>
      <c r="BJ905" s="115"/>
      <c r="BK905" s="115"/>
      <c r="BL905" s="115"/>
      <c r="BM905" s="115"/>
      <c r="BN905" s="115"/>
      <c r="BO905" s="115"/>
      <c r="BP905" s="115"/>
      <c r="BQ905" s="115"/>
      <c r="BR905" s="13"/>
      <c r="BS905" s="13"/>
      <c r="BV905" s="114"/>
    </row>
    <row r="906" spans="1:74" ht="19.5" x14ac:dyDescent="0.4">
      <c r="A906" s="117"/>
      <c r="B906" s="123"/>
      <c r="C906" s="123"/>
      <c r="D906" s="123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29"/>
      <c r="AJ906" s="29"/>
      <c r="AP906" s="115"/>
      <c r="AQ906" s="115"/>
      <c r="AR906" s="115"/>
      <c r="AS906" s="115"/>
      <c r="AT906" s="26"/>
      <c r="AU906" s="13"/>
      <c r="AZ906" s="117"/>
      <c r="BA906" s="123"/>
      <c r="BB906" s="123"/>
      <c r="BC906" s="123"/>
      <c r="BD906" s="115"/>
      <c r="BE906" s="115"/>
      <c r="BF906" s="115"/>
      <c r="BG906" s="115"/>
      <c r="BH906" s="115"/>
      <c r="BI906" s="115"/>
      <c r="BJ906" s="115"/>
      <c r="BK906" s="115"/>
      <c r="BL906" s="115"/>
      <c r="BM906" s="115"/>
      <c r="BN906" s="115"/>
      <c r="BO906" s="115"/>
      <c r="BP906" s="115"/>
      <c r="BQ906" s="115"/>
      <c r="BR906" s="13"/>
      <c r="BS906" s="13"/>
      <c r="BV906" s="114"/>
    </row>
    <row r="907" spans="1:74" ht="19.5" x14ac:dyDescent="0.4">
      <c r="A907" s="117"/>
      <c r="B907" s="123"/>
      <c r="C907" s="123"/>
      <c r="D907" s="123"/>
      <c r="AI907" s="127"/>
      <c r="AJ907" s="29"/>
      <c r="AN907" s="115"/>
      <c r="AO907" s="115"/>
      <c r="AP907" s="115"/>
      <c r="AQ907" s="115"/>
      <c r="AR907" s="115"/>
      <c r="AS907" s="115"/>
      <c r="AT907" s="26">
        <v>45714</v>
      </c>
      <c r="AU907" s="13" t="s">
        <v>147</v>
      </c>
      <c r="AZ907" s="117"/>
      <c r="BA907" s="123"/>
      <c r="BB907" s="123"/>
      <c r="BC907" s="123"/>
      <c r="BD907" s="115"/>
      <c r="BE907" s="115"/>
      <c r="BF907" s="115"/>
      <c r="BG907" s="115"/>
      <c r="BH907" s="115"/>
      <c r="BI907" s="115"/>
      <c r="BJ907" s="115"/>
      <c r="BK907" s="115"/>
      <c r="BL907" s="115"/>
      <c r="BM907" s="115"/>
      <c r="BN907" s="115"/>
      <c r="BO907" s="115"/>
      <c r="BP907" s="115"/>
      <c r="BQ907" s="115"/>
      <c r="BR907" s="13"/>
      <c r="BS907" s="13"/>
      <c r="BV907" s="114"/>
    </row>
    <row r="908" spans="1:74" ht="19.5" x14ac:dyDescent="0.4">
      <c r="A908" s="117"/>
      <c r="B908" s="123"/>
      <c r="C908" s="123"/>
      <c r="D908" s="123"/>
      <c r="AI908" s="127"/>
      <c r="AJ908" s="29"/>
      <c r="AT908" s="26">
        <v>45714</v>
      </c>
      <c r="AU908" s="13" t="s">
        <v>147</v>
      </c>
      <c r="AZ908" s="117"/>
      <c r="BA908" s="123"/>
      <c r="BB908" s="123"/>
      <c r="BC908" s="123"/>
      <c r="BD908" s="115"/>
      <c r="BE908" s="115"/>
      <c r="BF908" s="115"/>
      <c r="BG908" s="115"/>
      <c r="BH908" s="115"/>
      <c r="BI908" s="115"/>
      <c r="BJ908" s="115"/>
      <c r="BK908" s="115"/>
      <c r="BL908" s="115"/>
      <c r="BM908" s="115"/>
      <c r="BN908" s="115"/>
      <c r="BO908" s="115"/>
      <c r="BP908" s="115"/>
      <c r="BQ908" s="115"/>
      <c r="BR908" s="25">
        <v>45269</v>
      </c>
      <c r="BS908" s="13" t="s">
        <v>163</v>
      </c>
      <c r="BV908" s="114"/>
    </row>
    <row r="909" spans="1:74" ht="19.5" x14ac:dyDescent="0.4">
      <c r="A909" s="117"/>
      <c r="B909" s="123"/>
      <c r="C909" s="123"/>
      <c r="D909" s="123"/>
      <c r="AI909" s="127"/>
      <c r="AJ909" s="29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26">
        <v>45714</v>
      </c>
      <c r="AU909" s="13" t="s">
        <v>147</v>
      </c>
      <c r="AZ909" s="117"/>
      <c r="BA909" s="123"/>
      <c r="BB909" s="123"/>
      <c r="BC909" s="123"/>
      <c r="BD909" s="115"/>
      <c r="BE909" s="115"/>
      <c r="BF909" s="115"/>
      <c r="BG909" s="115"/>
      <c r="BH909" s="115"/>
      <c r="BI909" s="115"/>
      <c r="BJ909" s="115"/>
      <c r="BK909" s="115"/>
      <c r="BL909" s="115"/>
      <c r="BM909" s="115"/>
      <c r="BN909" s="115"/>
      <c r="BO909" s="115"/>
      <c r="BP909" s="115"/>
      <c r="BQ909" s="115"/>
      <c r="BR909" s="25"/>
      <c r="BS909" s="13"/>
      <c r="BV909" s="114"/>
    </row>
    <row r="910" spans="1:74" ht="19.5" x14ac:dyDescent="0.4">
      <c r="A910" s="117"/>
      <c r="B910" s="123"/>
      <c r="C910" s="123"/>
      <c r="D910" s="123"/>
      <c r="AI910" s="127"/>
      <c r="AJ910" s="29"/>
      <c r="AK910" s="115"/>
      <c r="AL910" s="115"/>
      <c r="AM910" s="115"/>
      <c r="AN910" s="115"/>
      <c r="AO910" s="115"/>
      <c r="AP910" s="115"/>
      <c r="AQ910" s="115"/>
      <c r="AR910" s="115" t="s">
        <v>145</v>
      </c>
      <c r="AS910" s="115">
        <f>SUBTOTAL(3,AS2:AS909)</f>
        <v>0</v>
      </c>
      <c r="AT910" s="26"/>
      <c r="AU910" s="13">
        <f>SUBTOTAL(3,AU2:AU909)</f>
        <v>145</v>
      </c>
      <c r="AZ910" s="117"/>
      <c r="BA910" s="123"/>
      <c r="BB910" s="123"/>
      <c r="BC910" s="123"/>
      <c r="BD910" s="115"/>
      <c r="BE910" s="115"/>
      <c r="BF910" s="115"/>
      <c r="BG910" s="115"/>
      <c r="BH910" s="115"/>
      <c r="BI910" s="115"/>
      <c r="BJ910" s="115"/>
      <c r="BK910" s="115"/>
      <c r="BL910" s="115"/>
      <c r="BM910" s="115"/>
      <c r="BN910" s="115"/>
      <c r="BO910" s="115"/>
      <c r="BP910" s="115"/>
      <c r="BQ910" s="115"/>
      <c r="BR910" s="25"/>
      <c r="BS910" s="13"/>
      <c r="BV910" s="114"/>
    </row>
    <row r="911" spans="1:74" ht="19.5" x14ac:dyDescent="0.4">
      <c r="A911" s="117"/>
      <c r="B911" s="123"/>
      <c r="C911" s="123"/>
      <c r="D911" s="123"/>
      <c r="AI911" s="127"/>
      <c r="AJ911" s="29"/>
      <c r="AT911" s="26"/>
      <c r="AU911" s="13"/>
      <c r="AZ911" s="117"/>
      <c r="BA911" s="123"/>
      <c r="BB911" s="123"/>
      <c r="BC911" s="123"/>
      <c r="BD911" s="115"/>
      <c r="BE911" s="115"/>
      <c r="BF911" s="115"/>
      <c r="BG911" s="115"/>
      <c r="BH911" s="115"/>
      <c r="BI911" s="115"/>
      <c r="BJ911" s="115"/>
      <c r="BK911" s="115"/>
      <c r="BL911" s="115"/>
      <c r="BM911" s="115"/>
      <c r="BN911" s="115"/>
      <c r="BO911" s="115"/>
      <c r="BP911" s="115"/>
      <c r="BQ911" s="115"/>
      <c r="BR911" s="25">
        <v>45269</v>
      </c>
      <c r="BS911" s="13" t="s">
        <v>163</v>
      </c>
      <c r="BV911" s="114"/>
    </row>
    <row r="912" spans="1:74" ht="19.5" x14ac:dyDescent="0.4">
      <c r="A912" s="117"/>
      <c r="B912" s="123"/>
      <c r="C912" s="123"/>
      <c r="D912" s="123"/>
      <c r="AI912" s="127"/>
      <c r="AJ912" s="29"/>
      <c r="AM912" s="115"/>
      <c r="AN912" s="115"/>
      <c r="AO912" s="115"/>
      <c r="AP912" s="115"/>
      <c r="AQ912" s="115"/>
      <c r="AR912" s="115"/>
      <c r="AS912" s="115"/>
      <c r="AT912" s="26"/>
      <c r="AU912" s="13"/>
      <c r="AZ912" s="117"/>
      <c r="BA912" s="123"/>
      <c r="BB912" s="123"/>
      <c r="BC912" s="123"/>
      <c r="BD912" s="115"/>
      <c r="BE912" s="115"/>
      <c r="BF912" s="115"/>
      <c r="BG912" s="115"/>
      <c r="BH912" s="115"/>
      <c r="BI912" s="115"/>
      <c r="BJ912" s="115"/>
      <c r="BK912" s="115"/>
      <c r="BL912" s="115"/>
      <c r="BM912" s="115"/>
      <c r="BN912" s="115"/>
      <c r="BO912" s="115"/>
      <c r="BP912" s="115"/>
      <c r="BQ912" s="115"/>
      <c r="BR912" s="25"/>
      <c r="BS912" s="13"/>
      <c r="BV912" s="114"/>
    </row>
    <row r="913" spans="1:74" ht="19.5" x14ac:dyDescent="0.4">
      <c r="A913" s="117"/>
      <c r="B913" s="123"/>
      <c r="C913" s="123"/>
      <c r="D913" s="123"/>
      <c r="AI913" s="127"/>
      <c r="AJ913" s="29"/>
      <c r="AT913" s="26"/>
      <c r="AU913" s="13"/>
      <c r="AZ913" s="117"/>
      <c r="BA913" s="123"/>
      <c r="BB913" s="123"/>
      <c r="BC913" s="123"/>
      <c r="BD913" s="115"/>
      <c r="BE913" s="115"/>
      <c r="BF913" s="115"/>
      <c r="BG913" s="115"/>
      <c r="BH913" s="115"/>
      <c r="BI913" s="115"/>
      <c r="BJ913" s="115"/>
      <c r="BK913" s="115"/>
      <c r="BL913" s="115"/>
      <c r="BM913" s="115"/>
      <c r="BN913" s="115"/>
      <c r="BO913" s="115"/>
      <c r="BP913" s="115"/>
      <c r="BQ913" s="115" t="s">
        <v>159</v>
      </c>
      <c r="BR913" s="13">
        <f>SUBTOTAL(3,BR908:BR911)</f>
        <v>2</v>
      </c>
      <c r="BS913" s="13">
        <f>SUBTOTAL(3,BS908:BS911)</f>
        <v>2</v>
      </c>
      <c r="BV913" s="114"/>
    </row>
    <row r="914" spans="1:74" ht="19.5" x14ac:dyDescent="0.4">
      <c r="A914" s="117"/>
      <c r="B914" s="123"/>
      <c r="C914" s="123"/>
      <c r="D914" s="123"/>
      <c r="AI914" s="127"/>
      <c r="AJ914" s="29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26"/>
      <c r="AU914" s="13"/>
      <c r="AZ914" s="117"/>
      <c r="BA914" s="123"/>
      <c r="BB914" s="123"/>
      <c r="BC914" s="123"/>
      <c r="BD914" s="115"/>
      <c r="BE914" s="115"/>
      <c r="BF914" s="115"/>
      <c r="BG914" s="115"/>
      <c r="BH914" s="115"/>
      <c r="BI914" s="115"/>
      <c r="BJ914" s="115"/>
      <c r="BK914" s="115"/>
      <c r="BL914" s="115"/>
      <c r="BM914" s="115"/>
      <c r="BN914" s="115"/>
      <c r="BO914" s="115"/>
      <c r="BP914" s="115"/>
      <c r="BQ914" s="115"/>
      <c r="BR914" s="13"/>
      <c r="BS914" s="13"/>
      <c r="BV914" s="114"/>
    </row>
    <row r="915" spans="1:74" ht="19.5" x14ac:dyDescent="0.4">
      <c r="A915" s="117"/>
      <c r="B915" s="123"/>
      <c r="C915" s="123"/>
      <c r="D915" s="123"/>
      <c r="AI915" s="127"/>
      <c r="AJ915" s="29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26"/>
      <c r="AU915" s="13"/>
      <c r="AZ915" s="117"/>
      <c r="BA915" s="123"/>
      <c r="BB915" s="123"/>
      <c r="BC915" s="123"/>
      <c r="BD915" s="115"/>
      <c r="BE915" s="115"/>
      <c r="BF915" s="115"/>
      <c r="BG915" s="115"/>
      <c r="BH915" s="115"/>
      <c r="BI915" s="115"/>
      <c r="BJ915" s="115"/>
      <c r="BK915" s="115"/>
      <c r="BL915" s="115"/>
      <c r="BM915" s="115"/>
      <c r="BN915" s="115"/>
      <c r="BO915" s="115"/>
      <c r="BP915" s="115"/>
      <c r="BQ915" s="115"/>
      <c r="BR915" s="13"/>
      <c r="BS915" s="13"/>
      <c r="BV915" s="114"/>
    </row>
    <row r="916" spans="1:74" ht="19.5" x14ac:dyDescent="0.4">
      <c r="A916" s="117"/>
      <c r="B916" s="123"/>
      <c r="C916" s="123"/>
      <c r="D916" s="123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27"/>
      <c r="AJ916" s="29"/>
      <c r="AK916" s="115"/>
      <c r="AL916" s="115"/>
      <c r="AM916" s="115"/>
      <c r="AN916" s="115"/>
      <c r="AO916" s="115"/>
      <c r="AP916" s="115"/>
      <c r="AQ916" s="115"/>
      <c r="AR916" s="115"/>
      <c r="AS916" s="115"/>
      <c r="AT916" s="26"/>
      <c r="AU916" s="13"/>
      <c r="AZ916" s="117"/>
      <c r="BA916" s="123"/>
      <c r="BB916" s="123"/>
      <c r="BC916" s="123"/>
      <c r="BD916" s="115"/>
      <c r="BE916" s="115"/>
      <c r="BF916" s="115"/>
      <c r="BG916" s="115"/>
      <c r="BH916" s="115"/>
      <c r="BI916" s="115"/>
      <c r="BJ916" s="115"/>
      <c r="BK916" s="115"/>
      <c r="BL916" s="115"/>
      <c r="BM916" s="115"/>
      <c r="BN916" s="115"/>
      <c r="BO916" s="115"/>
      <c r="BP916" s="115"/>
      <c r="BQ916" s="115"/>
      <c r="BR916" s="13"/>
      <c r="BS916" s="13"/>
      <c r="BV916" s="114"/>
    </row>
    <row r="917" spans="1:74" ht="19.5" x14ac:dyDescent="0.4">
      <c r="A917" s="117"/>
      <c r="B917" s="123"/>
      <c r="C917" s="123"/>
      <c r="D917" s="123"/>
      <c r="AI917" s="127"/>
      <c r="AJ917" s="29"/>
      <c r="AT917" s="26"/>
      <c r="AU917" s="13"/>
      <c r="AZ917" s="117"/>
      <c r="BA917" s="123"/>
      <c r="BB917" s="123"/>
      <c r="BC917" s="123"/>
      <c r="BD917" s="115"/>
      <c r="BE917" s="115"/>
      <c r="BF917" s="115"/>
      <c r="BG917" s="115"/>
      <c r="BH917" s="115"/>
      <c r="BI917" s="115"/>
      <c r="BJ917" s="115"/>
      <c r="BK917" s="115"/>
      <c r="BL917" s="115"/>
      <c r="BM917" s="115"/>
      <c r="BN917" s="115"/>
      <c r="BO917" s="115"/>
      <c r="BP917" s="115"/>
      <c r="BQ917" s="115"/>
      <c r="BR917" s="25">
        <v>45270</v>
      </c>
      <c r="BS917" s="13" t="s">
        <v>164</v>
      </c>
      <c r="BV917" s="114"/>
    </row>
    <row r="918" spans="1:74" ht="19.5" x14ac:dyDescent="0.4">
      <c r="A918" s="117"/>
      <c r="B918" s="123"/>
      <c r="C918" s="123"/>
      <c r="D918" s="123"/>
      <c r="AI918" s="127"/>
      <c r="AJ918" s="29"/>
      <c r="AO918" s="115"/>
      <c r="AP918" s="115"/>
      <c r="AQ918" s="115"/>
      <c r="AR918" s="115"/>
      <c r="AS918" s="115"/>
      <c r="AT918" s="17"/>
      <c r="AU918" s="13"/>
      <c r="AZ918" s="117"/>
      <c r="BA918" s="123"/>
      <c r="BB918" s="123"/>
      <c r="BC918" s="123"/>
      <c r="BD918" s="115"/>
      <c r="BE918" s="115"/>
      <c r="BF918" s="115"/>
      <c r="BG918" s="115"/>
      <c r="BH918" s="115"/>
      <c r="BI918" s="115"/>
      <c r="BJ918" s="115"/>
      <c r="BK918" s="115"/>
      <c r="BL918" s="115"/>
      <c r="BM918" s="115"/>
      <c r="BN918" s="115"/>
      <c r="BO918" s="115"/>
      <c r="BP918" s="115"/>
      <c r="BQ918" s="115"/>
      <c r="BR918" s="25"/>
      <c r="BS918" s="13"/>
      <c r="BV918" s="114"/>
    </row>
    <row r="919" spans="1:74" ht="19.5" x14ac:dyDescent="0.4">
      <c r="A919" s="117"/>
      <c r="B919" s="123"/>
      <c r="C919" s="123"/>
      <c r="D919" s="123"/>
      <c r="AI919" s="127"/>
      <c r="AJ919" s="29"/>
      <c r="AT919" s="26"/>
      <c r="AU919" s="13"/>
      <c r="AZ919" s="117"/>
      <c r="BA919" s="123"/>
      <c r="BB919" s="123"/>
      <c r="BC919" s="123"/>
      <c r="BD919" s="115"/>
      <c r="BE919" s="115"/>
      <c r="BF919" s="115"/>
      <c r="BG919" s="115"/>
      <c r="BH919" s="115"/>
      <c r="BI919" s="115"/>
      <c r="BJ919" s="115"/>
      <c r="BK919" s="115"/>
      <c r="BL919" s="115"/>
      <c r="BM919" s="115"/>
      <c r="BN919" s="115"/>
      <c r="BO919" s="115"/>
      <c r="BP919" s="115"/>
      <c r="BQ919" s="115"/>
      <c r="BR919" s="25"/>
      <c r="BS919" s="13"/>
      <c r="BV919" s="114"/>
    </row>
    <row r="920" spans="1:74" ht="19.5" x14ac:dyDescent="0.4">
      <c r="A920" s="117"/>
      <c r="B920" s="123"/>
      <c r="C920" s="123"/>
      <c r="D920" s="123"/>
      <c r="AI920" s="127"/>
      <c r="AJ920" s="29"/>
      <c r="AL920" s="115"/>
      <c r="AM920" s="115"/>
      <c r="AN920" s="115"/>
      <c r="AO920" s="115"/>
      <c r="AP920" s="115"/>
      <c r="AQ920" s="115"/>
      <c r="AR920" s="115"/>
      <c r="AS920" s="115"/>
      <c r="AT920" s="26"/>
      <c r="AU920" s="13"/>
      <c r="AZ920" s="117"/>
      <c r="BA920" s="123"/>
      <c r="BB920" s="123"/>
      <c r="BC920" s="123"/>
      <c r="BD920" s="115"/>
      <c r="BE920" s="115"/>
      <c r="BF920" s="115"/>
      <c r="BG920" s="115"/>
      <c r="BH920" s="115"/>
      <c r="BI920" s="115"/>
      <c r="BJ920" s="115"/>
      <c r="BK920" s="115"/>
      <c r="BL920" s="115"/>
      <c r="BM920" s="115"/>
      <c r="BN920" s="115"/>
      <c r="BO920" s="115"/>
      <c r="BP920" s="115"/>
      <c r="BQ920" s="115"/>
      <c r="BR920" s="25"/>
      <c r="BS920" s="13"/>
      <c r="BV920" s="114"/>
    </row>
    <row r="921" spans="1:74" ht="19.5" x14ac:dyDescent="0.4">
      <c r="A921" s="117"/>
      <c r="B921" s="123"/>
      <c r="C921" s="123"/>
      <c r="D921" s="123"/>
      <c r="AI921" s="127"/>
      <c r="AJ921" s="29"/>
      <c r="AT921" s="26"/>
      <c r="AU921" s="13"/>
      <c r="AZ921" s="117"/>
      <c r="BA921" s="123"/>
      <c r="BB921" s="123"/>
      <c r="BC921" s="123"/>
      <c r="BD921" s="115"/>
      <c r="BE921" s="115"/>
      <c r="BF921" s="115"/>
      <c r="BG921" s="115"/>
      <c r="BH921" s="115"/>
      <c r="BI921" s="115"/>
      <c r="BJ921" s="115"/>
      <c r="BK921" s="115"/>
      <c r="BL921" s="115"/>
      <c r="BM921" s="115"/>
      <c r="BN921" s="115"/>
      <c r="BO921" s="115"/>
      <c r="BP921" s="115"/>
      <c r="BQ921" s="115"/>
      <c r="BR921" s="25">
        <v>45270</v>
      </c>
      <c r="BS921" s="13" t="s">
        <v>164</v>
      </c>
      <c r="BV921" s="114"/>
    </row>
    <row r="922" spans="1:74" ht="19.5" x14ac:dyDescent="0.4">
      <c r="A922" s="117"/>
      <c r="B922" s="123"/>
      <c r="C922" s="123"/>
      <c r="D922" s="123"/>
      <c r="AI922" s="127"/>
      <c r="AJ922" s="29"/>
      <c r="AN922" s="115"/>
      <c r="AO922" s="115"/>
      <c r="AP922" s="115"/>
      <c r="AQ922" s="115"/>
      <c r="AR922" s="115"/>
      <c r="AS922" s="115"/>
      <c r="AT922" s="26"/>
      <c r="AU922" s="13"/>
      <c r="AZ922" s="117"/>
      <c r="BA922" s="123"/>
      <c r="BB922" s="123"/>
      <c r="BC922" s="123"/>
      <c r="BD922" s="115"/>
      <c r="BE922" s="115"/>
      <c r="BF922" s="115"/>
      <c r="BG922" s="115"/>
      <c r="BH922" s="115"/>
      <c r="BI922" s="115"/>
      <c r="BJ922" s="115"/>
      <c r="BK922" s="115"/>
      <c r="BL922" s="115"/>
      <c r="BM922" s="115"/>
      <c r="BN922" s="115"/>
      <c r="BO922" s="115"/>
      <c r="BP922" s="115"/>
      <c r="BQ922" s="115"/>
      <c r="BR922" s="25"/>
      <c r="BS922" s="13"/>
      <c r="BV922" s="114"/>
    </row>
    <row r="923" spans="1:74" ht="19.5" x14ac:dyDescent="0.4">
      <c r="A923" s="117"/>
      <c r="B923" s="123"/>
      <c r="C923" s="123"/>
      <c r="D923" s="123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27"/>
      <c r="AJ923" s="29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26"/>
      <c r="AU923" s="13"/>
      <c r="AZ923" s="117"/>
      <c r="BA923" s="123"/>
      <c r="BB923" s="123"/>
      <c r="BC923" s="123"/>
      <c r="BD923" s="115"/>
      <c r="BE923" s="115"/>
      <c r="BF923" s="115"/>
      <c r="BG923" s="115"/>
      <c r="BH923" s="115"/>
      <c r="BI923" s="115"/>
      <c r="BJ923" s="115"/>
      <c r="BK923" s="115"/>
      <c r="BL923" s="115"/>
      <c r="BM923" s="115"/>
      <c r="BN923" s="115"/>
      <c r="BO923" s="115"/>
      <c r="BP923" s="115"/>
      <c r="BQ923" s="115"/>
      <c r="BR923" s="25"/>
      <c r="BS923" s="13"/>
      <c r="BV923" s="114"/>
    </row>
    <row r="924" spans="1:74" ht="19.5" x14ac:dyDescent="0.4">
      <c r="A924" s="117"/>
      <c r="B924" s="123"/>
      <c r="C924" s="123"/>
      <c r="D924" s="123"/>
      <c r="AI924" s="127"/>
      <c r="AJ924" s="29"/>
      <c r="AT924" s="26"/>
      <c r="AU924" s="13"/>
      <c r="AZ924" s="117"/>
      <c r="BA924" s="123"/>
      <c r="BB924" s="123"/>
      <c r="BC924" s="123"/>
      <c r="BD924" s="115"/>
      <c r="BE924" s="115"/>
      <c r="BF924" s="115"/>
      <c r="BG924" s="115"/>
      <c r="BH924" s="115"/>
      <c r="BI924" s="115"/>
      <c r="BJ924" s="115"/>
      <c r="BK924" s="115"/>
      <c r="BL924" s="115"/>
      <c r="BM924" s="115"/>
      <c r="BN924" s="115"/>
      <c r="BO924" s="115"/>
      <c r="BP924" s="115"/>
      <c r="BQ924" s="115"/>
      <c r="BR924" s="25">
        <v>45270</v>
      </c>
      <c r="BS924" s="13" t="s">
        <v>162</v>
      </c>
      <c r="BV924" s="114"/>
    </row>
    <row r="925" spans="1:74" ht="19.5" x14ac:dyDescent="0.4">
      <c r="A925" s="117"/>
      <c r="B925" s="123"/>
      <c r="C925" s="123"/>
      <c r="D925" s="123"/>
      <c r="AI925" s="127"/>
      <c r="AJ925" s="29"/>
      <c r="AM925" s="115"/>
      <c r="AN925" s="115"/>
      <c r="AO925" s="115"/>
      <c r="AP925" s="115"/>
      <c r="AQ925" s="115"/>
      <c r="AR925" s="115"/>
      <c r="AS925" s="115"/>
      <c r="AT925" s="26"/>
      <c r="AU925" s="15"/>
      <c r="AZ925" s="117"/>
      <c r="BA925" s="123"/>
      <c r="BB925" s="123"/>
      <c r="BC925" s="123"/>
      <c r="BD925" s="115"/>
      <c r="BE925" s="115"/>
      <c r="BF925" s="115"/>
      <c r="BG925" s="115"/>
      <c r="BH925" s="115"/>
      <c r="BI925" s="115"/>
      <c r="BJ925" s="115"/>
      <c r="BK925" s="115"/>
      <c r="BL925" s="115"/>
      <c r="BM925" s="115"/>
      <c r="BN925" s="115"/>
      <c r="BO925" s="115"/>
      <c r="BP925" s="115"/>
      <c r="BQ925" s="115"/>
      <c r="BR925" s="25"/>
      <c r="BS925" s="13"/>
      <c r="BV925" s="114"/>
    </row>
    <row r="926" spans="1:74" ht="19.5" x14ac:dyDescent="0.4">
      <c r="A926" s="117"/>
      <c r="B926" s="123"/>
      <c r="C926" s="123"/>
      <c r="D926" s="123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  <c r="AD926" s="115"/>
      <c r="AE926" s="115"/>
      <c r="AF926" s="115"/>
      <c r="AG926" s="115"/>
      <c r="AH926" s="115"/>
      <c r="AI926" s="29"/>
      <c r="AJ926" s="29"/>
      <c r="AM926" s="115"/>
      <c r="AN926" s="115"/>
      <c r="AO926" s="115"/>
      <c r="AP926" s="115"/>
      <c r="AQ926" s="115"/>
      <c r="AR926" s="115"/>
      <c r="AS926" s="115"/>
      <c r="AT926" s="26"/>
      <c r="AU926" s="13"/>
      <c r="AZ926" s="117"/>
      <c r="BA926" s="123"/>
      <c r="BB926" s="123"/>
      <c r="BC926" s="123"/>
      <c r="BD926" s="115"/>
      <c r="BE926" s="115"/>
      <c r="BF926" s="115"/>
      <c r="BG926" s="115"/>
      <c r="BH926" s="115"/>
      <c r="BI926" s="115"/>
      <c r="BJ926" s="115"/>
      <c r="BK926" s="115"/>
      <c r="BL926" s="115"/>
      <c r="BM926" s="115"/>
      <c r="BN926" s="115"/>
      <c r="BO926" s="115"/>
      <c r="BP926" s="115"/>
      <c r="BQ926" s="115"/>
      <c r="BR926" s="25"/>
      <c r="BS926" s="13"/>
      <c r="BV926" s="114"/>
    </row>
    <row r="927" spans="1:74" ht="19.5" x14ac:dyDescent="0.4">
      <c r="A927" s="117"/>
      <c r="B927" s="123"/>
      <c r="C927" s="123"/>
      <c r="D927" s="123"/>
      <c r="AI927" s="127"/>
      <c r="AJ927" s="29"/>
      <c r="AT927" s="26"/>
      <c r="AU927" s="13"/>
      <c r="AZ927" s="117"/>
      <c r="BA927" s="123"/>
      <c r="BB927" s="123"/>
      <c r="BC927" s="123"/>
      <c r="BD927" s="115"/>
      <c r="BE927" s="115"/>
      <c r="BF927" s="115"/>
      <c r="BG927" s="115"/>
      <c r="BH927" s="115"/>
      <c r="BI927" s="115"/>
      <c r="BJ927" s="115"/>
      <c r="BK927" s="115"/>
      <c r="BL927" s="115"/>
      <c r="BM927" s="115"/>
      <c r="BN927" s="115"/>
      <c r="BO927" s="115"/>
      <c r="BP927" s="115"/>
      <c r="BQ927" s="115"/>
      <c r="BR927" s="25">
        <v>45270</v>
      </c>
      <c r="BS927" s="13" t="s">
        <v>162</v>
      </c>
      <c r="BV927" s="114"/>
    </row>
    <row r="928" spans="1:74" ht="19.5" x14ac:dyDescent="0.4">
      <c r="A928" s="117"/>
      <c r="B928" s="123"/>
      <c r="C928" s="123"/>
      <c r="D928" s="123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  <c r="AD928" s="115"/>
      <c r="AE928" s="115"/>
      <c r="AF928" s="115"/>
      <c r="AG928" s="115"/>
      <c r="AH928" s="115"/>
      <c r="AI928" s="29"/>
      <c r="AJ928" s="29"/>
      <c r="AT928" s="26"/>
      <c r="AU928" s="13"/>
      <c r="AZ928" s="117"/>
      <c r="BA928" s="123"/>
      <c r="BB928" s="123"/>
      <c r="BC928" s="123"/>
      <c r="BD928" s="115"/>
      <c r="BE928" s="115"/>
      <c r="BF928" s="115"/>
      <c r="BG928" s="115"/>
      <c r="BH928" s="115"/>
      <c r="BI928" s="115"/>
      <c r="BJ928" s="115"/>
      <c r="BK928" s="115"/>
      <c r="BL928" s="115"/>
      <c r="BM928" s="115"/>
      <c r="BN928" s="115"/>
      <c r="BO928" s="115"/>
      <c r="BP928" s="115"/>
      <c r="BQ928" s="115"/>
      <c r="BR928" s="25"/>
      <c r="BS928" s="13"/>
      <c r="BV928" s="114"/>
    </row>
    <row r="929" spans="1:74" ht="19.5" x14ac:dyDescent="0.4">
      <c r="A929" s="117"/>
      <c r="B929" s="123"/>
      <c r="C929" s="123"/>
      <c r="D929" s="123"/>
      <c r="AI929" s="127"/>
      <c r="AJ929" s="29"/>
      <c r="AO929" s="115"/>
      <c r="AP929" s="115"/>
      <c r="AQ929" s="115"/>
      <c r="AR929" s="115"/>
      <c r="AS929" s="115"/>
      <c r="AT929" s="17"/>
      <c r="AU929" s="13"/>
      <c r="AZ929" s="117"/>
      <c r="BA929" s="123"/>
      <c r="BB929" s="123"/>
      <c r="BC929" s="123"/>
      <c r="BD929" s="115"/>
      <c r="BE929" s="115"/>
      <c r="BF929" s="115"/>
      <c r="BG929" s="115"/>
      <c r="BH929" s="115"/>
      <c r="BI929" s="115"/>
      <c r="BJ929" s="115"/>
      <c r="BK929" s="115"/>
      <c r="BL929" s="115"/>
      <c r="BM929" s="115"/>
      <c r="BN929" s="115"/>
      <c r="BO929" s="115"/>
      <c r="BP929" s="115"/>
      <c r="BQ929" s="115"/>
      <c r="BR929" s="25"/>
      <c r="BS929" s="13"/>
      <c r="BV929" s="114"/>
    </row>
    <row r="930" spans="1:74" ht="19.5" x14ac:dyDescent="0.4">
      <c r="A930" s="117"/>
      <c r="B930" s="123"/>
      <c r="C930" s="123"/>
      <c r="D930" s="123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  <c r="AD930" s="115"/>
      <c r="AE930" s="115"/>
      <c r="AF930" s="115"/>
      <c r="AG930" s="115"/>
      <c r="AH930" s="115"/>
      <c r="AI930" s="29"/>
      <c r="AJ930" s="29"/>
      <c r="AO930" s="115"/>
      <c r="AP930" s="115"/>
      <c r="AQ930" s="115"/>
      <c r="AR930" s="115"/>
      <c r="AS930" s="115"/>
      <c r="AT930" s="17"/>
      <c r="AU930" s="13"/>
      <c r="AZ930" s="117"/>
      <c r="BA930" s="123"/>
      <c r="BB930" s="123"/>
      <c r="BC930" s="123"/>
      <c r="BD930" s="115"/>
      <c r="BE930" s="115"/>
      <c r="BF930" s="115"/>
      <c r="BG930" s="115"/>
      <c r="BH930" s="115"/>
      <c r="BI930" s="115"/>
      <c r="BJ930" s="115"/>
      <c r="BK930" s="115"/>
      <c r="BL930" s="115"/>
      <c r="BM930" s="115"/>
      <c r="BN930" s="115"/>
      <c r="BO930" s="115"/>
      <c r="BP930" s="115"/>
      <c r="BQ930" s="115"/>
      <c r="BR930" s="25"/>
      <c r="BS930" s="13"/>
      <c r="BV930" s="114"/>
    </row>
    <row r="931" spans="1:74" ht="19.5" x14ac:dyDescent="0.4">
      <c r="A931" s="117"/>
      <c r="B931" s="123"/>
      <c r="C931" s="123"/>
      <c r="D931" s="123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  <c r="AD931" s="115"/>
      <c r="AE931" s="115"/>
      <c r="AF931" s="115"/>
      <c r="AG931" s="115"/>
      <c r="AH931" s="115"/>
      <c r="AI931" s="29"/>
      <c r="AJ931" s="29"/>
      <c r="AO931" s="115"/>
      <c r="AP931" s="115"/>
      <c r="AQ931" s="115"/>
      <c r="AR931" s="115"/>
      <c r="AS931" s="115"/>
      <c r="AT931" s="17"/>
      <c r="AU931" s="13"/>
      <c r="AZ931" s="117"/>
      <c r="BA931" s="123"/>
      <c r="BB931" s="123"/>
      <c r="BC931" s="123"/>
      <c r="BD931" s="115"/>
      <c r="BE931" s="115"/>
      <c r="BF931" s="115"/>
      <c r="BG931" s="115"/>
      <c r="BH931" s="115"/>
      <c r="BI931" s="115"/>
      <c r="BJ931" s="115"/>
      <c r="BK931" s="115"/>
      <c r="BL931" s="115"/>
      <c r="BM931" s="115"/>
      <c r="BN931" s="115"/>
      <c r="BO931" s="115"/>
      <c r="BP931" s="115"/>
      <c r="BQ931" s="115"/>
      <c r="BR931" s="25"/>
      <c r="BS931" s="13"/>
      <c r="BV931" s="114"/>
    </row>
    <row r="932" spans="1:74" ht="19.5" x14ac:dyDescent="0.4">
      <c r="A932" s="117"/>
      <c r="B932" s="123"/>
      <c r="C932" s="123"/>
      <c r="D932" s="123"/>
      <c r="AI932" s="115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26"/>
      <c r="AU932" s="13"/>
      <c r="AZ932" s="117"/>
      <c r="BA932" s="123"/>
      <c r="BB932" s="123"/>
      <c r="BC932" s="123"/>
      <c r="BD932" s="115"/>
      <c r="BE932" s="115"/>
      <c r="BF932" s="115"/>
      <c r="BG932" s="115"/>
      <c r="BH932" s="115"/>
      <c r="BI932" s="115"/>
      <c r="BJ932" s="115"/>
      <c r="BK932" s="115"/>
      <c r="BL932" s="115"/>
      <c r="BM932" s="115"/>
      <c r="BN932" s="115"/>
      <c r="BO932" s="115"/>
      <c r="BP932" s="115"/>
      <c r="BQ932" s="115"/>
      <c r="BR932" s="25"/>
      <c r="BS932" s="13"/>
      <c r="BV932" s="114"/>
    </row>
    <row r="933" spans="1:74" ht="19.5" x14ac:dyDescent="0.4">
      <c r="A933" s="117"/>
      <c r="B933" s="123"/>
      <c r="C933" s="123"/>
      <c r="D933" s="123"/>
      <c r="AT933" s="26"/>
      <c r="AU933" s="13"/>
      <c r="AZ933" s="117"/>
      <c r="BA933" s="123"/>
      <c r="BB933" s="123"/>
      <c r="BC933" s="123"/>
      <c r="BD933" s="115"/>
      <c r="BE933" s="115"/>
      <c r="BF933" s="115"/>
      <c r="BG933" s="115"/>
      <c r="BH933" s="115"/>
      <c r="BI933" s="115"/>
      <c r="BJ933" s="115"/>
      <c r="BK933" s="115"/>
      <c r="BL933" s="115"/>
      <c r="BM933" s="115"/>
      <c r="BN933" s="115"/>
      <c r="BO933" s="115"/>
      <c r="BP933" s="115"/>
      <c r="BQ933" s="115"/>
      <c r="BR933" s="25"/>
      <c r="BS933" s="13"/>
      <c r="BV933" s="114"/>
    </row>
    <row r="934" spans="1:74" ht="19.5" x14ac:dyDescent="0.4">
      <c r="A934" s="117"/>
      <c r="B934" s="123"/>
      <c r="C934" s="123"/>
      <c r="D934" s="123"/>
      <c r="AT934" s="26"/>
      <c r="AU934" s="13"/>
      <c r="AZ934" s="117"/>
      <c r="BA934" s="123"/>
      <c r="BB934" s="123"/>
      <c r="BC934" s="123"/>
      <c r="BD934" s="115"/>
      <c r="BE934" s="115"/>
      <c r="BF934" s="115"/>
      <c r="BG934" s="115"/>
      <c r="BH934" s="115"/>
      <c r="BI934" s="115"/>
      <c r="BJ934" s="115"/>
      <c r="BK934" s="115"/>
      <c r="BL934" s="115"/>
      <c r="BM934" s="115"/>
      <c r="BN934" s="115"/>
      <c r="BO934" s="115"/>
      <c r="BP934" s="115"/>
      <c r="BQ934" s="115"/>
      <c r="BR934" s="25">
        <v>45270</v>
      </c>
      <c r="BS934" s="13" t="s">
        <v>163</v>
      </c>
      <c r="BV934" s="114"/>
    </row>
    <row r="935" spans="1:74" ht="19.5" x14ac:dyDescent="0.4">
      <c r="A935" s="117"/>
      <c r="B935" s="123"/>
      <c r="C935" s="123"/>
      <c r="D935" s="123"/>
      <c r="AO935" s="115"/>
      <c r="AP935" s="115"/>
      <c r="AQ935" s="115"/>
      <c r="AR935" s="115"/>
      <c r="AS935" s="115"/>
      <c r="AT935" s="17"/>
      <c r="AU935" s="13"/>
      <c r="AZ935" s="117"/>
      <c r="BA935" s="123"/>
      <c r="BB935" s="123"/>
      <c r="BC935" s="123"/>
      <c r="BD935" s="115"/>
      <c r="BE935" s="115"/>
      <c r="BF935" s="115"/>
      <c r="BG935" s="115"/>
      <c r="BH935" s="115"/>
      <c r="BI935" s="115"/>
      <c r="BJ935" s="115"/>
      <c r="BK935" s="115"/>
      <c r="BL935" s="115"/>
      <c r="BM935" s="115"/>
      <c r="BN935" s="115"/>
      <c r="BO935" s="115"/>
      <c r="BP935" s="115"/>
      <c r="BQ935" s="115"/>
      <c r="BR935" s="25"/>
      <c r="BS935" s="13"/>
      <c r="BV935" s="114"/>
    </row>
    <row r="936" spans="1:74" ht="19.5" x14ac:dyDescent="0.4">
      <c r="A936" s="117"/>
      <c r="B936" s="123"/>
      <c r="C936" s="123"/>
      <c r="D936" s="123"/>
      <c r="AT936" s="26"/>
      <c r="AU936" s="13"/>
      <c r="AZ936" s="117"/>
      <c r="BA936" s="123"/>
      <c r="BB936" s="123"/>
      <c r="BC936" s="123"/>
      <c r="BD936" s="115"/>
      <c r="BE936" s="115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115"/>
      <c r="BP936" s="115"/>
      <c r="BQ936" s="115" t="s">
        <v>151</v>
      </c>
      <c r="BR936" s="13">
        <f>SUBTOTAL(3,BR917:BR934)</f>
        <v>5</v>
      </c>
      <c r="BS936" s="13">
        <f>SUBTOTAL(3,BS917:BS934)</f>
        <v>5</v>
      </c>
      <c r="BV936" s="114"/>
    </row>
    <row r="937" spans="1:74" ht="19.5" x14ac:dyDescent="0.4">
      <c r="A937" s="117"/>
      <c r="B937" s="123"/>
      <c r="C937" s="123"/>
      <c r="D937" s="123"/>
      <c r="AN937" s="115"/>
      <c r="AO937" s="115"/>
      <c r="AP937" s="115"/>
      <c r="AQ937" s="115"/>
      <c r="AR937" s="115"/>
      <c r="AS937" s="115"/>
      <c r="AT937" s="26"/>
      <c r="AU937" s="13"/>
      <c r="AZ937" s="117"/>
      <c r="BA937" s="123"/>
      <c r="BB937" s="123"/>
      <c r="BC937" s="123"/>
      <c r="BD937" s="115"/>
      <c r="BE937" s="115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115"/>
      <c r="BP937" s="115"/>
      <c r="BQ937" s="115"/>
      <c r="BR937" s="13"/>
      <c r="BS937" s="13"/>
      <c r="BV937" s="114"/>
    </row>
    <row r="938" spans="1:74" ht="19.5" x14ac:dyDescent="0.4">
      <c r="A938" s="117"/>
      <c r="B938" s="123"/>
      <c r="C938" s="123"/>
      <c r="D938" s="123"/>
      <c r="AT938" s="26"/>
      <c r="AU938" s="13"/>
      <c r="AZ938" s="117"/>
      <c r="BA938" s="123"/>
      <c r="BB938" s="123"/>
      <c r="BC938" s="123"/>
      <c r="BD938" s="115"/>
      <c r="BE938" s="115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115"/>
      <c r="BP938" s="115"/>
      <c r="BQ938" s="115"/>
      <c r="BR938" s="25">
        <v>45271</v>
      </c>
      <c r="BS938" s="13" t="s">
        <v>162</v>
      </c>
      <c r="BV938" s="114"/>
    </row>
    <row r="939" spans="1:74" ht="19.5" x14ac:dyDescent="0.4">
      <c r="A939" s="117"/>
      <c r="B939" s="123"/>
      <c r="C939" s="123"/>
      <c r="D939" s="123"/>
      <c r="AT939" s="26"/>
      <c r="AU939" s="13"/>
      <c r="AZ939" s="117"/>
      <c r="BA939" s="123"/>
      <c r="BB939" s="123"/>
      <c r="BC939" s="123"/>
      <c r="BD939" s="115"/>
      <c r="BE939" s="115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115"/>
      <c r="BP939" s="115"/>
      <c r="BQ939" s="115"/>
      <c r="BR939" s="25">
        <v>45271</v>
      </c>
      <c r="BS939" s="13" t="s">
        <v>163</v>
      </c>
      <c r="BV939" s="114"/>
    </row>
    <row r="940" spans="1:74" ht="19.5" x14ac:dyDescent="0.4">
      <c r="A940" s="117"/>
      <c r="B940" s="123"/>
      <c r="C940" s="123"/>
      <c r="D940" s="123"/>
      <c r="AN940" s="115"/>
      <c r="AO940" s="115"/>
      <c r="AP940" s="115"/>
      <c r="AQ940" s="115"/>
      <c r="AR940" s="115"/>
      <c r="AS940" s="115"/>
      <c r="AT940" s="26"/>
      <c r="AU940" s="13"/>
      <c r="AZ940" s="117"/>
      <c r="BA940" s="123"/>
      <c r="BB940" s="123"/>
      <c r="BC940" s="123"/>
      <c r="BD940" s="115"/>
      <c r="BE940" s="115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115"/>
      <c r="BP940" s="115"/>
      <c r="BQ940" s="115"/>
      <c r="BR940" s="25"/>
      <c r="BS940" s="13"/>
      <c r="BV940" s="114"/>
    </row>
    <row r="941" spans="1:74" ht="19.5" x14ac:dyDescent="0.4">
      <c r="A941" s="117"/>
      <c r="B941" s="123"/>
      <c r="C941" s="123"/>
      <c r="D941" s="123"/>
      <c r="AM941" s="115"/>
      <c r="AN941" s="115"/>
      <c r="AO941" s="115"/>
      <c r="AP941" s="115"/>
      <c r="AQ941" s="115"/>
      <c r="AR941" s="115"/>
      <c r="AS941" s="115"/>
      <c r="AT941" s="26"/>
      <c r="AU941" s="13"/>
      <c r="AZ941" s="117"/>
      <c r="BA941" s="123"/>
      <c r="BB941" s="123"/>
      <c r="BC941" s="123"/>
      <c r="BD941" s="115"/>
      <c r="BE941" s="115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115"/>
      <c r="BP941" s="115"/>
      <c r="BQ941" s="115"/>
      <c r="BR941" s="25"/>
      <c r="BS941" s="13"/>
      <c r="BV941" s="114"/>
    </row>
    <row r="942" spans="1:74" ht="19.5" x14ac:dyDescent="0.4">
      <c r="A942" s="117"/>
      <c r="B942" s="123"/>
      <c r="C942" s="123"/>
      <c r="D942" s="123"/>
      <c r="AM942" s="115"/>
      <c r="AN942" s="115"/>
      <c r="AO942" s="115"/>
      <c r="AP942" s="115"/>
      <c r="AQ942" s="115"/>
      <c r="AR942" s="115"/>
      <c r="AS942" s="115"/>
      <c r="AT942" s="17"/>
      <c r="AU942" s="13"/>
      <c r="AZ942" s="117"/>
      <c r="BA942" s="123"/>
      <c r="BB942" s="123"/>
      <c r="BC942" s="123"/>
      <c r="BD942" s="115"/>
      <c r="BE942" s="115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115"/>
      <c r="BP942" s="115"/>
      <c r="BQ942" s="115"/>
      <c r="BR942" s="25"/>
      <c r="BS942" s="13"/>
      <c r="BV942" s="114"/>
    </row>
    <row r="943" spans="1:74" ht="19.5" x14ac:dyDescent="0.4">
      <c r="A943" s="117"/>
      <c r="B943" s="123"/>
      <c r="C943" s="123"/>
      <c r="D943" s="123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26"/>
      <c r="AU943" s="13"/>
      <c r="AZ943" s="117"/>
      <c r="BA943" s="123"/>
      <c r="BB943" s="123"/>
      <c r="BC943" s="123"/>
      <c r="BD943" s="115"/>
      <c r="BE943" s="115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115"/>
      <c r="BP943" s="115"/>
      <c r="BQ943" s="115"/>
      <c r="BR943" s="25"/>
      <c r="BS943" s="13"/>
      <c r="BV943" s="114"/>
    </row>
    <row r="944" spans="1:74" ht="19.5" x14ac:dyDescent="0.4">
      <c r="A944" s="117"/>
      <c r="B944" s="123"/>
      <c r="C944" s="123"/>
      <c r="D944" s="123"/>
      <c r="AT944" s="26"/>
      <c r="AU944" s="13"/>
      <c r="AZ944" s="117"/>
      <c r="BA944" s="123"/>
      <c r="BB944" s="123"/>
      <c r="BC944" s="123"/>
      <c r="BD944" s="115"/>
      <c r="BE944" s="115"/>
      <c r="BF944" s="115"/>
      <c r="BG944" s="115"/>
      <c r="BH944" s="115"/>
      <c r="BI944" s="115"/>
      <c r="BJ944" s="115"/>
      <c r="BK944" s="115"/>
      <c r="BL944" s="115"/>
      <c r="BM944" s="115"/>
      <c r="BN944" s="115"/>
      <c r="BO944" s="115"/>
      <c r="BP944" s="115"/>
      <c r="BQ944" s="115"/>
      <c r="BR944" s="25">
        <v>45271</v>
      </c>
      <c r="BS944" s="13" t="s">
        <v>163</v>
      </c>
      <c r="BV944" s="114"/>
    </row>
    <row r="945" spans="1:74" ht="19.5" x14ac:dyDescent="0.4">
      <c r="A945" s="117"/>
      <c r="B945" s="123"/>
      <c r="C945" s="123"/>
      <c r="D945" s="123"/>
      <c r="AN945" s="115"/>
      <c r="AO945" s="115"/>
      <c r="AP945" s="115"/>
      <c r="AQ945" s="115"/>
      <c r="AR945" s="115"/>
      <c r="AS945" s="115"/>
      <c r="AT945" s="26"/>
      <c r="AU945" s="13"/>
      <c r="AZ945" s="117"/>
      <c r="BA945" s="123"/>
      <c r="BB945" s="123"/>
      <c r="BC945" s="123"/>
      <c r="BD945" s="115"/>
      <c r="BE945" s="115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15"/>
      <c r="BP945" s="115"/>
      <c r="BQ945" s="115"/>
      <c r="BR945" s="25"/>
      <c r="BS945" s="13"/>
      <c r="BV945" s="114"/>
    </row>
    <row r="946" spans="1:74" ht="19.5" x14ac:dyDescent="0.4">
      <c r="A946" s="117"/>
      <c r="B946" s="123"/>
      <c r="C946" s="123"/>
      <c r="D946" s="123"/>
      <c r="AL946" s="115"/>
      <c r="AM946" s="115"/>
      <c r="AN946" s="115"/>
      <c r="AO946" s="115"/>
      <c r="AP946" s="115"/>
      <c r="AQ946" s="115"/>
      <c r="AR946" s="115"/>
      <c r="AS946" s="115"/>
      <c r="AT946" s="26"/>
      <c r="AU946" s="13"/>
      <c r="AZ946" s="117"/>
      <c r="BA946" s="123"/>
      <c r="BB946" s="123"/>
      <c r="BC946" s="123"/>
      <c r="BD946" s="115"/>
      <c r="BE946" s="115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115"/>
      <c r="BP946" s="115"/>
      <c r="BQ946" s="115"/>
      <c r="BR946" s="25"/>
      <c r="BS946" s="13"/>
      <c r="BV946" s="114"/>
    </row>
    <row r="947" spans="1:74" ht="19.5" x14ac:dyDescent="0.4">
      <c r="A947" s="117"/>
      <c r="B947" s="123"/>
      <c r="C947" s="123"/>
      <c r="D947" s="123"/>
      <c r="AL947" s="115"/>
      <c r="AM947" s="115"/>
      <c r="AN947" s="115"/>
      <c r="AO947" s="115"/>
      <c r="AP947" s="115"/>
      <c r="AQ947" s="115"/>
      <c r="AR947" s="115"/>
      <c r="AS947" s="115"/>
      <c r="AT947" s="17"/>
      <c r="AU947" s="13"/>
      <c r="AZ947" s="117"/>
      <c r="BA947" s="123"/>
      <c r="BB947" s="123"/>
      <c r="BC947" s="123"/>
      <c r="BD947" s="115"/>
      <c r="BE947" s="115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115"/>
      <c r="BP947" s="115"/>
      <c r="BQ947" s="115"/>
      <c r="BR947" s="25"/>
      <c r="BS947" s="13"/>
      <c r="BV947" s="114"/>
    </row>
    <row r="948" spans="1:74" ht="19.5" x14ac:dyDescent="0.4">
      <c r="A948" s="117"/>
      <c r="B948" s="123"/>
      <c r="C948" s="123"/>
      <c r="D948" s="123"/>
      <c r="AT948" s="26"/>
      <c r="AU948" s="13"/>
      <c r="AZ948" s="117"/>
      <c r="BA948" s="123"/>
      <c r="BB948" s="123"/>
      <c r="BC948" s="123"/>
      <c r="BD948" s="115"/>
      <c r="BE948" s="115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115"/>
      <c r="BP948" s="115"/>
      <c r="BQ948" s="115" t="s">
        <v>165</v>
      </c>
      <c r="BR948" s="13">
        <f>SUBTOTAL(3,BR938:BR944)</f>
        <v>3</v>
      </c>
      <c r="BS948" s="13">
        <f>SUBTOTAL(3,BS938:BS944)</f>
        <v>3</v>
      </c>
      <c r="BV948" s="114"/>
    </row>
    <row r="949" spans="1:74" ht="19.5" x14ac:dyDescent="0.4">
      <c r="A949" s="117"/>
      <c r="B949" s="123"/>
      <c r="C949" s="123"/>
      <c r="D949" s="123"/>
      <c r="AT949" s="26"/>
      <c r="AU949" s="13"/>
      <c r="AZ949" s="117"/>
      <c r="BA949" s="123"/>
      <c r="BB949" s="123"/>
      <c r="BC949" s="123"/>
      <c r="BD949" s="115"/>
      <c r="BE949" s="115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115"/>
      <c r="BP949" s="115"/>
      <c r="BQ949" s="115"/>
      <c r="BR949" s="25">
        <v>45272</v>
      </c>
      <c r="BS949" s="13" t="s">
        <v>162</v>
      </c>
      <c r="BV949" s="114"/>
    </row>
    <row r="950" spans="1:74" ht="19.5" x14ac:dyDescent="0.4">
      <c r="A950" s="117"/>
      <c r="B950" s="123"/>
      <c r="C950" s="123"/>
      <c r="D950" s="123"/>
      <c r="AO950" s="115"/>
      <c r="AP950" s="115"/>
      <c r="AQ950" s="115"/>
      <c r="AR950" s="115"/>
      <c r="AS950" s="115"/>
      <c r="AT950" s="17"/>
      <c r="AU950" s="13"/>
      <c r="AZ950" s="117"/>
      <c r="BA950" s="123"/>
      <c r="BB950" s="123"/>
      <c r="BC950" s="123"/>
      <c r="BD950" s="115"/>
      <c r="BE950" s="115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115"/>
      <c r="BP950" s="115"/>
      <c r="BQ950" s="115"/>
      <c r="BR950" s="25"/>
      <c r="BS950" s="13"/>
      <c r="BV950" s="114"/>
    </row>
    <row r="951" spans="1:74" ht="19.5" x14ac:dyDescent="0.4">
      <c r="A951" s="117"/>
      <c r="B951" s="123"/>
      <c r="C951" s="123"/>
      <c r="D951" s="123"/>
      <c r="AT951" s="26"/>
      <c r="AU951" s="15"/>
      <c r="AZ951" s="117"/>
      <c r="BA951" s="123"/>
      <c r="BB951" s="123"/>
      <c r="BC951" s="123"/>
      <c r="BD951" s="115"/>
      <c r="BE951" s="115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115"/>
      <c r="BP951" s="115"/>
      <c r="BQ951" s="115"/>
      <c r="BR951" s="25">
        <v>45272</v>
      </c>
      <c r="BS951" s="13" t="s">
        <v>162</v>
      </c>
      <c r="BV951" s="114"/>
    </row>
    <row r="952" spans="1:74" ht="19.5" x14ac:dyDescent="0.4">
      <c r="A952" s="117"/>
      <c r="B952" s="123"/>
      <c r="C952" s="123"/>
      <c r="D952" s="123"/>
      <c r="AO952" s="115"/>
      <c r="AP952" s="115"/>
      <c r="AQ952" s="115"/>
      <c r="AR952" s="115"/>
      <c r="AS952" s="115"/>
      <c r="AT952" s="17"/>
      <c r="AU952" s="13"/>
      <c r="AZ952" s="117"/>
      <c r="BA952" s="123"/>
      <c r="BB952" s="123"/>
      <c r="BC952" s="123"/>
      <c r="BD952" s="115"/>
      <c r="BE952" s="115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115"/>
      <c r="BP952" s="115"/>
      <c r="BQ952" s="115"/>
      <c r="BR952" s="25"/>
      <c r="BS952" s="13"/>
      <c r="BV952" s="114"/>
    </row>
    <row r="953" spans="1:74" ht="19.5" x14ac:dyDescent="0.4">
      <c r="A953" s="117"/>
      <c r="B953" s="123"/>
      <c r="C953" s="123"/>
      <c r="D953" s="123"/>
      <c r="AO953" s="115"/>
      <c r="AP953" s="115"/>
      <c r="AQ953" s="115"/>
      <c r="AR953" s="115"/>
      <c r="AS953" s="115"/>
      <c r="AT953" s="17"/>
      <c r="AU953" s="13"/>
      <c r="AZ953" s="117"/>
      <c r="BA953" s="123"/>
      <c r="BB953" s="123"/>
      <c r="BC953" s="123"/>
      <c r="BD953" s="115"/>
      <c r="BE953" s="115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115"/>
      <c r="BP953" s="115"/>
      <c r="BQ953" s="115"/>
      <c r="BR953" s="25"/>
      <c r="BS953" s="13"/>
      <c r="BV953" s="114"/>
    </row>
    <row r="954" spans="1:74" ht="19.5" x14ac:dyDescent="0.4">
      <c r="A954" s="117"/>
      <c r="B954" s="123"/>
      <c r="C954" s="123"/>
      <c r="D954" s="123"/>
      <c r="AT954" s="26"/>
      <c r="AU954" s="13"/>
      <c r="AZ954" s="117"/>
      <c r="BA954" s="123"/>
      <c r="BB954" s="123"/>
      <c r="BC954" s="123"/>
      <c r="BD954" s="115"/>
      <c r="BE954" s="115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115"/>
      <c r="BP954" s="115"/>
      <c r="BQ954" s="115"/>
      <c r="BR954" s="25">
        <v>45272</v>
      </c>
      <c r="BS954" s="13" t="s">
        <v>162</v>
      </c>
      <c r="BV954" s="114"/>
    </row>
    <row r="955" spans="1:74" ht="19.5" x14ac:dyDescent="0.4">
      <c r="A955" s="125"/>
      <c r="B955" s="126"/>
      <c r="C955" s="126"/>
      <c r="D955" s="126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  <c r="AD955" s="115"/>
      <c r="AE955" s="115"/>
      <c r="AF955" s="115"/>
      <c r="AG955" s="115"/>
      <c r="AH955" s="115"/>
      <c r="AI955" s="115"/>
      <c r="AJ955" s="115"/>
      <c r="AK955" s="115"/>
      <c r="AL955" s="115"/>
      <c r="AM955" s="115"/>
      <c r="AN955" s="115"/>
      <c r="AO955" s="115"/>
      <c r="AP955" s="115"/>
      <c r="AQ955" s="115"/>
      <c r="AR955" s="115"/>
      <c r="AS955" s="115"/>
      <c r="AT955" s="26"/>
      <c r="AU955" s="13"/>
      <c r="AZ955" s="117"/>
      <c r="BA955" s="123"/>
      <c r="BB955" s="123"/>
      <c r="BC955" s="123"/>
      <c r="BD955" s="115"/>
      <c r="BE955" s="115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115"/>
      <c r="BP955" s="115"/>
      <c r="BQ955" s="115"/>
      <c r="BR955" s="25"/>
      <c r="BS955" s="13"/>
      <c r="BV955" s="114"/>
    </row>
    <row r="956" spans="1:74" ht="19.5" x14ac:dyDescent="0.4">
      <c r="A956" s="125"/>
      <c r="B956" s="126"/>
      <c r="C956" s="126"/>
      <c r="D956" s="126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  <c r="AD956" s="115"/>
      <c r="AE956" s="115"/>
      <c r="AF956" s="115"/>
      <c r="AG956" s="115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26"/>
      <c r="AU956" s="13"/>
      <c r="AZ956" s="117"/>
      <c r="BA956" s="123"/>
      <c r="BB956" s="123"/>
      <c r="BC956" s="123"/>
      <c r="BD956" s="115"/>
      <c r="BE956" s="115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115"/>
      <c r="BP956" s="115"/>
      <c r="BQ956" s="115"/>
      <c r="BR956" s="25"/>
      <c r="BS956" s="13"/>
      <c r="BV956" s="114"/>
    </row>
    <row r="957" spans="1:74" ht="19.5" x14ac:dyDescent="0.4">
      <c r="A957" s="125"/>
      <c r="B957" s="126"/>
      <c r="C957" s="126"/>
      <c r="D957" s="126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  <c r="AD957" s="115"/>
      <c r="AE957" s="115"/>
      <c r="AF957" s="115"/>
      <c r="AG957" s="115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17"/>
      <c r="AU957" s="13"/>
      <c r="AZ957" s="117"/>
      <c r="BA957" s="123"/>
      <c r="BB957" s="123"/>
      <c r="BC957" s="123"/>
      <c r="BD957" s="115"/>
      <c r="BE957" s="115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115"/>
      <c r="BP957" s="115"/>
      <c r="BQ957" s="115"/>
      <c r="BR957" s="25"/>
      <c r="BS957" s="13"/>
      <c r="BV957" s="114"/>
    </row>
    <row r="958" spans="1:74" ht="19.5" x14ac:dyDescent="0.4">
      <c r="A958" s="125"/>
      <c r="B958" s="126"/>
      <c r="C958" s="126"/>
      <c r="D958" s="126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  <c r="AD958" s="115"/>
      <c r="AE958" s="115"/>
      <c r="AF958" s="115"/>
      <c r="AG958" s="115"/>
      <c r="AH958" s="115"/>
      <c r="AI958" s="115"/>
      <c r="AJ958" s="115"/>
      <c r="AK958" s="115"/>
      <c r="AL958" s="115"/>
      <c r="AM958" s="115"/>
      <c r="AN958" s="115"/>
      <c r="AO958" s="115"/>
      <c r="AP958" s="115"/>
      <c r="AQ958" s="115"/>
      <c r="AR958" s="115"/>
      <c r="AS958" s="115"/>
      <c r="AT958" s="26"/>
      <c r="AU958" s="13"/>
      <c r="AZ958" s="117"/>
      <c r="BA958" s="123"/>
      <c r="BB958" s="123"/>
      <c r="BC958" s="123"/>
      <c r="BD958" s="115"/>
      <c r="BE958" s="115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115"/>
      <c r="BP958" s="115"/>
      <c r="BQ958" s="115"/>
      <c r="BR958" s="25"/>
      <c r="BS958" s="13"/>
      <c r="BV958" s="114"/>
    </row>
    <row r="959" spans="1:74" ht="19.5" x14ac:dyDescent="0.4">
      <c r="AT959" s="26"/>
      <c r="AU959" s="13"/>
      <c r="AZ959" s="117"/>
      <c r="BA959" s="123"/>
      <c r="BB959" s="123"/>
      <c r="BC959" s="123"/>
      <c r="BD959" s="115"/>
      <c r="BE959" s="115"/>
      <c r="BF959" s="115"/>
      <c r="BG959" s="115"/>
      <c r="BH959" s="115"/>
      <c r="BI959" s="115"/>
      <c r="BJ959" s="115"/>
      <c r="BK959" s="115"/>
      <c r="BL959" s="115"/>
      <c r="BM959" s="115"/>
      <c r="BN959" s="115"/>
      <c r="BO959" s="115"/>
      <c r="BP959" s="115"/>
      <c r="BQ959" s="115"/>
      <c r="BR959" s="25">
        <v>45272</v>
      </c>
      <c r="BS959" s="13" t="s">
        <v>162</v>
      </c>
      <c r="BV959" s="114"/>
    </row>
    <row r="960" spans="1:74" ht="19.5" x14ac:dyDescent="0.4">
      <c r="AT960" s="26"/>
      <c r="AU960" s="13"/>
      <c r="AZ960" s="117"/>
      <c r="BA960" s="123"/>
      <c r="BB960" s="123"/>
      <c r="BC960" s="123"/>
      <c r="BD960" s="115"/>
      <c r="BE960" s="115"/>
      <c r="BF960" s="115"/>
      <c r="BG960" s="115"/>
      <c r="BH960" s="115"/>
      <c r="BI960" s="115"/>
      <c r="BJ960" s="115"/>
      <c r="BK960" s="115"/>
      <c r="BL960" s="115"/>
      <c r="BM960" s="115"/>
      <c r="BN960" s="115"/>
      <c r="BO960" s="115"/>
      <c r="BP960" s="115"/>
      <c r="BQ960" s="115"/>
      <c r="BR960" s="25"/>
      <c r="BS960" s="13"/>
      <c r="BV960" s="114"/>
    </row>
    <row r="961" spans="6:74" ht="19.5" x14ac:dyDescent="0.4"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26"/>
      <c r="AU961" s="25"/>
      <c r="AZ961" s="117"/>
      <c r="BA961" s="123"/>
      <c r="BB961" s="123"/>
      <c r="BC961" s="123"/>
      <c r="BD961" s="115"/>
      <c r="BE961" s="115"/>
      <c r="BF961" s="115"/>
      <c r="BG961" s="115"/>
      <c r="BH961" s="115"/>
      <c r="BI961" s="115"/>
      <c r="BJ961" s="115"/>
      <c r="BK961" s="115"/>
      <c r="BL961" s="115"/>
      <c r="BM961" s="115"/>
      <c r="BN961" s="115"/>
      <c r="BO961" s="115"/>
      <c r="BP961" s="115"/>
      <c r="BQ961" s="115"/>
      <c r="BR961" s="25"/>
      <c r="BS961" s="13"/>
      <c r="BV961" s="114"/>
    </row>
    <row r="962" spans="6:74" ht="19.5" x14ac:dyDescent="0.4">
      <c r="AT962" s="26"/>
      <c r="AU962" s="25"/>
      <c r="AZ962" s="117"/>
      <c r="BA962" s="123"/>
      <c r="BB962" s="123"/>
      <c r="BC962" s="123"/>
      <c r="BD962" s="115"/>
      <c r="BE962" s="115"/>
      <c r="BF962" s="115"/>
      <c r="BG962" s="115"/>
      <c r="BH962" s="115"/>
      <c r="BI962" s="115"/>
      <c r="BJ962" s="115"/>
      <c r="BK962" s="115"/>
      <c r="BL962" s="115"/>
      <c r="BM962" s="115"/>
      <c r="BN962" s="115"/>
      <c r="BO962" s="115"/>
      <c r="BP962" s="115"/>
      <c r="BQ962" s="115"/>
      <c r="BR962" s="25">
        <v>45272</v>
      </c>
      <c r="BS962" s="13" t="s">
        <v>162</v>
      </c>
      <c r="BV962" s="114"/>
    </row>
    <row r="963" spans="6:74" ht="19.5" x14ac:dyDescent="0.4">
      <c r="AT963" s="26"/>
      <c r="AU963" s="13"/>
      <c r="AZ963" s="117"/>
      <c r="BA963" s="123"/>
      <c r="BB963" s="123"/>
      <c r="BC963" s="123"/>
      <c r="BD963" s="115"/>
      <c r="BE963" s="115"/>
      <c r="BF963" s="115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15"/>
      <c r="BQ963" s="115"/>
      <c r="BR963" s="25">
        <v>45272</v>
      </c>
      <c r="BS963" s="15" t="s">
        <v>162</v>
      </c>
      <c r="BV963" s="114"/>
    </row>
    <row r="964" spans="6:74" ht="19.5" x14ac:dyDescent="0.4">
      <c r="AT964" s="26"/>
      <c r="AU964" s="13"/>
      <c r="AZ964" s="117"/>
      <c r="BA964" s="123"/>
      <c r="BB964" s="123"/>
      <c r="BC964" s="123"/>
      <c r="BD964" s="115"/>
      <c r="BE964" s="115"/>
      <c r="BF964" s="115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115"/>
      <c r="BQ964" s="115"/>
      <c r="BR964" s="25">
        <v>45272</v>
      </c>
      <c r="BS964" s="15" t="s">
        <v>162</v>
      </c>
      <c r="BV964" s="114"/>
    </row>
    <row r="965" spans="6:74" ht="19.5" x14ac:dyDescent="0.4"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6"/>
      <c r="AU965" s="13"/>
      <c r="AZ965" s="117"/>
      <c r="BA965" s="123"/>
      <c r="BB965" s="123"/>
      <c r="BC965" s="123"/>
      <c r="BD965" s="115"/>
      <c r="BE965" s="115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115"/>
      <c r="BQ965" s="115"/>
      <c r="BR965" s="25"/>
      <c r="BS965" s="15"/>
      <c r="BV965" s="114"/>
    </row>
    <row r="966" spans="6:74" ht="19.5" x14ac:dyDescent="0.4"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7"/>
      <c r="AU966" s="13"/>
      <c r="AZ966" s="117"/>
      <c r="BA966" s="123"/>
      <c r="BB966" s="123"/>
      <c r="BC966" s="123"/>
      <c r="BD966" s="115"/>
      <c r="BE966" s="115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115"/>
      <c r="BQ966" s="115"/>
      <c r="BR966" s="25"/>
      <c r="BS966" s="15"/>
      <c r="BV966" s="114"/>
    </row>
    <row r="967" spans="6:74" ht="19.5" x14ac:dyDescent="0.4">
      <c r="AT967" s="26"/>
      <c r="AU967" s="13"/>
      <c r="AZ967" s="117"/>
      <c r="BA967" s="123"/>
      <c r="BB967" s="123"/>
      <c r="BC967" s="123"/>
      <c r="BD967" s="115"/>
      <c r="BE967" s="115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115"/>
      <c r="BQ967" s="115"/>
      <c r="BR967" s="25">
        <v>45272</v>
      </c>
      <c r="BS967" s="15" t="s">
        <v>162</v>
      </c>
      <c r="BV967" s="114"/>
    </row>
    <row r="968" spans="6:74" ht="19.5" x14ac:dyDescent="0.4"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  <c r="AD968" s="115"/>
      <c r="AE968" s="115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26"/>
      <c r="AU968" s="13"/>
      <c r="AZ968" s="117"/>
      <c r="BA968" s="123"/>
      <c r="BB968" s="123"/>
      <c r="BC968" s="123"/>
      <c r="BD968" s="115"/>
      <c r="BE968" s="115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115"/>
      <c r="BQ968" s="115"/>
      <c r="BR968" s="25"/>
      <c r="BS968" s="15"/>
      <c r="BV968" s="114"/>
    </row>
    <row r="969" spans="6:74" ht="19.5" x14ac:dyDescent="0.4"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26"/>
      <c r="AU969" s="13"/>
      <c r="AZ969" s="117"/>
      <c r="BA969" s="123"/>
      <c r="BB969" s="123"/>
      <c r="BC969" s="123"/>
      <c r="BD969" s="115"/>
      <c r="BE969" s="115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115"/>
      <c r="BQ969" s="115"/>
      <c r="BR969" s="25"/>
      <c r="BS969" s="15"/>
      <c r="BV969" s="114"/>
    </row>
    <row r="970" spans="6:74" ht="19.5" x14ac:dyDescent="0.4"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  <c r="AD970" s="115"/>
      <c r="AE970" s="115"/>
      <c r="AF970" s="115"/>
      <c r="AG970" s="115"/>
      <c r="AH970" s="115"/>
      <c r="AI970" s="115"/>
      <c r="AJ970" s="115"/>
      <c r="AK970" s="115"/>
      <c r="AL970" s="115"/>
      <c r="AM970" s="115"/>
      <c r="AN970" s="115"/>
      <c r="AO970" s="115"/>
      <c r="AP970" s="115"/>
      <c r="AQ970" s="115"/>
      <c r="AR970" s="115"/>
      <c r="AS970" s="115"/>
      <c r="AT970" s="17"/>
      <c r="AU970" s="13"/>
      <c r="AZ970" s="117"/>
      <c r="BA970" s="123"/>
      <c r="BB970" s="123"/>
      <c r="BC970" s="123"/>
      <c r="BD970" s="115"/>
      <c r="BE970" s="115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115"/>
      <c r="BQ970" s="115"/>
      <c r="BR970" s="25"/>
      <c r="BS970" s="15"/>
      <c r="BV970" s="114"/>
    </row>
    <row r="971" spans="6:74" ht="19.5" x14ac:dyDescent="0.4"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115"/>
      <c r="AL971" s="115"/>
      <c r="AM971" s="115"/>
      <c r="AN971" s="115"/>
      <c r="AO971" s="115"/>
      <c r="AP971" s="115"/>
      <c r="AQ971" s="115"/>
      <c r="AR971" s="115"/>
      <c r="AS971" s="115"/>
      <c r="AT971" s="26"/>
      <c r="AU971" s="13"/>
      <c r="AZ971" s="117"/>
      <c r="BA971" s="123"/>
      <c r="BB971" s="123"/>
      <c r="BC971" s="123"/>
      <c r="BD971" s="115"/>
      <c r="BE971" s="115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115"/>
      <c r="BQ971" s="115"/>
      <c r="BR971" s="25"/>
      <c r="BS971" s="15"/>
      <c r="BV971" s="114"/>
    </row>
    <row r="972" spans="6:74" ht="19.5" x14ac:dyDescent="0.4"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  <c r="AD972" s="115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7"/>
      <c r="AU972" s="13"/>
      <c r="AZ972" s="117"/>
      <c r="BA972" s="123"/>
      <c r="BB972" s="123"/>
      <c r="BC972" s="123"/>
      <c r="BD972" s="115"/>
      <c r="BE972" s="115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115"/>
      <c r="BQ972" s="115"/>
      <c r="BR972" s="25"/>
      <c r="BS972" s="15"/>
      <c r="BV972" s="114"/>
    </row>
    <row r="973" spans="6:74" ht="19.5" x14ac:dyDescent="0.4"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26"/>
      <c r="AU973" s="13"/>
      <c r="AZ973" s="117"/>
      <c r="BA973" s="123"/>
      <c r="BB973" s="123"/>
      <c r="BC973" s="123"/>
      <c r="BD973" s="115"/>
      <c r="BE973" s="115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115"/>
      <c r="BQ973" s="115"/>
      <c r="BR973" s="25"/>
      <c r="BS973" s="15"/>
      <c r="BV973" s="114"/>
    </row>
    <row r="974" spans="6:74" ht="19.5" x14ac:dyDescent="0.4">
      <c r="AT974" s="26"/>
      <c r="AU974" s="13"/>
      <c r="AZ974" s="117"/>
      <c r="BA974" s="123"/>
      <c r="BB974" s="123"/>
      <c r="BC974" s="123"/>
      <c r="BD974" s="115"/>
      <c r="BE974" s="115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115"/>
      <c r="BQ974" s="115"/>
      <c r="BR974" s="25">
        <v>45272</v>
      </c>
      <c r="BS974" s="15" t="s">
        <v>162</v>
      </c>
      <c r="BV974" s="114"/>
    </row>
    <row r="975" spans="6:74" ht="19.5" x14ac:dyDescent="0.4">
      <c r="AM975" s="115"/>
      <c r="AN975" s="115"/>
      <c r="AO975" s="115"/>
      <c r="AP975" s="115"/>
      <c r="AQ975" s="115"/>
      <c r="AR975" s="115"/>
      <c r="AS975" s="115"/>
      <c r="AT975" s="26"/>
      <c r="AU975" s="13"/>
      <c r="AZ975" s="117"/>
      <c r="BA975" s="123"/>
      <c r="BB975" s="123"/>
      <c r="BC975" s="123"/>
      <c r="BD975" s="115"/>
      <c r="BE975" s="115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115"/>
      <c r="BQ975" s="115"/>
      <c r="BR975" s="25"/>
      <c r="BS975" s="15"/>
      <c r="BV975" s="114"/>
    </row>
    <row r="976" spans="6:74" ht="19.5" x14ac:dyDescent="0.4">
      <c r="AM976" s="115"/>
      <c r="AN976" s="115"/>
      <c r="AO976" s="115"/>
      <c r="AP976" s="115"/>
      <c r="AQ976" s="115"/>
      <c r="AR976" s="115"/>
      <c r="AS976" s="115"/>
      <c r="AT976" s="17"/>
      <c r="AU976" s="13"/>
      <c r="AZ976" s="117"/>
      <c r="BA976" s="123"/>
      <c r="BB976" s="123"/>
      <c r="BC976" s="123"/>
      <c r="BD976" s="115"/>
      <c r="BE976" s="115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115"/>
      <c r="BQ976" s="115"/>
      <c r="BR976" s="25"/>
      <c r="BS976" s="15"/>
      <c r="BV976" s="114"/>
    </row>
    <row r="977" spans="6:74" ht="19.5" x14ac:dyDescent="0.4"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26"/>
      <c r="AU977" s="13"/>
      <c r="AZ977" s="117"/>
      <c r="BA977" s="123"/>
      <c r="BB977" s="123"/>
      <c r="BC977" s="123"/>
      <c r="BD977" s="115"/>
      <c r="BE977" s="115"/>
      <c r="BF977" s="115"/>
      <c r="BG977" s="115"/>
      <c r="BH977" s="115"/>
      <c r="BI977" s="115"/>
      <c r="BJ977" s="115"/>
      <c r="BK977" s="115"/>
      <c r="BL977" s="115"/>
      <c r="BM977" s="115"/>
      <c r="BN977" s="115"/>
      <c r="BO977" s="115"/>
      <c r="BP977" s="115"/>
      <c r="BQ977" s="115"/>
      <c r="BR977" s="25"/>
      <c r="BS977" s="15"/>
      <c r="BV977" s="114"/>
    </row>
    <row r="978" spans="6:74" ht="19.5" x14ac:dyDescent="0.4"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17"/>
      <c r="AU978" s="13"/>
      <c r="AZ978" s="117"/>
      <c r="BA978" s="123"/>
      <c r="BB978" s="123"/>
      <c r="BC978" s="123"/>
      <c r="BD978" s="115"/>
      <c r="BE978" s="115"/>
      <c r="BF978" s="115"/>
      <c r="BG978" s="115"/>
      <c r="BH978" s="115"/>
      <c r="BI978" s="115"/>
      <c r="BJ978" s="115"/>
      <c r="BK978" s="115"/>
      <c r="BL978" s="115"/>
      <c r="BM978" s="115"/>
      <c r="BN978" s="115"/>
      <c r="BO978" s="115"/>
      <c r="BP978" s="115"/>
      <c r="BQ978" s="115"/>
      <c r="BR978" s="25"/>
      <c r="BS978" s="15"/>
      <c r="BV978" s="114"/>
    </row>
    <row r="979" spans="6:74" ht="19.5" x14ac:dyDescent="0.4"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26"/>
      <c r="AU979" s="25"/>
      <c r="AZ979" s="117"/>
      <c r="BA979" s="123"/>
      <c r="BB979" s="123"/>
      <c r="BC979" s="123"/>
      <c r="BD979" s="115"/>
      <c r="BE979" s="115"/>
      <c r="BF979" s="115"/>
      <c r="BG979" s="115"/>
      <c r="BH979" s="115"/>
      <c r="BI979" s="115"/>
      <c r="BJ979" s="115"/>
      <c r="BK979" s="115"/>
      <c r="BL979" s="115"/>
      <c r="BM979" s="115"/>
      <c r="BN979" s="115"/>
      <c r="BO979" s="115"/>
      <c r="BP979" s="115"/>
      <c r="BQ979" s="115"/>
      <c r="BR979" s="25"/>
      <c r="BS979" s="15"/>
      <c r="BV979" s="114"/>
    </row>
    <row r="980" spans="6:74" ht="19.5" x14ac:dyDescent="0.4"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17"/>
      <c r="AU980" s="13"/>
      <c r="AZ980" s="117"/>
      <c r="BA980" s="123"/>
      <c r="BB980" s="123"/>
      <c r="BC980" s="123"/>
      <c r="BD980" s="115"/>
      <c r="BE980" s="115"/>
      <c r="BF980" s="115"/>
      <c r="BG980" s="115"/>
      <c r="BH980" s="115"/>
      <c r="BI980" s="115"/>
      <c r="BJ980" s="115"/>
      <c r="BK980" s="115"/>
      <c r="BL980" s="115"/>
      <c r="BM980" s="115"/>
      <c r="BN980" s="115"/>
      <c r="BO980" s="115"/>
      <c r="BP980" s="115"/>
      <c r="BQ980" s="115"/>
      <c r="BR980" s="25"/>
      <c r="BS980" s="15"/>
      <c r="BV980" s="114"/>
    </row>
    <row r="981" spans="6:74" ht="19.5" x14ac:dyDescent="0.4"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26"/>
      <c r="AU981" s="13"/>
      <c r="AZ981" s="117"/>
      <c r="BA981" s="123"/>
      <c r="BB981" s="123"/>
      <c r="BC981" s="123"/>
      <c r="BD981" s="115"/>
      <c r="BE981" s="115"/>
      <c r="BF981" s="115"/>
      <c r="BG981" s="115"/>
      <c r="BH981" s="115"/>
      <c r="BI981" s="115"/>
      <c r="BJ981" s="115"/>
      <c r="BK981" s="115"/>
      <c r="BL981" s="115"/>
      <c r="BM981" s="115"/>
      <c r="BN981" s="115"/>
      <c r="BO981" s="115"/>
      <c r="BP981" s="115"/>
      <c r="BQ981" s="115"/>
      <c r="BR981" s="25"/>
      <c r="BS981" s="15"/>
      <c r="BV981" s="114"/>
    </row>
    <row r="982" spans="6:74" ht="19.5" x14ac:dyDescent="0.4">
      <c r="AT982" s="26"/>
      <c r="AU982" s="13"/>
      <c r="AZ982" s="117"/>
      <c r="BA982" s="123"/>
      <c r="BB982" s="123"/>
      <c r="BC982" s="123"/>
      <c r="BD982" s="115"/>
      <c r="BE982" s="115"/>
      <c r="BF982" s="115"/>
      <c r="BG982" s="115"/>
      <c r="BH982" s="115"/>
      <c r="BI982" s="115"/>
      <c r="BJ982" s="115"/>
      <c r="BK982" s="115"/>
      <c r="BL982" s="115"/>
      <c r="BM982" s="115"/>
      <c r="BN982" s="115"/>
      <c r="BO982" s="115"/>
      <c r="BP982" s="115"/>
      <c r="BQ982" s="115"/>
      <c r="BR982" s="25">
        <v>45272</v>
      </c>
      <c r="BS982" s="15" t="s">
        <v>162</v>
      </c>
      <c r="BV982" s="114"/>
    </row>
    <row r="983" spans="6:74" ht="19.5" x14ac:dyDescent="0.4">
      <c r="AN983" s="115"/>
      <c r="AO983" s="115"/>
      <c r="AP983" s="115"/>
      <c r="AQ983" s="115"/>
      <c r="AR983" s="115"/>
      <c r="AS983" s="115"/>
      <c r="AT983" s="17"/>
      <c r="AU983" s="13"/>
      <c r="AZ983" s="117"/>
      <c r="BA983" s="123"/>
      <c r="BB983" s="123"/>
      <c r="BC983" s="123"/>
      <c r="BD983" s="115"/>
      <c r="BE983" s="115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115"/>
      <c r="BQ983" s="115"/>
      <c r="BR983" s="25"/>
      <c r="BS983" s="15"/>
      <c r="BV983" s="114"/>
    </row>
    <row r="984" spans="6:74" ht="19.5" x14ac:dyDescent="0.4">
      <c r="AM984" s="115"/>
      <c r="AN984" s="115"/>
      <c r="AO984" s="115"/>
      <c r="AP984" s="115"/>
      <c r="AQ984" s="115"/>
      <c r="AR984" s="115"/>
      <c r="AS984" s="115"/>
      <c r="AT984" s="26"/>
      <c r="AU984" s="13"/>
      <c r="AZ984" s="117"/>
      <c r="BA984" s="123"/>
      <c r="BB984" s="123"/>
      <c r="BC984" s="123"/>
      <c r="BD984" s="115"/>
      <c r="BE984" s="115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115"/>
      <c r="BQ984" s="115"/>
      <c r="BR984" s="25"/>
      <c r="BS984" s="15"/>
      <c r="BV984" s="114"/>
    </row>
    <row r="985" spans="6:74" ht="19.5" x14ac:dyDescent="0.4">
      <c r="AM985" s="115"/>
      <c r="AN985" s="115"/>
      <c r="AO985" s="115"/>
      <c r="AP985" s="115"/>
      <c r="AQ985" s="115"/>
      <c r="AR985" s="115"/>
      <c r="AS985" s="115"/>
      <c r="AT985" s="17"/>
      <c r="AU985" s="13"/>
      <c r="AZ985" s="117"/>
      <c r="BA985" s="123"/>
      <c r="BB985" s="123"/>
      <c r="BC985" s="123"/>
      <c r="BD985" s="115"/>
      <c r="BE985" s="115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115"/>
      <c r="BQ985" s="115"/>
      <c r="BR985" s="25"/>
      <c r="BS985" s="15"/>
      <c r="BV985" s="114"/>
    </row>
    <row r="986" spans="6:74" ht="19.5" x14ac:dyDescent="0.4">
      <c r="AM986" s="115"/>
      <c r="AN986" s="115"/>
      <c r="AO986" s="115"/>
      <c r="AP986" s="115"/>
      <c r="AQ986" s="115"/>
      <c r="AR986" s="115"/>
      <c r="AS986" s="115"/>
      <c r="AT986" s="17"/>
      <c r="AU986" s="13"/>
      <c r="AZ986" s="117"/>
      <c r="BA986" s="123"/>
      <c r="BB986" s="123"/>
      <c r="BC986" s="123"/>
      <c r="BD986" s="115"/>
      <c r="BE986" s="115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115"/>
      <c r="BQ986" s="115"/>
      <c r="BR986" s="25"/>
      <c r="BS986" s="15"/>
      <c r="BV986" s="114"/>
    </row>
    <row r="987" spans="6:74" ht="19.5" x14ac:dyDescent="0.4"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26"/>
      <c r="AU987" s="13"/>
      <c r="AZ987" s="117"/>
      <c r="BA987" s="123"/>
      <c r="BB987" s="123"/>
      <c r="BC987" s="123"/>
      <c r="BD987" s="115"/>
      <c r="BE987" s="115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115"/>
      <c r="BQ987" s="115"/>
      <c r="BR987" s="25"/>
      <c r="BS987" s="15"/>
      <c r="BV987" s="114"/>
    </row>
    <row r="988" spans="6:74" ht="19.5" x14ac:dyDescent="0.4"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20"/>
      <c r="AU988" s="13"/>
      <c r="AZ988" s="117"/>
      <c r="BA988" s="123"/>
      <c r="BB988" s="123"/>
      <c r="BC988" s="123"/>
      <c r="BD988" s="115"/>
      <c r="BE988" s="115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115"/>
      <c r="BQ988" s="115"/>
      <c r="BR988" s="25"/>
      <c r="BS988" s="15"/>
      <c r="BV988" s="114"/>
    </row>
    <row r="989" spans="6:74" ht="19.5" x14ac:dyDescent="0.4"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20"/>
      <c r="AU989" s="13"/>
      <c r="AZ989" s="117"/>
      <c r="BA989" s="123"/>
      <c r="BB989" s="123"/>
      <c r="BC989" s="123"/>
      <c r="BD989" s="115"/>
      <c r="BE989" s="115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115"/>
      <c r="BQ989" s="115"/>
      <c r="BR989" s="25"/>
      <c r="BS989" s="15"/>
      <c r="BV989" s="114"/>
    </row>
    <row r="990" spans="6:74" ht="19.5" x14ac:dyDescent="0.4"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25"/>
      <c r="AU990" s="15"/>
      <c r="AZ990" s="117"/>
      <c r="BA990" s="123"/>
      <c r="BB990" s="123"/>
      <c r="BC990" s="123"/>
      <c r="BD990" s="115"/>
      <c r="BE990" s="115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115"/>
      <c r="BQ990" s="115"/>
      <c r="BR990" s="25"/>
      <c r="BS990" s="15"/>
      <c r="BV990" s="114"/>
    </row>
    <row r="991" spans="6:74" ht="19.5" x14ac:dyDescent="0.4"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25"/>
      <c r="AU991" s="15"/>
      <c r="AZ991" s="117"/>
      <c r="BA991" s="123"/>
      <c r="BB991" s="123"/>
      <c r="BC991" s="123"/>
      <c r="BD991" s="115"/>
      <c r="BE991" s="115"/>
      <c r="BF991" s="115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115"/>
      <c r="BR991" s="25"/>
      <c r="BS991" s="15"/>
      <c r="BV991" s="114"/>
    </row>
    <row r="992" spans="6:74" ht="19.5" x14ac:dyDescent="0.4"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5"/>
      <c r="AU992" s="15"/>
      <c r="AZ992" s="117"/>
      <c r="BA992" s="123"/>
      <c r="BB992" s="123"/>
      <c r="BC992" s="123"/>
      <c r="BD992" s="115"/>
      <c r="BE992" s="115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115"/>
      <c r="BR992" s="25"/>
      <c r="BS992" s="15"/>
      <c r="BV992" s="114"/>
    </row>
    <row r="993" spans="35:74" ht="19.5" x14ac:dyDescent="0.4">
      <c r="AT993" s="26"/>
      <c r="AU993" s="15"/>
      <c r="AZ993" s="117"/>
      <c r="BA993" s="123"/>
      <c r="BB993" s="123"/>
      <c r="BC993" s="123"/>
      <c r="BD993" s="115"/>
      <c r="BE993" s="115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115"/>
      <c r="BR993" s="25">
        <v>45272</v>
      </c>
      <c r="BS993" s="15" t="s">
        <v>162</v>
      </c>
      <c r="BV993" s="114"/>
    </row>
    <row r="994" spans="35:74" ht="19.5" x14ac:dyDescent="0.4">
      <c r="AT994" s="26"/>
      <c r="AU994" s="13"/>
      <c r="AZ994" s="117"/>
      <c r="BA994" s="123"/>
      <c r="BB994" s="123"/>
      <c r="BC994" s="123"/>
      <c r="BD994" s="115"/>
      <c r="BE994" s="115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115"/>
      <c r="BR994" s="25"/>
      <c r="BS994" s="15"/>
      <c r="BV994" s="114"/>
    </row>
    <row r="995" spans="35:74" ht="19.5" x14ac:dyDescent="0.4"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26"/>
      <c r="AU995" s="13"/>
      <c r="AZ995" s="117"/>
      <c r="BA995" s="123"/>
      <c r="BB995" s="123"/>
      <c r="BC995" s="123"/>
      <c r="BD995" s="115"/>
      <c r="BE995" s="115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115"/>
      <c r="BR995" s="25"/>
      <c r="BS995" s="15"/>
      <c r="BV995" s="114"/>
    </row>
    <row r="996" spans="35:74" ht="19.5" x14ac:dyDescent="0.4">
      <c r="AT996" s="26"/>
      <c r="AU996" s="13"/>
      <c r="AZ996" s="117"/>
      <c r="BA996" s="123"/>
      <c r="BB996" s="123"/>
      <c r="BC996" s="123"/>
      <c r="BD996" s="115"/>
      <c r="BE996" s="115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115"/>
      <c r="BR996" s="25">
        <v>45272</v>
      </c>
      <c r="BS996" s="15" t="s">
        <v>162</v>
      </c>
      <c r="BV996" s="114"/>
    </row>
    <row r="997" spans="35:74" ht="19.5" x14ac:dyDescent="0.4">
      <c r="AL997" s="115"/>
      <c r="AM997" s="115"/>
      <c r="AN997" s="115"/>
      <c r="AO997" s="115"/>
      <c r="AP997" s="115"/>
      <c r="AQ997" s="115"/>
      <c r="AR997" s="115"/>
      <c r="AS997" s="115"/>
      <c r="AT997" s="17"/>
      <c r="AU997" s="13"/>
      <c r="AZ997" s="117"/>
      <c r="BA997" s="123"/>
      <c r="BB997" s="123"/>
      <c r="BC997" s="123"/>
      <c r="BD997" s="115"/>
      <c r="BE997" s="115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115"/>
      <c r="BR997" s="25"/>
      <c r="BS997" s="15"/>
      <c r="BV997" s="114"/>
    </row>
    <row r="998" spans="35:74" ht="19.5" x14ac:dyDescent="0.4">
      <c r="AT998" s="26"/>
      <c r="AU998" s="13"/>
      <c r="AZ998" s="117"/>
      <c r="BA998" s="123"/>
      <c r="BB998" s="123"/>
      <c r="BC998" s="123"/>
      <c r="BD998" s="115"/>
      <c r="BE998" s="115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115"/>
      <c r="BR998" s="25"/>
      <c r="BS998" s="15"/>
      <c r="BV998" s="114"/>
    </row>
    <row r="999" spans="35:74" ht="19.5" x14ac:dyDescent="0.4"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26"/>
      <c r="AU999" s="13"/>
      <c r="AZ999" s="117"/>
      <c r="BA999" s="123"/>
      <c r="BB999" s="123"/>
      <c r="BC999" s="123"/>
      <c r="BD999" s="115"/>
      <c r="BE999" s="115"/>
      <c r="BF999" s="115"/>
      <c r="BG999" s="115"/>
      <c r="BH999" s="115"/>
      <c r="BI999" s="115"/>
      <c r="BJ999" s="115"/>
      <c r="BK999" s="115"/>
      <c r="BL999" s="115"/>
      <c r="BM999" s="115"/>
      <c r="BN999" s="115"/>
      <c r="BO999" s="115"/>
      <c r="BP999" s="115"/>
      <c r="BQ999" s="115"/>
      <c r="BR999" s="25"/>
      <c r="BS999" s="15"/>
      <c r="BV999" s="114"/>
    </row>
    <row r="1000" spans="35:74" ht="19.5" x14ac:dyDescent="0.4">
      <c r="AT1000" s="26"/>
      <c r="AU1000" s="13"/>
      <c r="AZ1000" s="117"/>
      <c r="BA1000" s="123"/>
      <c r="BB1000" s="123"/>
      <c r="BC1000" s="123"/>
      <c r="BD1000" s="115"/>
      <c r="BE1000" s="115"/>
      <c r="BF1000" s="115"/>
      <c r="BG1000" s="115"/>
      <c r="BH1000" s="115"/>
      <c r="BI1000" s="115"/>
      <c r="BJ1000" s="115"/>
      <c r="BK1000" s="115"/>
      <c r="BL1000" s="115"/>
      <c r="BM1000" s="115"/>
      <c r="BN1000" s="115"/>
      <c r="BO1000" s="115"/>
      <c r="BP1000" s="115"/>
      <c r="BQ1000" s="115"/>
      <c r="BR1000" s="25">
        <v>45272</v>
      </c>
      <c r="BS1000" s="15" t="s">
        <v>162</v>
      </c>
      <c r="BV1000" s="114"/>
    </row>
    <row r="1001" spans="35:74" ht="19.5" x14ac:dyDescent="0.4">
      <c r="AT1001" s="26"/>
      <c r="AU1001" s="13"/>
      <c r="AZ1001" s="117"/>
      <c r="BA1001" s="123"/>
      <c r="BB1001" s="123"/>
      <c r="BC1001" s="123"/>
      <c r="BD1001" s="115"/>
      <c r="BE1001" s="115"/>
      <c r="BF1001" s="115"/>
      <c r="BG1001" s="115"/>
      <c r="BH1001" s="115"/>
      <c r="BI1001" s="115"/>
      <c r="BJ1001" s="115"/>
      <c r="BK1001" s="115"/>
      <c r="BL1001" s="115"/>
      <c r="BM1001" s="115"/>
      <c r="BN1001" s="115"/>
      <c r="BO1001" s="115"/>
      <c r="BP1001" s="115"/>
      <c r="BQ1001" s="115" t="s">
        <v>166</v>
      </c>
      <c r="BR1001" s="13">
        <f>SUBTOTAL(3,BR949:BR1000)</f>
        <v>13</v>
      </c>
      <c r="BS1001" s="15">
        <f>SUBTOTAL(3,BS949:BS1000)</f>
        <v>13</v>
      </c>
      <c r="BV1001" s="114"/>
    </row>
    <row r="1002" spans="35:74" ht="19.5" x14ac:dyDescent="0.4">
      <c r="AL1002" s="115"/>
      <c r="AM1002" s="115"/>
      <c r="AN1002" s="115"/>
      <c r="AO1002" s="115"/>
      <c r="AP1002" s="115"/>
      <c r="AQ1002" s="115"/>
      <c r="AR1002" s="115"/>
      <c r="AS1002" s="115"/>
      <c r="AT1002" s="17"/>
      <c r="AU1002" s="13"/>
      <c r="AZ1002" s="117"/>
      <c r="BA1002" s="123"/>
      <c r="BB1002" s="123"/>
      <c r="BC1002" s="123"/>
      <c r="BD1002" s="115"/>
      <c r="BE1002" s="115"/>
      <c r="BF1002" s="115"/>
      <c r="BG1002" s="115"/>
      <c r="BH1002" s="115"/>
      <c r="BI1002" s="115"/>
      <c r="BJ1002" s="115"/>
      <c r="BK1002" s="115"/>
      <c r="BL1002" s="115"/>
      <c r="BM1002" s="115"/>
      <c r="BN1002" s="115"/>
      <c r="BO1002" s="115"/>
      <c r="BP1002" s="115"/>
      <c r="BQ1002" s="115"/>
      <c r="BR1002" s="13"/>
      <c r="BS1002" s="15"/>
      <c r="BV1002" s="114"/>
    </row>
    <row r="1003" spans="35:74" ht="19.5" x14ac:dyDescent="0.4">
      <c r="AT1003" s="26"/>
      <c r="AU1003" s="13"/>
      <c r="AZ1003" s="117"/>
      <c r="BA1003" s="123"/>
      <c r="BB1003" s="123"/>
      <c r="BC1003" s="123"/>
      <c r="BD1003" s="115"/>
      <c r="BE1003" s="115"/>
      <c r="BF1003" s="115"/>
      <c r="BG1003" s="115"/>
      <c r="BH1003" s="115"/>
      <c r="BI1003" s="115"/>
      <c r="BJ1003" s="115"/>
      <c r="BK1003" s="115"/>
      <c r="BL1003" s="115"/>
      <c r="BM1003" s="115"/>
      <c r="BN1003" s="115"/>
      <c r="BO1003" s="115"/>
      <c r="BP1003" s="115"/>
      <c r="BQ1003" s="115"/>
      <c r="BR1003" s="25">
        <v>45273</v>
      </c>
      <c r="BS1003" s="105" t="s">
        <v>164</v>
      </c>
      <c r="BV1003" s="114"/>
    </row>
    <row r="1004" spans="35:74" ht="19.5" x14ac:dyDescent="0.4">
      <c r="AT1004" s="26"/>
      <c r="AU1004" s="13"/>
      <c r="AZ1004" s="117"/>
      <c r="BA1004" s="123"/>
      <c r="BB1004" s="123"/>
      <c r="BC1004" s="123"/>
      <c r="BD1004" s="115"/>
      <c r="BE1004" s="115"/>
      <c r="BF1004" s="115"/>
      <c r="BG1004" s="115"/>
      <c r="BH1004" s="115"/>
      <c r="BI1004" s="115"/>
      <c r="BJ1004" s="115"/>
      <c r="BK1004" s="115"/>
      <c r="BL1004" s="115"/>
      <c r="BM1004" s="115"/>
      <c r="BN1004" s="115"/>
      <c r="BO1004" s="115"/>
      <c r="BP1004" s="115"/>
      <c r="BQ1004" s="115"/>
      <c r="BR1004" s="25">
        <v>45273</v>
      </c>
      <c r="BS1004" s="15" t="s">
        <v>164</v>
      </c>
      <c r="BV1004" s="114"/>
    </row>
    <row r="1005" spans="35:74" ht="19.5" x14ac:dyDescent="0.4"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26"/>
      <c r="AU1005" s="13"/>
      <c r="AZ1005" s="117"/>
      <c r="BA1005" s="123"/>
      <c r="BB1005" s="123"/>
      <c r="BC1005" s="123"/>
      <c r="BD1005" s="115"/>
      <c r="BE1005" s="115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115"/>
      <c r="BR1005" s="25"/>
      <c r="BS1005" s="13"/>
      <c r="BV1005" s="114"/>
    </row>
    <row r="1006" spans="35:74" ht="19.5" x14ac:dyDescent="0.4">
      <c r="AT1006" s="26"/>
      <c r="AU1006" s="13"/>
      <c r="AZ1006" s="117"/>
      <c r="BA1006" s="123"/>
      <c r="BB1006" s="123"/>
      <c r="BC1006" s="123"/>
      <c r="BD1006" s="115"/>
      <c r="BE1006" s="115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115"/>
      <c r="BR1006" s="25">
        <v>45273</v>
      </c>
      <c r="BS1006" s="13" t="s">
        <v>164</v>
      </c>
      <c r="BV1006" s="114"/>
    </row>
    <row r="1007" spans="35:74" ht="19.5" x14ac:dyDescent="0.4">
      <c r="AT1007" s="26"/>
      <c r="AU1007" s="13"/>
      <c r="AZ1007" s="117"/>
      <c r="BA1007" s="123"/>
      <c r="BB1007" s="123"/>
      <c r="BC1007" s="123"/>
      <c r="BD1007" s="115"/>
      <c r="BE1007" s="115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115"/>
      <c r="BR1007" s="25">
        <v>45273</v>
      </c>
      <c r="BS1007" s="15" t="s">
        <v>164</v>
      </c>
      <c r="BV1007" s="114"/>
    </row>
    <row r="1008" spans="35:74" ht="19.5" x14ac:dyDescent="0.4">
      <c r="AT1008" s="26"/>
      <c r="AU1008" s="13"/>
      <c r="AZ1008" s="117"/>
      <c r="BA1008" s="123"/>
      <c r="BB1008" s="123"/>
      <c r="BC1008" s="123"/>
      <c r="BD1008" s="115"/>
      <c r="BE1008" s="115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115"/>
      <c r="BR1008" s="25">
        <v>45273</v>
      </c>
      <c r="BS1008" s="15" t="s">
        <v>162</v>
      </c>
      <c r="BV1008" s="114"/>
    </row>
    <row r="1009" spans="36:74" ht="19.5" x14ac:dyDescent="0.4"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6"/>
      <c r="AU1009" s="13"/>
      <c r="AZ1009" s="117"/>
      <c r="BA1009" s="123"/>
      <c r="BB1009" s="123"/>
      <c r="BC1009" s="123"/>
      <c r="BD1009" s="115"/>
      <c r="BE1009" s="115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115"/>
      <c r="BR1009" s="25"/>
      <c r="BS1009" s="15"/>
      <c r="BV1009" s="114"/>
    </row>
    <row r="1010" spans="36:74" ht="19.5" x14ac:dyDescent="0.4">
      <c r="AT1010" s="26"/>
      <c r="AU1010" s="13"/>
      <c r="AZ1010" s="117"/>
      <c r="BA1010" s="123"/>
      <c r="BB1010" s="123"/>
      <c r="BC1010" s="123"/>
      <c r="BD1010" s="115"/>
      <c r="BE1010" s="115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115"/>
      <c r="BR1010" s="25">
        <v>45273</v>
      </c>
      <c r="BS1010" s="15" t="s">
        <v>162</v>
      </c>
      <c r="BV1010" s="114"/>
    </row>
    <row r="1011" spans="36:74" ht="19.5" x14ac:dyDescent="0.4">
      <c r="AT1011" s="26"/>
      <c r="AU1011" s="13"/>
      <c r="AZ1011" s="117"/>
      <c r="BA1011" s="123"/>
      <c r="BB1011" s="123"/>
      <c r="BC1011" s="123"/>
      <c r="BD1011" s="115"/>
      <c r="BE1011" s="115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115"/>
      <c r="BR1011" s="25">
        <v>45273</v>
      </c>
      <c r="BS1011" s="15" t="s">
        <v>162</v>
      </c>
      <c r="BV1011" s="114"/>
    </row>
    <row r="1012" spans="36:74" ht="19.5" x14ac:dyDescent="0.4">
      <c r="AT1012" s="26"/>
      <c r="AU1012" s="13"/>
      <c r="AZ1012" s="117"/>
      <c r="BA1012" s="123"/>
      <c r="BB1012" s="123"/>
      <c r="BC1012" s="123"/>
      <c r="BD1012" s="115"/>
      <c r="BE1012" s="115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115"/>
      <c r="BR1012" s="25">
        <v>45273</v>
      </c>
      <c r="BS1012" s="15" t="s">
        <v>162</v>
      </c>
      <c r="BV1012" s="114"/>
    </row>
    <row r="1013" spans="36:74" ht="19.5" x14ac:dyDescent="0.4"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26"/>
      <c r="AU1013" s="13"/>
      <c r="AZ1013" s="117"/>
      <c r="BA1013" s="123"/>
      <c r="BB1013" s="123"/>
      <c r="BC1013" s="123"/>
      <c r="BD1013" s="115"/>
      <c r="BE1013" s="115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115"/>
      <c r="BR1013" s="25"/>
      <c r="BS1013" s="15"/>
      <c r="BV1013" s="114"/>
    </row>
    <row r="1014" spans="36:74" ht="19.5" x14ac:dyDescent="0.4">
      <c r="AT1014" s="26"/>
      <c r="AU1014" s="13"/>
      <c r="AZ1014" s="117"/>
      <c r="BA1014" s="123"/>
      <c r="BB1014" s="123"/>
      <c r="BC1014" s="123"/>
      <c r="BD1014" s="115"/>
      <c r="BE1014" s="115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115"/>
      <c r="BR1014" s="25">
        <v>45273</v>
      </c>
      <c r="BS1014" s="15" t="s">
        <v>162</v>
      </c>
      <c r="BV1014" s="114"/>
    </row>
    <row r="1015" spans="36:74" ht="19.5" x14ac:dyDescent="0.4">
      <c r="AT1015" s="26"/>
      <c r="AU1015" s="13"/>
      <c r="AZ1015" s="117"/>
      <c r="BA1015" s="123"/>
      <c r="BB1015" s="123"/>
      <c r="BC1015" s="123"/>
      <c r="BD1015" s="115"/>
      <c r="BE1015" s="115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115"/>
      <c r="BR1015" s="25">
        <v>45273</v>
      </c>
      <c r="BS1015" s="15" t="s">
        <v>162</v>
      </c>
      <c r="BV1015" s="114"/>
    </row>
    <row r="1016" spans="36:74" ht="19.5" x14ac:dyDescent="0.4">
      <c r="AT1016" s="26"/>
      <c r="AU1016" s="13"/>
      <c r="AZ1016" s="117"/>
      <c r="BA1016" s="123"/>
      <c r="BB1016" s="123"/>
      <c r="BC1016" s="123"/>
      <c r="BD1016" s="115"/>
      <c r="BE1016" s="115"/>
      <c r="BF1016" s="115"/>
      <c r="BG1016" s="115"/>
      <c r="BH1016" s="124"/>
      <c r="BI1016" s="124"/>
      <c r="BJ1016" s="124"/>
      <c r="BK1016" s="124"/>
      <c r="BL1016" s="124"/>
      <c r="BM1016" s="124"/>
      <c r="BN1016" s="124"/>
      <c r="BO1016" s="124"/>
      <c r="BP1016" s="124"/>
      <c r="BQ1016" s="124"/>
      <c r="BR1016" s="25">
        <v>45273</v>
      </c>
      <c r="BS1016" s="15" t="s">
        <v>162</v>
      </c>
      <c r="BV1016" s="114"/>
    </row>
    <row r="1017" spans="36:74" ht="19.5" x14ac:dyDescent="0.4">
      <c r="AT1017" s="26"/>
      <c r="AU1017" s="13"/>
      <c r="AZ1017" s="117"/>
      <c r="BA1017" s="123"/>
      <c r="BB1017" s="123"/>
      <c r="BC1017" s="123"/>
      <c r="BD1017" s="115"/>
      <c r="BE1017" s="115"/>
      <c r="BF1017" s="115"/>
      <c r="BG1017" s="115"/>
      <c r="BH1017" s="124"/>
      <c r="BI1017" s="124"/>
      <c r="BJ1017" s="124"/>
      <c r="BK1017" s="124"/>
      <c r="BL1017" s="124"/>
      <c r="BM1017" s="124"/>
      <c r="BN1017" s="124"/>
      <c r="BO1017" s="124"/>
      <c r="BP1017" s="124"/>
      <c r="BQ1017" s="124"/>
      <c r="BR1017" s="25">
        <v>45273</v>
      </c>
      <c r="BS1017" s="15" t="s">
        <v>162</v>
      </c>
      <c r="BV1017" s="114"/>
    </row>
    <row r="1018" spans="36:74" ht="19.5" x14ac:dyDescent="0.4">
      <c r="AL1018" s="115"/>
      <c r="AM1018" s="115"/>
      <c r="AN1018" s="115"/>
      <c r="AO1018" s="115"/>
      <c r="AP1018" s="115"/>
      <c r="AQ1018" s="115"/>
      <c r="AR1018" s="115"/>
      <c r="AS1018" s="115"/>
      <c r="AT1018" s="17"/>
      <c r="AU1018" s="13"/>
      <c r="AZ1018" s="117"/>
      <c r="BA1018" s="123"/>
      <c r="BB1018" s="123"/>
      <c r="BC1018" s="123"/>
      <c r="BD1018" s="115"/>
      <c r="BE1018" s="115"/>
      <c r="BF1018" s="115"/>
      <c r="BG1018" s="115"/>
      <c r="BH1018" s="124"/>
      <c r="BI1018" s="124"/>
      <c r="BJ1018" s="124"/>
      <c r="BK1018" s="124"/>
      <c r="BL1018" s="124"/>
      <c r="BM1018" s="124"/>
      <c r="BN1018" s="124"/>
      <c r="BO1018" s="124"/>
      <c r="BP1018" s="124"/>
      <c r="BQ1018" s="124"/>
      <c r="BR1018" s="25"/>
      <c r="BS1018" s="15"/>
      <c r="BV1018" s="114"/>
    </row>
    <row r="1019" spans="36:74" ht="19.5" x14ac:dyDescent="0.4">
      <c r="AT1019" s="26"/>
      <c r="AU1019" s="13"/>
      <c r="AZ1019" s="117"/>
      <c r="BA1019" s="123"/>
      <c r="BB1019" s="123"/>
      <c r="BC1019" s="123"/>
      <c r="BD1019" s="115"/>
      <c r="BE1019" s="115"/>
      <c r="BF1019" s="115"/>
      <c r="BG1019" s="115"/>
      <c r="BH1019" s="124"/>
      <c r="BI1019" s="124"/>
      <c r="BJ1019" s="124"/>
      <c r="BK1019" s="124"/>
      <c r="BL1019" s="124"/>
      <c r="BM1019" s="124"/>
      <c r="BN1019" s="124"/>
      <c r="BO1019" s="124"/>
      <c r="BP1019" s="124"/>
      <c r="BQ1019" s="124"/>
      <c r="BR1019" s="25">
        <v>45273</v>
      </c>
      <c r="BS1019" s="15" t="s">
        <v>162</v>
      </c>
      <c r="BV1019" s="114"/>
    </row>
    <row r="1020" spans="36:74" ht="19.5" x14ac:dyDescent="0.4">
      <c r="AL1020" s="115"/>
      <c r="AM1020" s="115"/>
      <c r="AN1020" s="115"/>
      <c r="AO1020" s="115"/>
      <c r="AP1020" s="115"/>
      <c r="AQ1020" s="115"/>
      <c r="AR1020" s="115"/>
      <c r="AS1020" s="115"/>
      <c r="AT1020" s="17"/>
      <c r="AU1020" s="13"/>
      <c r="AZ1020" s="117"/>
      <c r="BA1020" s="123"/>
      <c r="BB1020" s="123"/>
      <c r="BC1020" s="123"/>
      <c r="BD1020" s="115"/>
      <c r="BE1020" s="115"/>
      <c r="BF1020" s="115"/>
      <c r="BG1020" s="115"/>
      <c r="BH1020" s="124"/>
      <c r="BI1020" s="124"/>
      <c r="BJ1020" s="124"/>
      <c r="BK1020" s="124"/>
      <c r="BL1020" s="124"/>
      <c r="BM1020" s="124"/>
      <c r="BN1020" s="124"/>
      <c r="BO1020" s="124"/>
      <c r="BP1020" s="124"/>
      <c r="BQ1020" s="124"/>
      <c r="BR1020" s="25"/>
      <c r="BS1020" s="15"/>
      <c r="BV1020" s="114"/>
    </row>
    <row r="1021" spans="36:74" ht="19.5" x14ac:dyDescent="0.4">
      <c r="AT1021" s="26"/>
      <c r="AU1021" s="13"/>
      <c r="AZ1021" s="117"/>
      <c r="BA1021" s="123"/>
      <c r="BB1021" s="123"/>
      <c r="BC1021" s="123"/>
      <c r="BD1021" s="115"/>
      <c r="BE1021" s="115"/>
      <c r="BF1021" s="115"/>
      <c r="BG1021" s="115"/>
      <c r="BH1021" s="124"/>
      <c r="BI1021" s="124"/>
      <c r="BJ1021" s="124"/>
      <c r="BK1021" s="124"/>
      <c r="BL1021" s="124"/>
      <c r="BM1021" s="124"/>
      <c r="BN1021" s="124"/>
      <c r="BO1021" s="124"/>
      <c r="BP1021" s="124"/>
      <c r="BQ1021" s="124"/>
      <c r="BR1021" s="25">
        <v>45273</v>
      </c>
      <c r="BS1021" s="15" t="s">
        <v>162</v>
      </c>
      <c r="BV1021" s="114"/>
    </row>
    <row r="1022" spans="36:74" ht="19.5" x14ac:dyDescent="0.4">
      <c r="AT1022" s="26"/>
      <c r="AU1022" s="13"/>
      <c r="AZ1022" s="117"/>
      <c r="BA1022" s="123"/>
      <c r="BB1022" s="123"/>
      <c r="BC1022" s="123"/>
      <c r="BD1022" s="115"/>
      <c r="BE1022" s="115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25">
        <v>45273</v>
      </c>
      <c r="BS1022" s="13" t="s">
        <v>162</v>
      </c>
      <c r="BV1022" s="114"/>
    </row>
    <row r="1023" spans="36:74" ht="19.5" x14ac:dyDescent="0.4">
      <c r="AT1023" s="26"/>
      <c r="AU1023" s="13"/>
      <c r="AZ1023" s="117"/>
      <c r="BA1023" s="123"/>
      <c r="BB1023" s="123"/>
      <c r="BC1023" s="123"/>
      <c r="BD1023" s="115"/>
      <c r="BE1023" s="115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25">
        <v>45273</v>
      </c>
      <c r="BS1023" s="15" t="s">
        <v>162</v>
      </c>
      <c r="BV1023" s="114"/>
    </row>
    <row r="1024" spans="36:74" ht="19.5" x14ac:dyDescent="0.4">
      <c r="AT1024" s="26"/>
      <c r="AU1024" s="13"/>
      <c r="AZ1024" s="117"/>
      <c r="BA1024" s="123"/>
      <c r="BB1024" s="123"/>
      <c r="BC1024" s="123"/>
      <c r="BD1024" s="115"/>
      <c r="BE1024" s="115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25">
        <v>45273</v>
      </c>
      <c r="BS1024" s="15" t="s">
        <v>162</v>
      </c>
      <c r="BV1024" s="114"/>
    </row>
    <row r="1025" spans="6:74" ht="19.5" x14ac:dyDescent="0.4">
      <c r="AI1025" s="115"/>
      <c r="AJ1025" s="115"/>
      <c r="AK1025" s="115"/>
      <c r="AL1025" s="115"/>
      <c r="AM1025" s="115"/>
      <c r="AN1025" s="115"/>
      <c r="AO1025" s="115"/>
      <c r="AP1025" s="115"/>
      <c r="AQ1025" s="115"/>
      <c r="AR1025" s="115"/>
      <c r="AS1025" s="115"/>
      <c r="AT1025" s="26"/>
      <c r="AU1025" s="25"/>
      <c r="AZ1025" s="117"/>
      <c r="BA1025" s="123"/>
      <c r="BB1025" s="123"/>
      <c r="BC1025" s="123"/>
      <c r="BD1025" s="115"/>
      <c r="BE1025" s="115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25"/>
      <c r="BS1025" s="15"/>
      <c r="BV1025" s="114"/>
    </row>
    <row r="1026" spans="6:74" ht="19.5" x14ac:dyDescent="0.4">
      <c r="AT1026" s="26"/>
      <c r="AU1026" s="25"/>
      <c r="AZ1026" s="117"/>
      <c r="BA1026" s="123"/>
      <c r="BB1026" s="123"/>
      <c r="BC1026" s="123"/>
      <c r="BD1026" s="115"/>
      <c r="BE1026" s="115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25">
        <v>45273</v>
      </c>
      <c r="BS1026" s="15" t="s">
        <v>162</v>
      </c>
      <c r="BV1026" s="114"/>
    </row>
    <row r="1027" spans="6:74" ht="19.5" x14ac:dyDescent="0.4">
      <c r="AT1027" s="26"/>
      <c r="AU1027" s="13"/>
      <c r="AZ1027" s="117"/>
      <c r="BA1027" s="123"/>
      <c r="BB1027" s="123"/>
      <c r="BC1027" s="123"/>
      <c r="BD1027" s="115"/>
      <c r="BE1027" s="115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25">
        <v>45273</v>
      </c>
      <c r="BS1027" s="15" t="s">
        <v>162</v>
      </c>
      <c r="BV1027" s="114"/>
    </row>
    <row r="1028" spans="6:74" ht="19.5" x14ac:dyDescent="0.4">
      <c r="F1028" s="115"/>
      <c r="G1028" s="115"/>
      <c r="H1028" s="115"/>
      <c r="I1028" s="115"/>
      <c r="J1028" s="115"/>
      <c r="K1028" s="115"/>
      <c r="L1028" s="115"/>
      <c r="M1028" s="115"/>
      <c r="N1028" s="115"/>
      <c r="O1028" s="115"/>
      <c r="P1028" s="115"/>
      <c r="Q1028" s="115"/>
      <c r="R1028" s="115"/>
      <c r="S1028" s="115"/>
      <c r="T1028" s="115"/>
      <c r="U1028" s="115"/>
      <c r="V1028" s="115"/>
      <c r="W1028" s="115"/>
      <c r="X1028" s="115"/>
      <c r="Y1028" s="115"/>
      <c r="Z1028" s="115"/>
      <c r="AA1028" s="115"/>
      <c r="AB1028" s="115"/>
      <c r="AC1028" s="115"/>
      <c r="AD1028" s="115"/>
      <c r="AE1028" s="115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26"/>
      <c r="AU1028" s="13"/>
      <c r="AZ1028" s="117"/>
      <c r="BA1028" s="123"/>
      <c r="BB1028" s="123"/>
      <c r="BC1028" s="123"/>
      <c r="BD1028" s="115"/>
      <c r="BE1028" s="115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25"/>
      <c r="BS1028" s="15"/>
      <c r="BV1028" s="114"/>
    </row>
    <row r="1029" spans="6:74" ht="19.5" x14ac:dyDescent="0.4">
      <c r="F1029" s="115"/>
      <c r="G1029" s="115"/>
      <c r="H1029" s="115"/>
      <c r="I1029" s="115"/>
      <c r="J1029" s="115"/>
      <c r="K1029" s="115"/>
      <c r="L1029" s="115"/>
      <c r="M1029" s="115"/>
      <c r="N1029" s="115"/>
      <c r="O1029" s="115"/>
      <c r="P1029" s="115"/>
      <c r="Q1029" s="115"/>
      <c r="R1029" s="115"/>
      <c r="S1029" s="115"/>
      <c r="T1029" s="115"/>
      <c r="U1029" s="115"/>
      <c r="V1029" s="115"/>
      <c r="W1029" s="115"/>
      <c r="X1029" s="115"/>
      <c r="Y1029" s="115"/>
      <c r="Z1029" s="115"/>
      <c r="AA1029" s="115"/>
      <c r="AB1029" s="115"/>
      <c r="AC1029" s="115"/>
      <c r="AD1029" s="115"/>
      <c r="AE1029" s="115"/>
      <c r="AF1029" s="115"/>
      <c r="AG1029" s="115"/>
      <c r="AH1029" s="115"/>
      <c r="AI1029" s="115"/>
      <c r="AJ1029" s="115"/>
      <c r="AK1029" s="115"/>
      <c r="AL1029" s="115"/>
      <c r="AM1029" s="115"/>
      <c r="AN1029" s="115"/>
      <c r="AO1029" s="115"/>
      <c r="AP1029" s="115"/>
      <c r="AQ1029" s="115"/>
      <c r="AR1029" s="115"/>
      <c r="AS1029" s="115"/>
      <c r="AT1029" s="26"/>
      <c r="AU1029" s="13"/>
      <c r="AZ1029" s="117"/>
      <c r="BA1029" s="123"/>
      <c r="BB1029" s="123"/>
      <c r="BC1029" s="123"/>
      <c r="BD1029" s="115"/>
      <c r="BE1029" s="115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25"/>
      <c r="BS1029" s="15"/>
      <c r="BV1029" s="114"/>
    </row>
    <row r="1030" spans="6:74" ht="19.5" x14ac:dyDescent="0.4">
      <c r="AT1030" s="26"/>
      <c r="AU1030" s="13"/>
      <c r="AZ1030" s="117"/>
      <c r="BA1030" s="123"/>
      <c r="BB1030" s="123"/>
      <c r="BC1030" s="123"/>
      <c r="BD1030" s="115"/>
      <c r="BE1030" s="115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25">
        <v>45273</v>
      </c>
      <c r="BS1030" s="15" t="s">
        <v>162</v>
      </c>
      <c r="BV1030" s="114"/>
    </row>
    <row r="1031" spans="6:74" ht="19.5" x14ac:dyDescent="0.4">
      <c r="AT1031" s="26"/>
      <c r="AU1031" s="13"/>
      <c r="AZ1031" s="117"/>
      <c r="BA1031" s="123"/>
      <c r="BB1031" s="123"/>
      <c r="BC1031" s="123"/>
      <c r="BD1031" s="115"/>
      <c r="BE1031" s="115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25">
        <v>45273</v>
      </c>
      <c r="BS1031" s="15" t="s">
        <v>162</v>
      </c>
      <c r="BV1031" s="114"/>
    </row>
    <row r="1032" spans="6:74" ht="19.5" x14ac:dyDescent="0.4">
      <c r="AT1032" s="26"/>
      <c r="AU1032" s="13"/>
      <c r="AZ1032" s="117"/>
      <c r="BA1032" s="123"/>
      <c r="BB1032" s="123"/>
      <c r="BC1032" s="123"/>
      <c r="BD1032" s="115"/>
      <c r="BE1032" s="115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25">
        <v>45273</v>
      </c>
      <c r="BS1032" s="13" t="s">
        <v>163</v>
      </c>
      <c r="BV1032" s="114"/>
    </row>
    <row r="1033" spans="6:74" ht="19.5" x14ac:dyDescent="0.4">
      <c r="AT1033" s="26"/>
      <c r="AU1033" s="13"/>
      <c r="AZ1033" s="117"/>
      <c r="BA1033" s="123"/>
      <c r="BB1033" s="123"/>
      <c r="BC1033" s="123"/>
      <c r="BD1033" s="115"/>
      <c r="BE1033" s="115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25"/>
      <c r="BS1033" s="13"/>
      <c r="BV1033" s="114"/>
    </row>
    <row r="1034" spans="6:74" ht="19.5" x14ac:dyDescent="0.4">
      <c r="AT1034" s="26"/>
      <c r="AU1034" s="13"/>
      <c r="AZ1034" s="117"/>
      <c r="BA1034" s="123"/>
      <c r="BB1034" s="123"/>
      <c r="BC1034" s="123"/>
      <c r="BD1034" s="115"/>
      <c r="BE1034" s="115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15" t="s">
        <v>152</v>
      </c>
      <c r="BR1034" s="13">
        <f>SUBTOTAL(3,BR1003:BR1032)</f>
        <v>22</v>
      </c>
      <c r="BS1034" s="13">
        <f>SUBTOTAL(3,BS1003:BS1032)</f>
        <v>22</v>
      </c>
      <c r="BV1034" s="114"/>
    </row>
    <row r="1035" spans="6:74" ht="19.5" x14ac:dyDescent="0.4">
      <c r="AT1035" s="26"/>
      <c r="AU1035" s="13"/>
      <c r="AZ1035" s="117"/>
      <c r="BA1035" s="123"/>
      <c r="BB1035" s="123"/>
      <c r="BC1035" s="123"/>
      <c r="BD1035" s="115"/>
      <c r="BE1035" s="115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25">
        <v>45274</v>
      </c>
      <c r="BS1035" s="15" t="s">
        <v>162</v>
      </c>
      <c r="BV1035" s="114"/>
    </row>
    <row r="1036" spans="6:74" ht="19.5" x14ac:dyDescent="0.4">
      <c r="AJ1036" s="115"/>
      <c r="AK1036" s="115"/>
      <c r="AL1036" s="115"/>
      <c r="AM1036" s="115"/>
      <c r="AN1036" s="115"/>
      <c r="AO1036" s="115"/>
      <c r="AP1036" s="115"/>
      <c r="AQ1036" s="115"/>
      <c r="AR1036" s="115"/>
      <c r="AS1036" s="115"/>
      <c r="AT1036" s="26"/>
      <c r="AU1036" s="13"/>
      <c r="AZ1036" s="117"/>
      <c r="BA1036" s="123"/>
      <c r="BB1036" s="123"/>
      <c r="BC1036" s="123"/>
      <c r="BD1036" s="115"/>
      <c r="BE1036" s="115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25"/>
      <c r="BS1036" s="15"/>
      <c r="BV1036" s="114"/>
    </row>
    <row r="1037" spans="6:74" ht="19.5" x14ac:dyDescent="0.4">
      <c r="AJ1037" s="115"/>
      <c r="AK1037" s="115"/>
      <c r="AL1037" s="115"/>
      <c r="AM1037" s="115"/>
      <c r="AN1037" s="115"/>
      <c r="AO1037" s="115"/>
      <c r="AP1037" s="115"/>
      <c r="AQ1037" s="115"/>
      <c r="AR1037" s="115"/>
      <c r="AS1037" s="115"/>
      <c r="AT1037" s="26"/>
      <c r="AU1037" s="13"/>
      <c r="AZ1037" s="117"/>
      <c r="BA1037" s="123"/>
      <c r="BB1037" s="123"/>
      <c r="BC1037" s="123"/>
      <c r="BD1037" s="115"/>
      <c r="BE1037" s="115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25"/>
      <c r="BS1037" s="15"/>
      <c r="BV1037" s="114"/>
    </row>
    <row r="1038" spans="6:74" ht="19.5" x14ac:dyDescent="0.4">
      <c r="AT1038" s="26"/>
      <c r="AU1038" s="13"/>
      <c r="AZ1038" s="117"/>
      <c r="BA1038" s="123"/>
      <c r="BB1038" s="123"/>
      <c r="BC1038" s="123"/>
      <c r="BD1038" s="115"/>
      <c r="BE1038" s="115"/>
      <c r="BF1038" s="115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25">
        <v>45274</v>
      </c>
      <c r="BS1038" s="15" t="s">
        <v>162</v>
      </c>
      <c r="BV1038" s="114"/>
    </row>
    <row r="1039" spans="6:74" ht="19.5" x14ac:dyDescent="0.4"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26"/>
      <c r="AU1039" s="13"/>
      <c r="AZ1039" s="117"/>
      <c r="BA1039" s="123"/>
      <c r="BB1039" s="123"/>
      <c r="BC1039" s="123"/>
      <c r="BD1039" s="115"/>
      <c r="BE1039" s="115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25"/>
      <c r="BS1039" s="15"/>
      <c r="BV1039" s="114"/>
    </row>
    <row r="1040" spans="6:74" ht="19.5" x14ac:dyDescent="0.4"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26"/>
      <c r="AU1040" s="13"/>
      <c r="AZ1040" s="117"/>
      <c r="BA1040" s="123"/>
      <c r="BB1040" s="123"/>
      <c r="BC1040" s="123"/>
      <c r="BD1040" s="115"/>
      <c r="BE1040" s="115"/>
      <c r="BF1040" s="115"/>
      <c r="BG1040" s="115"/>
      <c r="BH1040" s="115"/>
      <c r="BI1040" s="115"/>
      <c r="BJ1040" s="115"/>
      <c r="BK1040" s="115"/>
      <c r="BL1040" s="115"/>
      <c r="BM1040" s="115"/>
      <c r="BN1040" s="115"/>
      <c r="BO1040" s="115"/>
      <c r="BP1040" s="115"/>
      <c r="BQ1040" s="115"/>
      <c r="BR1040" s="25"/>
      <c r="BS1040" s="15"/>
      <c r="BV1040" s="114"/>
    </row>
    <row r="1041" spans="6:74" ht="19.5" x14ac:dyDescent="0.4"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26"/>
      <c r="AU1041" s="13"/>
      <c r="AZ1041" s="117"/>
      <c r="BA1041" s="123"/>
      <c r="BB1041" s="123"/>
      <c r="BC1041" s="123"/>
      <c r="BD1041" s="115"/>
      <c r="BE1041" s="115"/>
      <c r="BF1041" s="115"/>
      <c r="BG1041" s="115"/>
      <c r="BH1041" s="115"/>
      <c r="BI1041" s="115"/>
      <c r="BJ1041" s="115"/>
      <c r="BK1041" s="115"/>
      <c r="BL1041" s="115"/>
      <c r="BM1041" s="115"/>
      <c r="BN1041" s="115"/>
      <c r="BO1041" s="115"/>
      <c r="BP1041" s="115"/>
      <c r="BQ1041" s="115"/>
      <c r="BR1041" s="25"/>
      <c r="BS1041" s="15"/>
      <c r="BV1041" s="114"/>
    </row>
    <row r="1042" spans="6:74" ht="19.5" x14ac:dyDescent="0.4">
      <c r="AT1042" s="26"/>
      <c r="AU1042" s="13"/>
      <c r="AZ1042" s="117"/>
      <c r="BA1042" s="123"/>
      <c r="BB1042" s="123"/>
      <c r="BC1042" s="123"/>
      <c r="BD1042" s="115"/>
      <c r="BE1042" s="115"/>
      <c r="BF1042" s="115"/>
      <c r="BG1042" s="115"/>
      <c r="BH1042" s="115"/>
      <c r="BI1042" s="115"/>
      <c r="BJ1042" s="115"/>
      <c r="BK1042" s="115"/>
      <c r="BL1042" s="115"/>
      <c r="BM1042" s="115"/>
      <c r="BN1042" s="115"/>
      <c r="BO1042" s="115"/>
      <c r="BP1042" s="115"/>
      <c r="BQ1042" s="115"/>
      <c r="BR1042" s="25">
        <v>45274</v>
      </c>
      <c r="BS1042" s="15" t="s">
        <v>162</v>
      </c>
      <c r="BV1042" s="114"/>
    </row>
    <row r="1043" spans="6:74" ht="19.5" x14ac:dyDescent="0.4"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26"/>
      <c r="AU1043" s="13"/>
      <c r="AZ1043" s="117"/>
      <c r="BA1043" s="123"/>
      <c r="BB1043" s="123"/>
      <c r="BC1043" s="123"/>
      <c r="BD1043" s="115"/>
      <c r="BE1043" s="115"/>
      <c r="BF1043" s="115"/>
      <c r="BG1043" s="115"/>
      <c r="BH1043" s="115"/>
      <c r="BI1043" s="115"/>
      <c r="BJ1043" s="115"/>
      <c r="BK1043" s="115"/>
      <c r="BL1043" s="115"/>
      <c r="BM1043" s="115"/>
      <c r="BN1043" s="115"/>
      <c r="BO1043" s="115"/>
      <c r="BP1043" s="115"/>
      <c r="BQ1043" s="115"/>
      <c r="BR1043" s="25"/>
      <c r="BS1043" s="15"/>
      <c r="BV1043" s="114"/>
    </row>
    <row r="1044" spans="6:74" ht="19.5" x14ac:dyDescent="0.4">
      <c r="AT1044" s="26"/>
      <c r="AU1044" s="13"/>
      <c r="AZ1044" s="117"/>
      <c r="BA1044" s="123"/>
      <c r="BB1044" s="123"/>
      <c r="BC1044" s="123"/>
      <c r="BD1044" s="115"/>
      <c r="BE1044" s="115"/>
      <c r="BF1044" s="115"/>
      <c r="BG1044" s="115"/>
      <c r="BH1044" s="115"/>
      <c r="BI1044" s="115"/>
      <c r="BJ1044" s="115"/>
      <c r="BK1044" s="115"/>
      <c r="BL1044" s="115"/>
      <c r="BM1044" s="115"/>
      <c r="BN1044" s="115"/>
      <c r="BO1044" s="115"/>
      <c r="BP1044" s="115"/>
      <c r="BQ1044" s="115"/>
      <c r="BR1044" s="25">
        <v>45274</v>
      </c>
      <c r="BS1044" s="15" t="s">
        <v>162</v>
      </c>
      <c r="BV1044" s="114"/>
    </row>
    <row r="1045" spans="6:74" ht="19.5" x14ac:dyDescent="0.4">
      <c r="AT1045" s="26"/>
      <c r="AU1045" s="13"/>
      <c r="AZ1045" s="117"/>
      <c r="BA1045" s="123"/>
      <c r="BB1045" s="123"/>
      <c r="BC1045" s="123"/>
      <c r="BD1045" s="115"/>
      <c r="BE1045" s="115"/>
      <c r="BF1045" s="115"/>
      <c r="BG1045" s="115"/>
      <c r="BH1045" s="115"/>
      <c r="BI1045" s="115"/>
      <c r="BJ1045" s="115"/>
      <c r="BK1045" s="115"/>
      <c r="BL1045" s="115"/>
      <c r="BM1045" s="115"/>
      <c r="BN1045" s="115"/>
      <c r="BO1045" s="115"/>
      <c r="BP1045" s="115"/>
      <c r="BQ1045" s="115"/>
      <c r="BR1045" s="25">
        <v>45274</v>
      </c>
      <c r="BS1045" s="15" t="s">
        <v>163</v>
      </c>
      <c r="BV1045" s="114"/>
    </row>
    <row r="1046" spans="6:74" ht="19.5" x14ac:dyDescent="0.4">
      <c r="AL1046" s="115"/>
      <c r="AM1046" s="115"/>
      <c r="AN1046" s="115"/>
      <c r="AO1046" s="115"/>
      <c r="AP1046" s="115"/>
      <c r="AQ1046" s="115"/>
      <c r="AR1046" s="115"/>
      <c r="AS1046" s="115"/>
      <c r="AT1046" s="17"/>
      <c r="AU1046" s="13"/>
      <c r="AZ1046" s="117"/>
      <c r="BA1046" s="123"/>
      <c r="BB1046" s="123"/>
      <c r="BC1046" s="123"/>
      <c r="BD1046" s="115"/>
      <c r="BE1046" s="115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25"/>
      <c r="BS1046" s="15"/>
      <c r="BV1046" s="114"/>
    </row>
    <row r="1047" spans="6:74" ht="19.5" x14ac:dyDescent="0.4"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26"/>
      <c r="AU1047" s="13"/>
      <c r="AZ1047" s="117"/>
      <c r="BA1047" s="123"/>
      <c r="BB1047" s="123"/>
      <c r="BC1047" s="123"/>
      <c r="BD1047" s="115"/>
      <c r="BE1047" s="115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25"/>
      <c r="BS1047" s="15"/>
      <c r="BV1047" s="114"/>
    </row>
    <row r="1048" spans="6:74" ht="19.5" x14ac:dyDescent="0.4">
      <c r="AT1048" s="26"/>
      <c r="AU1048" s="25"/>
      <c r="AZ1048" s="117"/>
      <c r="BA1048" s="123"/>
      <c r="BB1048" s="123"/>
      <c r="BC1048" s="123"/>
      <c r="BD1048" s="115"/>
      <c r="BE1048" s="115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115" t="s">
        <v>167</v>
      </c>
      <c r="BR1048" s="13">
        <f>SUBTOTAL(3,BR1035:BR1045)</f>
        <v>5</v>
      </c>
      <c r="BS1048" s="15">
        <f>SUBTOTAL(3,BS1035:BS1045)</f>
        <v>5</v>
      </c>
      <c r="BV1048" s="114"/>
    </row>
    <row r="1049" spans="6:74" ht="19.5" x14ac:dyDescent="0.4"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26"/>
      <c r="AU1049" s="105"/>
      <c r="AZ1049" s="117"/>
      <c r="BA1049" s="123"/>
      <c r="BB1049" s="123"/>
      <c r="BC1049" s="123"/>
      <c r="BD1049" s="115"/>
      <c r="BE1049" s="115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3"/>
      <c r="BS1049" s="15"/>
      <c r="BV1049" s="114"/>
    </row>
    <row r="1050" spans="6:74" ht="19.5" x14ac:dyDescent="0.4">
      <c r="AT1050" s="26"/>
      <c r="AU1050" s="105"/>
      <c r="AZ1050" s="117"/>
      <c r="BA1050" s="123"/>
      <c r="BB1050" s="123"/>
      <c r="BC1050" s="123"/>
      <c r="BD1050" s="115"/>
      <c r="BE1050" s="115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3"/>
      <c r="BS1050" s="15"/>
      <c r="BV1050" s="114"/>
    </row>
    <row r="1051" spans="6:74" ht="19.5" x14ac:dyDescent="0.4">
      <c r="AL1051" s="115"/>
      <c r="AM1051" s="115"/>
      <c r="AN1051" s="115"/>
      <c r="AO1051" s="115"/>
      <c r="AP1051" s="115"/>
      <c r="AQ1051" s="115"/>
      <c r="AR1051" s="115"/>
      <c r="AS1051" s="115"/>
      <c r="AT1051" s="17"/>
      <c r="AU1051" s="15"/>
      <c r="AZ1051" s="117"/>
      <c r="BA1051" s="123"/>
      <c r="BB1051" s="123"/>
      <c r="BC1051" s="123"/>
      <c r="BD1051" s="115"/>
      <c r="BE1051" s="115"/>
      <c r="BF1051" s="115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3"/>
      <c r="BS1051" s="15"/>
      <c r="BV1051" s="114"/>
    </row>
    <row r="1052" spans="6:74" ht="19.5" x14ac:dyDescent="0.4"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26"/>
      <c r="AU1052" s="15"/>
      <c r="AZ1052" s="117"/>
      <c r="BA1052" s="123"/>
      <c r="BB1052" s="123"/>
      <c r="BC1052" s="123"/>
      <c r="BD1052" s="115"/>
      <c r="BE1052" s="115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3"/>
      <c r="BS1052" s="15"/>
      <c r="BV1052" s="114"/>
    </row>
    <row r="1053" spans="6:74" ht="19.5" x14ac:dyDescent="0.4"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26"/>
      <c r="AU1053" s="15"/>
      <c r="AZ1053" s="117"/>
      <c r="BA1053" s="123"/>
      <c r="BB1053" s="123"/>
      <c r="BC1053" s="123"/>
      <c r="BD1053" s="115"/>
      <c r="BE1053" s="115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3"/>
      <c r="BS1053" s="15"/>
      <c r="BV1053" s="114"/>
    </row>
    <row r="1054" spans="6:74" ht="19.5" x14ac:dyDescent="0.4"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26"/>
      <c r="AU1054" s="15"/>
      <c r="AZ1054" s="117"/>
      <c r="BA1054" s="123"/>
      <c r="BB1054" s="123"/>
      <c r="BC1054" s="123"/>
      <c r="BD1054" s="115"/>
      <c r="BE1054" s="115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3"/>
      <c r="BS1054" s="15"/>
      <c r="BV1054" s="114"/>
    </row>
    <row r="1055" spans="6:74" ht="19.5" x14ac:dyDescent="0.4"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26"/>
      <c r="AU1055" s="15"/>
      <c r="AZ1055" s="117"/>
      <c r="BA1055" s="123"/>
      <c r="BB1055" s="123"/>
      <c r="BC1055" s="123"/>
      <c r="BD1055" s="115"/>
      <c r="BE1055" s="115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3"/>
      <c r="BS1055" s="15"/>
      <c r="BV1055" s="114"/>
    </row>
    <row r="1056" spans="6:74" ht="19.5" x14ac:dyDescent="0.4">
      <c r="AT1056" s="26"/>
      <c r="AU1056" s="15"/>
      <c r="AZ1056" s="117"/>
      <c r="BA1056" s="123"/>
      <c r="BB1056" s="123"/>
      <c r="BC1056" s="123"/>
      <c r="BD1056" s="115"/>
      <c r="BE1056" s="115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25">
        <v>45275</v>
      </c>
      <c r="BS1056" s="15" t="s">
        <v>163</v>
      </c>
      <c r="BV1056" s="114"/>
    </row>
    <row r="1057" spans="6:74" ht="19.5" x14ac:dyDescent="0.4">
      <c r="AT1057" s="26"/>
      <c r="AU1057" s="15"/>
      <c r="AZ1057" s="117"/>
      <c r="BA1057" s="123"/>
      <c r="BB1057" s="123"/>
      <c r="BC1057" s="123"/>
      <c r="BD1057" s="115"/>
      <c r="BE1057" s="115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115" t="s">
        <v>168</v>
      </c>
      <c r="BR1057" s="13">
        <f>SUBTOTAL(3,BR1056:BR1056)</f>
        <v>1</v>
      </c>
      <c r="BS1057" s="15">
        <f>SUBTOTAL(3,BS1056:BS1056)</f>
        <v>1</v>
      </c>
      <c r="BV1057" s="114"/>
    </row>
    <row r="1058" spans="6:74" ht="19.5" x14ac:dyDescent="0.4">
      <c r="AT1058" s="26"/>
      <c r="AU1058" s="15"/>
      <c r="AZ1058" s="117"/>
      <c r="BA1058" s="123"/>
      <c r="BB1058" s="123"/>
      <c r="BC1058" s="123"/>
      <c r="BD1058" s="115"/>
      <c r="BE1058" s="115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25">
        <v>45276</v>
      </c>
      <c r="BS1058" s="15" t="s">
        <v>164</v>
      </c>
      <c r="BV1058" s="114"/>
    </row>
    <row r="1059" spans="6:74" ht="19.5" x14ac:dyDescent="0.4">
      <c r="AT1059" s="26"/>
      <c r="AU1059" s="15"/>
      <c r="AZ1059" s="117"/>
      <c r="BA1059" s="123"/>
      <c r="BB1059" s="123"/>
      <c r="BC1059" s="123"/>
      <c r="BD1059" s="115"/>
      <c r="BE1059" s="115"/>
      <c r="BF1059" s="115"/>
      <c r="BG1059" s="115"/>
      <c r="BH1059" s="115"/>
      <c r="BI1059" s="115"/>
      <c r="BJ1059" s="115"/>
      <c r="BK1059" s="115"/>
      <c r="BL1059" s="115"/>
      <c r="BM1059" s="115"/>
      <c r="BN1059" s="115"/>
      <c r="BO1059" s="115"/>
      <c r="BP1059" s="115"/>
      <c r="BQ1059" s="115"/>
      <c r="BR1059" s="25">
        <v>45276</v>
      </c>
      <c r="BS1059" s="15" t="s">
        <v>162</v>
      </c>
      <c r="BV1059" s="114"/>
    </row>
    <row r="1060" spans="6:74" ht="19.5" x14ac:dyDescent="0.4">
      <c r="AT1060" s="26"/>
      <c r="AU1060" s="15"/>
      <c r="AZ1060" s="117"/>
      <c r="BA1060" s="123"/>
      <c r="BB1060" s="123"/>
      <c r="BC1060" s="123"/>
      <c r="BD1060" s="115"/>
      <c r="BE1060" s="115"/>
      <c r="BF1060" s="115"/>
      <c r="BG1060" s="115"/>
      <c r="BH1060" s="115"/>
      <c r="BI1060" s="115"/>
      <c r="BJ1060" s="115"/>
      <c r="BK1060" s="115"/>
      <c r="BL1060" s="115"/>
      <c r="BM1060" s="115"/>
      <c r="BN1060" s="115"/>
      <c r="BO1060" s="115"/>
      <c r="BP1060" s="115"/>
      <c r="BQ1060" s="115"/>
      <c r="BR1060" s="25">
        <v>45276</v>
      </c>
      <c r="BS1060" s="15" t="s">
        <v>162</v>
      </c>
      <c r="BV1060" s="114"/>
    </row>
    <row r="1061" spans="6:74" ht="19.5" x14ac:dyDescent="0.4">
      <c r="AT1061" s="26"/>
      <c r="AU1061" s="15"/>
      <c r="AZ1061" s="117"/>
      <c r="BA1061" s="123"/>
      <c r="BB1061" s="123"/>
      <c r="BC1061" s="123"/>
      <c r="BD1061" s="115"/>
      <c r="BE1061" s="115"/>
      <c r="BF1061" s="115"/>
      <c r="BG1061" s="115"/>
      <c r="BH1061" s="115"/>
      <c r="BI1061" s="115"/>
      <c r="BJ1061" s="115"/>
      <c r="BK1061" s="115"/>
      <c r="BL1061" s="115"/>
      <c r="BM1061" s="115"/>
      <c r="BN1061" s="115"/>
      <c r="BO1061" s="115"/>
      <c r="BP1061" s="115"/>
      <c r="BQ1061" s="115"/>
      <c r="BR1061" s="25">
        <v>45276</v>
      </c>
      <c r="BS1061" s="15" t="s">
        <v>162</v>
      </c>
      <c r="BV1061" s="114"/>
    </row>
    <row r="1062" spans="6:74" ht="19.5" x14ac:dyDescent="0.4">
      <c r="AT1062" s="26"/>
      <c r="AU1062" s="15"/>
      <c r="AZ1062" s="117"/>
      <c r="BA1062" s="123"/>
      <c r="BB1062" s="123"/>
      <c r="BC1062" s="123"/>
      <c r="BD1062" s="115"/>
      <c r="BE1062" s="115"/>
      <c r="BF1062" s="115"/>
      <c r="BG1062" s="115"/>
      <c r="BH1062" s="115"/>
      <c r="BI1062" s="115"/>
      <c r="BJ1062" s="115"/>
      <c r="BK1062" s="115"/>
      <c r="BL1062" s="115"/>
      <c r="BM1062" s="115"/>
      <c r="BN1062" s="115"/>
      <c r="BO1062" s="115"/>
      <c r="BP1062" s="115"/>
      <c r="BQ1062" s="115"/>
      <c r="BR1062" s="25">
        <v>45276</v>
      </c>
      <c r="BS1062" s="15" t="s">
        <v>162</v>
      </c>
      <c r="BV1062" s="114"/>
    </row>
    <row r="1063" spans="6:74" ht="19.5" x14ac:dyDescent="0.4"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26"/>
      <c r="AU1063" s="15"/>
      <c r="AZ1063" s="117"/>
      <c r="BA1063" s="123"/>
      <c r="BB1063" s="123"/>
      <c r="BC1063" s="123"/>
      <c r="BD1063" s="115"/>
      <c r="BE1063" s="115"/>
      <c r="BF1063" s="115"/>
      <c r="BG1063" s="115"/>
      <c r="BH1063" s="115"/>
      <c r="BI1063" s="115"/>
      <c r="BJ1063" s="115"/>
      <c r="BK1063" s="115"/>
      <c r="BL1063" s="115"/>
      <c r="BM1063" s="115"/>
      <c r="BN1063" s="115"/>
      <c r="BO1063" s="115"/>
      <c r="BP1063" s="115"/>
      <c r="BQ1063" s="115"/>
      <c r="BR1063" s="25"/>
      <c r="BS1063" s="15"/>
      <c r="BV1063" s="114"/>
    </row>
    <row r="1064" spans="6:74" ht="19.5" x14ac:dyDescent="0.4">
      <c r="AT1064" s="26"/>
      <c r="AU1064" s="15"/>
      <c r="AZ1064" s="117"/>
      <c r="BA1064" s="123"/>
      <c r="BB1064" s="123"/>
      <c r="BC1064" s="123"/>
      <c r="BD1064" s="115"/>
      <c r="BE1064" s="115"/>
      <c r="BF1064" s="115"/>
      <c r="BG1064" s="115"/>
      <c r="BH1064" s="115"/>
      <c r="BI1064" s="115"/>
      <c r="BJ1064" s="115"/>
      <c r="BK1064" s="115"/>
      <c r="BL1064" s="115"/>
      <c r="BM1064" s="115"/>
      <c r="BN1064" s="115"/>
      <c r="BO1064" s="115"/>
      <c r="BP1064" s="115"/>
      <c r="BQ1064" s="115"/>
      <c r="BR1064" s="25">
        <v>45276</v>
      </c>
      <c r="BS1064" s="15" t="s">
        <v>162</v>
      </c>
      <c r="BV1064" s="114"/>
    </row>
    <row r="1065" spans="6:74" ht="19.5" x14ac:dyDescent="0.4">
      <c r="AT1065" s="26"/>
      <c r="AU1065" s="15"/>
      <c r="AZ1065" s="117"/>
      <c r="BA1065" s="123"/>
      <c r="BB1065" s="123"/>
      <c r="BC1065" s="123"/>
      <c r="BD1065" s="115"/>
      <c r="BE1065" s="115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25">
        <v>45276</v>
      </c>
      <c r="BS1065" s="15" t="s">
        <v>162</v>
      </c>
      <c r="BV1065" s="114"/>
    </row>
    <row r="1066" spans="6:74" ht="19.5" x14ac:dyDescent="0.4">
      <c r="AL1066" s="115"/>
      <c r="AM1066" s="115"/>
      <c r="AN1066" s="115"/>
      <c r="AO1066" s="115"/>
      <c r="AP1066" s="115"/>
      <c r="AQ1066" s="115"/>
      <c r="AR1066" s="115"/>
      <c r="AS1066" s="115"/>
      <c r="AT1066" s="17"/>
      <c r="AU1066" s="15"/>
      <c r="AZ1066" s="117"/>
      <c r="BA1066" s="123"/>
      <c r="BB1066" s="123"/>
      <c r="BC1066" s="123"/>
      <c r="BD1066" s="115"/>
      <c r="BE1066" s="115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25"/>
      <c r="BS1066" s="15"/>
      <c r="BV1066" s="114"/>
    </row>
    <row r="1067" spans="6:74" ht="19.5" x14ac:dyDescent="0.4"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26"/>
      <c r="AU1067" s="15"/>
      <c r="AZ1067" s="117"/>
      <c r="BA1067" s="123"/>
      <c r="BB1067" s="123"/>
      <c r="BC1067" s="123"/>
      <c r="BD1067" s="115"/>
      <c r="BE1067" s="115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25"/>
      <c r="BS1067" s="15"/>
      <c r="BV1067" s="114"/>
    </row>
    <row r="1068" spans="6:74" ht="19.5" x14ac:dyDescent="0.4"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6"/>
      <c r="AU1068" s="15"/>
      <c r="AZ1068" s="117"/>
      <c r="BA1068" s="123"/>
      <c r="BB1068" s="123"/>
      <c r="BC1068" s="123"/>
      <c r="BD1068" s="115"/>
      <c r="BE1068" s="115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25"/>
      <c r="BS1068" s="15"/>
      <c r="BV1068" s="114"/>
    </row>
    <row r="1069" spans="6:74" ht="19.5" x14ac:dyDescent="0.4"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6"/>
      <c r="AU1069" s="15"/>
      <c r="AZ1069" s="117"/>
      <c r="BA1069" s="123"/>
      <c r="BB1069" s="123"/>
      <c r="BC1069" s="123"/>
      <c r="BD1069" s="115"/>
      <c r="BE1069" s="115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25"/>
      <c r="BS1069" s="15"/>
      <c r="BV1069" s="114"/>
    </row>
    <row r="1070" spans="6:74" ht="19.5" x14ac:dyDescent="0.4">
      <c r="AT1070" s="26"/>
      <c r="AU1070" s="15"/>
      <c r="AY1070" s="115"/>
      <c r="AZ1070" s="117"/>
      <c r="BA1070" s="123"/>
      <c r="BB1070" s="123"/>
      <c r="BC1070" s="123"/>
      <c r="BD1070" s="115"/>
      <c r="BE1070" s="115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25">
        <v>45276</v>
      </c>
      <c r="BS1070" s="15" t="s">
        <v>162</v>
      </c>
      <c r="BV1070" s="114"/>
    </row>
    <row r="1071" spans="6:74" ht="19.5" x14ac:dyDescent="0.4">
      <c r="AT1071" s="26"/>
      <c r="AU1071" s="15"/>
      <c r="AY1071" s="115"/>
      <c r="AZ1071" s="117"/>
      <c r="BA1071" s="123"/>
      <c r="BB1071" s="123"/>
      <c r="BC1071" s="123"/>
      <c r="BD1071" s="115"/>
      <c r="BE1071" s="115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25">
        <v>45276</v>
      </c>
      <c r="BS1071" s="15" t="s">
        <v>162</v>
      </c>
      <c r="BV1071" s="114"/>
    </row>
    <row r="1072" spans="6:74" ht="19.5" x14ac:dyDescent="0.4">
      <c r="AT1072" s="26"/>
      <c r="AU1072" s="15"/>
      <c r="AY1072" s="115"/>
      <c r="AZ1072" s="117"/>
      <c r="BA1072" s="123"/>
      <c r="BB1072" s="123"/>
      <c r="BC1072" s="123"/>
      <c r="BD1072" s="115"/>
      <c r="BE1072" s="115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25">
        <v>45276</v>
      </c>
      <c r="BS1072" s="15" t="s">
        <v>162</v>
      </c>
      <c r="BV1072" s="114"/>
    </row>
    <row r="1073" spans="6:74" ht="19.5" x14ac:dyDescent="0.4">
      <c r="AL1073" s="115"/>
      <c r="AM1073" s="115"/>
      <c r="AN1073" s="115"/>
      <c r="AO1073" s="115"/>
      <c r="AP1073" s="115"/>
      <c r="AQ1073" s="115"/>
      <c r="AR1073" s="115"/>
      <c r="AS1073" s="115"/>
      <c r="AT1073" s="17"/>
      <c r="AU1073" s="15"/>
      <c r="AY1073" s="115"/>
      <c r="AZ1073" s="117"/>
      <c r="BA1073" s="123"/>
      <c r="BB1073" s="123"/>
      <c r="BC1073" s="123"/>
      <c r="BD1073" s="115"/>
      <c r="BE1073" s="115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25"/>
      <c r="BS1073" s="15"/>
      <c r="BV1073" s="114"/>
    </row>
    <row r="1074" spans="6:74" ht="19.5" x14ac:dyDescent="0.4">
      <c r="AI1074" s="115"/>
      <c r="AJ1074" s="115"/>
      <c r="AK1074" s="115"/>
      <c r="AL1074" s="115"/>
      <c r="AM1074" s="115"/>
      <c r="AN1074" s="115"/>
      <c r="AO1074" s="115"/>
      <c r="AP1074" s="115"/>
      <c r="AQ1074" s="115"/>
      <c r="AR1074" s="115"/>
      <c r="AS1074" s="115"/>
      <c r="AT1074" s="26"/>
      <c r="AU1074" s="15"/>
      <c r="AY1074" s="115"/>
      <c r="AZ1074" s="117"/>
      <c r="BA1074" s="123"/>
      <c r="BB1074" s="123"/>
      <c r="BC1074" s="123"/>
      <c r="BD1074" s="115"/>
      <c r="BE1074" s="115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25"/>
      <c r="BS1074" s="15"/>
      <c r="BV1074" s="114"/>
    </row>
    <row r="1075" spans="6:74" ht="19.5" x14ac:dyDescent="0.4">
      <c r="AI1075" s="115"/>
      <c r="AJ1075" s="115"/>
      <c r="AK1075" s="115"/>
      <c r="AL1075" s="115"/>
      <c r="AM1075" s="115"/>
      <c r="AN1075" s="115"/>
      <c r="AO1075" s="115"/>
      <c r="AP1075" s="115"/>
      <c r="AQ1075" s="115"/>
      <c r="AR1075" s="115"/>
      <c r="AS1075" s="115"/>
      <c r="AT1075" s="17"/>
      <c r="AU1075" s="15"/>
      <c r="AY1075" s="115"/>
      <c r="AZ1075" s="117"/>
      <c r="BA1075" s="123"/>
      <c r="BB1075" s="123"/>
      <c r="BC1075" s="123"/>
      <c r="BD1075" s="115"/>
      <c r="BE1075" s="115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25"/>
      <c r="BS1075" s="15"/>
      <c r="BV1075" s="114"/>
    </row>
    <row r="1076" spans="6:74" ht="19.5" x14ac:dyDescent="0.4">
      <c r="AT1076" s="26"/>
      <c r="AU1076" s="15"/>
      <c r="AY1076" s="115"/>
      <c r="AZ1076" s="117"/>
      <c r="BA1076" s="123"/>
      <c r="BB1076" s="123"/>
      <c r="BC1076" s="123"/>
      <c r="BD1076" s="115"/>
      <c r="BE1076" s="115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25"/>
      <c r="BS1076" s="15"/>
      <c r="BV1076" s="114"/>
    </row>
    <row r="1077" spans="6:74" ht="19.5" x14ac:dyDescent="0.4">
      <c r="F1077" s="115"/>
      <c r="G1077" s="115"/>
      <c r="H1077" s="115"/>
      <c r="I1077" s="115"/>
      <c r="J1077" s="115"/>
      <c r="K1077" s="115"/>
      <c r="L1077" s="115"/>
      <c r="M1077" s="115"/>
      <c r="N1077" s="115"/>
      <c r="O1077" s="115"/>
      <c r="P1077" s="115"/>
      <c r="Q1077" s="115"/>
      <c r="R1077" s="115"/>
      <c r="S1077" s="115"/>
      <c r="T1077" s="115"/>
      <c r="U1077" s="115"/>
      <c r="V1077" s="115"/>
      <c r="W1077" s="115"/>
      <c r="X1077" s="115"/>
      <c r="Y1077" s="115"/>
      <c r="Z1077" s="115"/>
      <c r="AA1077" s="115"/>
      <c r="AB1077" s="115"/>
      <c r="AC1077" s="115"/>
      <c r="AD1077" s="115"/>
      <c r="AE1077" s="115"/>
      <c r="AF1077" s="115"/>
      <c r="AG1077" s="115"/>
      <c r="AH1077" s="115"/>
      <c r="AI1077" s="115"/>
      <c r="AJ1077" s="115"/>
      <c r="AK1077" s="115"/>
      <c r="AL1077" s="115"/>
      <c r="AM1077" s="115"/>
      <c r="AN1077" s="115"/>
      <c r="AO1077" s="115"/>
      <c r="AP1077" s="115"/>
      <c r="AQ1077" s="115"/>
      <c r="AR1077" s="115"/>
      <c r="AS1077" s="115"/>
      <c r="AT1077" s="26"/>
      <c r="AU1077" s="15"/>
      <c r="AY1077" s="115"/>
      <c r="AZ1077" s="117"/>
      <c r="BA1077" s="123"/>
      <c r="BB1077" s="123"/>
      <c r="BC1077" s="123"/>
      <c r="BD1077" s="115"/>
      <c r="BE1077" s="115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25"/>
      <c r="BS1077" s="15"/>
      <c r="BV1077" s="114"/>
    </row>
    <row r="1078" spans="6:74" ht="19.5" x14ac:dyDescent="0.4">
      <c r="AT1078" s="26"/>
      <c r="AU1078" s="15"/>
      <c r="AY1078" s="115"/>
      <c r="AZ1078" s="117"/>
      <c r="BA1078" s="123"/>
      <c r="BB1078" s="123"/>
      <c r="BC1078" s="123"/>
      <c r="BD1078" s="115"/>
      <c r="BE1078" s="115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25">
        <v>45276</v>
      </c>
      <c r="BS1078" s="15" t="s">
        <v>162</v>
      </c>
      <c r="BV1078" s="114"/>
    </row>
    <row r="1079" spans="6:74" ht="19.5" x14ac:dyDescent="0.4">
      <c r="AL1079" s="115"/>
      <c r="AM1079" s="115"/>
      <c r="AN1079" s="115"/>
      <c r="AO1079" s="115"/>
      <c r="AP1079" s="115"/>
      <c r="AQ1079" s="115"/>
      <c r="AR1079" s="115"/>
      <c r="AS1079" s="115"/>
      <c r="AT1079" s="17"/>
      <c r="AU1079" s="15"/>
      <c r="AY1079" s="115"/>
      <c r="AZ1079" s="117"/>
      <c r="BA1079" s="123"/>
      <c r="BB1079" s="123"/>
      <c r="BC1079" s="123"/>
      <c r="BD1079" s="115"/>
      <c r="BE1079" s="115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25"/>
      <c r="BS1079" s="15"/>
      <c r="BV1079" s="114"/>
    </row>
    <row r="1080" spans="6:74" ht="19.5" x14ac:dyDescent="0.4">
      <c r="AT1080" s="26"/>
      <c r="AU1080" s="15"/>
      <c r="AY1080" s="115"/>
      <c r="AZ1080" s="117"/>
      <c r="BA1080" s="123"/>
      <c r="BB1080" s="123"/>
      <c r="BC1080" s="123"/>
      <c r="BD1080" s="115"/>
      <c r="BE1080" s="115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25">
        <v>45276</v>
      </c>
      <c r="BS1080" s="15" t="s">
        <v>162</v>
      </c>
      <c r="BV1080" s="114"/>
    </row>
    <row r="1081" spans="6:74" ht="19.5" x14ac:dyDescent="0.4">
      <c r="AL1081" s="115"/>
      <c r="AM1081" s="115"/>
      <c r="AN1081" s="115"/>
      <c r="AO1081" s="115"/>
      <c r="AP1081" s="115"/>
      <c r="AQ1081" s="115"/>
      <c r="AR1081" s="115"/>
      <c r="AS1081" s="115"/>
      <c r="AT1081" s="17"/>
      <c r="AU1081" s="15"/>
      <c r="AY1081" s="115"/>
      <c r="AZ1081" s="117"/>
      <c r="BA1081" s="123"/>
      <c r="BB1081" s="123"/>
      <c r="BC1081" s="123"/>
      <c r="BD1081" s="115"/>
      <c r="BE1081" s="115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25"/>
      <c r="BS1081" s="15"/>
      <c r="BV1081" s="114"/>
    </row>
    <row r="1082" spans="6:74" ht="19.5" x14ac:dyDescent="0.4">
      <c r="AK1082" s="115"/>
      <c r="AL1082" s="115"/>
      <c r="AM1082" s="115"/>
      <c r="AN1082" s="115"/>
      <c r="AO1082" s="115"/>
      <c r="AP1082" s="115"/>
      <c r="AQ1082" s="115"/>
      <c r="AR1082" s="115"/>
      <c r="AS1082" s="115"/>
      <c r="AT1082" s="26"/>
      <c r="AU1082" s="15"/>
      <c r="AY1082" s="115"/>
      <c r="AZ1082" s="117"/>
      <c r="BA1082" s="123"/>
      <c r="BB1082" s="123"/>
      <c r="BC1082" s="123"/>
      <c r="BD1082" s="115"/>
      <c r="BE1082" s="115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25"/>
      <c r="BS1082" s="15"/>
      <c r="BV1082" s="114"/>
    </row>
    <row r="1083" spans="6:74" ht="19.5" x14ac:dyDescent="0.4"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7"/>
      <c r="AU1083" s="15"/>
      <c r="AY1083" s="115"/>
      <c r="AZ1083" s="117"/>
      <c r="BA1083" s="123"/>
      <c r="BB1083" s="123"/>
      <c r="BC1083" s="123"/>
      <c r="BD1083" s="115"/>
      <c r="BE1083" s="115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25"/>
      <c r="BS1083" s="15"/>
      <c r="BV1083" s="114"/>
    </row>
    <row r="1084" spans="6:74" ht="19.5" x14ac:dyDescent="0.4">
      <c r="AT1084" s="26"/>
      <c r="AU1084" s="15"/>
      <c r="AY1084" s="115"/>
      <c r="AZ1084" s="117"/>
      <c r="BA1084" s="123"/>
      <c r="BB1084" s="123"/>
      <c r="BC1084" s="123"/>
      <c r="BD1084" s="115"/>
      <c r="BE1084" s="115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25">
        <v>45276</v>
      </c>
      <c r="BS1084" s="15" t="s">
        <v>162</v>
      </c>
      <c r="BV1084" s="114"/>
    </row>
    <row r="1085" spans="6:74" ht="19.5" x14ac:dyDescent="0.4">
      <c r="AT1085" s="26"/>
      <c r="AU1085" s="15"/>
      <c r="AY1085" s="115"/>
      <c r="AZ1085" s="117"/>
      <c r="BA1085" s="123"/>
      <c r="BB1085" s="123"/>
      <c r="BC1085" s="123"/>
      <c r="BD1085" s="115"/>
      <c r="BE1085" s="115"/>
      <c r="BF1085" s="115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25">
        <v>45276</v>
      </c>
      <c r="BS1085" s="15" t="s">
        <v>162</v>
      </c>
      <c r="BV1085" s="114"/>
    </row>
    <row r="1086" spans="6:74" ht="19.5" x14ac:dyDescent="0.4">
      <c r="AT1086" s="26"/>
      <c r="AU1086" s="15"/>
      <c r="AY1086" s="115"/>
      <c r="AZ1086" s="117"/>
      <c r="BA1086" s="123"/>
      <c r="BB1086" s="123"/>
      <c r="BC1086" s="123"/>
      <c r="BD1086" s="115"/>
      <c r="BE1086" s="115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15"/>
      <c r="BP1086" s="115"/>
      <c r="BQ1086" s="115"/>
      <c r="BR1086" s="25">
        <v>45276</v>
      </c>
      <c r="BS1086" s="15" t="s">
        <v>162</v>
      </c>
      <c r="BV1086" s="114"/>
    </row>
    <row r="1087" spans="6:74" ht="19.5" x14ac:dyDescent="0.4">
      <c r="AT1087" s="26"/>
      <c r="AU1087" s="15"/>
      <c r="AY1087" s="115"/>
      <c r="AZ1087" s="117"/>
      <c r="BA1087" s="123"/>
      <c r="BB1087" s="123"/>
      <c r="BC1087" s="123"/>
      <c r="BD1087" s="115"/>
      <c r="BE1087" s="115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115"/>
      <c r="BP1087" s="115"/>
      <c r="BQ1087" s="115"/>
      <c r="BR1087" s="25"/>
      <c r="BS1087" s="15"/>
      <c r="BV1087" s="114"/>
    </row>
    <row r="1088" spans="6:74" ht="19.5" x14ac:dyDescent="0.4">
      <c r="AL1088" s="115"/>
      <c r="AM1088" s="115"/>
      <c r="AN1088" s="115"/>
      <c r="AO1088" s="115"/>
      <c r="AP1088" s="115"/>
      <c r="AQ1088" s="115"/>
      <c r="AR1088" s="115"/>
      <c r="AS1088" s="115"/>
      <c r="AT1088" s="17"/>
      <c r="AU1088" s="15"/>
      <c r="AY1088" s="115"/>
      <c r="AZ1088" s="117"/>
      <c r="BA1088" s="123"/>
      <c r="BB1088" s="123"/>
      <c r="BC1088" s="123"/>
      <c r="BD1088" s="115"/>
      <c r="BE1088" s="115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115"/>
      <c r="BP1088" s="115"/>
      <c r="BQ1088" s="115"/>
      <c r="BR1088" s="25"/>
      <c r="BS1088" s="15"/>
      <c r="BV1088" s="114"/>
    </row>
    <row r="1089" spans="35:74" ht="19.5" x14ac:dyDescent="0.4">
      <c r="AT1089" s="26"/>
      <c r="AU1089" s="15"/>
      <c r="AY1089" s="115"/>
      <c r="AZ1089" s="117"/>
      <c r="BA1089" s="123"/>
      <c r="BB1089" s="123"/>
      <c r="BC1089" s="123"/>
      <c r="BD1089" s="115"/>
      <c r="BE1089" s="115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115"/>
      <c r="BP1089" s="115"/>
      <c r="BQ1089" s="115"/>
      <c r="BR1089" s="25">
        <v>45276</v>
      </c>
      <c r="BS1089" s="15" t="s">
        <v>162</v>
      </c>
      <c r="BV1089" s="114"/>
    </row>
    <row r="1090" spans="35:74" ht="19.5" x14ac:dyDescent="0.4">
      <c r="AT1090" s="26"/>
      <c r="AU1090" s="15"/>
      <c r="AY1090" s="115"/>
      <c r="AZ1090" s="117"/>
      <c r="BA1090" s="123"/>
      <c r="BB1090" s="123"/>
      <c r="BC1090" s="123"/>
      <c r="BD1090" s="115"/>
      <c r="BE1090" s="115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115"/>
      <c r="BP1090" s="115"/>
      <c r="BQ1090" s="115"/>
      <c r="BR1090" s="25">
        <v>45276</v>
      </c>
      <c r="BS1090" s="15" t="s">
        <v>162</v>
      </c>
      <c r="BV1090" s="114"/>
    </row>
    <row r="1091" spans="35:74" ht="19.5" x14ac:dyDescent="0.4">
      <c r="AL1091" s="115"/>
      <c r="AM1091" s="115"/>
      <c r="AN1091" s="115"/>
      <c r="AO1091" s="115"/>
      <c r="AP1091" s="115"/>
      <c r="AQ1091" s="115"/>
      <c r="AR1091" s="115"/>
      <c r="AS1091" s="115"/>
      <c r="AT1091" s="17"/>
      <c r="AU1091" s="15"/>
      <c r="AY1091" s="115"/>
      <c r="AZ1091" s="117"/>
      <c r="BA1091" s="123"/>
      <c r="BB1091" s="123"/>
      <c r="BC1091" s="123"/>
      <c r="BD1091" s="115"/>
      <c r="BE1091" s="115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115"/>
      <c r="BP1091" s="115"/>
      <c r="BQ1091" s="115"/>
      <c r="BR1091" s="25"/>
      <c r="BS1091" s="15"/>
      <c r="BV1091" s="114"/>
    </row>
    <row r="1092" spans="35:74" ht="19.5" x14ac:dyDescent="0.4"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26"/>
      <c r="AU1092" s="15"/>
      <c r="AY1092" s="115"/>
      <c r="AZ1092" s="117"/>
      <c r="BA1092" s="123"/>
      <c r="BB1092" s="123"/>
      <c r="BC1092" s="123"/>
      <c r="BD1092" s="115"/>
      <c r="BE1092" s="115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25"/>
      <c r="BS1092" s="15"/>
      <c r="BV1092" s="114"/>
    </row>
    <row r="1093" spans="35:74" ht="19.5" x14ac:dyDescent="0.4">
      <c r="AI1093" s="115"/>
      <c r="AJ1093" s="115"/>
      <c r="AK1093" s="115"/>
      <c r="AL1093" s="115"/>
      <c r="AM1093" s="115"/>
      <c r="AN1093" s="115"/>
      <c r="AO1093" s="115"/>
      <c r="AP1093" s="115"/>
      <c r="AQ1093" s="115"/>
      <c r="AR1093" s="115"/>
      <c r="AS1093" s="115"/>
      <c r="AT1093" s="17"/>
      <c r="AU1093" s="15"/>
      <c r="AY1093" s="115"/>
      <c r="AZ1093" s="117"/>
      <c r="BA1093" s="123"/>
      <c r="BB1093" s="123"/>
      <c r="BC1093" s="123"/>
      <c r="BD1093" s="115"/>
      <c r="BE1093" s="115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25"/>
      <c r="BS1093" s="15"/>
      <c r="BV1093" s="114"/>
    </row>
    <row r="1094" spans="35:74" ht="19.5" x14ac:dyDescent="0.4"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26"/>
      <c r="AU1094" s="15"/>
      <c r="AY1094" s="115"/>
      <c r="AZ1094" s="117"/>
      <c r="BA1094" s="123"/>
      <c r="BB1094" s="123"/>
      <c r="BC1094" s="123"/>
      <c r="BD1094" s="115"/>
      <c r="BE1094" s="115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25"/>
      <c r="BS1094" s="15"/>
      <c r="BV1094" s="114"/>
    </row>
    <row r="1095" spans="35:74" ht="19.5" x14ac:dyDescent="0.4">
      <c r="AT1095" s="26"/>
      <c r="AU1095" s="15"/>
      <c r="AY1095" s="115"/>
      <c r="AZ1095" s="117"/>
      <c r="BA1095" s="123"/>
      <c r="BB1095" s="123"/>
      <c r="BC1095" s="123"/>
      <c r="BD1095" s="115"/>
      <c r="BE1095" s="115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115" t="s">
        <v>169</v>
      </c>
      <c r="BR1095" s="13">
        <f>SUBTOTAL(3,BR1058:BR1090)</f>
        <v>17</v>
      </c>
      <c r="BS1095" s="15">
        <f>SUBTOTAL(3,BS1058:BS1090)</f>
        <v>17</v>
      </c>
      <c r="BV1095" s="114"/>
    </row>
    <row r="1096" spans="35:74" ht="19.5" x14ac:dyDescent="0.4">
      <c r="AI1096" s="115"/>
      <c r="AJ1096" s="115"/>
      <c r="AK1096" s="115"/>
      <c r="AL1096" s="115"/>
      <c r="AM1096" s="115"/>
      <c r="AN1096" s="115"/>
      <c r="AO1096" s="115"/>
      <c r="AP1096" s="115"/>
      <c r="AQ1096" s="115"/>
      <c r="AR1096" s="115"/>
      <c r="AS1096" s="115"/>
      <c r="AT1096" s="26"/>
      <c r="AU1096" s="15"/>
      <c r="AY1096" s="115"/>
      <c r="AZ1096" s="117"/>
      <c r="BA1096" s="123"/>
      <c r="BB1096" s="123"/>
      <c r="BC1096" s="123"/>
      <c r="BD1096" s="115"/>
      <c r="BE1096" s="115"/>
      <c r="BF1096" s="115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3"/>
      <c r="BS1096" s="15"/>
      <c r="BV1096" s="114"/>
    </row>
    <row r="1097" spans="35:74" ht="19.5" x14ac:dyDescent="0.4">
      <c r="AT1097" s="26"/>
      <c r="AU1097" s="15"/>
      <c r="AY1097" s="115"/>
      <c r="AZ1097" s="117"/>
      <c r="BA1097" s="123"/>
      <c r="BB1097" s="123"/>
      <c r="BC1097" s="123"/>
      <c r="BD1097" s="115"/>
      <c r="BE1097" s="115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25">
        <v>45277</v>
      </c>
      <c r="BS1097" s="15" t="s">
        <v>162</v>
      </c>
      <c r="BV1097" s="114"/>
    </row>
    <row r="1098" spans="35:74" ht="19.5" x14ac:dyDescent="0.4">
      <c r="AL1098" s="115"/>
      <c r="AM1098" s="115"/>
      <c r="AN1098" s="115"/>
      <c r="AO1098" s="115"/>
      <c r="AP1098" s="115"/>
      <c r="AQ1098" s="115"/>
      <c r="AR1098" s="115"/>
      <c r="AS1098" s="115"/>
      <c r="AT1098" s="17"/>
      <c r="AU1098" s="15"/>
      <c r="AY1098" s="115"/>
      <c r="AZ1098" s="117"/>
      <c r="BA1098" s="123"/>
      <c r="BB1098" s="123"/>
      <c r="BC1098" s="123"/>
      <c r="BD1098" s="115"/>
      <c r="BE1098" s="115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25"/>
      <c r="BS1098" s="15"/>
      <c r="BV1098" s="114"/>
    </row>
    <row r="1099" spans="35:74" ht="19.5" x14ac:dyDescent="0.4">
      <c r="AI1099" s="115"/>
      <c r="AJ1099" s="115"/>
      <c r="AK1099" s="115"/>
      <c r="AL1099" s="115"/>
      <c r="AM1099" s="115"/>
      <c r="AN1099" s="115"/>
      <c r="AO1099" s="115"/>
      <c r="AP1099" s="115"/>
      <c r="AQ1099" s="115"/>
      <c r="AR1099" s="115"/>
      <c r="AS1099" s="115"/>
      <c r="AT1099" s="26"/>
      <c r="AU1099" s="15"/>
      <c r="AY1099" s="115"/>
      <c r="AZ1099" s="117"/>
      <c r="BA1099" s="123"/>
      <c r="BB1099" s="123"/>
      <c r="BC1099" s="123"/>
      <c r="BD1099" s="115"/>
      <c r="BE1099" s="115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25"/>
      <c r="BS1099" s="15"/>
      <c r="BV1099" s="114"/>
    </row>
    <row r="1100" spans="35:74" ht="19.5" x14ac:dyDescent="0.4">
      <c r="AI1100" s="115"/>
      <c r="AJ1100" s="115"/>
      <c r="AK1100" s="115"/>
      <c r="AL1100" s="115"/>
      <c r="AM1100" s="115"/>
      <c r="AN1100" s="115"/>
      <c r="AO1100" s="115"/>
      <c r="AP1100" s="115"/>
      <c r="AQ1100" s="115"/>
      <c r="AR1100" s="115"/>
      <c r="AS1100" s="115"/>
      <c r="AT1100" s="17"/>
      <c r="AU1100" s="15"/>
      <c r="AY1100" s="115"/>
      <c r="AZ1100" s="117"/>
      <c r="BA1100" s="123"/>
      <c r="BB1100" s="123"/>
      <c r="BC1100" s="123"/>
      <c r="BD1100" s="115"/>
      <c r="BE1100" s="115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25"/>
      <c r="BS1100" s="15"/>
      <c r="BV1100" s="114"/>
    </row>
    <row r="1101" spans="35:74" ht="19.5" x14ac:dyDescent="0.4"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7"/>
      <c r="AU1101" s="15"/>
      <c r="AY1101" s="115"/>
      <c r="AZ1101" s="117"/>
      <c r="BA1101" s="123"/>
      <c r="BB1101" s="123"/>
      <c r="BC1101" s="123"/>
      <c r="BD1101" s="115"/>
      <c r="BE1101" s="115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25"/>
      <c r="BS1101" s="15"/>
      <c r="BV1101" s="114"/>
    </row>
    <row r="1102" spans="35:74" ht="19.5" x14ac:dyDescent="0.4">
      <c r="AT1102" s="26"/>
      <c r="AU1102" s="15"/>
      <c r="AY1102" s="115"/>
      <c r="AZ1102" s="117"/>
      <c r="BA1102" s="123"/>
      <c r="BB1102" s="123"/>
      <c r="BC1102" s="123"/>
      <c r="BD1102" s="115"/>
      <c r="BE1102" s="115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25">
        <v>45277</v>
      </c>
      <c r="BS1102" s="15" t="s">
        <v>162</v>
      </c>
      <c r="BV1102" s="114"/>
    </row>
    <row r="1103" spans="35:74" ht="19.5" x14ac:dyDescent="0.4">
      <c r="AK1103" s="115"/>
      <c r="AL1103" s="115"/>
      <c r="AM1103" s="115"/>
      <c r="AN1103" s="115"/>
      <c r="AO1103" s="115"/>
      <c r="AP1103" s="115"/>
      <c r="AQ1103" s="115"/>
      <c r="AR1103" s="115"/>
      <c r="AS1103" s="115"/>
      <c r="AT1103" s="17"/>
      <c r="AU1103" s="15"/>
      <c r="AY1103" s="115"/>
      <c r="AZ1103" s="117"/>
      <c r="BA1103" s="123"/>
      <c r="BB1103" s="123"/>
      <c r="BC1103" s="123"/>
      <c r="BD1103" s="115"/>
      <c r="BE1103" s="115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31"/>
      <c r="BS1103" s="13"/>
      <c r="BV1103" s="114"/>
    </row>
    <row r="1104" spans="35:74" ht="19.5" x14ac:dyDescent="0.4">
      <c r="AT1104" s="26"/>
      <c r="AU1104" s="15"/>
      <c r="AY1104" s="115"/>
      <c r="AZ1104" s="117"/>
      <c r="BA1104" s="123"/>
      <c r="BB1104" s="123"/>
      <c r="BC1104" s="123"/>
      <c r="BD1104" s="115"/>
      <c r="BE1104" s="115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26">
        <v>45277</v>
      </c>
      <c r="BS1104" s="13" t="s">
        <v>162</v>
      </c>
      <c r="BV1104" s="114"/>
    </row>
    <row r="1105" spans="6:74" ht="19.5" x14ac:dyDescent="0.4">
      <c r="AT1105" s="26"/>
      <c r="AU1105" s="15"/>
      <c r="AY1105" s="115"/>
      <c r="AZ1105" s="117"/>
      <c r="BA1105" s="123"/>
      <c r="BB1105" s="123"/>
      <c r="BC1105" s="123"/>
      <c r="BD1105" s="115"/>
      <c r="BE1105" s="115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26">
        <v>45277</v>
      </c>
      <c r="BS1105" s="15" t="s">
        <v>162</v>
      </c>
      <c r="BV1105" s="114"/>
    </row>
    <row r="1106" spans="6:74" ht="19.5" x14ac:dyDescent="0.4"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26"/>
      <c r="AU1106" s="15"/>
      <c r="AY1106" s="115"/>
      <c r="AZ1106" s="117"/>
      <c r="BA1106" s="123"/>
      <c r="BB1106" s="123"/>
      <c r="BC1106" s="123"/>
      <c r="BD1106" s="115"/>
      <c r="BE1106" s="115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26"/>
      <c r="BS1106" s="15"/>
      <c r="BV1106" s="114"/>
    </row>
    <row r="1107" spans="6:74" ht="19.5" x14ac:dyDescent="0.4">
      <c r="AT1107" s="26"/>
      <c r="AU1107" s="15"/>
      <c r="AY1107" s="115"/>
      <c r="AZ1107" s="117"/>
      <c r="BA1107" s="123"/>
      <c r="BB1107" s="123"/>
      <c r="BC1107" s="123"/>
      <c r="BD1107" s="115"/>
      <c r="BE1107" s="115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26">
        <v>45277</v>
      </c>
      <c r="BS1107" s="15" t="s">
        <v>162</v>
      </c>
      <c r="BV1107" s="114"/>
    </row>
    <row r="1108" spans="6:74" ht="19.5" x14ac:dyDescent="0.4">
      <c r="AT1108" s="26"/>
      <c r="AU1108" s="15"/>
      <c r="AY1108" s="115"/>
      <c r="AZ1108" s="117"/>
      <c r="BA1108" s="123"/>
      <c r="BB1108" s="123"/>
      <c r="BC1108" s="123"/>
      <c r="BD1108" s="115"/>
      <c r="BE1108" s="115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115" t="s">
        <v>160</v>
      </c>
      <c r="BR1108" s="17">
        <f>SUBTOTAL(3,BR1097:BR1107)</f>
        <v>5</v>
      </c>
      <c r="BS1108" s="15">
        <f>SUBTOTAL(3,BS1097:BS1107)</f>
        <v>5</v>
      </c>
      <c r="BV1108" s="114"/>
    </row>
    <row r="1109" spans="6:74" ht="19.5" x14ac:dyDescent="0.4">
      <c r="F1109" s="115"/>
      <c r="G1109" s="115"/>
      <c r="H1109" s="115"/>
      <c r="I1109" s="115"/>
      <c r="J1109" s="115"/>
      <c r="K1109" s="115"/>
      <c r="L1109" s="115"/>
      <c r="M1109" s="115"/>
      <c r="N1109" s="115"/>
      <c r="O1109" s="115"/>
      <c r="P1109" s="115"/>
      <c r="Q1109" s="115"/>
      <c r="R1109" s="115"/>
      <c r="S1109" s="115"/>
      <c r="T1109" s="115"/>
      <c r="U1109" s="115"/>
      <c r="V1109" s="115"/>
      <c r="W1109" s="115"/>
      <c r="X1109" s="115"/>
      <c r="Y1109" s="115"/>
      <c r="Z1109" s="115"/>
      <c r="AA1109" s="115"/>
      <c r="AB1109" s="115"/>
      <c r="AC1109" s="115"/>
      <c r="AD1109" s="115"/>
      <c r="AE1109" s="115"/>
      <c r="AF1109" s="115"/>
      <c r="AG1109" s="115"/>
      <c r="AH1109" s="115"/>
      <c r="AI1109" s="115"/>
      <c r="AJ1109" s="115"/>
      <c r="AK1109" s="115"/>
      <c r="AL1109" s="115"/>
      <c r="AM1109" s="115"/>
      <c r="AN1109" s="115"/>
      <c r="AO1109" s="115"/>
      <c r="AP1109" s="115"/>
      <c r="AQ1109" s="115"/>
      <c r="AR1109" s="115"/>
      <c r="AS1109" s="115"/>
      <c r="AT1109" s="26"/>
      <c r="AU1109" s="15"/>
      <c r="AY1109" s="115"/>
      <c r="AZ1109" s="117"/>
      <c r="BA1109" s="123"/>
      <c r="BB1109" s="123"/>
      <c r="BC1109" s="123"/>
      <c r="BD1109" s="115"/>
      <c r="BE1109" s="115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7"/>
      <c r="BS1109" s="15"/>
      <c r="BV1109" s="114"/>
    </row>
    <row r="1110" spans="6:74" ht="19.5" x14ac:dyDescent="0.4"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26"/>
      <c r="AU1110" s="15"/>
      <c r="AY1110" s="115"/>
      <c r="AZ1110" s="117"/>
      <c r="BA1110" s="123"/>
      <c r="BB1110" s="123"/>
      <c r="BC1110" s="123"/>
      <c r="BD1110" s="115"/>
      <c r="BE1110" s="115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7"/>
      <c r="BS1110" s="15"/>
      <c r="BV1110" s="114"/>
    </row>
    <row r="1111" spans="6:74" ht="19.5" x14ac:dyDescent="0.4">
      <c r="AT1111" s="26"/>
      <c r="AU1111" s="15"/>
      <c r="AY1111" s="115"/>
      <c r="AZ1111" s="117"/>
      <c r="BA1111" s="123"/>
      <c r="BB1111" s="123"/>
      <c r="BC1111" s="123"/>
      <c r="BD1111" s="115"/>
      <c r="BE1111" s="115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26">
        <v>45278</v>
      </c>
      <c r="BS1111" s="15" t="s">
        <v>164</v>
      </c>
      <c r="BV1111" s="114"/>
    </row>
    <row r="1112" spans="6:74" ht="19.5" x14ac:dyDescent="0.4">
      <c r="AT1112" s="26"/>
      <c r="AU1112" s="15"/>
      <c r="AY1112" s="115"/>
      <c r="AZ1112" s="117"/>
      <c r="BA1112" s="123"/>
      <c r="BB1112" s="123"/>
      <c r="BC1112" s="123"/>
      <c r="BD1112" s="115"/>
      <c r="BE1112" s="115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26">
        <v>45278</v>
      </c>
      <c r="BS1112" s="15" t="s">
        <v>164</v>
      </c>
      <c r="BV1112" s="114"/>
    </row>
    <row r="1113" spans="6:74" ht="19.5" x14ac:dyDescent="0.4"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26"/>
      <c r="AU1113" s="15"/>
      <c r="AY1113" s="115"/>
      <c r="AZ1113" s="117"/>
      <c r="BA1113" s="123"/>
      <c r="BB1113" s="123"/>
      <c r="BC1113" s="123"/>
      <c r="BD1113" s="115"/>
      <c r="BE1113" s="115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26"/>
      <c r="BS1113" s="15"/>
      <c r="BV1113" s="114"/>
    </row>
    <row r="1114" spans="6:74" ht="19.5" x14ac:dyDescent="0.4">
      <c r="AT1114" s="26"/>
      <c r="AU1114" s="15"/>
      <c r="AY1114" s="115"/>
      <c r="AZ1114" s="117"/>
      <c r="BA1114" s="123"/>
      <c r="BB1114" s="123"/>
      <c r="BC1114" s="123"/>
      <c r="BD1114" s="115"/>
      <c r="BE1114" s="115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26">
        <v>45278</v>
      </c>
      <c r="BS1114" s="15" t="s">
        <v>162</v>
      </c>
      <c r="BV1114" s="114"/>
    </row>
    <row r="1115" spans="6:74" ht="19.5" x14ac:dyDescent="0.4"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7"/>
      <c r="AU1115" s="15"/>
      <c r="AY1115" s="115"/>
      <c r="AZ1115" s="117"/>
      <c r="BA1115" s="123"/>
      <c r="BB1115" s="123"/>
      <c r="BC1115" s="123"/>
      <c r="BD1115" s="115"/>
      <c r="BE1115" s="115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26"/>
      <c r="BS1115" s="15"/>
      <c r="BV1115" s="114"/>
    </row>
    <row r="1116" spans="6:74" ht="19.5" x14ac:dyDescent="0.4"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26"/>
      <c r="AU1116" s="15"/>
      <c r="AY1116" s="115"/>
      <c r="AZ1116" s="117"/>
      <c r="BA1116" s="123"/>
      <c r="BB1116" s="123"/>
      <c r="BC1116" s="123"/>
      <c r="BD1116" s="115"/>
      <c r="BE1116" s="115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26"/>
      <c r="BS1116" s="15"/>
      <c r="BV1116" s="114"/>
    </row>
    <row r="1117" spans="6:74" ht="19.5" x14ac:dyDescent="0.4"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7"/>
      <c r="AU1117" s="15"/>
      <c r="AY1117" s="115"/>
      <c r="AZ1117" s="117"/>
      <c r="BA1117" s="123"/>
      <c r="BB1117" s="123"/>
      <c r="BC1117" s="123"/>
      <c r="BD1117" s="115"/>
      <c r="BE1117" s="115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26"/>
      <c r="BS1117" s="15"/>
      <c r="BV1117" s="114"/>
    </row>
    <row r="1118" spans="6:74" ht="19.5" x14ac:dyDescent="0.4">
      <c r="AT1118" s="26"/>
      <c r="AU1118" s="15"/>
      <c r="AY1118" s="115"/>
      <c r="AZ1118" s="117"/>
      <c r="BA1118" s="123"/>
      <c r="BB1118" s="123"/>
      <c r="BC1118" s="123"/>
      <c r="BD1118" s="115"/>
      <c r="BE1118" s="115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26">
        <v>45278</v>
      </c>
      <c r="BS1118" s="15" t="s">
        <v>142</v>
      </c>
      <c r="BV1118" s="114"/>
    </row>
    <row r="1119" spans="6:74" ht="19.5" x14ac:dyDescent="0.4">
      <c r="AT1119" s="26"/>
      <c r="AU1119" s="15"/>
      <c r="AY1119" s="115"/>
      <c r="AZ1119" s="117"/>
      <c r="BA1119" s="123"/>
      <c r="BB1119" s="123"/>
      <c r="BC1119" s="123"/>
      <c r="BD1119" s="115"/>
      <c r="BE1119" s="115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26">
        <v>45278</v>
      </c>
      <c r="BS1119" s="15" t="s">
        <v>162</v>
      </c>
      <c r="BV1119" s="114"/>
    </row>
    <row r="1120" spans="6:74" ht="19.5" x14ac:dyDescent="0.4">
      <c r="AT1120" s="26"/>
      <c r="AU1120" s="15"/>
      <c r="AY1120" s="115"/>
      <c r="AZ1120" s="117"/>
      <c r="BA1120" s="123"/>
      <c r="BB1120" s="123"/>
      <c r="BC1120" s="123"/>
      <c r="BD1120" s="115"/>
      <c r="BE1120" s="115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26">
        <v>45278</v>
      </c>
      <c r="BS1120" s="15" t="s">
        <v>162</v>
      </c>
      <c r="BV1120" s="114"/>
    </row>
    <row r="1121" spans="6:74" ht="19.5" x14ac:dyDescent="0.4">
      <c r="AK1121" s="115"/>
      <c r="AL1121" s="115"/>
      <c r="AM1121" s="115"/>
      <c r="AN1121" s="115"/>
      <c r="AO1121" s="115"/>
      <c r="AP1121" s="115"/>
      <c r="AQ1121" s="115"/>
      <c r="AR1121" s="115"/>
      <c r="AS1121" s="115"/>
      <c r="AT1121" s="17"/>
      <c r="AU1121" s="15"/>
      <c r="AY1121" s="115"/>
      <c r="AZ1121" s="117"/>
      <c r="BA1121" s="123"/>
      <c r="BB1121" s="123"/>
      <c r="BC1121" s="123"/>
      <c r="BD1121" s="115"/>
      <c r="BE1121" s="115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26"/>
      <c r="BS1121" s="15"/>
      <c r="BV1121" s="114"/>
    </row>
    <row r="1122" spans="6:74" ht="19.5" x14ac:dyDescent="0.4"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26"/>
      <c r="AU1122" s="15"/>
      <c r="AY1122" s="115"/>
      <c r="AZ1122" s="117"/>
      <c r="BA1122" s="123"/>
      <c r="BB1122" s="123"/>
      <c r="BC1122" s="123"/>
      <c r="BD1122" s="115"/>
      <c r="BE1122" s="115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26"/>
      <c r="BS1122" s="15"/>
      <c r="BV1122" s="114"/>
    </row>
    <row r="1123" spans="6:74" ht="19.5" x14ac:dyDescent="0.4">
      <c r="F1123" s="115"/>
      <c r="G1123" s="115"/>
      <c r="H1123" s="115"/>
      <c r="I1123" s="115"/>
      <c r="J1123" s="115"/>
      <c r="K1123" s="115"/>
      <c r="L1123" s="115"/>
      <c r="M1123" s="115"/>
      <c r="N1123" s="115"/>
      <c r="O1123" s="115"/>
      <c r="P1123" s="115"/>
      <c r="Q1123" s="115"/>
      <c r="R1123" s="115"/>
      <c r="S1123" s="115"/>
      <c r="T1123" s="115"/>
      <c r="U1123" s="115"/>
      <c r="V1123" s="115"/>
      <c r="W1123" s="115"/>
      <c r="X1123" s="115"/>
      <c r="Y1123" s="115"/>
      <c r="Z1123" s="115"/>
      <c r="AA1123" s="115"/>
      <c r="AB1123" s="115"/>
      <c r="AC1123" s="115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26"/>
      <c r="AU1123" s="15"/>
      <c r="AY1123" s="115"/>
      <c r="AZ1123" s="117"/>
      <c r="BA1123" s="123"/>
      <c r="BB1123" s="123"/>
      <c r="BC1123" s="123"/>
      <c r="BD1123" s="115"/>
      <c r="BE1123" s="115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26"/>
      <c r="BS1123" s="15"/>
      <c r="BV1123" s="114"/>
    </row>
    <row r="1124" spans="6:74" ht="19.5" x14ac:dyDescent="0.4">
      <c r="F1124" s="115"/>
      <c r="G1124" s="115"/>
      <c r="H1124" s="115"/>
      <c r="I1124" s="115"/>
      <c r="J1124" s="115"/>
      <c r="K1124" s="115"/>
      <c r="L1124" s="115"/>
      <c r="M1124" s="115"/>
      <c r="N1124" s="115"/>
      <c r="O1124" s="115"/>
      <c r="P1124" s="115"/>
      <c r="Q1124" s="115"/>
      <c r="R1124" s="115"/>
      <c r="S1124" s="115"/>
      <c r="T1124" s="115"/>
      <c r="U1124" s="115"/>
      <c r="V1124" s="115"/>
      <c r="W1124" s="115"/>
      <c r="X1124" s="115"/>
      <c r="Y1124" s="115"/>
      <c r="Z1124" s="115"/>
      <c r="AA1124" s="115"/>
      <c r="AB1124" s="115"/>
      <c r="AC1124" s="115"/>
      <c r="AD1124" s="115"/>
      <c r="AE1124" s="115"/>
      <c r="AF1124" s="115"/>
      <c r="AG1124" s="115"/>
      <c r="AH1124" s="115"/>
      <c r="AI1124" s="115"/>
      <c r="AJ1124" s="115"/>
      <c r="AK1124" s="115"/>
      <c r="AL1124" s="115"/>
      <c r="AM1124" s="115"/>
      <c r="AN1124" s="115"/>
      <c r="AO1124" s="115"/>
      <c r="AP1124" s="115"/>
      <c r="AQ1124" s="115"/>
      <c r="AR1124" s="115"/>
      <c r="AS1124" s="115"/>
      <c r="AT1124" s="17"/>
      <c r="AU1124" s="15"/>
      <c r="AY1124" s="115"/>
      <c r="AZ1124" s="117"/>
      <c r="BA1124" s="123"/>
      <c r="BB1124" s="123"/>
      <c r="BC1124" s="123"/>
      <c r="BD1124" s="115"/>
      <c r="BE1124" s="115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26"/>
      <c r="BS1124" s="15"/>
      <c r="BV1124" s="114"/>
    </row>
    <row r="1125" spans="6:74" ht="19.5" x14ac:dyDescent="0.4">
      <c r="F1125" s="115"/>
      <c r="G1125" s="115"/>
      <c r="H1125" s="115"/>
      <c r="I1125" s="115"/>
      <c r="J1125" s="115"/>
      <c r="K1125" s="115"/>
      <c r="L1125" s="115"/>
      <c r="M1125" s="115"/>
      <c r="N1125" s="115"/>
      <c r="O1125" s="115"/>
      <c r="P1125" s="115"/>
      <c r="Q1125" s="115"/>
      <c r="R1125" s="115"/>
      <c r="S1125" s="115"/>
      <c r="T1125" s="115"/>
      <c r="U1125" s="115"/>
      <c r="V1125" s="115"/>
      <c r="W1125" s="115"/>
      <c r="X1125" s="115"/>
      <c r="Y1125" s="115"/>
      <c r="Z1125" s="115"/>
      <c r="AA1125" s="115"/>
      <c r="AB1125" s="115"/>
      <c r="AC1125" s="115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26"/>
      <c r="AU1125" s="15"/>
      <c r="AY1125" s="115"/>
      <c r="AZ1125" s="117"/>
      <c r="BA1125" s="123"/>
      <c r="BB1125" s="123"/>
      <c r="BC1125" s="123"/>
      <c r="BD1125" s="115"/>
      <c r="BE1125" s="115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26"/>
      <c r="BS1125" s="15"/>
      <c r="BV1125" s="114"/>
    </row>
    <row r="1126" spans="6:74" ht="19.5" x14ac:dyDescent="0.4">
      <c r="AT1126" s="26"/>
      <c r="AU1126" s="15"/>
      <c r="AY1126" s="115"/>
      <c r="AZ1126" s="117"/>
      <c r="BA1126" s="123"/>
      <c r="BB1126" s="123"/>
      <c r="BC1126" s="123"/>
      <c r="BD1126" s="115"/>
      <c r="BE1126" s="115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26">
        <v>45278</v>
      </c>
      <c r="BS1126" s="15" t="s">
        <v>162</v>
      </c>
      <c r="BV1126" s="114"/>
    </row>
    <row r="1127" spans="6:74" ht="19.5" x14ac:dyDescent="0.4">
      <c r="AI1127" s="115"/>
      <c r="AJ1127" s="115"/>
      <c r="AK1127" s="115"/>
      <c r="AL1127" s="115"/>
      <c r="AM1127" s="115"/>
      <c r="AN1127" s="115"/>
      <c r="AO1127" s="115"/>
      <c r="AP1127" s="115"/>
      <c r="AQ1127" s="115"/>
      <c r="AR1127" s="115"/>
      <c r="AS1127" s="115"/>
      <c r="AT1127" s="26"/>
      <c r="AU1127" s="15"/>
      <c r="AY1127" s="115"/>
      <c r="AZ1127" s="117"/>
      <c r="BA1127" s="123"/>
      <c r="BB1127" s="123"/>
      <c r="BC1127" s="123"/>
      <c r="BD1127" s="115"/>
      <c r="BE1127" s="115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26"/>
      <c r="BS1127" s="15"/>
      <c r="BV1127" s="114"/>
    </row>
    <row r="1128" spans="6:74" ht="19.5" x14ac:dyDescent="0.4">
      <c r="AT1128" s="26"/>
      <c r="AU1128" s="15"/>
      <c r="AY1128" s="115"/>
      <c r="AZ1128" s="117"/>
      <c r="BA1128" s="123"/>
      <c r="BB1128" s="123"/>
      <c r="BC1128" s="123"/>
      <c r="BD1128" s="115"/>
      <c r="BE1128" s="115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26">
        <v>45278</v>
      </c>
      <c r="BS1128" s="15" t="s">
        <v>163</v>
      </c>
      <c r="BV1128" s="114"/>
    </row>
    <row r="1129" spans="6:74" ht="19.5" x14ac:dyDescent="0.4">
      <c r="AT1129" s="26"/>
      <c r="AU1129" s="15"/>
      <c r="AY1129" s="115"/>
      <c r="AZ1129" s="117"/>
      <c r="BA1129" s="123"/>
      <c r="BB1129" s="123"/>
      <c r="BC1129" s="123"/>
      <c r="BD1129" s="115"/>
      <c r="BE1129" s="115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26">
        <v>45278</v>
      </c>
      <c r="BS1129" s="105" t="s">
        <v>163</v>
      </c>
      <c r="BV1129" s="114"/>
    </row>
    <row r="1130" spans="6:74" ht="19.5" x14ac:dyDescent="0.4">
      <c r="AT1130" s="25"/>
      <c r="AU1130" s="13"/>
      <c r="AY1130" s="115"/>
      <c r="AZ1130" s="117"/>
      <c r="BA1130" s="123"/>
      <c r="BB1130" s="123"/>
      <c r="BC1130" s="123"/>
      <c r="BD1130" s="115"/>
      <c r="BE1130" s="115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26">
        <v>45278</v>
      </c>
      <c r="BS1130" s="15" t="s">
        <v>163</v>
      </c>
      <c r="BV1130" s="114"/>
    </row>
    <row r="1131" spans="6:74" ht="19.5" x14ac:dyDescent="0.4">
      <c r="F1131" s="115"/>
      <c r="G1131" s="115"/>
      <c r="H1131" s="115"/>
      <c r="I1131" s="115"/>
      <c r="J1131" s="115"/>
      <c r="K1131" s="115"/>
      <c r="L1131" s="115"/>
      <c r="M1131" s="115"/>
      <c r="N1131" s="115"/>
      <c r="O1131" s="115"/>
      <c r="P1131" s="115"/>
      <c r="Q1131" s="115"/>
      <c r="R1131" s="115"/>
      <c r="S1131" s="115"/>
      <c r="T1131" s="115"/>
      <c r="U1131" s="115"/>
      <c r="V1131" s="115"/>
      <c r="W1131" s="115"/>
      <c r="X1131" s="115"/>
      <c r="Y1131" s="115"/>
      <c r="Z1131" s="115"/>
      <c r="AA1131" s="115"/>
      <c r="AB1131" s="115"/>
      <c r="AC1131" s="115"/>
      <c r="AD1131" s="115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25"/>
      <c r="AU1131" s="13"/>
      <c r="AY1131" s="115"/>
      <c r="AZ1131" s="117"/>
      <c r="BA1131" s="123"/>
      <c r="BB1131" s="123"/>
      <c r="BC1131" s="123"/>
      <c r="BD1131" s="115"/>
      <c r="BE1131" s="115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26"/>
      <c r="BS1131" s="15"/>
      <c r="BV1131" s="114"/>
    </row>
    <row r="1132" spans="6:74" ht="19.5" x14ac:dyDescent="0.4">
      <c r="F1132" s="115"/>
      <c r="G1132" s="115"/>
      <c r="H1132" s="115"/>
      <c r="I1132" s="115"/>
      <c r="J1132" s="115"/>
      <c r="K1132" s="115"/>
      <c r="L1132" s="115"/>
      <c r="M1132" s="115"/>
      <c r="N1132" s="115"/>
      <c r="O1132" s="115"/>
      <c r="P1132" s="115"/>
      <c r="Q1132" s="115"/>
      <c r="R1132" s="115"/>
      <c r="S1132" s="115"/>
      <c r="T1132" s="115"/>
      <c r="U1132" s="115"/>
      <c r="V1132" s="115"/>
      <c r="W1132" s="115"/>
      <c r="X1132" s="115"/>
      <c r="Y1132" s="115"/>
      <c r="Z1132" s="115"/>
      <c r="AA1132" s="115"/>
      <c r="AB1132" s="115"/>
      <c r="AC1132" s="115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25"/>
      <c r="AU1132" s="13"/>
      <c r="AY1132" s="115"/>
      <c r="AZ1132" s="117"/>
      <c r="BA1132" s="123"/>
      <c r="BB1132" s="123"/>
      <c r="BC1132" s="123"/>
      <c r="BD1132" s="115"/>
      <c r="BE1132" s="115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26"/>
      <c r="BS1132" s="15"/>
      <c r="BV1132" s="114"/>
    </row>
    <row r="1133" spans="6:74" ht="19.5" x14ac:dyDescent="0.4">
      <c r="F1133" s="115"/>
      <c r="G1133" s="115"/>
      <c r="H1133" s="115"/>
      <c r="I1133" s="115"/>
      <c r="J1133" s="115"/>
      <c r="K1133" s="115"/>
      <c r="L1133" s="115"/>
      <c r="M1133" s="115"/>
      <c r="N1133" s="115"/>
      <c r="O1133" s="115"/>
      <c r="P1133" s="115"/>
      <c r="Q1133" s="115"/>
      <c r="R1133" s="115"/>
      <c r="S1133" s="115"/>
      <c r="T1133" s="115"/>
      <c r="U1133" s="115"/>
      <c r="V1133" s="115"/>
      <c r="W1133" s="115"/>
      <c r="X1133" s="115"/>
      <c r="Y1133" s="115"/>
      <c r="Z1133" s="115"/>
      <c r="AA1133" s="115"/>
      <c r="AB1133" s="115"/>
      <c r="AC1133" s="115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25"/>
      <c r="AU1133" s="13"/>
      <c r="AY1133" s="115"/>
      <c r="AZ1133" s="117"/>
      <c r="BA1133" s="123"/>
      <c r="BB1133" s="123"/>
      <c r="BC1133" s="123"/>
      <c r="BD1133" s="115"/>
      <c r="BE1133" s="115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26"/>
      <c r="BS1133" s="15"/>
      <c r="BV1133" s="114"/>
    </row>
    <row r="1134" spans="6:74" ht="19.5" x14ac:dyDescent="0.4">
      <c r="F1134" s="115"/>
      <c r="G1134" s="115"/>
      <c r="H1134" s="115"/>
      <c r="I1134" s="115"/>
      <c r="J1134" s="115"/>
      <c r="K1134" s="115"/>
      <c r="L1134" s="115"/>
      <c r="M1134" s="115"/>
      <c r="N1134" s="115"/>
      <c r="O1134" s="115"/>
      <c r="P1134" s="115"/>
      <c r="Q1134" s="115"/>
      <c r="R1134" s="115"/>
      <c r="S1134" s="115"/>
      <c r="T1134" s="115"/>
      <c r="U1134" s="115"/>
      <c r="V1134" s="115"/>
      <c r="W1134" s="115"/>
      <c r="X1134" s="115"/>
      <c r="Y1134" s="115"/>
      <c r="Z1134" s="115"/>
      <c r="AA1134" s="115"/>
      <c r="AB1134" s="115"/>
      <c r="AC1134" s="115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25"/>
      <c r="AU1134" s="13"/>
      <c r="AY1134" s="115"/>
      <c r="AZ1134" s="117"/>
      <c r="BA1134" s="123"/>
      <c r="BB1134" s="123"/>
      <c r="BC1134" s="123"/>
      <c r="BD1134" s="115"/>
      <c r="BE1134" s="115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26"/>
      <c r="BS1134" s="15"/>
      <c r="BV1134" s="114"/>
    </row>
    <row r="1135" spans="6:74" ht="19.5" x14ac:dyDescent="0.4">
      <c r="F1135" s="115"/>
      <c r="G1135" s="115"/>
      <c r="H1135" s="115"/>
      <c r="I1135" s="115"/>
      <c r="J1135" s="115"/>
      <c r="K1135" s="115"/>
      <c r="L1135" s="115"/>
      <c r="M1135" s="115"/>
      <c r="N1135" s="115"/>
      <c r="O1135" s="115"/>
      <c r="P1135" s="115"/>
      <c r="Q1135" s="115"/>
      <c r="R1135" s="115"/>
      <c r="S1135" s="115"/>
      <c r="T1135" s="115"/>
      <c r="U1135" s="115"/>
      <c r="V1135" s="115"/>
      <c r="W1135" s="115"/>
      <c r="X1135" s="115"/>
      <c r="Y1135" s="115"/>
      <c r="Z1135" s="115"/>
      <c r="AA1135" s="115"/>
      <c r="AB1135" s="115"/>
      <c r="AC1135" s="115"/>
      <c r="AD1135" s="115"/>
      <c r="AE1135" s="115"/>
      <c r="AF1135" s="115"/>
      <c r="AG1135" s="115"/>
      <c r="AH1135" s="115"/>
      <c r="AI1135" s="115"/>
      <c r="AJ1135" s="115"/>
      <c r="AK1135" s="115"/>
      <c r="AL1135" s="115"/>
      <c r="AM1135" s="115"/>
      <c r="AN1135" s="115"/>
      <c r="AO1135" s="115"/>
      <c r="AP1135" s="115"/>
      <c r="AQ1135" s="115"/>
      <c r="AR1135" s="115"/>
      <c r="AS1135" s="115"/>
      <c r="AT1135" s="25"/>
      <c r="AU1135" s="13"/>
      <c r="AY1135" s="115"/>
      <c r="AZ1135" s="117"/>
      <c r="BA1135" s="123"/>
      <c r="BB1135" s="123"/>
      <c r="BC1135" s="123"/>
      <c r="BD1135" s="115"/>
      <c r="BE1135" s="115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26"/>
      <c r="BS1135" s="15"/>
      <c r="BV1135" s="114"/>
    </row>
    <row r="1136" spans="6:74" ht="19.5" x14ac:dyDescent="0.4">
      <c r="F1136" s="115"/>
      <c r="G1136" s="115"/>
      <c r="H1136" s="115"/>
      <c r="I1136" s="115"/>
      <c r="J1136" s="115"/>
      <c r="K1136" s="115"/>
      <c r="L1136" s="115"/>
      <c r="M1136" s="115"/>
      <c r="N1136" s="115"/>
      <c r="O1136" s="115"/>
      <c r="P1136" s="115"/>
      <c r="Q1136" s="115"/>
      <c r="R1136" s="115"/>
      <c r="S1136" s="115"/>
      <c r="T1136" s="115"/>
      <c r="U1136" s="115"/>
      <c r="V1136" s="115"/>
      <c r="W1136" s="115"/>
      <c r="X1136" s="115"/>
      <c r="Y1136" s="115"/>
      <c r="Z1136" s="115"/>
      <c r="AA1136" s="115"/>
      <c r="AB1136" s="115"/>
      <c r="AC1136" s="115"/>
      <c r="AD1136" s="115"/>
      <c r="AE1136" s="115"/>
      <c r="AF1136" s="115"/>
      <c r="AG1136" s="115"/>
      <c r="AH1136" s="115"/>
      <c r="AI1136" s="115"/>
      <c r="AJ1136" s="115"/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25"/>
      <c r="AU1136" s="13"/>
      <c r="AY1136" s="115"/>
      <c r="AZ1136" s="117"/>
      <c r="BA1136" s="123"/>
      <c r="BB1136" s="123"/>
      <c r="BC1136" s="123"/>
      <c r="BD1136" s="115"/>
      <c r="BE1136" s="115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26"/>
      <c r="BS1136" s="15"/>
      <c r="BV1136" s="114"/>
    </row>
    <row r="1137" spans="37:74" ht="19.5" x14ac:dyDescent="0.4">
      <c r="AT1137" s="25"/>
      <c r="AU1137" s="13"/>
      <c r="AY1137" s="115"/>
      <c r="AZ1137" s="117"/>
      <c r="BA1137" s="123"/>
      <c r="BB1137" s="123"/>
      <c r="BC1137" s="123"/>
      <c r="BD1137" s="115"/>
      <c r="BE1137" s="115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26">
        <v>45278</v>
      </c>
      <c r="BS1137" s="15" t="s">
        <v>163</v>
      </c>
      <c r="BV1137" s="114"/>
    </row>
    <row r="1138" spans="37:74" ht="19.5" x14ac:dyDescent="0.4">
      <c r="AT1138" s="25"/>
      <c r="AU1138" s="13"/>
      <c r="AY1138" s="115"/>
      <c r="AZ1138" s="117"/>
      <c r="BA1138" s="123"/>
      <c r="BB1138" s="123"/>
      <c r="BC1138" s="123"/>
      <c r="BD1138" s="115"/>
      <c r="BE1138" s="115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26"/>
      <c r="BS1138" s="15"/>
      <c r="BV1138" s="114"/>
    </row>
    <row r="1139" spans="37:74" ht="19.5" x14ac:dyDescent="0.4"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3"/>
      <c r="AU1139" s="13"/>
      <c r="AY1139" s="115"/>
      <c r="AZ1139" s="117"/>
      <c r="BA1139" s="123"/>
      <c r="BB1139" s="123"/>
      <c r="BC1139" s="123"/>
      <c r="BD1139" s="115"/>
      <c r="BE1139" s="115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26"/>
      <c r="BS1139" s="15"/>
      <c r="BV1139" s="114"/>
    </row>
    <row r="1140" spans="37:74" ht="19.5" x14ac:dyDescent="0.4">
      <c r="AT1140" s="25"/>
      <c r="AU1140" s="13"/>
      <c r="AY1140" s="115"/>
      <c r="AZ1140" s="117"/>
      <c r="BA1140" s="123"/>
      <c r="BB1140" s="123"/>
      <c r="BC1140" s="123"/>
      <c r="BD1140" s="115"/>
      <c r="BE1140" s="115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26">
        <v>45278</v>
      </c>
      <c r="BS1140" s="15" t="s">
        <v>163</v>
      </c>
      <c r="BV1140" s="114"/>
    </row>
    <row r="1141" spans="37:74" ht="19.5" x14ac:dyDescent="0.4"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3"/>
      <c r="AU1141" s="13"/>
      <c r="AY1141" s="115"/>
      <c r="AZ1141" s="117"/>
      <c r="BA1141" s="123"/>
      <c r="BB1141" s="123"/>
      <c r="BC1141" s="123"/>
      <c r="BD1141" s="115"/>
      <c r="BE1141" s="115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26"/>
      <c r="BS1141" s="13"/>
      <c r="BV1141" s="114"/>
    </row>
    <row r="1142" spans="37:74" ht="19.5" x14ac:dyDescent="0.4">
      <c r="AT1142" s="25"/>
      <c r="AU1142" s="13"/>
      <c r="AY1142" s="115"/>
      <c r="AZ1142" s="117"/>
      <c r="BA1142" s="123"/>
      <c r="BB1142" s="123"/>
      <c r="BC1142" s="123"/>
      <c r="BD1142" s="115"/>
      <c r="BE1142" s="115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 t="s">
        <v>153</v>
      </c>
      <c r="BR1142" s="17">
        <f>SUBTOTAL(3,BR1111:BR1140)</f>
        <v>12</v>
      </c>
      <c r="BS1142" s="13">
        <f>SUBTOTAL(3,BS1111:BS1140)</f>
        <v>12</v>
      </c>
      <c r="BV1142" s="114"/>
    </row>
    <row r="1143" spans="37:74" ht="19.5" x14ac:dyDescent="0.4"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3"/>
      <c r="AU1143" s="13"/>
      <c r="AY1143" s="115"/>
      <c r="AZ1143" s="117"/>
      <c r="BA1143" s="123"/>
      <c r="BB1143" s="123"/>
      <c r="BC1143" s="123"/>
      <c r="BD1143" s="115"/>
      <c r="BE1143" s="115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7"/>
      <c r="BS1143" s="13"/>
      <c r="BV1143" s="114"/>
    </row>
    <row r="1144" spans="37:74" ht="19.5" x14ac:dyDescent="0.4">
      <c r="AT1144" s="25"/>
      <c r="AU1144" s="13"/>
      <c r="AY1144" s="115"/>
      <c r="AZ1144" s="117"/>
      <c r="BA1144" s="123"/>
      <c r="BB1144" s="123"/>
      <c r="BC1144" s="123"/>
      <c r="BD1144" s="115"/>
      <c r="BE1144" s="115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26">
        <v>45279</v>
      </c>
      <c r="BS1144" s="25" t="s">
        <v>162</v>
      </c>
      <c r="BV1144" s="114"/>
    </row>
    <row r="1145" spans="37:74" ht="19.5" x14ac:dyDescent="0.4">
      <c r="AT1145" s="25"/>
      <c r="AU1145" s="13"/>
      <c r="AY1145" s="115"/>
      <c r="AZ1145" s="117"/>
      <c r="BA1145" s="123"/>
      <c r="BB1145" s="123"/>
      <c r="BC1145" s="123"/>
      <c r="BD1145" s="115"/>
      <c r="BE1145" s="115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26">
        <v>45279</v>
      </c>
      <c r="BS1145" s="13" t="s">
        <v>162</v>
      </c>
      <c r="BV1145" s="114"/>
    </row>
    <row r="1146" spans="37:74" ht="19.5" x14ac:dyDescent="0.4">
      <c r="AK1146" s="115"/>
      <c r="AL1146" s="115"/>
      <c r="AM1146" s="115"/>
      <c r="AN1146" s="115"/>
      <c r="AO1146" s="115"/>
      <c r="AP1146" s="115"/>
      <c r="AQ1146" s="115"/>
      <c r="AR1146" s="115"/>
      <c r="AS1146" s="115"/>
      <c r="AT1146" s="20"/>
      <c r="AU1146" s="13"/>
      <c r="AY1146" s="115"/>
      <c r="AZ1146" s="117"/>
      <c r="BA1146" s="123"/>
      <c r="BB1146" s="123"/>
      <c r="BC1146" s="123"/>
      <c r="BD1146" s="115"/>
      <c r="BE1146" s="115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26"/>
      <c r="BS1146" s="13"/>
      <c r="BV1146" s="114"/>
    </row>
    <row r="1147" spans="37:74" ht="19.5" x14ac:dyDescent="0.4">
      <c r="AK1147" s="115"/>
      <c r="AL1147" s="115"/>
      <c r="AM1147" s="115"/>
      <c r="AN1147" s="115"/>
      <c r="AO1147" s="115"/>
      <c r="AP1147" s="115"/>
      <c r="AQ1147" s="115"/>
      <c r="AR1147" s="115"/>
      <c r="AS1147" s="115"/>
      <c r="AT1147" s="20"/>
      <c r="AU1147" s="13"/>
      <c r="AY1147" s="115"/>
      <c r="AZ1147" s="117"/>
      <c r="BA1147" s="123"/>
      <c r="BB1147" s="123"/>
      <c r="BC1147" s="123"/>
      <c r="BD1147" s="115"/>
      <c r="BE1147" s="115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26"/>
      <c r="BS1147" s="13"/>
      <c r="BV1147" s="114"/>
    </row>
    <row r="1148" spans="37:74" ht="19.5" x14ac:dyDescent="0.4">
      <c r="AT1148" s="26"/>
      <c r="AU1148" s="13"/>
      <c r="AY1148" s="115"/>
      <c r="AZ1148" s="117"/>
      <c r="BA1148" s="123"/>
      <c r="BB1148" s="123"/>
      <c r="BC1148" s="123"/>
      <c r="BD1148" s="115"/>
      <c r="BE1148" s="115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26">
        <v>45279</v>
      </c>
      <c r="BS1148" s="13" t="s">
        <v>162</v>
      </c>
      <c r="BV1148" s="114"/>
    </row>
    <row r="1149" spans="37:74" ht="19.5" x14ac:dyDescent="0.4">
      <c r="AT1149" s="26"/>
      <c r="AU1149" s="13"/>
      <c r="AY1149" s="115"/>
      <c r="AZ1149" s="117"/>
      <c r="BA1149" s="123"/>
      <c r="BB1149" s="123"/>
      <c r="BC1149" s="123"/>
      <c r="BD1149" s="115"/>
      <c r="BE1149" s="115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26">
        <v>45279</v>
      </c>
      <c r="BS1149" s="13" t="s">
        <v>162</v>
      </c>
      <c r="BV1149" s="114"/>
    </row>
    <row r="1150" spans="37:74" ht="19.5" x14ac:dyDescent="0.4">
      <c r="AT1150" s="129"/>
      <c r="AU1150" s="13"/>
      <c r="AY1150" s="115"/>
      <c r="AZ1150" s="117"/>
      <c r="BA1150" s="123"/>
      <c r="BB1150" s="123"/>
      <c r="BC1150" s="123"/>
      <c r="BD1150" s="115"/>
      <c r="BE1150" s="115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26"/>
      <c r="BS1150" s="13"/>
      <c r="BV1150" s="114"/>
    </row>
    <row r="1151" spans="37:74" ht="19.5" x14ac:dyDescent="0.4">
      <c r="AT1151" s="26"/>
      <c r="AU1151" s="13"/>
      <c r="AY1151" s="115"/>
      <c r="AZ1151" s="117"/>
      <c r="BA1151" s="123"/>
      <c r="BB1151" s="123"/>
      <c r="BC1151" s="123"/>
      <c r="BD1151" s="115"/>
      <c r="BE1151" s="115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26">
        <v>45279</v>
      </c>
      <c r="BS1151" s="13" t="s">
        <v>162</v>
      </c>
      <c r="BV1151" s="114"/>
    </row>
    <row r="1152" spans="37:74" ht="19.5" x14ac:dyDescent="0.4">
      <c r="AT1152" s="26"/>
      <c r="AU1152" s="13"/>
      <c r="AY1152" s="115"/>
      <c r="AZ1152" s="117"/>
      <c r="BA1152" s="123"/>
      <c r="BB1152" s="123"/>
      <c r="BC1152" s="123"/>
      <c r="BD1152" s="115"/>
      <c r="BE1152" s="115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26">
        <v>45279</v>
      </c>
      <c r="BS1152" s="13" t="s">
        <v>162</v>
      </c>
      <c r="BV1152" s="114"/>
    </row>
    <row r="1153" spans="46:74" ht="19.5" x14ac:dyDescent="0.4">
      <c r="AT1153" s="26"/>
      <c r="AU1153" s="13"/>
      <c r="AY1153" s="115"/>
      <c r="AZ1153" s="117"/>
      <c r="BA1153" s="123"/>
      <c r="BB1153" s="123"/>
      <c r="BC1153" s="123"/>
      <c r="BD1153" s="115"/>
      <c r="BE1153" s="115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 t="s">
        <v>170</v>
      </c>
      <c r="BR1153" s="17">
        <f>SUBTOTAL(3,BR1144:BR1152)</f>
        <v>6</v>
      </c>
      <c r="BS1153" s="13">
        <f>SUBTOTAL(3,BS1144:BS1152)</f>
        <v>6</v>
      </c>
      <c r="BV1153" s="114"/>
    </row>
    <row r="1154" spans="46:74" ht="19.5" x14ac:dyDescent="0.4">
      <c r="AT1154" s="129"/>
      <c r="AU1154" s="13"/>
      <c r="AY1154" s="115"/>
      <c r="AZ1154" s="117"/>
      <c r="BA1154" s="123"/>
      <c r="BB1154" s="123"/>
      <c r="BC1154" s="123"/>
      <c r="BD1154" s="115"/>
      <c r="BE1154" s="115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7"/>
      <c r="BS1154" s="13"/>
      <c r="BV1154" s="114"/>
    </row>
    <row r="1155" spans="46:74" ht="19.5" x14ac:dyDescent="0.4">
      <c r="AT1155" s="26"/>
      <c r="AU1155" s="13"/>
      <c r="AY1155" s="115"/>
      <c r="AZ1155" s="117"/>
      <c r="BA1155" s="123"/>
      <c r="BB1155" s="123"/>
      <c r="BC1155" s="123"/>
      <c r="BD1155" s="115"/>
      <c r="BE1155" s="115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26">
        <v>45280</v>
      </c>
      <c r="BS1155" s="13" t="s">
        <v>162</v>
      </c>
      <c r="BV1155" s="114"/>
    </row>
    <row r="1156" spans="46:74" ht="19.5" x14ac:dyDescent="0.4">
      <c r="AT1156" s="26"/>
      <c r="AU1156" s="13"/>
      <c r="AY1156" s="115"/>
      <c r="AZ1156" s="116"/>
      <c r="BA1156" s="123"/>
      <c r="BB1156" s="123"/>
      <c r="BC1156" s="123"/>
      <c r="BD1156" s="115"/>
      <c r="BE1156" s="115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26">
        <v>45280</v>
      </c>
      <c r="BS1156" s="13" t="s">
        <v>162</v>
      </c>
      <c r="BV1156" s="114"/>
    </row>
    <row r="1157" spans="46:74" ht="19.5" x14ac:dyDescent="0.4">
      <c r="AT1157" s="26"/>
      <c r="AU1157" s="13"/>
      <c r="AY1157" s="115"/>
      <c r="AZ1157" s="116"/>
      <c r="BA1157" s="123"/>
      <c r="BB1157" s="123"/>
      <c r="BC1157" s="123"/>
      <c r="BD1157" s="115"/>
      <c r="BE1157" s="115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26">
        <v>45280</v>
      </c>
      <c r="BS1157" s="13" t="s">
        <v>162</v>
      </c>
      <c r="BV1157" s="114"/>
    </row>
    <row r="1158" spans="46:74" ht="19.5" x14ac:dyDescent="0.4">
      <c r="AT1158" s="26"/>
      <c r="AU1158" s="13"/>
      <c r="AY1158" s="115"/>
      <c r="AZ1158" s="116"/>
      <c r="BA1158" s="123"/>
      <c r="BB1158" s="123"/>
      <c r="BC1158" s="123"/>
      <c r="BD1158" s="115"/>
      <c r="BE1158" s="115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26">
        <v>45280</v>
      </c>
      <c r="BS1158" s="13" t="s">
        <v>162</v>
      </c>
      <c r="BV1158" s="114"/>
    </row>
    <row r="1159" spans="46:74" ht="19.5" x14ac:dyDescent="0.4">
      <c r="AT1159" s="129"/>
      <c r="AU1159" s="13"/>
      <c r="AY1159" s="115"/>
      <c r="AZ1159" s="116"/>
      <c r="BA1159" s="123"/>
      <c r="BB1159" s="123"/>
      <c r="BC1159" s="123"/>
      <c r="BD1159" s="115"/>
      <c r="BE1159" s="115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26"/>
      <c r="BS1159" s="13"/>
      <c r="BV1159" s="114"/>
    </row>
    <row r="1160" spans="46:74" ht="19.5" x14ac:dyDescent="0.4">
      <c r="AT1160" s="26"/>
      <c r="AU1160" s="13"/>
      <c r="AY1160" s="115"/>
      <c r="AZ1160" s="116"/>
      <c r="BA1160" s="123"/>
      <c r="BB1160" s="123"/>
      <c r="BC1160" s="123"/>
      <c r="BD1160" s="115"/>
      <c r="BE1160" s="115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26">
        <v>45280</v>
      </c>
      <c r="BS1160" s="13" t="s">
        <v>162</v>
      </c>
      <c r="BV1160" s="114"/>
    </row>
    <row r="1161" spans="46:74" ht="19.5" x14ac:dyDescent="0.4">
      <c r="AT1161" s="130"/>
      <c r="AU1161" s="119"/>
      <c r="AY1161" s="115"/>
      <c r="AZ1161" s="116"/>
      <c r="BA1161" s="123"/>
      <c r="BB1161" s="123"/>
      <c r="BC1161" s="123"/>
      <c r="BD1161" s="115"/>
      <c r="BE1161" s="115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26"/>
      <c r="BS1161" s="13"/>
      <c r="BV1161" s="114"/>
    </row>
    <row r="1162" spans="46:74" ht="19.5" x14ac:dyDescent="0.4">
      <c r="AT1162" s="130"/>
      <c r="AU1162" s="119"/>
      <c r="AY1162" s="115"/>
      <c r="AZ1162" s="116"/>
      <c r="BA1162" s="123"/>
      <c r="BB1162" s="123"/>
      <c r="BC1162" s="123"/>
      <c r="BD1162" s="115"/>
      <c r="BE1162" s="115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26"/>
      <c r="BS1162" s="13"/>
      <c r="BV1162" s="114"/>
    </row>
    <row r="1163" spans="46:74" ht="19.5" x14ac:dyDescent="0.4">
      <c r="AY1163" s="115"/>
      <c r="AZ1163" s="116"/>
      <c r="BA1163" s="123"/>
      <c r="BB1163" s="123"/>
      <c r="BC1163" s="123"/>
      <c r="BD1163" s="115"/>
      <c r="BE1163" s="115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26">
        <v>45280</v>
      </c>
      <c r="BS1163" s="13" t="s">
        <v>162</v>
      </c>
      <c r="BV1163" s="114"/>
    </row>
    <row r="1164" spans="46:74" ht="19.5" x14ac:dyDescent="0.4">
      <c r="AY1164" s="115"/>
      <c r="AZ1164" s="116"/>
      <c r="BA1164" s="123"/>
      <c r="BB1164" s="123"/>
      <c r="BC1164" s="123"/>
      <c r="BD1164" s="115"/>
      <c r="BE1164" s="115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26">
        <v>45280</v>
      </c>
      <c r="BS1164" s="13" t="s">
        <v>162</v>
      </c>
      <c r="BV1164" s="114"/>
    </row>
    <row r="1165" spans="46:74" ht="19.5" x14ac:dyDescent="0.4">
      <c r="AY1165" s="115"/>
      <c r="AZ1165" s="116"/>
      <c r="BA1165" s="123"/>
      <c r="BB1165" s="123"/>
      <c r="BC1165" s="123"/>
      <c r="BD1165" s="115"/>
      <c r="BE1165" s="115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26">
        <v>45280</v>
      </c>
      <c r="BS1165" s="13" t="s">
        <v>162</v>
      </c>
      <c r="BV1165" s="114"/>
    </row>
    <row r="1166" spans="46:74" ht="19.5" x14ac:dyDescent="0.4">
      <c r="AX1166" s="115"/>
      <c r="AY1166" s="115"/>
      <c r="AZ1166" s="116"/>
      <c r="BA1166" s="123"/>
      <c r="BB1166" s="123"/>
      <c r="BC1166" s="123"/>
      <c r="BD1166" s="115"/>
      <c r="BE1166" s="115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26">
        <v>45280</v>
      </c>
      <c r="BS1166" s="13" t="s">
        <v>162</v>
      </c>
      <c r="BV1166" s="114"/>
    </row>
    <row r="1167" spans="46:74" ht="19.5" x14ac:dyDescent="0.4">
      <c r="AX1167" s="115"/>
      <c r="AY1167" s="115"/>
      <c r="AZ1167" s="116"/>
      <c r="BA1167" s="123"/>
      <c r="BB1167" s="123"/>
      <c r="BC1167" s="123"/>
      <c r="BD1167" s="115"/>
      <c r="BE1167" s="115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26">
        <v>45280</v>
      </c>
      <c r="BS1167" s="13" t="s">
        <v>162</v>
      </c>
      <c r="BV1167" s="114"/>
    </row>
    <row r="1168" spans="46:74" ht="19.5" x14ac:dyDescent="0.4">
      <c r="AV1168" s="115"/>
      <c r="AW1168" s="115"/>
      <c r="AX1168" s="115"/>
      <c r="AY1168" s="115"/>
      <c r="AZ1168" s="116"/>
      <c r="BA1168" s="123"/>
      <c r="BB1168" s="123"/>
      <c r="BC1168" s="123"/>
      <c r="BD1168" s="115"/>
      <c r="BE1168" s="115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26">
        <v>45280</v>
      </c>
      <c r="BS1168" s="13" t="s">
        <v>162</v>
      </c>
      <c r="BV1168" s="114"/>
    </row>
    <row r="1169" spans="48:74" x14ac:dyDescent="0.4">
      <c r="AV1169" s="115"/>
      <c r="AW1169" s="115"/>
      <c r="AX1169" s="115"/>
      <c r="AY1169" s="115"/>
      <c r="AZ1169" s="115"/>
      <c r="BA1169" s="122"/>
      <c r="BB1169" s="122"/>
      <c r="BC1169" s="122"/>
      <c r="BD1169" s="115"/>
      <c r="BE1169" s="115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26">
        <v>45280</v>
      </c>
      <c r="BS1169" s="13" t="s">
        <v>162</v>
      </c>
      <c r="BV1169" s="114"/>
    </row>
    <row r="1170" spans="48:74" x14ac:dyDescent="0.4">
      <c r="AV1170" s="115"/>
      <c r="AW1170" s="115"/>
      <c r="AX1170" s="115"/>
      <c r="AY1170" s="115"/>
      <c r="AZ1170" s="115"/>
      <c r="BA1170" s="122"/>
      <c r="BB1170" s="122"/>
      <c r="BC1170" s="122"/>
      <c r="BD1170" s="115"/>
      <c r="BE1170" s="115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26">
        <v>45280</v>
      </c>
      <c r="BS1170" s="13" t="s">
        <v>162</v>
      </c>
      <c r="BV1170" s="114"/>
    </row>
    <row r="1171" spans="48:74" x14ac:dyDescent="0.4">
      <c r="AV1171" s="115"/>
      <c r="AW1171" s="115"/>
      <c r="AX1171" s="115"/>
      <c r="AY1171" s="115"/>
      <c r="AZ1171" s="115"/>
      <c r="BA1171" s="122"/>
      <c r="BB1171" s="122"/>
      <c r="BC1171" s="122"/>
      <c r="BD1171" s="115"/>
      <c r="BE1171" s="115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 t="s">
        <v>171</v>
      </c>
      <c r="BR1171" s="17">
        <f>SUBTOTAL(3,BR1155:BR1170)</f>
        <v>13</v>
      </c>
      <c r="BS1171" s="13">
        <f>SUBTOTAL(3,BS1155:BS1170)</f>
        <v>13</v>
      </c>
      <c r="BV1171" s="114"/>
    </row>
    <row r="1172" spans="48:74" x14ac:dyDescent="0.4">
      <c r="AV1172" s="115"/>
      <c r="AW1172" s="115"/>
      <c r="AX1172" s="115"/>
      <c r="AY1172" s="115"/>
      <c r="AZ1172" s="115"/>
      <c r="BA1172" s="122"/>
      <c r="BB1172" s="122"/>
      <c r="BC1172" s="122"/>
      <c r="BD1172" s="115"/>
      <c r="BE1172" s="115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26">
        <v>45283</v>
      </c>
      <c r="BS1172" s="13" t="s">
        <v>162</v>
      </c>
      <c r="BV1172" s="114"/>
    </row>
    <row r="1173" spans="48:74" x14ac:dyDescent="0.4">
      <c r="AV1173" s="115"/>
      <c r="AW1173" s="115"/>
      <c r="AX1173" s="115"/>
      <c r="AY1173" s="115"/>
      <c r="AZ1173" s="115"/>
      <c r="BA1173" s="122"/>
      <c r="BB1173" s="122"/>
      <c r="BC1173" s="122"/>
      <c r="BD1173" s="115"/>
      <c r="BE1173" s="115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26">
        <v>45283</v>
      </c>
      <c r="BS1173" s="13" t="s">
        <v>162</v>
      </c>
      <c r="BV1173" s="114"/>
    </row>
    <row r="1174" spans="48:74" x14ac:dyDescent="0.4">
      <c r="AV1174" s="115"/>
      <c r="AW1174" s="115"/>
      <c r="AX1174" s="115"/>
      <c r="AY1174" s="115"/>
      <c r="AZ1174" s="115"/>
      <c r="BA1174" s="122"/>
      <c r="BB1174" s="122"/>
      <c r="BC1174" s="122"/>
      <c r="BD1174" s="115"/>
      <c r="BE1174" s="115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26">
        <v>45283</v>
      </c>
      <c r="BS1174" s="13" t="s">
        <v>162</v>
      </c>
      <c r="BV1174" s="114"/>
    </row>
    <row r="1175" spans="48:74" x14ac:dyDescent="0.4">
      <c r="AV1175" s="115"/>
      <c r="AW1175" s="115"/>
      <c r="AX1175" s="115"/>
      <c r="AY1175" s="115"/>
      <c r="AZ1175" s="115"/>
      <c r="BA1175" s="122"/>
      <c r="BB1175" s="122"/>
      <c r="BC1175" s="122"/>
      <c r="BD1175" s="115"/>
      <c r="BE1175" s="115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26">
        <v>45283</v>
      </c>
      <c r="BS1175" s="13" t="s">
        <v>162</v>
      </c>
      <c r="BV1175" s="114"/>
    </row>
    <row r="1176" spans="48:74" x14ac:dyDescent="0.4">
      <c r="AV1176" s="115"/>
      <c r="AW1176" s="115"/>
      <c r="AX1176" s="115"/>
      <c r="AY1176" s="115"/>
      <c r="AZ1176" s="115"/>
      <c r="BA1176" s="122"/>
      <c r="BB1176" s="122"/>
      <c r="BC1176" s="122"/>
      <c r="BD1176" s="115"/>
      <c r="BE1176" s="115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26">
        <v>45283</v>
      </c>
      <c r="BS1176" s="13" t="s">
        <v>162</v>
      </c>
      <c r="BV1176" s="114"/>
    </row>
    <row r="1177" spans="48:74" x14ac:dyDescent="0.4">
      <c r="AV1177" s="115"/>
      <c r="AW1177" s="115"/>
      <c r="AX1177" s="115"/>
      <c r="AY1177" s="115"/>
      <c r="AZ1177" s="115"/>
      <c r="BA1177" s="122"/>
      <c r="BB1177" s="122"/>
      <c r="BC1177" s="122"/>
      <c r="BD1177" s="115"/>
      <c r="BE1177" s="115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26">
        <v>45283</v>
      </c>
      <c r="BS1177" s="13" t="s">
        <v>162</v>
      </c>
      <c r="BV1177" s="114"/>
    </row>
    <row r="1178" spans="48:74" x14ac:dyDescent="0.4">
      <c r="AV1178" s="115"/>
      <c r="AW1178" s="115"/>
      <c r="AX1178" s="115"/>
      <c r="AY1178" s="115"/>
      <c r="AZ1178" s="115"/>
      <c r="BA1178" s="122"/>
      <c r="BB1178" s="122"/>
      <c r="BC1178" s="122"/>
      <c r="BD1178" s="115"/>
      <c r="BE1178" s="115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26">
        <v>45283</v>
      </c>
      <c r="BS1178" s="13" t="s">
        <v>162</v>
      </c>
      <c r="BV1178" s="114"/>
    </row>
    <row r="1179" spans="48:74" x14ac:dyDescent="0.4">
      <c r="AV1179" s="115"/>
      <c r="AW1179" s="115"/>
      <c r="AX1179" s="115"/>
      <c r="AY1179" s="115"/>
      <c r="AZ1179" s="115"/>
      <c r="BA1179" s="122"/>
      <c r="BB1179" s="122"/>
      <c r="BC1179" s="122"/>
      <c r="BD1179" s="115"/>
      <c r="BE1179" s="115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26">
        <v>45283</v>
      </c>
      <c r="BS1179" s="13" t="s">
        <v>162</v>
      </c>
      <c r="BV1179" s="114"/>
    </row>
    <row r="1180" spans="48:74" x14ac:dyDescent="0.4">
      <c r="AV1180" s="115"/>
      <c r="AW1180" s="115"/>
      <c r="AX1180" s="115"/>
      <c r="AY1180" s="115"/>
      <c r="AZ1180" s="115"/>
      <c r="BA1180" s="122"/>
      <c r="BB1180" s="122"/>
      <c r="BC1180" s="122"/>
      <c r="BD1180" s="115"/>
      <c r="BE1180" s="115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26">
        <v>45283</v>
      </c>
      <c r="BS1180" s="13" t="s">
        <v>162</v>
      </c>
      <c r="BV1180" s="114"/>
    </row>
    <row r="1181" spans="48:74" x14ac:dyDescent="0.4">
      <c r="AV1181" s="115"/>
      <c r="AW1181" s="115"/>
      <c r="AX1181" s="115"/>
      <c r="AY1181" s="115"/>
      <c r="AZ1181" s="115"/>
      <c r="BA1181" s="122"/>
      <c r="BB1181" s="122"/>
      <c r="BC1181" s="122"/>
      <c r="BD1181" s="115"/>
      <c r="BE1181" s="115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26">
        <v>45283</v>
      </c>
      <c r="BS1181" s="13" t="s">
        <v>162</v>
      </c>
      <c r="BV1181" s="114"/>
    </row>
    <row r="1182" spans="48:74" x14ac:dyDescent="0.4">
      <c r="AV1182" s="115"/>
      <c r="AW1182" s="115"/>
      <c r="AX1182" s="115"/>
      <c r="AY1182" s="115"/>
      <c r="AZ1182" s="115"/>
      <c r="BA1182" s="122"/>
      <c r="BB1182" s="122"/>
      <c r="BC1182" s="122"/>
      <c r="BD1182" s="115"/>
      <c r="BE1182" s="115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26">
        <v>45283</v>
      </c>
      <c r="BS1182" s="13" t="s">
        <v>163</v>
      </c>
      <c r="BV1182" s="114"/>
    </row>
    <row r="1183" spans="48:74" x14ac:dyDescent="0.4">
      <c r="AV1183" s="115"/>
      <c r="AW1183" s="115"/>
      <c r="AX1183" s="115"/>
      <c r="AY1183" s="115"/>
      <c r="AZ1183" s="115"/>
      <c r="BA1183" s="122"/>
      <c r="BB1183" s="122"/>
      <c r="BC1183" s="122"/>
      <c r="BD1183" s="115"/>
      <c r="BE1183" s="115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26">
        <v>45283</v>
      </c>
      <c r="BS1183" s="13" t="s">
        <v>163</v>
      </c>
      <c r="BV1183" s="114"/>
    </row>
    <row r="1184" spans="48:74" x14ac:dyDescent="0.4">
      <c r="AV1184" s="115"/>
      <c r="AW1184" s="115"/>
      <c r="AX1184" s="115"/>
      <c r="AY1184" s="115"/>
      <c r="AZ1184" s="115"/>
      <c r="BA1184" s="122"/>
      <c r="BB1184" s="122"/>
      <c r="BC1184" s="122"/>
      <c r="BD1184" s="115"/>
      <c r="BE1184" s="115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26">
        <v>45283</v>
      </c>
      <c r="BS1184" s="13" t="s">
        <v>163</v>
      </c>
      <c r="BV1184" s="114"/>
    </row>
    <row r="1185" spans="48:74" x14ac:dyDescent="0.4">
      <c r="AV1185" s="115"/>
      <c r="AW1185" s="115"/>
      <c r="AX1185" s="115"/>
      <c r="AY1185" s="115"/>
      <c r="AZ1185" s="115"/>
      <c r="BA1185" s="122"/>
      <c r="BB1185" s="122"/>
      <c r="BC1185" s="122"/>
      <c r="BD1185" s="115"/>
      <c r="BE1185" s="115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 t="s">
        <v>161</v>
      </c>
      <c r="BR1185" s="17">
        <f>SUBTOTAL(3,BR1172:BR1184)</f>
        <v>13</v>
      </c>
      <c r="BS1185" s="13">
        <f>SUBTOTAL(3,BS1172:BS1184)</f>
        <v>13</v>
      </c>
      <c r="BV1185" s="114"/>
    </row>
    <row r="1186" spans="48:74" x14ac:dyDescent="0.4">
      <c r="AV1186" s="115"/>
      <c r="AW1186" s="115"/>
      <c r="AX1186" s="115"/>
      <c r="AY1186" s="115"/>
      <c r="AZ1186" s="115"/>
      <c r="BA1186" s="122"/>
      <c r="BB1186" s="122"/>
      <c r="BC1186" s="122"/>
      <c r="BD1186" s="115"/>
      <c r="BE1186" s="115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26">
        <v>45285</v>
      </c>
      <c r="BS1186" s="13" t="s">
        <v>163</v>
      </c>
      <c r="BV1186" s="114"/>
    </row>
    <row r="1187" spans="48:74" x14ac:dyDescent="0.4">
      <c r="AV1187" s="115"/>
      <c r="AW1187" s="115"/>
      <c r="AX1187" s="115"/>
      <c r="AY1187" s="115"/>
      <c r="AZ1187" s="115"/>
      <c r="BA1187" s="122"/>
      <c r="BB1187" s="122"/>
      <c r="BC1187" s="122"/>
      <c r="BD1187" s="115"/>
      <c r="BE1187" s="115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 t="s">
        <v>172</v>
      </c>
      <c r="BR1187" s="17">
        <f>SUBTOTAL(3,BR1186:BR1186)</f>
        <v>1</v>
      </c>
      <c r="BS1187" s="13">
        <f>SUBTOTAL(3,BS1186:BS1186)</f>
        <v>1</v>
      </c>
      <c r="BV1187" s="114"/>
    </row>
    <row r="1188" spans="48:74" x14ac:dyDescent="0.4">
      <c r="AV1188" s="115"/>
      <c r="AW1188" s="115"/>
      <c r="AX1188" s="115"/>
      <c r="AY1188" s="115"/>
      <c r="AZ1188" s="115"/>
      <c r="BA1188" s="122"/>
      <c r="BB1188" s="122"/>
      <c r="BC1188" s="122"/>
      <c r="BD1188" s="115"/>
      <c r="BE1188" s="115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26">
        <v>45299</v>
      </c>
      <c r="BS1188" s="13" t="s">
        <v>164</v>
      </c>
      <c r="BV1188" s="114"/>
    </row>
    <row r="1189" spans="48:74" x14ac:dyDescent="0.4">
      <c r="AV1189" s="115"/>
      <c r="AW1189" s="115"/>
      <c r="AX1189" s="115"/>
      <c r="AY1189" s="115"/>
      <c r="AZ1189" s="115"/>
      <c r="BA1189" s="122"/>
      <c r="BB1189" s="122"/>
      <c r="BC1189" s="122"/>
      <c r="BD1189" s="115"/>
      <c r="BE1189" s="115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26">
        <v>45299</v>
      </c>
      <c r="BS1189" s="13" t="s">
        <v>162</v>
      </c>
      <c r="BV1189" s="114"/>
    </row>
    <row r="1190" spans="48:74" x14ac:dyDescent="0.4">
      <c r="AV1190" s="115"/>
      <c r="AW1190" s="115"/>
      <c r="AX1190" s="115"/>
      <c r="AY1190" s="115"/>
      <c r="AZ1190" s="115"/>
      <c r="BA1190" s="122"/>
      <c r="BB1190" s="122"/>
      <c r="BC1190" s="122"/>
      <c r="BD1190" s="115"/>
      <c r="BE1190" s="115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26">
        <v>45299</v>
      </c>
      <c r="BS1190" s="13" t="s">
        <v>162</v>
      </c>
      <c r="BV1190" s="114"/>
    </row>
    <row r="1191" spans="48:74" x14ac:dyDescent="0.4">
      <c r="AV1191" s="115"/>
      <c r="AW1191" s="115"/>
      <c r="AX1191" s="115"/>
      <c r="AY1191" s="115"/>
      <c r="AZ1191" s="115"/>
      <c r="BA1191" s="122"/>
      <c r="BB1191" s="122"/>
      <c r="BC1191" s="122"/>
      <c r="BD1191" s="115"/>
      <c r="BE1191" s="115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26">
        <v>45299</v>
      </c>
      <c r="BS1191" s="15" t="s">
        <v>162</v>
      </c>
      <c r="BV1191" s="114"/>
    </row>
    <row r="1192" spans="48:74" x14ac:dyDescent="0.4">
      <c r="AV1192" s="115"/>
      <c r="AW1192" s="115"/>
      <c r="AX1192" s="115"/>
      <c r="AY1192" s="115"/>
      <c r="AZ1192" s="115"/>
      <c r="BA1192" s="122"/>
      <c r="BB1192" s="122"/>
      <c r="BC1192" s="122"/>
      <c r="BD1192" s="115"/>
      <c r="BE1192" s="115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 t="s">
        <v>173</v>
      </c>
      <c r="BR1192" s="17">
        <f>SUBTOTAL(3,BR1188:BR1191)</f>
        <v>4</v>
      </c>
      <c r="BS1192" s="13">
        <f>SUBTOTAL(3,BS1188:BS1191)</f>
        <v>4</v>
      </c>
      <c r="BV1192" s="114"/>
    </row>
    <row r="1193" spans="48:74" x14ac:dyDescent="0.4">
      <c r="AV1193" s="115"/>
      <c r="AW1193" s="115"/>
      <c r="AX1193" s="115"/>
      <c r="AY1193" s="115"/>
      <c r="AZ1193" s="115"/>
      <c r="BA1193" s="122"/>
      <c r="BB1193" s="122"/>
      <c r="BC1193" s="122"/>
      <c r="BD1193" s="115"/>
      <c r="BE1193" s="115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 t="s">
        <v>145</v>
      </c>
      <c r="BR1193" s="17">
        <f>SUBTOTAL(3,BR2:BR1191)</f>
        <v>136</v>
      </c>
      <c r="BS1193" s="13">
        <f>SUBTOTAL(3,BS2:BS1191)</f>
        <v>136</v>
      </c>
      <c r="BV1193" s="114"/>
    </row>
    <row r="1194" spans="48:74" x14ac:dyDescent="0.4">
      <c r="AV1194" s="115"/>
      <c r="AW1194" s="115"/>
      <c r="AX1194" s="115"/>
      <c r="AY1194" s="115"/>
      <c r="AZ1194" s="115"/>
      <c r="BA1194" s="122"/>
      <c r="BB1194" s="122"/>
      <c r="BC1194" s="122"/>
      <c r="BD1194" s="115"/>
      <c r="BE1194" s="115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 t="s">
        <v>145</v>
      </c>
      <c r="BP1194" s="115"/>
      <c r="BQ1194" s="115"/>
      <c r="BR1194" s="26"/>
      <c r="BS1194" s="13"/>
      <c r="BV1194" s="114"/>
    </row>
    <row r="1195" spans="48:74" x14ac:dyDescent="0.4">
      <c r="AV1195" s="115"/>
      <c r="AW1195" s="115"/>
      <c r="AX1195" s="115"/>
      <c r="AY1195" s="115"/>
      <c r="AZ1195" s="115"/>
      <c r="BA1195" s="122"/>
      <c r="BB1195" s="122"/>
      <c r="BC1195" s="122"/>
      <c r="BD1195" s="115"/>
      <c r="BE1195" s="115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7"/>
      <c r="BS1195" s="13"/>
      <c r="BV1195" s="114"/>
    </row>
    <row r="1196" spans="48:74" x14ac:dyDescent="0.4">
      <c r="AV1196" s="115"/>
      <c r="AW1196" s="115"/>
      <c r="AX1196" s="115"/>
      <c r="AY1196" s="115"/>
      <c r="AZ1196" s="115"/>
      <c r="BA1196" s="122"/>
      <c r="BB1196" s="122"/>
      <c r="BC1196" s="122"/>
      <c r="BD1196" s="115"/>
      <c r="BE1196" s="115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26"/>
      <c r="BS1196" s="13"/>
      <c r="BV1196" s="114"/>
    </row>
    <row r="1197" spans="48:74" x14ac:dyDescent="0.4">
      <c r="AV1197" s="115"/>
      <c r="AW1197" s="115"/>
      <c r="AX1197" s="115"/>
      <c r="AY1197" s="115"/>
      <c r="AZ1197" s="115"/>
      <c r="BA1197" s="122"/>
      <c r="BB1197" s="122"/>
      <c r="BC1197" s="122"/>
      <c r="BD1197" s="115"/>
      <c r="BE1197" s="115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7"/>
      <c r="BS1197" s="13"/>
      <c r="BV1197" s="114"/>
    </row>
    <row r="1198" spans="48:74" x14ac:dyDescent="0.4">
      <c r="AV1198" s="115"/>
      <c r="AW1198" s="115"/>
      <c r="AX1198" s="115"/>
      <c r="AY1198" s="115"/>
      <c r="AZ1198" s="115"/>
      <c r="BA1198" s="122"/>
      <c r="BB1198" s="122"/>
      <c r="BC1198" s="122"/>
      <c r="BD1198" s="115"/>
      <c r="BE1198" s="115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26"/>
      <c r="BS1198" s="13"/>
      <c r="BV1198" s="114"/>
    </row>
    <row r="1199" spans="48:74" x14ac:dyDescent="0.4">
      <c r="AV1199" s="115"/>
      <c r="AW1199" s="115"/>
      <c r="AX1199" s="115"/>
      <c r="AY1199" s="115"/>
      <c r="AZ1199" s="115"/>
      <c r="BA1199" s="122"/>
      <c r="BB1199" s="122"/>
      <c r="BC1199" s="122"/>
      <c r="BD1199" s="115"/>
      <c r="BE1199" s="115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26"/>
      <c r="BS1199" s="13"/>
      <c r="BV1199" s="114"/>
    </row>
    <row r="1200" spans="48:74" x14ac:dyDescent="0.4">
      <c r="AV1200" s="115"/>
      <c r="AW1200" s="115"/>
      <c r="AX1200" s="115"/>
      <c r="AY1200" s="115"/>
      <c r="AZ1200" s="115"/>
      <c r="BA1200" s="122"/>
      <c r="BB1200" s="122"/>
      <c r="BC1200" s="122"/>
      <c r="BD1200" s="115"/>
      <c r="BE1200" s="115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26"/>
      <c r="BS1200" s="13"/>
      <c r="BV1200" s="114"/>
    </row>
    <row r="1201" spans="48:74" x14ac:dyDescent="0.4">
      <c r="AV1201" s="115"/>
      <c r="AW1201" s="115"/>
      <c r="AX1201" s="115"/>
      <c r="AY1201" s="115"/>
      <c r="AZ1201" s="115"/>
      <c r="BA1201" s="122"/>
      <c r="BB1201" s="122"/>
      <c r="BC1201" s="122"/>
      <c r="BD1201" s="115"/>
      <c r="BE1201" s="115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7"/>
      <c r="BS1201" s="13"/>
      <c r="BV1201" s="114"/>
    </row>
    <row r="1202" spans="48:74" x14ac:dyDescent="0.4">
      <c r="AV1202" s="115"/>
      <c r="AW1202" s="115"/>
      <c r="AX1202" s="115"/>
      <c r="AY1202" s="115"/>
      <c r="AZ1202" s="115"/>
      <c r="BA1202" s="122"/>
      <c r="BB1202" s="122"/>
      <c r="BC1202" s="122"/>
      <c r="BD1202" s="115"/>
      <c r="BE1202" s="115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26"/>
      <c r="BS1202" s="13"/>
      <c r="BV1202" s="114"/>
    </row>
    <row r="1203" spans="48:74" x14ac:dyDescent="0.4">
      <c r="AV1203" s="115"/>
      <c r="AW1203" s="115"/>
      <c r="AX1203" s="115"/>
      <c r="AY1203" s="115"/>
      <c r="AZ1203" s="115"/>
      <c r="BA1203" s="122"/>
      <c r="BB1203" s="122"/>
      <c r="BC1203" s="122"/>
      <c r="BD1203" s="115"/>
      <c r="BE1203" s="115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7"/>
      <c r="BS1203" s="13"/>
      <c r="BV1203" s="114"/>
    </row>
    <row r="1204" spans="48:74" x14ac:dyDescent="0.4">
      <c r="AV1204" s="115"/>
      <c r="AW1204" s="115"/>
      <c r="AX1204" s="115"/>
      <c r="AY1204" s="115"/>
      <c r="AZ1204" s="115"/>
      <c r="BA1204" s="122"/>
      <c r="BB1204" s="122"/>
      <c r="BC1204" s="122"/>
      <c r="BD1204" s="115"/>
      <c r="BE1204" s="115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26"/>
      <c r="BS1204" s="13"/>
      <c r="BV1204" s="114"/>
    </row>
    <row r="1205" spans="48:74" x14ac:dyDescent="0.4">
      <c r="AV1205" s="115"/>
      <c r="AW1205" s="115"/>
      <c r="AX1205" s="115"/>
      <c r="AY1205" s="115"/>
      <c r="AZ1205" s="115"/>
      <c r="BA1205" s="122"/>
      <c r="BB1205" s="122"/>
      <c r="BC1205" s="122"/>
      <c r="BD1205" s="115"/>
      <c r="BE1205" s="115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7"/>
      <c r="BS1205" s="13"/>
      <c r="BV1205" s="114"/>
    </row>
    <row r="1206" spans="48:74" x14ac:dyDescent="0.4">
      <c r="AV1206" s="115"/>
      <c r="AW1206" s="115"/>
      <c r="AX1206" s="115"/>
      <c r="AY1206" s="115"/>
      <c r="AZ1206" s="115"/>
      <c r="BA1206" s="122"/>
      <c r="BB1206" s="122"/>
      <c r="BC1206" s="122"/>
      <c r="BD1206" s="115"/>
      <c r="BE1206" s="115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7"/>
      <c r="BS1206" s="13"/>
      <c r="BV1206" s="114"/>
    </row>
    <row r="1207" spans="48:74" x14ac:dyDescent="0.4">
      <c r="AV1207" s="115"/>
      <c r="AW1207" s="115"/>
      <c r="AX1207" s="115"/>
      <c r="AY1207" s="115"/>
      <c r="AZ1207" s="115"/>
      <c r="BA1207" s="122"/>
      <c r="BB1207" s="122"/>
      <c r="BC1207" s="122"/>
      <c r="BD1207" s="115"/>
      <c r="BE1207" s="115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7"/>
      <c r="BS1207" s="13"/>
      <c r="BV1207" s="114"/>
    </row>
    <row r="1208" spans="48:74" x14ac:dyDescent="0.4">
      <c r="AV1208" s="115"/>
      <c r="AW1208" s="115"/>
      <c r="AX1208" s="115"/>
      <c r="AY1208" s="115"/>
      <c r="AZ1208" s="115"/>
      <c r="BA1208" s="122"/>
      <c r="BB1208" s="122"/>
      <c r="BC1208" s="122"/>
      <c r="BD1208" s="115"/>
      <c r="BE1208" s="115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26"/>
      <c r="BS1208" s="13"/>
      <c r="BV1208" s="114"/>
    </row>
    <row r="1209" spans="48:74" x14ac:dyDescent="0.4">
      <c r="AV1209" s="115"/>
      <c r="AW1209" s="115"/>
      <c r="AX1209" s="115"/>
      <c r="AY1209" s="115"/>
      <c r="AZ1209" s="115"/>
      <c r="BA1209" s="122"/>
      <c r="BB1209" s="122"/>
      <c r="BC1209" s="122"/>
      <c r="BD1209" s="115"/>
      <c r="BE1209" s="115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7"/>
      <c r="BS1209" s="13"/>
      <c r="BV1209" s="114"/>
    </row>
    <row r="1210" spans="48:74" x14ac:dyDescent="0.4">
      <c r="AV1210" s="115"/>
      <c r="AW1210" s="115"/>
      <c r="AX1210" s="115"/>
      <c r="AY1210" s="115"/>
      <c r="AZ1210" s="115"/>
      <c r="BA1210" s="122"/>
      <c r="BB1210" s="122"/>
      <c r="BC1210" s="122"/>
      <c r="BD1210" s="115"/>
      <c r="BE1210" s="115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26"/>
      <c r="BS1210" s="13"/>
      <c r="BV1210" s="114"/>
    </row>
    <row r="1211" spans="48:74" x14ac:dyDescent="0.4">
      <c r="AV1211" s="115"/>
      <c r="AW1211" s="115"/>
      <c r="AX1211" s="115"/>
      <c r="AY1211" s="115"/>
      <c r="AZ1211" s="115"/>
      <c r="BA1211" s="122"/>
      <c r="BB1211" s="122"/>
      <c r="BC1211" s="122"/>
      <c r="BD1211" s="115"/>
      <c r="BE1211" s="115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7"/>
      <c r="BS1211" s="13"/>
      <c r="BV1211" s="114"/>
    </row>
    <row r="1212" spans="48:74" x14ac:dyDescent="0.4">
      <c r="AV1212" s="115"/>
      <c r="AW1212" s="115"/>
      <c r="AX1212" s="115"/>
      <c r="AY1212" s="115"/>
      <c r="AZ1212" s="115"/>
      <c r="BA1212" s="122"/>
      <c r="BB1212" s="122"/>
      <c r="BC1212" s="122"/>
      <c r="BD1212" s="115"/>
      <c r="BE1212" s="115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26"/>
      <c r="BS1212" s="25"/>
      <c r="BV1212" s="114"/>
    </row>
    <row r="1213" spans="48:74" x14ac:dyDescent="0.4">
      <c r="AV1213" s="115"/>
      <c r="AW1213" s="115"/>
      <c r="AX1213" s="115"/>
      <c r="AY1213" s="115"/>
      <c r="AZ1213" s="115"/>
      <c r="BA1213" s="122"/>
      <c r="BB1213" s="122"/>
      <c r="BC1213" s="122"/>
      <c r="BD1213" s="115"/>
      <c r="BE1213" s="115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7"/>
      <c r="BS1213" s="13"/>
      <c r="BV1213" s="114"/>
    </row>
    <row r="1214" spans="48:74" x14ac:dyDescent="0.4">
      <c r="AV1214" s="115"/>
      <c r="AW1214" s="115"/>
      <c r="AX1214" s="115"/>
      <c r="AY1214" s="115"/>
      <c r="AZ1214" s="115"/>
      <c r="BA1214" s="122"/>
      <c r="BB1214" s="122"/>
      <c r="BC1214" s="122"/>
      <c r="BD1214" s="115"/>
      <c r="BE1214" s="115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7"/>
      <c r="BS1214" s="13"/>
      <c r="BV1214" s="114"/>
    </row>
    <row r="1215" spans="48:74" x14ac:dyDescent="0.4">
      <c r="AV1215" s="115"/>
      <c r="AW1215" s="115"/>
      <c r="AX1215" s="115"/>
      <c r="AY1215" s="115"/>
      <c r="AZ1215" s="115"/>
      <c r="BA1215" s="122"/>
      <c r="BB1215" s="122"/>
      <c r="BC1215" s="122"/>
      <c r="BD1215" s="115"/>
      <c r="BE1215" s="115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26"/>
      <c r="BS1215" s="15"/>
      <c r="BV1215" s="114"/>
    </row>
    <row r="1216" spans="48:74" x14ac:dyDescent="0.4">
      <c r="AV1216" s="115"/>
      <c r="AW1216" s="115"/>
      <c r="AX1216" s="115"/>
      <c r="AY1216" s="115"/>
      <c r="AZ1216" s="115"/>
      <c r="BA1216" s="122"/>
      <c r="BB1216" s="122"/>
      <c r="BC1216" s="122"/>
      <c r="BD1216" s="115"/>
      <c r="BE1216" s="115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26"/>
      <c r="BS1216" s="15"/>
      <c r="BV1216" s="114"/>
    </row>
    <row r="1217" spans="48:74" x14ac:dyDescent="0.4">
      <c r="AV1217" s="115"/>
      <c r="AW1217" s="115"/>
      <c r="AX1217" s="115"/>
      <c r="AY1217" s="115"/>
      <c r="AZ1217" s="115"/>
      <c r="BA1217" s="122"/>
      <c r="BB1217" s="122"/>
      <c r="BC1217" s="122"/>
      <c r="BD1217" s="115"/>
      <c r="BE1217" s="115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26"/>
      <c r="BS1217" s="15"/>
      <c r="BV1217" s="114"/>
    </row>
    <row r="1218" spans="48:74" x14ac:dyDescent="0.4">
      <c r="AV1218" s="115"/>
      <c r="AW1218" s="115"/>
      <c r="AX1218" s="115"/>
      <c r="AY1218" s="115"/>
      <c r="AZ1218" s="115"/>
      <c r="BA1218" s="122"/>
      <c r="BB1218" s="122"/>
      <c r="BC1218" s="122"/>
      <c r="BD1218" s="115"/>
      <c r="BE1218" s="115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26"/>
      <c r="BS1218" s="15"/>
      <c r="BV1218" s="114"/>
    </row>
    <row r="1219" spans="48:74" x14ac:dyDescent="0.4">
      <c r="AV1219" s="115"/>
      <c r="AW1219" s="115"/>
      <c r="AX1219" s="115"/>
      <c r="AY1219" s="115"/>
      <c r="AZ1219" s="115"/>
      <c r="BA1219" s="122"/>
      <c r="BB1219" s="122"/>
      <c r="BC1219" s="122"/>
      <c r="BD1219" s="115"/>
      <c r="BE1219" s="115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26"/>
      <c r="BS1219" s="15"/>
      <c r="BV1219" s="114"/>
    </row>
    <row r="1220" spans="48:74" x14ac:dyDescent="0.4">
      <c r="AV1220" s="115"/>
      <c r="AW1220" s="115"/>
      <c r="AX1220" s="115"/>
      <c r="AY1220" s="115"/>
      <c r="AZ1220" s="115"/>
      <c r="BA1220" s="122"/>
      <c r="BB1220" s="122"/>
      <c r="BC1220" s="122"/>
      <c r="BD1220" s="115"/>
      <c r="BE1220" s="115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26"/>
      <c r="BS1220" s="15"/>
      <c r="BV1220" s="114"/>
    </row>
    <row r="1221" spans="48:74" x14ac:dyDescent="0.4">
      <c r="AV1221" s="115"/>
      <c r="AW1221" s="115"/>
      <c r="AX1221" s="115"/>
      <c r="AY1221" s="115"/>
      <c r="AZ1221" s="115"/>
      <c r="BA1221" s="122"/>
      <c r="BB1221" s="122"/>
      <c r="BC1221" s="122"/>
      <c r="BD1221" s="115"/>
      <c r="BE1221" s="115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26"/>
      <c r="BS1221" s="15"/>
      <c r="BV1221" s="114"/>
    </row>
    <row r="1222" spans="48:74" x14ac:dyDescent="0.4">
      <c r="AV1222" s="115"/>
      <c r="AW1222" s="115"/>
      <c r="AX1222" s="115"/>
      <c r="AY1222" s="115"/>
      <c r="AZ1222" s="115"/>
      <c r="BA1222" s="122"/>
      <c r="BB1222" s="122"/>
      <c r="BC1222" s="122"/>
      <c r="BD1222" s="115"/>
      <c r="BE1222" s="115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26"/>
      <c r="BS1222" s="15"/>
      <c r="BV1222" s="114"/>
    </row>
    <row r="1223" spans="48:74" x14ac:dyDescent="0.4">
      <c r="AV1223" s="115"/>
      <c r="AW1223" s="115"/>
      <c r="AX1223" s="115"/>
      <c r="AY1223" s="115"/>
      <c r="AZ1223" s="115"/>
      <c r="BA1223" s="122"/>
      <c r="BB1223" s="122"/>
      <c r="BC1223" s="122"/>
      <c r="BD1223" s="115"/>
      <c r="BE1223" s="115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7"/>
      <c r="BS1223" s="15"/>
      <c r="BV1223" s="114"/>
    </row>
    <row r="1224" spans="48:74" x14ac:dyDescent="0.4">
      <c r="AV1224" s="115"/>
      <c r="AW1224" s="115"/>
      <c r="AX1224" s="115"/>
      <c r="AY1224" s="115"/>
      <c r="AZ1224" s="115"/>
      <c r="BA1224" s="122"/>
      <c r="BB1224" s="122"/>
      <c r="BC1224" s="122"/>
      <c r="BD1224" s="115"/>
      <c r="BE1224" s="115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26"/>
      <c r="BS1224" s="15"/>
      <c r="BV1224" s="114"/>
    </row>
    <row r="1225" spans="48:74" x14ac:dyDescent="0.4">
      <c r="AV1225" s="115"/>
      <c r="AW1225" s="115"/>
      <c r="AX1225" s="115"/>
      <c r="AY1225" s="115"/>
      <c r="AZ1225" s="115"/>
      <c r="BA1225" s="122"/>
      <c r="BB1225" s="122"/>
      <c r="BC1225" s="122"/>
      <c r="BD1225" s="115"/>
      <c r="BE1225" s="115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26"/>
      <c r="BS1225" s="13"/>
      <c r="BV1225" s="114"/>
    </row>
    <row r="1226" spans="48:74" x14ac:dyDescent="0.4">
      <c r="AV1226" s="115"/>
      <c r="AW1226" s="115"/>
      <c r="AX1226" s="115"/>
      <c r="AY1226" s="115"/>
      <c r="AZ1226" s="115"/>
      <c r="BA1226" s="122"/>
      <c r="BB1226" s="122"/>
      <c r="BC1226" s="122"/>
      <c r="BD1226" s="115"/>
      <c r="BE1226" s="115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26"/>
      <c r="BS1226" s="13"/>
      <c r="BV1226" s="114"/>
    </row>
    <row r="1227" spans="48:74" x14ac:dyDescent="0.4">
      <c r="AV1227" s="115"/>
      <c r="AW1227" s="115"/>
      <c r="AX1227" s="115"/>
      <c r="AY1227" s="115"/>
      <c r="AZ1227" s="115"/>
      <c r="BA1227" s="122"/>
      <c r="BB1227" s="122"/>
      <c r="BC1227" s="122"/>
      <c r="BD1227" s="115"/>
      <c r="BE1227" s="115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26"/>
      <c r="BS1227" s="13"/>
      <c r="BV1227" s="114"/>
    </row>
    <row r="1228" spans="48:74" x14ac:dyDescent="0.4">
      <c r="AV1228" s="115"/>
      <c r="AW1228" s="115"/>
      <c r="AX1228" s="115"/>
      <c r="AY1228" s="115"/>
      <c r="AZ1228" s="115"/>
      <c r="BA1228" s="122"/>
      <c r="BB1228" s="122"/>
      <c r="BC1228" s="122"/>
      <c r="BD1228" s="115"/>
      <c r="BE1228" s="115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26"/>
      <c r="BS1228" s="13"/>
      <c r="BV1228" s="114"/>
    </row>
    <row r="1229" spans="48:74" x14ac:dyDescent="0.4">
      <c r="AV1229" s="115"/>
      <c r="AW1229" s="115"/>
      <c r="AX1229" s="115"/>
      <c r="AY1229" s="115"/>
      <c r="AZ1229" s="115"/>
      <c r="BA1229" s="122"/>
      <c r="BB1229" s="122"/>
      <c r="BC1229" s="122"/>
      <c r="BD1229" s="115"/>
      <c r="BE1229" s="115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26"/>
      <c r="BS1229" s="13"/>
      <c r="BV1229" s="114"/>
    </row>
    <row r="1230" spans="48:74" x14ac:dyDescent="0.4">
      <c r="AV1230" s="115"/>
      <c r="AW1230" s="115"/>
      <c r="AX1230" s="115"/>
      <c r="AY1230" s="115"/>
      <c r="AZ1230" s="115"/>
      <c r="BA1230" s="122"/>
      <c r="BB1230" s="122"/>
      <c r="BC1230" s="122"/>
      <c r="BD1230" s="115"/>
      <c r="BE1230" s="115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26"/>
      <c r="BS1230" s="13"/>
      <c r="BV1230" s="114"/>
    </row>
    <row r="1231" spans="48:74" x14ac:dyDescent="0.4">
      <c r="AV1231" s="115"/>
      <c r="AW1231" s="115"/>
      <c r="AX1231" s="115"/>
      <c r="AY1231" s="115"/>
      <c r="AZ1231" s="115"/>
      <c r="BA1231" s="122"/>
      <c r="BB1231" s="122"/>
      <c r="BC1231" s="122"/>
      <c r="BD1231" s="115"/>
      <c r="BE1231" s="115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26"/>
      <c r="BS1231" s="13"/>
      <c r="BV1231" s="114"/>
    </row>
    <row r="1232" spans="48:74" x14ac:dyDescent="0.4">
      <c r="AV1232" s="115"/>
      <c r="AW1232" s="115"/>
      <c r="AX1232" s="115"/>
      <c r="AY1232" s="115"/>
      <c r="AZ1232" s="115"/>
      <c r="BA1232" s="122"/>
      <c r="BB1232" s="122"/>
      <c r="BC1232" s="122"/>
      <c r="BD1232" s="115"/>
      <c r="BE1232" s="115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26"/>
      <c r="BS1232" s="13"/>
      <c r="BV1232" s="114"/>
    </row>
    <row r="1233" spans="47:74" x14ac:dyDescent="0.4">
      <c r="AV1233" s="115"/>
      <c r="AW1233" s="115"/>
      <c r="AX1233" s="115"/>
      <c r="AY1233" s="115"/>
      <c r="AZ1233" s="115"/>
      <c r="BA1233" s="122"/>
      <c r="BB1233" s="122"/>
      <c r="BC1233" s="122"/>
      <c r="BD1233" s="115"/>
      <c r="BE1233" s="115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26"/>
      <c r="BS1233" s="13"/>
      <c r="BV1233" s="114"/>
    </row>
    <row r="1234" spans="47:74" x14ac:dyDescent="0.4">
      <c r="AV1234" s="115"/>
      <c r="AW1234" s="115"/>
      <c r="AX1234" s="115"/>
      <c r="AY1234" s="115"/>
      <c r="AZ1234" s="115"/>
      <c r="BA1234" s="122"/>
      <c r="BB1234" s="122"/>
      <c r="BC1234" s="122"/>
      <c r="BD1234" s="115"/>
      <c r="BE1234" s="115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26"/>
      <c r="BS1234" s="13"/>
      <c r="BV1234" s="114"/>
    </row>
    <row r="1235" spans="47:74" x14ac:dyDescent="0.4">
      <c r="AV1235" s="115"/>
      <c r="AW1235" s="115"/>
      <c r="AX1235" s="115"/>
      <c r="AY1235" s="115"/>
      <c r="AZ1235" s="115"/>
      <c r="BA1235" s="122"/>
      <c r="BB1235" s="122"/>
      <c r="BC1235" s="122"/>
      <c r="BD1235" s="115"/>
      <c r="BE1235" s="115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26"/>
      <c r="BS1235" s="13"/>
      <c r="BV1235" s="114"/>
    </row>
    <row r="1236" spans="47:74" x14ac:dyDescent="0.4">
      <c r="AV1236" s="115"/>
      <c r="AW1236" s="115"/>
      <c r="AX1236" s="115"/>
      <c r="AY1236" s="115"/>
      <c r="AZ1236" s="115"/>
      <c r="BA1236" s="122"/>
      <c r="BB1236" s="122"/>
      <c r="BC1236" s="122"/>
      <c r="BD1236" s="115"/>
      <c r="BE1236" s="115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7"/>
      <c r="BS1236" s="13"/>
      <c r="BV1236" s="114"/>
    </row>
    <row r="1237" spans="47:74" x14ac:dyDescent="0.4">
      <c r="AV1237" s="115"/>
      <c r="AW1237" s="115"/>
      <c r="AX1237" s="115"/>
      <c r="AY1237" s="115"/>
      <c r="AZ1237" s="115"/>
      <c r="BA1237" s="122"/>
      <c r="BB1237" s="122"/>
      <c r="BC1237" s="122"/>
      <c r="BD1237" s="115"/>
      <c r="BE1237" s="115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/>
      <c r="BR1237" s="26"/>
      <c r="BS1237" s="13"/>
      <c r="BV1237" s="114"/>
    </row>
    <row r="1238" spans="47:74" x14ac:dyDescent="0.4">
      <c r="AV1238" s="115"/>
      <c r="AW1238" s="115"/>
      <c r="AX1238" s="115"/>
      <c r="AY1238" s="115"/>
      <c r="AZ1238" s="115"/>
      <c r="BA1238" s="122"/>
      <c r="BB1238" s="122"/>
      <c r="BC1238" s="122"/>
      <c r="BD1238" s="115"/>
      <c r="BE1238" s="115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26"/>
      <c r="BS1238" s="13"/>
      <c r="BV1238" s="114"/>
    </row>
    <row r="1239" spans="47:74" x14ac:dyDescent="0.4">
      <c r="AV1239" s="115"/>
      <c r="AW1239" s="115"/>
      <c r="AX1239" s="115"/>
      <c r="AY1239" s="115"/>
      <c r="AZ1239" s="115"/>
      <c r="BA1239" s="122"/>
      <c r="BB1239" s="122"/>
      <c r="BC1239" s="122"/>
      <c r="BD1239" s="115"/>
      <c r="BE1239" s="115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26"/>
      <c r="BS1239" s="13"/>
      <c r="BV1239" s="114"/>
    </row>
    <row r="1240" spans="47:74" x14ac:dyDescent="0.4">
      <c r="AV1240" s="115"/>
      <c r="AW1240" s="115"/>
      <c r="AX1240" s="115"/>
      <c r="AY1240" s="115"/>
      <c r="AZ1240" s="115"/>
      <c r="BA1240" s="122"/>
      <c r="BB1240" s="122"/>
      <c r="BC1240" s="122"/>
      <c r="BD1240" s="115"/>
      <c r="BE1240" s="115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7"/>
      <c r="BS1240" s="13"/>
      <c r="BV1240" s="114"/>
    </row>
    <row r="1241" spans="47:74" x14ac:dyDescent="0.4">
      <c r="AV1241" s="115"/>
      <c r="AW1241" s="115"/>
      <c r="AX1241" s="115"/>
      <c r="AY1241" s="115"/>
      <c r="AZ1241" s="115"/>
      <c r="BA1241" s="122"/>
      <c r="BB1241" s="122"/>
      <c r="BC1241" s="122"/>
      <c r="BD1241" s="115"/>
      <c r="BE1241" s="115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26"/>
      <c r="BS1241" s="13"/>
      <c r="BV1241" s="114"/>
    </row>
    <row r="1242" spans="47:74" x14ac:dyDescent="0.4">
      <c r="AV1242" s="115"/>
      <c r="AW1242" s="115"/>
      <c r="AX1242" s="115"/>
      <c r="AY1242" s="115"/>
      <c r="AZ1242" s="115"/>
      <c r="BA1242" s="122"/>
      <c r="BB1242" s="122"/>
      <c r="BC1242" s="122"/>
      <c r="BD1242" s="115"/>
      <c r="BE1242" s="115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7"/>
      <c r="BS1242" s="13"/>
      <c r="BV1242" s="114"/>
    </row>
    <row r="1243" spans="47:74" x14ac:dyDescent="0.4">
      <c r="AV1243" s="115"/>
      <c r="AW1243" s="115"/>
      <c r="AX1243" s="115"/>
      <c r="AY1243" s="115"/>
      <c r="AZ1243" s="115"/>
      <c r="BA1243" s="122"/>
      <c r="BB1243" s="122"/>
      <c r="BC1243" s="122"/>
      <c r="BD1243" s="115"/>
      <c r="BE1243" s="115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26"/>
      <c r="BS1243" s="13"/>
      <c r="BV1243" s="114"/>
    </row>
    <row r="1244" spans="47:74" x14ac:dyDescent="0.4">
      <c r="AV1244" s="115"/>
      <c r="AW1244" s="115"/>
      <c r="AX1244" s="115"/>
      <c r="AY1244" s="115"/>
      <c r="AZ1244" s="115"/>
      <c r="BA1244" s="122"/>
      <c r="BB1244" s="122"/>
      <c r="BC1244" s="122"/>
      <c r="BD1244" s="115"/>
      <c r="BE1244" s="115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26"/>
      <c r="BS1244" s="15"/>
      <c r="BV1244" s="114"/>
    </row>
    <row r="1245" spans="47:74" x14ac:dyDescent="0.4">
      <c r="AV1245" s="115"/>
      <c r="AW1245" s="115"/>
      <c r="AX1245" s="115"/>
      <c r="AY1245" s="115"/>
      <c r="AZ1245" s="115"/>
      <c r="BA1245" s="122"/>
      <c r="BB1245" s="122"/>
      <c r="BC1245" s="122"/>
      <c r="BD1245" s="115"/>
      <c r="BE1245" s="115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7"/>
      <c r="BS1245" s="15"/>
      <c r="BV1245" s="114"/>
    </row>
    <row r="1246" spans="47:74" x14ac:dyDescent="0.4">
      <c r="AV1246" s="115"/>
      <c r="AW1246" s="115"/>
      <c r="AX1246" s="115"/>
      <c r="AY1246" s="115"/>
      <c r="AZ1246" s="115"/>
      <c r="BA1246" s="122"/>
      <c r="BB1246" s="122"/>
      <c r="BC1246" s="122"/>
      <c r="BD1246" s="115"/>
      <c r="BE1246" s="115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7"/>
      <c r="BS1246" s="15"/>
      <c r="BV1246" s="114"/>
    </row>
    <row r="1247" spans="47:74" x14ac:dyDescent="0.4">
      <c r="AU1247" s="115"/>
      <c r="AV1247" s="115"/>
      <c r="AW1247" s="115"/>
      <c r="AX1247" s="115"/>
      <c r="AY1247" s="115"/>
      <c r="AZ1247" s="115"/>
      <c r="BA1247" s="122"/>
      <c r="BB1247" s="122"/>
      <c r="BC1247" s="122"/>
      <c r="BD1247" s="115"/>
      <c r="BE1247" s="115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26"/>
      <c r="BS1247" s="15"/>
      <c r="BV1247" s="114"/>
    </row>
    <row r="1248" spans="47:74" x14ac:dyDescent="0.4">
      <c r="AU1248" s="115"/>
      <c r="AV1248" s="115"/>
      <c r="AW1248" s="115"/>
      <c r="AX1248" s="115"/>
      <c r="AY1248" s="115"/>
      <c r="AZ1248" s="115"/>
      <c r="BA1248" s="122"/>
      <c r="BB1248" s="122"/>
      <c r="BC1248" s="122"/>
      <c r="BD1248" s="115"/>
      <c r="BE1248" s="115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7"/>
      <c r="BS1248" s="15"/>
      <c r="BV1248" s="114"/>
    </row>
    <row r="1249" spans="47:74" x14ac:dyDescent="0.4">
      <c r="AU1249" s="115"/>
      <c r="AV1249" s="115"/>
      <c r="AW1249" s="115"/>
      <c r="AX1249" s="115"/>
      <c r="AY1249" s="115"/>
      <c r="AZ1249" s="115"/>
      <c r="BA1249" s="122"/>
      <c r="BB1249" s="122"/>
      <c r="BC1249" s="122"/>
      <c r="BD1249" s="115"/>
      <c r="BE1249" s="115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26"/>
      <c r="BS1249" s="15"/>
      <c r="BV1249" s="114"/>
    </row>
    <row r="1250" spans="47:74" x14ac:dyDescent="0.4">
      <c r="AU1250" s="115"/>
      <c r="AV1250" s="115"/>
      <c r="AW1250" s="115"/>
      <c r="AX1250" s="115"/>
      <c r="AY1250" s="115"/>
      <c r="AZ1250" s="115"/>
      <c r="BA1250" s="122"/>
      <c r="BB1250" s="122"/>
      <c r="BC1250" s="122"/>
      <c r="BD1250" s="115"/>
      <c r="BE1250" s="115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26"/>
      <c r="BS1250" s="15"/>
      <c r="BV1250" s="114"/>
    </row>
    <row r="1251" spans="47:74" x14ac:dyDescent="0.4">
      <c r="AU1251" s="115"/>
      <c r="AV1251" s="115"/>
      <c r="AW1251" s="115"/>
      <c r="AX1251" s="115"/>
      <c r="AY1251" s="115"/>
      <c r="AZ1251" s="115"/>
      <c r="BA1251" s="122"/>
      <c r="BB1251" s="122"/>
      <c r="BC1251" s="122"/>
      <c r="BD1251" s="115"/>
      <c r="BE1251" s="115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7"/>
      <c r="BS1251" s="15"/>
      <c r="BV1251" s="114"/>
    </row>
    <row r="1252" spans="47:74" x14ac:dyDescent="0.4">
      <c r="AU1252" s="115"/>
      <c r="AV1252" s="115"/>
      <c r="AW1252" s="115"/>
      <c r="AX1252" s="115"/>
      <c r="AY1252" s="115"/>
      <c r="AZ1252" s="115"/>
      <c r="BA1252" s="122"/>
      <c r="BB1252" s="122"/>
      <c r="BC1252" s="122"/>
      <c r="BD1252" s="115"/>
      <c r="BE1252" s="115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26"/>
      <c r="BS1252" s="15"/>
      <c r="BV1252" s="114"/>
    </row>
    <row r="1253" spans="47:74" x14ac:dyDescent="0.4">
      <c r="AU1253" s="115"/>
      <c r="AV1253" s="115"/>
      <c r="AW1253" s="115"/>
      <c r="AX1253" s="115"/>
      <c r="AY1253" s="115"/>
      <c r="AZ1253" s="115"/>
      <c r="BA1253" s="122"/>
      <c r="BB1253" s="122"/>
      <c r="BC1253" s="122"/>
      <c r="BD1253" s="115"/>
      <c r="BE1253" s="115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7"/>
      <c r="BS1253" s="15"/>
      <c r="BV1253" s="114"/>
    </row>
    <row r="1254" spans="47:74" x14ac:dyDescent="0.4">
      <c r="AU1254" s="115"/>
      <c r="AV1254" s="115"/>
      <c r="AW1254" s="115"/>
      <c r="AX1254" s="115"/>
      <c r="AY1254" s="115"/>
      <c r="AZ1254" s="115"/>
      <c r="BA1254" s="122"/>
      <c r="BB1254" s="122"/>
      <c r="BC1254" s="122"/>
      <c r="BD1254" s="115"/>
      <c r="BE1254" s="115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7"/>
      <c r="BS1254" s="15"/>
      <c r="BV1254" s="114"/>
    </row>
    <row r="1255" spans="47:74" x14ac:dyDescent="0.4">
      <c r="AU1255" s="115"/>
      <c r="AV1255" s="115"/>
      <c r="AW1255" s="115"/>
      <c r="AX1255" s="115"/>
      <c r="AY1255" s="115"/>
      <c r="AZ1255" s="115"/>
      <c r="BA1255" s="122"/>
      <c r="BB1255" s="122"/>
      <c r="BC1255" s="122"/>
      <c r="BD1255" s="115"/>
      <c r="BE1255" s="115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26"/>
      <c r="BS1255" s="15"/>
      <c r="BV1255" s="114"/>
    </row>
    <row r="1256" spans="47:74" x14ac:dyDescent="0.4">
      <c r="AU1256" s="115"/>
      <c r="AV1256" s="115"/>
      <c r="AW1256" s="115"/>
      <c r="AX1256" s="115"/>
      <c r="AY1256" s="115"/>
      <c r="AZ1256" s="115"/>
      <c r="BA1256" s="122"/>
      <c r="BB1256" s="122"/>
      <c r="BC1256" s="122"/>
      <c r="BD1256" s="115"/>
      <c r="BE1256" s="115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26"/>
      <c r="BS1256" s="15"/>
      <c r="BV1256" s="114"/>
    </row>
    <row r="1257" spans="47:74" x14ac:dyDescent="0.4">
      <c r="AU1257" s="115"/>
      <c r="AV1257" s="115"/>
      <c r="AW1257" s="115"/>
      <c r="AX1257" s="115"/>
      <c r="AY1257" s="115"/>
      <c r="AZ1257" s="115"/>
      <c r="BA1257" s="122"/>
      <c r="BB1257" s="122"/>
      <c r="BC1257" s="122"/>
      <c r="BD1257" s="115"/>
      <c r="BE1257" s="115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26"/>
      <c r="BS1257" s="15"/>
      <c r="BV1257" s="114"/>
    </row>
    <row r="1258" spans="47:74" x14ac:dyDescent="0.4">
      <c r="AU1258" s="115"/>
      <c r="AV1258" s="115"/>
      <c r="AW1258" s="115"/>
      <c r="AX1258" s="115"/>
      <c r="AY1258" s="115"/>
      <c r="AZ1258" s="115"/>
      <c r="BA1258" s="122"/>
      <c r="BB1258" s="122"/>
      <c r="BC1258" s="122"/>
      <c r="BD1258" s="115"/>
      <c r="BE1258" s="115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26"/>
      <c r="BS1258" s="15"/>
      <c r="BV1258" s="114"/>
    </row>
    <row r="1259" spans="47:74" x14ac:dyDescent="0.4">
      <c r="AU1259" s="115"/>
      <c r="AV1259" s="115"/>
      <c r="AW1259" s="115"/>
      <c r="AX1259" s="115"/>
      <c r="AY1259" s="115"/>
      <c r="AZ1259" s="115"/>
      <c r="BA1259" s="122"/>
      <c r="BB1259" s="122"/>
      <c r="BC1259" s="122"/>
      <c r="BD1259" s="115"/>
      <c r="BE1259" s="115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26"/>
      <c r="BS1259" s="15"/>
      <c r="BV1259" s="114"/>
    </row>
    <row r="1260" spans="47:74" x14ac:dyDescent="0.4">
      <c r="AU1260" s="115"/>
      <c r="AV1260" s="115"/>
      <c r="AW1260" s="115"/>
      <c r="AX1260" s="115"/>
      <c r="AY1260" s="115"/>
      <c r="AZ1260" s="115"/>
      <c r="BA1260" s="122"/>
      <c r="BB1260" s="122"/>
      <c r="BC1260" s="122"/>
      <c r="BD1260" s="115"/>
      <c r="BE1260" s="115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26"/>
      <c r="BS1260" s="15"/>
      <c r="BV1260" s="114"/>
    </row>
    <row r="1261" spans="47:74" x14ac:dyDescent="0.4">
      <c r="AU1261" s="115"/>
      <c r="AV1261" s="115"/>
      <c r="AW1261" s="115"/>
      <c r="AX1261" s="115"/>
      <c r="AY1261" s="115"/>
      <c r="AZ1261" s="115"/>
      <c r="BA1261" s="122"/>
      <c r="BB1261" s="122"/>
      <c r="BC1261" s="122"/>
      <c r="BD1261" s="115"/>
      <c r="BE1261" s="115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26"/>
      <c r="BS1261" s="15"/>
      <c r="BV1261" s="114"/>
    </row>
    <row r="1262" spans="47:74" x14ac:dyDescent="0.4">
      <c r="AU1262" s="115"/>
      <c r="AV1262" s="115"/>
      <c r="AW1262" s="115"/>
      <c r="AX1262" s="115"/>
      <c r="AY1262" s="115"/>
      <c r="AZ1262" s="115"/>
      <c r="BA1262" s="122"/>
      <c r="BB1262" s="122"/>
      <c r="BC1262" s="122"/>
      <c r="BD1262" s="115"/>
      <c r="BE1262" s="115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7"/>
      <c r="BS1262" s="15"/>
      <c r="BV1262" s="114"/>
    </row>
    <row r="1263" spans="47:74" x14ac:dyDescent="0.4">
      <c r="AU1263" s="115"/>
      <c r="AV1263" s="115"/>
      <c r="AW1263" s="115"/>
      <c r="AX1263" s="115"/>
      <c r="AY1263" s="115"/>
      <c r="AZ1263" s="115"/>
      <c r="BA1263" s="122"/>
      <c r="BB1263" s="122"/>
      <c r="BC1263" s="122"/>
      <c r="BD1263" s="115"/>
      <c r="BE1263" s="115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26"/>
      <c r="BS1263" s="15"/>
      <c r="BV1263" s="114"/>
    </row>
    <row r="1264" spans="47:74" x14ac:dyDescent="0.4">
      <c r="AU1264" s="115"/>
      <c r="AV1264" s="115"/>
      <c r="AW1264" s="115"/>
      <c r="AX1264" s="115"/>
      <c r="AY1264" s="115"/>
      <c r="AZ1264" s="115"/>
      <c r="BA1264" s="122"/>
      <c r="BB1264" s="122"/>
      <c r="BC1264" s="122"/>
      <c r="BD1264" s="115"/>
      <c r="BE1264" s="115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26"/>
      <c r="BS1264" s="15"/>
      <c r="BV1264" s="114"/>
    </row>
    <row r="1265" spans="5:74" x14ac:dyDescent="0.4">
      <c r="AU1265" s="115"/>
      <c r="AV1265" s="115"/>
      <c r="AW1265" s="115"/>
      <c r="AX1265" s="115"/>
      <c r="AY1265" s="115"/>
      <c r="AZ1265" s="115"/>
      <c r="BA1265" s="122"/>
      <c r="BB1265" s="122"/>
      <c r="BC1265" s="122"/>
      <c r="BD1265" s="115"/>
      <c r="BE1265" s="115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26"/>
      <c r="BS1265" s="15"/>
      <c r="BV1265" s="114"/>
    </row>
    <row r="1266" spans="5:74" x14ac:dyDescent="0.4">
      <c r="AU1266" s="115"/>
      <c r="AV1266" s="115"/>
      <c r="AW1266" s="115"/>
      <c r="AX1266" s="115"/>
      <c r="AY1266" s="115"/>
      <c r="AZ1266" s="115"/>
      <c r="BA1266" s="122"/>
      <c r="BB1266" s="122"/>
      <c r="BC1266" s="122"/>
      <c r="BD1266" s="115"/>
      <c r="BE1266" s="115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26"/>
      <c r="BS1266" s="13"/>
      <c r="BV1266" s="114"/>
    </row>
    <row r="1267" spans="5:74" x14ac:dyDescent="0.4">
      <c r="AU1267" s="115"/>
      <c r="AV1267" s="115"/>
      <c r="AW1267" s="115"/>
      <c r="AX1267" s="115"/>
      <c r="AY1267" s="115"/>
      <c r="AZ1267" s="115"/>
      <c r="BA1267" s="122"/>
      <c r="BB1267" s="122"/>
      <c r="BC1267" s="122"/>
      <c r="BD1267" s="115"/>
      <c r="BE1267" s="115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7"/>
      <c r="BS1267" s="13"/>
      <c r="BV1267" s="114"/>
    </row>
    <row r="1268" spans="5:74" x14ac:dyDescent="0.4">
      <c r="AU1268" s="115"/>
      <c r="AV1268" s="115"/>
      <c r="AW1268" s="115"/>
      <c r="AX1268" s="115"/>
      <c r="AY1268" s="115"/>
      <c r="AZ1268" s="115"/>
      <c r="BA1268" s="122"/>
      <c r="BB1268" s="122"/>
      <c r="BC1268" s="122"/>
      <c r="BD1268" s="115"/>
      <c r="BE1268" s="115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26"/>
      <c r="BS1268" s="13"/>
      <c r="BV1268" s="114"/>
    </row>
    <row r="1269" spans="5:74" x14ac:dyDescent="0.4">
      <c r="AU1269" s="115"/>
      <c r="AV1269" s="115"/>
      <c r="AW1269" s="115"/>
      <c r="AX1269" s="115"/>
      <c r="AY1269" s="115"/>
      <c r="AZ1269" s="115"/>
      <c r="BA1269" s="122"/>
      <c r="BB1269" s="122"/>
      <c r="BC1269" s="122"/>
      <c r="BD1269" s="115"/>
      <c r="BE1269" s="115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26"/>
      <c r="BS1269" s="13"/>
      <c r="BV1269" s="114"/>
    </row>
    <row r="1270" spans="5:74" x14ac:dyDescent="0.4">
      <c r="AU1270" s="115"/>
      <c r="AV1270" s="115"/>
      <c r="AW1270" s="115"/>
      <c r="AX1270" s="115"/>
      <c r="AY1270" s="115"/>
      <c r="AZ1270" s="115"/>
      <c r="BA1270" s="122"/>
      <c r="BB1270" s="122"/>
      <c r="BC1270" s="122"/>
      <c r="BD1270" s="115"/>
      <c r="BE1270" s="115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26"/>
      <c r="BS1270" s="13"/>
      <c r="BV1270" s="114"/>
    </row>
    <row r="1271" spans="5:74" x14ac:dyDescent="0.4">
      <c r="AU1271" s="115"/>
      <c r="AV1271" s="115"/>
      <c r="AW1271" s="115"/>
      <c r="AX1271" s="115"/>
      <c r="AY1271" s="115"/>
      <c r="AZ1271" s="115"/>
      <c r="BA1271" s="122"/>
      <c r="BB1271" s="122"/>
      <c r="BC1271" s="122"/>
      <c r="BD1271" s="115"/>
      <c r="BE1271" s="115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26"/>
      <c r="BS1271" s="13"/>
      <c r="BV1271" s="114"/>
    </row>
    <row r="1272" spans="5:74" x14ac:dyDescent="0.4">
      <c r="AU1272" s="115"/>
      <c r="AV1272" s="115"/>
      <c r="AW1272" s="115"/>
      <c r="AX1272" s="115"/>
      <c r="AY1272" s="115"/>
      <c r="AZ1272" s="115"/>
      <c r="BA1272" s="122"/>
      <c r="BB1272" s="122"/>
      <c r="BC1272" s="122"/>
      <c r="BD1272" s="115"/>
      <c r="BE1272" s="115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26"/>
      <c r="BS1272" s="13"/>
      <c r="BV1272" s="114"/>
    </row>
    <row r="1273" spans="5:74" x14ac:dyDescent="0.4">
      <c r="AU1273" s="115"/>
      <c r="AV1273" s="115"/>
      <c r="AW1273" s="115"/>
      <c r="AX1273" s="115"/>
      <c r="AY1273" s="115"/>
      <c r="AZ1273" s="115"/>
      <c r="BA1273" s="122"/>
      <c r="BB1273" s="122"/>
      <c r="BC1273" s="122"/>
      <c r="BD1273" s="115"/>
      <c r="BE1273" s="115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26"/>
      <c r="BS1273" s="13"/>
      <c r="BV1273" s="114"/>
    </row>
    <row r="1274" spans="5:74" x14ac:dyDescent="0.4">
      <c r="AU1274" s="115"/>
      <c r="AV1274" s="115"/>
      <c r="AW1274" s="115"/>
      <c r="AX1274" s="115"/>
      <c r="AY1274" s="115"/>
      <c r="AZ1274" s="115"/>
      <c r="BA1274" s="122"/>
      <c r="BB1274" s="122"/>
      <c r="BC1274" s="122"/>
      <c r="BD1274" s="115"/>
      <c r="BE1274" s="115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7"/>
      <c r="BS1274" s="13"/>
      <c r="BV1274" s="114"/>
    </row>
    <row r="1275" spans="5:74" x14ac:dyDescent="0.4">
      <c r="AU1275" s="115"/>
      <c r="AV1275" s="115"/>
      <c r="AW1275" s="115"/>
      <c r="AX1275" s="115"/>
      <c r="AY1275" s="115"/>
      <c r="AZ1275" s="115"/>
      <c r="BA1275" s="122"/>
      <c r="BB1275" s="122"/>
      <c r="BC1275" s="122"/>
      <c r="BD1275" s="115"/>
      <c r="BE1275" s="115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26"/>
      <c r="BS1275" s="13"/>
      <c r="BV1275" s="114"/>
    </row>
    <row r="1276" spans="5:74" x14ac:dyDescent="0.4">
      <c r="AU1276" s="115"/>
      <c r="AV1276" s="115"/>
      <c r="AW1276" s="115"/>
      <c r="AX1276" s="115"/>
      <c r="AY1276" s="115"/>
      <c r="AZ1276" s="115"/>
      <c r="BA1276" s="122"/>
      <c r="BB1276" s="122"/>
      <c r="BC1276" s="122"/>
      <c r="BD1276" s="115"/>
      <c r="BE1276" s="115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26"/>
      <c r="BS1276" s="13"/>
      <c r="BV1276" s="114"/>
    </row>
    <row r="1277" spans="5:74" x14ac:dyDescent="0.4">
      <c r="E1277" s="115"/>
      <c r="F1277" s="115"/>
      <c r="G1277" s="115"/>
      <c r="H1277" s="115"/>
      <c r="I1277" s="115"/>
      <c r="J1277" s="115"/>
      <c r="K1277" s="115"/>
      <c r="L1277" s="115"/>
      <c r="M1277" s="115"/>
      <c r="N1277" s="115"/>
      <c r="O1277" s="115"/>
      <c r="P1277" s="115"/>
      <c r="Q1277" s="115"/>
      <c r="R1277" s="115"/>
      <c r="S1277" s="115"/>
      <c r="T1277" s="115"/>
      <c r="U1277" s="115"/>
      <c r="V1277" s="115"/>
      <c r="W1277" s="115"/>
      <c r="X1277" s="115"/>
      <c r="Y1277" s="115"/>
      <c r="Z1277" s="115"/>
      <c r="AA1277" s="115"/>
      <c r="AB1277" s="115"/>
      <c r="AC1277" s="115"/>
      <c r="AD1277" s="115"/>
      <c r="AE1277" s="115"/>
      <c r="AF1277" s="115"/>
      <c r="AG1277" s="115"/>
      <c r="AH1277" s="115"/>
      <c r="AI1277" s="115"/>
      <c r="AJ1277" s="115"/>
      <c r="AK1277" s="115"/>
      <c r="AL1277" s="115"/>
      <c r="AM1277" s="115"/>
      <c r="AN1277" s="115"/>
      <c r="AO1277" s="115"/>
      <c r="AP1277" s="115"/>
      <c r="AQ1277" s="115"/>
      <c r="AR1277" s="115"/>
      <c r="AS1277" s="115"/>
      <c r="AT1277" s="115"/>
      <c r="AU1277" s="115"/>
      <c r="AV1277" s="115"/>
      <c r="AW1277" s="115"/>
      <c r="AX1277" s="115"/>
      <c r="AY1277" s="115"/>
      <c r="AZ1277" s="115"/>
      <c r="BA1277" s="122"/>
      <c r="BB1277" s="122"/>
      <c r="BC1277" s="122"/>
      <c r="BD1277" s="115"/>
      <c r="BE1277" s="115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26"/>
      <c r="BS1277" s="13"/>
      <c r="BV1277" s="114"/>
    </row>
    <row r="1278" spans="5:74" x14ac:dyDescent="0.4">
      <c r="E1278" s="115"/>
      <c r="F1278" s="115"/>
      <c r="G1278" s="115"/>
      <c r="H1278" s="115"/>
      <c r="I1278" s="115"/>
      <c r="J1278" s="115"/>
      <c r="K1278" s="115"/>
      <c r="L1278" s="115"/>
      <c r="M1278" s="115"/>
      <c r="N1278" s="115"/>
      <c r="O1278" s="115"/>
      <c r="P1278" s="115"/>
      <c r="Q1278" s="115"/>
      <c r="R1278" s="115"/>
      <c r="S1278" s="115"/>
      <c r="T1278" s="115"/>
      <c r="U1278" s="115"/>
      <c r="V1278" s="115"/>
      <c r="W1278" s="115"/>
      <c r="X1278" s="115"/>
      <c r="Y1278" s="115"/>
      <c r="Z1278" s="115"/>
      <c r="AA1278" s="115"/>
      <c r="AB1278" s="115"/>
      <c r="AC1278" s="115"/>
      <c r="AD1278" s="115"/>
      <c r="AE1278" s="115"/>
      <c r="AF1278" s="115"/>
      <c r="AG1278" s="115"/>
      <c r="AH1278" s="115"/>
      <c r="AI1278" s="115"/>
      <c r="AJ1278" s="115"/>
      <c r="AK1278" s="115"/>
      <c r="AL1278" s="115"/>
      <c r="AM1278" s="115"/>
      <c r="AN1278" s="115"/>
      <c r="AO1278" s="115"/>
      <c r="AP1278" s="115"/>
      <c r="AQ1278" s="115"/>
      <c r="AR1278" s="115"/>
      <c r="AS1278" s="115"/>
      <c r="AT1278" s="115"/>
      <c r="AU1278" s="115"/>
      <c r="AV1278" s="115"/>
      <c r="AW1278" s="115"/>
      <c r="AX1278" s="115"/>
      <c r="AY1278" s="115"/>
      <c r="AZ1278" s="115"/>
      <c r="BA1278" s="122"/>
      <c r="BB1278" s="122"/>
      <c r="BC1278" s="122"/>
      <c r="BD1278" s="115"/>
      <c r="BE1278" s="115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26"/>
      <c r="BS1278" s="13"/>
      <c r="BV1278" s="114"/>
    </row>
    <row r="1279" spans="5:74" x14ac:dyDescent="0.4">
      <c r="E1279" s="115"/>
      <c r="F1279" s="115"/>
      <c r="G1279" s="115"/>
      <c r="H1279" s="115"/>
      <c r="I1279" s="115"/>
      <c r="J1279" s="115"/>
      <c r="K1279" s="115"/>
      <c r="L1279" s="115"/>
      <c r="M1279" s="115"/>
      <c r="N1279" s="115"/>
      <c r="O1279" s="115"/>
      <c r="P1279" s="115"/>
      <c r="Q1279" s="115"/>
      <c r="R1279" s="115"/>
      <c r="S1279" s="115"/>
      <c r="T1279" s="115"/>
      <c r="U1279" s="115"/>
      <c r="V1279" s="115"/>
      <c r="W1279" s="115"/>
      <c r="X1279" s="115"/>
      <c r="Y1279" s="115"/>
      <c r="Z1279" s="115"/>
      <c r="AA1279" s="115"/>
      <c r="AB1279" s="115"/>
      <c r="AC1279" s="115"/>
      <c r="AD1279" s="115"/>
      <c r="AE1279" s="115"/>
      <c r="AF1279" s="115"/>
      <c r="AG1279" s="115"/>
      <c r="AH1279" s="115"/>
      <c r="AI1279" s="115"/>
      <c r="AJ1279" s="115"/>
      <c r="AK1279" s="115"/>
      <c r="AL1279" s="115"/>
      <c r="AM1279" s="115"/>
      <c r="AN1279" s="115"/>
      <c r="AO1279" s="115"/>
      <c r="AP1279" s="115"/>
      <c r="AQ1279" s="115"/>
      <c r="AR1279" s="115"/>
      <c r="AS1279" s="115"/>
      <c r="AT1279" s="115"/>
      <c r="AU1279" s="115"/>
      <c r="AV1279" s="115"/>
      <c r="AW1279" s="115"/>
      <c r="AX1279" s="115"/>
      <c r="AY1279" s="115"/>
      <c r="AZ1279" s="115"/>
      <c r="BA1279" s="122"/>
      <c r="BB1279" s="122"/>
      <c r="BC1279" s="122"/>
      <c r="BD1279" s="115"/>
      <c r="BE1279" s="115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26"/>
      <c r="BS1279" s="13"/>
      <c r="BV1279" s="114"/>
    </row>
    <row r="1280" spans="5:74" x14ac:dyDescent="0.4">
      <c r="E1280" s="115"/>
      <c r="F1280" s="115"/>
      <c r="G1280" s="115"/>
      <c r="H1280" s="115"/>
      <c r="I1280" s="115"/>
      <c r="J1280" s="115"/>
      <c r="K1280" s="115"/>
      <c r="L1280" s="115"/>
      <c r="M1280" s="115"/>
      <c r="N1280" s="115"/>
      <c r="O1280" s="115"/>
      <c r="P1280" s="115"/>
      <c r="Q1280" s="115"/>
      <c r="R1280" s="115"/>
      <c r="S1280" s="115"/>
      <c r="T1280" s="115"/>
      <c r="U1280" s="115"/>
      <c r="V1280" s="115"/>
      <c r="W1280" s="115"/>
      <c r="X1280" s="115"/>
      <c r="Y1280" s="115"/>
      <c r="Z1280" s="115"/>
      <c r="AA1280" s="115"/>
      <c r="AB1280" s="115"/>
      <c r="AC1280" s="115"/>
      <c r="AD1280" s="115"/>
      <c r="AE1280" s="115"/>
      <c r="AF1280" s="115"/>
      <c r="AG1280" s="115"/>
      <c r="AH1280" s="115"/>
      <c r="AI1280" s="115"/>
      <c r="AJ1280" s="115"/>
      <c r="AK1280" s="115"/>
      <c r="AL1280" s="115"/>
      <c r="AM1280" s="115"/>
      <c r="AN1280" s="115"/>
      <c r="AO1280" s="115"/>
      <c r="AP1280" s="115"/>
      <c r="AQ1280" s="115"/>
      <c r="AR1280" s="115"/>
      <c r="AS1280" s="115"/>
      <c r="AT1280" s="115"/>
      <c r="AU1280" s="115"/>
      <c r="AV1280" s="115"/>
      <c r="AW1280" s="115"/>
      <c r="AX1280" s="115"/>
      <c r="AY1280" s="115"/>
      <c r="AZ1280" s="115"/>
      <c r="BA1280" s="122"/>
      <c r="BB1280" s="122"/>
      <c r="BC1280" s="122"/>
      <c r="BD1280" s="115"/>
      <c r="BE1280" s="115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26"/>
      <c r="BS1280" s="13"/>
      <c r="BV1280" s="114"/>
    </row>
    <row r="1281" spans="4:74" x14ac:dyDescent="0.4">
      <c r="E1281" s="115"/>
      <c r="F1281" s="115"/>
      <c r="G1281" s="115"/>
      <c r="H1281" s="115"/>
      <c r="I1281" s="115"/>
      <c r="J1281" s="115"/>
      <c r="K1281" s="115"/>
      <c r="L1281" s="115"/>
      <c r="M1281" s="115"/>
      <c r="N1281" s="115"/>
      <c r="O1281" s="115"/>
      <c r="P1281" s="115"/>
      <c r="Q1281" s="115"/>
      <c r="R1281" s="115"/>
      <c r="S1281" s="115"/>
      <c r="T1281" s="115"/>
      <c r="U1281" s="115"/>
      <c r="V1281" s="115"/>
      <c r="W1281" s="115"/>
      <c r="X1281" s="115"/>
      <c r="Y1281" s="115"/>
      <c r="Z1281" s="115"/>
      <c r="AA1281" s="115"/>
      <c r="AB1281" s="115"/>
      <c r="AC1281" s="115"/>
      <c r="AD1281" s="115"/>
      <c r="AE1281" s="115"/>
      <c r="AF1281" s="115"/>
      <c r="AG1281" s="115"/>
      <c r="AH1281" s="115"/>
      <c r="AI1281" s="115"/>
      <c r="AJ1281" s="115"/>
      <c r="AK1281" s="115"/>
      <c r="AL1281" s="115"/>
      <c r="AM1281" s="115"/>
      <c r="AN1281" s="115"/>
      <c r="AO1281" s="115"/>
      <c r="AP1281" s="115"/>
      <c r="AQ1281" s="115"/>
      <c r="AR1281" s="115"/>
      <c r="AS1281" s="115"/>
      <c r="AT1281" s="115"/>
      <c r="AU1281" s="115"/>
      <c r="AV1281" s="115"/>
      <c r="AW1281" s="115"/>
      <c r="AX1281" s="115"/>
      <c r="AY1281" s="115"/>
      <c r="AZ1281" s="115"/>
      <c r="BA1281" s="122"/>
      <c r="BB1281" s="122"/>
      <c r="BC1281" s="122"/>
      <c r="BD1281" s="115"/>
      <c r="BE1281" s="115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26"/>
      <c r="BS1281" s="13"/>
      <c r="BV1281" s="114"/>
    </row>
    <row r="1282" spans="4:74" x14ac:dyDescent="0.4">
      <c r="E1282" s="115"/>
      <c r="F1282" s="115"/>
      <c r="G1282" s="115"/>
      <c r="H1282" s="115"/>
      <c r="I1282" s="115"/>
      <c r="J1282" s="115"/>
      <c r="K1282" s="115"/>
      <c r="L1282" s="115"/>
      <c r="M1282" s="115"/>
      <c r="N1282" s="115"/>
      <c r="O1282" s="115"/>
      <c r="P1282" s="115"/>
      <c r="Q1282" s="115"/>
      <c r="R1282" s="115"/>
      <c r="S1282" s="115"/>
      <c r="T1282" s="115"/>
      <c r="U1282" s="115"/>
      <c r="V1282" s="115"/>
      <c r="W1282" s="115"/>
      <c r="X1282" s="115"/>
      <c r="Y1282" s="115"/>
      <c r="Z1282" s="115"/>
      <c r="AA1282" s="115"/>
      <c r="AB1282" s="115"/>
      <c r="AC1282" s="115"/>
      <c r="AD1282" s="115"/>
      <c r="AE1282" s="115"/>
      <c r="AF1282" s="115"/>
      <c r="AG1282" s="115"/>
      <c r="AH1282" s="115"/>
      <c r="AI1282" s="115"/>
      <c r="AJ1282" s="115"/>
      <c r="AK1282" s="115"/>
      <c r="AL1282" s="115"/>
      <c r="AM1282" s="115"/>
      <c r="AN1282" s="115"/>
      <c r="AO1282" s="115"/>
      <c r="AP1282" s="115"/>
      <c r="AQ1282" s="115"/>
      <c r="AR1282" s="115"/>
      <c r="AS1282" s="115"/>
      <c r="AT1282" s="115"/>
      <c r="AU1282" s="115"/>
      <c r="AV1282" s="115"/>
      <c r="AW1282" s="115"/>
      <c r="AX1282" s="115"/>
      <c r="AY1282" s="115"/>
      <c r="AZ1282" s="115"/>
      <c r="BA1282" s="122"/>
      <c r="BB1282" s="122"/>
      <c r="BC1282" s="122"/>
      <c r="BD1282" s="115"/>
      <c r="BE1282" s="115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26"/>
      <c r="BS1282" s="13"/>
      <c r="BV1282" s="114"/>
    </row>
    <row r="1283" spans="4:74" x14ac:dyDescent="0.4">
      <c r="E1283" s="115"/>
      <c r="F1283" s="115"/>
      <c r="G1283" s="115"/>
      <c r="H1283" s="115"/>
      <c r="I1283" s="115"/>
      <c r="J1283" s="115"/>
      <c r="K1283" s="115"/>
      <c r="L1283" s="115"/>
      <c r="M1283" s="115"/>
      <c r="N1283" s="115"/>
      <c r="O1283" s="115"/>
      <c r="P1283" s="115"/>
      <c r="Q1283" s="115"/>
      <c r="R1283" s="115"/>
      <c r="S1283" s="115"/>
      <c r="T1283" s="115"/>
      <c r="U1283" s="115"/>
      <c r="V1283" s="115"/>
      <c r="W1283" s="115"/>
      <c r="X1283" s="115"/>
      <c r="Y1283" s="115"/>
      <c r="Z1283" s="115"/>
      <c r="AA1283" s="115"/>
      <c r="AB1283" s="115"/>
      <c r="AC1283" s="115"/>
      <c r="AD1283" s="115"/>
      <c r="AE1283" s="115"/>
      <c r="AF1283" s="115"/>
      <c r="AG1283" s="115"/>
      <c r="AH1283" s="115"/>
      <c r="AI1283" s="115"/>
      <c r="AJ1283" s="115"/>
      <c r="AK1283" s="115"/>
      <c r="AL1283" s="115"/>
      <c r="AM1283" s="115"/>
      <c r="AN1283" s="115"/>
      <c r="AO1283" s="115"/>
      <c r="AP1283" s="115"/>
      <c r="AQ1283" s="115"/>
      <c r="AR1283" s="115"/>
      <c r="AS1283" s="115"/>
      <c r="AT1283" s="115"/>
      <c r="AU1283" s="115"/>
      <c r="AV1283" s="115"/>
      <c r="AW1283" s="115"/>
      <c r="AX1283" s="115"/>
      <c r="AY1283" s="115"/>
      <c r="AZ1283" s="115"/>
      <c r="BA1283" s="122"/>
      <c r="BB1283" s="122"/>
      <c r="BC1283" s="122"/>
      <c r="BD1283" s="115"/>
      <c r="BE1283" s="115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26"/>
      <c r="BS1283" s="13"/>
      <c r="BV1283" s="114"/>
    </row>
    <row r="1284" spans="4:74" x14ac:dyDescent="0.4">
      <c r="E1284" s="115"/>
      <c r="F1284" s="115"/>
      <c r="G1284" s="115"/>
      <c r="H1284" s="115"/>
      <c r="I1284" s="115"/>
      <c r="J1284" s="115"/>
      <c r="K1284" s="115"/>
      <c r="L1284" s="115"/>
      <c r="M1284" s="115"/>
      <c r="N1284" s="115"/>
      <c r="O1284" s="115"/>
      <c r="P1284" s="115"/>
      <c r="Q1284" s="115"/>
      <c r="R1284" s="115"/>
      <c r="S1284" s="115"/>
      <c r="T1284" s="115"/>
      <c r="U1284" s="115"/>
      <c r="V1284" s="115"/>
      <c r="W1284" s="115"/>
      <c r="X1284" s="115"/>
      <c r="Y1284" s="115"/>
      <c r="Z1284" s="115"/>
      <c r="AA1284" s="115"/>
      <c r="AB1284" s="115"/>
      <c r="AC1284" s="115"/>
      <c r="AD1284" s="115"/>
      <c r="AE1284" s="115"/>
      <c r="AF1284" s="115"/>
      <c r="AG1284" s="115"/>
      <c r="AH1284" s="115"/>
      <c r="AI1284" s="115"/>
      <c r="AJ1284" s="115"/>
      <c r="AK1284" s="115"/>
      <c r="AL1284" s="115"/>
      <c r="AM1284" s="115"/>
      <c r="AN1284" s="115"/>
      <c r="AO1284" s="115"/>
      <c r="AP1284" s="115"/>
      <c r="AQ1284" s="115"/>
      <c r="AR1284" s="115"/>
      <c r="AS1284" s="115"/>
      <c r="AT1284" s="115"/>
      <c r="AU1284" s="115"/>
      <c r="AV1284" s="115"/>
      <c r="AW1284" s="115"/>
      <c r="AX1284" s="115"/>
      <c r="AY1284" s="115"/>
      <c r="AZ1284" s="115"/>
      <c r="BA1284" s="122"/>
      <c r="BB1284" s="122"/>
      <c r="BC1284" s="122"/>
      <c r="BD1284" s="115"/>
      <c r="BE1284" s="115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26"/>
      <c r="BS1284" s="13"/>
      <c r="BV1284" s="114"/>
    </row>
    <row r="1285" spans="4:74" x14ac:dyDescent="0.4">
      <c r="E1285" s="115"/>
      <c r="F1285" s="115"/>
      <c r="G1285" s="115"/>
      <c r="H1285" s="115"/>
      <c r="I1285" s="115"/>
      <c r="J1285" s="115"/>
      <c r="K1285" s="115"/>
      <c r="L1285" s="115"/>
      <c r="M1285" s="115"/>
      <c r="N1285" s="115"/>
      <c r="O1285" s="115"/>
      <c r="P1285" s="115"/>
      <c r="Q1285" s="115"/>
      <c r="R1285" s="115"/>
      <c r="S1285" s="115"/>
      <c r="T1285" s="115"/>
      <c r="U1285" s="115"/>
      <c r="V1285" s="115"/>
      <c r="W1285" s="115"/>
      <c r="X1285" s="115"/>
      <c r="Y1285" s="115"/>
      <c r="Z1285" s="115"/>
      <c r="AA1285" s="115"/>
      <c r="AB1285" s="115"/>
      <c r="AC1285" s="115"/>
      <c r="AD1285" s="115"/>
      <c r="AE1285" s="115"/>
      <c r="AF1285" s="115"/>
      <c r="AG1285" s="115"/>
      <c r="AH1285" s="115"/>
      <c r="AI1285" s="115"/>
      <c r="AJ1285" s="115"/>
      <c r="AK1285" s="115"/>
      <c r="AL1285" s="115"/>
      <c r="AM1285" s="115"/>
      <c r="AN1285" s="115"/>
      <c r="AO1285" s="115"/>
      <c r="AP1285" s="115"/>
      <c r="AQ1285" s="115"/>
      <c r="AR1285" s="115"/>
      <c r="AS1285" s="115"/>
      <c r="AT1285" s="115"/>
      <c r="AU1285" s="115"/>
      <c r="AV1285" s="115"/>
      <c r="AW1285" s="115"/>
      <c r="AX1285" s="115"/>
      <c r="AY1285" s="115"/>
      <c r="AZ1285" s="115"/>
      <c r="BA1285" s="122"/>
      <c r="BB1285" s="122"/>
      <c r="BC1285" s="122"/>
      <c r="BD1285" s="115"/>
      <c r="BE1285" s="115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26"/>
      <c r="BS1285" s="13"/>
      <c r="BV1285" s="114"/>
    </row>
    <row r="1286" spans="4:74" x14ac:dyDescent="0.4">
      <c r="E1286" s="115"/>
      <c r="F1286" s="115"/>
      <c r="G1286" s="115"/>
      <c r="H1286" s="115"/>
      <c r="I1286" s="115"/>
      <c r="J1286" s="115"/>
      <c r="K1286" s="115"/>
      <c r="L1286" s="115"/>
      <c r="M1286" s="115"/>
      <c r="N1286" s="115"/>
      <c r="O1286" s="115"/>
      <c r="P1286" s="115"/>
      <c r="Q1286" s="115"/>
      <c r="R1286" s="115"/>
      <c r="S1286" s="115"/>
      <c r="T1286" s="115"/>
      <c r="U1286" s="115"/>
      <c r="V1286" s="115"/>
      <c r="W1286" s="115"/>
      <c r="X1286" s="115"/>
      <c r="Y1286" s="115"/>
      <c r="Z1286" s="115"/>
      <c r="AA1286" s="115"/>
      <c r="AB1286" s="115"/>
      <c r="AC1286" s="115"/>
      <c r="AD1286" s="115"/>
      <c r="AE1286" s="115"/>
      <c r="AF1286" s="115"/>
      <c r="AG1286" s="115"/>
      <c r="AH1286" s="115"/>
      <c r="AI1286" s="115"/>
      <c r="AJ1286" s="115"/>
      <c r="AK1286" s="115"/>
      <c r="AL1286" s="115"/>
      <c r="AM1286" s="115"/>
      <c r="AN1286" s="115"/>
      <c r="AO1286" s="115"/>
      <c r="AP1286" s="115"/>
      <c r="AQ1286" s="115"/>
      <c r="AR1286" s="115"/>
      <c r="AS1286" s="115"/>
      <c r="AT1286" s="115"/>
      <c r="AU1286" s="115"/>
      <c r="AV1286" s="115"/>
      <c r="AW1286" s="115"/>
      <c r="AX1286" s="115"/>
      <c r="AY1286" s="115"/>
      <c r="AZ1286" s="115"/>
      <c r="BA1286" s="122"/>
      <c r="BB1286" s="122"/>
      <c r="BC1286" s="122"/>
      <c r="BD1286" s="115"/>
      <c r="BE1286" s="115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26"/>
      <c r="BS1286" s="13"/>
      <c r="BV1286" s="114"/>
    </row>
    <row r="1287" spans="4:74" x14ac:dyDescent="0.4">
      <c r="E1287" s="115"/>
      <c r="F1287" s="115"/>
      <c r="G1287" s="115"/>
      <c r="H1287" s="115"/>
      <c r="I1287" s="115"/>
      <c r="J1287" s="115"/>
      <c r="K1287" s="115"/>
      <c r="L1287" s="115"/>
      <c r="M1287" s="115"/>
      <c r="N1287" s="115"/>
      <c r="O1287" s="115"/>
      <c r="P1287" s="115"/>
      <c r="Q1287" s="115"/>
      <c r="R1287" s="115"/>
      <c r="S1287" s="115"/>
      <c r="T1287" s="115"/>
      <c r="U1287" s="115"/>
      <c r="V1287" s="115"/>
      <c r="W1287" s="115"/>
      <c r="X1287" s="115"/>
      <c r="Y1287" s="115"/>
      <c r="Z1287" s="115"/>
      <c r="AA1287" s="115"/>
      <c r="AB1287" s="115"/>
      <c r="AC1287" s="115"/>
      <c r="AD1287" s="115"/>
      <c r="AE1287" s="115"/>
      <c r="AF1287" s="115"/>
      <c r="AG1287" s="115"/>
      <c r="AH1287" s="115"/>
      <c r="AI1287" s="115"/>
      <c r="AJ1287" s="115"/>
      <c r="AK1287" s="115"/>
      <c r="AL1287" s="115"/>
      <c r="AM1287" s="115"/>
      <c r="AN1287" s="115"/>
      <c r="AO1287" s="115"/>
      <c r="AP1287" s="115"/>
      <c r="AQ1287" s="115"/>
      <c r="AR1287" s="115"/>
      <c r="AS1287" s="115"/>
      <c r="AT1287" s="115"/>
      <c r="AU1287" s="115"/>
      <c r="AV1287" s="115"/>
      <c r="AW1287" s="115"/>
      <c r="AX1287" s="115"/>
      <c r="AY1287" s="115"/>
      <c r="AZ1287" s="115"/>
      <c r="BA1287" s="122"/>
      <c r="BB1287" s="122"/>
      <c r="BC1287" s="122"/>
      <c r="BD1287" s="115"/>
      <c r="BE1287" s="115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26"/>
      <c r="BS1287" s="13"/>
      <c r="BV1287" s="114"/>
    </row>
    <row r="1288" spans="4:74" x14ac:dyDescent="0.4">
      <c r="E1288" s="115"/>
      <c r="F1288" s="115"/>
      <c r="G1288" s="115"/>
      <c r="H1288" s="115"/>
      <c r="I1288" s="115"/>
      <c r="J1288" s="115"/>
      <c r="K1288" s="115"/>
      <c r="L1288" s="115"/>
      <c r="M1288" s="115"/>
      <c r="N1288" s="115"/>
      <c r="O1288" s="115"/>
      <c r="P1288" s="115"/>
      <c r="Q1288" s="115"/>
      <c r="R1288" s="115"/>
      <c r="S1288" s="115"/>
      <c r="T1288" s="115"/>
      <c r="U1288" s="115"/>
      <c r="V1288" s="115"/>
      <c r="W1288" s="115"/>
      <c r="X1288" s="115"/>
      <c r="Y1288" s="115"/>
      <c r="Z1288" s="115"/>
      <c r="AA1288" s="115"/>
      <c r="AB1288" s="115"/>
      <c r="AC1288" s="115"/>
      <c r="AD1288" s="115"/>
      <c r="AE1288" s="115"/>
      <c r="AF1288" s="115"/>
      <c r="AG1288" s="115"/>
      <c r="AH1288" s="115"/>
      <c r="AI1288" s="115"/>
      <c r="AJ1288" s="115"/>
      <c r="AK1288" s="115"/>
      <c r="AL1288" s="115"/>
      <c r="AM1288" s="115"/>
      <c r="AN1288" s="115"/>
      <c r="AO1288" s="115"/>
      <c r="AP1288" s="115"/>
      <c r="AQ1288" s="115"/>
      <c r="AR1288" s="115"/>
      <c r="AS1288" s="115"/>
      <c r="AT1288" s="115"/>
      <c r="AU1288" s="115"/>
      <c r="AV1288" s="115"/>
      <c r="AW1288" s="115"/>
      <c r="AX1288" s="115"/>
      <c r="AY1288" s="115"/>
      <c r="AZ1288" s="115"/>
      <c r="BA1288" s="122"/>
      <c r="BB1288" s="122"/>
      <c r="BC1288" s="122"/>
      <c r="BD1288" s="115"/>
      <c r="BE1288" s="115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26"/>
      <c r="BS1288" s="13"/>
      <c r="BV1288" s="114"/>
    </row>
    <row r="1289" spans="4:74" x14ac:dyDescent="0.4">
      <c r="E1289" s="115"/>
      <c r="F1289" s="115"/>
      <c r="G1289" s="115"/>
      <c r="H1289" s="115"/>
      <c r="I1289" s="115"/>
      <c r="J1289" s="115"/>
      <c r="K1289" s="115"/>
      <c r="L1289" s="115"/>
      <c r="M1289" s="115"/>
      <c r="N1289" s="115"/>
      <c r="O1289" s="115"/>
      <c r="P1289" s="115"/>
      <c r="Q1289" s="115"/>
      <c r="R1289" s="115"/>
      <c r="S1289" s="115"/>
      <c r="T1289" s="115"/>
      <c r="U1289" s="115"/>
      <c r="V1289" s="115"/>
      <c r="W1289" s="115"/>
      <c r="X1289" s="115"/>
      <c r="Y1289" s="115"/>
      <c r="Z1289" s="115"/>
      <c r="AA1289" s="115"/>
      <c r="AB1289" s="115"/>
      <c r="AC1289" s="115"/>
      <c r="AD1289" s="115"/>
      <c r="AE1289" s="115"/>
      <c r="AF1289" s="115"/>
      <c r="AG1289" s="115"/>
      <c r="AH1289" s="115"/>
      <c r="AI1289" s="115"/>
      <c r="AJ1289" s="115"/>
      <c r="AK1289" s="115"/>
      <c r="AL1289" s="115"/>
      <c r="AM1289" s="115"/>
      <c r="AN1289" s="115"/>
      <c r="AO1289" s="115"/>
      <c r="AP1289" s="115"/>
      <c r="AQ1289" s="115"/>
      <c r="AR1289" s="115"/>
      <c r="AS1289" s="115"/>
      <c r="AT1289" s="115"/>
      <c r="AU1289" s="115"/>
      <c r="AV1289" s="115"/>
      <c r="AW1289" s="115"/>
      <c r="AX1289" s="115"/>
      <c r="AY1289" s="115"/>
      <c r="AZ1289" s="115"/>
      <c r="BA1289" s="122"/>
      <c r="BB1289" s="122"/>
      <c r="BC1289" s="122"/>
      <c r="BD1289" s="115"/>
      <c r="BE1289" s="115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26"/>
      <c r="BS1289" s="13"/>
      <c r="BV1289" s="114"/>
    </row>
    <row r="1290" spans="4:74" x14ac:dyDescent="0.4">
      <c r="E1290" s="115"/>
      <c r="F1290" s="115"/>
      <c r="G1290" s="115"/>
      <c r="H1290" s="115"/>
      <c r="I1290" s="115"/>
      <c r="J1290" s="115"/>
      <c r="K1290" s="115"/>
      <c r="L1290" s="115"/>
      <c r="M1290" s="115"/>
      <c r="N1290" s="115"/>
      <c r="O1290" s="115"/>
      <c r="P1290" s="115"/>
      <c r="Q1290" s="115"/>
      <c r="R1290" s="115"/>
      <c r="S1290" s="115"/>
      <c r="T1290" s="115"/>
      <c r="U1290" s="115"/>
      <c r="V1290" s="115"/>
      <c r="W1290" s="115"/>
      <c r="X1290" s="115"/>
      <c r="Y1290" s="115"/>
      <c r="Z1290" s="115"/>
      <c r="AA1290" s="115"/>
      <c r="AB1290" s="115"/>
      <c r="AC1290" s="115"/>
      <c r="AD1290" s="115"/>
      <c r="AE1290" s="115"/>
      <c r="AF1290" s="115"/>
      <c r="AG1290" s="115"/>
      <c r="AH1290" s="115"/>
      <c r="AI1290" s="115"/>
      <c r="AJ1290" s="115"/>
      <c r="AK1290" s="115"/>
      <c r="AL1290" s="115"/>
      <c r="AM1290" s="115"/>
      <c r="AN1290" s="115"/>
      <c r="AO1290" s="115"/>
      <c r="AP1290" s="115"/>
      <c r="AQ1290" s="115"/>
      <c r="AR1290" s="115"/>
      <c r="AS1290" s="115"/>
      <c r="AT1290" s="115"/>
      <c r="AU1290" s="115"/>
      <c r="AV1290" s="115"/>
      <c r="AW1290" s="115"/>
      <c r="AX1290" s="115"/>
      <c r="AY1290" s="115"/>
      <c r="AZ1290" s="115"/>
      <c r="BA1290" s="122"/>
      <c r="BB1290" s="122"/>
      <c r="BC1290" s="122"/>
      <c r="BD1290" s="115"/>
      <c r="BE1290" s="115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26"/>
      <c r="BS1290" s="13"/>
      <c r="BV1290" s="114"/>
    </row>
    <row r="1291" spans="4:74" x14ac:dyDescent="0.4">
      <c r="E1291" s="115"/>
      <c r="F1291" s="115"/>
      <c r="G1291" s="115"/>
      <c r="H1291" s="115"/>
      <c r="I1291" s="115"/>
      <c r="J1291" s="115"/>
      <c r="K1291" s="115"/>
      <c r="L1291" s="115"/>
      <c r="M1291" s="115"/>
      <c r="N1291" s="115"/>
      <c r="O1291" s="115"/>
      <c r="P1291" s="115"/>
      <c r="Q1291" s="115"/>
      <c r="R1291" s="115"/>
      <c r="S1291" s="115"/>
      <c r="T1291" s="115"/>
      <c r="U1291" s="115"/>
      <c r="V1291" s="115"/>
      <c r="W1291" s="115"/>
      <c r="X1291" s="115"/>
      <c r="Y1291" s="115"/>
      <c r="Z1291" s="115"/>
      <c r="AA1291" s="115"/>
      <c r="AB1291" s="115"/>
      <c r="AC1291" s="115"/>
      <c r="AD1291" s="115"/>
      <c r="AE1291" s="115"/>
      <c r="AF1291" s="115"/>
      <c r="AG1291" s="115"/>
      <c r="AH1291" s="115"/>
      <c r="AI1291" s="115"/>
      <c r="AJ1291" s="115"/>
      <c r="AK1291" s="115"/>
      <c r="AL1291" s="115"/>
      <c r="AM1291" s="115"/>
      <c r="AN1291" s="115"/>
      <c r="AO1291" s="115"/>
      <c r="AP1291" s="115"/>
      <c r="AQ1291" s="115"/>
      <c r="AR1291" s="115"/>
      <c r="AS1291" s="115"/>
      <c r="AT1291" s="115"/>
      <c r="AU1291" s="115"/>
      <c r="AV1291" s="115"/>
      <c r="AW1291" s="115"/>
      <c r="AX1291" s="115"/>
      <c r="AY1291" s="115"/>
      <c r="AZ1291" s="115"/>
      <c r="BA1291" s="122"/>
      <c r="BB1291" s="122"/>
      <c r="BC1291" s="122"/>
      <c r="BD1291" s="115"/>
      <c r="BE1291" s="115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26"/>
      <c r="BS1291" s="13"/>
      <c r="BV1291" s="114"/>
    </row>
    <row r="1292" spans="4:74" x14ac:dyDescent="0.4">
      <c r="E1292" s="115"/>
      <c r="F1292" s="115"/>
      <c r="G1292" s="115"/>
      <c r="H1292" s="115"/>
      <c r="I1292" s="115"/>
      <c r="J1292" s="115"/>
      <c r="K1292" s="115"/>
      <c r="L1292" s="115"/>
      <c r="M1292" s="115"/>
      <c r="N1292" s="115"/>
      <c r="O1292" s="115"/>
      <c r="P1292" s="115"/>
      <c r="Q1292" s="115"/>
      <c r="R1292" s="115"/>
      <c r="S1292" s="115"/>
      <c r="T1292" s="115"/>
      <c r="U1292" s="115"/>
      <c r="V1292" s="115"/>
      <c r="W1292" s="115"/>
      <c r="X1292" s="115"/>
      <c r="Y1292" s="115"/>
      <c r="Z1292" s="115"/>
      <c r="AA1292" s="115"/>
      <c r="AB1292" s="115"/>
      <c r="AC1292" s="115"/>
      <c r="AD1292" s="115"/>
      <c r="AE1292" s="115"/>
      <c r="AF1292" s="115"/>
      <c r="AG1292" s="115"/>
      <c r="AH1292" s="115"/>
      <c r="AI1292" s="115"/>
      <c r="AJ1292" s="115"/>
      <c r="AK1292" s="115"/>
      <c r="AL1292" s="115"/>
      <c r="AM1292" s="115"/>
      <c r="AN1292" s="115"/>
      <c r="AO1292" s="115"/>
      <c r="AP1292" s="115"/>
      <c r="AQ1292" s="115"/>
      <c r="AR1292" s="115"/>
      <c r="AS1292" s="115"/>
      <c r="AT1292" s="115"/>
      <c r="AU1292" s="115"/>
      <c r="AV1292" s="115"/>
      <c r="AW1292" s="115"/>
      <c r="AX1292" s="115"/>
      <c r="AY1292" s="115"/>
      <c r="AZ1292" s="115"/>
      <c r="BA1292" s="122"/>
      <c r="BB1292" s="122"/>
      <c r="BC1292" s="122"/>
      <c r="BD1292" s="115"/>
      <c r="BE1292" s="115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26"/>
      <c r="BS1292" s="13"/>
      <c r="BV1292" s="114"/>
    </row>
    <row r="1293" spans="4:74" x14ac:dyDescent="0.4">
      <c r="E1293" s="115"/>
      <c r="F1293" s="115"/>
      <c r="G1293" s="115"/>
      <c r="H1293" s="115"/>
      <c r="I1293" s="115"/>
      <c r="J1293" s="115"/>
      <c r="K1293" s="115"/>
      <c r="L1293" s="115"/>
      <c r="M1293" s="115"/>
      <c r="N1293" s="115"/>
      <c r="O1293" s="115"/>
      <c r="P1293" s="115"/>
      <c r="Q1293" s="115"/>
      <c r="R1293" s="115"/>
      <c r="S1293" s="115"/>
      <c r="T1293" s="115"/>
      <c r="U1293" s="115"/>
      <c r="V1293" s="115"/>
      <c r="W1293" s="115"/>
      <c r="X1293" s="115"/>
      <c r="Y1293" s="115"/>
      <c r="Z1293" s="115"/>
      <c r="AA1293" s="115"/>
      <c r="AB1293" s="115"/>
      <c r="AC1293" s="115"/>
      <c r="AD1293" s="115"/>
      <c r="AE1293" s="115"/>
      <c r="AF1293" s="115"/>
      <c r="AG1293" s="115"/>
      <c r="AH1293" s="115"/>
      <c r="AI1293" s="115"/>
      <c r="AJ1293" s="115"/>
      <c r="AK1293" s="115"/>
      <c r="AL1293" s="115"/>
      <c r="AM1293" s="115"/>
      <c r="AN1293" s="115"/>
      <c r="AO1293" s="115"/>
      <c r="AP1293" s="115"/>
      <c r="AQ1293" s="115"/>
      <c r="AR1293" s="115"/>
      <c r="AS1293" s="115"/>
      <c r="AT1293" s="115"/>
      <c r="AU1293" s="115"/>
      <c r="AV1293" s="115"/>
      <c r="AW1293" s="115"/>
      <c r="AX1293" s="115"/>
      <c r="AY1293" s="115"/>
      <c r="AZ1293" s="115"/>
      <c r="BA1293" s="122"/>
      <c r="BB1293" s="122"/>
      <c r="BC1293" s="122"/>
      <c r="BD1293" s="115"/>
      <c r="BE1293" s="115"/>
      <c r="BF1293" s="115"/>
      <c r="BG1293" s="115"/>
      <c r="BH1293" s="115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7"/>
      <c r="BS1293" s="13"/>
      <c r="BV1293" s="114"/>
    </row>
    <row r="1294" spans="4:74" x14ac:dyDescent="0.4">
      <c r="E1294" s="115"/>
      <c r="F1294" s="115"/>
      <c r="G1294" s="115"/>
      <c r="H1294" s="115"/>
      <c r="I1294" s="115"/>
      <c r="J1294" s="115"/>
      <c r="K1294" s="115"/>
      <c r="L1294" s="115"/>
      <c r="M1294" s="115"/>
      <c r="N1294" s="115"/>
      <c r="O1294" s="115"/>
      <c r="P1294" s="115"/>
      <c r="Q1294" s="115"/>
      <c r="R1294" s="115"/>
      <c r="S1294" s="115"/>
      <c r="T1294" s="115"/>
      <c r="U1294" s="115"/>
      <c r="V1294" s="115"/>
      <c r="W1294" s="115"/>
      <c r="X1294" s="115"/>
      <c r="Y1294" s="115"/>
      <c r="Z1294" s="115"/>
      <c r="AA1294" s="115"/>
      <c r="AB1294" s="115"/>
      <c r="AC1294" s="115"/>
      <c r="AD1294" s="115"/>
      <c r="AE1294" s="115"/>
      <c r="AF1294" s="115"/>
      <c r="AG1294" s="115"/>
      <c r="AH1294" s="115"/>
      <c r="AI1294" s="115"/>
      <c r="AJ1294" s="115"/>
      <c r="AK1294" s="115"/>
      <c r="AL1294" s="115"/>
      <c r="AM1294" s="115"/>
      <c r="AN1294" s="115"/>
      <c r="AO1294" s="115"/>
      <c r="AP1294" s="115"/>
      <c r="AQ1294" s="115"/>
      <c r="AR1294" s="115"/>
      <c r="AS1294" s="115"/>
      <c r="AT1294" s="115"/>
      <c r="AU1294" s="115"/>
      <c r="AV1294" s="115"/>
      <c r="AW1294" s="115"/>
      <c r="AX1294" s="115"/>
      <c r="AY1294" s="115"/>
      <c r="AZ1294" s="115"/>
      <c r="BA1294" s="122"/>
      <c r="BB1294" s="122"/>
      <c r="BC1294" s="122"/>
      <c r="BD1294" s="115"/>
      <c r="BE1294" s="115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26"/>
      <c r="BS1294" s="13"/>
      <c r="BV1294" s="114"/>
    </row>
    <row r="1295" spans="4:74" x14ac:dyDescent="0.4">
      <c r="E1295" s="115"/>
      <c r="F1295" s="115"/>
      <c r="G1295" s="115"/>
      <c r="H1295" s="115"/>
      <c r="I1295" s="115"/>
      <c r="J1295" s="115"/>
      <c r="K1295" s="115"/>
      <c r="L1295" s="115"/>
      <c r="M1295" s="115"/>
      <c r="N1295" s="115"/>
      <c r="O1295" s="115"/>
      <c r="P1295" s="115"/>
      <c r="Q1295" s="115"/>
      <c r="R1295" s="115"/>
      <c r="S1295" s="115"/>
      <c r="T1295" s="115"/>
      <c r="U1295" s="115"/>
      <c r="V1295" s="115"/>
      <c r="W1295" s="115"/>
      <c r="X1295" s="115"/>
      <c r="Y1295" s="115"/>
      <c r="Z1295" s="115"/>
      <c r="AA1295" s="115"/>
      <c r="AB1295" s="115"/>
      <c r="AC1295" s="115"/>
      <c r="AD1295" s="115"/>
      <c r="AE1295" s="115"/>
      <c r="AF1295" s="115"/>
      <c r="AG1295" s="115"/>
      <c r="AH1295" s="115"/>
      <c r="AI1295" s="115"/>
      <c r="AJ1295" s="115"/>
      <c r="AK1295" s="115"/>
      <c r="AL1295" s="115"/>
      <c r="AM1295" s="115"/>
      <c r="AN1295" s="115"/>
      <c r="AO1295" s="115"/>
      <c r="AP1295" s="115"/>
      <c r="AQ1295" s="115"/>
      <c r="AR1295" s="115"/>
      <c r="AS1295" s="115"/>
      <c r="AT1295" s="115"/>
      <c r="AU1295" s="115"/>
      <c r="AV1295" s="115"/>
      <c r="AW1295" s="115"/>
      <c r="AX1295" s="115"/>
      <c r="AY1295" s="115"/>
      <c r="AZ1295" s="115"/>
      <c r="BA1295" s="122"/>
      <c r="BB1295" s="122"/>
      <c r="BC1295" s="122"/>
      <c r="BD1295" s="115"/>
      <c r="BE1295" s="115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26"/>
      <c r="BS1295" s="13"/>
      <c r="BV1295" s="114"/>
    </row>
    <row r="1296" spans="4:74" x14ac:dyDescent="0.4">
      <c r="D1296" s="115"/>
      <c r="E1296" s="115"/>
      <c r="F1296" s="115"/>
      <c r="G1296" s="115"/>
      <c r="H1296" s="115"/>
      <c r="I1296" s="115"/>
      <c r="J1296" s="115"/>
      <c r="K1296" s="115"/>
      <c r="L1296" s="115"/>
      <c r="M1296" s="115"/>
      <c r="N1296" s="115"/>
      <c r="O1296" s="115"/>
      <c r="P1296" s="115"/>
      <c r="Q1296" s="115"/>
      <c r="R1296" s="115"/>
      <c r="S1296" s="115"/>
      <c r="T1296" s="115"/>
      <c r="U1296" s="115"/>
      <c r="V1296" s="115"/>
      <c r="W1296" s="115"/>
      <c r="X1296" s="115"/>
      <c r="Y1296" s="115"/>
      <c r="Z1296" s="115"/>
      <c r="AA1296" s="115"/>
      <c r="AB1296" s="115"/>
      <c r="AC1296" s="115"/>
      <c r="AD1296" s="115"/>
      <c r="AE1296" s="115"/>
      <c r="AF1296" s="115"/>
      <c r="AG1296" s="115"/>
      <c r="AH1296" s="115"/>
      <c r="AI1296" s="115"/>
      <c r="AJ1296" s="115"/>
      <c r="AK1296" s="115"/>
      <c r="AL1296" s="115"/>
      <c r="AM1296" s="115"/>
      <c r="AN1296" s="115"/>
      <c r="AO1296" s="115"/>
      <c r="AP1296" s="115"/>
      <c r="AQ1296" s="115"/>
      <c r="AR1296" s="115"/>
      <c r="AS1296" s="115"/>
      <c r="AT1296" s="115"/>
      <c r="AU1296" s="115"/>
      <c r="AV1296" s="115"/>
      <c r="AW1296" s="115"/>
      <c r="AX1296" s="115"/>
      <c r="AY1296" s="115"/>
      <c r="AZ1296" s="115"/>
      <c r="BA1296" s="122"/>
      <c r="BB1296" s="122"/>
      <c r="BC1296" s="122"/>
      <c r="BD1296" s="115"/>
      <c r="BE1296" s="115"/>
      <c r="BF1296" s="115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26"/>
      <c r="BS1296" s="13"/>
      <c r="BV1296" s="114"/>
    </row>
    <row r="1297" spans="3:74" x14ac:dyDescent="0.4">
      <c r="D1297" s="115"/>
      <c r="E1297" s="115"/>
      <c r="F1297" s="115"/>
      <c r="G1297" s="115"/>
      <c r="H1297" s="115"/>
      <c r="I1297" s="115"/>
      <c r="J1297" s="115"/>
      <c r="K1297" s="115"/>
      <c r="L1297" s="115"/>
      <c r="M1297" s="115"/>
      <c r="N1297" s="115"/>
      <c r="O1297" s="115"/>
      <c r="P1297" s="115"/>
      <c r="Q1297" s="115"/>
      <c r="R1297" s="115"/>
      <c r="S1297" s="115"/>
      <c r="T1297" s="115"/>
      <c r="U1297" s="115"/>
      <c r="V1297" s="115"/>
      <c r="W1297" s="115"/>
      <c r="X1297" s="115"/>
      <c r="Y1297" s="115"/>
      <c r="Z1297" s="115"/>
      <c r="AA1297" s="115"/>
      <c r="AB1297" s="115"/>
      <c r="AC1297" s="115"/>
      <c r="AD1297" s="115"/>
      <c r="AE1297" s="115"/>
      <c r="AF1297" s="115"/>
      <c r="AG1297" s="115"/>
      <c r="AH1297" s="115"/>
      <c r="AI1297" s="115"/>
      <c r="AJ1297" s="115"/>
      <c r="AK1297" s="115"/>
      <c r="AL1297" s="115"/>
      <c r="AM1297" s="115"/>
      <c r="AN1297" s="115"/>
      <c r="AO1297" s="115"/>
      <c r="AP1297" s="115"/>
      <c r="AQ1297" s="115"/>
      <c r="AR1297" s="115"/>
      <c r="AS1297" s="115"/>
      <c r="AT1297" s="115"/>
      <c r="AU1297" s="115"/>
      <c r="AV1297" s="115"/>
      <c r="AW1297" s="115"/>
      <c r="AX1297" s="115"/>
      <c r="AY1297" s="115"/>
      <c r="AZ1297" s="115"/>
      <c r="BA1297" s="122"/>
      <c r="BB1297" s="122"/>
      <c r="BC1297" s="122"/>
      <c r="BD1297" s="115"/>
      <c r="BE1297" s="115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26"/>
      <c r="BS1297" s="15"/>
      <c r="BV1297" s="114"/>
    </row>
    <row r="1298" spans="3:74" x14ac:dyDescent="0.4">
      <c r="D1298" s="115"/>
      <c r="E1298" s="115"/>
      <c r="F1298" s="115"/>
      <c r="G1298" s="115"/>
      <c r="H1298" s="115"/>
      <c r="I1298" s="115"/>
      <c r="J1298" s="115"/>
      <c r="K1298" s="115"/>
      <c r="L1298" s="115"/>
      <c r="M1298" s="115"/>
      <c r="N1298" s="115"/>
      <c r="O1298" s="115"/>
      <c r="P1298" s="115"/>
      <c r="Q1298" s="115"/>
      <c r="R1298" s="115"/>
      <c r="S1298" s="115"/>
      <c r="T1298" s="115"/>
      <c r="U1298" s="115"/>
      <c r="V1298" s="115"/>
      <c r="W1298" s="115"/>
      <c r="X1298" s="115"/>
      <c r="Y1298" s="115"/>
      <c r="Z1298" s="115"/>
      <c r="AA1298" s="115"/>
      <c r="AB1298" s="115"/>
      <c r="AC1298" s="115"/>
      <c r="AD1298" s="115"/>
      <c r="AE1298" s="115"/>
      <c r="AF1298" s="115"/>
      <c r="AG1298" s="115"/>
      <c r="AH1298" s="115"/>
      <c r="AI1298" s="115"/>
      <c r="AJ1298" s="115"/>
      <c r="AK1298" s="115"/>
      <c r="AL1298" s="115"/>
      <c r="AM1298" s="115"/>
      <c r="AN1298" s="115"/>
      <c r="AO1298" s="115"/>
      <c r="AP1298" s="115"/>
      <c r="AQ1298" s="115"/>
      <c r="AR1298" s="115"/>
      <c r="AS1298" s="115"/>
      <c r="AT1298" s="115"/>
      <c r="AU1298" s="115"/>
      <c r="AV1298" s="115"/>
      <c r="AW1298" s="115"/>
      <c r="AX1298" s="115"/>
      <c r="AY1298" s="115"/>
      <c r="AZ1298" s="115"/>
      <c r="BA1298" s="122"/>
      <c r="BB1298" s="122"/>
      <c r="BC1298" s="122"/>
      <c r="BD1298" s="115"/>
      <c r="BE1298" s="115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26"/>
      <c r="BS1298" s="15"/>
      <c r="BV1298" s="114"/>
    </row>
    <row r="1299" spans="3:74" x14ac:dyDescent="0.4">
      <c r="C1299" s="115"/>
      <c r="D1299" s="115"/>
      <c r="E1299" s="115"/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22"/>
      <c r="BB1299" s="122"/>
      <c r="BC1299" s="122"/>
      <c r="BD1299" s="115"/>
      <c r="BE1299" s="115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26"/>
      <c r="BS1299" s="15"/>
      <c r="BV1299" s="114"/>
    </row>
    <row r="1300" spans="3:74" x14ac:dyDescent="0.4">
      <c r="C1300" s="115"/>
      <c r="D1300" s="115"/>
      <c r="E1300" s="115"/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22"/>
      <c r="BB1300" s="122"/>
      <c r="BC1300" s="122"/>
      <c r="BD1300" s="115"/>
      <c r="BE1300" s="115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26"/>
      <c r="BS1300" s="13"/>
      <c r="BV1300" s="114"/>
    </row>
    <row r="1301" spans="3:74" x14ac:dyDescent="0.4">
      <c r="C1301" s="115"/>
      <c r="D1301" s="115"/>
      <c r="E1301" s="115"/>
      <c r="F1301" s="115"/>
      <c r="G1301" s="115"/>
      <c r="H1301" s="115"/>
      <c r="I1301" s="115"/>
      <c r="J1301" s="115"/>
      <c r="K1301" s="115"/>
      <c r="L1301" s="115"/>
      <c r="M1301" s="115"/>
      <c r="N1301" s="115"/>
      <c r="O1301" s="115"/>
      <c r="P1301" s="115"/>
      <c r="Q1301" s="115"/>
      <c r="R1301" s="115"/>
      <c r="S1301" s="115"/>
      <c r="T1301" s="115"/>
      <c r="U1301" s="115"/>
      <c r="V1301" s="115"/>
      <c r="W1301" s="115"/>
      <c r="X1301" s="115"/>
      <c r="Y1301" s="115"/>
      <c r="Z1301" s="115"/>
      <c r="AA1301" s="115"/>
      <c r="AB1301" s="115"/>
      <c r="AC1301" s="115"/>
      <c r="AD1301" s="115"/>
      <c r="AE1301" s="115"/>
      <c r="AF1301" s="115"/>
      <c r="AG1301" s="115"/>
      <c r="AH1301" s="115"/>
      <c r="AI1301" s="115"/>
      <c r="AJ1301" s="115"/>
      <c r="AK1301" s="115"/>
      <c r="AL1301" s="115"/>
      <c r="AM1301" s="115"/>
      <c r="AN1301" s="115"/>
      <c r="AO1301" s="115"/>
      <c r="AP1301" s="115"/>
      <c r="AQ1301" s="115"/>
      <c r="AR1301" s="115"/>
      <c r="AS1301" s="115"/>
      <c r="AT1301" s="115"/>
      <c r="AU1301" s="115"/>
      <c r="AV1301" s="115"/>
      <c r="AW1301" s="115"/>
      <c r="AX1301" s="115"/>
      <c r="AY1301" s="115"/>
      <c r="AZ1301" s="115"/>
      <c r="BA1301" s="122"/>
      <c r="BB1301" s="122"/>
      <c r="BC1301" s="122"/>
      <c r="BD1301" s="115"/>
      <c r="BE1301" s="115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26"/>
      <c r="BS1301" s="13"/>
      <c r="BV1301" s="114"/>
    </row>
    <row r="1302" spans="3:74" x14ac:dyDescent="0.4">
      <c r="C1302" s="115"/>
      <c r="D1302" s="115"/>
      <c r="E1302" s="115"/>
      <c r="F1302" s="115"/>
      <c r="G1302" s="115"/>
      <c r="H1302" s="115"/>
      <c r="I1302" s="115"/>
      <c r="J1302" s="115"/>
      <c r="K1302" s="115"/>
      <c r="L1302" s="115"/>
      <c r="M1302" s="115"/>
      <c r="N1302" s="115"/>
      <c r="O1302" s="115"/>
      <c r="P1302" s="115"/>
      <c r="Q1302" s="115"/>
      <c r="R1302" s="115"/>
      <c r="S1302" s="115"/>
      <c r="T1302" s="115"/>
      <c r="U1302" s="115"/>
      <c r="V1302" s="115"/>
      <c r="W1302" s="115"/>
      <c r="X1302" s="115"/>
      <c r="Y1302" s="115"/>
      <c r="Z1302" s="115"/>
      <c r="AA1302" s="115"/>
      <c r="AB1302" s="115"/>
      <c r="AC1302" s="115"/>
      <c r="AD1302" s="115"/>
      <c r="AE1302" s="115"/>
      <c r="AF1302" s="115"/>
      <c r="AG1302" s="115"/>
      <c r="AH1302" s="115"/>
      <c r="AI1302" s="115"/>
      <c r="AJ1302" s="115"/>
      <c r="AK1302" s="115"/>
      <c r="AL1302" s="115"/>
      <c r="AM1302" s="115"/>
      <c r="AN1302" s="115"/>
      <c r="AO1302" s="115"/>
      <c r="AP1302" s="115"/>
      <c r="AQ1302" s="115"/>
      <c r="AR1302" s="115"/>
      <c r="AS1302" s="115"/>
      <c r="AT1302" s="115"/>
      <c r="AU1302" s="115"/>
      <c r="AV1302" s="115"/>
      <c r="AW1302" s="115"/>
      <c r="AX1302" s="115"/>
      <c r="AY1302" s="115"/>
      <c r="AZ1302" s="115"/>
      <c r="BA1302" s="122"/>
      <c r="BB1302" s="122"/>
      <c r="BC1302" s="122"/>
      <c r="BD1302" s="115"/>
      <c r="BE1302" s="115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26"/>
      <c r="BS1302" s="13"/>
      <c r="BV1302" s="114"/>
    </row>
    <row r="1303" spans="3:74" x14ac:dyDescent="0.4">
      <c r="C1303" s="115"/>
      <c r="D1303" s="115"/>
      <c r="E1303" s="115"/>
      <c r="F1303" s="115"/>
      <c r="G1303" s="115"/>
      <c r="H1303" s="115"/>
      <c r="I1303" s="115"/>
      <c r="J1303" s="115"/>
      <c r="K1303" s="115"/>
      <c r="L1303" s="115"/>
      <c r="M1303" s="115"/>
      <c r="N1303" s="115"/>
      <c r="O1303" s="115"/>
      <c r="P1303" s="115"/>
      <c r="Q1303" s="115"/>
      <c r="R1303" s="115"/>
      <c r="S1303" s="115"/>
      <c r="T1303" s="115"/>
      <c r="U1303" s="115"/>
      <c r="V1303" s="115"/>
      <c r="W1303" s="115"/>
      <c r="X1303" s="115"/>
      <c r="Y1303" s="115"/>
      <c r="Z1303" s="115"/>
      <c r="AA1303" s="115"/>
      <c r="AB1303" s="115"/>
      <c r="AC1303" s="115"/>
      <c r="AD1303" s="115"/>
      <c r="AE1303" s="115"/>
      <c r="AF1303" s="115"/>
      <c r="AG1303" s="115"/>
      <c r="AH1303" s="115"/>
      <c r="AI1303" s="115"/>
      <c r="AJ1303" s="115"/>
      <c r="AK1303" s="115"/>
      <c r="AL1303" s="115"/>
      <c r="AM1303" s="115"/>
      <c r="AN1303" s="115"/>
      <c r="AO1303" s="115"/>
      <c r="AP1303" s="115"/>
      <c r="AQ1303" s="115"/>
      <c r="AR1303" s="115"/>
      <c r="AS1303" s="115"/>
      <c r="AT1303" s="115"/>
      <c r="AU1303" s="115"/>
      <c r="AV1303" s="115"/>
      <c r="AW1303" s="115"/>
      <c r="AX1303" s="115"/>
      <c r="AY1303" s="115"/>
      <c r="AZ1303" s="115"/>
      <c r="BA1303" s="122"/>
      <c r="BB1303" s="122"/>
      <c r="BC1303" s="122"/>
      <c r="BD1303" s="115"/>
      <c r="BE1303" s="115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7"/>
      <c r="BS1303" s="13"/>
      <c r="BV1303" s="114"/>
    </row>
    <row r="1304" spans="3:74" x14ac:dyDescent="0.4">
      <c r="C1304" s="115"/>
      <c r="D1304" s="115"/>
      <c r="E1304" s="115"/>
      <c r="F1304" s="115"/>
      <c r="G1304" s="115"/>
      <c r="H1304" s="115"/>
      <c r="I1304" s="115"/>
      <c r="J1304" s="115"/>
      <c r="K1304" s="115"/>
      <c r="L1304" s="115"/>
      <c r="M1304" s="115"/>
      <c r="N1304" s="115"/>
      <c r="O1304" s="115"/>
      <c r="P1304" s="115"/>
      <c r="Q1304" s="115"/>
      <c r="R1304" s="115"/>
      <c r="S1304" s="115"/>
      <c r="T1304" s="115"/>
      <c r="U1304" s="115"/>
      <c r="V1304" s="115"/>
      <c r="W1304" s="115"/>
      <c r="X1304" s="115"/>
      <c r="Y1304" s="115"/>
      <c r="Z1304" s="115"/>
      <c r="AA1304" s="115"/>
      <c r="AB1304" s="115"/>
      <c r="AC1304" s="115"/>
      <c r="AD1304" s="115"/>
      <c r="AE1304" s="115"/>
      <c r="AF1304" s="115"/>
      <c r="AG1304" s="115"/>
      <c r="AH1304" s="115"/>
      <c r="AI1304" s="115"/>
      <c r="AJ1304" s="115"/>
      <c r="AK1304" s="115"/>
      <c r="AL1304" s="115"/>
      <c r="AM1304" s="115"/>
      <c r="AN1304" s="115"/>
      <c r="AO1304" s="115"/>
      <c r="AP1304" s="115"/>
      <c r="AQ1304" s="115"/>
      <c r="AR1304" s="115"/>
      <c r="AS1304" s="115"/>
      <c r="AT1304" s="115"/>
      <c r="AU1304" s="115"/>
      <c r="AV1304" s="115"/>
      <c r="AW1304" s="115"/>
      <c r="AX1304" s="115"/>
      <c r="AY1304" s="115"/>
      <c r="AZ1304" s="115"/>
      <c r="BA1304" s="122"/>
      <c r="BB1304" s="122"/>
      <c r="BC1304" s="122"/>
      <c r="BD1304" s="115"/>
      <c r="BE1304" s="115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26"/>
      <c r="BS1304" s="13"/>
      <c r="BV1304" s="114"/>
    </row>
    <row r="1305" spans="3:74" x14ac:dyDescent="0.4">
      <c r="C1305" s="115"/>
      <c r="D1305" s="115"/>
      <c r="E1305" s="115"/>
      <c r="F1305" s="115"/>
      <c r="G1305" s="115"/>
      <c r="H1305" s="115"/>
      <c r="I1305" s="115"/>
      <c r="J1305" s="115"/>
      <c r="K1305" s="115"/>
      <c r="L1305" s="115"/>
      <c r="M1305" s="115"/>
      <c r="N1305" s="115"/>
      <c r="O1305" s="115"/>
      <c r="P1305" s="115"/>
      <c r="Q1305" s="115"/>
      <c r="R1305" s="115"/>
      <c r="S1305" s="115"/>
      <c r="T1305" s="115"/>
      <c r="U1305" s="115"/>
      <c r="V1305" s="115"/>
      <c r="W1305" s="115"/>
      <c r="X1305" s="115"/>
      <c r="Y1305" s="115"/>
      <c r="Z1305" s="115"/>
      <c r="AA1305" s="115"/>
      <c r="AB1305" s="115"/>
      <c r="AC1305" s="115"/>
      <c r="AD1305" s="115"/>
      <c r="AE1305" s="115"/>
      <c r="AF1305" s="115"/>
      <c r="AG1305" s="115"/>
      <c r="AH1305" s="115"/>
      <c r="AI1305" s="115"/>
      <c r="AJ1305" s="115"/>
      <c r="AK1305" s="115"/>
      <c r="AL1305" s="115"/>
      <c r="AM1305" s="115"/>
      <c r="AN1305" s="115"/>
      <c r="AO1305" s="115"/>
      <c r="AP1305" s="115"/>
      <c r="AQ1305" s="115"/>
      <c r="AR1305" s="115"/>
      <c r="AS1305" s="115"/>
      <c r="AT1305" s="115"/>
      <c r="AU1305" s="115"/>
      <c r="AV1305" s="115"/>
      <c r="AW1305" s="115"/>
      <c r="AX1305" s="115"/>
      <c r="AY1305" s="115"/>
      <c r="AZ1305" s="115"/>
      <c r="BA1305" s="122"/>
      <c r="BB1305" s="122"/>
      <c r="BC1305" s="122"/>
      <c r="BD1305" s="115"/>
      <c r="BE1305" s="115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26"/>
      <c r="BS1305" s="25"/>
      <c r="BV1305" s="114"/>
    </row>
    <row r="1306" spans="3:74" x14ac:dyDescent="0.4">
      <c r="C1306" s="115"/>
      <c r="D1306" s="115"/>
      <c r="E1306" s="115"/>
      <c r="F1306" s="115"/>
      <c r="G1306" s="115"/>
      <c r="H1306" s="115"/>
      <c r="I1306" s="115"/>
      <c r="J1306" s="115"/>
      <c r="K1306" s="115"/>
      <c r="L1306" s="115"/>
      <c r="M1306" s="115"/>
      <c r="N1306" s="115"/>
      <c r="O1306" s="115"/>
      <c r="P1306" s="115"/>
      <c r="Q1306" s="115"/>
      <c r="R1306" s="115"/>
      <c r="S1306" s="115"/>
      <c r="T1306" s="115"/>
      <c r="U1306" s="115"/>
      <c r="V1306" s="115"/>
      <c r="W1306" s="115"/>
      <c r="X1306" s="115"/>
      <c r="Y1306" s="115"/>
      <c r="Z1306" s="115"/>
      <c r="AA1306" s="115"/>
      <c r="AB1306" s="115"/>
      <c r="AC1306" s="115"/>
      <c r="AD1306" s="115"/>
      <c r="AE1306" s="115"/>
      <c r="AF1306" s="115"/>
      <c r="AG1306" s="115"/>
      <c r="AH1306" s="115"/>
      <c r="AI1306" s="115"/>
      <c r="AJ1306" s="115"/>
      <c r="AK1306" s="115"/>
      <c r="AL1306" s="115"/>
      <c r="AM1306" s="115"/>
      <c r="AN1306" s="115"/>
      <c r="AO1306" s="115"/>
      <c r="AP1306" s="115"/>
      <c r="AQ1306" s="115"/>
      <c r="AR1306" s="115"/>
      <c r="AS1306" s="115"/>
      <c r="AT1306" s="115"/>
      <c r="AU1306" s="115"/>
      <c r="AV1306" s="115"/>
      <c r="AW1306" s="115"/>
      <c r="AX1306" s="115"/>
      <c r="AY1306" s="115"/>
      <c r="AZ1306" s="115"/>
      <c r="BA1306" s="122"/>
      <c r="BB1306" s="122"/>
      <c r="BC1306" s="122"/>
      <c r="BD1306" s="115"/>
      <c r="BE1306" s="115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26"/>
      <c r="BS1306" s="13"/>
      <c r="BV1306" s="114"/>
    </row>
    <row r="1307" spans="3:74" x14ac:dyDescent="0.4">
      <c r="C1307" s="115"/>
      <c r="D1307" s="115"/>
      <c r="E1307" s="115"/>
      <c r="F1307" s="115"/>
      <c r="G1307" s="115"/>
      <c r="H1307" s="115"/>
      <c r="I1307" s="115"/>
      <c r="J1307" s="115"/>
      <c r="K1307" s="115"/>
      <c r="L1307" s="115"/>
      <c r="M1307" s="115"/>
      <c r="N1307" s="115"/>
      <c r="O1307" s="115"/>
      <c r="P1307" s="115"/>
      <c r="Q1307" s="115"/>
      <c r="R1307" s="115"/>
      <c r="S1307" s="115"/>
      <c r="T1307" s="115"/>
      <c r="U1307" s="115"/>
      <c r="V1307" s="115"/>
      <c r="W1307" s="115"/>
      <c r="X1307" s="115"/>
      <c r="Y1307" s="115"/>
      <c r="Z1307" s="115"/>
      <c r="AA1307" s="115"/>
      <c r="AB1307" s="115"/>
      <c r="AC1307" s="115"/>
      <c r="AD1307" s="115"/>
      <c r="AE1307" s="115"/>
      <c r="AF1307" s="115"/>
      <c r="AG1307" s="115"/>
      <c r="AH1307" s="115"/>
      <c r="AI1307" s="115"/>
      <c r="AJ1307" s="115"/>
      <c r="AK1307" s="115"/>
      <c r="AL1307" s="115"/>
      <c r="AM1307" s="115"/>
      <c r="AN1307" s="115"/>
      <c r="AO1307" s="115"/>
      <c r="AP1307" s="115"/>
      <c r="AQ1307" s="115"/>
      <c r="AR1307" s="115"/>
      <c r="AS1307" s="115"/>
      <c r="AT1307" s="115"/>
      <c r="AU1307" s="115"/>
      <c r="AV1307" s="115"/>
      <c r="AW1307" s="115"/>
      <c r="AX1307" s="115"/>
      <c r="AY1307" s="115"/>
      <c r="AZ1307" s="115"/>
      <c r="BA1307" s="122"/>
      <c r="BB1307" s="122"/>
      <c r="BC1307" s="122"/>
      <c r="BD1307" s="115"/>
      <c r="BE1307" s="115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26"/>
      <c r="BS1307" s="13"/>
      <c r="BV1307" s="114"/>
    </row>
    <row r="1308" spans="3:74" x14ac:dyDescent="0.4">
      <c r="C1308" s="115"/>
      <c r="D1308" s="115"/>
      <c r="E1308" s="115"/>
      <c r="F1308" s="115"/>
      <c r="G1308" s="115"/>
      <c r="H1308" s="115"/>
      <c r="I1308" s="115"/>
      <c r="J1308" s="115"/>
      <c r="K1308" s="115"/>
      <c r="L1308" s="115"/>
      <c r="M1308" s="115"/>
      <c r="N1308" s="115"/>
      <c r="O1308" s="115"/>
      <c r="P1308" s="115"/>
      <c r="Q1308" s="115"/>
      <c r="R1308" s="115"/>
      <c r="S1308" s="115"/>
      <c r="T1308" s="115"/>
      <c r="U1308" s="115"/>
      <c r="V1308" s="115"/>
      <c r="W1308" s="115"/>
      <c r="X1308" s="115"/>
      <c r="Y1308" s="115"/>
      <c r="Z1308" s="115"/>
      <c r="AA1308" s="115"/>
      <c r="AB1308" s="115"/>
      <c r="AC1308" s="115"/>
      <c r="AD1308" s="115"/>
      <c r="AE1308" s="115"/>
      <c r="AF1308" s="115"/>
      <c r="AG1308" s="115"/>
      <c r="AH1308" s="115"/>
      <c r="AI1308" s="115"/>
      <c r="AJ1308" s="115"/>
      <c r="AK1308" s="115"/>
      <c r="AL1308" s="115"/>
      <c r="AM1308" s="115"/>
      <c r="AN1308" s="115"/>
      <c r="AO1308" s="115"/>
      <c r="AP1308" s="115"/>
      <c r="AQ1308" s="115"/>
      <c r="AR1308" s="115"/>
      <c r="AS1308" s="115"/>
      <c r="AT1308" s="115"/>
      <c r="AU1308" s="115"/>
      <c r="AV1308" s="115"/>
      <c r="AW1308" s="115"/>
      <c r="AX1308" s="115"/>
      <c r="AY1308" s="115"/>
      <c r="AZ1308" s="115"/>
      <c r="BA1308" s="122"/>
      <c r="BB1308" s="122"/>
      <c r="BC1308" s="122"/>
      <c r="BD1308" s="115"/>
      <c r="BE1308" s="115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26"/>
      <c r="BS1308" s="13"/>
      <c r="BV1308" s="114"/>
    </row>
    <row r="1309" spans="3:74" x14ac:dyDescent="0.4">
      <c r="C1309" s="115"/>
      <c r="D1309" s="115"/>
      <c r="E1309" s="115"/>
      <c r="F1309" s="115"/>
      <c r="G1309" s="115"/>
      <c r="H1309" s="115"/>
      <c r="I1309" s="115"/>
      <c r="J1309" s="115"/>
      <c r="K1309" s="115"/>
      <c r="L1309" s="115"/>
      <c r="M1309" s="115"/>
      <c r="N1309" s="115"/>
      <c r="O1309" s="115"/>
      <c r="P1309" s="115"/>
      <c r="Q1309" s="115"/>
      <c r="R1309" s="115"/>
      <c r="S1309" s="115"/>
      <c r="T1309" s="115"/>
      <c r="U1309" s="115"/>
      <c r="V1309" s="115"/>
      <c r="W1309" s="115"/>
      <c r="X1309" s="115"/>
      <c r="Y1309" s="115"/>
      <c r="Z1309" s="115"/>
      <c r="AA1309" s="115"/>
      <c r="AB1309" s="115"/>
      <c r="AC1309" s="115"/>
      <c r="AD1309" s="115"/>
      <c r="AE1309" s="115"/>
      <c r="AF1309" s="115"/>
      <c r="AG1309" s="115"/>
      <c r="AH1309" s="115"/>
      <c r="AI1309" s="115"/>
      <c r="AJ1309" s="115"/>
      <c r="AK1309" s="115"/>
      <c r="AL1309" s="115"/>
      <c r="AM1309" s="115"/>
      <c r="AN1309" s="115"/>
      <c r="AO1309" s="115"/>
      <c r="AP1309" s="115"/>
      <c r="AQ1309" s="115"/>
      <c r="AR1309" s="115"/>
      <c r="AS1309" s="115"/>
      <c r="AT1309" s="115"/>
      <c r="AU1309" s="115"/>
      <c r="AV1309" s="115"/>
      <c r="AW1309" s="115"/>
      <c r="AX1309" s="115"/>
      <c r="AY1309" s="115"/>
      <c r="AZ1309" s="115"/>
      <c r="BA1309" s="122"/>
      <c r="BB1309" s="122"/>
      <c r="BC1309" s="122"/>
      <c r="BD1309" s="115"/>
      <c r="BE1309" s="115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26"/>
      <c r="BS1309" s="13"/>
      <c r="BV1309" s="114"/>
    </row>
    <row r="1310" spans="3:74" x14ac:dyDescent="0.4">
      <c r="C1310" s="115"/>
      <c r="D1310" s="115"/>
      <c r="E1310" s="115"/>
      <c r="F1310" s="115"/>
      <c r="G1310" s="115"/>
      <c r="H1310" s="115"/>
      <c r="I1310" s="115"/>
      <c r="J1310" s="115"/>
      <c r="K1310" s="115"/>
      <c r="L1310" s="115"/>
      <c r="M1310" s="115"/>
      <c r="N1310" s="115"/>
      <c r="O1310" s="115"/>
      <c r="P1310" s="115"/>
      <c r="Q1310" s="115"/>
      <c r="R1310" s="115"/>
      <c r="S1310" s="115"/>
      <c r="T1310" s="115"/>
      <c r="U1310" s="115"/>
      <c r="V1310" s="115"/>
      <c r="W1310" s="115"/>
      <c r="X1310" s="115"/>
      <c r="Y1310" s="115"/>
      <c r="Z1310" s="115"/>
      <c r="AA1310" s="115"/>
      <c r="AB1310" s="115"/>
      <c r="AC1310" s="115"/>
      <c r="AD1310" s="115"/>
      <c r="AE1310" s="115"/>
      <c r="AF1310" s="115"/>
      <c r="AG1310" s="115"/>
      <c r="AH1310" s="115"/>
      <c r="AI1310" s="115"/>
      <c r="AJ1310" s="115"/>
      <c r="AK1310" s="115"/>
      <c r="AL1310" s="115"/>
      <c r="AM1310" s="115"/>
      <c r="AN1310" s="115"/>
      <c r="AO1310" s="115"/>
      <c r="AP1310" s="115"/>
      <c r="AQ1310" s="115"/>
      <c r="AR1310" s="115"/>
      <c r="AS1310" s="115"/>
      <c r="AT1310" s="115"/>
      <c r="AU1310" s="115"/>
      <c r="AV1310" s="115"/>
      <c r="AW1310" s="115"/>
      <c r="AX1310" s="115"/>
      <c r="AY1310" s="115"/>
      <c r="AZ1310" s="115"/>
      <c r="BA1310" s="122"/>
      <c r="BB1310" s="122"/>
      <c r="BC1310" s="122"/>
      <c r="BD1310" s="115"/>
      <c r="BE1310" s="115"/>
      <c r="BF1310" s="115"/>
      <c r="BG1310" s="115"/>
      <c r="BR1310" s="26"/>
      <c r="BS1310" s="13"/>
      <c r="BV1310" s="114"/>
    </row>
    <row r="1311" spans="3:74" x14ac:dyDescent="0.4">
      <c r="C1311" s="115"/>
      <c r="D1311" s="115"/>
      <c r="E1311" s="115"/>
      <c r="F1311" s="115"/>
      <c r="G1311" s="115"/>
      <c r="H1311" s="115"/>
      <c r="I1311" s="115"/>
      <c r="J1311" s="115"/>
      <c r="K1311" s="115"/>
      <c r="L1311" s="115"/>
      <c r="M1311" s="115"/>
      <c r="N1311" s="115"/>
      <c r="O1311" s="115"/>
      <c r="P1311" s="115"/>
      <c r="Q1311" s="115"/>
      <c r="R1311" s="115"/>
      <c r="S1311" s="115"/>
      <c r="T1311" s="115"/>
      <c r="U1311" s="115"/>
      <c r="V1311" s="115"/>
      <c r="W1311" s="115"/>
      <c r="X1311" s="115"/>
      <c r="Y1311" s="115"/>
      <c r="Z1311" s="115"/>
      <c r="AA1311" s="115"/>
      <c r="AB1311" s="115"/>
      <c r="AC1311" s="115"/>
      <c r="AD1311" s="115"/>
      <c r="AE1311" s="115"/>
      <c r="AF1311" s="115"/>
      <c r="AG1311" s="115"/>
      <c r="AH1311" s="115"/>
      <c r="AI1311" s="115"/>
      <c r="AJ1311" s="115"/>
      <c r="AK1311" s="115"/>
      <c r="AL1311" s="115"/>
      <c r="AM1311" s="115"/>
      <c r="AN1311" s="115"/>
      <c r="AO1311" s="115"/>
      <c r="AP1311" s="115"/>
      <c r="AQ1311" s="115"/>
      <c r="AR1311" s="115"/>
      <c r="AS1311" s="115"/>
      <c r="AT1311" s="115"/>
      <c r="AU1311" s="115"/>
      <c r="AV1311" s="115"/>
      <c r="AW1311" s="115"/>
      <c r="AX1311" s="115"/>
      <c r="AY1311" s="115"/>
      <c r="AZ1311" s="115"/>
      <c r="BA1311" s="122"/>
      <c r="BB1311" s="122"/>
      <c r="BC1311" s="122"/>
      <c r="BD1311" s="115"/>
      <c r="BE1311" s="115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26"/>
      <c r="BS1311" s="13"/>
      <c r="BV1311" s="114"/>
    </row>
    <row r="1312" spans="3:74" x14ac:dyDescent="0.4">
      <c r="C1312" s="115"/>
      <c r="D1312" s="115"/>
      <c r="E1312" s="115"/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22"/>
      <c r="BB1312" s="122"/>
      <c r="BC1312" s="122"/>
      <c r="BD1312" s="115"/>
      <c r="BE1312" s="115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7"/>
      <c r="BS1312" s="13"/>
      <c r="BV1312" s="114"/>
    </row>
    <row r="1313" spans="1:74" x14ac:dyDescent="0.4">
      <c r="C1313" s="115"/>
      <c r="D1313" s="115"/>
      <c r="E1313" s="115"/>
      <c r="F1313" s="115"/>
      <c r="G1313" s="115"/>
      <c r="H1313" s="115"/>
      <c r="I1313" s="115"/>
      <c r="J1313" s="115"/>
      <c r="K1313" s="115"/>
      <c r="L1313" s="115"/>
      <c r="M1313" s="115"/>
      <c r="N1313" s="115"/>
      <c r="O1313" s="115"/>
      <c r="P1313" s="115"/>
      <c r="Q1313" s="115"/>
      <c r="R1313" s="115"/>
      <c r="S1313" s="115"/>
      <c r="T1313" s="115"/>
      <c r="U1313" s="115"/>
      <c r="V1313" s="115"/>
      <c r="W1313" s="115"/>
      <c r="X1313" s="115"/>
      <c r="Y1313" s="115"/>
      <c r="Z1313" s="115"/>
      <c r="AA1313" s="115"/>
      <c r="AB1313" s="115"/>
      <c r="AC1313" s="115"/>
      <c r="AD1313" s="115"/>
      <c r="AE1313" s="115"/>
      <c r="AF1313" s="115"/>
      <c r="AG1313" s="115"/>
      <c r="AH1313" s="115"/>
      <c r="AI1313" s="115"/>
      <c r="AJ1313" s="115"/>
      <c r="AK1313" s="115"/>
      <c r="AL1313" s="115"/>
      <c r="AM1313" s="115"/>
      <c r="AN1313" s="115"/>
      <c r="AO1313" s="115"/>
      <c r="AP1313" s="115"/>
      <c r="AQ1313" s="115"/>
      <c r="AR1313" s="115"/>
      <c r="AS1313" s="115"/>
      <c r="AT1313" s="115"/>
      <c r="AU1313" s="115"/>
      <c r="AV1313" s="115"/>
      <c r="AW1313" s="115"/>
      <c r="AX1313" s="115"/>
      <c r="AY1313" s="115"/>
      <c r="AZ1313" s="115"/>
      <c r="BA1313" s="122"/>
      <c r="BB1313" s="122"/>
      <c r="BC1313" s="122"/>
      <c r="BD1313" s="115"/>
      <c r="BE1313" s="115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26"/>
      <c r="BS1313" s="13"/>
      <c r="BV1313" s="114"/>
    </row>
    <row r="1314" spans="1:74" x14ac:dyDescent="0.4">
      <c r="C1314" s="115"/>
      <c r="D1314" s="115"/>
      <c r="E1314" s="115"/>
      <c r="F1314" s="115"/>
      <c r="G1314" s="115"/>
      <c r="H1314" s="115"/>
      <c r="I1314" s="115"/>
      <c r="J1314" s="115"/>
      <c r="K1314" s="115"/>
      <c r="L1314" s="115"/>
      <c r="M1314" s="115"/>
      <c r="N1314" s="115"/>
      <c r="O1314" s="115"/>
      <c r="P1314" s="115"/>
      <c r="Q1314" s="115"/>
      <c r="R1314" s="115"/>
      <c r="S1314" s="115"/>
      <c r="T1314" s="115"/>
      <c r="U1314" s="115"/>
      <c r="V1314" s="115"/>
      <c r="W1314" s="115"/>
      <c r="X1314" s="115"/>
      <c r="Y1314" s="115"/>
      <c r="Z1314" s="115"/>
      <c r="AA1314" s="115"/>
      <c r="AB1314" s="115"/>
      <c r="AC1314" s="115"/>
      <c r="AD1314" s="115"/>
      <c r="AE1314" s="115"/>
      <c r="AF1314" s="115"/>
      <c r="AG1314" s="115"/>
      <c r="AH1314" s="115"/>
      <c r="AI1314" s="115"/>
      <c r="AJ1314" s="115"/>
      <c r="AK1314" s="115"/>
      <c r="AL1314" s="115"/>
      <c r="AM1314" s="115"/>
      <c r="AN1314" s="115"/>
      <c r="AO1314" s="115"/>
      <c r="AP1314" s="115"/>
      <c r="AQ1314" s="115"/>
      <c r="AR1314" s="115"/>
      <c r="AS1314" s="115"/>
      <c r="AT1314" s="115"/>
      <c r="AU1314" s="115"/>
      <c r="AV1314" s="115"/>
      <c r="AW1314" s="115"/>
      <c r="AX1314" s="115"/>
      <c r="AY1314" s="115"/>
      <c r="AZ1314" s="115"/>
      <c r="BA1314" s="122"/>
      <c r="BB1314" s="122"/>
      <c r="BC1314" s="122"/>
      <c r="BD1314" s="115"/>
      <c r="BE1314" s="115"/>
      <c r="BF1314" s="115"/>
      <c r="BG1314" s="115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26"/>
      <c r="BS1314" s="15"/>
      <c r="BV1314" s="114"/>
    </row>
    <row r="1315" spans="1:74" x14ac:dyDescent="0.4">
      <c r="C1315" s="115"/>
      <c r="D1315" s="115"/>
      <c r="E1315" s="115"/>
      <c r="F1315" s="115"/>
      <c r="G1315" s="115"/>
      <c r="H1315" s="115"/>
      <c r="I1315" s="115"/>
      <c r="J1315" s="115"/>
      <c r="K1315" s="115"/>
      <c r="L1315" s="115"/>
      <c r="M1315" s="115"/>
      <c r="N1315" s="115"/>
      <c r="O1315" s="115"/>
      <c r="P1315" s="115"/>
      <c r="Q1315" s="115"/>
      <c r="R1315" s="115"/>
      <c r="S1315" s="115"/>
      <c r="T1315" s="115"/>
      <c r="U1315" s="115"/>
      <c r="V1315" s="115"/>
      <c r="W1315" s="115"/>
      <c r="X1315" s="115"/>
      <c r="Y1315" s="115"/>
      <c r="Z1315" s="115"/>
      <c r="AA1315" s="115"/>
      <c r="AB1315" s="115"/>
      <c r="AC1315" s="115"/>
      <c r="AD1315" s="115"/>
      <c r="AE1315" s="115"/>
      <c r="AF1315" s="115"/>
      <c r="AG1315" s="115"/>
      <c r="AH1315" s="115"/>
      <c r="AI1315" s="115"/>
      <c r="AJ1315" s="115"/>
      <c r="AK1315" s="115"/>
      <c r="AL1315" s="115"/>
      <c r="AM1315" s="115"/>
      <c r="AN1315" s="115"/>
      <c r="AO1315" s="115"/>
      <c r="AP1315" s="115"/>
      <c r="AQ1315" s="115"/>
      <c r="AR1315" s="115"/>
      <c r="AS1315" s="115"/>
      <c r="AT1315" s="115"/>
      <c r="AU1315" s="115"/>
      <c r="AV1315" s="115"/>
      <c r="AW1315" s="115"/>
      <c r="AX1315" s="115"/>
      <c r="AY1315" s="115"/>
      <c r="AZ1315" s="115"/>
      <c r="BA1315" s="122"/>
      <c r="BB1315" s="122"/>
      <c r="BC1315" s="122"/>
      <c r="BD1315" s="115"/>
      <c r="BE1315" s="115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7"/>
      <c r="BS1315" s="15"/>
      <c r="BV1315" s="114"/>
    </row>
    <row r="1316" spans="1:74" x14ac:dyDescent="0.4">
      <c r="C1316" s="115"/>
      <c r="D1316" s="115"/>
      <c r="E1316" s="115"/>
      <c r="F1316" s="115"/>
      <c r="G1316" s="115"/>
      <c r="H1316" s="115"/>
      <c r="I1316" s="115"/>
      <c r="J1316" s="115"/>
      <c r="K1316" s="115"/>
      <c r="L1316" s="115"/>
      <c r="M1316" s="115"/>
      <c r="N1316" s="115"/>
      <c r="O1316" s="115"/>
      <c r="P1316" s="115"/>
      <c r="Q1316" s="115"/>
      <c r="R1316" s="115"/>
      <c r="S1316" s="115"/>
      <c r="T1316" s="115"/>
      <c r="U1316" s="115"/>
      <c r="V1316" s="115"/>
      <c r="W1316" s="115"/>
      <c r="X1316" s="115"/>
      <c r="Y1316" s="115"/>
      <c r="Z1316" s="115"/>
      <c r="AA1316" s="115"/>
      <c r="AB1316" s="115"/>
      <c r="AC1316" s="115"/>
      <c r="AD1316" s="115"/>
      <c r="AE1316" s="115"/>
      <c r="AF1316" s="115"/>
      <c r="AG1316" s="115"/>
      <c r="AH1316" s="115"/>
      <c r="AI1316" s="115"/>
      <c r="AJ1316" s="115"/>
      <c r="AK1316" s="115"/>
      <c r="AL1316" s="115"/>
      <c r="AM1316" s="115"/>
      <c r="AN1316" s="115"/>
      <c r="AO1316" s="115"/>
      <c r="AP1316" s="115"/>
      <c r="AQ1316" s="115"/>
      <c r="AR1316" s="115"/>
      <c r="AS1316" s="115"/>
      <c r="AT1316" s="115"/>
      <c r="AU1316" s="115"/>
      <c r="AV1316" s="115"/>
      <c r="AW1316" s="115"/>
      <c r="AX1316" s="115"/>
      <c r="AY1316" s="115"/>
      <c r="AZ1316" s="115"/>
      <c r="BA1316" s="122"/>
      <c r="BB1316" s="122"/>
      <c r="BC1316" s="122"/>
      <c r="BD1316" s="115"/>
      <c r="BE1316" s="115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26"/>
      <c r="BS1316" s="15"/>
      <c r="BV1316" s="114"/>
    </row>
    <row r="1317" spans="1:74" x14ac:dyDescent="0.4">
      <c r="A1317" s="115"/>
      <c r="B1317" s="115"/>
      <c r="C1317" s="115"/>
      <c r="D1317" s="115"/>
      <c r="E1317" s="115"/>
      <c r="F1317" s="115"/>
      <c r="G1317" s="115"/>
      <c r="H1317" s="115"/>
      <c r="I1317" s="115"/>
      <c r="J1317" s="115"/>
      <c r="K1317" s="115"/>
      <c r="L1317" s="115"/>
      <c r="M1317" s="115"/>
      <c r="N1317" s="115"/>
      <c r="O1317" s="115"/>
      <c r="P1317" s="115"/>
      <c r="Q1317" s="115"/>
      <c r="R1317" s="115"/>
      <c r="S1317" s="115"/>
      <c r="T1317" s="115"/>
      <c r="U1317" s="115"/>
      <c r="V1317" s="115"/>
      <c r="W1317" s="115"/>
      <c r="X1317" s="115"/>
      <c r="Y1317" s="115"/>
      <c r="Z1317" s="115"/>
      <c r="AA1317" s="115"/>
      <c r="AB1317" s="115"/>
      <c r="AC1317" s="115"/>
      <c r="AD1317" s="115"/>
      <c r="AE1317" s="115"/>
      <c r="AF1317" s="115"/>
      <c r="AG1317" s="115"/>
      <c r="AH1317" s="115"/>
      <c r="AI1317" s="115"/>
      <c r="AJ1317" s="115"/>
      <c r="AK1317" s="115"/>
      <c r="AL1317" s="115"/>
      <c r="AM1317" s="115"/>
      <c r="AN1317" s="115"/>
      <c r="AO1317" s="115"/>
      <c r="AP1317" s="115"/>
      <c r="AQ1317" s="115"/>
      <c r="AR1317" s="115"/>
      <c r="AS1317" s="115"/>
      <c r="AT1317" s="115"/>
      <c r="AU1317" s="115"/>
      <c r="AV1317" s="115"/>
      <c r="AW1317" s="115"/>
      <c r="AX1317" s="115"/>
      <c r="AY1317" s="115"/>
      <c r="AZ1317" s="115"/>
      <c r="BA1317" s="122"/>
      <c r="BB1317" s="122"/>
      <c r="BC1317" s="122"/>
      <c r="BD1317" s="115"/>
      <c r="BE1317" s="115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26"/>
      <c r="BS1317" s="15"/>
      <c r="BV1317" s="114"/>
    </row>
    <row r="1318" spans="1:74" x14ac:dyDescent="0.4">
      <c r="A1318" s="115"/>
      <c r="B1318" s="115"/>
      <c r="C1318" s="115"/>
      <c r="D1318" s="115"/>
      <c r="E1318" s="115"/>
      <c r="F1318" s="115"/>
      <c r="G1318" s="115"/>
      <c r="H1318" s="115"/>
      <c r="I1318" s="115"/>
      <c r="J1318" s="115"/>
      <c r="K1318" s="115"/>
      <c r="L1318" s="115"/>
      <c r="M1318" s="115"/>
      <c r="N1318" s="115"/>
      <c r="O1318" s="115"/>
      <c r="P1318" s="115"/>
      <c r="Q1318" s="115"/>
      <c r="R1318" s="115"/>
      <c r="S1318" s="115"/>
      <c r="T1318" s="115"/>
      <c r="U1318" s="115"/>
      <c r="V1318" s="115"/>
      <c r="W1318" s="115"/>
      <c r="X1318" s="115"/>
      <c r="Y1318" s="115"/>
      <c r="Z1318" s="115"/>
      <c r="AA1318" s="115"/>
      <c r="AB1318" s="115"/>
      <c r="AC1318" s="115"/>
      <c r="AD1318" s="115"/>
      <c r="AE1318" s="115"/>
      <c r="AF1318" s="115"/>
      <c r="AG1318" s="115"/>
      <c r="AH1318" s="115"/>
      <c r="AI1318" s="115"/>
      <c r="AJ1318" s="115"/>
      <c r="AK1318" s="115"/>
      <c r="AL1318" s="115"/>
      <c r="AM1318" s="115"/>
      <c r="AN1318" s="115"/>
      <c r="AO1318" s="115"/>
      <c r="AP1318" s="115"/>
      <c r="AQ1318" s="115"/>
      <c r="AR1318" s="115"/>
      <c r="AS1318" s="115"/>
      <c r="AT1318" s="115"/>
      <c r="AU1318" s="115"/>
      <c r="AV1318" s="115"/>
      <c r="AW1318" s="115"/>
      <c r="AX1318" s="115"/>
      <c r="AY1318" s="115"/>
      <c r="AZ1318" s="115"/>
      <c r="BA1318" s="122"/>
      <c r="BB1318" s="122"/>
      <c r="BC1318" s="122"/>
      <c r="BD1318" s="115"/>
      <c r="BE1318" s="115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7"/>
      <c r="BS1318" s="13"/>
      <c r="BV1318" s="114"/>
    </row>
    <row r="1319" spans="1:74" x14ac:dyDescent="0.4">
      <c r="A1319" s="115"/>
      <c r="B1319" s="115"/>
      <c r="C1319" s="115"/>
      <c r="D1319" s="115"/>
      <c r="E1319" s="115"/>
      <c r="F1319" s="115"/>
      <c r="G1319" s="115"/>
      <c r="H1319" s="115"/>
      <c r="I1319" s="115"/>
      <c r="J1319" s="115"/>
      <c r="K1319" s="115"/>
      <c r="L1319" s="115"/>
      <c r="M1319" s="115"/>
      <c r="N1319" s="115"/>
      <c r="O1319" s="115"/>
      <c r="P1319" s="115"/>
      <c r="Q1319" s="115"/>
      <c r="R1319" s="115"/>
      <c r="S1319" s="115"/>
      <c r="T1319" s="115"/>
      <c r="U1319" s="115"/>
      <c r="V1319" s="115"/>
      <c r="W1319" s="115"/>
      <c r="X1319" s="115"/>
      <c r="Y1319" s="115"/>
      <c r="Z1319" s="115"/>
      <c r="AA1319" s="115"/>
      <c r="AB1319" s="115"/>
      <c r="AC1319" s="115"/>
      <c r="AD1319" s="115"/>
      <c r="AE1319" s="115"/>
      <c r="AF1319" s="115"/>
      <c r="AG1319" s="115"/>
      <c r="AH1319" s="115"/>
      <c r="AI1319" s="115"/>
      <c r="AJ1319" s="115"/>
      <c r="AK1319" s="115"/>
      <c r="AL1319" s="115"/>
      <c r="AM1319" s="115"/>
      <c r="AN1319" s="115"/>
      <c r="AO1319" s="115"/>
      <c r="AP1319" s="115"/>
      <c r="AQ1319" s="115"/>
      <c r="AR1319" s="115"/>
      <c r="AS1319" s="115"/>
      <c r="AT1319" s="115"/>
      <c r="AU1319" s="115"/>
      <c r="AV1319" s="115"/>
      <c r="AW1319" s="115"/>
      <c r="AX1319" s="115"/>
      <c r="AY1319" s="115"/>
      <c r="AZ1319" s="115"/>
      <c r="BA1319" s="122"/>
      <c r="BB1319" s="122"/>
      <c r="BC1319" s="122"/>
      <c r="BD1319" s="115"/>
      <c r="BE1319" s="115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7"/>
      <c r="BS1319" s="13"/>
      <c r="BV1319" s="114"/>
    </row>
    <row r="1320" spans="1:74" x14ac:dyDescent="0.4">
      <c r="A1320" s="115"/>
      <c r="B1320" s="115"/>
      <c r="C1320" s="115"/>
      <c r="D1320" s="115"/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22"/>
      <c r="BB1320" s="122"/>
      <c r="BC1320" s="122"/>
      <c r="BD1320" s="115"/>
      <c r="BE1320" s="115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26"/>
      <c r="BS1320" s="13"/>
      <c r="BV1320" s="114"/>
    </row>
    <row r="1321" spans="1:74" x14ac:dyDescent="0.4">
      <c r="A1321" s="115"/>
      <c r="B1321" s="115"/>
      <c r="C1321" s="115"/>
      <c r="D1321" s="115"/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22"/>
      <c r="BB1321" s="122"/>
      <c r="BC1321" s="122"/>
      <c r="BD1321" s="115"/>
      <c r="BE1321" s="115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26"/>
      <c r="BS1321" s="13"/>
      <c r="BV1321" s="114"/>
    </row>
    <row r="1322" spans="1:74" x14ac:dyDescent="0.4">
      <c r="A1322" s="115"/>
      <c r="B1322" s="115"/>
      <c r="C1322" s="115"/>
      <c r="D1322" s="115"/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22"/>
      <c r="BB1322" s="122"/>
      <c r="BC1322" s="122"/>
      <c r="BD1322" s="115"/>
      <c r="BE1322" s="115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7"/>
      <c r="BS1322" s="13"/>
      <c r="BV1322" s="114"/>
    </row>
    <row r="1323" spans="1:74" x14ac:dyDescent="0.4">
      <c r="A1323" s="115"/>
      <c r="B1323" s="115"/>
      <c r="C1323" s="115"/>
      <c r="D1323" s="115"/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122"/>
      <c r="BB1323" s="122"/>
      <c r="BC1323" s="122"/>
      <c r="BD1323" s="115"/>
      <c r="BE1323" s="115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26"/>
      <c r="BS1323" s="15"/>
      <c r="BV1323" s="114"/>
    </row>
    <row r="1324" spans="1:74" x14ac:dyDescent="0.4">
      <c r="A1324" s="115"/>
      <c r="B1324" s="115"/>
      <c r="C1324" s="115"/>
      <c r="D1324" s="115"/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22"/>
      <c r="BB1324" s="122"/>
      <c r="BC1324" s="122"/>
      <c r="BD1324" s="115"/>
      <c r="BE1324" s="115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26"/>
      <c r="BS1324" s="15"/>
      <c r="BV1324" s="114"/>
    </row>
    <row r="1325" spans="1:74" x14ac:dyDescent="0.4">
      <c r="A1325" s="115"/>
      <c r="B1325" s="115"/>
      <c r="C1325" s="115"/>
      <c r="D1325" s="115"/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22"/>
      <c r="BB1325" s="122"/>
      <c r="BC1325" s="122"/>
      <c r="BD1325" s="115"/>
      <c r="BE1325" s="115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26"/>
      <c r="BS1325" s="15"/>
      <c r="BV1325" s="114"/>
    </row>
    <row r="1326" spans="1:74" x14ac:dyDescent="0.4">
      <c r="A1326" s="115"/>
      <c r="B1326" s="115"/>
      <c r="C1326" s="115"/>
      <c r="D1326" s="115"/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22"/>
      <c r="BB1326" s="122"/>
      <c r="BC1326" s="122"/>
      <c r="BD1326" s="115"/>
      <c r="BE1326" s="115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26"/>
      <c r="BS1326" s="13"/>
      <c r="BV1326" s="114"/>
    </row>
    <row r="1327" spans="1:74" x14ac:dyDescent="0.4">
      <c r="A1327" s="115"/>
      <c r="B1327" s="115"/>
      <c r="C1327" s="115"/>
      <c r="D1327" s="115"/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22"/>
      <c r="BB1327" s="122"/>
      <c r="BC1327" s="122"/>
      <c r="BD1327" s="115"/>
      <c r="BE1327" s="115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26"/>
      <c r="BS1327" s="25"/>
      <c r="BV1327" s="114"/>
    </row>
    <row r="1328" spans="1:74" x14ac:dyDescent="0.4">
      <c r="A1328" s="115"/>
      <c r="B1328" s="115"/>
      <c r="C1328" s="115"/>
      <c r="D1328" s="115"/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22"/>
      <c r="BB1328" s="122"/>
      <c r="BC1328" s="122"/>
      <c r="BD1328" s="115"/>
      <c r="BE1328" s="115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26"/>
      <c r="BS1328" s="13"/>
      <c r="BV1328" s="114"/>
    </row>
    <row r="1329" spans="1:74" x14ac:dyDescent="0.4">
      <c r="A1329" s="115"/>
      <c r="B1329" s="115"/>
      <c r="C1329" s="115"/>
      <c r="D1329" s="115"/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22"/>
      <c r="BB1329" s="122"/>
      <c r="BC1329" s="122"/>
      <c r="BD1329" s="115"/>
      <c r="BE1329" s="115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26"/>
      <c r="BS1329" s="13"/>
      <c r="BV1329" s="114"/>
    </row>
    <row r="1330" spans="1:74" x14ac:dyDescent="0.4">
      <c r="A1330" s="115"/>
      <c r="B1330" s="115"/>
      <c r="C1330" s="115"/>
      <c r="D1330" s="115"/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22"/>
      <c r="BB1330" s="122"/>
      <c r="BC1330" s="122"/>
      <c r="BD1330" s="115"/>
      <c r="BE1330" s="115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26"/>
      <c r="BS1330" s="13"/>
      <c r="BV1330" s="114"/>
    </row>
    <row r="1331" spans="1:74" x14ac:dyDescent="0.4">
      <c r="A1331" s="115"/>
      <c r="B1331" s="115"/>
      <c r="C1331" s="115"/>
      <c r="D1331" s="115"/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22"/>
      <c r="BB1331" s="122"/>
      <c r="BC1331" s="122"/>
      <c r="BD1331" s="115"/>
      <c r="BE1331" s="115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26"/>
      <c r="BS1331" s="13"/>
      <c r="BV1331" s="114"/>
    </row>
    <row r="1332" spans="1:74" x14ac:dyDescent="0.4">
      <c r="A1332" s="115"/>
      <c r="B1332" s="115"/>
      <c r="C1332" s="115"/>
      <c r="D1332" s="115"/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22"/>
      <c r="BB1332" s="122"/>
      <c r="BC1332" s="122"/>
      <c r="BD1332" s="115"/>
      <c r="BE1332" s="115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26"/>
      <c r="BS1332" s="13"/>
      <c r="BV1332" s="114"/>
    </row>
    <row r="1333" spans="1:74" x14ac:dyDescent="0.4">
      <c r="A1333" s="115"/>
      <c r="B1333" s="115"/>
      <c r="C1333" s="115"/>
      <c r="D1333" s="115"/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22"/>
      <c r="BB1333" s="122"/>
      <c r="BC1333" s="122"/>
      <c r="BD1333" s="115"/>
      <c r="BE1333" s="115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26"/>
      <c r="BS1333" s="13"/>
      <c r="BV1333" s="114"/>
    </row>
    <row r="1334" spans="1:74" x14ac:dyDescent="0.4">
      <c r="A1334" s="115"/>
      <c r="B1334" s="115"/>
      <c r="C1334" s="115"/>
      <c r="D1334" s="115"/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22"/>
      <c r="BB1334" s="122"/>
      <c r="BC1334" s="122"/>
      <c r="BD1334" s="115"/>
      <c r="BE1334" s="115"/>
      <c r="BF1334" s="115"/>
      <c r="BG1334" s="115"/>
      <c r="BH1334" s="115"/>
      <c r="BI1334" s="115"/>
      <c r="BJ1334" s="115"/>
      <c r="BK1334" s="115"/>
      <c r="BL1334" s="115"/>
      <c r="BM1334" s="115"/>
      <c r="BN1334" s="115"/>
      <c r="BO1334" s="115"/>
      <c r="BP1334" s="115"/>
      <c r="BQ1334" s="115"/>
      <c r="BR1334" s="26"/>
      <c r="BS1334" s="13"/>
      <c r="BV1334" s="114"/>
    </row>
    <row r="1335" spans="1:74" x14ac:dyDescent="0.4">
      <c r="A1335" s="115"/>
      <c r="B1335" s="115"/>
      <c r="C1335" s="115"/>
      <c r="D1335" s="115"/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22"/>
      <c r="BB1335" s="122"/>
      <c r="BC1335" s="122"/>
      <c r="BD1335" s="115"/>
      <c r="BE1335" s="115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26"/>
      <c r="BS1335" s="13"/>
      <c r="BV1335" s="114"/>
    </row>
    <row r="1336" spans="1:74" x14ac:dyDescent="0.4">
      <c r="A1336" s="115"/>
      <c r="B1336" s="115"/>
      <c r="C1336" s="115"/>
      <c r="D1336" s="115"/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15"/>
      <c r="AY1336" s="115"/>
      <c r="AZ1336" s="115"/>
      <c r="BA1336" s="122"/>
      <c r="BB1336" s="122"/>
      <c r="BC1336" s="122"/>
      <c r="BD1336" s="115"/>
      <c r="BE1336" s="115"/>
      <c r="BF1336" s="115"/>
      <c r="BG1336" s="115"/>
      <c r="BH1336" s="115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26"/>
      <c r="BS1336" s="13"/>
      <c r="BV1336" s="114"/>
    </row>
    <row r="1337" spans="1:74" x14ac:dyDescent="0.4">
      <c r="A1337" s="115"/>
      <c r="B1337" s="115"/>
      <c r="C1337" s="115"/>
      <c r="D1337" s="115"/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22"/>
      <c r="BB1337" s="122"/>
      <c r="BC1337" s="122"/>
      <c r="BD1337" s="115"/>
      <c r="BE1337" s="115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26"/>
      <c r="BS1337" s="13"/>
      <c r="BV1337" s="114"/>
    </row>
    <row r="1338" spans="1:74" x14ac:dyDescent="0.4">
      <c r="A1338" s="115"/>
      <c r="B1338" s="115"/>
      <c r="C1338" s="115"/>
      <c r="D1338" s="115"/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22"/>
      <c r="BB1338" s="122"/>
      <c r="BC1338" s="122"/>
      <c r="BD1338" s="115"/>
      <c r="BE1338" s="115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26"/>
      <c r="BS1338" s="15"/>
      <c r="BV1338" s="114"/>
    </row>
    <row r="1339" spans="1:74" x14ac:dyDescent="0.4">
      <c r="A1339" s="115"/>
      <c r="B1339" s="115"/>
      <c r="C1339" s="115"/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22"/>
      <c r="BB1339" s="122"/>
      <c r="BC1339" s="122"/>
      <c r="BD1339" s="115"/>
      <c r="BE1339" s="115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26"/>
      <c r="BS1339" s="15"/>
      <c r="BV1339" s="114"/>
    </row>
    <row r="1340" spans="1:74" x14ac:dyDescent="0.4">
      <c r="A1340" s="115"/>
      <c r="B1340" s="115"/>
      <c r="C1340" s="115"/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22"/>
      <c r="BB1340" s="122"/>
      <c r="BC1340" s="122"/>
      <c r="BD1340" s="115"/>
      <c r="BE1340" s="115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26"/>
      <c r="BS1340" s="15"/>
      <c r="BV1340" s="114"/>
    </row>
    <row r="1341" spans="1:74" x14ac:dyDescent="0.4">
      <c r="A1341" s="115"/>
      <c r="B1341" s="115"/>
      <c r="C1341" s="115"/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22"/>
      <c r="BB1341" s="122"/>
      <c r="BC1341" s="122"/>
      <c r="BD1341" s="115"/>
      <c r="BE1341" s="115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26"/>
      <c r="BS1341" s="15"/>
      <c r="BV1341" s="114"/>
    </row>
    <row r="1342" spans="1:74" x14ac:dyDescent="0.4">
      <c r="A1342" s="115"/>
      <c r="B1342" s="115"/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22"/>
      <c r="BB1342" s="122"/>
      <c r="BC1342" s="122"/>
      <c r="BD1342" s="115"/>
      <c r="BE1342" s="115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26"/>
      <c r="BS1342" s="13"/>
      <c r="BV1342" s="114"/>
    </row>
    <row r="1343" spans="1:74" x14ac:dyDescent="0.4">
      <c r="A1343" s="115"/>
      <c r="B1343" s="115"/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15"/>
      <c r="AZ1343" s="115"/>
      <c r="BA1343" s="122"/>
      <c r="BB1343" s="122"/>
      <c r="BC1343" s="122"/>
      <c r="BD1343" s="115"/>
      <c r="BE1343" s="115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26"/>
      <c r="BS1343" s="15"/>
      <c r="BV1343" s="114"/>
    </row>
    <row r="1344" spans="1:74" x14ac:dyDescent="0.4">
      <c r="A1344" s="115"/>
      <c r="B1344" s="115"/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22"/>
      <c r="BB1344" s="122"/>
      <c r="BC1344" s="122"/>
      <c r="BD1344" s="115"/>
      <c r="BE1344" s="115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26"/>
      <c r="BS1344" s="15"/>
      <c r="BV1344" s="114"/>
    </row>
    <row r="1345" spans="1:74" x14ac:dyDescent="0.4">
      <c r="A1345" s="115"/>
      <c r="B1345" s="115"/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22"/>
      <c r="BB1345" s="122"/>
      <c r="BC1345" s="122"/>
      <c r="BD1345" s="115"/>
      <c r="BE1345" s="115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26"/>
      <c r="BS1345" s="15"/>
      <c r="BV1345" s="114"/>
    </row>
    <row r="1346" spans="1:74" x14ac:dyDescent="0.4">
      <c r="A1346" s="115"/>
      <c r="B1346" s="115"/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22"/>
      <c r="BB1346" s="122"/>
      <c r="BC1346" s="122"/>
      <c r="BD1346" s="115"/>
      <c r="BE1346" s="115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26"/>
      <c r="BS1346" s="15"/>
      <c r="BV1346" s="114"/>
    </row>
    <row r="1347" spans="1:74" x14ac:dyDescent="0.4">
      <c r="A1347" s="115"/>
      <c r="B1347" s="115"/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22"/>
      <c r="BB1347" s="122"/>
      <c r="BC1347" s="122"/>
      <c r="BD1347" s="115"/>
      <c r="BE1347" s="115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26"/>
      <c r="BS1347" s="15"/>
      <c r="BV1347" s="114"/>
    </row>
    <row r="1348" spans="1:74" x14ac:dyDescent="0.4">
      <c r="A1348" s="115"/>
      <c r="B1348" s="115"/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22"/>
      <c r="BB1348" s="122"/>
      <c r="BC1348" s="122"/>
      <c r="BD1348" s="115"/>
      <c r="BE1348" s="115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26"/>
      <c r="BS1348" s="105"/>
      <c r="BV1348" s="114"/>
    </row>
    <row r="1349" spans="1:74" x14ac:dyDescent="0.4">
      <c r="A1349" s="115"/>
      <c r="B1349" s="115"/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22"/>
      <c r="BB1349" s="122"/>
      <c r="BC1349" s="122"/>
      <c r="BD1349" s="115"/>
      <c r="BE1349" s="115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7"/>
      <c r="BS1349" s="15"/>
      <c r="BV1349" s="114"/>
    </row>
    <row r="1350" spans="1:74" x14ac:dyDescent="0.4">
      <c r="A1350" s="115"/>
      <c r="B1350" s="115"/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22"/>
      <c r="BB1350" s="122"/>
      <c r="BC1350" s="122"/>
      <c r="BD1350" s="115"/>
      <c r="BE1350" s="115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26"/>
      <c r="BS1350" s="15"/>
      <c r="BV1350" s="114"/>
    </row>
    <row r="1351" spans="1:74" x14ac:dyDescent="0.4">
      <c r="A1351" s="115"/>
      <c r="B1351" s="115"/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22"/>
      <c r="BB1351" s="122"/>
      <c r="BC1351" s="122"/>
      <c r="BD1351" s="115"/>
      <c r="BE1351" s="115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26"/>
      <c r="BS1351" s="15"/>
      <c r="BV1351" s="114"/>
    </row>
    <row r="1352" spans="1:74" x14ac:dyDescent="0.4">
      <c r="A1352" s="115"/>
      <c r="B1352" s="115"/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22"/>
      <c r="BB1352" s="122"/>
      <c r="BC1352" s="122"/>
      <c r="BD1352" s="115"/>
      <c r="BE1352" s="115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26"/>
      <c r="BS1352" s="105"/>
      <c r="BV1352" s="114"/>
    </row>
    <row r="1353" spans="1:74" x14ac:dyDescent="0.4">
      <c r="BR1353" s="26"/>
      <c r="BS1353" s="15"/>
      <c r="BV1353" s="114"/>
    </row>
    <row r="1354" spans="1:74" x14ac:dyDescent="0.4">
      <c r="BB1354" s="122"/>
      <c r="BC1354" s="122"/>
      <c r="BD1354" s="115"/>
      <c r="BE1354" s="115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26"/>
      <c r="BS1354" s="15"/>
      <c r="BV1354" s="114"/>
    </row>
    <row r="1355" spans="1:74" x14ac:dyDescent="0.4">
      <c r="AX1355" s="115"/>
      <c r="AY1355" s="115"/>
      <c r="AZ1355" s="115"/>
      <c r="BA1355" s="122"/>
      <c r="BB1355" s="122"/>
      <c r="BC1355" s="122"/>
      <c r="BD1355" s="115"/>
      <c r="BE1355" s="115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26"/>
      <c r="BS1355" s="15"/>
      <c r="BV1355" s="114"/>
    </row>
    <row r="1356" spans="1:74" x14ac:dyDescent="0.4">
      <c r="B1356" s="115"/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22"/>
      <c r="BB1356" s="122"/>
      <c r="BC1356" s="122"/>
      <c r="BD1356" s="115"/>
      <c r="BE1356" s="115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26"/>
      <c r="BS1356" s="15"/>
      <c r="BV1356" s="114"/>
    </row>
    <row r="1357" spans="1:74" x14ac:dyDescent="0.4">
      <c r="B1357" s="115"/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22"/>
      <c r="BB1357" s="122"/>
      <c r="BC1357" s="122"/>
      <c r="BD1357" s="115"/>
      <c r="BE1357" s="115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7"/>
      <c r="BS1357" s="15"/>
      <c r="BV1357" s="114"/>
    </row>
    <row r="1358" spans="1:74" x14ac:dyDescent="0.4">
      <c r="B1358" s="115"/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22"/>
      <c r="BB1358" s="122"/>
      <c r="BC1358" s="122"/>
      <c r="BD1358" s="115"/>
      <c r="BE1358" s="115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26"/>
      <c r="BS1358" s="15"/>
      <c r="BV1358" s="114"/>
    </row>
    <row r="1359" spans="1:74" x14ac:dyDescent="0.4">
      <c r="B1359" s="115"/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22"/>
      <c r="BB1359" s="122"/>
      <c r="BC1359" s="122"/>
      <c r="BD1359" s="115"/>
      <c r="BE1359" s="115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26"/>
      <c r="BS1359" s="15"/>
      <c r="BV1359" s="114"/>
    </row>
    <row r="1360" spans="1:74" x14ac:dyDescent="0.4"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22"/>
      <c r="BB1360" s="122"/>
      <c r="BC1360" s="122"/>
      <c r="BD1360" s="115"/>
      <c r="BE1360" s="115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26"/>
      <c r="BS1360" s="15"/>
      <c r="BV1360" s="114"/>
    </row>
    <row r="1361" spans="2:74" x14ac:dyDescent="0.4"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22"/>
      <c r="BB1361" s="122"/>
      <c r="BC1361" s="122"/>
      <c r="BD1361" s="115"/>
      <c r="BE1361" s="115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26"/>
      <c r="BS1361" s="15"/>
      <c r="BV1361" s="114"/>
    </row>
    <row r="1362" spans="2:74" x14ac:dyDescent="0.4"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22"/>
      <c r="BB1362" s="122"/>
      <c r="BC1362" s="122"/>
      <c r="BD1362" s="115"/>
      <c r="BE1362" s="115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26"/>
      <c r="BS1362" s="15"/>
      <c r="BV1362" s="114"/>
    </row>
    <row r="1363" spans="2:74" x14ac:dyDescent="0.4"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22"/>
      <c r="BB1363" s="122"/>
      <c r="BC1363" s="122"/>
      <c r="BD1363" s="115"/>
      <c r="BE1363" s="115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26"/>
      <c r="BS1363" s="15"/>
      <c r="BV1363" s="114"/>
    </row>
    <row r="1364" spans="2:74" x14ac:dyDescent="0.4"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22"/>
      <c r="BB1364" s="122"/>
      <c r="BC1364" s="122"/>
      <c r="BD1364" s="115"/>
      <c r="BE1364" s="115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26"/>
      <c r="BS1364" s="15"/>
      <c r="BV1364" s="114"/>
    </row>
    <row r="1365" spans="2:74" x14ac:dyDescent="0.4"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22"/>
      <c r="BB1365" s="122"/>
      <c r="BC1365" s="122"/>
      <c r="BD1365" s="115"/>
      <c r="BE1365" s="115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7"/>
      <c r="BS1365" s="15"/>
      <c r="BV1365" s="114"/>
    </row>
    <row r="1366" spans="2:74" x14ac:dyDescent="0.4"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22"/>
      <c r="BB1366" s="122"/>
      <c r="BC1366" s="122"/>
      <c r="BD1366" s="115"/>
      <c r="BE1366" s="115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26"/>
      <c r="BS1366" s="15"/>
      <c r="BV1366" s="114"/>
    </row>
    <row r="1367" spans="2:74" x14ac:dyDescent="0.4"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22"/>
      <c r="BB1367" s="122"/>
      <c r="BC1367" s="122"/>
      <c r="BD1367" s="115"/>
      <c r="BE1367" s="115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26"/>
      <c r="BS1367" s="15"/>
      <c r="BV1367" s="114"/>
    </row>
    <row r="1368" spans="2:74" x14ac:dyDescent="0.4"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22"/>
      <c r="BB1368" s="122"/>
      <c r="BC1368" s="122"/>
      <c r="BD1368" s="115"/>
      <c r="BE1368" s="115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26"/>
      <c r="BS1368" s="15"/>
      <c r="BV1368" s="114"/>
    </row>
    <row r="1369" spans="2:74" x14ac:dyDescent="0.4"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22"/>
      <c r="BB1369" s="122"/>
      <c r="BC1369" s="122"/>
      <c r="BD1369" s="115"/>
      <c r="BE1369" s="115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26"/>
      <c r="BS1369" s="15"/>
      <c r="BV1369" s="114"/>
    </row>
    <row r="1370" spans="2:74" x14ac:dyDescent="0.4"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22"/>
      <c r="BB1370" s="122"/>
      <c r="BC1370" s="122"/>
      <c r="BD1370" s="115"/>
      <c r="BE1370" s="115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26"/>
      <c r="BS1370" s="15"/>
      <c r="BV1370" s="114"/>
    </row>
    <row r="1371" spans="2:74" x14ac:dyDescent="0.4"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22"/>
      <c r="BB1371" s="122"/>
      <c r="BC1371" s="122"/>
      <c r="BD1371" s="115"/>
      <c r="BE1371" s="115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26"/>
      <c r="BS1371" s="15"/>
      <c r="BV1371" s="114"/>
    </row>
    <row r="1372" spans="2:74" x14ac:dyDescent="0.4"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22"/>
      <c r="BB1372" s="122"/>
      <c r="BC1372" s="122"/>
      <c r="BD1372" s="115"/>
      <c r="BE1372" s="115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26"/>
      <c r="BS1372" s="15"/>
      <c r="BV1372" s="114"/>
    </row>
    <row r="1373" spans="2:74" x14ac:dyDescent="0.4"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22"/>
      <c r="BB1373" s="122"/>
      <c r="BC1373" s="122"/>
      <c r="BD1373" s="115"/>
      <c r="BE1373" s="115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7"/>
      <c r="BS1373" s="15"/>
      <c r="BV1373" s="114"/>
    </row>
    <row r="1374" spans="2:74" x14ac:dyDescent="0.4"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22"/>
      <c r="BB1374" s="122"/>
      <c r="BC1374" s="122"/>
      <c r="BD1374" s="115"/>
      <c r="BE1374" s="115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26"/>
      <c r="BS1374" s="15"/>
      <c r="BV1374" s="114"/>
    </row>
    <row r="1375" spans="2:74" x14ac:dyDescent="0.4"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22"/>
      <c r="BB1375" s="122"/>
      <c r="BC1375" s="122"/>
      <c r="BD1375" s="115"/>
      <c r="BE1375" s="115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26"/>
      <c r="BS1375" s="15"/>
      <c r="BV1375" s="114"/>
    </row>
    <row r="1376" spans="2:74" x14ac:dyDescent="0.4"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22"/>
      <c r="BB1376" s="122"/>
      <c r="BC1376" s="122"/>
      <c r="BD1376" s="115"/>
      <c r="BE1376" s="115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26"/>
      <c r="BS1376" s="15"/>
      <c r="BV1376" s="114"/>
    </row>
    <row r="1377" spans="1:74" x14ac:dyDescent="0.4"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22"/>
      <c r="BB1377" s="122"/>
      <c r="BC1377" s="122"/>
      <c r="BD1377" s="115"/>
      <c r="BE1377" s="115"/>
      <c r="BF1377" s="115"/>
      <c r="BG1377" s="115"/>
      <c r="BH1377" s="115"/>
      <c r="BI1377" s="115"/>
      <c r="BJ1377" s="115"/>
      <c r="BK1377" s="115"/>
      <c r="BL1377" s="115"/>
      <c r="BM1377" s="115"/>
      <c r="BN1377" s="115"/>
      <c r="BO1377" s="115"/>
      <c r="BP1377" s="115"/>
      <c r="BQ1377" s="115"/>
      <c r="BR1377" s="26"/>
      <c r="BS1377" s="15"/>
      <c r="BV1377" s="114"/>
    </row>
    <row r="1378" spans="1:74" x14ac:dyDescent="0.4"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22"/>
      <c r="BB1378" s="122"/>
      <c r="BC1378" s="122"/>
      <c r="BD1378" s="115"/>
      <c r="BE1378" s="115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26"/>
      <c r="BS1378" s="15"/>
      <c r="BV1378" s="114"/>
    </row>
    <row r="1379" spans="1:74" x14ac:dyDescent="0.4"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22"/>
      <c r="BB1379" s="122"/>
      <c r="BC1379" s="122"/>
      <c r="BD1379" s="115"/>
      <c r="BE1379" s="115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26"/>
      <c r="BS1379" s="15"/>
      <c r="BV1379" s="114"/>
    </row>
    <row r="1380" spans="1:74" x14ac:dyDescent="0.4"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22"/>
      <c r="BB1380" s="122"/>
      <c r="BC1380" s="122"/>
      <c r="BD1380" s="115"/>
      <c r="BE1380" s="115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115"/>
      <c r="BP1380" s="115"/>
      <c r="BQ1380" s="115"/>
      <c r="BR1380" s="26"/>
      <c r="BS1380" s="15"/>
      <c r="BV1380" s="114"/>
    </row>
    <row r="1381" spans="1:74" x14ac:dyDescent="0.4"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22"/>
      <c r="BB1381" s="122"/>
      <c r="BC1381" s="122"/>
      <c r="BD1381" s="115"/>
      <c r="BE1381" s="115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26"/>
      <c r="BS1381" s="15"/>
      <c r="BV1381" s="114"/>
    </row>
    <row r="1382" spans="1:74" x14ac:dyDescent="0.4"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22"/>
      <c r="BB1382" s="122"/>
      <c r="BC1382" s="122"/>
      <c r="BD1382" s="115"/>
      <c r="BE1382" s="115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7"/>
      <c r="BS1382" s="15"/>
      <c r="BV1382" s="114"/>
    </row>
    <row r="1383" spans="1:74" x14ac:dyDescent="0.4"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22"/>
      <c r="BB1383" s="122"/>
      <c r="BC1383" s="122"/>
      <c r="BD1383" s="115"/>
      <c r="BE1383" s="115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26"/>
      <c r="BS1383" s="15"/>
      <c r="BV1383" s="114"/>
    </row>
    <row r="1384" spans="1:74" x14ac:dyDescent="0.4"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22"/>
      <c r="BB1384" s="122"/>
      <c r="BC1384" s="122"/>
      <c r="BD1384" s="115"/>
      <c r="BE1384" s="115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7"/>
      <c r="BS1384" s="15"/>
      <c r="BV1384" s="114"/>
    </row>
    <row r="1385" spans="1:74" x14ac:dyDescent="0.4"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22"/>
      <c r="BB1385" s="122"/>
      <c r="BC1385" s="122"/>
      <c r="BD1385" s="115"/>
      <c r="BE1385" s="115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26"/>
      <c r="BS1385" s="15"/>
      <c r="BV1385" s="114"/>
    </row>
    <row r="1386" spans="1:74" x14ac:dyDescent="0.4"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22"/>
      <c r="BB1386" s="122"/>
      <c r="BC1386" s="122"/>
      <c r="BD1386" s="115"/>
      <c r="BE1386" s="115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7"/>
      <c r="BS1386" s="15"/>
      <c r="BV1386" s="114"/>
    </row>
    <row r="1387" spans="1:74" x14ac:dyDescent="0.4"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22"/>
      <c r="BB1387" s="122"/>
      <c r="BC1387" s="122"/>
      <c r="BD1387" s="115"/>
      <c r="BE1387" s="115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26"/>
      <c r="BS1387" s="15"/>
      <c r="BV1387" s="114"/>
    </row>
    <row r="1388" spans="1:74" x14ac:dyDescent="0.4"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22"/>
      <c r="BB1388" s="122"/>
      <c r="BC1388" s="122"/>
      <c r="BD1388" s="115"/>
      <c r="BE1388" s="115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26"/>
      <c r="BS1388" s="15"/>
      <c r="BV1388" s="114"/>
    </row>
    <row r="1389" spans="1:74" x14ac:dyDescent="0.4"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22"/>
      <c r="BB1389" s="122"/>
      <c r="BC1389" s="122"/>
      <c r="BD1389" s="115"/>
      <c r="BE1389" s="115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7"/>
      <c r="BS1389" s="15"/>
      <c r="BV1389" s="114"/>
    </row>
    <row r="1390" spans="1:74" x14ac:dyDescent="0.4"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22"/>
      <c r="BB1390" s="122"/>
      <c r="BC1390" s="122"/>
      <c r="BD1390" s="115"/>
      <c r="BE1390" s="115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26"/>
      <c r="BS1390" s="15"/>
      <c r="BV1390" s="114"/>
    </row>
    <row r="1391" spans="1:74" x14ac:dyDescent="0.4"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22"/>
      <c r="BB1391" s="122"/>
      <c r="BC1391" s="122"/>
      <c r="BD1391" s="115"/>
      <c r="BE1391" s="115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26"/>
      <c r="BS1391" s="15"/>
      <c r="BV1391" s="114"/>
    </row>
    <row r="1392" spans="1:74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22"/>
      <c r="BB1392" s="122"/>
      <c r="BC1392" s="122"/>
      <c r="BD1392" s="115"/>
      <c r="BE1392" s="115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26"/>
      <c r="BS1392" s="105"/>
      <c r="BV1392" s="114"/>
    </row>
    <row r="1393" spans="1:74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22"/>
      <c r="BB1393" s="122"/>
      <c r="BC1393" s="122"/>
      <c r="BD1393" s="115"/>
      <c r="BE1393" s="115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7"/>
      <c r="BS1393" s="15"/>
      <c r="BV1393" s="114"/>
    </row>
    <row r="1394" spans="1:74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22"/>
      <c r="BB1394" s="122"/>
      <c r="BC1394" s="122"/>
      <c r="BD1394" s="115"/>
      <c r="BE1394" s="115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7"/>
      <c r="BS1394" s="15"/>
      <c r="BV1394" s="114"/>
    </row>
    <row r="1395" spans="1:74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22"/>
      <c r="BB1395" s="122"/>
      <c r="BC1395" s="122"/>
      <c r="BD1395" s="115"/>
      <c r="BE1395" s="115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26"/>
      <c r="BS1395" s="15"/>
      <c r="BV1395" s="114"/>
    </row>
    <row r="1396" spans="1:74" x14ac:dyDescent="0.4">
      <c r="A1396" s="115"/>
      <c r="B1396" s="115"/>
      <c r="C1396" s="115"/>
      <c r="D1396" s="115"/>
      <c r="E1396" s="115"/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22"/>
      <c r="BB1396" s="122"/>
      <c r="BC1396" s="122"/>
      <c r="BD1396" s="115"/>
      <c r="BE1396" s="115"/>
      <c r="BF1396" s="115"/>
      <c r="BG1396" s="115"/>
      <c r="BH1396" s="115"/>
      <c r="BI1396" s="115"/>
      <c r="BJ1396" s="115"/>
      <c r="BK1396" s="115"/>
      <c r="BL1396" s="115"/>
      <c r="BM1396" s="115"/>
      <c r="BN1396" s="115"/>
      <c r="BO1396" s="115"/>
      <c r="BP1396" s="115"/>
      <c r="BQ1396" s="115"/>
      <c r="BR1396" s="26"/>
      <c r="BS1396" s="15"/>
      <c r="BV1396" s="114"/>
    </row>
    <row r="1397" spans="1:74" x14ac:dyDescent="0.4">
      <c r="A1397" s="115"/>
      <c r="B1397" s="115"/>
      <c r="C1397" s="115"/>
      <c r="D1397" s="115"/>
      <c r="E1397" s="115"/>
      <c r="F1397" s="115"/>
      <c r="G1397" s="115"/>
      <c r="H1397" s="115"/>
      <c r="I1397" s="115"/>
      <c r="J1397" s="115"/>
      <c r="K1397" s="115"/>
      <c r="L1397" s="115"/>
      <c r="M1397" s="115"/>
      <c r="N1397" s="115"/>
      <c r="O1397" s="115"/>
      <c r="P1397" s="115"/>
      <c r="Q1397" s="115"/>
      <c r="R1397" s="115"/>
      <c r="S1397" s="115"/>
      <c r="T1397" s="115"/>
      <c r="U1397" s="115"/>
      <c r="V1397" s="115"/>
      <c r="W1397" s="115"/>
      <c r="X1397" s="115"/>
      <c r="Y1397" s="115"/>
      <c r="Z1397" s="115"/>
      <c r="AA1397" s="115"/>
      <c r="AB1397" s="115"/>
      <c r="AC1397" s="115"/>
      <c r="AD1397" s="115"/>
      <c r="AE1397" s="115"/>
      <c r="AF1397" s="115"/>
      <c r="AG1397" s="115"/>
      <c r="AH1397" s="115"/>
      <c r="AI1397" s="115"/>
      <c r="AJ1397" s="115"/>
      <c r="AK1397" s="115"/>
      <c r="AL1397" s="115"/>
      <c r="AM1397" s="115"/>
      <c r="AN1397" s="115"/>
      <c r="AO1397" s="115"/>
      <c r="AP1397" s="115"/>
      <c r="AQ1397" s="115"/>
      <c r="AR1397" s="115"/>
      <c r="AS1397" s="115"/>
      <c r="AT1397" s="115"/>
      <c r="AU1397" s="115"/>
      <c r="AV1397" s="115"/>
      <c r="AW1397" s="115"/>
      <c r="AX1397" s="115"/>
      <c r="AY1397" s="115"/>
      <c r="AZ1397" s="115"/>
      <c r="BA1397" s="122"/>
      <c r="BB1397" s="122"/>
      <c r="BC1397" s="122"/>
      <c r="BD1397" s="115"/>
      <c r="BE1397" s="115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26"/>
      <c r="BS1397" s="15"/>
      <c r="BV1397" s="114"/>
    </row>
    <row r="1398" spans="1:74" x14ac:dyDescent="0.4">
      <c r="A1398" s="115"/>
      <c r="B1398" s="115"/>
      <c r="C1398" s="115"/>
      <c r="D1398" s="115"/>
      <c r="E1398" s="115"/>
      <c r="F1398" s="115"/>
      <c r="G1398" s="115"/>
      <c r="H1398" s="115"/>
      <c r="I1398" s="115"/>
      <c r="J1398" s="115"/>
      <c r="K1398" s="115"/>
      <c r="L1398" s="115"/>
      <c r="M1398" s="115"/>
      <c r="N1398" s="115"/>
      <c r="O1398" s="115"/>
      <c r="P1398" s="115"/>
      <c r="Q1398" s="115"/>
      <c r="R1398" s="115"/>
      <c r="S1398" s="115"/>
      <c r="T1398" s="115"/>
      <c r="U1398" s="115"/>
      <c r="V1398" s="115"/>
      <c r="W1398" s="115"/>
      <c r="X1398" s="115"/>
      <c r="Y1398" s="115"/>
      <c r="Z1398" s="115"/>
      <c r="AA1398" s="115"/>
      <c r="AB1398" s="115"/>
      <c r="AC1398" s="115"/>
      <c r="AD1398" s="115"/>
      <c r="AE1398" s="115"/>
      <c r="AF1398" s="115"/>
      <c r="AG1398" s="115"/>
      <c r="AH1398" s="115"/>
      <c r="AI1398" s="115"/>
      <c r="AJ1398" s="115"/>
      <c r="AK1398" s="115"/>
      <c r="AL1398" s="115"/>
      <c r="AM1398" s="115"/>
      <c r="AN1398" s="115"/>
      <c r="AO1398" s="115"/>
      <c r="AP1398" s="115"/>
      <c r="AQ1398" s="115"/>
      <c r="AR1398" s="115"/>
      <c r="AS1398" s="115"/>
      <c r="AT1398" s="115"/>
      <c r="AU1398" s="115"/>
      <c r="AV1398" s="115"/>
      <c r="AW1398" s="115"/>
      <c r="AX1398" s="115"/>
      <c r="AY1398" s="115"/>
      <c r="AZ1398" s="115"/>
      <c r="BA1398" s="122"/>
      <c r="BB1398" s="122"/>
      <c r="BC1398" s="122"/>
      <c r="BD1398" s="115"/>
      <c r="BE1398" s="115"/>
      <c r="BF1398" s="115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26"/>
      <c r="BS1398" s="15"/>
      <c r="BV1398" s="114"/>
    </row>
    <row r="1399" spans="1:74" x14ac:dyDescent="0.4">
      <c r="A1399" s="115"/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22"/>
      <c r="BB1399" s="122"/>
      <c r="BC1399" s="122"/>
      <c r="BD1399" s="115"/>
      <c r="BE1399" s="115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26"/>
      <c r="BS1399" s="15"/>
      <c r="BV1399" s="114"/>
    </row>
    <row r="1400" spans="1:74" x14ac:dyDescent="0.4">
      <c r="A1400" s="115"/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22"/>
      <c r="BB1400" s="122"/>
      <c r="BC1400" s="122"/>
      <c r="BD1400" s="115"/>
      <c r="BE1400" s="115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26"/>
      <c r="BS1400" s="15"/>
      <c r="BV1400" s="114"/>
    </row>
    <row r="1401" spans="1:74" x14ac:dyDescent="0.4">
      <c r="A1401" s="115"/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22"/>
      <c r="BB1401" s="122"/>
      <c r="BC1401" s="122"/>
      <c r="BD1401" s="115"/>
      <c r="BE1401" s="115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26"/>
      <c r="BS1401" s="15"/>
      <c r="BV1401" s="114"/>
    </row>
    <row r="1402" spans="1:74" x14ac:dyDescent="0.4">
      <c r="A1402" s="115"/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22"/>
      <c r="BB1402" s="122"/>
      <c r="BC1402" s="122"/>
      <c r="BD1402" s="115"/>
      <c r="BE1402" s="115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26"/>
      <c r="BS1402" s="15"/>
      <c r="BV1402" s="114"/>
    </row>
    <row r="1403" spans="1:74" x14ac:dyDescent="0.4">
      <c r="A1403" s="115"/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22"/>
      <c r="BB1403" s="122"/>
      <c r="BC1403" s="122"/>
      <c r="BD1403" s="115"/>
      <c r="BE1403" s="115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26"/>
      <c r="BS1403" s="105"/>
      <c r="BV1403" s="114"/>
    </row>
    <row r="1404" spans="1:74" x14ac:dyDescent="0.4">
      <c r="A1404" s="115"/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22"/>
      <c r="BB1404" s="122"/>
      <c r="BC1404" s="122"/>
      <c r="BD1404" s="115"/>
      <c r="BE1404" s="115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26"/>
      <c r="BS1404" s="15"/>
      <c r="BV1404" s="114"/>
    </row>
    <row r="1405" spans="1:74" x14ac:dyDescent="0.4">
      <c r="A1405" s="115"/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22"/>
      <c r="BB1405" s="122"/>
      <c r="BC1405" s="122"/>
      <c r="BD1405" s="115"/>
      <c r="BE1405" s="115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26"/>
      <c r="BS1405" s="15"/>
      <c r="BV1405" s="114"/>
    </row>
    <row r="1406" spans="1:74" x14ac:dyDescent="0.4">
      <c r="A1406" s="115"/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22"/>
      <c r="BB1406" s="122"/>
      <c r="BC1406" s="122"/>
      <c r="BD1406" s="115"/>
      <c r="BE1406" s="115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26"/>
      <c r="BS1406" s="13"/>
      <c r="BV1406" s="114"/>
    </row>
    <row r="1407" spans="1:74" x14ac:dyDescent="0.4">
      <c r="A1407" s="115"/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22"/>
      <c r="BB1407" s="122"/>
      <c r="BC1407" s="122"/>
      <c r="BD1407" s="115"/>
      <c r="BE1407" s="115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7"/>
      <c r="BS1407" s="13"/>
      <c r="BV1407" s="114"/>
    </row>
    <row r="1408" spans="1:74" x14ac:dyDescent="0.4">
      <c r="A1408" s="115"/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22"/>
      <c r="BB1408" s="122"/>
      <c r="BC1408" s="122"/>
      <c r="BD1408" s="115"/>
      <c r="BE1408" s="115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115"/>
      <c r="BQ1408" s="115"/>
      <c r="BR1408" s="26"/>
      <c r="BS1408" s="13"/>
      <c r="BV1408" s="114"/>
    </row>
    <row r="1409" spans="1:74" x14ac:dyDescent="0.4">
      <c r="A1409" s="115"/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22"/>
      <c r="BB1409" s="122"/>
      <c r="BC1409" s="122"/>
      <c r="BD1409" s="115"/>
      <c r="BE1409" s="115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26"/>
      <c r="BS1409" s="13"/>
      <c r="BV1409" s="114"/>
    </row>
    <row r="1410" spans="1:74" x14ac:dyDescent="0.4">
      <c r="A1410" s="115"/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22"/>
      <c r="BB1410" s="122"/>
      <c r="BC1410" s="122"/>
      <c r="BD1410" s="115"/>
      <c r="BE1410" s="115"/>
      <c r="BF1410" s="115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26"/>
      <c r="BS1410" s="13"/>
      <c r="BV1410" s="114"/>
    </row>
    <row r="1411" spans="1:74" x14ac:dyDescent="0.4">
      <c r="A1411" s="115"/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22"/>
      <c r="BB1411" s="122"/>
      <c r="BC1411" s="122"/>
      <c r="BD1411" s="115"/>
      <c r="BE1411" s="115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26"/>
      <c r="BS1411" s="13"/>
      <c r="BV1411" s="114"/>
    </row>
    <row r="1412" spans="1:74" x14ac:dyDescent="0.4">
      <c r="A1412" s="115"/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22"/>
      <c r="BB1412" s="122"/>
      <c r="BC1412" s="122"/>
      <c r="BD1412" s="115"/>
      <c r="BE1412" s="115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26"/>
      <c r="BS1412" s="13"/>
      <c r="BV1412" s="114"/>
    </row>
    <row r="1413" spans="1:74" x14ac:dyDescent="0.4">
      <c r="A1413" s="115"/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22"/>
      <c r="BB1413" s="122"/>
      <c r="BC1413" s="122"/>
      <c r="BD1413" s="115"/>
      <c r="BE1413" s="115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26"/>
      <c r="BS1413" s="13"/>
      <c r="BV1413" s="114"/>
    </row>
    <row r="1414" spans="1:74" x14ac:dyDescent="0.4">
      <c r="A1414" s="115"/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22"/>
      <c r="BB1414" s="122"/>
      <c r="BC1414" s="122"/>
      <c r="BD1414" s="115"/>
      <c r="BE1414" s="115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7"/>
      <c r="BS1414" s="13"/>
      <c r="BV1414" s="114"/>
    </row>
    <row r="1415" spans="1:74" x14ac:dyDescent="0.4">
      <c r="A1415" s="115"/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22"/>
      <c r="BB1415" s="122"/>
      <c r="BC1415" s="122"/>
      <c r="BD1415" s="115"/>
      <c r="BE1415" s="115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26"/>
      <c r="BS1415" s="13"/>
      <c r="BV1415" s="114"/>
    </row>
    <row r="1416" spans="1:74" x14ac:dyDescent="0.4">
      <c r="A1416" s="115"/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22"/>
      <c r="BB1416" s="122"/>
      <c r="BC1416" s="122"/>
      <c r="BD1416" s="115"/>
      <c r="BE1416" s="115"/>
      <c r="BF1416" s="115"/>
      <c r="BG1416" s="115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26"/>
      <c r="BS1416" s="13"/>
      <c r="BV1416" s="114"/>
    </row>
    <row r="1417" spans="1:74" x14ac:dyDescent="0.4">
      <c r="A1417" s="115"/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22"/>
      <c r="BB1417" s="122"/>
      <c r="BC1417" s="122"/>
      <c r="BD1417" s="115"/>
      <c r="BE1417" s="115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26"/>
      <c r="BS1417" s="13"/>
      <c r="BV1417" s="114"/>
    </row>
    <row r="1418" spans="1:74" x14ac:dyDescent="0.4">
      <c r="A1418" s="115"/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22"/>
      <c r="BB1418" s="122"/>
      <c r="BC1418" s="122"/>
      <c r="BD1418" s="115"/>
      <c r="BE1418" s="115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26"/>
      <c r="BS1418" s="13"/>
      <c r="BV1418" s="114"/>
    </row>
    <row r="1419" spans="1:74" x14ac:dyDescent="0.4">
      <c r="A1419" s="115"/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22"/>
      <c r="BB1419" s="122"/>
      <c r="BC1419" s="122"/>
      <c r="BD1419" s="115"/>
      <c r="BE1419" s="115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26"/>
      <c r="BS1419" s="25"/>
      <c r="BV1419" s="114"/>
    </row>
    <row r="1420" spans="1:74" x14ac:dyDescent="0.4">
      <c r="A1420" s="115"/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22"/>
      <c r="BB1420" s="122"/>
      <c r="BC1420" s="122"/>
      <c r="BD1420" s="115"/>
      <c r="BE1420" s="115"/>
      <c r="BF1420" s="115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7"/>
      <c r="BS1420" s="13"/>
      <c r="BV1420" s="114"/>
    </row>
    <row r="1421" spans="1:74" x14ac:dyDescent="0.4">
      <c r="A1421" s="115"/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22"/>
      <c r="BB1421" s="122"/>
      <c r="BC1421" s="122"/>
      <c r="BD1421" s="115"/>
      <c r="BE1421" s="115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26"/>
      <c r="BS1421" s="15"/>
      <c r="BV1421" s="114"/>
    </row>
    <row r="1422" spans="1:74" x14ac:dyDescent="0.4">
      <c r="A1422" s="115"/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22"/>
      <c r="BB1422" s="122"/>
      <c r="BC1422" s="122"/>
      <c r="BD1422" s="115"/>
      <c r="BE1422" s="115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26"/>
      <c r="BS1422" s="15"/>
      <c r="BV1422" s="114"/>
    </row>
    <row r="1423" spans="1:74" x14ac:dyDescent="0.4">
      <c r="A1423" s="115"/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22"/>
      <c r="BB1423" s="122"/>
      <c r="BC1423" s="122"/>
      <c r="BD1423" s="115"/>
      <c r="BE1423" s="115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15"/>
      <c r="BP1423" s="115"/>
      <c r="BQ1423" s="115"/>
      <c r="BR1423" s="17"/>
      <c r="BS1423" s="15"/>
      <c r="BV1423" s="114"/>
    </row>
    <row r="1424" spans="1:74" x14ac:dyDescent="0.4">
      <c r="A1424" s="115"/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22"/>
      <c r="BB1424" s="122"/>
      <c r="BC1424" s="122"/>
      <c r="BD1424" s="115"/>
      <c r="BE1424" s="115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26"/>
      <c r="BS1424" s="15"/>
      <c r="BV1424" s="114"/>
    </row>
    <row r="1425" spans="1:74" x14ac:dyDescent="0.4">
      <c r="A1425" s="115"/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22"/>
      <c r="BB1425" s="122"/>
      <c r="BC1425" s="122"/>
      <c r="BD1425" s="115"/>
      <c r="BE1425" s="115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26"/>
      <c r="BS1425" s="15"/>
      <c r="BV1425" s="114"/>
    </row>
    <row r="1426" spans="1:74" x14ac:dyDescent="0.4">
      <c r="A1426" s="115"/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22"/>
      <c r="BB1426" s="122"/>
      <c r="BC1426" s="122"/>
      <c r="BD1426" s="115"/>
      <c r="BE1426" s="115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26"/>
      <c r="BS1426" s="13"/>
      <c r="BV1426" s="114"/>
    </row>
    <row r="1427" spans="1:74" x14ac:dyDescent="0.4">
      <c r="A1427" s="115"/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22"/>
      <c r="BB1427" s="122"/>
      <c r="BC1427" s="122"/>
      <c r="BD1427" s="115"/>
      <c r="BE1427" s="115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26"/>
      <c r="BS1427" s="13"/>
      <c r="BV1427" s="114"/>
    </row>
    <row r="1428" spans="1:74" x14ac:dyDescent="0.4">
      <c r="A1428" s="115"/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22"/>
      <c r="BB1428" s="122"/>
      <c r="BC1428" s="122"/>
      <c r="BD1428" s="115"/>
      <c r="BE1428" s="115"/>
      <c r="BF1428" s="115"/>
      <c r="BG1428" s="115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26"/>
      <c r="BS1428" s="13"/>
      <c r="BV1428" s="114"/>
    </row>
    <row r="1429" spans="1:74" x14ac:dyDescent="0.4">
      <c r="A1429" s="115"/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22"/>
      <c r="BB1429" s="122"/>
      <c r="BC1429" s="122"/>
      <c r="BD1429" s="115"/>
      <c r="BE1429" s="115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26"/>
      <c r="BS1429" s="13"/>
      <c r="BV1429" s="114"/>
    </row>
    <row r="1430" spans="1:74" x14ac:dyDescent="0.4">
      <c r="A1430" s="115"/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22"/>
      <c r="BB1430" s="122"/>
      <c r="BC1430" s="122"/>
      <c r="BD1430" s="115"/>
      <c r="BE1430" s="115"/>
      <c r="BF1430" s="115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26"/>
      <c r="BS1430" s="13"/>
      <c r="BV1430" s="114"/>
    </row>
    <row r="1431" spans="1:74" x14ac:dyDescent="0.4">
      <c r="A1431" s="115"/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22"/>
      <c r="BB1431" s="122"/>
      <c r="BC1431" s="122"/>
      <c r="BD1431" s="115"/>
      <c r="BE1431" s="115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26"/>
      <c r="BS1431" s="13"/>
      <c r="BV1431" s="114"/>
    </row>
    <row r="1432" spans="1:74" x14ac:dyDescent="0.4">
      <c r="A1432" s="115"/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22"/>
      <c r="BB1432" s="122"/>
      <c r="BC1432" s="122"/>
      <c r="BD1432" s="115"/>
      <c r="BE1432" s="115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26"/>
      <c r="BS1432" s="13"/>
      <c r="BV1432" s="114"/>
    </row>
    <row r="1433" spans="1:74" x14ac:dyDescent="0.4">
      <c r="A1433" s="115"/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22"/>
      <c r="BB1433" s="122"/>
      <c r="BC1433" s="122"/>
      <c r="BD1433" s="115"/>
      <c r="BE1433" s="115"/>
      <c r="BF1433" s="115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26"/>
      <c r="BS1433" s="13"/>
      <c r="BV1433" s="114"/>
    </row>
    <row r="1434" spans="1:74" x14ac:dyDescent="0.4">
      <c r="A1434" s="115"/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22"/>
      <c r="BB1434" s="122"/>
      <c r="BC1434" s="122"/>
      <c r="BD1434" s="115"/>
      <c r="BE1434" s="115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7"/>
      <c r="BS1434" s="13"/>
      <c r="BV1434" s="114"/>
    </row>
    <row r="1435" spans="1:74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22"/>
      <c r="BB1435" s="122"/>
      <c r="BC1435" s="122"/>
      <c r="BD1435" s="115"/>
      <c r="BE1435" s="115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15"/>
      <c r="BR1435" s="26"/>
      <c r="BS1435" s="13"/>
      <c r="BV1435" s="114"/>
    </row>
    <row r="1436" spans="1:74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22"/>
      <c r="BB1436" s="122"/>
      <c r="BC1436" s="122"/>
      <c r="BD1436" s="115"/>
      <c r="BE1436" s="115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7"/>
      <c r="BS1436" s="13"/>
      <c r="BV1436" s="114"/>
    </row>
    <row r="1437" spans="1:74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22"/>
      <c r="BB1437" s="122"/>
      <c r="BC1437" s="122"/>
      <c r="BD1437" s="115"/>
      <c r="BE1437" s="115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26"/>
      <c r="BS1437" s="13"/>
      <c r="BV1437" s="114"/>
    </row>
    <row r="1438" spans="1:74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22"/>
      <c r="BB1438" s="122"/>
      <c r="BC1438" s="122"/>
      <c r="BD1438" s="115"/>
      <c r="BE1438" s="115"/>
      <c r="BF1438" s="115"/>
      <c r="BG1438" s="115"/>
      <c r="BH1438" s="115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26"/>
      <c r="BS1438" s="13"/>
      <c r="BV1438" s="114"/>
    </row>
    <row r="1439" spans="1:74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22"/>
      <c r="BB1439" s="122"/>
      <c r="BC1439" s="122"/>
      <c r="BD1439" s="115"/>
      <c r="BE1439" s="115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26"/>
      <c r="BS1439" s="13"/>
      <c r="BV1439" s="114"/>
    </row>
    <row r="1440" spans="1:74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22"/>
      <c r="BB1440" s="122"/>
      <c r="BC1440" s="122"/>
      <c r="BD1440" s="115"/>
      <c r="BE1440" s="115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26"/>
      <c r="BS1440" s="15"/>
      <c r="BV1440" s="114"/>
    </row>
    <row r="1441" spans="1:75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22"/>
      <c r="BB1441" s="122"/>
      <c r="BC1441" s="122"/>
      <c r="BD1441" s="115"/>
      <c r="BE1441" s="115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26"/>
      <c r="BS1441" s="15"/>
      <c r="BV1441" s="114"/>
    </row>
    <row r="1442" spans="1:75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22"/>
      <c r="BB1442" s="122"/>
      <c r="BC1442" s="122"/>
      <c r="BD1442" s="115"/>
      <c r="BE1442" s="115"/>
      <c r="BF1442" s="115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26"/>
      <c r="BS1442" s="15"/>
      <c r="BV1442" s="114"/>
    </row>
    <row r="1443" spans="1:75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22"/>
      <c r="BB1443" s="122"/>
      <c r="BC1443" s="122"/>
      <c r="BD1443" s="115"/>
      <c r="BE1443" s="115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26"/>
      <c r="BS1443" s="13"/>
      <c r="BV1443" s="114"/>
    </row>
    <row r="1444" spans="1:75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22"/>
      <c r="BB1444" s="122"/>
      <c r="BC1444" s="122"/>
      <c r="BD1444" s="115"/>
      <c r="BE1444" s="115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26"/>
      <c r="BS1444" s="15"/>
      <c r="BV1444" s="114"/>
    </row>
    <row r="1445" spans="1:75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22"/>
      <c r="BB1445" s="122"/>
      <c r="BC1445" s="122"/>
      <c r="BD1445" s="115"/>
      <c r="BE1445" s="115"/>
      <c r="BF1445" s="115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26"/>
      <c r="BS1445" s="15"/>
      <c r="BV1445" s="114"/>
      <c r="BW1445" s="120"/>
    </row>
    <row r="1446" spans="1:75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22"/>
      <c r="BB1446" s="122"/>
      <c r="BC1446" s="122"/>
      <c r="BD1446" s="115"/>
      <c r="BE1446" s="115"/>
      <c r="BF1446" s="115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26"/>
      <c r="BS1446" s="15"/>
      <c r="BV1446" s="114"/>
      <c r="BW1446" s="120"/>
    </row>
    <row r="1447" spans="1:75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22"/>
      <c r="BB1447" s="122"/>
      <c r="BC1447" s="122"/>
      <c r="BD1447" s="115"/>
      <c r="BE1447" s="115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26"/>
      <c r="BS1447" s="15"/>
      <c r="BV1447" s="114"/>
      <c r="BW1447" s="120"/>
    </row>
    <row r="1448" spans="1:75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22"/>
      <c r="BB1448" s="122"/>
      <c r="BC1448" s="122"/>
      <c r="BD1448" s="115"/>
      <c r="BE1448" s="115"/>
      <c r="BF1448" s="115"/>
      <c r="BG1448" s="115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26"/>
      <c r="BS1448" s="15"/>
      <c r="BV1448" s="114"/>
      <c r="BW1448" s="120"/>
    </row>
    <row r="1449" spans="1:75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22"/>
      <c r="BB1449" s="122"/>
      <c r="BC1449" s="122"/>
      <c r="BD1449" s="115"/>
      <c r="BE1449" s="115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26"/>
      <c r="BS1449" s="15"/>
      <c r="BV1449" s="114"/>
      <c r="BW1449" s="120"/>
    </row>
    <row r="1450" spans="1:75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22"/>
      <c r="BB1450" s="122"/>
      <c r="BC1450" s="122"/>
      <c r="BD1450" s="115"/>
      <c r="BE1450" s="115"/>
      <c r="BF1450" s="115"/>
      <c r="BG1450" s="115"/>
      <c r="BH1450" s="115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26"/>
      <c r="BS1450" s="15"/>
      <c r="BV1450" s="114"/>
      <c r="BW1450" s="120"/>
    </row>
    <row r="1451" spans="1:75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22"/>
      <c r="BB1451" s="122"/>
      <c r="BC1451" s="122"/>
      <c r="BD1451" s="115"/>
      <c r="BE1451" s="115"/>
      <c r="BF1451" s="115"/>
      <c r="BG1451" s="115"/>
      <c r="BH1451" s="115"/>
      <c r="BI1451" s="115"/>
      <c r="BJ1451" s="115"/>
      <c r="BK1451" s="115"/>
      <c r="BL1451" s="115"/>
      <c r="BM1451" s="115"/>
      <c r="BN1451" s="115"/>
      <c r="BO1451" s="115"/>
      <c r="BP1451" s="115"/>
      <c r="BQ1451" s="115"/>
      <c r="BR1451" s="26"/>
      <c r="BS1451" s="15"/>
      <c r="BV1451" s="114"/>
      <c r="BW1451" s="120"/>
    </row>
    <row r="1452" spans="1:75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22"/>
      <c r="BB1452" s="122"/>
      <c r="BC1452" s="122"/>
      <c r="BD1452" s="115"/>
      <c r="BE1452" s="115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7"/>
      <c r="BS1452" s="15"/>
      <c r="BV1452" s="114"/>
      <c r="BW1452" s="120"/>
    </row>
    <row r="1453" spans="1:75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22"/>
      <c r="BB1453" s="122"/>
      <c r="BC1453" s="122"/>
      <c r="BD1453" s="115"/>
      <c r="BE1453" s="115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26"/>
      <c r="BS1453" s="15"/>
      <c r="BV1453" s="114"/>
      <c r="BW1453" s="120"/>
    </row>
    <row r="1454" spans="1:75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22"/>
      <c r="BB1454" s="122"/>
      <c r="BC1454" s="122"/>
      <c r="BD1454" s="115"/>
      <c r="BE1454" s="115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26"/>
      <c r="BS1454" s="15"/>
      <c r="BV1454" s="114"/>
    </row>
    <row r="1455" spans="1:75" x14ac:dyDescent="0.4">
      <c r="BR1455" s="26"/>
      <c r="BS1455" s="15"/>
      <c r="BV1455" s="114"/>
    </row>
    <row r="1456" spans="1:75" x14ac:dyDescent="0.4">
      <c r="BE1456" s="115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7"/>
      <c r="BS1456" s="15"/>
      <c r="BV1456" s="114"/>
    </row>
    <row r="1457" spans="4:78" x14ac:dyDescent="0.4">
      <c r="BE1457" s="115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7"/>
      <c r="BS1457" s="15"/>
      <c r="BV1457" s="114"/>
    </row>
    <row r="1458" spans="4:78" x14ac:dyDescent="0.4">
      <c r="BC1458" s="122"/>
      <c r="BD1458" s="115"/>
      <c r="BE1458" s="115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7"/>
      <c r="BS1458" s="15"/>
      <c r="BV1458" s="114"/>
    </row>
    <row r="1459" spans="4:78" x14ac:dyDescent="0.4">
      <c r="AX1459" s="115"/>
      <c r="AY1459" s="115"/>
      <c r="AZ1459" s="115"/>
      <c r="BA1459" s="122"/>
      <c r="BB1459" s="122"/>
      <c r="BC1459" s="122"/>
      <c r="BD1459" s="115"/>
      <c r="BE1459" s="115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26"/>
      <c r="BS1459" s="15"/>
      <c r="BV1459" s="114"/>
    </row>
    <row r="1460" spans="4:78" x14ac:dyDescent="0.4">
      <c r="AX1460" s="115"/>
      <c r="AY1460" s="115"/>
      <c r="AZ1460" s="115"/>
      <c r="BA1460" s="122"/>
      <c r="BB1460" s="122"/>
      <c r="BC1460" s="122"/>
      <c r="BD1460" s="115"/>
      <c r="BE1460" s="115"/>
      <c r="BF1460" s="115"/>
      <c r="BG1460" s="115"/>
      <c r="BH1460" s="115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7"/>
      <c r="BS1460" s="15"/>
      <c r="BV1460" s="114"/>
    </row>
    <row r="1461" spans="4:78" x14ac:dyDescent="0.4">
      <c r="AW1461" s="115"/>
      <c r="AX1461" s="115"/>
      <c r="AY1461" s="115"/>
      <c r="AZ1461" s="115"/>
      <c r="BA1461" s="122"/>
      <c r="BB1461" s="122"/>
      <c r="BC1461" s="122"/>
      <c r="BD1461" s="115"/>
      <c r="BE1461" s="115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26"/>
      <c r="BS1461" s="15"/>
      <c r="BV1461" s="114"/>
    </row>
    <row r="1462" spans="4:78" x14ac:dyDescent="0.4">
      <c r="AW1462" s="115"/>
      <c r="AX1462" s="115"/>
      <c r="AY1462" s="115"/>
      <c r="AZ1462" s="115"/>
      <c r="BA1462" s="122"/>
      <c r="BB1462" s="122"/>
      <c r="BC1462" s="122"/>
      <c r="BD1462" s="115"/>
      <c r="BE1462" s="115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7"/>
      <c r="BS1462" s="15"/>
      <c r="BV1462" s="114"/>
    </row>
    <row r="1463" spans="4:78" x14ac:dyDescent="0.4">
      <c r="AW1463" s="115"/>
      <c r="AX1463" s="115"/>
      <c r="AY1463" s="115"/>
      <c r="AZ1463" s="115"/>
      <c r="BA1463" s="122"/>
      <c r="BB1463" s="122"/>
      <c r="BC1463" s="122"/>
      <c r="BD1463" s="115"/>
      <c r="BE1463" s="115"/>
      <c r="BF1463" s="115"/>
      <c r="BG1463" s="115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7"/>
      <c r="BS1463" s="15"/>
      <c r="BV1463" s="114"/>
    </row>
    <row r="1464" spans="4:78" x14ac:dyDescent="0.4">
      <c r="AW1464" s="115"/>
      <c r="AX1464" s="115"/>
      <c r="AY1464" s="115"/>
      <c r="AZ1464" s="115"/>
      <c r="BA1464" s="122"/>
      <c r="BB1464" s="122"/>
      <c r="BC1464" s="122"/>
      <c r="BD1464" s="115"/>
      <c r="BE1464" s="115"/>
      <c r="BF1464" s="115"/>
      <c r="BG1464" s="115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7"/>
      <c r="BS1464" s="15"/>
      <c r="BV1464" s="114"/>
    </row>
    <row r="1465" spans="4:78" x14ac:dyDescent="0.4">
      <c r="AW1465" s="115"/>
      <c r="AX1465" s="115"/>
      <c r="AY1465" s="115"/>
      <c r="AZ1465" s="115"/>
      <c r="BA1465" s="122"/>
      <c r="BB1465" s="122"/>
      <c r="BC1465" s="122"/>
      <c r="BD1465" s="115"/>
      <c r="BE1465" s="115"/>
      <c r="BF1465" s="115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26"/>
      <c r="BS1465" s="15"/>
      <c r="BV1465" s="114"/>
    </row>
    <row r="1466" spans="4:78" x14ac:dyDescent="0.4">
      <c r="AW1466" s="115"/>
      <c r="AX1466" s="115"/>
      <c r="AY1466" s="115"/>
      <c r="AZ1466" s="115"/>
      <c r="BA1466" s="122"/>
      <c r="BB1466" s="122"/>
      <c r="BC1466" s="122"/>
      <c r="BD1466" s="115"/>
      <c r="BE1466" s="115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7"/>
      <c r="BS1466" s="15"/>
      <c r="BV1466" s="114"/>
    </row>
    <row r="1467" spans="4:78" ht="19.5" x14ac:dyDescent="0.4">
      <c r="BR1467" s="26"/>
      <c r="BS1467" s="15"/>
      <c r="BW1467" s="116"/>
      <c r="BX1467" s="116"/>
      <c r="BY1467" s="116"/>
      <c r="BZ1467" s="116"/>
    </row>
    <row r="1468" spans="4:78" ht="19.5" x14ac:dyDescent="0.4">
      <c r="BB1468" s="122"/>
      <c r="BC1468" s="122"/>
      <c r="BD1468" s="115"/>
      <c r="BE1468" s="115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7"/>
      <c r="BS1468" s="15"/>
      <c r="BW1468" s="117"/>
      <c r="BX1468" s="116"/>
      <c r="BY1468" s="116"/>
      <c r="BZ1468" s="116"/>
    </row>
    <row r="1469" spans="4:78" ht="19.5" x14ac:dyDescent="0.4">
      <c r="AT1469" s="115"/>
      <c r="AU1469" s="115"/>
      <c r="AV1469" s="115"/>
      <c r="AW1469" s="115"/>
      <c r="AX1469" s="115"/>
      <c r="AY1469" s="115"/>
      <c r="AZ1469" s="115"/>
      <c r="BA1469" s="122"/>
      <c r="BB1469" s="122"/>
      <c r="BC1469" s="122"/>
      <c r="BD1469" s="115"/>
      <c r="BE1469" s="115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26"/>
      <c r="BS1469" s="15"/>
      <c r="BW1469" s="117"/>
      <c r="BX1469" s="116"/>
      <c r="BY1469" s="116"/>
      <c r="BZ1469" s="116"/>
    </row>
    <row r="1470" spans="4:78" ht="19.5" x14ac:dyDescent="0.4"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22"/>
      <c r="BB1470" s="122"/>
      <c r="BC1470" s="122"/>
      <c r="BD1470" s="115"/>
      <c r="BE1470" s="115"/>
      <c r="BF1470" s="115"/>
      <c r="BG1470" s="115"/>
      <c r="BH1470" s="115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26"/>
      <c r="BS1470" s="13"/>
      <c r="BW1470" s="117"/>
      <c r="BX1470" s="116"/>
      <c r="BY1470" s="116"/>
      <c r="BZ1470" s="116"/>
    </row>
    <row r="1471" spans="4:78" ht="19.5" x14ac:dyDescent="0.4"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22"/>
      <c r="BB1471" s="122"/>
      <c r="BC1471" s="122"/>
      <c r="BD1471" s="115"/>
      <c r="BE1471" s="115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26"/>
      <c r="BS1471" s="15"/>
      <c r="BW1471" s="117"/>
      <c r="BX1471" s="116"/>
      <c r="BY1471" s="116"/>
      <c r="BZ1471" s="116"/>
    </row>
    <row r="1472" spans="4:78" ht="19.5" x14ac:dyDescent="0.4"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22"/>
      <c r="BB1472" s="122"/>
      <c r="BC1472" s="122"/>
      <c r="BD1472" s="115"/>
      <c r="BE1472" s="115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7"/>
      <c r="BS1472" s="15"/>
      <c r="BW1472" s="117"/>
      <c r="BX1472" s="116"/>
      <c r="BY1472" s="116"/>
      <c r="BZ1472" s="116"/>
    </row>
    <row r="1473" spans="1:78" ht="19.5" x14ac:dyDescent="0.4"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22"/>
      <c r="BB1473" s="122"/>
      <c r="BC1473" s="122"/>
      <c r="BD1473" s="115"/>
      <c r="BE1473" s="115"/>
      <c r="BF1473" s="115"/>
      <c r="BG1473" s="115"/>
      <c r="BH1473" s="115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26"/>
      <c r="BS1473" s="15"/>
      <c r="BW1473" s="117"/>
      <c r="BX1473" s="116"/>
      <c r="BY1473" s="116"/>
      <c r="BZ1473" s="116"/>
    </row>
    <row r="1474" spans="1:78" ht="19.5" x14ac:dyDescent="0.4"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22"/>
      <c r="BB1474" s="122"/>
      <c r="BC1474" s="122"/>
      <c r="BD1474" s="115"/>
      <c r="BE1474" s="115"/>
      <c r="BF1474" s="115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26"/>
      <c r="BS1474" s="15"/>
      <c r="BW1474" s="117"/>
      <c r="BX1474" s="116"/>
      <c r="BY1474" s="116"/>
      <c r="BZ1474" s="116"/>
    </row>
    <row r="1475" spans="1:78" ht="19.5" x14ac:dyDescent="0.4"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22"/>
      <c r="BB1475" s="122"/>
      <c r="BC1475" s="122"/>
      <c r="BD1475" s="115"/>
      <c r="BE1475" s="115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7"/>
      <c r="BS1475" s="15"/>
      <c r="BW1475" s="117"/>
      <c r="BX1475" s="116"/>
      <c r="BY1475" s="116"/>
      <c r="BZ1475" s="116"/>
    </row>
    <row r="1476" spans="1:78" ht="19.5" x14ac:dyDescent="0.4"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22"/>
      <c r="BB1476" s="122"/>
      <c r="BC1476" s="122"/>
      <c r="BD1476" s="115"/>
      <c r="BE1476" s="115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26"/>
      <c r="BS1476" s="15"/>
      <c r="BW1476" s="117"/>
      <c r="BX1476" s="116"/>
      <c r="BY1476" s="116"/>
      <c r="BZ1476" s="116"/>
    </row>
    <row r="1477" spans="1:78" ht="19.5" x14ac:dyDescent="0.4">
      <c r="BR1477" s="26"/>
      <c r="BS1477" s="15"/>
      <c r="BW1477" s="117"/>
      <c r="BX1477" s="116"/>
      <c r="BY1477" s="116"/>
      <c r="BZ1477" s="116"/>
    </row>
    <row r="1478" spans="1:78" ht="19.5" x14ac:dyDescent="0.4">
      <c r="BB1478" s="122"/>
      <c r="BC1478" s="122"/>
      <c r="BD1478" s="115"/>
      <c r="BE1478" s="115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115"/>
      <c r="BR1478" s="17"/>
      <c r="BS1478" s="15"/>
      <c r="BW1478" s="117"/>
      <c r="BX1478" s="116"/>
      <c r="BY1478" s="116"/>
      <c r="BZ1478" s="116"/>
    </row>
    <row r="1479" spans="1:78" ht="19.5" x14ac:dyDescent="0.4">
      <c r="AY1479" s="115"/>
      <c r="AZ1479" s="115"/>
      <c r="BA1479" s="122"/>
      <c r="BB1479" s="122"/>
      <c r="BC1479" s="122"/>
      <c r="BD1479" s="115"/>
      <c r="BE1479" s="115"/>
      <c r="BF1479" s="115"/>
      <c r="BG1479" s="115"/>
      <c r="BH1479" s="115"/>
      <c r="BI1479" s="115"/>
      <c r="BJ1479" s="115"/>
      <c r="BK1479" s="115"/>
      <c r="BL1479" s="115"/>
      <c r="BM1479" s="115"/>
      <c r="BN1479" s="115"/>
      <c r="BO1479" s="115"/>
      <c r="BP1479" s="115"/>
      <c r="BQ1479" s="115"/>
      <c r="BR1479" s="26"/>
      <c r="BS1479" s="15"/>
      <c r="BW1479" s="117"/>
      <c r="BX1479" s="116"/>
      <c r="BY1479" s="116"/>
      <c r="BZ1479" s="116"/>
    </row>
    <row r="1480" spans="1:78" ht="19.5" x14ac:dyDescent="0.4">
      <c r="AY1480" s="115"/>
      <c r="AZ1480" s="115"/>
      <c r="BA1480" s="122"/>
      <c r="BB1480" s="122"/>
      <c r="BC1480" s="122"/>
      <c r="BD1480" s="115"/>
      <c r="BE1480" s="115"/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7"/>
      <c r="BS1480" s="15"/>
      <c r="BW1480" s="117"/>
      <c r="BX1480" s="116"/>
      <c r="BY1480" s="116"/>
      <c r="BZ1480" s="116"/>
    </row>
    <row r="1481" spans="1:78" ht="19.5" x14ac:dyDescent="0.4">
      <c r="AX1481" s="115"/>
      <c r="AY1481" s="115"/>
      <c r="AZ1481" s="115"/>
      <c r="BA1481" s="122"/>
      <c r="BB1481" s="122"/>
      <c r="BC1481" s="122"/>
      <c r="BD1481" s="115"/>
      <c r="BE1481" s="115"/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26"/>
      <c r="BS1481" s="15"/>
      <c r="BW1481" s="117"/>
      <c r="BX1481" s="116"/>
      <c r="BY1481" s="116"/>
      <c r="BZ1481" s="116"/>
    </row>
    <row r="1482" spans="1:78" ht="19.5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22"/>
      <c r="BB1482" s="122"/>
      <c r="BC1482" s="122"/>
      <c r="BD1482" s="115"/>
      <c r="BE1482" s="115"/>
      <c r="BF1482" s="115"/>
      <c r="BG1482" s="115"/>
      <c r="BH1482" s="115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26"/>
      <c r="BS1482" s="15"/>
      <c r="BW1482" s="117"/>
      <c r="BX1482" s="116"/>
      <c r="BY1482" s="116"/>
      <c r="BZ1482" s="116"/>
    </row>
    <row r="1483" spans="1:78" ht="19.5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22"/>
      <c r="BB1483" s="122"/>
      <c r="BC1483" s="122"/>
      <c r="BD1483" s="115"/>
      <c r="BE1483" s="115"/>
      <c r="BF1483" s="115"/>
      <c r="BG1483" s="115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26"/>
      <c r="BS1483" s="15"/>
      <c r="BW1483" s="117"/>
      <c r="BX1483" s="116"/>
      <c r="BY1483" s="116"/>
      <c r="BZ1483" s="116"/>
    </row>
    <row r="1484" spans="1:78" ht="19.5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22"/>
      <c r="BB1484" s="122"/>
      <c r="BC1484" s="122"/>
      <c r="BD1484" s="115"/>
      <c r="BE1484" s="115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26"/>
      <c r="BS1484" s="15"/>
      <c r="BW1484" s="117"/>
      <c r="BX1484" s="116"/>
      <c r="BY1484" s="116"/>
      <c r="BZ1484" s="116"/>
    </row>
    <row r="1485" spans="1:78" ht="19.5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22"/>
      <c r="BB1485" s="122"/>
      <c r="BC1485" s="122"/>
      <c r="BD1485" s="115"/>
      <c r="BE1485" s="115"/>
      <c r="BF1485" s="115"/>
      <c r="BG1485" s="115"/>
      <c r="BH1485" s="115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26"/>
      <c r="BS1485" s="105"/>
      <c r="BW1485" s="117"/>
      <c r="BX1485" s="116"/>
      <c r="BY1485" s="116"/>
      <c r="BZ1485" s="116"/>
    </row>
    <row r="1486" spans="1:78" ht="19.5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22"/>
      <c r="BB1486" s="122"/>
      <c r="BC1486" s="122"/>
      <c r="BD1486" s="115"/>
      <c r="BE1486" s="115"/>
      <c r="BF1486" s="115"/>
      <c r="BG1486" s="115"/>
      <c r="BH1486" s="115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26"/>
      <c r="BS1486" s="105"/>
      <c r="BW1486" s="117"/>
      <c r="BX1486" s="116"/>
      <c r="BY1486" s="116"/>
      <c r="BZ1486" s="116"/>
    </row>
    <row r="1487" spans="1:78" ht="19.5" x14ac:dyDescent="0.4">
      <c r="BR1487" s="26"/>
      <c r="BS1487" s="13"/>
      <c r="BW1487" s="117"/>
      <c r="BX1487" s="116"/>
      <c r="BY1487" s="116"/>
      <c r="BZ1487" s="116"/>
    </row>
    <row r="1488" spans="1:78" ht="19.5" x14ac:dyDescent="0.4">
      <c r="AY1488" s="115"/>
      <c r="AZ1488" s="115"/>
      <c r="BA1488" s="122"/>
      <c r="BB1488" s="122"/>
      <c r="BC1488" s="122"/>
      <c r="BD1488" s="115"/>
      <c r="BE1488" s="115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26"/>
      <c r="BS1488" s="13"/>
      <c r="BW1488" s="117"/>
      <c r="BX1488" s="116"/>
      <c r="BY1488" s="116"/>
      <c r="BZ1488" s="116"/>
    </row>
    <row r="1489" spans="3:78" ht="19.5" x14ac:dyDescent="0.4">
      <c r="AT1489" s="115"/>
      <c r="AU1489" s="115"/>
      <c r="AV1489" s="115"/>
      <c r="AW1489" s="115"/>
      <c r="AX1489" s="115"/>
      <c r="AY1489" s="115"/>
      <c r="AZ1489" s="115"/>
      <c r="BA1489" s="122"/>
      <c r="BB1489" s="122"/>
      <c r="BC1489" s="122"/>
      <c r="BD1489" s="115"/>
      <c r="BE1489" s="115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26"/>
      <c r="BS1489" s="13"/>
      <c r="BW1489" s="117"/>
      <c r="BX1489" s="116"/>
      <c r="BY1489" s="116"/>
      <c r="BZ1489" s="116"/>
    </row>
    <row r="1490" spans="3:78" ht="19.5" x14ac:dyDescent="0.4">
      <c r="BR1490" s="26"/>
      <c r="BS1490" s="13"/>
      <c r="BW1490" s="117"/>
      <c r="BX1490" s="116"/>
      <c r="BY1490" s="116"/>
      <c r="BZ1490" s="116"/>
    </row>
    <row r="1491" spans="3:78" ht="19.5" x14ac:dyDescent="0.4"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22"/>
      <c r="BB1491" s="122"/>
      <c r="BC1491" s="122"/>
      <c r="BD1491" s="115"/>
      <c r="BE1491" s="115"/>
      <c r="BF1491" s="115"/>
      <c r="BG1491" s="115"/>
      <c r="BH1491" s="115"/>
      <c r="BI1491" s="115"/>
      <c r="BJ1491" s="115"/>
      <c r="BK1491" s="115"/>
      <c r="BL1491" s="115"/>
      <c r="BM1491" s="115"/>
      <c r="BN1491" s="115"/>
      <c r="BO1491" s="115"/>
      <c r="BP1491" s="115"/>
      <c r="BQ1491" s="115"/>
      <c r="BR1491" s="26"/>
      <c r="BS1491" s="13"/>
      <c r="BW1491" s="117"/>
      <c r="BX1491" s="116"/>
      <c r="BY1491" s="116"/>
      <c r="BZ1491" s="116"/>
    </row>
    <row r="1492" spans="3:78" ht="19.5" x14ac:dyDescent="0.4"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22"/>
      <c r="BB1492" s="122"/>
      <c r="BC1492" s="122"/>
      <c r="BD1492" s="115"/>
      <c r="BE1492" s="115"/>
      <c r="BF1492" s="115"/>
      <c r="BG1492" s="115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26"/>
      <c r="BS1492" s="13"/>
      <c r="BW1492" s="117"/>
      <c r="BX1492" s="116"/>
      <c r="BY1492" s="116"/>
      <c r="BZ1492" s="116"/>
    </row>
    <row r="1493" spans="3:78" ht="19.5" x14ac:dyDescent="0.4"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22"/>
      <c r="BB1493" s="122"/>
      <c r="BC1493" s="122"/>
      <c r="BD1493" s="115"/>
      <c r="BE1493" s="115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26"/>
      <c r="BS1493" s="13"/>
      <c r="BW1493" s="117"/>
      <c r="BX1493" s="116"/>
      <c r="BY1493" s="116"/>
      <c r="BZ1493" s="116"/>
    </row>
    <row r="1494" spans="3:78" ht="19.5" x14ac:dyDescent="0.4"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22"/>
      <c r="BB1494" s="122"/>
      <c r="BC1494" s="122"/>
      <c r="BD1494" s="115"/>
      <c r="BE1494" s="115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26"/>
      <c r="BS1494" s="13"/>
      <c r="BW1494" s="117"/>
      <c r="BX1494" s="116"/>
      <c r="BY1494" s="116"/>
      <c r="BZ1494" s="116"/>
    </row>
    <row r="1495" spans="3:78" ht="19.5" x14ac:dyDescent="0.4"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22"/>
      <c r="BB1495" s="122"/>
      <c r="BC1495" s="122"/>
      <c r="BD1495" s="115"/>
      <c r="BE1495" s="115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26"/>
      <c r="BS1495" s="13"/>
      <c r="BW1495" s="117"/>
      <c r="BX1495" s="116"/>
      <c r="BY1495" s="116"/>
      <c r="BZ1495" s="116"/>
    </row>
    <row r="1496" spans="3:78" ht="19.5" x14ac:dyDescent="0.4"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22"/>
      <c r="BB1496" s="122"/>
      <c r="BC1496" s="122"/>
      <c r="BD1496" s="115"/>
      <c r="BE1496" s="115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26"/>
      <c r="BS1496" s="13"/>
      <c r="BW1496" s="117"/>
      <c r="BX1496" s="116"/>
      <c r="BY1496" s="116"/>
      <c r="BZ1496" s="116"/>
    </row>
    <row r="1497" spans="3:78" ht="19.5" x14ac:dyDescent="0.4"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22"/>
      <c r="BB1497" s="122"/>
      <c r="BC1497" s="122"/>
      <c r="BD1497" s="115"/>
      <c r="BE1497" s="115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26"/>
      <c r="BS1497" s="13"/>
      <c r="BW1497" s="117"/>
      <c r="BX1497" s="116"/>
      <c r="BY1497" s="116"/>
      <c r="BZ1497" s="116"/>
    </row>
    <row r="1498" spans="3:78" ht="19.5" x14ac:dyDescent="0.4">
      <c r="C1498" s="115"/>
      <c r="D1498" s="115"/>
      <c r="E1498" s="115"/>
      <c r="F1498" s="115"/>
      <c r="G1498" s="115"/>
      <c r="H1498" s="115"/>
      <c r="I1498" s="115"/>
      <c r="J1498" s="115"/>
      <c r="K1498" s="115"/>
      <c r="L1498" s="115"/>
      <c r="M1498" s="115"/>
      <c r="N1498" s="115"/>
      <c r="O1498" s="115"/>
      <c r="P1498" s="115"/>
      <c r="Q1498" s="115"/>
      <c r="R1498" s="115"/>
      <c r="S1498" s="115"/>
      <c r="T1498" s="115"/>
      <c r="U1498" s="115"/>
      <c r="V1498" s="115"/>
      <c r="W1498" s="115"/>
      <c r="X1498" s="115"/>
      <c r="Y1498" s="115"/>
      <c r="Z1498" s="115"/>
      <c r="AA1498" s="115"/>
      <c r="AB1498" s="115"/>
      <c r="AC1498" s="115"/>
      <c r="AD1498" s="115"/>
      <c r="AE1498" s="115"/>
      <c r="AF1498" s="115"/>
      <c r="AG1498" s="115"/>
      <c r="AH1498" s="115"/>
      <c r="AI1498" s="115"/>
      <c r="AJ1498" s="115"/>
      <c r="AK1498" s="115"/>
      <c r="AL1498" s="115"/>
      <c r="AM1498" s="115"/>
      <c r="AN1498" s="115"/>
      <c r="AO1498" s="115"/>
      <c r="AP1498" s="115"/>
      <c r="AQ1498" s="115"/>
      <c r="AR1498" s="115"/>
      <c r="AS1498" s="115"/>
      <c r="AT1498" s="115"/>
      <c r="AU1498" s="115"/>
      <c r="AV1498" s="115"/>
      <c r="AW1498" s="115"/>
      <c r="AX1498" s="115"/>
      <c r="AY1498" s="115"/>
      <c r="AZ1498" s="115"/>
      <c r="BA1498" s="122"/>
      <c r="BB1498" s="122"/>
      <c r="BC1498" s="122"/>
      <c r="BD1498" s="115"/>
      <c r="BE1498" s="115"/>
      <c r="BF1498" s="115"/>
      <c r="BG1498" s="115"/>
      <c r="BH1498" s="115"/>
      <c r="BI1498" s="115"/>
      <c r="BJ1498" s="115"/>
      <c r="BK1498" s="115"/>
      <c r="BL1498" s="115"/>
      <c r="BM1498" s="115"/>
      <c r="BN1498" s="115"/>
      <c r="BO1498" s="115"/>
      <c r="BP1498" s="115"/>
      <c r="BQ1498" s="115"/>
      <c r="BR1498" s="26"/>
      <c r="BS1498" s="13"/>
      <c r="BW1498" s="117"/>
      <c r="BX1498" s="116"/>
      <c r="BY1498" s="116"/>
      <c r="BZ1498" s="116"/>
    </row>
    <row r="1499" spans="3:78" ht="19.5" x14ac:dyDescent="0.4">
      <c r="BR1499" s="26"/>
      <c r="BS1499" s="15"/>
      <c r="BW1499" s="117"/>
      <c r="BX1499" s="116"/>
      <c r="BY1499" s="116"/>
      <c r="BZ1499" s="116"/>
    </row>
    <row r="1500" spans="3:78" ht="19.5" x14ac:dyDescent="0.4">
      <c r="D1500" s="115"/>
      <c r="E1500" s="115"/>
      <c r="F1500" s="115"/>
      <c r="G1500" s="115"/>
      <c r="H1500" s="115"/>
      <c r="I1500" s="115"/>
      <c r="J1500" s="115"/>
      <c r="K1500" s="115"/>
      <c r="L1500" s="115"/>
      <c r="M1500" s="115"/>
      <c r="N1500" s="115"/>
      <c r="O1500" s="115"/>
      <c r="P1500" s="115"/>
      <c r="Q1500" s="115"/>
      <c r="R1500" s="115"/>
      <c r="S1500" s="115"/>
      <c r="T1500" s="115"/>
      <c r="U1500" s="115"/>
      <c r="V1500" s="115"/>
      <c r="W1500" s="115"/>
      <c r="X1500" s="115"/>
      <c r="Y1500" s="115"/>
      <c r="Z1500" s="115"/>
      <c r="AA1500" s="115"/>
      <c r="AB1500" s="115"/>
      <c r="AC1500" s="115"/>
      <c r="AD1500" s="115"/>
      <c r="AE1500" s="115"/>
      <c r="AF1500" s="115"/>
      <c r="AG1500" s="115"/>
      <c r="AH1500" s="115"/>
      <c r="AI1500" s="115"/>
      <c r="AJ1500" s="115"/>
      <c r="AK1500" s="115"/>
      <c r="AL1500" s="115"/>
      <c r="AM1500" s="115"/>
      <c r="AN1500" s="115"/>
      <c r="AO1500" s="115"/>
      <c r="AP1500" s="115"/>
      <c r="AQ1500" s="115"/>
      <c r="AR1500" s="115"/>
      <c r="AS1500" s="115"/>
      <c r="AT1500" s="115"/>
      <c r="AU1500" s="115"/>
      <c r="AV1500" s="115"/>
      <c r="AW1500" s="115"/>
      <c r="AX1500" s="115"/>
      <c r="AY1500" s="115"/>
      <c r="AZ1500" s="115"/>
      <c r="BA1500" s="122"/>
      <c r="BB1500" s="122"/>
      <c r="BC1500" s="122"/>
      <c r="BD1500" s="115"/>
      <c r="BE1500" s="115"/>
      <c r="BF1500" s="115"/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26"/>
      <c r="BS1500" s="15"/>
      <c r="BW1500" s="117"/>
      <c r="BX1500" s="116"/>
      <c r="BY1500" s="116"/>
      <c r="BZ1500" s="116"/>
    </row>
    <row r="1501" spans="3:78" ht="19.5" x14ac:dyDescent="0.4">
      <c r="D1501" s="115"/>
      <c r="E1501" s="115"/>
      <c r="F1501" s="115"/>
      <c r="G1501" s="115"/>
      <c r="H1501" s="115"/>
      <c r="I1501" s="115"/>
      <c r="J1501" s="115"/>
      <c r="K1501" s="115"/>
      <c r="L1501" s="115"/>
      <c r="M1501" s="115"/>
      <c r="N1501" s="115"/>
      <c r="O1501" s="115"/>
      <c r="P1501" s="115"/>
      <c r="Q1501" s="115"/>
      <c r="R1501" s="115"/>
      <c r="S1501" s="115"/>
      <c r="T1501" s="115"/>
      <c r="U1501" s="115"/>
      <c r="V1501" s="115"/>
      <c r="W1501" s="115"/>
      <c r="X1501" s="115"/>
      <c r="Y1501" s="115"/>
      <c r="Z1501" s="115"/>
      <c r="AA1501" s="115"/>
      <c r="AB1501" s="115"/>
      <c r="AC1501" s="115"/>
      <c r="AD1501" s="115"/>
      <c r="AE1501" s="115"/>
      <c r="AF1501" s="115"/>
      <c r="AG1501" s="115"/>
      <c r="AH1501" s="115"/>
      <c r="AI1501" s="115"/>
      <c r="AJ1501" s="115"/>
      <c r="AK1501" s="115"/>
      <c r="AL1501" s="115"/>
      <c r="AM1501" s="115"/>
      <c r="AN1501" s="115"/>
      <c r="AO1501" s="115"/>
      <c r="AP1501" s="115"/>
      <c r="AQ1501" s="115"/>
      <c r="AR1501" s="115"/>
      <c r="AS1501" s="115"/>
      <c r="AT1501" s="115"/>
      <c r="AU1501" s="115"/>
      <c r="AV1501" s="115"/>
      <c r="AW1501" s="115"/>
      <c r="AX1501" s="115"/>
      <c r="AY1501" s="115"/>
      <c r="AZ1501" s="115"/>
      <c r="BA1501" s="122"/>
      <c r="BB1501" s="122"/>
      <c r="BC1501" s="122"/>
      <c r="BD1501" s="115"/>
      <c r="BE1501" s="115"/>
      <c r="BF1501" s="115"/>
      <c r="BG1501" s="115"/>
      <c r="BH1501" s="115"/>
      <c r="BI1501" s="115"/>
      <c r="BJ1501" s="115"/>
      <c r="BK1501" s="115"/>
      <c r="BL1501" s="115"/>
      <c r="BM1501" s="115"/>
      <c r="BN1501" s="115"/>
      <c r="BO1501" s="115"/>
      <c r="BP1501" s="115"/>
      <c r="BQ1501" s="115"/>
      <c r="BR1501" s="17"/>
      <c r="BS1501" s="15"/>
      <c r="BW1501" s="117"/>
      <c r="BX1501" s="116"/>
      <c r="BY1501" s="116"/>
      <c r="BZ1501" s="116"/>
    </row>
    <row r="1502" spans="3:78" ht="19.5" x14ac:dyDescent="0.4">
      <c r="BR1502" s="26"/>
      <c r="BS1502" s="15"/>
      <c r="BW1502" s="117"/>
      <c r="BX1502" s="116"/>
      <c r="BY1502" s="116"/>
      <c r="BZ1502" s="116"/>
    </row>
    <row r="1503" spans="3:78" ht="19.5" x14ac:dyDescent="0.4">
      <c r="BR1503" s="26"/>
      <c r="BS1503" s="13"/>
      <c r="BW1503" s="117"/>
      <c r="BX1503" s="116"/>
      <c r="BY1503" s="116"/>
      <c r="BZ1503" s="116"/>
    </row>
    <row r="1504" spans="3:78" ht="19.5" x14ac:dyDescent="0.4">
      <c r="AX1504" s="115"/>
      <c r="AY1504" s="115"/>
      <c r="AZ1504" s="115"/>
      <c r="BA1504" s="122"/>
      <c r="BB1504" s="122"/>
      <c r="BC1504" s="122"/>
      <c r="BD1504" s="115"/>
      <c r="BE1504" s="115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26"/>
      <c r="BS1504" s="13"/>
      <c r="BW1504" s="117"/>
      <c r="BX1504" s="116"/>
      <c r="BY1504" s="116"/>
      <c r="BZ1504" s="116"/>
    </row>
    <row r="1505" spans="1:78" ht="19.5" x14ac:dyDescent="0.4">
      <c r="D1505" s="115"/>
      <c r="E1505" s="115"/>
      <c r="F1505" s="115"/>
      <c r="G1505" s="115"/>
      <c r="H1505" s="115"/>
      <c r="I1505" s="115"/>
      <c r="J1505" s="115"/>
      <c r="K1505" s="115"/>
      <c r="L1505" s="115"/>
      <c r="M1505" s="115"/>
      <c r="N1505" s="115"/>
      <c r="O1505" s="115"/>
      <c r="P1505" s="115"/>
      <c r="Q1505" s="115"/>
      <c r="R1505" s="115"/>
      <c r="S1505" s="115"/>
      <c r="T1505" s="115"/>
      <c r="U1505" s="115"/>
      <c r="V1505" s="115"/>
      <c r="W1505" s="115"/>
      <c r="X1505" s="115"/>
      <c r="Y1505" s="115"/>
      <c r="Z1505" s="115"/>
      <c r="AA1505" s="115"/>
      <c r="AB1505" s="115"/>
      <c r="AC1505" s="115"/>
      <c r="AD1505" s="115"/>
      <c r="AE1505" s="115"/>
      <c r="AF1505" s="115"/>
      <c r="AG1505" s="115"/>
      <c r="AH1505" s="115"/>
      <c r="AI1505" s="115"/>
      <c r="AJ1505" s="115"/>
      <c r="AK1505" s="115"/>
      <c r="AL1505" s="115"/>
      <c r="AM1505" s="115"/>
      <c r="AN1505" s="115"/>
      <c r="AO1505" s="115"/>
      <c r="AP1505" s="115"/>
      <c r="AQ1505" s="115"/>
      <c r="AR1505" s="115"/>
      <c r="AS1505" s="115"/>
      <c r="AT1505" s="115"/>
      <c r="AU1505" s="115"/>
      <c r="AV1505" s="115"/>
      <c r="AW1505" s="115"/>
      <c r="AX1505" s="115"/>
      <c r="AY1505" s="115"/>
      <c r="AZ1505" s="115"/>
      <c r="BA1505" s="122"/>
      <c r="BB1505" s="122"/>
      <c r="BC1505" s="122"/>
      <c r="BD1505" s="115"/>
      <c r="BE1505" s="115"/>
      <c r="BF1505" s="115"/>
      <c r="BG1505" s="115"/>
      <c r="BH1505" s="115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26"/>
      <c r="BS1505" s="13"/>
      <c r="BW1505" s="117"/>
      <c r="BX1505" s="116"/>
      <c r="BY1505" s="116"/>
      <c r="BZ1505" s="116"/>
    </row>
    <row r="1506" spans="1:78" ht="19.5" x14ac:dyDescent="0.4">
      <c r="D1506" s="115"/>
      <c r="E1506" s="115"/>
      <c r="F1506" s="115"/>
      <c r="G1506" s="115"/>
      <c r="H1506" s="115"/>
      <c r="I1506" s="115"/>
      <c r="J1506" s="115"/>
      <c r="K1506" s="115"/>
      <c r="L1506" s="115"/>
      <c r="M1506" s="115"/>
      <c r="N1506" s="115"/>
      <c r="O1506" s="115"/>
      <c r="P1506" s="115"/>
      <c r="Q1506" s="115"/>
      <c r="R1506" s="115"/>
      <c r="S1506" s="115"/>
      <c r="T1506" s="115"/>
      <c r="U1506" s="115"/>
      <c r="V1506" s="115"/>
      <c r="W1506" s="115"/>
      <c r="X1506" s="115"/>
      <c r="Y1506" s="115"/>
      <c r="Z1506" s="115"/>
      <c r="AA1506" s="115"/>
      <c r="AB1506" s="115"/>
      <c r="AC1506" s="115"/>
      <c r="AD1506" s="115"/>
      <c r="AE1506" s="115"/>
      <c r="AF1506" s="115"/>
      <c r="AG1506" s="115"/>
      <c r="AH1506" s="115"/>
      <c r="AI1506" s="115"/>
      <c r="AJ1506" s="115"/>
      <c r="AK1506" s="115"/>
      <c r="AL1506" s="115"/>
      <c r="AM1506" s="115"/>
      <c r="AN1506" s="115"/>
      <c r="AO1506" s="115"/>
      <c r="AP1506" s="115"/>
      <c r="AQ1506" s="115"/>
      <c r="AR1506" s="115"/>
      <c r="AS1506" s="115"/>
      <c r="AT1506" s="115"/>
      <c r="AU1506" s="115"/>
      <c r="AV1506" s="115"/>
      <c r="AW1506" s="115"/>
      <c r="AX1506" s="115"/>
      <c r="AY1506" s="115"/>
      <c r="AZ1506" s="115"/>
      <c r="BA1506" s="122"/>
      <c r="BB1506" s="122"/>
      <c r="BC1506" s="122"/>
      <c r="BD1506" s="115"/>
      <c r="BE1506" s="115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7"/>
      <c r="BS1506" s="13"/>
      <c r="BW1506" s="117"/>
      <c r="BX1506" s="116"/>
      <c r="BY1506" s="116"/>
      <c r="BZ1506" s="116"/>
    </row>
    <row r="1507" spans="1:78" ht="19.5" x14ac:dyDescent="0.4">
      <c r="D1507" s="115"/>
      <c r="E1507" s="115"/>
      <c r="F1507" s="115"/>
      <c r="G1507" s="115"/>
      <c r="H1507" s="115"/>
      <c r="I1507" s="115"/>
      <c r="J1507" s="115"/>
      <c r="K1507" s="115"/>
      <c r="L1507" s="115"/>
      <c r="M1507" s="115"/>
      <c r="N1507" s="115"/>
      <c r="O1507" s="115"/>
      <c r="P1507" s="115"/>
      <c r="Q1507" s="115"/>
      <c r="R1507" s="115"/>
      <c r="S1507" s="115"/>
      <c r="T1507" s="115"/>
      <c r="U1507" s="115"/>
      <c r="V1507" s="115"/>
      <c r="W1507" s="115"/>
      <c r="X1507" s="115"/>
      <c r="Y1507" s="115"/>
      <c r="Z1507" s="115"/>
      <c r="AA1507" s="115"/>
      <c r="AB1507" s="115"/>
      <c r="AC1507" s="115"/>
      <c r="AD1507" s="115"/>
      <c r="AE1507" s="115"/>
      <c r="AF1507" s="115"/>
      <c r="AG1507" s="115"/>
      <c r="AH1507" s="115"/>
      <c r="AI1507" s="115"/>
      <c r="AJ1507" s="115"/>
      <c r="AK1507" s="115"/>
      <c r="AL1507" s="115"/>
      <c r="AM1507" s="115"/>
      <c r="AN1507" s="115"/>
      <c r="AO1507" s="115"/>
      <c r="AP1507" s="115"/>
      <c r="AQ1507" s="115"/>
      <c r="AR1507" s="115"/>
      <c r="AS1507" s="115"/>
      <c r="AT1507" s="115"/>
      <c r="AU1507" s="115"/>
      <c r="AV1507" s="115"/>
      <c r="AW1507" s="115"/>
      <c r="AX1507" s="115"/>
      <c r="AY1507" s="115"/>
      <c r="AZ1507" s="115"/>
      <c r="BA1507" s="122"/>
      <c r="BB1507" s="122"/>
      <c r="BC1507" s="122"/>
      <c r="BD1507" s="115"/>
      <c r="BE1507" s="115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26"/>
      <c r="BS1507" s="25"/>
      <c r="BW1507" s="117"/>
      <c r="BX1507" s="116"/>
      <c r="BY1507" s="116"/>
      <c r="BZ1507" s="116"/>
    </row>
    <row r="1508" spans="1:78" ht="19.5" x14ac:dyDescent="0.4">
      <c r="D1508" s="115"/>
      <c r="E1508" s="115"/>
      <c r="F1508" s="115"/>
      <c r="G1508" s="115"/>
      <c r="H1508" s="115"/>
      <c r="I1508" s="115"/>
      <c r="J1508" s="115"/>
      <c r="K1508" s="115"/>
      <c r="L1508" s="115"/>
      <c r="M1508" s="115"/>
      <c r="N1508" s="115"/>
      <c r="O1508" s="115"/>
      <c r="P1508" s="115"/>
      <c r="Q1508" s="115"/>
      <c r="R1508" s="115"/>
      <c r="S1508" s="115"/>
      <c r="T1508" s="115"/>
      <c r="U1508" s="115"/>
      <c r="V1508" s="115"/>
      <c r="W1508" s="115"/>
      <c r="X1508" s="115"/>
      <c r="Y1508" s="115"/>
      <c r="Z1508" s="115"/>
      <c r="AA1508" s="115"/>
      <c r="AB1508" s="115"/>
      <c r="AC1508" s="115"/>
      <c r="AD1508" s="115"/>
      <c r="AE1508" s="115"/>
      <c r="AF1508" s="115"/>
      <c r="AG1508" s="115"/>
      <c r="AH1508" s="115"/>
      <c r="AI1508" s="115"/>
      <c r="AJ1508" s="115"/>
      <c r="AK1508" s="115"/>
      <c r="AL1508" s="115"/>
      <c r="AM1508" s="115"/>
      <c r="AN1508" s="115"/>
      <c r="AO1508" s="115"/>
      <c r="AP1508" s="115"/>
      <c r="AQ1508" s="115"/>
      <c r="AR1508" s="115"/>
      <c r="AS1508" s="115"/>
      <c r="AT1508" s="115"/>
      <c r="AU1508" s="115"/>
      <c r="AV1508" s="115"/>
      <c r="AW1508" s="115"/>
      <c r="AX1508" s="115"/>
      <c r="AY1508" s="115"/>
      <c r="AZ1508" s="115"/>
      <c r="BA1508" s="122"/>
      <c r="BB1508" s="122"/>
      <c r="BC1508" s="122"/>
      <c r="BD1508" s="115"/>
      <c r="BE1508" s="115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7"/>
      <c r="BS1508" s="13"/>
      <c r="BW1508" s="117"/>
      <c r="BX1508" s="116"/>
      <c r="BY1508" s="116"/>
      <c r="BZ1508" s="116"/>
    </row>
    <row r="1509" spans="1:78" ht="19.5" x14ac:dyDescent="0.4">
      <c r="D1509" s="115"/>
      <c r="E1509" s="115"/>
      <c r="F1509" s="115"/>
      <c r="G1509" s="115"/>
      <c r="H1509" s="115"/>
      <c r="I1509" s="115"/>
      <c r="J1509" s="115"/>
      <c r="K1509" s="115"/>
      <c r="L1509" s="115"/>
      <c r="M1509" s="115"/>
      <c r="N1509" s="115"/>
      <c r="O1509" s="115"/>
      <c r="P1509" s="115"/>
      <c r="Q1509" s="115"/>
      <c r="R1509" s="115"/>
      <c r="S1509" s="115"/>
      <c r="T1509" s="115"/>
      <c r="U1509" s="115"/>
      <c r="V1509" s="115"/>
      <c r="W1509" s="115"/>
      <c r="X1509" s="115"/>
      <c r="Y1509" s="115"/>
      <c r="Z1509" s="115"/>
      <c r="AA1509" s="115"/>
      <c r="AB1509" s="115"/>
      <c r="AC1509" s="115"/>
      <c r="AD1509" s="115"/>
      <c r="AE1509" s="115"/>
      <c r="AF1509" s="115"/>
      <c r="AG1509" s="115"/>
      <c r="AH1509" s="115"/>
      <c r="AI1509" s="115"/>
      <c r="AJ1509" s="115"/>
      <c r="AK1509" s="115"/>
      <c r="AL1509" s="115"/>
      <c r="AM1509" s="115"/>
      <c r="AN1509" s="115"/>
      <c r="AO1509" s="115"/>
      <c r="AP1509" s="115"/>
      <c r="AQ1509" s="115"/>
      <c r="AR1509" s="115"/>
      <c r="AS1509" s="115"/>
      <c r="AT1509" s="115"/>
      <c r="AU1509" s="115"/>
      <c r="AV1509" s="115"/>
      <c r="AW1509" s="115"/>
      <c r="AX1509" s="115"/>
      <c r="AY1509" s="115"/>
      <c r="AZ1509" s="115"/>
      <c r="BA1509" s="122"/>
      <c r="BB1509" s="122"/>
      <c r="BC1509" s="122"/>
      <c r="BD1509" s="115"/>
      <c r="BE1509" s="115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26"/>
      <c r="BS1509" s="13"/>
      <c r="BW1509" s="117"/>
      <c r="BX1509" s="116"/>
      <c r="BY1509" s="116"/>
      <c r="BZ1509" s="116"/>
    </row>
    <row r="1510" spans="1:78" ht="19.5" x14ac:dyDescent="0.4">
      <c r="A1510" s="115"/>
      <c r="B1510" s="115"/>
      <c r="C1510" s="115"/>
      <c r="D1510" s="115"/>
      <c r="E1510" s="115"/>
      <c r="F1510" s="115"/>
      <c r="G1510" s="115"/>
      <c r="H1510" s="115"/>
      <c r="I1510" s="115"/>
      <c r="J1510" s="115"/>
      <c r="K1510" s="115"/>
      <c r="L1510" s="115"/>
      <c r="M1510" s="115"/>
      <c r="N1510" s="115"/>
      <c r="O1510" s="115"/>
      <c r="P1510" s="115"/>
      <c r="Q1510" s="115"/>
      <c r="R1510" s="115"/>
      <c r="S1510" s="115"/>
      <c r="T1510" s="115"/>
      <c r="U1510" s="115"/>
      <c r="V1510" s="115"/>
      <c r="W1510" s="115"/>
      <c r="X1510" s="115"/>
      <c r="Y1510" s="115"/>
      <c r="Z1510" s="115"/>
      <c r="AA1510" s="115"/>
      <c r="AB1510" s="115"/>
      <c r="AC1510" s="115"/>
      <c r="AD1510" s="115"/>
      <c r="AE1510" s="115"/>
      <c r="AF1510" s="115"/>
      <c r="AG1510" s="115"/>
      <c r="AH1510" s="115"/>
      <c r="AI1510" s="115"/>
      <c r="AJ1510" s="115"/>
      <c r="AK1510" s="115"/>
      <c r="AL1510" s="115"/>
      <c r="AM1510" s="115"/>
      <c r="AN1510" s="115"/>
      <c r="AO1510" s="115"/>
      <c r="AP1510" s="115"/>
      <c r="AQ1510" s="115"/>
      <c r="AR1510" s="115"/>
      <c r="AS1510" s="115"/>
      <c r="AT1510" s="115"/>
      <c r="AU1510" s="115"/>
      <c r="AV1510" s="115"/>
      <c r="AW1510" s="115"/>
      <c r="AX1510" s="115"/>
      <c r="AY1510" s="115"/>
      <c r="AZ1510" s="115"/>
      <c r="BA1510" s="122"/>
      <c r="BB1510" s="122"/>
      <c r="BC1510" s="122"/>
      <c r="BD1510" s="115"/>
      <c r="BE1510" s="115"/>
      <c r="BF1510" s="115"/>
      <c r="BG1510" s="115"/>
      <c r="BH1510" s="115"/>
      <c r="BI1510" s="115"/>
      <c r="BJ1510" s="115"/>
      <c r="BK1510" s="115"/>
      <c r="BL1510" s="115"/>
      <c r="BM1510" s="115"/>
      <c r="BN1510" s="115"/>
      <c r="BO1510" s="115"/>
      <c r="BP1510" s="115"/>
      <c r="BQ1510" s="115"/>
      <c r="BR1510" s="26"/>
      <c r="BS1510" s="13"/>
      <c r="BW1510" s="117"/>
      <c r="BX1510" s="116"/>
      <c r="BY1510" s="116"/>
      <c r="BZ1510" s="116"/>
    </row>
    <row r="1511" spans="1:78" ht="19.5" x14ac:dyDescent="0.4">
      <c r="A1511" s="115"/>
      <c r="B1511" s="115"/>
      <c r="C1511" s="115"/>
      <c r="D1511" s="115"/>
      <c r="E1511" s="115"/>
      <c r="F1511" s="115"/>
      <c r="G1511" s="115"/>
      <c r="H1511" s="115"/>
      <c r="I1511" s="115"/>
      <c r="J1511" s="115"/>
      <c r="K1511" s="115"/>
      <c r="L1511" s="115"/>
      <c r="M1511" s="115"/>
      <c r="N1511" s="115"/>
      <c r="O1511" s="115"/>
      <c r="P1511" s="115"/>
      <c r="Q1511" s="115"/>
      <c r="R1511" s="115"/>
      <c r="S1511" s="115"/>
      <c r="T1511" s="115"/>
      <c r="U1511" s="115"/>
      <c r="V1511" s="115"/>
      <c r="W1511" s="115"/>
      <c r="X1511" s="115"/>
      <c r="Y1511" s="115"/>
      <c r="Z1511" s="115"/>
      <c r="AA1511" s="115"/>
      <c r="AB1511" s="115"/>
      <c r="AC1511" s="115"/>
      <c r="AD1511" s="115"/>
      <c r="AE1511" s="115"/>
      <c r="AF1511" s="115"/>
      <c r="AG1511" s="115"/>
      <c r="AH1511" s="115"/>
      <c r="AI1511" s="115"/>
      <c r="AJ1511" s="115"/>
      <c r="AK1511" s="115"/>
      <c r="AL1511" s="115"/>
      <c r="AM1511" s="115"/>
      <c r="AN1511" s="115"/>
      <c r="AO1511" s="115"/>
      <c r="AP1511" s="115"/>
      <c r="AQ1511" s="115"/>
      <c r="AR1511" s="115"/>
      <c r="AS1511" s="115"/>
      <c r="AT1511" s="115"/>
      <c r="AU1511" s="115"/>
      <c r="AV1511" s="115"/>
      <c r="AW1511" s="115"/>
      <c r="AX1511" s="115"/>
      <c r="AY1511" s="115"/>
      <c r="AZ1511" s="115"/>
      <c r="BA1511" s="122"/>
      <c r="BB1511" s="122"/>
      <c r="BC1511" s="122"/>
      <c r="BD1511" s="115"/>
      <c r="BE1511" s="115"/>
      <c r="BF1511" s="115"/>
      <c r="BG1511" s="115"/>
      <c r="BH1511" s="115"/>
      <c r="BI1511" s="115"/>
      <c r="BJ1511" s="115"/>
      <c r="BK1511" s="115"/>
      <c r="BL1511" s="115"/>
      <c r="BM1511" s="115"/>
      <c r="BN1511" s="115"/>
      <c r="BO1511" s="115"/>
      <c r="BP1511" s="115"/>
      <c r="BQ1511" s="115"/>
      <c r="BR1511" s="26"/>
      <c r="BS1511" s="13"/>
      <c r="BW1511" s="117"/>
      <c r="BX1511" s="116"/>
      <c r="BY1511" s="116"/>
      <c r="BZ1511" s="116"/>
    </row>
    <row r="1512" spans="1:78" ht="19.5" x14ac:dyDescent="0.4">
      <c r="A1512" s="115"/>
      <c r="B1512" s="115"/>
      <c r="C1512" s="115"/>
      <c r="D1512" s="115"/>
      <c r="E1512" s="115"/>
      <c r="F1512" s="115"/>
      <c r="G1512" s="115"/>
      <c r="H1512" s="115"/>
      <c r="I1512" s="115"/>
      <c r="J1512" s="115"/>
      <c r="K1512" s="115"/>
      <c r="L1512" s="115"/>
      <c r="M1512" s="115"/>
      <c r="N1512" s="115"/>
      <c r="O1512" s="115"/>
      <c r="P1512" s="115"/>
      <c r="Q1512" s="115"/>
      <c r="R1512" s="115"/>
      <c r="S1512" s="115"/>
      <c r="T1512" s="115"/>
      <c r="U1512" s="115"/>
      <c r="V1512" s="115"/>
      <c r="W1512" s="115"/>
      <c r="X1512" s="115"/>
      <c r="Y1512" s="115"/>
      <c r="Z1512" s="115"/>
      <c r="AA1512" s="115"/>
      <c r="AB1512" s="115"/>
      <c r="AC1512" s="115"/>
      <c r="AD1512" s="115"/>
      <c r="AE1512" s="115"/>
      <c r="AF1512" s="115"/>
      <c r="AG1512" s="115"/>
      <c r="AH1512" s="115"/>
      <c r="AI1512" s="115"/>
      <c r="AJ1512" s="115"/>
      <c r="AK1512" s="115"/>
      <c r="AL1512" s="115"/>
      <c r="AM1512" s="115"/>
      <c r="AN1512" s="115"/>
      <c r="AO1512" s="115"/>
      <c r="AP1512" s="115"/>
      <c r="AQ1512" s="115"/>
      <c r="AR1512" s="115"/>
      <c r="AS1512" s="115"/>
      <c r="AT1512" s="115"/>
      <c r="AU1512" s="115"/>
      <c r="AV1512" s="115"/>
      <c r="AW1512" s="115"/>
      <c r="AX1512" s="115"/>
      <c r="AY1512" s="115"/>
      <c r="AZ1512" s="115"/>
      <c r="BA1512" s="122"/>
      <c r="BB1512" s="122"/>
      <c r="BC1512" s="122"/>
      <c r="BD1512" s="115"/>
      <c r="BE1512" s="115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26"/>
      <c r="BS1512" s="13"/>
      <c r="BW1512" s="117"/>
      <c r="BX1512" s="116"/>
      <c r="BY1512" s="116"/>
      <c r="BZ1512" s="116"/>
    </row>
    <row r="1513" spans="1:78" ht="19.5" x14ac:dyDescent="0.4">
      <c r="A1513" s="115"/>
      <c r="B1513" s="115"/>
      <c r="C1513" s="115"/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22"/>
      <c r="BB1513" s="122"/>
      <c r="BC1513" s="122"/>
      <c r="BD1513" s="115"/>
      <c r="BE1513" s="115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26"/>
      <c r="BS1513" s="13"/>
      <c r="BW1513" s="117"/>
      <c r="BX1513" s="116"/>
      <c r="BY1513" s="116"/>
      <c r="BZ1513" s="116"/>
    </row>
    <row r="1514" spans="1:78" ht="19.5" x14ac:dyDescent="0.4">
      <c r="A1514" s="115"/>
      <c r="B1514" s="115"/>
      <c r="C1514" s="115"/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22"/>
      <c r="BB1514" s="122"/>
      <c r="BC1514" s="122"/>
      <c r="BD1514" s="115"/>
      <c r="BE1514" s="115"/>
      <c r="BF1514" s="115"/>
      <c r="BG1514" s="115"/>
      <c r="BH1514" s="115"/>
      <c r="BI1514" s="115"/>
      <c r="BJ1514" s="115"/>
      <c r="BK1514" s="115"/>
      <c r="BL1514" s="115"/>
      <c r="BM1514" s="115"/>
      <c r="BN1514" s="115"/>
      <c r="BO1514" s="115"/>
      <c r="BP1514" s="115"/>
      <c r="BQ1514" s="115"/>
      <c r="BR1514" s="26"/>
      <c r="BS1514" s="13"/>
      <c r="BW1514" s="117"/>
      <c r="BX1514" s="116"/>
      <c r="BY1514" s="116"/>
      <c r="BZ1514" s="116"/>
    </row>
    <row r="1515" spans="1:78" ht="19.5" x14ac:dyDescent="0.4">
      <c r="A1515" s="115"/>
      <c r="B1515" s="115"/>
      <c r="C1515" s="115"/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22"/>
      <c r="BB1515" s="122"/>
      <c r="BC1515" s="122"/>
      <c r="BD1515" s="115"/>
      <c r="BE1515" s="115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26"/>
      <c r="BS1515" s="13"/>
      <c r="BW1515" s="117"/>
      <c r="BX1515" s="116"/>
      <c r="BY1515" s="116"/>
      <c r="BZ1515" s="116"/>
    </row>
    <row r="1516" spans="1:78" ht="19.5" x14ac:dyDescent="0.4">
      <c r="A1516" s="115"/>
      <c r="B1516" s="115"/>
      <c r="C1516" s="115"/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22"/>
      <c r="BB1516" s="122"/>
      <c r="BC1516" s="122"/>
      <c r="BD1516" s="115"/>
      <c r="BE1516" s="115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26"/>
      <c r="BS1516" s="13"/>
      <c r="BW1516" s="117"/>
      <c r="BX1516" s="116"/>
      <c r="BY1516" s="116"/>
      <c r="BZ1516" s="116"/>
    </row>
    <row r="1517" spans="1:78" ht="19.5" x14ac:dyDescent="0.4">
      <c r="A1517" s="115"/>
      <c r="B1517" s="115"/>
      <c r="C1517" s="115"/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22"/>
      <c r="BB1517" s="122"/>
      <c r="BC1517" s="122"/>
      <c r="BD1517" s="115"/>
      <c r="BE1517" s="115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26"/>
      <c r="BS1517" s="15"/>
      <c r="BW1517" s="117"/>
      <c r="BX1517" s="116"/>
      <c r="BY1517" s="116"/>
      <c r="BZ1517" s="116"/>
    </row>
    <row r="1518" spans="1:78" ht="19.5" x14ac:dyDescent="0.4">
      <c r="A1518" s="115"/>
      <c r="B1518" s="115"/>
      <c r="C1518" s="115"/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22"/>
      <c r="BB1518" s="122"/>
      <c r="BC1518" s="122"/>
      <c r="BD1518" s="115"/>
      <c r="BE1518" s="115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26"/>
      <c r="BS1518" s="15"/>
      <c r="BW1518" s="117"/>
      <c r="BX1518" s="116"/>
      <c r="BY1518" s="116"/>
      <c r="BZ1518" s="116"/>
    </row>
    <row r="1519" spans="1:78" ht="19.5" x14ac:dyDescent="0.4">
      <c r="A1519" s="115"/>
      <c r="B1519" s="115"/>
      <c r="C1519" s="115"/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22"/>
      <c r="BB1519" s="122"/>
      <c r="BC1519" s="122"/>
      <c r="BD1519" s="115"/>
      <c r="BE1519" s="115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26"/>
      <c r="BS1519" s="15"/>
      <c r="BW1519" s="117"/>
      <c r="BX1519" s="116"/>
      <c r="BY1519" s="116"/>
      <c r="BZ1519" s="116"/>
    </row>
    <row r="1520" spans="1:78" ht="19.5" x14ac:dyDescent="0.4">
      <c r="A1520" s="115"/>
      <c r="B1520" s="115"/>
      <c r="C1520" s="115"/>
      <c r="D1520" s="115"/>
      <c r="E1520" s="115"/>
      <c r="F1520" s="115"/>
      <c r="G1520" s="115"/>
      <c r="H1520" s="115"/>
      <c r="I1520" s="115"/>
      <c r="J1520" s="115"/>
      <c r="K1520" s="115"/>
      <c r="L1520" s="115"/>
      <c r="M1520" s="115"/>
      <c r="N1520" s="115"/>
      <c r="O1520" s="115"/>
      <c r="P1520" s="115"/>
      <c r="Q1520" s="115"/>
      <c r="R1520" s="115"/>
      <c r="S1520" s="115"/>
      <c r="T1520" s="115"/>
      <c r="U1520" s="115"/>
      <c r="V1520" s="115"/>
      <c r="W1520" s="115"/>
      <c r="X1520" s="115"/>
      <c r="Y1520" s="115"/>
      <c r="Z1520" s="115"/>
      <c r="AA1520" s="115"/>
      <c r="AB1520" s="115"/>
      <c r="AC1520" s="115"/>
      <c r="AD1520" s="115"/>
      <c r="AE1520" s="115"/>
      <c r="AF1520" s="115"/>
      <c r="AG1520" s="115"/>
      <c r="AH1520" s="115"/>
      <c r="AI1520" s="115"/>
      <c r="AJ1520" s="115"/>
      <c r="AK1520" s="115"/>
      <c r="AL1520" s="115"/>
      <c r="AM1520" s="115"/>
      <c r="AN1520" s="115"/>
      <c r="AO1520" s="115"/>
      <c r="AP1520" s="115"/>
      <c r="AQ1520" s="115"/>
      <c r="AR1520" s="115"/>
      <c r="AS1520" s="115"/>
      <c r="AT1520" s="115"/>
      <c r="AU1520" s="115"/>
      <c r="AV1520" s="115"/>
      <c r="AW1520" s="115"/>
      <c r="AX1520" s="115"/>
      <c r="AY1520" s="115"/>
      <c r="AZ1520" s="115"/>
      <c r="BA1520" s="122"/>
      <c r="BB1520" s="122"/>
      <c r="BC1520" s="122"/>
      <c r="BD1520" s="115"/>
      <c r="BE1520" s="115"/>
      <c r="BF1520" s="115"/>
      <c r="BG1520" s="115"/>
      <c r="BH1520" s="115"/>
      <c r="BI1520" s="115"/>
      <c r="BJ1520" s="115"/>
      <c r="BK1520" s="115"/>
      <c r="BL1520" s="115"/>
      <c r="BM1520" s="115"/>
      <c r="BN1520" s="115"/>
      <c r="BO1520" s="115"/>
      <c r="BP1520" s="115"/>
      <c r="BQ1520" s="115"/>
      <c r="BR1520" s="26"/>
      <c r="BS1520" s="15"/>
      <c r="BW1520" s="117"/>
      <c r="BX1520" s="116"/>
      <c r="BY1520" s="116"/>
      <c r="BZ1520" s="116"/>
    </row>
    <row r="1521" spans="1:78" ht="19.5" x14ac:dyDescent="0.4">
      <c r="A1521" s="115"/>
      <c r="B1521" s="115"/>
      <c r="C1521" s="115"/>
      <c r="D1521" s="115"/>
      <c r="E1521" s="115"/>
      <c r="F1521" s="115"/>
      <c r="G1521" s="115"/>
      <c r="H1521" s="115"/>
      <c r="I1521" s="115"/>
      <c r="J1521" s="115"/>
      <c r="K1521" s="115"/>
      <c r="L1521" s="115"/>
      <c r="M1521" s="115"/>
      <c r="N1521" s="115"/>
      <c r="O1521" s="115"/>
      <c r="P1521" s="115"/>
      <c r="Q1521" s="115"/>
      <c r="R1521" s="115"/>
      <c r="S1521" s="115"/>
      <c r="T1521" s="115"/>
      <c r="U1521" s="115"/>
      <c r="V1521" s="115"/>
      <c r="W1521" s="115"/>
      <c r="X1521" s="115"/>
      <c r="Y1521" s="115"/>
      <c r="Z1521" s="115"/>
      <c r="AA1521" s="115"/>
      <c r="AB1521" s="115"/>
      <c r="AC1521" s="115"/>
      <c r="AD1521" s="115"/>
      <c r="AE1521" s="115"/>
      <c r="AF1521" s="115"/>
      <c r="AG1521" s="115"/>
      <c r="AH1521" s="115"/>
      <c r="AI1521" s="115"/>
      <c r="AJ1521" s="115"/>
      <c r="AK1521" s="115"/>
      <c r="AL1521" s="115"/>
      <c r="AM1521" s="115"/>
      <c r="AN1521" s="115"/>
      <c r="AO1521" s="115"/>
      <c r="AP1521" s="115"/>
      <c r="AQ1521" s="115"/>
      <c r="AR1521" s="115"/>
      <c r="AS1521" s="115"/>
      <c r="AT1521" s="115"/>
      <c r="AU1521" s="115"/>
      <c r="AV1521" s="115"/>
      <c r="AW1521" s="115"/>
      <c r="AX1521" s="115"/>
      <c r="AY1521" s="115"/>
      <c r="AZ1521" s="115"/>
      <c r="BA1521" s="122"/>
      <c r="BB1521" s="122"/>
      <c r="BC1521" s="122"/>
      <c r="BD1521" s="115"/>
      <c r="BE1521" s="115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26"/>
      <c r="BS1521" s="25"/>
      <c r="BW1521" s="117"/>
      <c r="BX1521" s="116"/>
      <c r="BY1521" s="116"/>
      <c r="BZ1521" s="116"/>
    </row>
    <row r="1522" spans="1:78" ht="19.5" x14ac:dyDescent="0.4">
      <c r="BR1522" s="26"/>
      <c r="BS1522" s="15"/>
      <c r="BW1522" s="117"/>
      <c r="BX1522" s="116"/>
      <c r="BY1522" s="116"/>
      <c r="BZ1522" s="116"/>
    </row>
    <row r="1523" spans="1:78" ht="19.5" x14ac:dyDescent="0.4">
      <c r="AZ1523" s="115"/>
      <c r="BA1523" s="122"/>
      <c r="BB1523" s="122"/>
      <c r="BC1523" s="122"/>
      <c r="BD1523" s="115"/>
      <c r="BE1523" s="115"/>
      <c r="BF1523" s="115"/>
      <c r="BG1523" s="115"/>
      <c r="BH1523" s="115"/>
      <c r="BI1523" s="115"/>
      <c r="BJ1523" s="115"/>
      <c r="BK1523" s="115"/>
      <c r="BL1523" s="115"/>
      <c r="BM1523" s="115"/>
      <c r="BN1523" s="115"/>
      <c r="BO1523" s="115"/>
      <c r="BP1523" s="115"/>
      <c r="BQ1523" s="115"/>
      <c r="BR1523" s="26"/>
      <c r="BS1523" s="15"/>
      <c r="BW1523" s="117"/>
      <c r="BX1523" s="116"/>
      <c r="BY1523" s="116"/>
      <c r="BZ1523" s="116"/>
    </row>
    <row r="1524" spans="1:78" ht="19.5" x14ac:dyDescent="0.4">
      <c r="AX1524" s="115"/>
      <c r="AY1524" s="115"/>
      <c r="AZ1524" s="115"/>
      <c r="BA1524" s="122"/>
      <c r="BB1524" s="122"/>
      <c r="BC1524" s="122"/>
      <c r="BD1524" s="115"/>
      <c r="BE1524" s="115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26"/>
      <c r="BS1524" s="15"/>
      <c r="BW1524" s="117"/>
      <c r="BX1524" s="116"/>
      <c r="BY1524" s="116"/>
      <c r="BZ1524" s="116"/>
    </row>
    <row r="1525" spans="1:78" ht="19.5" x14ac:dyDescent="0.4">
      <c r="AX1525" s="115"/>
      <c r="AY1525" s="115"/>
      <c r="AZ1525" s="115"/>
      <c r="BA1525" s="122"/>
      <c r="BB1525" s="122"/>
      <c r="BC1525" s="122"/>
      <c r="BD1525" s="115"/>
      <c r="BE1525" s="115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15"/>
      <c r="BP1525" s="115"/>
      <c r="BQ1525" s="115"/>
      <c r="BR1525" s="17"/>
      <c r="BS1525" s="15"/>
      <c r="BW1525" s="117"/>
      <c r="BX1525" s="116"/>
      <c r="BY1525" s="116"/>
      <c r="BZ1525" s="116"/>
    </row>
    <row r="1526" spans="1:78" ht="19.5" x14ac:dyDescent="0.4">
      <c r="AU1526" s="115"/>
      <c r="AV1526" s="115"/>
      <c r="AW1526" s="115"/>
      <c r="AX1526" s="115"/>
      <c r="AY1526" s="115"/>
      <c r="AZ1526" s="115"/>
      <c r="BA1526" s="122"/>
      <c r="BB1526" s="122"/>
      <c r="BC1526" s="122"/>
      <c r="BD1526" s="115"/>
      <c r="BE1526" s="115"/>
      <c r="BF1526" s="115"/>
      <c r="BG1526" s="115"/>
      <c r="BH1526" s="115"/>
      <c r="BI1526" s="115"/>
      <c r="BJ1526" s="115"/>
      <c r="BK1526" s="115"/>
      <c r="BL1526" s="115"/>
      <c r="BM1526" s="115"/>
      <c r="BN1526" s="115"/>
      <c r="BO1526" s="115"/>
      <c r="BP1526" s="115"/>
      <c r="BQ1526" s="115"/>
      <c r="BR1526" s="26"/>
      <c r="BS1526" s="15"/>
      <c r="BW1526" s="117"/>
      <c r="BX1526" s="116"/>
      <c r="BY1526" s="116"/>
      <c r="BZ1526" s="116"/>
    </row>
    <row r="1527" spans="1:78" ht="19.5" x14ac:dyDescent="0.4">
      <c r="AU1527" s="115"/>
      <c r="AV1527" s="115"/>
      <c r="AW1527" s="115"/>
      <c r="AX1527" s="115"/>
      <c r="AY1527" s="115"/>
      <c r="AZ1527" s="115"/>
      <c r="BA1527" s="122"/>
      <c r="BB1527" s="122"/>
      <c r="BC1527" s="122"/>
      <c r="BD1527" s="115"/>
      <c r="BE1527" s="115"/>
      <c r="BF1527" s="115"/>
      <c r="BG1527" s="115"/>
      <c r="BH1527" s="115"/>
      <c r="BI1527" s="115"/>
      <c r="BJ1527" s="115"/>
      <c r="BK1527" s="115"/>
      <c r="BL1527" s="115"/>
      <c r="BM1527" s="115"/>
      <c r="BN1527" s="115"/>
      <c r="BO1527" s="115"/>
      <c r="BP1527" s="115"/>
      <c r="BQ1527" s="115"/>
      <c r="BR1527" s="17"/>
      <c r="BS1527" s="15"/>
      <c r="BW1527" s="117"/>
      <c r="BX1527" s="116"/>
      <c r="BY1527" s="116"/>
      <c r="BZ1527" s="116"/>
    </row>
    <row r="1528" spans="1:78" ht="19.5" x14ac:dyDescent="0.4">
      <c r="AU1528" s="115"/>
      <c r="AV1528" s="115"/>
      <c r="AW1528" s="115"/>
      <c r="AX1528" s="115"/>
      <c r="AY1528" s="115"/>
      <c r="AZ1528" s="115"/>
      <c r="BA1528" s="122"/>
      <c r="BB1528" s="122"/>
      <c r="BC1528" s="122"/>
      <c r="BD1528" s="115"/>
      <c r="BE1528" s="115"/>
      <c r="BF1528" s="115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26"/>
      <c r="BS1528" s="15"/>
      <c r="BW1528" s="117"/>
      <c r="BX1528" s="116"/>
      <c r="BY1528" s="116"/>
      <c r="BZ1528" s="116"/>
    </row>
    <row r="1529" spans="1:78" ht="19.5" x14ac:dyDescent="0.4">
      <c r="AU1529" s="115"/>
      <c r="AV1529" s="115"/>
      <c r="AW1529" s="115"/>
      <c r="AX1529" s="115"/>
      <c r="AY1529" s="115"/>
      <c r="AZ1529" s="115"/>
      <c r="BA1529" s="122"/>
      <c r="BB1529" s="122"/>
      <c r="BC1529" s="122"/>
      <c r="BD1529" s="115"/>
      <c r="BE1529" s="115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7"/>
      <c r="BS1529" s="13"/>
      <c r="BW1529" s="117"/>
      <c r="BX1529" s="116"/>
      <c r="BY1529" s="116"/>
      <c r="BZ1529" s="116"/>
    </row>
    <row r="1530" spans="1:78" ht="19.5" x14ac:dyDescent="0.4">
      <c r="AU1530" s="115"/>
      <c r="AV1530" s="115"/>
      <c r="AW1530" s="115"/>
      <c r="AX1530" s="115"/>
      <c r="AY1530" s="115"/>
      <c r="AZ1530" s="115"/>
      <c r="BA1530" s="122"/>
      <c r="BB1530" s="122"/>
      <c r="BC1530" s="122"/>
      <c r="BD1530" s="115"/>
      <c r="BE1530" s="115"/>
      <c r="BF1530" s="115"/>
      <c r="BG1530" s="115"/>
      <c r="BH1530" s="115"/>
      <c r="BI1530" s="115"/>
      <c r="BJ1530" s="115"/>
      <c r="BK1530" s="115"/>
      <c r="BL1530" s="115"/>
      <c r="BM1530" s="115"/>
      <c r="BN1530" s="115"/>
      <c r="BO1530" s="115"/>
      <c r="BP1530" s="115"/>
      <c r="BQ1530" s="115"/>
      <c r="BR1530" s="17"/>
      <c r="BS1530" s="13"/>
      <c r="BW1530" s="117"/>
      <c r="BX1530" s="116"/>
      <c r="BY1530" s="116"/>
      <c r="BZ1530" s="116"/>
    </row>
    <row r="1531" spans="1:78" ht="19.5" x14ac:dyDescent="0.4">
      <c r="BR1531" s="26"/>
      <c r="BS1531" s="13"/>
      <c r="BW1531" s="117"/>
      <c r="BX1531" s="116"/>
      <c r="BY1531" s="116"/>
      <c r="BZ1531" s="116"/>
    </row>
    <row r="1532" spans="1:78" ht="19.5" x14ac:dyDescent="0.4">
      <c r="AZ1532" s="115"/>
      <c r="BA1532" s="122"/>
      <c r="BB1532" s="122"/>
      <c r="BC1532" s="122"/>
      <c r="BD1532" s="115"/>
      <c r="BE1532" s="115"/>
      <c r="BF1532" s="115"/>
      <c r="BG1532" s="115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7"/>
      <c r="BS1532" s="13"/>
      <c r="BW1532" s="117"/>
      <c r="BX1532" s="116"/>
      <c r="BY1532" s="116"/>
      <c r="BZ1532" s="116"/>
    </row>
    <row r="1533" spans="1:78" ht="19.5" x14ac:dyDescent="0.4">
      <c r="A1533" s="115"/>
      <c r="B1533" s="115"/>
      <c r="C1533" s="115"/>
      <c r="D1533" s="115"/>
      <c r="E1533" s="115"/>
      <c r="F1533" s="115"/>
      <c r="G1533" s="115"/>
      <c r="H1533" s="115"/>
      <c r="I1533" s="115"/>
      <c r="J1533" s="115"/>
      <c r="K1533" s="115"/>
      <c r="L1533" s="115"/>
      <c r="M1533" s="115"/>
      <c r="N1533" s="115"/>
      <c r="O1533" s="115"/>
      <c r="P1533" s="115"/>
      <c r="Q1533" s="115"/>
      <c r="R1533" s="115"/>
      <c r="S1533" s="115"/>
      <c r="T1533" s="115"/>
      <c r="U1533" s="115"/>
      <c r="V1533" s="115"/>
      <c r="W1533" s="115"/>
      <c r="X1533" s="115"/>
      <c r="Y1533" s="115"/>
      <c r="Z1533" s="115"/>
      <c r="AA1533" s="115"/>
      <c r="AB1533" s="115"/>
      <c r="AC1533" s="115"/>
      <c r="AD1533" s="115"/>
      <c r="AE1533" s="115"/>
      <c r="AF1533" s="115"/>
      <c r="AG1533" s="115"/>
      <c r="AH1533" s="115"/>
      <c r="AI1533" s="115"/>
      <c r="AJ1533" s="115"/>
      <c r="AK1533" s="115"/>
      <c r="AL1533" s="115"/>
      <c r="AM1533" s="115"/>
      <c r="AN1533" s="115"/>
      <c r="AO1533" s="115"/>
      <c r="AP1533" s="115"/>
      <c r="AQ1533" s="115"/>
      <c r="AR1533" s="115"/>
      <c r="AS1533" s="115"/>
      <c r="AT1533" s="115"/>
      <c r="AU1533" s="115"/>
      <c r="AV1533" s="115"/>
      <c r="AW1533" s="115"/>
      <c r="AX1533" s="115"/>
      <c r="AY1533" s="115"/>
      <c r="AZ1533" s="115"/>
      <c r="BA1533" s="122"/>
      <c r="BB1533" s="122"/>
      <c r="BC1533" s="122"/>
      <c r="BD1533" s="115"/>
      <c r="BE1533" s="115"/>
      <c r="BF1533" s="115"/>
      <c r="BG1533" s="115"/>
      <c r="BH1533" s="115"/>
      <c r="BI1533" s="115"/>
      <c r="BJ1533" s="115"/>
      <c r="BK1533" s="115"/>
      <c r="BL1533" s="115"/>
      <c r="BM1533" s="115"/>
      <c r="BN1533" s="115"/>
      <c r="BO1533" s="115"/>
      <c r="BP1533" s="115"/>
      <c r="BQ1533" s="115"/>
      <c r="BR1533" s="26"/>
      <c r="BS1533" s="13"/>
      <c r="BW1533" s="117"/>
      <c r="BX1533" s="116"/>
      <c r="BY1533" s="116"/>
      <c r="BZ1533" s="116"/>
    </row>
    <row r="1534" spans="1:78" ht="19.5" x14ac:dyDescent="0.4">
      <c r="A1534" s="115"/>
      <c r="B1534" s="115"/>
      <c r="C1534" s="115"/>
      <c r="D1534" s="115"/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22"/>
      <c r="BB1534" s="122"/>
      <c r="BC1534" s="122"/>
      <c r="BD1534" s="115"/>
      <c r="BE1534" s="115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26"/>
      <c r="BS1534" s="13"/>
      <c r="BW1534" s="117"/>
      <c r="BX1534" s="116"/>
      <c r="BY1534" s="116"/>
      <c r="BZ1534" s="116"/>
    </row>
    <row r="1535" spans="1:78" ht="19.5" x14ac:dyDescent="0.4">
      <c r="A1535" s="115"/>
      <c r="B1535" s="115"/>
      <c r="C1535" s="115"/>
      <c r="D1535" s="115"/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22"/>
      <c r="BB1535" s="122"/>
      <c r="BC1535" s="122"/>
      <c r="BD1535" s="115"/>
      <c r="BE1535" s="115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26"/>
      <c r="BS1535" s="13"/>
      <c r="BW1535" s="117"/>
      <c r="BX1535" s="116"/>
      <c r="BY1535" s="116"/>
      <c r="BZ1535" s="116"/>
    </row>
    <row r="1536" spans="1:78" ht="19.5" x14ac:dyDescent="0.4">
      <c r="A1536" s="115"/>
      <c r="B1536" s="115"/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22"/>
      <c r="BB1536" s="122"/>
      <c r="BC1536" s="122"/>
      <c r="BD1536" s="115"/>
      <c r="BE1536" s="115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26"/>
      <c r="BS1536" s="13"/>
      <c r="BW1536" s="117"/>
      <c r="BX1536" s="116"/>
      <c r="BY1536" s="116"/>
      <c r="BZ1536" s="116"/>
    </row>
    <row r="1537" spans="1:78" ht="19.5" x14ac:dyDescent="0.4">
      <c r="A1537" s="115"/>
      <c r="B1537" s="115"/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22"/>
      <c r="BB1537" s="122"/>
      <c r="BC1537" s="122"/>
      <c r="BD1537" s="115"/>
      <c r="BE1537" s="115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115"/>
      <c r="BP1537" s="115"/>
      <c r="BQ1537" s="115"/>
      <c r="BR1537" s="17"/>
      <c r="BS1537" s="13"/>
      <c r="BW1537" s="117"/>
      <c r="BX1537" s="116"/>
      <c r="BY1537" s="116"/>
      <c r="BZ1537" s="116"/>
    </row>
    <row r="1538" spans="1:78" ht="19.5" x14ac:dyDescent="0.4">
      <c r="A1538" s="115"/>
      <c r="B1538" s="115"/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22"/>
      <c r="BB1538" s="122"/>
      <c r="BC1538" s="122"/>
      <c r="BD1538" s="115"/>
      <c r="BE1538" s="115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26"/>
      <c r="BS1538" s="13"/>
      <c r="BW1538" s="117"/>
      <c r="BX1538" s="116"/>
      <c r="BY1538" s="116"/>
      <c r="BZ1538" s="116"/>
    </row>
    <row r="1539" spans="1:78" ht="19.5" x14ac:dyDescent="0.4">
      <c r="A1539" s="115"/>
      <c r="B1539" s="115"/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22"/>
      <c r="BB1539" s="122"/>
      <c r="BC1539" s="122"/>
      <c r="BD1539" s="115"/>
      <c r="BE1539" s="115"/>
      <c r="BF1539" s="115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26"/>
      <c r="BS1539" s="15"/>
      <c r="BW1539" s="117"/>
      <c r="BX1539" s="116"/>
      <c r="BY1539" s="116"/>
      <c r="BZ1539" s="116"/>
    </row>
    <row r="1540" spans="1:78" ht="19.5" x14ac:dyDescent="0.4">
      <c r="BR1540" s="26"/>
      <c r="BS1540" s="15"/>
      <c r="BW1540" s="117"/>
      <c r="BX1540" s="116"/>
      <c r="BY1540" s="116"/>
      <c r="BZ1540" s="116"/>
    </row>
    <row r="1541" spans="1:78" ht="19.5" x14ac:dyDescent="0.4">
      <c r="AY1541" s="115"/>
      <c r="AZ1541" s="115"/>
      <c r="BA1541" s="122"/>
      <c r="BB1541" s="122"/>
      <c r="BC1541" s="122"/>
      <c r="BD1541" s="115"/>
      <c r="BE1541" s="115"/>
      <c r="BF1541" s="115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26"/>
      <c r="BS1541" s="13"/>
      <c r="BW1541" s="117"/>
      <c r="BX1541" s="116"/>
      <c r="BY1541" s="116"/>
      <c r="BZ1541" s="116"/>
    </row>
    <row r="1542" spans="1:78" ht="19.5" x14ac:dyDescent="0.4">
      <c r="AW1542" s="115"/>
      <c r="AX1542" s="115"/>
      <c r="AY1542" s="115"/>
      <c r="AZ1542" s="115"/>
      <c r="BA1542" s="122"/>
      <c r="BB1542" s="122"/>
      <c r="BC1542" s="122"/>
      <c r="BD1542" s="115"/>
      <c r="BE1542" s="115"/>
      <c r="BF1542" s="115"/>
      <c r="BG1542" s="115"/>
      <c r="BH1542" s="115"/>
      <c r="BI1542" s="115"/>
      <c r="BJ1542" s="115"/>
      <c r="BK1542" s="115"/>
      <c r="BL1542" s="115"/>
      <c r="BM1542" s="115"/>
      <c r="BN1542" s="115"/>
      <c r="BO1542" s="115"/>
      <c r="BP1542" s="115"/>
      <c r="BQ1542" s="115"/>
      <c r="BR1542" s="26"/>
      <c r="BS1542" s="15"/>
      <c r="BW1542" s="117"/>
      <c r="BX1542" s="116"/>
      <c r="BY1542" s="116"/>
      <c r="BZ1542" s="116"/>
    </row>
    <row r="1543" spans="1:78" ht="19.5" x14ac:dyDescent="0.4">
      <c r="AW1543" s="115"/>
      <c r="AX1543" s="115"/>
      <c r="AY1543" s="115"/>
      <c r="AZ1543" s="115"/>
      <c r="BA1543" s="122"/>
      <c r="BB1543" s="122"/>
      <c r="BC1543" s="122"/>
      <c r="BD1543" s="115"/>
      <c r="BE1543" s="115"/>
      <c r="BF1543" s="115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26"/>
      <c r="BS1543" s="15"/>
      <c r="BW1543" s="117"/>
      <c r="BX1543" s="116"/>
      <c r="BY1543" s="116"/>
      <c r="BZ1543" s="116"/>
    </row>
    <row r="1544" spans="1:78" ht="19.5" x14ac:dyDescent="0.4">
      <c r="AW1544" s="115"/>
      <c r="AX1544" s="115"/>
      <c r="AY1544" s="115"/>
      <c r="AZ1544" s="115"/>
      <c r="BA1544" s="122"/>
      <c r="BB1544" s="122"/>
      <c r="BC1544" s="122"/>
      <c r="BD1544" s="115"/>
      <c r="BE1544" s="115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7"/>
      <c r="BS1544" s="15"/>
      <c r="BW1544" s="117"/>
      <c r="BX1544" s="116"/>
      <c r="BY1544" s="116"/>
      <c r="BZ1544" s="116"/>
    </row>
    <row r="1545" spans="1:78" ht="19.5" x14ac:dyDescent="0.4">
      <c r="AV1545" s="115"/>
      <c r="AW1545" s="115"/>
      <c r="AX1545" s="115"/>
      <c r="AY1545" s="115"/>
      <c r="AZ1545" s="115"/>
      <c r="BA1545" s="122"/>
      <c r="BB1545" s="122"/>
      <c r="BC1545" s="122"/>
      <c r="BD1545" s="115"/>
      <c r="BE1545" s="115"/>
      <c r="BF1545" s="115"/>
      <c r="BG1545" s="115"/>
      <c r="BH1545" s="115"/>
      <c r="BI1545" s="115"/>
      <c r="BJ1545" s="115"/>
      <c r="BK1545" s="115"/>
      <c r="BL1545" s="115"/>
      <c r="BM1545" s="115"/>
      <c r="BN1545" s="115"/>
      <c r="BO1545" s="115"/>
      <c r="BP1545" s="115"/>
      <c r="BQ1545" s="115"/>
      <c r="BR1545" s="26"/>
      <c r="BS1545" s="15"/>
      <c r="BW1545" s="117"/>
      <c r="BX1545" s="116"/>
      <c r="BY1545" s="116"/>
      <c r="BZ1545" s="116"/>
    </row>
    <row r="1546" spans="1:78" ht="19.5" x14ac:dyDescent="0.4">
      <c r="AV1546" s="115"/>
      <c r="AW1546" s="115"/>
      <c r="AX1546" s="115"/>
      <c r="AY1546" s="115"/>
      <c r="AZ1546" s="115"/>
      <c r="BA1546" s="122"/>
      <c r="BB1546" s="122"/>
      <c r="BC1546" s="122"/>
      <c r="BD1546" s="115"/>
      <c r="BE1546" s="115"/>
      <c r="BF1546" s="115"/>
      <c r="BG1546" s="115"/>
      <c r="BH1546" s="115"/>
      <c r="BI1546" s="115"/>
      <c r="BJ1546" s="115"/>
      <c r="BK1546" s="115"/>
      <c r="BL1546" s="115"/>
      <c r="BM1546" s="115"/>
      <c r="BN1546" s="115"/>
      <c r="BO1546" s="115"/>
      <c r="BP1546" s="115"/>
      <c r="BQ1546" s="115"/>
      <c r="BR1546" s="26"/>
      <c r="BS1546" s="15"/>
      <c r="BW1546" s="117"/>
      <c r="BX1546" s="116"/>
      <c r="BY1546" s="116"/>
      <c r="BZ1546" s="116"/>
    </row>
    <row r="1547" spans="1:78" ht="19.5" x14ac:dyDescent="0.4">
      <c r="AV1547" s="115"/>
      <c r="AW1547" s="115"/>
      <c r="AX1547" s="115"/>
      <c r="AY1547" s="115"/>
      <c r="AZ1547" s="115"/>
      <c r="BA1547" s="122"/>
      <c r="BB1547" s="122"/>
      <c r="BC1547" s="122"/>
      <c r="BD1547" s="115"/>
      <c r="BE1547" s="115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115"/>
      <c r="BP1547" s="115"/>
      <c r="BQ1547" s="115"/>
      <c r="BR1547" s="26"/>
      <c r="BS1547" s="105"/>
      <c r="BW1547" s="117"/>
      <c r="BX1547" s="116"/>
      <c r="BY1547" s="116"/>
      <c r="BZ1547" s="116"/>
    </row>
    <row r="1548" spans="1:78" ht="19.5" x14ac:dyDescent="0.4">
      <c r="AV1548" s="115"/>
      <c r="AW1548" s="115"/>
      <c r="AX1548" s="115"/>
      <c r="AY1548" s="115"/>
      <c r="AZ1548" s="115"/>
      <c r="BA1548" s="122"/>
      <c r="BB1548" s="122"/>
      <c r="BC1548" s="122"/>
      <c r="BD1548" s="115"/>
      <c r="BE1548" s="115"/>
      <c r="BF1548" s="115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7"/>
      <c r="BS1548" s="15"/>
      <c r="BW1548" s="117"/>
      <c r="BX1548" s="116"/>
      <c r="BY1548" s="116"/>
      <c r="BZ1548" s="116"/>
    </row>
    <row r="1549" spans="1:78" ht="19.5" x14ac:dyDescent="0.4">
      <c r="AV1549" s="115"/>
      <c r="AW1549" s="115"/>
      <c r="AX1549" s="115"/>
      <c r="AY1549" s="115"/>
      <c r="AZ1549" s="115"/>
      <c r="BA1549" s="122"/>
      <c r="BB1549" s="122"/>
      <c r="BC1549" s="122"/>
      <c r="BD1549" s="115"/>
      <c r="BE1549" s="115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26"/>
      <c r="BS1549" s="15"/>
      <c r="BW1549" s="117"/>
      <c r="BX1549" s="116"/>
      <c r="BY1549" s="116"/>
      <c r="BZ1549" s="116"/>
    </row>
    <row r="1550" spans="1:78" ht="19.5" x14ac:dyDescent="0.4">
      <c r="AV1550" s="115"/>
      <c r="AW1550" s="115"/>
      <c r="AX1550" s="115"/>
      <c r="AY1550" s="115"/>
      <c r="AZ1550" s="115"/>
      <c r="BA1550" s="122"/>
      <c r="BB1550" s="122"/>
      <c r="BC1550" s="122"/>
      <c r="BD1550" s="115"/>
      <c r="BE1550" s="115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7"/>
      <c r="BS1550" s="15"/>
      <c r="BW1550" s="117"/>
      <c r="BX1550" s="116"/>
      <c r="BY1550" s="116"/>
      <c r="BZ1550" s="116"/>
    </row>
    <row r="1551" spans="1:78" ht="19.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22"/>
      <c r="BB1551" s="122"/>
      <c r="BC1551" s="122"/>
      <c r="BD1551" s="115"/>
      <c r="BE1551" s="115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26"/>
      <c r="BS1551" s="15"/>
      <c r="BW1551" s="117"/>
      <c r="BX1551" s="116"/>
      <c r="BY1551" s="116"/>
      <c r="BZ1551" s="116"/>
    </row>
    <row r="1552" spans="1:78" ht="19.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22"/>
      <c r="BB1552" s="122"/>
      <c r="BC1552" s="122"/>
      <c r="BD1552" s="115"/>
      <c r="BE1552" s="115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7"/>
      <c r="BS1552" s="15"/>
      <c r="BW1552" s="117"/>
      <c r="BX1552" s="116"/>
      <c r="BY1552" s="116"/>
      <c r="BZ1552" s="116"/>
    </row>
    <row r="1553" spans="1:78" ht="19.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22"/>
      <c r="BB1553" s="122"/>
      <c r="BC1553" s="122"/>
      <c r="BD1553" s="115"/>
      <c r="BE1553" s="115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115"/>
      <c r="BQ1553" s="115"/>
      <c r="BR1553" s="26"/>
      <c r="BS1553" s="15"/>
      <c r="BW1553" s="117"/>
      <c r="BX1553" s="116"/>
      <c r="BY1553" s="116"/>
      <c r="BZ1553" s="116"/>
    </row>
    <row r="1554" spans="1:78" ht="19.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22"/>
      <c r="BB1554" s="122"/>
      <c r="BC1554" s="122"/>
      <c r="BD1554" s="115"/>
      <c r="BE1554" s="115"/>
      <c r="BF1554" s="115"/>
      <c r="BG1554" s="115"/>
      <c r="BH1554" s="115"/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7"/>
      <c r="BS1554" s="15"/>
      <c r="BW1554" s="117"/>
      <c r="BX1554" s="116"/>
      <c r="BY1554" s="116"/>
      <c r="BZ1554" s="116"/>
    </row>
    <row r="1555" spans="1:78" ht="19.5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22"/>
      <c r="BB1555" s="122"/>
      <c r="BC1555" s="122"/>
      <c r="BD1555" s="115"/>
      <c r="BE1555" s="115"/>
      <c r="BF1555" s="115"/>
      <c r="BG1555" s="115"/>
      <c r="BH1555" s="115"/>
      <c r="BI1555" s="115"/>
      <c r="BJ1555" s="115"/>
      <c r="BK1555" s="115"/>
      <c r="BL1555" s="115"/>
      <c r="BM1555" s="115"/>
      <c r="BN1555" s="115"/>
      <c r="BO1555" s="115"/>
      <c r="BP1555" s="115"/>
      <c r="BQ1555" s="115"/>
      <c r="BR1555" s="26"/>
      <c r="BS1555" s="15"/>
      <c r="BW1555" s="117"/>
      <c r="BX1555" s="116"/>
      <c r="BY1555" s="116"/>
      <c r="BZ1555" s="116"/>
    </row>
    <row r="1556" spans="1:78" ht="19.5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22"/>
      <c r="BB1556" s="122"/>
      <c r="BC1556" s="122"/>
      <c r="BD1556" s="115"/>
      <c r="BE1556" s="115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26"/>
      <c r="BS1556" s="15"/>
      <c r="BW1556" s="117"/>
      <c r="BX1556" s="116"/>
      <c r="BY1556" s="116"/>
      <c r="BZ1556" s="116"/>
    </row>
    <row r="1557" spans="1:78" ht="19.5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22"/>
      <c r="BB1557" s="122"/>
      <c r="BC1557" s="122"/>
      <c r="BD1557" s="115"/>
      <c r="BE1557" s="115"/>
      <c r="BF1557" s="115"/>
      <c r="BG1557" s="115"/>
      <c r="BH1557" s="115"/>
      <c r="BI1557" s="115"/>
      <c r="BJ1557" s="115"/>
      <c r="BK1557" s="115"/>
      <c r="BL1557" s="115"/>
      <c r="BM1557" s="115"/>
      <c r="BN1557" s="115"/>
      <c r="BO1557" s="115"/>
      <c r="BP1557" s="115"/>
      <c r="BQ1557" s="115"/>
      <c r="BR1557" s="26"/>
      <c r="BS1557" s="15"/>
      <c r="BW1557" s="117"/>
      <c r="BX1557" s="116"/>
      <c r="BY1557" s="116"/>
      <c r="BZ1557" s="116"/>
    </row>
    <row r="1558" spans="1:78" ht="19.5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22"/>
      <c r="BB1558" s="122"/>
      <c r="BC1558" s="122"/>
      <c r="BD1558" s="115"/>
      <c r="BE1558" s="115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26"/>
      <c r="BS1558" s="15"/>
      <c r="BW1558" s="117"/>
      <c r="BX1558" s="116"/>
      <c r="BY1558" s="116"/>
      <c r="BZ1558" s="116"/>
    </row>
    <row r="1559" spans="1:78" ht="19.5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22"/>
      <c r="BB1559" s="122"/>
      <c r="BC1559" s="122"/>
      <c r="BD1559" s="115"/>
      <c r="BE1559" s="115"/>
      <c r="BF1559" s="115"/>
      <c r="BG1559" s="115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26"/>
      <c r="BS1559" s="15"/>
      <c r="BW1559" s="117"/>
      <c r="BX1559" s="116"/>
      <c r="BY1559" s="116"/>
      <c r="BZ1559" s="116"/>
    </row>
    <row r="1560" spans="1:78" ht="19.5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22"/>
      <c r="BB1560" s="122"/>
      <c r="BC1560" s="122"/>
      <c r="BD1560" s="115"/>
      <c r="BE1560" s="115"/>
      <c r="BF1560" s="115"/>
      <c r="BG1560" s="115"/>
      <c r="BH1560" s="115"/>
      <c r="BI1560" s="115"/>
      <c r="BJ1560" s="115"/>
      <c r="BK1560" s="115"/>
      <c r="BL1560" s="115"/>
      <c r="BM1560" s="115"/>
      <c r="BN1560" s="115"/>
      <c r="BO1560" s="115"/>
      <c r="BP1560" s="115"/>
      <c r="BQ1560" s="115"/>
      <c r="BR1560" s="26"/>
      <c r="BS1560" s="15"/>
      <c r="BW1560" s="117"/>
      <c r="BX1560" s="116"/>
      <c r="BY1560" s="116"/>
      <c r="BZ1560" s="116"/>
    </row>
    <row r="1561" spans="1:78" ht="19.5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22"/>
      <c r="BB1561" s="122"/>
      <c r="BC1561" s="122"/>
      <c r="BD1561" s="115"/>
      <c r="BE1561" s="115"/>
      <c r="BF1561" s="115"/>
      <c r="BG1561" s="115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7"/>
      <c r="BS1561" s="15"/>
      <c r="BW1561" s="117"/>
      <c r="BX1561" s="116"/>
      <c r="BY1561" s="116"/>
      <c r="BZ1561" s="116"/>
    </row>
    <row r="1562" spans="1:78" ht="19.5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22"/>
      <c r="BB1562" s="122"/>
      <c r="BC1562" s="122"/>
      <c r="BD1562" s="115"/>
      <c r="BE1562" s="115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26"/>
      <c r="BS1562" s="15"/>
      <c r="BW1562" s="117"/>
      <c r="BX1562" s="116"/>
      <c r="BY1562" s="116"/>
      <c r="BZ1562" s="116"/>
    </row>
    <row r="1563" spans="1:78" ht="19.5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22"/>
      <c r="BB1563" s="122"/>
      <c r="BC1563" s="122"/>
      <c r="BD1563" s="115"/>
      <c r="BE1563" s="115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7"/>
      <c r="BS1563" s="15"/>
      <c r="BW1563" s="117"/>
      <c r="BX1563" s="116"/>
      <c r="BY1563" s="116"/>
      <c r="BZ1563" s="116"/>
    </row>
    <row r="1564" spans="1:78" ht="19.5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22"/>
      <c r="BB1564" s="122"/>
      <c r="BC1564" s="122"/>
      <c r="BD1564" s="115"/>
      <c r="BE1564" s="115"/>
      <c r="BF1564" s="115"/>
      <c r="BG1564" s="115"/>
      <c r="BH1564" s="115"/>
      <c r="BI1564" s="115"/>
      <c r="BJ1564" s="115"/>
      <c r="BK1564" s="115"/>
      <c r="BL1564" s="115"/>
      <c r="BM1564" s="115"/>
      <c r="BN1564" s="115"/>
      <c r="BO1564" s="115"/>
      <c r="BP1564" s="115"/>
      <c r="BQ1564" s="115"/>
      <c r="BR1564" s="26"/>
      <c r="BS1564" s="15"/>
      <c r="BW1564" s="117"/>
      <c r="BX1564" s="116"/>
      <c r="BY1564" s="116"/>
      <c r="BZ1564" s="116"/>
    </row>
    <row r="1565" spans="1:78" ht="19.5" x14ac:dyDescent="0.4">
      <c r="A1565" s="115"/>
      <c r="B1565" s="115"/>
      <c r="C1565" s="115"/>
      <c r="D1565" s="115"/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22"/>
      <c r="BB1565" s="122"/>
      <c r="BC1565" s="122"/>
      <c r="BD1565" s="115"/>
      <c r="BE1565" s="115"/>
      <c r="BF1565" s="115"/>
      <c r="BG1565" s="115"/>
      <c r="BH1565" s="115"/>
      <c r="BI1565" s="115"/>
      <c r="BJ1565" s="115"/>
      <c r="BK1565" s="115"/>
      <c r="BL1565" s="115"/>
      <c r="BM1565" s="115"/>
      <c r="BN1565" s="115"/>
      <c r="BO1565" s="115"/>
      <c r="BP1565" s="115"/>
      <c r="BQ1565" s="115"/>
      <c r="BR1565" s="20"/>
      <c r="BS1565" s="15"/>
      <c r="BW1565" s="117"/>
      <c r="BX1565" s="116"/>
      <c r="BY1565" s="116"/>
      <c r="BZ1565" s="116"/>
    </row>
    <row r="1566" spans="1:78" ht="19.5" x14ac:dyDescent="0.4">
      <c r="A1566" s="115"/>
      <c r="B1566" s="115"/>
      <c r="C1566" s="115"/>
      <c r="D1566" s="115"/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22"/>
      <c r="BB1566" s="122"/>
      <c r="BC1566" s="122"/>
      <c r="BD1566" s="115"/>
      <c r="BE1566" s="115"/>
      <c r="BF1566" s="115"/>
      <c r="BG1566" s="115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20"/>
      <c r="BS1566" s="15"/>
      <c r="BW1566" s="117"/>
      <c r="BX1566" s="116"/>
      <c r="BY1566" s="116"/>
      <c r="BZ1566" s="116"/>
    </row>
    <row r="1567" spans="1:78" ht="19.5" x14ac:dyDescent="0.4">
      <c r="A1567" s="115"/>
      <c r="B1567" s="115"/>
      <c r="C1567" s="115"/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22"/>
      <c r="BB1567" s="122"/>
      <c r="BC1567" s="122"/>
      <c r="BD1567" s="115"/>
      <c r="BE1567" s="115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20"/>
      <c r="BS1567" s="15"/>
      <c r="BW1567" s="117"/>
      <c r="BX1567" s="116"/>
      <c r="BY1567" s="116"/>
      <c r="BZ1567" s="116"/>
    </row>
    <row r="1568" spans="1:78" ht="19.5" x14ac:dyDescent="0.4">
      <c r="A1568" s="115"/>
      <c r="B1568" s="115"/>
      <c r="C1568" s="115"/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22"/>
      <c r="BB1568" s="122"/>
      <c r="BC1568" s="122"/>
      <c r="BD1568" s="115"/>
      <c r="BE1568" s="115"/>
      <c r="BF1568" s="115"/>
      <c r="BG1568" s="115"/>
      <c r="BH1568" s="115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20"/>
      <c r="BS1568" s="15"/>
      <c r="BW1568" s="117"/>
      <c r="BX1568" s="116"/>
      <c r="BY1568" s="116"/>
      <c r="BZ1568" s="116"/>
    </row>
    <row r="1569" spans="1:78" ht="19.5" x14ac:dyDescent="0.4">
      <c r="A1569" s="115"/>
      <c r="B1569" s="115"/>
      <c r="C1569" s="115"/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22"/>
      <c r="BB1569" s="122"/>
      <c r="BC1569" s="122"/>
      <c r="BD1569" s="115"/>
      <c r="BE1569" s="115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115"/>
      <c r="BP1569" s="115"/>
      <c r="BQ1569" s="115"/>
      <c r="BR1569" s="25"/>
      <c r="BS1569" s="15"/>
      <c r="BW1569" s="117"/>
      <c r="BX1569" s="116"/>
      <c r="BY1569" s="116"/>
      <c r="BZ1569" s="116"/>
    </row>
    <row r="1570" spans="1:78" ht="19.5" x14ac:dyDescent="0.4">
      <c r="A1570" s="115"/>
      <c r="B1570" s="115"/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22"/>
      <c r="BB1570" s="122"/>
      <c r="BC1570" s="122"/>
      <c r="BD1570" s="115"/>
      <c r="BE1570" s="115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3"/>
      <c r="BS1570" s="15"/>
      <c r="BW1570" s="117"/>
      <c r="BX1570" s="116"/>
      <c r="BY1570" s="116"/>
      <c r="BZ1570" s="116"/>
    </row>
    <row r="1571" spans="1:78" ht="19.5" x14ac:dyDescent="0.4">
      <c r="BR1571" s="25"/>
      <c r="BS1571" s="15"/>
      <c r="BW1571" s="117"/>
      <c r="BX1571" s="116"/>
      <c r="BY1571" s="116"/>
      <c r="BZ1571" s="116"/>
    </row>
    <row r="1572" spans="1:78" ht="19.5" x14ac:dyDescent="0.4">
      <c r="AX1572" s="115"/>
      <c r="AY1572" s="115"/>
      <c r="AZ1572" s="115"/>
      <c r="BA1572" s="122"/>
      <c r="BB1572" s="122"/>
      <c r="BC1572" s="122"/>
      <c r="BD1572" s="115"/>
      <c r="BE1572" s="115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115"/>
      <c r="BP1572" s="115"/>
      <c r="BQ1572" s="115"/>
      <c r="BR1572" s="13"/>
      <c r="BS1572" s="15"/>
      <c r="BW1572" s="117"/>
      <c r="BX1572" s="116"/>
      <c r="BY1572" s="116"/>
      <c r="BZ1572" s="116"/>
    </row>
    <row r="1573" spans="1:78" ht="19.5" x14ac:dyDescent="0.4"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22"/>
      <c r="BB1573" s="122"/>
      <c r="BC1573" s="122"/>
      <c r="BD1573" s="115"/>
      <c r="BE1573" s="115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15"/>
      <c r="BP1573" s="115"/>
      <c r="BQ1573" s="115"/>
      <c r="BR1573" s="25"/>
      <c r="BS1573" s="15"/>
      <c r="BW1573" s="117"/>
      <c r="BX1573" s="116"/>
      <c r="BY1573" s="116"/>
      <c r="BZ1573" s="116"/>
    </row>
    <row r="1574" spans="1:78" ht="19.5" x14ac:dyDescent="0.4">
      <c r="A1574" s="115"/>
      <c r="B1574" s="115"/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22"/>
      <c r="BB1574" s="122"/>
      <c r="BC1574" s="122"/>
      <c r="BD1574" s="115"/>
      <c r="BE1574" s="115"/>
      <c r="BF1574" s="115"/>
      <c r="BG1574" s="115"/>
      <c r="BH1574" s="115"/>
      <c r="BI1574" s="115"/>
      <c r="BJ1574" s="115"/>
      <c r="BK1574" s="115"/>
      <c r="BL1574" s="115"/>
      <c r="BM1574" s="115"/>
      <c r="BN1574" s="115"/>
      <c r="BO1574" s="115"/>
      <c r="BP1574" s="115"/>
      <c r="BQ1574" s="115"/>
      <c r="BR1574" s="25"/>
      <c r="BS1574" s="15"/>
      <c r="BW1574" s="117"/>
      <c r="BX1574" s="116"/>
      <c r="BY1574" s="116"/>
      <c r="BZ1574" s="116"/>
    </row>
    <row r="1575" spans="1:78" ht="19.5" x14ac:dyDescent="0.4">
      <c r="A1575" s="115"/>
      <c r="B1575" s="115"/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22"/>
      <c r="BB1575" s="122"/>
      <c r="BC1575" s="122"/>
      <c r="BD1575" s="115"/>
      <c r="BE1575" s="115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15"/>
      <c r="BQ1575" s="115"/>
      <c r="BR1575" s="13"/>
      <c r="BS1575" s="15"/>
      <c r="BW1575" s="117"/>
      <c r="BX1575" s="116"/>
      <c r="BY1575" s="116"/>
      <c r="BZ1575" s="116"/>
    </row>
    <row r="1576" spans="1:78" ht="19.5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22"/>
      <c r="BB1576" s="122"/>
      <c r="BC1576" s="122"/>
      <c r="BD1576" s="115"/>
      <c r="BE1576" s="115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25"/>
      <c r="BS1576" s="15"/>
      <c r="BW1576" s="117"/>
      <c r="BX1576" s="116"/>
      <c r="BY1576" s="116"/>
      <c r="BZ1576" s="116"/>
    </row>
    <row r="1577" spans="1:78" ht="19.5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22"/>
      <c r="BB1577" s="122"/>
      <c r="BC1577" s="122"/>
      <c r="BD1577" s="115"/>
      <c r="BE1577" s="115"/>
      <c r="BF1577" s="115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3"/>
      <c r="BS1577" s="15"/>
      <c r="BW1577" s="117"/>
      <c r="BX1577" s="116"/>
      <c r="BY1577" s="116"/>
      <c r="BZ1577" s="116"/>
    </row>
    <row r="1578" spans="1:78" ht="19.5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22"/>
      <c r="BB1578" s="122"/>
      <c r="BC1578" s="122"/>
      <c r="BD1578" s="115"/>
      <c r="BE1578" s="115"/>
      <c r="BF1578" s="115"/>
      <c r="BG1578" s="115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25"/>
      <c r="BS1578" s="15"/>
      <c r="BW1578" s="117"/>
      <c r="BX1578" s="116"/>
      <c r="BY1578" s="116"/>
      <c r="BZ1578" s="116"/>
    </row>
    <row r="1579" spans="1:78" ht="19.5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22"/>
      <c r="BB1579" s="122"/>
      <c r="BC1579" s="122"/>
      <c r="BD1579" s="115"/>
      <c r="BE1579" s="115"/>
      <c r="BF1579" s="115"/>
      <c r="BG1579" s="115"/>
      <c r="BH1579" s="115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26"/>
      <c r="BS1579" s="15"/>
      <c r="BW1579" s="117"/>
      <c r="BX1579" s="116"/>
      <c r="BY1579" s="116"/>
      <c r="BZ1579" s="116"/>
    </row>
    <row r="1580" spans="1:78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22"/>
      <c r="BB1580" s="122"/>
      <c r="BC1580" s="122"/>
      <c r="BD1580" s="115"/>
      <c r="BE1580" s="115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15"/>
      <c r="BR1580" s="17"/>
      <c r="BS1580" s="13"/>
      <c r="BW1580" s="117"/>
      <c r="BX1580" s="116"/>
      <c r="BY1580" s="116"/>
      <c r="BZ1580" s="116"/>
    </row>
    <row r="1581" spans="1:78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22"/>
      <c r="BB1581" s="122"/>
      <c r="BC1581" s="122"/>
      <c r="BD1581" s="115"/>
      <c r="BE1581" s="115"/>
      <c r="BF1581" s="115"/>
      <c r="BG1581" s="115"/>
      <c r="BH1581" s="115"/>
      <c r="BI1581" s="115"/>
      <c r="BJ1581" s="115"/>
      <c r="BK1581" s="115"/>
      <c r="BL1581" s="115"/>
      <c r="BM1581" s="115"/>
      <c r="BN1581" s="115"/>
      <c r="BO1581" s="115"/>
      <c r="BP1581" s="115"/>
      <c r="BQ1581" s="115"/>
      <c r="BR1581" s="26"/>
      <c r="BS1581" s="13"/>
      <c r="BW1581" s="117"/>
      <c r="BX1581" s="116"/>
      <c r="BY1581" s="116"/>
      <c r="BZ1581" s="116"/>
    </row>
    <row r="1582" spans="1:78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22"/>
      <c r="BB1582" s="122"/>
      <c r="BC1582" s="122"/>
      <c r="BD1582" s="115"/>
      <c r="BE1582" s="115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15"/>
      <c r="BR1582" s="17"/>
      <c r="BS1582" s="13"/>
      <c r="BW1582" s="117"/>
      <c r="BX1582" s="116"/>
      <c r="BY1582" s="116"/>
      <c r="BZ1582" s="116"/>
    </row>
    <row r="1583" spans="1:78" ht="19.5" x14ac:dyDescent="0.4">
      <c r="A1583" s="115"/>
      <c r="B1583" s="115"/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22"/>
      <c r="BB1583" s="122"/>
      <c r="BC1583" s="122"/>
      <c r="BD1583" s="115"/>
      <c r="BE1583" s="115"/>
      <c r="BF1583" s="115"/>
      <c r="BG1583" s="115"/>
      <c r="BH1583" s="115"/>
      <c r="BI1583" s="115"/>
      <c r="BJ1583" s="115"/>
      <c r="BK1583" s="115"/>
      <c r="BL1583" s="115"/>
      <c r="BM1583" s="115"/>
      <c r="BN1583" s="115"/>
      <c r="BO1583" s="115"/>
      <c r="BP1583" s="115"/>
      <c r="BQ1583" s="115"/>
      <c r="BR1583" s="26"/>
      <c r="BS1583" s="15"/>
      <c r="BW1583" s="117"/>
      <c r="BX1583" s="116"/>
      <c r="BY1583" s="116"/>
      <c r="BZ1583" s="116"/>
    </row>
    <row r="1584" spans="1:78" ht="19.5" x14ac:dyDescent="0.4">
      <c r="A1584" s="115"/>
      <c r="B1584" s="115"/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22"/>
      <c r="BB1584" s="122"/>
      <c r="BC1584" s="122"/>
      <c r="BD1584" s="115"/>
      <c r="BE1584" s="115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7"/>
      <c r="BS1584" s="15"/>
      <c r="BW1584" s="117"/>
      <c r="BX1584" s="116"/>
      <c r="BY1584" s="116"/>
      <c r="BZ1584" s="116"/>
    </row>
    <row r="1585" spans="1:78" ht="19.5" x14ac:dyDescent="0.4">
      <c r="BR1585" s="26"/>
      <c r="BS1585" s="105"/>
      <c r="BW1585" s="117"/>
      <c r="BX1585" s="116"/>
      <c r="BY1585" s="116"/>
      <c r="BZ1585" s="116"/>
    </row>
    <row r="1586" spans="1:78" ht="19.5" x14ac:dyDescent="0.4">
      <c r="AX1586" s="115"/>
      <c r="AY1586" s="115"/>
      <c r="AZ1586" s="115"/>
      <c r="BA1586" s="122"/>
      <c r="BB1586" s="122"/>
      <c r="BC1586" s="122"/>
      <c r="BD1586" s="115"/>
      <c r="BE1586" s="115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7"/>
      <c r="BS1586" s="15"/>
      <c r="BW1586" s="117"/>
      <c r="BX1586" s="116"/>
      <c r="BY1586" s="116"/>
      <c r="BZ1586" s="116"/>
    </row>
    <row r="1587" spans="1:78" ht="19.5" x14ac:dyDescent="0.4">
      <c r="AU1587" s="115"/>
      <c r="AV1587" s="115"/>
      <c r="AW1587" s="115"/>
      <c r="AX1587" s="115"/>
      <c r="AY1587" s="115"/>
      <c r="AZ1587" s="115"/>
      <c r="BA1587" s="122"/>
      <c r="BB1587" s="122"/>
      <c r="BC1587" s="122"/>
      <c r="BD1587" s="115"/>
      <c r="BE1587" s="115"/>
      <c r="BF1587" s="115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26"/>
      <c r="BS1587" s="15"/>
      <c r="BW1587" s="117"/>
      <c r="BX1587" s="116"/>
      <c r="BY1587" s="116"/>
      <c r="BZ1587" s="116"/>
    </row>
    <row r="1588" spans="1:78" ht="19.5" x14ac:dyDescent="0.4">
      <c r="AU1588" s="115"/>
      <c r="AV1588" s="115"/>
      <c r="AW1588" s="115"/>
      <c r="AX1588" s="115"/>
      <c r="AY1588" s="115"/>
      <c r="AZ1588" s="115"/>
      <c r="BA1588" s="122"/>
      <c r="BB1588" s="122"/>
      <c r="BC1588" s="122"/>
      <c r="BD1588" s="115"/>
      <c r="BE1588" s="115"/>
      <c r="BF1588" s="115"/>
      <c r="BG1588" s="115"/>
      <c r="BH1588" s="115"/>
      <c r="BI1588" s="115"/>
      <c r="BJ1588" s="115"/>
      <c r="BK1588" s="115"/>
      <c r="BL1588" s="115"/>
      <c r="BM1588" s="115"/>
      <c r="BN1588" s="115"/>
      <c r="BO1588" s="115"/>
      <c r="BP1588" s="115"/>
      <c r="BQ1588" s="115"/>
      <c r="BR1588" s="17"/>
      <c r="BS1588" s="15"/>
      <c r="BW1588" s="117"/>
      <c r="BX1588" s="116"/>
      <c r="BY1588" s="116"/>
      <c r="BZ1588" s="116"/>
    </row>
    <row r="1589" spans="1:78" ht="19.5" x14ac:dyDescent="0.4"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22"/>
      <c r="BB1589" s="122"/>
      <c r="BC1589" s="122"/>
      <c r="BD1589" s="115"/>
      <c r="BE1589" s="115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26"/>
      <c r="BS1589" s="15"/>
      <c r="BW1589" s="117"/>
      <c r="BX1589" s="116"/>
      <c r="BY1589" s="116"/>
      <c r="BZ1589" s="116"/>
    </row>
    <row r="1590" spans="1:78" ht="19.5" x14ac:dyDescent="0.4"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22"/>
      <c r="BB1590" s="122"/>
      <c r="BC1590" s="122"/>
      <c r="BD1590" s="115"/>
      <c r="BE1590" s="115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7"/>
      <c r="BS1590" s="15"/>
      <c r="BW1590" s="117"/>
      <c r="BX1590" s="116"/>
      <c r="BY1590" s="116"/>
      <c r="BZ1590" s="116"/>
    </row>
    <row r="1591" spans="1:78" ht="19.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22"/>
      <c r="BB1591" s="122"/>
      <c r="BC1591" s="122"/>
      <c r="BD1591" s="115"/>
      <c r="BE1591" s="115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26"/>
      <c r="BS1591" s="15"/>
      <c r="BW1591" s="117"/>
      <c r="BX1591" s="116"/>
      <c r="BY1591" s="116"/>
      <c r="BZ1591" s="116"/>
    </row>
    <row r="1592" spans="1:78" ht="19.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22"/>
      <c r="BB1592" s="122"/>
      <c r="BC1592" s="122"/>
      <c r="BD1592" s="115"/>
      <c r="BE1592" s="115"/>
      <c r="BF1592" s="115"/>
      <c r="BG1592" s="115"/>
      <c r="BH1592" s="115"/>
      <c r="BI1592" s="115"/>
      <c r="BJ1592" s="115"/>
      <c r="BK1592" s="115"/>
      <c r="BL1592" s="115"/>
      <c r="BM1592" s="115"/>
      <c r="BN1592" s="115"/>
      <c r="BO1592" s="115"/>
      <c r="BP1592" s="115"/>
      <c r="BQ1592" s="115"/>
      <c r="BR1592" s="26"/>
      <c r="BS1592" s="15"/>
      <c r="BW1592" s="117"/>
      <c r="BX1592" s="116"/>
      <c r="BY1592" s="116"/>
      <c r="BZ1592" s="116"/>
    </row>
    <row r="1593" spans="1:78" ht="19.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22"/>
      <c r="BB1593" s="122"/>
      <c r="BC1593" s="122"/>
      <c r="BD1593" s="115"/>
      <c r="BE1593" s="115"/>
      <c r="BF1593" s="115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7"/>
      <c r="BS1593" s="15"/>
      <c r="BW1593" s="117"/>
      <c r="BX1593" s="116"/>
      <c r="BY1593" s="116"/>
      <c r="BZ1593" s="116"/>
    </row>
    <row r="1594" spans="1:78" ht="19.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22"/>
      <c r="BB1594" s="122"/>
      <c r="BC1594" s="122"/>
      <c r="BD1594" s="115"/>
      <c r="BE1594" s="115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26"/>
      <c r="BS1594" s="15"/>
      <c r="BW1594" s="117"/>
      <c r="BX1594" s="116"/>
      <c r="BY1594" s="116"/>
      <c r="BZ1594" s="116"/>
    </row>
    <row r="1595" spans="1:78" ht="19.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22"/>
      <c r="BB1595" s="122"/>
      <c r="BC1595" s="122"/>
      <c r="BD1595" s="115"/>
      <c r="BE1595" s="115"/>
      <c r="BF1595" s="115"/>
      <c r="BG1595" s="115"/>
      <c r="BH1595" s="115"/>
      <c r="BI1595" s="115"/>
      <c r="BJ1595" s="115"/>
      <c r="BK1595" s="115"/>
      <c r="BL1595" s="115"/>
      <c r="BM1595" s="115"/>
      <c r="BN1595" s="115"/>
      <c r="BO1595" s="115"/>
      <c r="BP1595" s="115"/>
      <c r="BQ1595" s="115"/>
      <c r="BR1595" s="17"/>
      <c r="BS1595" s="15"/>
      <c r="BW1595" s="117"/>
      <c r="BX1595" s="116"/>
      <c r="BY1595" s="116"/>
      <c r="BZ1595" s="116"/>
    </row>
    <row r="1596" spans="1:78" ht="19.5" x14ac:dyDescent="0.4">
      <c r="BR1596" s="26"/>
      <c r="BS1596" s="15"/>
      <c r="BW1596" s="117"/>
      <c r="BX1596" s="116"/>
      <c r="BY1596" s="116"/>
      <c r="BZ1596" s="116"/>
    </row>
    <row r="1597" spans="1:78" ht="19.5" x14ac:dyDescent="0.4">
      <c r="AX1597" s="115"/>
      <c r="AY1597" s="115"/>
      <c r="AZ1597" s="115"/>
      <c r="BA1597" s="122"/>
      <c r="BB1597" s="122"/>
      <c r="BC1597" s="122"/>
      <c r="BD1597" s="115"/>
      <c r="BE1597" s="115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115"/>
      <c r="BQ1597" s="115"/>
      <c r="BR1597" s="17"/>
      <c r="BS1597" s="15"/>
      <c r="BW1597" s="117"/>
      <c r="BX1597" s="116"/>
      <c r="BY1597" s="116"/>
      <c r="BZ1597" s="116"/>
    </row>
    <row r="1598" spans="1:78" ht="19.5" x14ac:dyDescent="0.4">
      <c r="BR1598" s="26"/>
      <c r="BS1598" s="15"/>
      <c r="BW1598" s="117"/>
      <c r="BX1598" s="116"/>
      <c r="BY1598" s="116"/>
      <c r="BZ1598" s="116"/>
    </row>
    <row r="1599" spans="1:78" ht="19.5" x14ac:dyDescent="0.4">
      <c r="AX1599" s="115"/>
      <c r="AY1599" s="115"/>
      <c r="AZ1599" s="115"/>
      <c r="BA1599" s="122"/>
      <c r="BB1599" s="122"/>
      <c r="BC1599" s="122"/>
      <c r="BD1599" s="115"/>
      <c r="BE1599" s="115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7"/>
      <c r="BS1599" s="15"/>
      <c r="BW1599" s="117"/>
      <c r="BX1599" s="116"/>
      <c r="BY1599" s="116"/>
      <c r="BZ1599" s="116"/>
    </row>
    <row r="1600" spans="1:78" ht="19.5" x14ac:dyDescent="0.4">
      <c r="BR1600" s="26"/>
      <c r="BS1600" s="15"/>
      <c r="BW1600" s="117"/>
      <c r="BX1600" s="116"/>
      <c r="BY1600" s="116"/>
      <c r="BZ1600" s="116"/>
    </row>
    <row r="1601" spans="2:78" ht="19.5" x14ac:dyDescent="0.4">
      <c r="AX1601" s="115"/>
      <c r="AY1601" s="115"/>
      <c r="AZ1601" s="115"/>
      <c r="BA1601" s="122"/>
      <c r="BB1601" s="122"/>
      <c r="BC1601" s="122"/>
      <c r="BD1601" s="115"/>
      <c r="BE1601" s="115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115"/>
      <c r="BP1601" s="115"/>
      <c r="BQ1601" s="115"/>
      <c r="BR1601" s="17"/>
      <c r="BS1601" s="15"/>
      <c r="BW1601" s="117"/>
      <c r="BX1601" s="116"/>
      <c r="BY1601" s="116"/>
      <c r="BZ1601" s="116"/>
    </row>
    <row r="1602" spans="2:78" ht="19.5" x14ac:dyDescent="0.4"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22"/>
      <c r="BB1602" s="122"/>
      <c r="BC1602" s="122"/>
      <c r="BD1602" s="115"/>
      <c r="BE1602" s="115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115"/>
      <c r="BR1602" s="26"/>
      <c r="BS1602" s="15"/>
      <c r="BW1602" s="117"/>
      <c r="BX1602" s="116"/>
      <c r="BY1602" s="116"/>
      <c r="BZ1602" s="116"/>
    </row>
    <row r="1603" spans="2:78" ht="19.5" x14ac:dyDescent="0.4"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22"/>
      <c r="BB1603" s="122"/>
      <c r="BC1603" s="122"/>
      <c r="BD1603" s="115"/>
      <c r="BE1603" s="115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7"/>
      <c r="BS1603" s="15"/>
      <c r="BW1603" s="117"/>
      <c r="BX1603" s="116"/>
      <c r="BY1603" s="116"/>
      <c r="BZ1603" s="116"/>
    </row>
    <row r="1604" spans="2:78" ht="19.5" x14ac:dyDescent="0.4"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22"/>
      <c r="BB1604" s="122"/>
      <c r="BC1604" s="122"/>
      <c r="BD1604" s="115"/>
      <c r="BE1604" s="115"/>
      <c r="BF1604" s="115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26"/>
      <c r="BS1604" s="15"/>
      <c r="BW1604" s="117"/>
      <c r="BX1604" s="116"/>
      <c r="BY1604" s="116"/>
      <c r="BZ1604" s="116"/>
    </row>
    <row r="1605" spans="2:78" ht="19.5" x14ac:dyDescent="0.4">
      <c r="BR1605" s="26"/>
      <c r="BS1605" s="15"/>
      <c r="BW1605" s="117"/>
      <c r="BX1605" s="116"/>
      <c r="BY1605" s="116"/>
      <c r="BZ1605" s="116"/>
    </row>
    <row r="1606" spans="2:78" ht="19.5" x14ac:dyDescent="0.4">
      <c r="AX1606" s="115"/>
      <c r="AY1606" s="115"/>
      <c r="AZ1606" s="115"/>
      <c r="BA1606" s="122"/>
      <c r="BB1606" s="122"/>
      <c r="BC1606" s="122"/>
      <c r="BD1606" s="115"/>
      <c r="BE1606" s="115"/>
      <c r="BF1606" s="115"/>
      <c r="BG1606" s="115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7"/>
      <c r="BS1606" s="15"/>
      <c r="BW1606" s="117"/>
      <c r="BX1606" s="116"/>
      <c r="BY1606" s="116"/>
      <c r="BZ1606" s="116"/>
    </row>
    <row r="1607" spans="2:78" ht="19.5" x14ac:dyDescent="0.4">
      <c r="AV1607" s="115"/>
      <c r="AW1607" s="115"/>
      <c r="AX1607" s="115"/>
      <c r="AY1607" s="115"/>
      <c r="AZ1607" s="115"/>
      <c r="BA1607" s="122"/>
      <c r="BB1607" s="122"/>
      <c r="BC1607" s="122"/>
      <c r="BD1607" s="115"/>
      <c r="BE1607" s="115"/>
      <c r="BF1607" s="115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26"/>
      <c r="BS1607" s="15"/>
      <c r="BW1607" s="117"/>
      <c r="BX1607" s="116"/>
      <c r="BY1607" s="116"/>
      <c r="BZ1607" s="116"/>
    </row>
    <row r="1608" spans="2:78" ht="19.5" x14ac:dyDescent="0.4">
      <c r="AV1608" s="115"/>
      <c r="AW1608" s="115"/>
      <c r="AX1608" s="115"/>
      <c r="AY1608" s="115"/>
      <c r="AZ1608" s="115"/>
      <c r="BA1608" s="122"/>
      <c r="BB1608" s="122"/>
      <c r="BC1608" s="122"/>
      <c r="BD1608" s="115"/>
      <c r="BE1608" s="115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7"/>
      <c r="BS1608" s="13"/>
      <c r="BW1608" s="117"/>
      <c r="BX1608" s="116"/>
      <c r="BY1608" s="116"/>
      <c r="BZ1608" s="116"/>
    </row>
    <row r="1609" spans="2:78" ht="19.5" x14ac:dyDescent="0.4">
      <c r="AU1609" s="115"/>
      <c r="AV1609" s="115"/>
      <c r="AW1609" s="115"/>
      <c r="AX1609" s="115"/>
      <c r="AY1609" s="115"/>
      <c r="AZ1609" s="115"/>
      <c r="BA1609" s="122"/>
      <c r="BB1609" s="122"/>
      <c r="BC1609" s="122"/>
      <c r="BD1609" s="115"/>
      <c r="BE1609" s="115"/>
      <c r="BF1609" s="115"/>
      <c r="BG1609" s="115"/>
      <c r="BH1609" s="115"/>
      <c r="BI1609" s="115"/>
      <c r="BJ1609" s="115"/>
      <c r="BK1609" s="115"/>
      <c r="BL1609" s="115"/>
      <c r="BM1609" s="115"/>
      <c r="BN1609" s="115"/>
      <c r="BO1609" s="115"/>
      <c r="BP1609" s="115"/>
      <c r="BQ1609" s="115"/>
      <c r="BR1609" s="26"/>
      <c r="BS1609" s="13"/>
      <c r="BW1609" s="117"/>
      <c r="BX1609" s="116"/>
      <c r="BY1609" s="116"/>
      <c r="BZ1609" s="116"/>
    </row>
    <row r="1610" spans="2:78" ht="19.5" x14ac:dyDescent="0.4">
      <c r="AU1610" s="115"/>
      <c r="AV1610" s="115"/>
      <c r="AW1610" s="115"/>
      <c r="AX1610" s="115"/>
      <c r="AY1610" s="115"/>
      <c r="AZ1610" s="115"/>
      <c r="BA1610" s="122"/>
      <c r="BB1610" s="122"/>
      <c r="BC1610" s="122"/>
      <c r="BD1610" s="115"/>
      <c r="BE1610" s="115"/>
      <c r="BF1610" s="115"/>
      <c r="BG1610" s="115"/>
      <c r="BH1610" s="115"/>
      <c r="BI1610" s="115"/>
      <c r="BJ1610" s="115"/>
      <c r="BK1610" s="115"/>
      <c r="BL1610" s="115"/>
      <c r="BM1610" s="115"/>
      <c r="BN1610" s="115"/>
      <c r="BO1610" s="115"/>
      <c r="BP1610" s="115"/>
      <c r="BQ1610" s="115"/>
      <c r="BR1610" s="17"/>
      <c r="BS1610" s="13"/>
      <c r="BW1610" s="117"/>
      <c r="BX1610" s="116"/>
      <c r="BY1610" s="116"/>
      <c r="BZ1610" s="116"/>
    </row>
    <row r="1611" spans="2:78" ht="19.5" x14ac:dyDescent="0.4"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22"/>
      <c r="BB1611" s="122"/>
      <c r="BC1611" s="122"/>
      <c r="BD1611" s="115"/>
      <c r="BE1611" s="115"/>
      <c r="BF1611" s="115"/>
      <c r="BG1611" s="115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26"/>
      <c r="BS1611" s="15"/>
      <c r="BW1611" s="117"/>
      <c r="BX1611" s="116"/>
      <c r="BY1611" s="116"/>
      <c r="BZ1611" s="116"/>
    </row>
    <row r="1612" spans="2:78" ht="19.5" x14ac:dyDescent="0.4"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22"/>
      <c r="BB1612" s="122"/>
      <c r="BC1612" s="122"/>
      <c r="BD1612" s="115"/>
      <c r="BE1612" s="115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115"/>
      <c r="BR1612" s="17"/>
      <c r="BS1612" s="15"/>
      <c r="BW1612" s="117"/>
      <c r="BX1612" s="116"/>
      <c r="BY1612" s="116"/>
      <c r="BZ1612" s="116"/>
    </row>
    <row r="1613" spans="2:78" ht="19.5" x14ac:dyDescent="0.4"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22"/>
      <c r="BB1613" s="122"/>
      <c r="BC1613" s="122"/>
      <c r="BD1613" s="115"/>
      <c r="BE1613" s="115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26"/>
      <c r="BS1613" s="105"/>
      <c r="BW1613" s="117"/>
      <c r="BX1613" s="116"/>
      <c r="BY1613" s="116"/>
      <c r="BZ1613" s="116"/>
    </row>
    <row r="1614" spans="2:78" ht="19.5" x14ac:dyDescent="0.4"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22"/>
      <c r="BB1614" s="122"/>
      <c r="BC1614" s="122"/>
      <c r="BD1614" s="115"/>
      <c r="BE1614" s="115"/>
      <c r="BF1614" s="115"/>
      <c r="BG1614" s="115"/>
      <c r="BH1614" s="115"/>
      <c r="BI1614" s="115"/>
      <c r="BJ1614" s="115"/>
      <c r="BK1614" s="115"/>
      <c r="BL1614" s="115"/>
      <c r="BM1614" s="115"/>
      <c r="BN1614" s="115"/>
      <c r="BO1614" s="115"/>
      <c r="BP1614" s="115"/>
      <c r="BQ1614" s="115"/>
      <c r="BR1614" s="17"/>
      <c r="BS1614" s="15"/>
      <c r="BW1614" s="117"/>
      <c r="BX1614" s="116"/>
      <c r="BY1614" s="116"/>
      <c r="BZ1614" s="116"/>
    </row>
    <row r="1615" spans="2:78" ht="19.5" x14ac:dyDescent="0.4"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22"/>
      <c r="BB1615" s="122"/>
      <c r="BC1615" s="122"/>
      <c r="BD1615" s="115"/>
      <c r="BE1615" s="115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15"/>
      <c r="BR1615" s="26"/>
      <c r="BS1615" s="15"/>
      <c r="BW1615" s="117"/>
      <c r="BX1615" s="116"/>
      <c r="BY1615" s="116"/>
      <c r="BZ1615" s="116"/>
    </row>
    <row r="1616" spans="2:78" ht="19.5" x14ac:dyDescent="0.4"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22"/>
      <c r="BB1616" s="122"/>
      <c r="BC1616" s="122"/>
      <c r="BD1616" s="115"/>
      <c r="BE1616" s="115"/>
      <c r="BF1616" s="115"/>
      <c r="BG1616" s="115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26"/>
      <c r="BS1616" s="15"/>
      <c r="BW1616" s="117"/>
      <c r="BX1616" s="116"/>
      <c r="BY1616" s="116"/>
      <c r="BZ1616" s="116"/>
    </row>
    <row r="1617" spans="1:78" ht="19.5" x14ac:dyDescent="0.4">
      <c r="BR1617" s="26"/>
      <c r="BS1617" s="15"/>
      <c r="BW1617" s="117"/>
      <c r="BX1617" s="116"/>
      <c r="BY1617" s="116"/>
      <c r="BZ1617" s="116"/>
    </row>
    <row r="1618" spans="1:78" ht="19.5" x14ac:dyDescent="0.4">
      <c r="AW1618" s="115"/>
      <c r="AX1618" s="115"/>
      <c r="AY1618" s="115"/>
      <c r="AZ1618" s="115"/>
      <c r="BA1618" s="122"/>
      <c r="BB1618" s="122"/>
      <c r="BC1618" s="122"/>
      <c r="BD1618" s="115"/>
      <c r="BE1618" s="115"/>
      <c r="BF1618" s="115"/>
      <c r="BG1618" s="115"/>
      <c r="BH1618" s="115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26"/>
      <c r="BS1618" s="15"/>
      <c r="BW1618" s="117"/>
      <c r="BX1618" s="116"/>
      <c r="BY1618" s="116"/>
      <c r="BZ1618" s="116"/>
    </row>
    <row r="1619" spans="1:78" ht="19.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22"/>
      <c r="BB1619" s="122"/>
      <c r="BC1619" s="122"/>
      <c r="BD1619" s="115"/>
      <c r="BE1619" s="115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26"/>
      <c r="BS1619" s="15"/>
      <c r="BW1619" s="117"/>
      <c r="BX1619" s="116"/>
      <c r="BY1619" s="116"/>
      <c r="BZ1619" s="116"/>
    </row>
    <row r="1620" spans="1:78" ht="19.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22"/>
      <c r="BB1620" s="122"/>
      <c r="BC1620" s="122"/>
      <c r="BD1620" s="115"/>
      <c r="BE1620" s="115"/>
      <c r="BF1620" s="115"/>
      <c r="BG1620" s="115"/>
      <c r="BH1620" s="115"/>
      <c r="BI1620" s="115"/>
      <c r="BJ1620" s="115"/>
      <c r="BK1620" s="115"/>
      <c r="BL1620" s="115"/>
      <c r="BM1620" s="115"/>
      <c r="BN1620" s="115"/>
      <c r="BO1620" s="115"/>
      <c r="BP1620" s="115"/>
      <c r="BQ1620" s="115"/>
      <c r="BR1620" s="26"/>
      <c r="BS1620" s="15"/>
      <c r="BW1620" s="117"/>
      <c r="BX1620" s="116"/>
      <c r="BY1620" s="116"/>
      <c r="BZ1620" s="116"/>
    </row>
    <row r="1621" spans="1:78" ht="19.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22"/>
      <c r="BB1621" s="122"/>
      <c r="BC1621" s="122"/>
      <c r="BD1621" s="115"/>
      <c r="BE1621" s="115"/>
      <c r="BF1621" s="115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7"/>
      <c r="BS1621" s="15"/>
      <c r="BW1621" s="117"/>
      <c r="BX1621" s="116"/>
      <c r="BY1621" s="116"/>
      <c r="BZ1621" s="116"/>
    </row>
    <row r="1622" spans="1:78" ht="19.5" x14ac:dyDescent="0.4">
      <c r="BR1622" s="26"/>
      <c r="BS1622" s="15"/>
      <c r="BW1622" s="117"/>
      <c r="BX1622" s="116"/>
      <c r="BY1622" s="116"/>
      <c r="BZ1622" s="116"/>
    </row>
    <row r="1623" spans="1:78" ht="19.5" x14ac:dyDescent="0.4">
      <c r="AX1623" s="115"/>
      <c r="AY1623" s="115"/>
      <c r="AZ1623" s="115"/>
      <c r="BA1623" s="122"/>
      <c r="BB1623" s="122"/>
      <c r="BC1623" s="122"/>
      <c r="BD1623" s="115"/>
      <c r="BE1623" s="115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7"/>
      <c r="BS1623" s="15"/>
      <c r="BW1623" s="117"/>
      <c r="BX1623" s="116"/>
      <c r="BY1623" s="116"/>
      <c r="BZ1623" s="116"/>
    </row>
    <row r="1624" spans="1:78" ht="19.5" x14ac:dyDescent="0.4">
      <c r="AW1624" s="115"/>
      <c r="AX1624" s="115"/>
      <c r="AY1624" s="115"/>
      <c r="AZ1624" s="115"/>
      <c r="BA1624" s="122"/>
      <c r="BB1624" s="122"/>
      <c r="BC1624" s="122"/>
      <c r="BD1624" s="115"/>
      <c r="BE1624" s="115"/>
      <c r="BF1624" s="115"/>
      <c r="BG1624" s="115"/>
      <c r="BH1624" s="115"/>
      <c r="BI1624" s="115"/>
      <c r="BJ1624" s="115"/>
      <c r="BK1624" s="115"/>
      <c r="BL1624" s="115"/>
      <c r="BM1624" s="115"/>
      <c r="BN1624" s="115"/>
      <c r="BO1624" s="115"/>
      <c r="BP1624" s="115"/>
      <c r="BQ1624" s="115"/>
      <c r="BR1624" s="26"/>
      <c r="BS1624" s="15"/>
      <c r="BW1624" s="117"/>
      <c r="BX1624" s="116"/>
      <c r="BY1624" s="116"/>
      <c r="BZ1624" s="116"/>
    </row>
    <row r="1625" spans="1:78" ht="19.5" x14ac:dyDescent="0.4"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22"/>
      <c r="BB1625" s="122"/>
      <c r="BC1625" s="122"/>
      <c r="BD1625" s="115"/>
      <c r="BE1625" s="115"/>
      <c r="BF1625" s="115"/>
      <c r="BG1625" s="115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26"/>
      <c r="BS1625" s="15"/>
      <c r="BW1625" s="117"/>
      <c r="BX1625" s="116"/>
      <c r="BY1625" s="116"/>
      <c r="BZ1625" s="116"/>
    </row>
    <row r="1626" spans="1:78" ht="19.5" x14ac:dyDescent="0.4"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22"/>
      <c r="BB1626" s="122"/>
      <c r="BC1626" s="122"/>
      <c r="BD1626" s="115"/>
      <c r="BE1626" s="115"/>
      <c r="BF1626" s="115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26"/>
      <c r="BS1626" s="15"/>
      <c r="BW1626" s="117"/>
      <c r="BX1626" s="116"/>
      <c r="BY1626" s="116"/>
      <c r="BZ1626" s="116"/>
    </row>
    <row r="1627" spans="1:78" ht="19.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22"/>
      <c r="BB1627" s="122"/>
      <c r="BC1627" s="122"/>
      <c r="BD1627" s="115"/>
      <c r="BE1627" s="115"/>
      <c r="BF1627" s="115"/>
      <c r="BG1627" s="115"/>
      <c r="BH1627" s="115"/>
      <c r="BI1627" s="115"/>
      <c r="BJ1627" s="115"/>
      <c r="BK1627" s="115"/>
      <c r="BL1627" s="115"/>
      <c r="BM1627" s="115"/>
      <c r="BN1627" s="115"/>
      <c r="BO1627" s="115"/>
      <c r="BP1627" s="115"/>
      <c r="BQ1627" s="115"/>
      <c r="BR1627" s="26"/>
      <c r="BS1627" s="15"/>
      <c r="BW1627" s="117"/>
      <c r="BX1627" s="116"/>
      <c r="BY1627" s="116"/>
      <c r="BZ1627" s="116"/>
    </row>
    <row r="1628" spans="1:78" ht="19.5" x14ac:dyDescent="0.4">
      <c r="A1628" s="115"/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22"/>
      <c r="BB1628" s="122"/>
      <c r="BC1628" s="122"/>
      <c r="BD1628" s="115"/>
      <c r="BE1628" s="115"/>
      <c r="BF1628" s="115"/>
      <c r="BG1628" s="115"/>
      <c r="BH1628" s="115"/>
      <c r="BI1628" s="115"/>
      <c r="BJ1628" s="115"/>
      <c r="BK1628" s="115"/>
      <c r="BL1628" s="115"/>
      <c r="BM1628" s="115"/>
      <c r="BN1628" s="115"/>
      <c r="BO1628" s="115"/>
      <c r="BP1628" s="115"/>
      <c r="BQ1628" s="115"/>
      <c r="BR1628" s="26"/>
      <c r="BS1628" s="15"/>
      <c r="BW1628" s="117"/>
      <c r="BX1628" s="116"/>
      <c r="BY1628" s="116"/>
      <c r="BZ1628" s="116"/>
    </row>
    <row r="1629" spans="1:78" ht="19.5" x14ac:dyDescent="0.4">
      <c r="A1629" s="115"/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22"/>
      <c r="BB1629" s="122"/>
      <c r="BC1629" s="122"/>
      <c r="BD1629" s="115"/>
      <c r="BE1629" s="115"/>
      <c r="BF1629" s="115"/>
      <c r="BG1629" s="115"/>
      <c r="BH1629" s="115"/>
      <c r="BI1629" s="115"/>
      <c r="BJ1629" s="115"/>
      <c r="BK1629" s="115"/>
      <c r="BL1629" s="115"/>
      <c r="BM1629" s="115"/>
      <c r="BN1629" s="115"/>
      <c r="BO1629" s="115"/>
      <c r="BP1629" s="115"/>
      <c r="BQ1629" s="115"/>
      <c r="BR1629" s="26"/>
      <c r="BS1629" s="15"/>
      <c r="BW1629" s="117"/>
      <c r="BX1629" s="116"/>
      <c r="BY1629" s="116"/>
      <c r="BZ1629" s="116"/>
    </row>
    <row r="1630" spans="1:78" ht="19.5" x14ac:dyDescent="0.4">
      <c r="A1630" s="115"/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22"/>
      <c r="BB1630" s="122"/>
      <c r="BC1630" s="122"/>
      <c r="BD1630" s="115"/>
      <c r="BE1630" s="115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7"/>
      <c r="BS1630" s="15"/>
      <c r="BW1630" s="117"/>
      <c r="BX1630" s="116"/>
      <c r="BY1630" s="116"/>
      <c r="BZ1630" s="116"/>
    </row>
    <row r="1631" spans="1:78" ht="19.5" x14ac:dyDescent="0.4">
      <c r="BR1631" s="26"/>
      <c r="BS1631" s="15"/>
      <c r="BW1631" s="117"/>
      <c r="BX1631" s="116"/>
      <c r="BY1631" s="116"/>
      <c r="BZ1631" s="116"/>
    </row>
    <row r="1632" spans="1:78" ht="19.5" x14ac:dyDescent="0.4">
      <c r="AX1632" s="115"/>
      <c r="AY1632" s="115"/>
      <c r="AZ1632" s="115"/>
      <c r="BA1632" s="122"/>
      <c r="BB1632" s="122"/>
      <c r="BC1632" s="122"/>
      <c r="BD1632" s="115"/>
      <c r="BE1632" s="115"/>
      <c r="BF1632" s="115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7"/>
      <c r="BS1632" s="13"/>
      <c r="BW1632" s="117"/>
      <c r="BX1632" s="116"/>
      <c r="BY1632" s="116"/>
      <c r="BZ1632" s="116"/>
    </row>
    <row r="1633" spans="1:78" ht="19.5" x14ac:dyDescent="0.4">
      <c r="AX1633" s="115"/>
      <c r="AY1633" s="115"/>
      <c r="AZ1633" s="115"/>
      <c r="BA1633" s="122"/>
      <c r="BB1633" s="122"/>
      <c r="BC1633" s="122"/>
      <c r="BD1633" s="115"/>
      <c r="BE1633" s="115"/>
      <c r="BF1633" s="115"/>
      <c r="BG1633" s="115"/>
      <c r="BH1633" s="115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7"/>
      <c r="BS1633" s="13"/>
      <c r="BW1633" s="117"/>
      <c r="BX1633" s="116"/>
      <c r="BY1633" s="116"/>
      <c r="BZ1633" s="116"/>
    </row>
    <row r="1634" spans="1:78" ht="19.5" x14ac:dyDescent="0.4">
      <c r="BR1634" s="26"/>
      <c r="BS1634" s="13"/>
      <c r="BW1634" s="117"/>
      <c r="BX1634" s="116"/>
      <c r="BY1634" s="116"/>
      <c r="BZ1634" s="116"/>
    </row>
    <row r="1635" spans="1:78" ht="19.5" x14ac:dyDescent="0.4">
      <c r="BR1635" s="26"/>
      <c r="BS1635" s="13"/>
      <c r="BW1635" s="116"/>
      <c r="BX1635" s="116"/>
      <c r="BY1635" s="116"/>
      <c r="BZ1635" s="116"/>
    </row>
    <row r="1636" spans="1:78" ht="19.5" x14ac:dyDescent="0.4"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22"/>
      <c r="BB1636" s="122"/>
      <c r="BC1636" s="122"/>
      <c r="BD1636" s="115"/>
      <c r="BE1636" s="115"/>
      <c r="BF1636" s="115"/>
      <c r="BG1636" s="115"/>
      <c r="BH1636" s="115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26"/>
      <c r="BS1636" s="13"/>
      <c r="BW1636" s="118"/>
      <c r="BX1636" s="118"/>
      <c r="BY1636" s="118"/>
      <c r="BZ1636" s="118"/>
    </row>
    <row r="1637" spans="1:78" ht="19.5" x14ac:dyDescent="0.4"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22"/>
      <c r="BB1637" s="122"/>
      <c r="BC1637" s="122"/>
      <c r="BD1637" s="115"/>
      <c r="BE1637" s="115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26"/>
      <c r="BS1637" s="13"/>
      <c r="BW1637" s="118"/>
      <c r="BX1637" s="118"/>
      <c r="BY1637" s="118"/>
      <c r="BZ1637" s="118"/>
    </row>
    <row r="1638" spans="1:78" ht="19.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22"/>
      <c r="BB1638" s="122"/>
      <c r="BC1638" s="122"/>
      <c r="BD1638" s="115"/>
      <c r="BE1638" s="115"/>
      <c r="BF1638" s="115"/>
      <c r="BG1638" s="115"/>
      <c r="BH1638" s="115"/>
      <c r="BI1638" s="115"/>
      <c r="BJ1638" s="115"/>
      <c r="BK1638" s="115"/>
      <c r="BL1638" s="115"/>
      <c r="BM1638" s="115"/>
      <c r="BN1638" s="115"/>
      <c r="BO1638" s="115"/>
      <c r="BP1638" s="115"/>
      <c r="BQ1638" s="115"/>
      <c r="BR1638" s="26"/>
      <c r="BS1638" s="13"/>
      <c r="BW1638" s="118"/>
      <c r="BX1638" s="118"/>
      <c r="BY1638" s="118"/>
      <c r="BZ1638" s="118"/>
    </row>
    <row r="1639" spans="1:78" ht="19.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22"/>
      <c r="BB1639" s="122"/>
      <c r="BC1639" s="122"/>
      <c r="BD1639" s="115"/>
      <c r="BE1639" s="115"/>
      <c r="BF1639" s="115"/>
      <c r="BG1639" s="115"/>
      <c r="BH1639" s="115"/>
      <c r="BI1639" s="115"/>
      <c r="BJ1639" s="115"/>
      <c r="BK1639" s="115"/>
      <c r="BL1639" s="115"/>
      <c r="BM1639" s="115"/>
      <c r="BN1639" s="115"/>
      <c r="BO1639" s="115"/>
      <c r="BP1639" s="115"/>
      <c r="BQ1639" s="115"/>
      <c r="BR1639" s="26"/>
      <c r="BS1639" s="15"/>
      <c r="BW1639" s="118"/>
      <c r="BX1639" s="118"/>
      <c r="BY1639" s="118"/>
      <c r="BZ1639" s="118"/>
    </row>
    <row r="1640" spans="1:78" ht="19.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22"/>
      <c r="BB1640" s="122"/>
      <c r="BC1640" s="122"/>
      <c r="BD1640" s="115"/>
      <c r="BE1640" s="115"/>
      <c r="BF1640" s="115"/>
      <c r="BG1640" s="115"/>
      <c r="BH1640" s="115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26"/>
      <c r="BS1640" s="15"/>
      <c r="BW1640" s="118"/>
      <c r="BX1640" s="118"/>
      <c r="BY1640" s="118"/>
      <c r="BZ1640" s="118"/>
    </row>
    <row r="1641" spans="1:78" ht="19.5" x14ac:dyDescent="0.4">
      <c r="A1641" s="115"/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22"/>
      <c r="BB1641" s="122"/>
      <c r="BC1641" s="122"/>
      <c r="BD1641" s="115"/>
      <c r="BE1641" s="115"/>
      <c r="BF1641" s="115"/>
      <c r="BG1641" s="115"/>
      <c r="BH1641" s="115"/>
      <c r="BI1641" s="115"/>
      <c r="BJ1641" s="115"/>
      <c r="BK1641" s="115"/>
      <c r="BL1641" s="115"/>
      <c r="BM1641" s="115"/>
      <c r="BN1641" s="115"/>
      <c r="BO1641" s="115"/>
      <c r="BP1641" s="115"/>
      <c r="BQ1641" s="115"/>
      <c r="BR1641" s="26"/>
      <c r="BS1641" s="15"/>
      <c r="BW1641" s="118"/>
      <c r="BX1641" s="118"/>
      <c r="BY1641" s="118"/>
      <c r="BZ1641" s="118"/>
    </row>
    <row r="1642" spans="1:78" ht="19.5" x14ac:dyDescent="0.4">
      <c r="A1642" s="115"/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22"/>
      <c r="BB1642" s="122"/>
      <c r="BC1642" s="122"/>
      <c r="BD1642" s="115"/>
      <c r="BE1642" s="115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26"/>
      <c r="BS1642" s="15"/>
      <c r="BW1642" s="118"/>
      <c r="BX1642" s="118"/>
      <c r="BY1642" s="118"/>
      <c r="BZ1642" s="118"/>
    </row>
    <row r="1643" spans="1:78" ht="20.25" customHeight="1" x14ac:dyDescent="0.4">
      <c r="A1643" s="115"/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22"/>
      <c r="BB1643" s="122"/>
      <c r="BC1643" s="122"/>
      <c r="BD1643" s="115"/>
      <c r="BE1643" s="115"/>
      <c r="BF1643" s="115"/>
      <c r="BG1643" s="115"/>
      <c r="BH1643" s="115"/>
      <c r="BI1643" s="115"/>
      <c r="BJ1643" s="115"/>
      <c r="BK1643" s="115"/>
      <c r="BL1643" s="115"/>
      <c r="BM1643" s="115"/>
      <c r="BN1643" s="115"/>
      <c r="BO1643" s="115"/>
      <c r="BP1643" s="115"/>
      <c r="BQ1643" s="115"/>
      <c r="BR1643" s="26"/>
      <c r="BS1643" s="15"/>
      <c r="BW1643" s="118"/>
      <c r="BX1643" s="118"/>
      <c r="BY1643" s="118"/>
      <c r="BZ1643" s="118"/>
    </row>
    <row r="1644" spans="1:78" x14ac:dyDescent="0.4">
      <c r="BR1644" s="26"/>
      <c r="BS1644" s="15"/>
    </row>
    <row r="1645" spans="1:78" x14ac:dyDescent="0.4">
      <c r="BR1645" s="26"/>
      <c r="BS1645" s="13"/>
    </row>
    <row r="1646" spans="1:78" x14ac:dyDescent="0.4">
      <c r="AV1646" s="115"/>
      <c r="AW1646" s="115"/>
      <c r="AX1646" s="115"/>
      <c r="AY1646" s="115"/>
      <c r="AZ1646" s="115"/>
      <c r="BA1646" s="122"/>
      <c r="BB1646" s="122"/>
      <c r="BC1646" s="122"/>
      <c r="BD1646" s="115"/>
      <c r="BE1646" s="115"/>
      <c r="BF1646" s="115"/>
      <c r="BG1646" s="115"/>
      <c r="BH1646" s="115"/>
      <c r="BI1646" s="115"/>
      <c r="BJ1646" s="115"/>
      <c r="BK1646" s="115"/>
      <c r="BL1646" s="115"/>
      <c r="BM1646" s="115"/>
      <c r="BN1646" s="115"/>
      <c r="BO1646" s="115"/>
      <c r="BP1646" s="115"/>
      <c r="BQ1646" s="115"/>
      <c r="BR1646" s="26"/>
      <c r="BS1646" s="13"/>
    </row>
    <row r="1647" spans="1:78" x14ac:dyDescent="0.4">
      <c r="AV1647" s="115"/>
      <c r="AW1647" s="115"/>
      <c r="AX1647" s="115"/>
      <c r="AY1647" s="115"/>
      <c r="AZ1647" s="115"/>
      <c r="BA1647" s="122"/>
      <c r="BB1647" s="122"/>
      <c r="BC1647" s="122"/>
      <c r="BD1647" s="115"/>
      <c r="BE1647" s="115"/>
      <c r="BF1647" s="115"/>
      <c r="BG1647" s="115"/>
      <c r="BH1647" s="115"/>
      <c r="BI1647" s="115"/>
      <c r="BJ1647" s="115"/>
      <c r="BK1647" s="115"/>
      <c r="BL1647" s="115"/>
      <c r="BM1647" s="115"/>
      <c r="BN1647" s="115"/>
      <c r="BO1647" s="115"/>
      <c r="BP1647" s="115"/>
      <c r="BQ1647" s="115"/>
      <c r="BR1647" s="17"/>
      <c r="BS1647" s="13"/>
    </row>
    <row r="1648" spans="1:78" x14ac:dyDescent="0.4"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22"/>
      <c r="BB1648" s="122"/>
      <c r="BC1648" s="122"/>
      <c r="BD1648" s="115"/>
      <c r="BE1648" s="115"/>
      <c r="BF1648" s="115"/>
      <c r="BG1648" s="115"/>
      <c r="BH1648" s="115"/>
      <c r="BI1648" s="115"/>
      <c r="BJ1648" s="115"/>
      <c r="BK1648" s="115"/>
      <c r="BL1648" s="115"/>
      <c r="BM1648" s="115"/>
      <c r="BN1648" s="115"/>
      <c r="BO1648" s="115"/>
      <c r="BP1648" s="115"/>
      <c r="BQ1648" s="115"/>
      <c r="BR1648" s="26"/>
      <c r="BS1648" s="13"/>
    </row>
    <row r="1649" spans="1:71" x14ac:dyDescent="0.4"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22"/>
      <c r="BB1649" s="122"/>
      <c r="BC1649" s="122"/>
      <c r="BD1649" s="115"/>
      <c r="BE1649" s="115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26"/>
      <c r="BS1649" s="13"/>
    </row>
    <row r="1650" spans="1:71" x14ac:dyDescent="0.4">
      <c r="BR1650" s="26"/>
      <c r="BS1650" s="13"/>
    </row>
    <row r="1651" spans="1:71" x14ac:dyDescent="0.4"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22"/>
      <c r="BB1651" s="122"/>
      <c r="BC1651" s="122"/>
      <c r="BD1651" s="115"/>
      <c r="BE1651" s="115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26"/>
      <c r="BS1651" s="13"/>
    </row>
    <row r="1652" spans="1:71" x14ac:dyDescent="0.4"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22"/>
      <c r="BB1652" s="122"/>
      <c r="BC1652" s="122"/>
      <c r="BD1652" s="115"/>
      <c r="BE1652" s="115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26"/>
      <c r="BS1652" s="13"/>
    </row>
    <row r="1653" spans="1:71" x14ac:dyDescent="0.4">
      <c r="BR1653" s="26"/>
      <c r="BS1653" s="13"/>
    </row>
    <row r="1654" spans="1:71" x14ac:dyDescent="0.4"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22"/>
      <c r="BB1654" s="122"/>
      <c r="BC1654" s="122"/>
      <c r="BD1654" s="115"/>
      <c r="BE1654" s="115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26"/>
      <c r="BS1654" s="13"/>
    </row>
    <row r="1655" spans="1:71" x14ac:dyDescent="0.4">
      <c r="BR1655" s="26"/>
      <c r="BS1655" s="13"/>
    </row>
    <row r="1656" spans="1:71" x14ac:dyDescent="0.4">
      <c r="AU1656" s="115"/>
      <c r="AV1656" s="115"/>
      <c r="AW1656" s="115"/>
      <c r="AX1656" s="115"/>
      <c r="AY1656" s="115"/>
      <c r="AZ1656" s="115"/>
      <c r="BA1656" s="122"/>
      <c r="BB1656" s="122"/>
      <c r="BC1656" s="122"/>
      <c r="BD1656" s="115"/>
      <c r="BE1656" s="115"/>
      <c r="BF1656" s="115"/>
      <c r="BG1656" s="115"/>
      <c r="BH1656" s="115"/>
      <c r="BI1656" s="115"/>
      <c r="BJ1656" s="115"/>
      <c r="BK1656" s="115"/>
      <c r="BL1656" s="115"/>
      <c r="BM1656" s="115"/>
      <c r="BN1656" s="115"/>
      <c r="BO1656" s="115"/>
      <c r="BP1656" s="115"/>
      <c r="BQ1656" s="115"/>
      <c r="BR1656" s="26"/>
      <c r="BS1656" s="13"/>
    </row>
    <row r="1657" spans="1:71" x14ac:dyDescent="0.4">
      <c r="BR1657" s="26"/>
      <c r="BS1657" s="13"/>
    </row>
    <row r="1658" spans="1:71" x14ac:dyDescent="0.4"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22"/>
      <c r="BB1658" s="122"/>
      <c r="BC1658" s="122"/>
      <c r="BD1658" s="115"/>
      <c r="BE1658" s="115"/>
      <c r="BF1658" s="115"/>
      <c r="BG1658" s="115"/>
      <c r="BH1658" s="115"/>
      <c r="BI1658" s="115"/>
      <c r="BJ1658" s="115"/>
      <c r="BK1658" s="115"/>
      <c r="BL1658" s="115"/>
      <c r="BM1658" s="115"/>
      <c r="BN1658" s="115"/>
      <c r="BO1658" s="115"/>
      <c r="BP1658" s="115"/>
      <c r="BQ1658" s="115"/>
      <c r="BR1658" s="26"/>
      <c r="BS1658" s="15"/>
    </row>
    <row r="1659" spans="1:71" x14ac:dyDescent="0.4"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22"/>
      <c r="BB1659" s="122"/>
      <c r="BC1659" s="122"/>
      <c r="BD1659" s="115"/>
      <c r="BE1659" s="115"/>
      <c r="BF1659" s="115"/>
      <c r="BG1659" s="115"/>
      <c r="BH1659" s="115"/>
      <c r="BI1659" s="115"/>
      <c r="BJ1659" s="115"/>
      <c r="BK1659" s="115"/>
      <c r="BL1659" s="115"/>
      <c r="BM1659" s="115"/>
      <c r="BN1659" s="115"/>
      <c r="BO1659" s="115"/>
      <c r="BP1659" s="115"/>
      <c r="BQ1659" s="115"/>
      <c r="BR1659" s="26"/>
      <c r="BS1659" s="15"/>
    </row>
    <row r="1660" spans="1:71" x14ac:dyDescent="0.4"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22"/>
      <c r="BB1660" s="122"/>
      <c r="BC1660" s="122"/>
      <c r="BD1660" s="115"/>
      <c r="BE1660" s="115"/>
      <c r="BF1660" s="115"/>
      <c r="BG1660" s="115"/>
      <c r="BH1660" s="115"/>
      <c r="BI1660" s="115"/>
      <c r="BJ1660" s="115"/>
      <c r="BK1660" s="115"/>
      <c r="BL1660" s="115"/>
      <c r="BM1660" s="115"/>
      <c r="BN1660" s="115"/>
      <c r="BO1660" s="115"/>
      <c r="BP1660" s="115"/>
      <c r="BQ1660" s="115"/>
      <c r="BR1660" s="26"/>
      <c r="BS1660" s="15"/>
    </row>
    <row r="1661" spans="1:71" x14ac:dyDescent="0.4">
      <c r="BR1661" s="26"/>
      <c r="BS1661" s="13"/>
    </row>
    <row r="1662" spans="1:71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22"/>
      <c r="BB1662" s="122"/>
      <c r="BC1662" s="122"/>
      <c r="BD1662" s="115"/>
      <c r="BE1662" s="115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26"/>
      <c r="BS1662" s="15"/>
    </row>
    <row r="1663" spans="1:71" x14ac:dyDescent="0.4">
      <c r="BR1663" s="26"/>
      <c r="BS1663" s="15"/>
    </row>
    <row r="1664" spans="1:71" x14ac:dyDescent="0.4">
      <c r="BR1664" s="26"/>
      <c r="BS1664" s="15"/>
    </row>
    <row r="1665" spans="3:71" x14ac:dyDescent="0.4"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22"/>
      <c r="BB1665" s="122"/>
      <c r="BC1665" s="122"/>
      <c r="BD1665" s="115"/>
      <c r="BE1665" s="115"/>
      <c r="BF1665" s="115"/>
      <c r="BG1665" s="115"/>
      <c r="BH1665" s="115"/>
      <c r="BI1665" s="115"/>
      <c r="BJ1665" s="115"/>
      <c r="BK1665" s="115"/>
      <c r="BL1665" s="115"/>
      <c r="BM1665" s="115"/>
      <c r="BN1665" s="115"/>
      <c r="BO1665" s="115"/>
      <c r="BP1665" s="115"/>
      <c r="BQ1665" s="115"/>
      <c r="BR1665" s="26"/>
      <c r="BS1665" s="15"/>
    </row>
    <row r="1666" spans="3:71" x14ac:dyDescent="0.4"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22"/>
      <c r="BB1666" s="122"/>
      <c r="BC1666" s="122"/>
      <c r="BD1666" s="115"/>
      <c r="BE1666" s="115"/>
      <c r="BF1666" s="115"/>
      <c r="BG1666" s="115"/>
      <c r="BH1666" s="115"/>
      <c r="BI1666" s="115"/>
      <c r="BJ1666" s="115"/>
      <c r="BK1666" s="115"/>
      <c r="BL1666" s="115"/>
      <c r="BM1666" s="115"/>
      <c r="BN1666" s="115"/>
      <c r="BO1666" s="115"/>
      <c r="BP1666" s="115"/>
      <c r="BQ1666" s="115"/>
      <c r="BR1666" s="26"/>
      <c r="BS1666" s="15"/>
    </row>
    <row r="1667" spans="3:71" x14ac:dyDescent="0.4">
      <c r="BR1667" s="26"/>
      <c r="BS1667" s="15"/>
    </row>
    <row r="1668" spans="3:71" x14ac:dyDescent="0.4">
      <c r="AT1668" s="115"/>
      <c r="AU1668" s="115"/>
      <c r="AV1668" s="115"/>
      <c r="AW1668" s="115"/>
      <c r="AX1668" s="115"/>
      <c r="AY1668" s="115"/>
      <c r="AZ1668" s="115"/>
      <c r="BA1668" s="122"/>
      <c r="BB1668" s="122"/>
      <c r="BC1668" s="122"/>
      <c r="BD1668" s="115"/>
      <c r="BE1668" s="115"/>
      <c r="BF1668" s="115"/>
      <c r="BG1668" s="115"/>
      <c r="BH1668" s="115"/>
      <c r="BI1668" s="115"/>
      <c r="BJ1668" s="115"/>
      <c r="BK1668" s="115"/>
      <c r="BL1668" s="115"/>
      <c r="BM1668" s="115"/>
      <c r="BN1668" s="115"/>
      <c r="BO1668" s="115"/>
      <c r="BP1668" s="115"/>
      <c r="BQ1668" s="115"/>
      <c r="BR1668" s="26"/>
      <c r="BS1668" s="15"/>
    </row>
    <row r="1669" spans="3:71" x14ac:dyDescent="0.4"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22"/>
      <c r="BB1669" s="122"/>
      <c r="BC1669" s="122"/>
      <c r="BD1669" s="115"/>
      <c r="BE1669" s="115"/>
      <c r="BF1669" s="115"/>
      <c r="BG1669" s="115"/>
      <c r="BH1669" s="115"/>
      <c r="BI1669" s="115"/>
      <c r="BJ1669" s="115"/>
      <c r="BK1669" s="115"/>
      <c r="BL1669" s="115"/>
      <c r="BM1669" s="115"/>
      <c r="BN1669" s="115"/>
      <c r="BO1669" s="115"/>
      <c r="BP1669" s="115"/>
      <c r="BQ1669" s="115"/>
      <c r="BR1669" s="26"/>
      <c r="BS1669" s="15"/>
    </row>
    <row r="1670" spans="3:71" x14ac:dyDescent="0.4"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22"/>
      <c r="BB1670" s="122"/>
      <c r="BC1670" s="122"/>
      <c r="BD1670" s="115"/>
      <c r="BE1670" s="115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15"/>
      <c r="BP1670" s="115"/>
      <c r="BQ1670" s="115"/>
      <c r="BR1670" s="26"/>
      <c r="BS1670" s="15"/>
    </row>
    <row r="1671" spans="3:71" x14ac:dyDescent="0.4"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22"/>
      <c r="BB1671" s="122"/>
      <c r="BC1671" s="122"/>
      <c r="BD1671" s="115"/>
      <c r="BE1671" s="115"/>
      <c r="BF1671" s="115"/>
      <c r="BG1671" s="115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26"/>
      <c r="BS1671" s="15"/>
    </row>
    <row r="1672" spans="3:71" x14ac:dyDescent="0.4"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22"/>
      <c r="BB1672" s="122"/>
      <c r="BC1672" s="122"/>
      <c r="BD1672" s="115"/>
      <c r="BE1672" s="115"/>
      <c r="BF1672" s="115"/>
      <c r="BG1672" s="115"/>
      <c r="BH1672" s="115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26"/>
      <c r="BS1672" s="15"/>
    </row>
    <row r="1673" spans="3:71" x14ac:dyDescent="0.4">
      <c r="BR1673" s="26"/>
      <c r="BS1673" s="15"/>
    </row>
    <row r="1674" spans="3:71" x14ac:dyDescent="0.4">
      <c r="AW1674" s="115"/>
      <c r="AX1674" s="115"/>
      <c r="AY1674" s="115"/>
      <c r="AZ1674" s="115"/>
      <c r="BA1674" s="122"/>
      <c r="BB1674" s="122"/>
      <c r="BC1674" s="122"/>
      <c r="BD1674" s="115"/>
      <c r="BE1674" s="115"/>
      <c r="BF1674" s="115"/>
      <c r="BG1674" s="115"/>
      <c r="BH1674" s="115"/>
      <c r="BI1674" s="115"/>
      <c r="BJ1674" s="115"/>
      <c r="BK1674" s="115"/>
      <c r="BL1674" s="115"/>
      <c r="BM1674" s="115"/>
      <c r="BN1674" s="115"/>
      <c r="BO1674" s="115"/>
      <c r="BP1674" s="115"/>
      <c r="BQ1674" s="115"/>
      <c r="BR1674" s="17"/>
      <c r="BS1674" s="15"/>
    </row>
    <row r="1675" spans="3:71" x14ac:dyDescent="0.4">
      <c r="BR1675" s="26"/>
      <c r="BS1675" s="15"/>
    </row>
    <row r="1676" spans="3:71" x14ac:dyDescent="0.4">
      <c r="AU1676" s="115"/>
      <c r="AV1676" s="115"/>
      <c r="AW1676" s="115"/>
      <c r="AX1676" s="115"/>
      <c r="AY1676" s="115"/>
      <c r="AZ1676" s="115"/>
      <c r="BA1676" s="122"/>
      <c r="BB1676" s="122"/>
      <c r="BC1676" s="122"/>
      <c r="BD1676" s="115"/>
      <c r="BE1676" s="115"/>
      <c r="BF1676" s="115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26"/>
      <c r="BS1676" s="15"/>
    </row>
    <row r="1677" spans="3:71" x14ac:dyDescent="0.4">
      <c r="BR1677" s="26"/>
      <c r="BS1677" s="15"/>
    </row>
    <row r="1678" spans="3:71" x14ac:dyDescent="0.4">
      <c r="BR1678" s="26"/>
      <c r="BS1678" s="15"/>
    </row>
    <row r="1679" spans="3:71" x14ac:dyDescent="0.4"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22"/>
      <c r="BB1679" s="122"/>
      <c r="BC1679" s="122"/>
      <c r="BD1679" s="115"/>
      <c r="BE1679" s="115"/>
      <c r="BF1679" s="115"/>
      <c r="BG1679" s="115"/>
      <c r="BH1679" s="115"/>
      <c r="BI1679" s="115"/>
      <c r="BJ1679" s="115"/>
      <c r="BK1679" s="115"/>
      <c r="BL1679" s="115"/>
      <c r="BM1679" s="115"/>
      <c r="BN1679" s="115"/>
      <c r="BO1679" s="115"/>
      <c r="BP1679" s="115"/>
      <c r="BQ1679" s="115"/>
      <c r="BR1679" s="26"/>
      <c r="BS1679" s="15"/>
    </row>
    <row r="1680" spans="3:71" x14ac:dyDescent="0.4"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22"/>
      <c r="BB1680" s="122"/>
      <c r="BC1680" s="122"/>
      <c r="BD1680" s="115"/>
      <c r="BE1680" s="115"/>
      <c r="BF1680" s="115"/>
      <c r="BG1680" s="115"/>
      <c r="BH1680" s="115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26"/>
      <c r="BS1680" s="15"/>
    </row>
    <row r="1681" spans="1:71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22"/>
      <c r="BB1681" s="122"/>
      <c r="BC1681" s="122"/>
      <c r="BD1681" s="115"/>
      <c r="BE1681" s="115"/>
      <c r="BF1681" s="115"/>
      <c r="BG1681" s="115"/>
      <c r="BH1681" s="115"/>
      <c r="BI1681" s="115"/>
      <c r="BJ1681" s="115"/>
      <c r="BK1681" s="115"/>
      <c r="BL1681" s="115"/>
      <c r="BM1681" s="115"/>
      <c r="BN1681" s="115"/>
      <c r="BO1681" s="115"/>
      <c r="BP1681" s="115"/>
      <c r="BQ1681" s="115"/>
      <c r="BR1681" s="26"/>
      <c r="BS1681" s="15"/>
    </row>
    <row r="1682" spans="1:71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22"/>
      <c r="BB1682" s="122"/>
      <c r="BC1682" s="122"/>
      <c r="BD1682" s="115"/>
      <c r="BE1682" s="115"/>
      <c r="BF1682" s="115"/>
      <c r="BG1682" s="115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26"/>
      <c r="BS1682" s="15"/>
    </row>
    <row r="1683" spans="1:71" x14ac:dyDescent="0.4">
      <c r="BR1683" s="26"/>
      <c r="BS1683" s="15"/>
    </row>
    <row r="1684" spans="1:71" x14ac:dyDescent="0.4">
      <c r="AW1684" s="115"/>
      <c r="AX1684" s="115"/>
      <c r="AY1684" s="115"/>
      <c r="AZ1684" s="115"/>
      <c r="BA1684" s="122"/>
      <c r="BB1684" s="122"/>
      <c r="BC1684" s="122"/>
      <c r="BD1684" s="115"/>
      <c r="BE1684" s="115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7"/>
      <c r="BS1684" s="15"/>
    </row>
    <row r="1685" spans="1:71" x14ac:dyDescent="0.4">
      <c r="BR1685" s="26"/>
      <c r="BS1685" s="15"/>
    </row>
    <row r="1686" spans="1:71" x14ac:dyDescent="0.4"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22"/>
      <c r="BB1686" s="122"/>
      <c r="BC1686" s="122"/>
      <c r="BD1686" s="115"/>
      <c r="BE1686" s="115"/>
      <c r="BF1686" s="115"/>
      <c r="BG1686" s="115"/>
      <c r="BH1686" s="115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26"/>
      <c r="BS1686" s="15"/>
    </row>
    <row r="1687" spans="1:71" x14ac:dyDescent="0.4"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22"/>
      <c r="BB1687" s="122"/>
      <c r="BC1687" s="122"/>
      <c r="BD1687" s="115"/>
      <c r="BE1687" s="115"/>
      <c r="BF1687" s="115"/>
      <c r="BG1687" s="115"/>
      <c r="BH1687" s="115"/>
      <c r="BI1687" s="115"/>
      <c r="BJ1687" s="115"/>
      <c r="BK1687" s="115"/>
      <c r="BL1687" s="115"/>
      <c r="BM1687" s="115"/>
      <c r="BN1687" s="115"/>
      <c r="BO1687" s="115"/>
      <c r="BP1687" s="115"/>
      <c r="BQ1687" s="115"/>
      <c r="BR1687" s="26"/>
      <c r="BS1687" s="15"/>
    </row>
    <row r="1688" spans="1:71" x14ac:dyDescent="0.4"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22"/>
      <c r="BB1688" s="122"/>
      <c r="BC1688" s="122"/>
      <c r="BD1688" s="115"/>
      <c r="BE1688" s="115"/>
      <c r="BF1688" s="115"/>
      <c r="BG1688" s="115"/>
      <c r="BH1688" s="115"/>
      <c r="BI1688" s="115"/>
      <c r="BJ1688" s="115"/>
      <c r="BK1688" s="115"/>
      <c r="BL1688" s="115"/>
      <c r="BM1688" s="115"/>
      <c r="BN1688" s="115"/>
      <c r="BO1688" s="115"/>
      <c r="BP1688" s="115"/>
      <c r="BQ1688" s="115"/>
      <c r="BR1688" s="17"/>
      <c r="BS1688" s="15"/>
    </row>
    <row r="1689" spans="1:71" x14ac:dyDescent="0.4">
      <c r="BR1689" s="26"/>
      <c r="BS1689" s="15"/>
    </row>
    <row r="1690" spans="1:71" x14ac:dyDescent="0.4"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22"/>
      <c r="BB1690" s="122"/>
      <c r="BC1690" s="122"/>
      <c r="BD1690" s="115"/>
      <c r="BE1690" s="115"/>
      <c r="BF1690" s="115"/>
      <c r="BG1690" s="115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26"/>
      <c r="BS1690" s="15"/>
    </row>
    <row r="1691" spans="1:71" x14ac:dyDescent="0.4"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22"/>
      <c r="BB1691" s="122"/>
      <c r="BC1691" s="122"/>
      <c r="BD1691" s="115"/>
      <c r="BE1691" s="115"/>
      <c r="BF1691" s="115"/>
      <c r="BG1691" s="115"/>
      <c r="BH1691" s="115"/>
      <c r="BI1691" s="115"/>
      <c r="BJ1691" s="115"/>
      <c r="BK1691" s="115"/>
      <c r="BL1691" s="115"/>
      <c r="BM1691" s="115"/>
      <c r="BN1691" s="115"/>
      <c r="BO1691" s="115"/>
      <c r="BP1691" s="115"/>
      <c r="BQ1691" s="115"/>
      <c r="BR1691" s="17"/>
      <c r="BS1691" s="15"/>
    </row>
    <row r="1692" spans="1:71" x14ac:dyDescent="0.4">
      <c r="BR1692" s="26"/>
      <c r="BS1692" s="15"/>
    </row>
    <row r="1693" spans="1:71" x14ac:dyDescent="0.4">
      <c r="AW1693" s="115"/>
      <c r="AX1693" s="115"/>
      <c r="AY1693" s="115"/>
      <c r="AZ1693" s="115"/>
      <c r="BA1693" s="122"/>
      <c r="BB1693" s="122"/>
      <c r="BC1693" s="122"/>
      <c r="BD1693" s="115"/>
      <c r="BE1693" s="115"/>
      <c r="BF1693" s="115"/>
      <c r="BG1693" s="115"/>
      <c r="BH1693" s="115"/>
      <c r="BI1693" s="115"/>
      <c r="BJ1693" s="115"/>
      <c r="BK1693" s="115"/>
      <c r="BL1693" s="115"/>
      <c r="BM1693" s="115"/>
      <c r="BN1693" s="115"/>
      <c r="BO1693" s="115"/>
      <c r="BP1693" s="115"/>
      <c r="BQ1693" s="115"/>
      <c r="BR1693" s="17"/>
      <c r="BS1693" s="15"/>
    </row>
    <row r="1694" spans="1:71" x14ac:dyDescent="0.4"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22"/>
      <c r="BB1694" s="122"/>
      <c r="BC1694" s="122"/>
      <c r="BD1694" s="115"/>
      <c r="BE1694" s="115"/>
      <c r="BF1694" s="115"/>
      <c r="BG1694" s="115"/>
      <c r="BH1694" s="115"/>
      <c r="BI1694" s="115"/>
      <c r="BJ1694" s="115"/>
      <c r="BK1694" s="115"/>
      <c r="BL1694" s="115"/>
      <c r="BM1694" s="115"/>
      <c r="BN1694" s="115"/>
      <c r="BO1694" s="115"/>
      <c r="BP1694" s="115"/>
      <c r="BQ1694" s="115"/>
      <c r="BR1694" s="26"/>
      <c r="BS1694" s="15"/>
    </row>
    <row r="1695" spans="1:71" x14ac:dyDescent="0.4"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22"/>
      <c r="BB1695" s="122"/>
      <c r="BC1695" s="122"/>
      <c r="BD1695" s="115"/>
      <c r="BE1695" s="115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7"/>
      <c r="BS1695" s="15"/>
    </row>
    <row r="1696" spans="1:71" x14ac:dyDescent="0.4">
      <c r="BR1696" s="26"/>
      <c r="BS1696" s="15"/>
    </row>
    <row r="1697" spans="3:71" x14ac:dyDescent="0.4">
      <c r="BR1697" s="26"/>
      <c r="BS1697" s="15"/>
    </row>
    <row r="1698" spans="3:71" x14ac:dyDescent="0.4">
      <c r="AV1698" s="115"/>
      <c r="AW1698" s="115"/>
      <c r="AX1698" s="115"/>
      <c r="AY1698" s="115"/>
      <c r="AZ1698" s="115"/>
      <c r="BA1698" s="122"/>
      <c r="BB1698" s="122"/>
      <c r="BC1698" s="122"/>
      <c r="BD1698" s="115"/>
      <c r="BE1698" s="115"/>
      <c r="BF1698" s="115"/>
      <c r="BG1698" s="115"/>
      <c r="BH1698" s="115"/>
      <c r="BI1698" s="115"/>
      <c r="BJ1698" s="115"/>
      <c r="BK1698" s="115"/>
      <c r="BL1698" s="115"/>
      <c r="BM1698" s="115"/>
      <c r="BN1698" s="115"/>
      <c r="BO1698" s="115"/>
      <c r="BP1698" s="115"/>
      <c r="BQ1698" s="115"/>
      <c r="BR1698" s="26"/>
      <c r="BS1698" s="15"/>
    </row>
    <row r="1699" spans="3:71" x14ac:dyDescent="0.4">
      <c r="AT1699" s="115"/>
      <c r="AU1699" s="115"/>
      <c r="AV1699" s="115"/>
      <c r="AW1699" s="115"/>
      <c r="AX1699" s="115"/>
      <c r="AY1699" s="115"/>
      <c r="AZ1699" s="115"/>
      <c r="BA1699" s="122"/>
      <c r="BB1699" s="122"/>
      <c r="BC1699" s="122"/>
      <c r="BD1699" s="115"/>
      <c r="BE1699" s="115"/>
      <c r="BF1699" s="115"/>
      <c r="BG1699" s="115"/>
      <c r="BH1699" s="115"/>
      <c r="BI1699" s="115"/>
      <c r="BJ1699" s="115"/>
      <c r="BK1699" s="115"/>
      <c r="BL1699" s="115"/>
      <c r="BM1699" s="115"/>
      <c r="BN1699" s="115"/>
      <c r="BO1699" s="115"/>
      <c r="BP1699" s="115"/>
      <c r="BQ1699" s="115"/>
      <c r="BR1699" s="26"/>
      <c r="BS1699" s="15"/>
    </row>
    <row r="1700" spans="3:71" x14ac:dyDescent="0.4">
      <c r="AT1700" s="115"/>
      <c r="AU1700" s="115"/>
      <c r="AV1700" s="115"/>
      <c r="AW1700" s="115"/>
      <c r="AX1700" s="115"/>
      <c r="AY1700" s="115"/>
      <c r="AZ1700" s="115"/>
      <c r="BA1700" s="122"/>
      <c r="BB1700" s="122"/>
      <c r="BC1700" s="122"/>
      <c r="BD1700" s="115"/>
      <c r="BE1700" s="115"/>
      <c r="BF1700" s="115"/>
      <c r="BG1700" s="115"/>
      <c r="BH1700" s="115"/>
      <c r="BI1700" s="115"/>
      <c r="BJ1700" s="115"/>
      <c r="BK1700" s="115"/>
      <c r="BL1700" s="115"/>
      <c r="BM1700" s="115"/>
      <c r="BN1700" s="115"/>
      <c r="BO1700" s="115"/>
      <c r="BP1700" s="115"/>
      <c r="BQ1700" s="115"/>
      <c r="BR1700" s="26"/>
      <c r="BS1700" s="15"/>
    </row>
    <row r="1701" spans="3:71" x14ac:dyDescent="0.4"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22"/>
      <c r="BB1701" s="122"/>
      <c r="BC1701" s="122"/>
      <c r="BD1701" s="115"/>
      <c r="BE1701" s="115"/>
      <c r="BF1701" s="115"/>
      <c r="BG1701" s="115"/>
      <c r="BH1701" s="115"/>
      <c r="BI1701" s="115"/>
      <c r="BJ1701" s="115"/>
      <c r="BK1701" s="115"/>
      <c r="BL1701" s="115"/>
      <c r="BM1701" s="115"/>
      <c r="BN1701" s="115"/>
      <c r="BO1701" s="115"/>
      <c r="BP1701" s="115"/>
      <c r="BQ1701" s="115"/>
      <c r="BR1701" s="26"/>
      <c r="BS1701" s="15"/>
    </row>
    <row r="1702" spans="3:71" x14ac:dyDescent="0.4"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22"/>
      <c r="BB1702" s="122"/>
      <c r="BC1702" s="122"/>
      <c r="BD1702" s="115"/>
      <c r="BE1702" s="115"/>
      <c r="BF1702" s="115"/>
      <c r="BG1702" s="115"/>
      <c r="BH1702" s="115"/>
      <c r="BI1702" s="115"/>
      <c r="BJ1702" s="115"/>
      <c r="BK1702" s="115"/>
      <c r="BL1702" s="115"/>
      <c r="BM1702" s="115"/>
      <c r="BN1702" s="115"/>
      <c r="BO1702" s="115"/>
      <c r="BP1702" s="115"/>
      <c r="BQ1702" s="115"/>
      <c r="BR1702" s="26"/>
      <c r="BS1702" s="15"/>
    </row>
    <row r="1703" spans="3:71" x14ac:dyDescent="0.4">
      <c r="BR1703" s="26"/>
      <c r="BS1703" s="15"/>
    </row>
    <row r="1704" spans="3:71" x14ac:dyDescent="0.4">
      <c r="AV1704" s="115"/>
      <c r="AW1704" s="115"/>
      <c r="AX1704" s="115"/>
      <c r="AY1704" s="115"/>
      <c r="AZ1704" s="115"/>
      <c r="BA1704" s="122"/>
      <c r="BB1704" s="122"/>
      <c r="BC1704" s="122"/>
      <c r="BD1704" s="115"/>
      <c r="BE1704" s="115"/>
      <c r="BF1704" s="115"/>
      <c r="BG1704" s="115"/>
      <c r="BH1704" s="115"/>
      <c r="BI1704" s="115"/>
      <c r="BJ1704" s="115"/>
      <c r="BK1704" s="115"/>
      <c r="BL1704" s="115"/>
      <c r="BM1704" s="115"/>
      <c r="BN1704" s="115"/>
      <c r="BO1704" s="115"/>
      <c r="BP1704" s="115"/>
      <c r="BQ1704" s="115"/>
      <c r="BR1704" s="26"/>
      <c r="BS1704" s="15"/>
    </row>
    <row r="1705" spans="3:71" x14ac:dyDescent="0.4">
      <c r="BR1705" s="26"/>
      <c r="BS1705" s="15"/>
    </row>
    <row r="1706" spans="3:71" x14ac:dyDescent="0.4">
      <c r="AW1706" s="115"/>
      <c r="AX1706" s="115"/>
      <c r="AY1706" s="115"/>
      <c r="AZ1706" s="115"/>
      <c r="BA1706" s="122"/>
      <c r="BB1706" s="122"/>
      <c r="BC1706" s="122"/>
      <c r="BD1706" s="115"/>
      <c r="BE1706" s="115"/>
      <c r="BF1706" s="115"/>
      <c r="BG1706" s="115"/>
      <c r="BH1706" s="115"/>
      <c r="BI1706" s="115"/>
      <c r="BJ1706" s="115"/>
      <c r="BK1706" s="115"/>
      <c r="BL1706" s="115"/>
      <c r="BM1706" s="115"/>
      <c r="BN1706" s="115"/>
      <c r="BO1706" s="115"/>
      <c r="BP1706" s="115"/>
      <c r="BQ1706" s="115"/>
      <c r="BR1706" s="17"/>
      <c r="BS1706" s="15"/>
    </row>
    <row r="1707" spans="3:71" x14ac:dyDescent="0.4">
      <c r="AV1707" s="115"/>
      <c r="AW1707" s="115"/>
      <c r="AX1707" s="115"/>
      <c r="AY1707" s="115"/>
      <c r="AZ1707" s="115"/>
      <c r="BA1707" s="122"/>
      <c r="BB1707" s="122"/>
      <c r="BC1707" s="122"/>
      <c r="BD1707" s="115"/>
      <c r="BE1707" s="115"/>
      <c r="BF1707" s="115"/>
      <c r="BG1707" s="115"/>
      <c r="BH1707" s="115"/>
      <c r="BI1707" s="115"/>
      <c r="BJ1707" s="115"/>
      <c r="BK1707" s="115"/>
      <c r="BL1707" s="115"/>
      <c r="BM1707" s="115"/>
      <c r="BN1707" s="115"/>
      <c r="BO1707" s="115"/>
      <c r="BP1707" s="115"/>
      <c r="BQ1707" s="115"/>
      <c r="BR1707" s="26"/>
      <c r="BS1707" s="15"/>
    </row>
    <row r="1708" spans="3:71" x14ac:dyDescent="0.4"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22"/>
      <c r="BB1708" s="122"/>
      <c r="BC1708" s="122"/>
      <c r="BD1708" s="115"/>
      <c r="BE1708" s="115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26"/>
      <c r="BS1708" s="15"/>
    </row>
    <row r="1709" spans="3:71" x14ac:dyDescent="0.4"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22"/>
      <c r="BB1709" s="122"/>
      <c r="BC1709" s="122"/>
      <c r="BD1709" s="115"/>
      <c r="BE1709" s="115"/>
      <c r="BF1709" s="115"/>
      <c r="BG1709" s="115"/>
      <c r="BH1709" s="115"/>
      <c r="BI1709" s="115"/>
      <c r="BJ1709" s="115"/>
      <c r="BK1709" s="115"/>
      <c r="BL1709" s="115"/>
      <c r="BM1709" s="115"/>
      <c r="BN1709" s="115"/>
      <c r="BO1709" s="115"/>
      <c r="BP1709" s="115"/>
      <c r="BQ1709" s="115"/>
      <c r="BR1709" s="17"/>
      <c r="BS1709" s="15"/>
    </row>
    <row r="1710" spans="3:71" x14ac:dyDescent="0.4">
      <c r="BR1710" s="26"/>
      <c r="BS1710" s="15"/>
    </row>
    <row r="1711" spans="3:71" x14ac:dyDescent="0.4">
      <c r="AW1711" s="115"/>
      <c r="AX1711" s="115"/>
      <c r="AY1711" s="115"/>
      <c r="AZ1711" s="115"/>
      <c r="BA1711" s="122"/>
      <c r="BB1711" s="122"/>
      <c r="BC1711" s="122"/>
      <c r="BD1711" s="115"/>
      <c r="BE1711" s="115"/>
      <c r="BF1711" s="115"/>
      <c r="BG1711" s="115"/>
      <c r="BH1711" s="115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7"/>
      <c r="BS1711" s="15"/>
    </row>
    <row r="1712" spans="3:71" x14ac:dyDescent="0.4">
      <c r="AV1712" s="115"/>
      <c r="AW1712" s="115"/>
      <c r="AX1712" s="115"/>
      <c r="AY1712" s="115"/>
      <c r="AZ1712" s="115"/>
      <c r="BA1712" s="122"/>
      <c r="BB1712" s="122"/>
      <c r="BC1712" s="122"/>
      <c r="BD1712" s="115"/>
      <c r="BE1712" s="115"/>
      <c r="BF1712" s="115"/>
      <c r="BG1712" s="115"/>
      <c r="BH1712" s="115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26"/>
      <c r="BS1712" s="15"/>
    </row>
    <row r="1713" spans="4:71" x14ac:dyDescent="0.4">
      <c r="AV1713" s="115"/>
      <c r="AW1713" s="115"/>
      <c r="AX1713" s="115"/>
      <c r="AY1713" s="115"/>
      <c r="AZ1713" s="115"/>
      <c r="BA1713" s="122"/>
      <c r="BB1713" s="122"/>
      <c r="BC1713" s="122"/>
      <c r="BD1713" s="115"/>
      <c r="BE1713" s="115"/>
      <c r="BF1713" s="115"/>
      <c r="BG1713" s="115"/>
      <c r="BH1713" s="115"/>
      <c r="BI1713" s="115"/>
      <c r="BJ1713" s="115"/>
      <c r="BK1713" s="115"/>
      <c r="BL1713" s="115"/>
      <c r="BM1713" s="115"/>
      <c r="BN1713" s="115"/>
      <c r="BO1713" s="115"/>
      <c r="BP1713" s="115"/>
      <c r="BQ1713" s="115"/>
      <c r="BR1713" s="17"/>
      <c r="BS1713" s="15"/>
    </row>
    <row r="1714" spans="4:71" x14ac:dyDescent="0.4">
      <c r="AV1714" s="115"/>
      <c r="AW1714" s="115"/>
      <c r="AX1714" s="115"/>
      <c r="AY1714" s="115"/>
      <c r="AZ1714" s="115"/>
      <c r="BA1714" s="122"/>
      <c r="BB1714" s="122"/>
      <c r="BC1714" s="122"/>
      <c r="BD1714" s="115"/>
      <c r="BE1714" s="115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115"/>
      <c r="BP1714" s="115"/>
      <c r="BQ1714" s="115"/>
      <c r="BR1714" s="17"/>
      <c r="BS1714" s="15"/>
    </row>
    <row r="1715" spans="4:71" x14ac:dyDescent="0.4"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22"/>
      <c r="BB1715" s="122"/>
      <c r="BC1715" s="122"/>
      <c r="BD1715" s="115"/>
      <c r="BE1715" s="115"/>
      <c r="BF1715" s="115"/>
      <c r="BG1715" s="115"/>
      <c r="BH1715" s="115"/>
      <c r="BI1715" s="115"/>
      <c r="BJ1715" s="115"/>
      <c r="BK1715" s="115"/>
      <c r="BL1715" s="115"/>
      <c r="BM1715" s="115"/>
      <c r="BN1715" s="115"/>
      <c r="BO1715" s="115"/>
      <c r="BP1715" s="115"/>
      <c r="BQ1715" s="115"/>
      <c r="BR1715" s="26"/>
      <c r="BS1715" s="15"/>
    </row>
    <row r="1716" spans="4:71" x14ac:dyDescent="0.4"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22"/>
      <c r="BB1716" s="122"/>
      <c r="BC1716" s="122"/>
      <c r="BD1716" s="115"/>
      <c r="BE1716" s="115"/>
      <c r="BF1716" s="115"/>
      <c r="BG1716" s="115"/>
      <c r="BH1716" s="115"/>
      <c r="BI1716" s="115"/>
      <c r="BJ1716" s="115"/>
      <c r="BK1716" s="115"/>
      <c r="BL1716" s="115"/>
      <c r="BM1716" s="115"/>
      <c r="BN1716" s="115"/>
      <c r="BO1716" s="115"/>
      <c r="BP1716" s="115"/>
      <c r="BQ1716" s="115"/>
      <c r="BR1716" s="26"/>
      <c r="BS1716" s="15"/>
    </row>
    <row r="1717" spans="4:71" x14ac:dyDescent="0.4"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22"/>
      <c r="BB1717" s="122"/>
      <c r="BC1717" s="122"/>
      <c r="BD1717" s="115"/>
      <c r="BE1717" s="115"/>
      <c r="BF1717" s="115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26"/>
      <c r="BS1717" s="15"/>
    </row>
    <row r="1718" spans="4:71" x14ac:dyDescent="0.4"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22"/>
      <c r="BB1718" s="122"/>
      <c r="BC1718" s="122"/>
      <c r="BD1718" s="115"/>
      <c r="BE1718" s="115"/>
      <c r="BF1718" s="115"/>
      <c r="BG1718" s="115"/>
      <c r="BH1718" s="115"/>
      <c r="BI1718" s="115"/>
      <c r="BJ1718" s="115"/>
      <c r="BK1718" s="115"/>
      <c r="BL1718" s="115"/>
      <c r="BM1718" s="115"/>
      <c r="BN1718" s="115"/>
      <c r="BO1718" s="115"/>
      <c r="BP1718" s="115"/>
      <c r="BQ1718" s="115"/>
      <c r="BR1718" s="26"/>
      <c r="BS1718" s="15"/>
    </row>
    <row r="1719" spans="4:71" x14ac:dyDescent="0.4"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22"/>
      <c r="BB1719" s="122"/>
      <c r="BC1719" s="122"/>
      <c r="BD1719" s="115"/>
      <c r="BE1719" s="115"/>
      <c r="BF1719" s="115"/>
      <c r="BG1719" s="115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26"/>
      <c r="BS1719" s="15"/>
    </row>
    <row r="1720" spans="4:71" x14ac:dyDescent="0.4"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22"/>
      <c r="BB1720" s="122"/>
      <c r="BC1720" s="122"/>
      <c r="BD1720" s="115"/>
      <c r="BE1720" s="115"/>
      <c r="BF1720" s="115"/>
      <c r="BG1720" s="115"/>
      <c r="BH1720" s="115"/>
      <c r="BI1720" s="115"/>
      <c r="BJ1720" s="115"/>
      <c r="BK1720" s="115"/>
      <c r="BL1720" s="115"/>
      <c r="BM1720" s="115"/>
      <c r="BN1720" s="115"/>
      <c r="BO1720" s="115"/>
      <c r="BP1720" s="115"/>
      <c r="BQ1720" s="115"/>
      <c r="BR1720" s="17"/>
      <c r="BS1720" s="15"/>
    </row>
    <row r="1721" spans="4:71" x14ac:dyDescent="0.4">
      <c r="BR1721" s="26"/>
      <c r="BS1721" s="15"/>
    </row>
    <row r="1722" spans="4:71" x14ac:dyDescent="0.4">
      <c r="AV1722" s="115"/>
      <c r="AW1722" s="115"/>
      <c r="AX1722" s="115"/>
      <c r="AY1722" s="115"/>
      <c r="AZ1722" s="115"/>
      <c r="BA1722" s="122"/>
      <c r="BB1722" s="122"/>
      <c r="BC1722" s="122"/>
      <c r="BD1722" s="115"/>
      <c r="BE1722" s="115"/>
      <c r="BF1722" s="115"/>
      <c r="BG1722" s="115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7"/>
      <c r="BS1722" s="13"/>
    </row>
    <row r="1723" spans="4:71" x14ac:dyDescent="0.4">
      <c r="AV1723" s="115"/>
      <c r="AW1723" s="115"/>
      <c r="AX1723" s="115"/>
      <c r="AY1723" s="115"/>
      <c r="AZ1723" s="115"/>
      <c r="BA1723" s="122"/>
      <c r="BB1723" s="122"/>
      <c r="BC1723" s="122"/>
      <c r="BD1723" s="115"/>
      <c r="BE1723" s="115"/>
      <c r="BF1723" s="115"/>
      <c r="BG1723" s="115"/>
      <c r="BH1723" s="115"/>
      <c r="BI1723" s="115"/>
      <c r="BJ1723" s="115"/>
      <c r="BK1723" s="115"/>
      <c r="BL1723" s="115"/>
      <c r="BM1723" s="115"/>
      <c r="BN1723" s="115"/>
      <c r="BO1723" s="115"/>
      <c r="BP1723" s="115"/>
      <c r="BQ1723" s="115"/>
      <c r="BR1723" s="17"/>
      <c r="BS1723" s="13"/>
    </row>
    <row r="1724" spans="4:71" x14ac:dyDescent="0.4">
      <c r="AT1724" s="115"/>
      <c r="AU1724" s="115"/>
      <c r="AV1724" s="115"/>
      <c r="AW1724" s="115"/>
      <c r="AX1724" s="115"/>
      <c r="AY1724" s="115"/>
      <c r="AZ1724" s="115"/>
      <c r="BA1724" s="122"/>
      <c r="BB1724" s="122"/>
      <c r="BC1724" s="122"/>
      <c r="BD1724" s="115"/>
      <c r="BE1724" s="115"/>
      <c r="BF1724" s="115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26"/>
      <c r="BS1724" s="13"/>
    </row>
    <row r="1725" spans="4:71" x14ac:dyDescent="0.4">
      <c r="AT1725" s="115"/>
      <c r="AU1725" s="115"/>
      <c r="AV1725" s="115"/>
      <c r="AW1725" s="115"/>
      <c r="AX1725" s="115"/>
      <c r="AY1725" s="115"/>
      <c r="AZ1725" s="115"/>
      <c r="BA1725" s="122"/>
      <c r="BB1725" s="122"/>
      <c r="BC1725" s="122"/>
      <c r="BD1725" s="115"/>
      <c r="BE1725" s="115"/>
      <c r="BF1725" s="115"/>
      <c r="BG1725" s="115"/>
      <c r="BH1725" s="115"/>
      <c r="BI1725" s="115"/>
      <c r="BJ1725" s="115"/>
      <c r="BK1725" s="115"/>
      <c r="BL1725" s="115"/>
      <c r="BM1725" s="115"/>
      <c r="BN1725" s="115"/>
      <c r="BO1725" s="115"/>
      <c r="BP1725" s="115"/>
      <c r="BQ1725" s="115"/>
      <c r="BR1725" s="17"/>
      <c r="BS1725" s="13"/>
    </row>
    <row r="1726" spans="4:71" x14ac:dyDescent="0.4">
      <c r="BR1726" s="26"/>
      <c r="BS1726" s="13"/>
    </row>
    <row r="1727" spans="4:71" x14ac:dyDescent="0.4">
      <c r="AU1727" s="115"/>
      <c r="AV1727" s="115"/>
      <c r="AW1727" s="115"/>
      <c r="AX1727" s="115"/>
      <c r="AY1727" s="115"/>
      <c r="AZ1727" s="115"/>
      <c r="BA1727" s="122"/>
      <c r="BB1727" s="122"/>
      <c r="BC1727" s="122"/>
      <c r="BD1727" s="115"/>
      <c r="BE1727" s="115"/>
      <c r="BF1727" s="115"/>
      <c r="BG1727" s="115"/>
      <c r="BH1727" s="115"/>
      <c r="BI1727" s="115"/>
      <c r="BJ1727" s="115"/>
      <c r="BK1727" s="115"/>
      <c r="BL1727" s="115"/>
      <c r="BM1727" s="115"/>
      <c r="BN1727" s="115"/>
      <c r="BO1727" s="115"/>
      <c r="BP1727" s="115"/>
      <c r="BQ1727" s="115"/>
      <c r="BR1727" s="17"/>
      <c r="BS1727" s="13"/>
    </row>
    <row r="1728" spans="4:71" x14ac:dyDescent="0.4">
      <c r="BR1728" s="26"/>
      <c r="BS1728" s="13"/>
    </row>
    <row r="1729" spans="3:71" x14ac:dyDescent="0.4">
      <c r="BR1729" s="26"/>
      <c r="BS1729" s="13"/>
    </row>
    <row r="1730" spans="3:71" x14ac:dyDescent="0.4"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22"/>
      <c r="BB1730" s="122"/>
      <c r="BC1730" s="122"/>
      <c r="BD1730" s="115"/>
      <c r="BE1730" s="115"/>
      <c r="BF1730" s="115"/>
      <c r="BG1730" s="115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115"/>
      <c r="BR1730" s="26"/>
      <c r="BS1730" s="13"/>
    </row>
    <row r="1731" spans="3:71" x14ac:dyDescent="0.4"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22"/>
      <c r="BB1731" s="122"/>
      <c r="BC1731" s="122"/>
      <c r="BD1731" s="115"/>
      <c r="BE1731" s="115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115"/>
      <c r="BP1731" s="115"/>
      <c r="BQ1731" s="115"/>
      <c r="BR1731" s="26"/>
      <c r="BS1731" s="13"/>
    </row>
    <row r="1732" spans="3:71" x14ac:dyDescent="0.4">
      <c r="BR1732" s="26"/>
      <c r="BS1732" s="13"/>
    </row>
    <row r="1733" spans="3:71" x14ac:dyDescent="0.4">
      <c r="BR1733" s="26"/>
      <c r="BS1733" s="13"/>
    </row>
    <row r="1734" spans="3:71" x14ac:dyDescent="0.4"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15"/>
      <c r="AZ1734" s="115"/>
      <c r="BA1734" s="122"/>
      <c r="BB1734" s="122"/>
      <c r="BC1734" s="122"/>
      <c r="BD1734" s="115"/>
      <c r="BE1734" s="115"/>
      <c r="BF1734" s="115"/>
      <c r="BG1734" s="115"/>
      <c r="BH1734" s="115"/>
      <c r="BI1734" s="115"/>
      <c r="BJ1734" s="115"/>
      <c r="BK1734" s="115"/>
      <c r="BL1734" s="115"/>
      <c r="BM1734" s="115"/>
      <c r="BN1734" s="115"/>
      <c r="BO1734" s="115"/>
      <c r="BP1734" s="115"/>
      <c r="BQ1734" s="115"/>
      <c r="BR1734" s="26"/>
      <c r="BS1734" s="13"/>
    </row>
    <row r="1735" spans="3:71" x14ac:dyDescent="0.4">
      <c r="BR1735" s="26"/>
      <c r="BS1735" s="105"/>
    </row>
    <row r="1736" spans="3:71" x14ac:dyDescent="0.4">
      <c r="E1736" s="115"/>
      <c r="F1736" s="115"/>
      <c r="G1736" s="115"/>
      <c r="H1736" s="115"/>
      <c r="I1736" s="115"/>
      <c r="J1736" s="115"/>
      <c r="K1736" s="115"/>
      <c r="L1736" s="115"/>
      <c r="M1736" s="115"/>
      <c r="N1736" s="115"/>
      <c r="O1736" s="115"/>
      <c r="P1736" s="115"/>
      <c r="Q1736" s="115"/>
      <c r="R1736" s="115"/>
      <c r="S1736" s="115"/>
      <c r="T1736" s="115"/>
      <c r="U1736" s="115"/>
      <c r="V1736" s="115"/>
      <c r="W1736" s="115"/>
      <c r="X1736" s="115"/>
      <c r="Y1736" s="115"/>
      <c r="Z1736" s="115"/>
      <c r="AA1736" s="115"/>
      <c r="AB1736" s="115"/>
      <c r="AC1736" s="115"/>
      <c r="AD1736" s="115"/>
      <c r="AE1736" s="115"/>
      <c r="AF1736" s="115"/>
      <c r="AG1736" s="115"/>
      <c r="AH1736" s="115"/>
      <c r="AI1736" s="115"/>
      <c r="AJ1736" s="115"/>
      <c r="AK1736" s="115"/>
      <c r="AL1736" s="115"/>
      <c r="AM1736" s="115"/>
      <c r="AN1736" s="115"/>
      <c r="AO1736" s="115"/>
      <c r="AP1736" s="115"/>
      <c r="AQ1736" s="115"/>
      <c r="AR1736" s="115"/>
      <c r="AS1736" s="115"/>
      <c r="AT1736" s="115"/>
      <c r="AU1736" s="115"/>
      <c r="AV1736" s="115"/>
      <c r="AW1736" s="115"/>
      <c r="AX1736" s="115"/>
      <c r="AY1736" s="115"/>
      <c r="AZ1736" s="115"/>
      <c r="BA1736" s="122"/>
      <c r="BB1736" s="122"/>
      <c r="BC1736" s="122"/>
      <c r="BD1736" s="115"/>
      <c r="BE1736" s="115"/>
      <c r="BF1736" s="115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26"/>
      <c r="BS1736" s="15"/>
    </row>
    <row r="1737" spans="3:71" x14ac:dyDescent="0.4"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22"/>
      <c r="BB1737" s="122"/>
      <c r="BC1737" s="122"/>
      <c r="BD1737" s="115"/>
      <c r="BE1737" s="115"/>
      <c r="BF1737" s="115"/>
      <c r="BG1737" s="115"/>
      <c r="BH1737" s="115"/>
      <c r="BI1737" s="115"/>
      <c r="BJ1737" s="115"/>
      <c r="BK1737" s="115"/>
      <c r="BL1737" s="115"/>
      <c r="BM1737" s="115"/>
      <c r="BN1737" s="115"/>
      <c r="BO1737" s="115"/>
      <c r="BP1737" s="115"/>
      <c r="BQ1737" s="115"/>
      <c r="BR1737" s="17"/>
      <c r="BS1737" s="15"/>
    </row>
    <row r="1738" spans="3:71" x14ac:dyDescent="0.4">
      <c r="BR1738" s="26"/>
      <c r="BS1738" s="15"/>
    </row>
    <row r="1739" spans="3:71" x14ac:dyDescent="0.4">
      <c r="E1739" s="115"/>
      <c r="F1739" s="115"/>
      <c r="G1739" s="115"/>
      <c r="H1739" s="115"/>
      <c r="I1739" s="115"/>
      <c r="J1739" s="115"/>
      <c r="K1739" s="115"/>
      <c r="L1739" s="115"/>
      <c r="M1739" s="115"/>
      <c r="N1739" s="115"/>
      <c r="O1739" s="115"/>
      <c r="P1739" s="115"/>
      <c r="Q1739" s="115"/>
      <c r="R1739" s="115"/>
      <c r="S1739" s="115"/>
      <c r="T1739" s="115"/>
      <c r="U1739" s="115"/>
      <c r="V1739" s="115"/>
      <c r="W1739" s="115"/>
      <c r="X1739" s="115"/>
      <c r="Y1739" s="115"/>
      <c r="Z1739" s="115"/>
      <c r="AA1739" s="115"/>
      <c r="AB1739" s="115"/>
      <c r="AC1739" s="115"/>
      <c r="AD1739" s="115"/>
      <c r="AE1739" s="115"/>
      <c r="AF1739" s="115"/>
      <c r="AG1739" s="115"/>
      <c r="AH1739" s="115"/>
      <c r="AI1739" s="115"/>
      <c r="AJ1739" s="115"/>
      <c r="AK1739" s="115"/>
      <c r="AL1739" s="115"/>
      <c r="AM1739" s="115"/>
      <c r="AN1739" s="115"/>
      <c r="AO1739" s="115"/>
      <c r="AP1739" s="115"/>
      <c r="AQ1739" s="115"/>
      <c r="AR1739" s="115"/>
      <c r="AS1739" s="115"/>
      <c r="AT1739" s="115"/>
      <c r="AU1739" s="115"/>
      <c r="AV1739" s="115"/>
      <c r="AW1739" s="115"/>
      <c r="AX1739" s="115"/>
      <c r="AY1739" s="115"/>
      <c r="AZ1739" s="115"/>
      <c r="BA1739" s="122"/>
      <c r="BB1739" s="122"/>
      <c r="BC1739" s="122"/>
      <c r="BD1739" s="115"/>
      <c r="BE1739" s="115"/>
      <c r="BF1739" s="115"/>
      <c r="BG1739" s="115"/>
      <c r="BH1739" s="115"/>
      <c r="BI1739" s="115"/>
      <c r="BJ1739" s="115"/>
      <c r="BK1739" s="115"/>
      <c r="BL1739" s="115"/>
      <c r="BM1739" s="115"/>
      <c r="BN1739" s="115"/>
      <c r="BO1739" s="115"/>
      <c r="BP1739" s="115"/>
      <c r="BQ1739" s="115"/>
      <c r="BR1739" s="26"/>
      <c r="BS1739" s="15"/>
    </row>
    <row r="1740" spans="3:71" x14ac:dyDescent="0.4">
      <c r="C1740" s="115"/>
      <c r="D1740" s="115"/>
      <c r="E1740" s="115"/>
      <c r="F1740" s="115"/>
      <c r="G1740" s="115"/>
      <c r="H1740" s="115"/>
      <c r="I1740" s="115"/>
      <c r="J1740" s="115"/>
      <c r="K1740" s="115"/>
      <c r="L1740" s="115"/>
      <c r="M1740" s="115"/>
      <c r="N1740" s="115"/>
      <c r="O1740" s="115"/>
      <c r="P1740" s="115"/>
      <c r="Q1740" s="115"/>
      <c r="R1740" s="115"/>
      <c r="S1740" s="115"/>
      <c r="T1740" s="115"/>
      <c r="U1740" s="115"/>
      <c r="V1740" s="115"/>
      <c r="W1740" s="115"/>
      <c r="X1740" s="115"/>
      <c r="Y1740" s="115"/>
      <c r="Z1740" s="115"/>
      <c r="AA1740" s="115"/>
      <c r="AB1740" s="115"/>
      <c r="AC1740" s="115"/>
      <c r="AD1740" s="115"/>
      <c r="AE1740" s="115"/>
      <c r="AF1740" s="115"/>
      <c r="AG1740" s="115"/>
      <c r="AH1740" s="115"/>
      <c r="AI1740" s="115"/>
      <c r="AJ1740" s="115"/>
      <c r="AK1740" s="115"/>
      <c r="AL1740" s="115"/>
      <c r="AM1740" s="115"/>
      <c r="AN1740" s="115"/>
      <c r="AO1740" s="115"/>
      <c r="AP1740" s="115"/>
      <c r="AQ1740" s="115"/>
      <c r="AR1740" s="115"/>
      <c r="AS1740" s="115"/>
      <c r="AT1740" s="115"/>
      <c r="AU1740" s="115"/>
      <c r="AV1740" s="115"/>
      <c r="AW1740" s="115"/>
      <c r="AX1740" s="115"/>
      <c r="AY1740" s="115"/>
      <c r="AZ1740" s="115"/>
      <c r="BA1740" s="122"/>
      <c r="BB1740" s="122"/>
      <c r="BC1740" s="122"/>
      <c r="BD1740" s="115"/>
      <c r="BE1740" s="115"/>
      <c r="BF1740" s="115"/>
      <c r="BG1740" s="115"/>
      <c r="BH1740" s="115"/>
      <c r="BI1740" s="115"/>
      <c r="BJ1740" s="115"/>
      <c r="BK1740" s="115"/>
      <c r="BL1740" s="115"/>
      <c r="BM1740" s="115"/>
      <c r="BN1740" s="115"/>
      <c r="BO1740" s="115"/>
      <c r="BP1740" s="115"/>
      <c r="BQ1740" s="115"/>
      <c r="BR1740" s="26"/>
      <c r="BS1740" s="15"/>
    </row>
    <row r="1741" spans="3:71" x14ac:dyDescent="0.4">
      <c r="C1741" s="115"/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22"/>
      <c r="BB1741" s="122"/>
      <c r="BC1741" s="122"/>
      <c r="BD1741" s="115"/>
      <c r="BE1741" s="115"/>
      <c r="BF1741" s="115"/>
      <c r="BG1741" s="115"/>
      <c r="BH1741" s="115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26"/>
      <c r="BS1741" s="13"/>
    </row>
    <row r="1742" spans="3:71" x14ac:dyDescent="0.4">
      <c r="BR1742" s="26"/>
      <c r="BS1742" s="15"/>
    </row>
    <row r="1743" spans="3:71" x14ac:dyDescent="0.4"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22"/>
      <c r="BB1743" s="122"/>
      <c r="BC1743" s="122"/>
      <c r="BD1743" s="115"/>
      <c r="BE1743" s="115"/>
      <c r="BF1743" s="115"/>
      <c r="BG1743" s="115"/>
      <c r="BH1743" s="115"/>
      <c r="BI1743" s="115"/>
      <c r="BJ1743" s="115"/>
      <c r="BK1743" s="115"/>
      <c r="BL1743" s="115"/>
      <c r="BM1743" s="115"/>
      <c r="BN1743" s="115"/>
      <c r="BO1743" s="115"/>
      <c r="BP1743" s="115"/>
      <c r="BQ1743" s="115"/>
      <c r="BR1743" s="26"/>
      <c r="BS1743" s="15"/>
    </row>
    <row r="1744" spans="3:71" x14ac:dyDescent="0.4"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22"/>
      <c r="BB1744" s="122"/>
      <c r="BC1744" s="122"/>
      <c r="BD1744" s="115"/>
      <c r="BE1744" s="115"/>
      <c r="BF1744" s="115"/>
      <c r="BG1744" s="115"/>
      <c r="BH1744" s="115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26"/>
      <c r="BS1744" s="15"/>
    </row>
    <row r="1745" spans="2:71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22"/>
      <c r="BB1745" s="122"/>
      <c r="BC1745" s="122"/>
      <c r="BD1745" s="115"/>
      <c r="BE1745" s="115"/>
      <c r="BF1745" s="115"/>
      <c r="BG1745" s="115"/>
      <c r="BH1745" s="115"/>
      <c r="BI1745" s="115"/>
      <c r="BJ1745" s="115"/>
      <c r="BK1745" s="115"/>
      <c r="BL1745" s="115"/>
      <c r="BM1745" s="115"/>
      <c r="BN1745" s="115"/>
      <c r="BO1745" s="115"/>
      <c r="BP1745" s="115"/>
      <c r="BQ1745" s="115"/>
      <c r="BR1745" s="26"/>
      <c r="BS1745" s="15"/>
    </row>
    <row r="1746" spans="2:71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22"/>
      <c r="BB1746" s="122"/>
      <c r="BC1746" s="122"/>
      <c r="BD1746" s="115"/>
      <c r="BE1746" s="115"/>
      <c r="BF1746" s="115"/>
      <c r="BG1746" s="115"/>
      <c r="BH1746" s="115"/>
      <c r="BI1746" s="115"/>
      <c r="BJ1746" s="115"/>
      <c r="BK1746" s="115"/>
      <c r="BL1746" s="115"/>
      <c r="BM1746" s="115"/>
      <c r="BN1746" s="115"/>
      <c r="BO1746" s="115"/>
      <c r="BP1746" s="115"/>
      <c r="BQ1746" s="115"/>
      <c r="BR1746" s="26"/>
      <c r="BS1746" s="15"/>
    </row>
    <row r="1747" spans="2:71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22"/>
      <c r="BB1747" s="122"/>
      <c r="BC1747" s="122"/>
      <c r="BD1747" s="115"/>
      <c r="BE1747" s="115"/>
      <c r="BF1747" s="115"/>
      <c r="BG1747" s="115"/>
      <c r="BH1747" s="115"/>
      <c r="BI1747" s="115"/>
      <c r="BJ1747" s="115"/>
      <c r="BK1747" s="115"/>
      <c r="BL1747" s="115"/>
      <c r="BM1747" s="115"/>
      <c r="BN1747" s="115"/>
      <c r="BO1747" s="115"/>
      <c r="BP1747" s="115"/>
      <c r="BQ1747" s="115"/>
      <c r="BR1747" s="26"/>
      <c r="BS1747" s="15"/>
    </row>
    <row r="1748" spans="2:71" x14ac:dyDescent="0.4">
      <c r="C1748" s="115"/>
      <c r="D1748" s="115"/>
      <c r="E1748" s="115"/>
      <c r="F1748" s="115"/>
      <c r="G1748" s="115"/>
      <c r="H1748" s="115"/>
      <c r="I1748" s="115"/>
      <c r="J1748" s="115"/>
      <c r="K1748" s="115"/>
      <c r="L1748" s="115"/>
      <c r="M1748" s="115"/>
      <c r="N1748" s="115"/>
      <c r="O1748" s="115"/>
      <c r="P1748" s="115"/>
      <c r="Q1748" s="115"/>
      <c r="R1748" s="115"/>
      <c r="S1748" s="115"/>
      <c r="T1748" s="115"/>
      <c r="U1748" s="115"/>
      <c r="V1748" s="115"/>
      <c r="W1748" s="115"/>
      <c r="X1748" s="115"/>
      <c r="Y1748" s="115"/>
      <c r="Z1748" s="115"/>
      <c r="AA1748" s="115"/>
      <c r="AB1748" s="115"/>
      <c r="AC1748" s="115"/>
      <c r="AD1748" s="115"/>
      <c r="AE1748" s="115"/>
      <c r="AF1748" s="115"/>
      <c r="AG1748" s="115"/>
      <c r="AH1748" s="115"/>
      <c r="AI1748" s="115"/>
      <c r="AJ1748" s="115"/>
      <c r="AK1748" s="115"/>
      <c r="AL1748" s="115"/>
      <c r="AM1748" s="115"/>
      <c r="AN1748" s="115"/>
      <c r="AO1748" s="115"/>
      <c r="AP1748" s="115"/>
      <c r="AQ1748" s="115"/>
      <c r="AR1748" s="115"/>
      <c r="AS1748" s="115"/>
      <c r="AT1748" s="115"/>
      <c r="AU1748" s="115"/>
      <c r="AV1748" s="115"/>
      <c r="AW1748" s="115"/>
      <c r="AX1748" s="115"/>
      <c r="AY1748" s="115"/>
      <c r="AZ1748" s="115"/>
      <c r="BA1748" s="122"/>
      <c r="BB1748" s="122"/>
      <c r="BC1748" s="122"/>
      <c r="BD1748" s="115"/>
      <c r="BE1748" s="115"/>
      <c r="BF1748" s="115"/>
      <c r="BG1748" s="115"/>
      <c r="BH1748" s="115"/>
      <c r="BI1748" s="115"/>
      <c r="BJ1748" s="115"/>
      <c r="BK1748" s="115"/>
      <c r="BL1748" s="115"/>
      <c r="BM1748" s="115"/>
      <c r="BN1748" s="115"/>
      <c r="BO1748" s="115"/>
      <c r="BP1748" s="115"/>
      <c r="BQ1748" s="115"/>
      <c r="BR1748" s="26"/>
      <c r="BS1748" s="15"/>
    </row>
    <row r="1749" spans="2:71" ht="19.5" customHeight="1" x14ac:dyDescent="0.4">
      <c r="B1749" s="115"/>
      <c r="C1749" s="115"/>
      <c r="D1749" s="115"/>
      <c r="E1749" s="115"/>
      <c r="F1749" s="115"/>
      <c r="G1749" s="115"/>
      <c r="H1749" s="115"/>
      <c r="I1749" s="115"/>
      <c r="J1749" s="115"/>
      <c r="K1749" s="115"/>
      <c r="L1749" s="115"/>
      <c r="M1749" s="115"/>
      <c r="N1749" s="115"/>
      <c r="O1749" s="115"/>
      <c r="P1749" s="115"/>
      <c r="Q1749" s="115"/>
      <c r="R1749" s="115"/>
      <c r="S1749" s="115"/>
      <c r="T1749" s="115"/>
      <c r="U1749" s="115"/>
      <c r="V1749" s="115"/>
      <c r="W1749" s="115"/>
      <c r="X1749" s="115"/>
      <c r="Y1749" s="115"/>
      <c r="Z1749" s="115"/>
      <c r="AA1749" s="115"/>
      <c r="AB1749" s="115"/>
      <c r="AC1749" s="115"/>
      <c r="AD1749" s="115"/>
      <c r="AE1749" s="115"/>
      <c r="AF1749" s="115"/>
      <c r="AG1749" s="115"/>
      <c r="AH1749" s="115"/>
      <c r="AI1749" s="115"/>
      <c r="AJ1749" s="115"/>
      <c r="AK1749" s="115"/>
      <c r="AL1749" s="115"/>
      <c r="AM1749" s="115"/>
      <c r="AN1749" s="115"/>
      <c r="AO1749" s="115"/>
      <c r="AP1749" s="115"/>
      <c r="AQ1749" s="115"/>
      <c r="AR1749" s="115"/>
      <c r="AS1749" s="115"/>
      <c r="AT1749" s="115"/>
      <c r="AU1749" s="115"/>
      <c r="AV1749" s="115"/>
      <c r="AW1749" s="115"/>
      <c r="AX1749" s="115"/>
      <c r="AY1749" s="115"/>
      <c r="AZ1749" s="115"/>
      <c r="BA1749" s="122"/>
      <c r="BB1749" s="122"/>
      <c r="BC1749" s="122"/>
      <c r="BD1749" s="115"/>
      <c r="BE1749" s="115"/>
      <c r="BF1749" s="115"/>
      <c r="BG1749" s="115"/>
      <c r="BH1749" s="115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26"/>
      <c r="BS1749" s="15"/>
    </row>
    <row r="1750" spans="2:71" ht="19.5" customHeight="1" x14ac:dyDescent="0.4">
      <c r="B1750" s="115"/>
      <c r="C1750" s="115"/>
      <c r="D1750" s="115"/>
      <c r="E1750" s="115"/>
      <c r="F1750" s="115"/>
      <c r="G1750" s="115"/>
      <c r="H1750" s="115"/>
      <c r="I1750" s="115"/>
      <c r="J1750" s="115"/>
      <c r="K1750" s="115"/>
      <c r="L1750" s="115"/>
      <c r="M1750" s="115"/>
      <c r="N1750" s="115"/>
      <c r="O1750" s="115"/>
      <c r="P1750" s="115"/>
      <c r="Q1750" s="115"/>
      <c r="R1750" s="115"/>
      <c r="S1750" s="115"/>
      <c r="T1750" s="115"/>
      <c r="U1750" s="115"/>
      <c r="V1750" s="115"/>
      <c r="W1750" s="115"/>
      <c r="X1750" s="115"/>
      <c r="Y1750" s="115"/>
      <c r="Z1750" s="115"/>
      <c r="AA1750" s="115"/>
      <c r="AB1750" s="115"/>
      <c r="AC1750" s="115"/>
      <c r="AD1750" s="115"/>
      <c r="AE1750" s="115"/>
      <c r="AF1750" s="115"/>
      <c r="AG1750" s="115"/>
      <c r="AH1750" s="115"/>
      <c r="AI1750" s="115"/>
      <c r="AJ1750" s="115"/>
      <c r="AK1750" s="115"/>
      <c r="AL1750" s="115"/>
      <c r="AM1750" s="115"/>
      <c r="AN1750" s="115"/>
      <c r="AO1750" s="115"/>
      <c r="AP1750" s="115"/>
      <c r="AQ1750" s="115"/>
      <c r="AR1750" s="115"/>
      <c r="AS1750" s="115"/>
      <c r="AT1750" s="115"/>
      <c r="AU1750" s="115"/>
      <c r="AV1750" s="115"/>
      <c r="AW1750" s="115"/>
      <c r="AX1750" s="115"/>
      <c r="AY1750" s="115"/>
      <c r="AZ1750" s="115"/>
      <c r="BA1750" s="122"/>
      <c r="BB1750" s="122"/>
      <c r="BC1750" s="122"/>
      <c r="BD1750" s="115"/>
      <c r="BE1750" s="115"/>
      <c r="BF1750" s="115"/>
      <c r="BG1750" s="115"/>
      <c r="BH1750" s="115"/>
      <c r="BI1750" s="115"/>
      <c r="BJ1750" s="115"/>
      <c r="BK1750" s="115"/>
      <c r="BL1750" s="115"/>
      <c r="BM1750" s="115"/>
      <c r="BN1750" s="115"/>
      <c r="BO1750" s="115"/>
      <c r="BP1750" s="115"/>
      <c r="BQ1750" s="115"/>
      <c r="BR1750" s="26"/>
      <c r="BS1750" s="15"/>
    </row>
    <row r="1751" spans="2:71" x14ac:dyDescent="0.4">
      <c r="BR1751" s="26"/>
      <c r="BS1751" s="15"/>
    </row>
    <row r="1752" spans="2:71" x14ac:dyDescent="0.4"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22"/>
      <c r="BB1752" s="122"/>
      <c r="BC1752" s="122"/>
      <c r="BD1752" s="115"/>
      <c r="BE1752" s="115"/>
      <c r="BF1752" s="115"/>
      <c r="BG1752" s="115"/>
      <c r="BH1752" s="115"/>
      <c r="BI1752" s="115"/>
      <c r="BJ1752" s="115"/>
      <c r="BK1752" s="115"/>
      <c r="BL1752" s="115"/>
      <c r="BM1752" s="115"/>
      <c r="BN1752" s="115"/>
      <c r="BO1752" s="115"/>
      <c r="BP1752" s="115"/>
      <c r="BQ1752" s="115"/>
      <c r="BR1752" s="26"/>
      <c r="BS1752" s="15"/>
    </row>
    <row r="1753" spans="2:71" x14ac:dyDescent="0.4"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22"/>
      <c r="BB1753" s="122"/>
      <c r="BC1753" s="122"/>
      <c r="BD1753" s="115"/>
      <c r="BE1753" s="115"/>
      <c r="BF1753" s="115"/>
      <c r="BG1753" s="115"/>
      <c r="BH1753" s="115"/>
      <c r="BI1753" s="115"/>
      <c r="BJ1753" s="115"/>
      <c r="BK1753" s="115"/>
      <c r="BL1753" s="115"/>
      <c r="BM1753" s="115"/>
      <c r="BN1753" s="115"/>
      <c r="BO1753" s="115"/>
      <c r="BP1753" s="115"/>
      <c r="BQ1753" s="115"/>
      <c r="BR1753" s="26"/>
      <c r="BS1753" s="15"/>
    </row>
    <row r="1754" spans="2:71" x14ac:dyDescent="0.4"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22"/>
      <c r="BB1754" s="122"/>
      <c r="BC1754" s="122"/>
      <c r="BD1754" s="115"/>
      <c r="BE1754" s="115"/>
      <c r="BF1754" s="115"/>
      <c r="BG1754" s="115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7"/>
      <c r="BS1754" s="15"/>
    </row>
    <row r="1755" spans="2:71" x14ac:dyDescent="0.4">
      <c r="BR1755" s="26"/>
      <c r="BS1755" s="15"/>
    </row>
    <row r="1756" spans="2:71" x14ac:dyDescent="0.4">
      <c r="AU1756" s="115"/>
      <c r="AV1756" s="115"/>
      <c r="AW1756" s="115"/>
      <c r="AX1756" s="115"/>
      <c r="AY1756" s="115"/>
      <c r="AZ1756" s="115"/>
      <c r="BA1756" s="122"/>
      <c r="BB1756" s="122"/>
      <c r="BC1756" s="122"/>
      <c r="BD1756" s="115"/>
      <c r="BE1756" s="115"/>
      <c r="BF1756" s="115"/>
      <c r="BG1756" s="115"/>
      <c r="BH1756" s="115"/>
      <c r="BI1756" s="115"/>
      <c r="BJ1756" s="115"/>
      <c r="BK1756" s="115"/>
      <c r="BL1756" s="115"/>
      <c r="BM1756" s="115"/>
      <c r="BN1756" s="115"/>
      <c r="BO1756" s="115"/>
      <c r="BP1756" s="115"/>
      <c r="BQ1756" s="115"/>
      <c r="BR1756" s="17"/>
      <c r="BS1756" s="15"/>
    </row>
    <row r="1757" spans="2:71" x14ac:dyDescent="0.4"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22"/>
      <c r="BB1757" s="122"/>
      <c r="BC1757" s="122"/>
      <c r="BD1757" s="115"/>
      <c r="BE1757" s="115"/>
      <c r="BF1757" s="115"/>
      <c r="BG1757" s="115"/>
      <c r="BH1757" s="115"/>
      <c r="BI1757" s="115"/>
      <c r="BJ1757" s="115"/>
      <c r="BK1757" s="115"/>
      <c r="BL1757" s="115"/>
      <c r="BM1757" s="115"/>
      <c r="BN1757" s="115"/>
      <c r="BO1757" s="115"/>
      <c r="BP1757" s="115"/>
      <c r="BQ1757" s="115"/>
      <c r="BR1757" s="26"/>
      <c r="BS1757" s="15"/>
    </row>
    <row r="1758" spans="2:71" x14ac:dyDescent="0.4">
      <c r="BR1758" s="26"/>
      <c r="BS1758" s="15"/>
    </row>
    <row r="1759" spans="2:71" x14ac:dyDescent="0.4">
      <c r="BR1759" s="26"/>
      <c r="BS1759" s="15"/>
    </row>
    <row r="1760" spans="2:71" x14ac:dyDescent="0.4">
      <c r="AT1760" s="115"/>
      <c r="AU1760" s="115"/>
      <c r="AV1760" s="115"/>
      <c r="AW1760" s="115"/>
      <c r="AX1760" s="115"/>
      <c r="AY1760" s="115"/>
      <c r="AZ1760" s="115"/>
      <c r="BA1760" s="122"/>
      <c r="BB1760" s="122"/>
      <c r="BC1760" s="122"/>
      <c r="BD1760" s="115"/>
      <c r="BE1760" s="115"/>
      <c r="BF1760" s="115"/>
      <c r="BG1760" s="115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115"/>
      <c r="BR1760" s="26"/>
      <c r="BS1760" s="15"/>
    </row>
    <row r="1761" spans="1:71" x14ac:dyDescent="0.4">
      <c r="BR1761" s="26"/>
      <c r="BS1761" s="15"/>
    </row>
    <row r="1762" spans="1:71" x14ac:dyDescent="0.4">
      <c r="AU1762" s="115"/>
      <c r="AV1762" s="115"/>
      <c r="AW1762" s="115"/>
      <c r="AX1762" s="115"/>
      <c r="AY1762" s="115"/>
      <c r="AZ1762" s="115"/>
      <c r="BA1762" s="122"/>
      <c r="BB1762" s="122"/>
      <c r="BC1762" s="122"/>
      <c r="BD1762" s="115"/>
      <c r="BE1762" s="115"/>
      <c r="BF1762" s="115"/>
      <c r="BG1762" s="115"/>
      <c r="BH1762" s="115"/>
      <c r="BI1762" s="115"/>
      <c r="BJ1762" s="115"/>
      <c r="BK1762" s="115"/>
      <c r="BL1762" s="115"/>
      <c r="BM1762" s="115"/>
      <c r="BN1762" s="115"/>
      <c r="BO1762" s="115"/>
      <c r="BP1762" s="115"/>
      <c r="BQ1762" s="115"/>
      <c r="BR1762" s="17"/>
      <c r="BS1762" s="15"/>
    </row>
    <row r="1763" spans="1:71" x14ac:dyDescent="0.4">
      <c r="A1763" s="115"/>
      <c r="B1763" s="115"/>
      <c r="C1763" s="115"/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22"/>
      <c r="BB1763" s="122"/>
      <c r="BC1763" s="122"/>
      <c r="BD1763" s="115"/>
      <c r="BE1763" s="115"/>
      <c r="BF1763" s="115"/>
      <c r="BG1763" s="115"/>
      <c r="BH1763" s="115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26"/>
      <c r="BS1763" s="15"/>
    </row>
    <row r="1764" spans="1:71" x14ac:dyDescent="0.4">
      <c r="A1764" s="115"/>
      <c r="B1764" s="115"/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22"/>
      <c r="BB1764" s="122"/>
      <c r="BC1764" s="122"/>
      <c r="BD1764" s="115"/>
      <c r="BE1764" s="115"/>
      <c r="BF1764" s="115"/>
      <c r="BG1764" s="115"/>
      <c r="BH1764" s="115"/>
      <c r="BI1764" s="115"/>
      <c r="BJ1764" s="115"/>
      <c r="BK1764" s="115"/>
      <c r="BL1764" s="115"/>
      <c r="BM1764" s="115"/>
      <c r="BN1764" s="115"/>
      <c r="BO1764" s="115"/>
      <c r="BP1764" s="115"/>
      <c r="BQ1764" s="115"/>
      <c r="BR1764" s="17"/>
      <c r="BS1764" s="13"/>
    </row>
    <row r="1765" spans="1:71" x14ac:dyDescent="0.4">
      <c r="A1765" s="115"/>
      <c r="B1765" s="115"/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22"/>
      <c r="BB1765" s="122"/>
      <c r="BC1765" s="122"/>
      <c r="BD1765" s="115"/>
      <c r="BE1765" s="115"/>
      <c r="BF1765" s="115"/>
      <c r="BG1765" s="115"/>
      <c r="BH1765" s="115"/>
      <c r="BI1765" s="115"/>
      <c r="BJ1765" s="115"/>
      <c r="BK1765" s="115"/>
      <c r="BL1765" s="115"/>
      <c r="BM1765" s="115"/>
      <c r="BN1765" s="115"/>
      <c r="BO1765" s="115"/>
      <c r="BP1765" s="115"/>
      <c r="BQ1765" s="115"/>
      <c r="BR1765" s="17"/>
      <c r="BS1765" s="13"/>
    </row>
    <row r="1766" spans="1:71" x14ac:dyDescent="0.4">
      <c r="BR1766" s="26"/>
      <c r="BS1766" s="13"/>
    </row>
    <row r="1767" spans="1:71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22"/>
      <c r="BB1767" s="122"/>
      <c r="BC1767" s="122"/>
      <c r="BD1767" s="115"/>
      <c r="BE1767" s="115"/>
      <c r="BF1767" s="115"/>
      <c r="BG1767" s="115"/>
      <c r="BH1767" s="115"/>
      <c r="BI1767" s="115"/>
      <c r="BJ1767" s="115"/>
      <c r="BK1767" s="115"/>
      <c r="BL1767" s="115"/>
      <c r="BM1767" s="115"/>
      <c r="BN1767" s="115"/>
      <c r="BO1767" s="115"/>
      <c r="BP1767" s="115"/>
      <c r="BQ1767" s="115"/>
      <c r="BR1767" s="26"/>
      <c r="BS1767" s="15"/>
    </row>
    <row r="1768" spans="1:71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22"/>
      <c r="BB1768" s="122"/>
      <c r="BC1768" s="122"/>
      <c r="BD1768" s="115"/>
      <c r="BE1768" s="115"/>
      <c r="BF1768" s="115"/>
      <c r="BG1768" s="115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26"/>
      <c r="BS1768" s="15"/>
    </row>
    <row r="1769" spans="1:71" x14ac:dyDescent="0.4">
      <c r="BR1769" s="26"/>
      <c r="BS1769" s="15"/>
    </row>
    <row r="1770" spans="1:71" x14ac:dyDescent="0.4">
      <c r="D1770" s="115"/>
      <c r="E1770" s="115"/>
      <c r="F1770" s="115"/>
      <c r="G1770" s="115"/>
      <c r="H1770" s="115"/>
      <c r="I1770" s="115"/>
      <c r="J1770" s="115"/>
      <c r="K1770" s="115"/>
      <c r="L1770" s="115"/>
      <c r="M1770" s="115"/>
      <c r="N1770" s="115"/>
      <c r="O1770" s="115"/>
      <c r="P1770" s="115"/>
      <c r="Q1770" s="115"/>
      <c r="R1770" s="115"/>
      <c r="S1770" s="115"/>
      <c r="T1770" s="115"/>
      <c r="U1770" s="115"/>
      <c r="V1770" s="115"/>
      <c r="W1770" s="115"/>
      <c r="X1770" s="115"/>
      <c r="Y1770" s="115"/>
      <c r="Z1770" s="115"/>
      <c r="AA1770" s="115"/>
      <c r="AB1770" s="115"/>
      <c r="AC1770" s="115"/>
      <c r="AD1770" s="115"/>
      <c r="AE1770" s="115"/>
      <c r="AF1770" s="115"/>
      <c r="AG1770" s="115"/>
      <c r="AH1770" s="115"/>
      <c r="AI1770" s="115"/>
      <c r="AJ1770" s="115"/>
      <c r="AK1770" s="115"/>
      <c r="AL1770" s="115"/>
      <c r="AM1770" s="115"/>
      <c r="AN1770" s="115"/>
      <c r="AO1770" s="115"/>
      <c r="AP1770" s="115"/>
      <c r="AQ1770" s="115"/>
      <c r="AR1770" s="115"/>
      <c r="AS1770" s="115"/>
      <c r="AT1770" s="115"/>
      <c r="AU1770" s="115"/>
      <c r="AV1770" s="115"/>
      <c r="AW1770" s="115"/>
      <c r="AX1770" s="115"/>
      <c r="AY1770" s="115"/>
      <c r="AZ1770" s="115"/>
      <c r="BA1770" s="122"/>
      <c r="BB1770" s="122"/>
      <c r="BC1770" s="122"/>
      <c r="BD1770" s="115"/>
      <c r="BE1770" s="115"/>
      <c r="BF1770" s="115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15"/>
      <c r="BR1770" s="26"/>
      <c r="BS1770" s="15"/>
    </row>
    <row r="1771" spans="1:71" x14ac:dyDescent="0.4">
      <c r="C1771" s="115"/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22"/>
      <c r="BB1771" s="122"/>
      <c r="BC1771" s="122"/>
      <c r="BD1771" s="115"/>
      <c r="BE1771" s="115"/>
      <c r="BF1771" s="115"/>
      <c r="BG1771" s="115"/>
      <c r="BH1771" s="115"/>
      <c r="BI1771" s="115"/>
      <c r="BJ1771" s="115"/>
      <c r="BK1771" s="115"/>
      <c r="BL1771" s="115"/>
      <c r="BM1771" s="115"/>
      <c r="BN1771" s="115"/>
      <c r="BO1771" s="115"/>
      <c r="BP1771" s="115"/>
      <c r="BQ1771" s="115"/>
      <c r="BR1771" s="26"/>
      <c r="BS1771" s="15"/>
    </row>
    <row r="1772" spans="1:71" x14ac:dyDescent="0.4">
      <c r="C1772" s="115"/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22"/>
      <c r="BB1772" s="122"/>
      <c r="BC1772" s="122"/>
      <c r="BD1772" s="115"/>
      <c r="BE1772" s="115"/>
      <c r="BF1772" s="115"/>
      <c r="BG1772" s="115"/>
      <c r="BH1772" s="115"/>
      <c r="BI1772" s="115"/>
      <c r="BJ1772" s="115"/>
      <c r="BK1772" s="115"/>
      <c r="BL1772" s="115"/>
      <c r="BM1772" s="115"/>
      <c r="BN1772" s="115"/>
      <c r="BO1772" s="115"/>
      <c r="BP1772" s="115"/>
      <c r="BQ1772" s="115"/>
      <c r="BR1772" s="26"/>
      <c r="BS1772" s="15"/>
    </row>
    <row r="1773" spans="1:71" x14ac:dyDescent="0.4">
      <c r="C1773" s="115"/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22"/>
      <c r="BB1773" s="122"/>
      <c r="BC1773" s="122"/>
      <c r="BD1773" s="115"/>
      <c r="BE1773" s="115"/>
      <c r="BF1773" s="115"/>
      <c r="BG1773" s="115"/>
      <c r="BH1773" s="115"/>
      <c r="BI1773" s="115"/>
      <c r="BJ1773" s="115"/>
      <c r="BK1773" s="115"/>
      <c r="BL1773" s="115"/>
      <c r="BM1773" s="115"/>
      <c r="BN1773" s="115"/>
      <c r="BO1773" s="115"/>
      <c r="BP1773" s="115"/>
      <c r="BQ1773" s="115"/>
      <c r="BR1773" s="26"/>
      <c r="BS1773" s="15"/>
    </row>
    <row r="1774" spans="1:71" x14ac:dyDescent="0.4">
      <c r="BR1774" s="26"/>
      <c r="BS1774" s="15"/>
    </row>
    <row r="1775" spans="1:71" x14ac:dyDescent="0.4">
      <c r="D1775" s="115"/>
      <c r="E1775" s="115"/>
      <c r="F1775" s="115"/>
      <c r="G1775" s="115"/>
      <c r="H1775" s="115"/>
      <c r="I1775" s="115"/>
      <c r="J1775" s="115"/>
      <c r="K1775" s="115"/>
      <c r="L1775" s="115"/>
      <c r="M1775" s="115"/>
      <c r="N1775" s="115"/>
      <c r="O1775" s="115"/>
      <c r="P1775" s="115"/>
      <c r="Q1775" s="115"/>
      <c r="R1775" s="115"/>
      <c r="S1775" s="115"/>
      <c r="T1775" s="115"/>
      <c r="U1775" s="115"/>
      <c r="V1775" s="115"/>
      <c r="W1775" s="115"/>
      <c r="X1775" s="115"/>
      <c r="Y1775" s="115"/>
      <c r="Z1775" s="115"/>
      <c r="AA1775" s="115"/>
      <c r="AB1775" s="115"/>
      <c r="AC1775" s="115"/>
      <c r="AD1775" s="115"/>
      <c r="AE1775" s="115"/>
      <c r="AF1775" s="115"/>
      <c r="AG1775" s="115"/>
      <c r="AH1775" s="115"/>
      <c r="AI1775" s="115"/>
      <c r="AJ1775" s="115"/>
      <c r="AK1775" s="115"/>
      <c r="AL1775" s="115"/>
      <c r="AM1775" s="115"/>
      <c r="AN1775" s="115"/>
      <c r="AO1775" s="115"/>
      <c r="AP1775" s="115"/>
      <c r="AQ1775" s="115"/>
      <c r="AR1775" s="115"/>
      <c r="AS1775" s="115"/>
      <c r="AT1775" s="115"/>
      <c r="AU1775" s="115"/>
      <c r="AV1775" s="115"/>
      <c r="AW1775" s="115"/>
      <c r="AX1775" s="115"/>
      <c r="AY1775" s="115"/>
      <c r="AZ1775" s="115"/>
      <c r="BA1775" s="122"/>
      <c r="BB1775" s="122"/>
      <c r="BC1775" s="122"/>
      <c r="BD1775" s="115"/>
      <c r="BE1775" s="115"/>
      <c r="BF1775" s="115"/>
      <c r="BG1775" s="115"/>
      <c r="BH1775" s="115"/>
      <c r="BI1775" s="115"/>
      <c r="BJ1775" s="115"/>
      <c r="BK1775" s="115"/>
      <c r="BL1775" s="115"/>
      <c r="BM1775" s="115"/>
      <c r="BN1775" s="115"/>
      <c r="BO1775" s="115"/>
      <c r="BP1775" s="115"/>
      <c r="BQ1775" s="115"/>
      <c r="BR1775" s="26"/>
      <c r="BS1775" s="15"/>
    </row>
    <row r="1776" spans="1:71" x14ac:dyDescent="0.4">
      <c r="BR1776" s="26"/>
      <c r="BS1776" s="15"/>
    </row>
    <row r="1777" spans="1:71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22"/>
      <c r="BB1777" s="122"/>
      <c r="BC1777" s="122"/>
      <c r="BD1777" s="115"/>
      <c r="BE1777" s="115"/>
      <c r="BF1777" s="115"/>
      <c r="BG1777" s="115"/>
      <c r="BH1777" s="115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26"/>
      <c r="BS1777" s="15"/>
    </row>
    <row r="1778" spans="1:71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22"/>
      <c r="BB1778" s="122"/>
      <c r="BC1778" s="122"/>
      <c r="BD1778" s="115"/>
      <c r="BE1778" s="115"/>
      <c r="BF1778" s="115"/>
      <c r="BG1778" s="115"/>
      <c r="BH1778" s="115"/>
      <c r="BI1778" s="115"/>
      <c r="BJ1778" s="115"/>
      <c r="BK1778" s="115"/>
      <c r="BL1778" s="115"/>
      <c r="BM1778" s="115"/>
      <c r="BN1778" s="115"/>
      <c r="BO1778" s="115"/>
      <c r="BP1778" s="115"/>
      <c r="BQ1778" s="115"/>
      <c r="BR1778" s="26"/>
      <c r="BS1778" s="15"/>
    </row>
    <row r="1779" spans="1:71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22"/>
      <c r="BB1779" s="122"/>
      <c r="BC1779" s="122"/>
      <c r="BD1779" s="115"/>
      <c r="BE1779" s="115"/>
      <c r="BF1779" s="115"/>
      <c r="BG1779" s="115"/>
      <c r="BH1779" s="115"/>
      <c r="BI1779" s="115"/>
      <c r="BJ1779" s="115"/>
      <c r="BK1779" s="115"/>
      <c r="BL1779" s="115"/>
      <c r="BM1779" s="115"/>
      <c r="BN1779" s="115"/>
      <c r="BO1779" s="115"/>
      <c r="BP1779" s="115"/>
      <c r="BQ1779" s="115"/>
      <c r="BR1779" s="17"/>
      <c r="BS1779" s="15"/>
    </row>
    <row r="1780" spans="1:71" x14ac:dyDescent="0.4">
      <c r="BR1780" s="26"/>
      <c r="BS1780" s="15"/>
    </row>
    <row r="1781" spans="1:71" x14ac:dyDescent="0.4">
      <c r="BR1781" s="26"/>
      <c r="BS1781" s="15"/>
    </row>
    <row r="1782" spans="1:71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22"/>
      <c r="BB1782" s="122"/>
      <c r="BC1782" s="122"/>
      <c r="BD1782" s="115"/>
      <c r="BE1782" s="115"/>
      <c r="BF1782" s="115"/>
      <c r="BG1782" s="115"/>
      <c r="BH1782" s="115"/>
      <c r="BI1782" s="115"/>
      <c r="BJ1782" s="115"/>
      <c r="BK1782" s="115"/>
      <c r="BL1782" s="115"/>
      <c r="BM1782" s="115"/>
      <c r="BN1782" s="115"/>
      <c r="BO1782" s="115"/>
      <c r="BP1782" s="115"/>
      <c r="BQ1782" s="115"/>
      <c r="BR1782" s="26"/>
      <c r="BS1782" s="15"/>
    </row>
    <row r="1783" spans="1:71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22"/>
      <c r="BB1783" s="122"/>
      <c r="BC1783" s="122"/>
      <c r="BD1783" s="115"/>
      <c r="BE1783" s="115"/>
      <c r="BF1783" s="115"/>
      <c r="BG1783" s="115"/>
      <c r="BH1783" s="115"/>
      <c r="BI1783" s="115"/>
      <c r="BJ1783" s="115"/>
      <c r="BK1783" s="115"/>
      <c r="BL1783" s="115"/>
      <c r="BM1783" s="115"/>
      <c r="BN1783" s="115"/>
      <c r="BO1783" s="115"/>
      <c r="BP1783" s="115"/>
      <c r="BQ1783" s="115"/>
      <c r="BR1783" s="17"/>
      <c r="BS1783" s="15"/>
    </row>
    <row r="1784" spans="1:71" x14ac:dyDescent="0.4">
      <c r="BR1784" s="26"/>
      <c r="BS1784" s="15"/>
    </row>
    <row r="1785" spans="1:71" ht="17.25" customHeight="1" x14ac:dyDescent="0.4"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22"/>
      <c r="BB1785" s="122"/>
      <c r="BC1785" s="122"/>
      <c r="BD1785" s="115"/>
      <c r="BE1785" s="115"/>
      <c r="BF1785" s="115"/>
      <c r="BG1785" s="115"/>
      <c r="BH1785" s="115"/>
      <c r="BI1785" s="115"/>
      <c r="BJ1785" s="115"/>
      <c r="BK1785" s="115"/>
      <c r="BL1785" s="115"/>
      <c r="BM1785" s="115"/>
      <c r="BN1785" s="115"/>
      <c r="BO1785" s="115"/>
      <c r="BP1785" s="115"/>
      <c r="BQ1785" s="115"/>
      <c r="BR1785" s="26"/>
      <c r="BS1785" s="15"/>
    </row>
    <row r="1786" spans="1:71" x14ac:dyDescent="0.4">
      <c r="BR1786" s="26"/>
      <c r="BS1786" s="15"/>
    </row>
    <row r="1787" spans="1:71" x14ac:dyDescent="0.4">
      <c r="AT1787" s="115"/>
      <c r="AU1787" s="115"/>
      <c r="AV1787" s="115"/>
      <c r="AW1787" s="115"/>
      <c r="AX1787" s="115"/>
      <c r="AY1787" s="115"/>
      <c r="AZ1787" s="115"/>
      <c r="BA1787" s="122"/>
      <c r="BB1787" s="122"/>
      <c r="BC1787" s="122"/>
      <c r="BD1787" s="115"/>
      <c r="BE1787" s="115"/>
      <c r="BF1787" s="115"/>
      <c r="BG1787" s="115"/>
      <c r="BH1787" s="115"/>
      <c r="BI1787" s="115"/>
      <c r="BJ1787" s="115"/>
      <c r="BK1787" s="115"/>
      <c r="BL1787" s="115"/>
      <c r="BM1787" s="115"/>
      <c r="BN1787" s="115"/>
      <c r="BO1787" s="115"/>
      <c r="BP1787" s="115"/>
      <c r="BQ1787" s="115"/>
      <c r="BR1787" s="17"/>
      <c r="BS1787" s="15"/>
    </row>
    <row r="1788" spans="1:71" ht="16.5" customHeight="1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22"/>
      <c r="BB1788" s="122"/>
      <c r="BC1788" s="122"/>
      <c r="BD1788" s="115"/>
      <c r="BE1788" s="115"/>
      <c r="BF1788" s="115"/>
      <c r="BG1788" s="115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115"/>
      <c r="BR1788" s="26"/>
      <c r="BS1788" s="15"/>
    </row>
    <row r="1789" spans="1:71" ht="22.5" customHeight="1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22"/>
      <c r="BB1789" s="122"/>
      <c r="BC1789" s="122"/>
      <c r="BD1789" s="115"/>
      <c r="BE1789" s="115"/>
      <c r="BF1789" s="115"/>
      <c r="BG1789" s="115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115"/>
      <c r="BR1789" s="26"/>
      <c r="BS1789" s="15"/>
    </row>
    <row r="1790" spans="1:71" x14ac:dyDescent="0.4">
      <c r="BR1790" s="26"/>
      <c r="BS1790" s="15"/>
    </row>
    <row r="1791" spans="1:71" x14ac:dyDescent="0.4">
      <c r="BR1791" s="26"/>
      <c r="BS1791" s="105"/>
    </row>
    <row r="1792" spans="1:71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22"/>
      <c r="BB1792" s="122"/>
      <c r="BC1792" s="122"/>
      <c r="BD1792" s="115"/>
      <c r="BE1792" s="115"/>
      <c r="BF1792" s="115"/>
      <c r="BG1792" s="115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115"/>
      <c r="BR1792" s="26"/>
      <c r="BS1792" s="15"/>
    </row>
    <row r="1793" spans="1:71" x14ac:dyDescent="0.4">
      <c r="BR1793" s="26"/>
      <c r="BS1793" s="15"/>
    </row>
    <row r="1794" spans="1:71" x14ac:dyDescent="0.4">
      <c r="BR1794" s="26"/>
      <c r="BS1794" s="15"/>
    </row>
    <row r="1795" spans="1:71" x14ac:dyDescent="0.4">
      <c r="BR1795" s="26"/>
      <c r="BS1795" s="15"/>
    </row>
    <row r="1796" spans="1:71" x14ac:dyDescent="0.4">
      <c r="BR1796" s="26"/>
      <c r="BS1796" s="15"/>
    </row>
    <row r="1797" spans="1:71" x14ac:dyDescent="0.4">
      <c r="A1797" s="115"/>
      <c r="B1797" s="115"/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22"/>
      <c r="BB1797" s="122"/>
      <c r="BC1797" s="122"/>
      <c r="BD1797" s="115"/>
      <c r="BE1797" s="115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26"/>
      <c r="BS1797" s="15"/>
    </row>
    <row r="1798" spans="1:71" x14ac:dyDescent="0.4">
      <c r="BR1798" s="26"/>
      <c r="BS1798" s="15"/>
    </row>
    <row r="1799" spans="1:71" x14ac:dyDescent="0.4">
      <c r="BR1799" s="26"/>
      <c r="BS1799" s="15"/>
    </row>
    <row r="1800" spans="1:71" x14ac:dyDescent="0.4">
      <c r="BR1800" s="26"/>
      <c r="BS1800" s="15"/>
    </row>
    <row r="1801" spans="1:71" x14ac:dyDescent="0.4">
      <c r="BR1801" s="26"/>
      <c r="BS1801" s="15"/>
    </row>
    <row r="1802" spans="1:71" ht="18.75" customHeight="1" x14ac:dyDescent="0.4">
      <c r="B1802" s="115"/>
      <c r="C1802" s="115"/>
      <c r="D1802" s="115"/>
      <c r="E1802" s="115"/>
      <c r="F1802" s="115"/>
      <c r="G1802" s="115"/>
      <c r="H1802" s="115"/>
      <c r="I1802" s="115"/>
      <c r="J1802" s="115"/>
      <c r="K1802" s="115"/>
      <c r="L1802" s="115"/>
      <c r="M1802" s="115"/>
      <c r="N1802" s="115"/>
      <c r="O1802" s="115"/>
      <c r="P1802" s="115"/>
      <c r="Q1802" s="115"/>
      <c r="R1802" s="115"/>
      <c r="S1802" s="115"/>
      <c r="T1802" s="115"/>
      <c r="U1802" s="115"/>
      <c r="V1802" s="115"/>
      <c r="W1802" s="115"/>
      <c r="X1802" s="115"/>
      <c r="Y1802" s="115"/>
      <c r="Z1802" s="115"/>
      <c r="AA1802" s="115"/>
      <c r="AB1802" s="115"/>
      <c r="AC1802" s="115"/>
      <c r="AD1802" s="115"/>
      <c r="AE1802" s="115"/>
      <c r="AF1802" s="115"/>
      <c r="AG1802" s="115"/>
      <c r="AH1802" s="115"/>
      <c r="AI1802" s="115"/>
      <c r="AJ1802" s="115"/>
      <c r="AK1802" s="115"/>
      <c r="AL1802" s="115"/>
      <c r="AM1802" s="115"/>
      <c r="AN1802" s="115"/>
      <c r="AO1802" s="115"/>
      <c r="AP1802" s="115"/>
      <c r="AQ1802" s="115"/>
      <c r="AR1802" s="115"/>
      <c r="AS1802" s="115"/>
      <c r="AT1802" s="115"/>
      <c r="AU1802" s="115"/>
      <c r="AV1802" s="115"/>
      <c r="AW1802" s="115"/>
      <c r="AX1802" s="115"/>
      <c r="AY1802" s="115"/>
      <c r="AZ1802" s="115"/>
      <c r="BA1802" s="122"/>
      <c r="BB1802" s="122"/>
      <c r="BC1802" s="122"/>
      <c r="BD1802" s="115"/>
      <c r="BE1802" s="115"/>
      <c r="BF1802" s="115"/>
      <c r="BG1802" s="115"/>
      <c r="BH1802" s="115"/>
      <c r="BI1802" s="115"/>
      <c r="BJ1802" s="115"/>
      <c r="BK1802" s="115"/>
      <c r="BL1802" s="115"/>
      <c r="BM1802" s="115"/>
      <c r="BN1802" s="115"/>
      <c r="BO1802" s="115"/>
      <c r="BP1802" s="115"/>
      <c r="BQ1802" s="115"/>
      <c r="BR1802" s="26"/>
      <c r="BS1802" s="15"/>
    </row>
    <row r="1803" spans="1:71" x14ac:dyDescent="0.4">
      <c r="BR1803" s="26"/>
      <c r="BS1803" s="15"/>
    </row>
    <row r="1804" spans="1:71" x14ac:dyDescent="0.4">
      <c r="BR1804" s="26"/>
      <c r="BS1804" s="15"/>
    </row>
    <row r="1805" spans="1:71" x14ac:dyDescent="0.4"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22"/>
      <c r="BB1805" s="122"/>
      <c r="BC1805" s="122"/>
      <c r="BD1805" s="115"/>
      <c r="BE1805" s="115"/>
      <c r="BF1805" s="115"/>
      <c r="BG1805" s="115"/>
      <c r="BH1805" s="115"/>
      <c r="BI1805" s="115"/>
      <c r="BJ1805" s="115"/>
      <c r="BK1805" s="115"/>
      <c r="BL1805" s="115"/>
      <c r="BM1805" s="115"/>
      <c r="BN1805" s="115"/>
      <c r="BO1805" s="115"/>
      <c r="BP1805" s="115"/>
      <c r="BQ1805" s="115"/>
      <c r="BR1805" s="26"/>
      <c r="BS1805" s="15"/>
    </row>
    <row r="1806" spans="1:71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22"/>
      <c r="BB1806" s="122"/>
      <c r="BC1806" s="122"/>
      <c r="BD1806" s="115"/>
      <c r="BE1806" s="115"/>
      <c r="BF1806" s="115"/>
      <c r="BG1806" s="115"/>
      <c r="BH1806" s="115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26"/>
      <c r="BS1806" s="15"/>
    </row>
    <row r="1807" spans="1:71" x14ac:dyDescent="0.4">
      <c r="BR1807" s="26"/>
      <c r="BS1807" s="15"/>
    </row>
    <row r="1808" spans="1:71" x14ac:dyDescent="0.4">
      <c r="AT1808" s="115"/>
      <c r="AU1808" s="115"/>
      <c r="AV1808" s="115"/>
      <c r="AW1808" s="115"/>
      <c r="AX1808" s="115"/>
      <c r="AY1808" s="115"/>
      <c r="AZ1808" s="115"/>
      <c r="BA1808" s="122"/>
      <c r="BB1808" s="122"/>
      <c r="BC1808" s="122"/>
      <c r="BD1808" s="115"/>
      <c r="BE1808" s="115"/>
      <c r="BF1808" s="115"/>
      <c r="BG1808" s="115"/>
      <c r="BH1808" s="115"/>
      <c r="BI1808" s="115"/>
      <c r="BJ1808" s="115"/>
      <c r="BK1808" s="115"/>
      <c r="BL1808" s="115"/>
      <c r="BM1808" s="115"/>
      <c r="BN1808" s="115"/>
      <c r="BO1808" s="115"/>
      <c r="BP1808" s="115"/>
      <c r="BQ1808" s="115"/>
      <c r="BR1808" s="17"/>
      <c r="BS1808" s="15"/>
    </row>
    <row r="1809" spans="1:71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22"/>
      <c r="BB1809" s="122"/>
      <c r="BC1809" s="122"/>
      <c r="BD1809" s="115"/>
      <c r="BE1809" s="115"/>
      <c r="BF1809" s="115"/>
      <c r="BG1809" s="115"/>
      <c r="BH1809" s="115"/>
      <c r="BI1809" s="115"/>
      <c r="BJ1809" s="115"/>
      <c r="BK1809" s="115"/>
      <c r="BL1809" s="115"/>
      <c r="BM1809" s="115"/>
      <c r="BN1809" s="115"/>
      <c r="BO1809" s="115"/>
      <c r="BP1809" s="115"/>
      <c r="BQ1809" s="115"/>
      <c r="BR1809" s="26"/>
      <c r="BS1809" s="15"/>
    </row>
    <row r="1810" spans="1:71" x14ac:dyDescent="0.4">
      <c r="BR1810" s="26"/>
      <c r="BS1810" s="15"/>
    </row>
    <row r="1811" spans="1:71" x14ac:dyDescent="0.4">
      <c r="AT1811" s="115"/>
      <c r="AU1811" s="115"/>
      <c r="AV1811" s="115"/>
      <c r="AW1811" s="115"/>
      <c r="AX1811" s="115"/>
      <c r="AY1811" s="115"/>
      <c r="AZ1811" s="115"/>
      <c r="BA1811" s="122"/>
      <c r="BB1811" s="122"/>
      <c r="BC1811" s="122"/>
      <c r="BD1811" s="115"/>
      <c r="BE1811" s="115"/>
      <c r="BF1811" s="115"/>
      <c r="BG1811" s="115"/>
      <c r="BH1811" s="115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7"/>
      <c r="BS1811" s="15"/>
    </row>
    <row r="1812" spans="1:71" x14ac:dyDescent="0.4">
      <c r="BR1812" s="26"/>
      <c r="BS1812" s="15"/>
    </row>
    <row r="1813" spans="1:71" x14ac:dyDescent="0.4">
      <c r="B1813" s="115"/>
      <c r="C1813" s="115"/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22"/>
      <c r="BB1813" s="122"/>
      <c r="BC1813" s="122"/>
      <c r="BD1813" s="115"/>
      <c r="BE1813" s="115"/>
      <c r="BF1813" s="115"/>
      <c r="BG1813" s="115"/>
      <c r="BH1813" s="115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26"/>
      <c r="BS1813" s="15"/>
    </row>
    <row r="1814" spans="1:71" x14ac:dyDescent="0.4">
      <c r="A1814" s="115"/>
      <c r="B1814" s="115"/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22"/>
      <c r="BB1814" s="122"/>
      <c r="BC1814" s="122"/>
      <c r="BD1814" s="115"/>
      <c r="BE1814" s="115"/>
      <c r="BF1814" s="115"/>
      <c r="BG1814" s="115"/>
      <c r="BH1814" s="115"/>
      <c r="BI1814" s="115"/>
      <c r="BJ1814" s="115"/>
      <c r="BK1814" s="115"/>
      <c r="BL1814" s="115"/>
      <c r="BM1814" s="115"/>
      <c r="BN1814" s="115"/>
      <c r="BO1814" s="115"/>
      <c r="BP1814" s="115"/>
      <c r="BQ1814" s="115"/>
      <c r="BR1814" s="26"/>
      <c r="BS1814" s="15"/>
    </row>
    <row r="1815" spans="1:71" x14ac:dyDescent="0.4">
      <c r="A1815" s="115"/>
      <c r="B1815" s="115"/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22"/>
      <c r="BB1815" s="122"/>
      <c r="BC1815" s="122"/>
      <c r="BD1815" s="115"/>
      <c r="BE1815" s="115"/>
      <c r="BF1815" s="115"/>
      <c r="BG1815" s="115"/>
      <c r="BH1815" s="115"/>
      <c r="BI1815" s="115"/>
      <c r="BJ1815" s="115"/>
      <c r="BK1815" s="115"/>
      <c r="BL1815" s="115"/>
      <c r="BM1815" s="115"/>
      <c r="BN1815" s="115"/>
      <c r="BO1815" s="115"/>
      <c r="BP1815" s="115"/>
      <c r="BQ1815" s="115"/>
      <c r="BR1815" s="26"/>
      <c r="BS1815" s="15"/>
    </row>
    <row r="1816" spans="1:71" x14ac:dyDescent="0.4">
      <c r="BR1816" s="26"/>
      <c r="BS1816" s="15"/>
    </row>
    <row r="1817" spans="1:71" x14ac:dyDescent="0.4">
      <c r="B1817" s="115"/>
      <c r="C1817" s="115"/>
      <c r="D1817" s="115"/>
      <c r="E1817" s="115"/>
      <c r="F1817" s="115"/>
      <c r="G1817" s="115"/>
      <c r="H1817" s="115"/>
      <c r="I1817" s="115"/>
      <c r="J1817" s="115"/>
      <c r="K1817" s="115"/>
      <c r="L1817" s="115"/>
      <c r="M1817" s="115"/>
      <c r="N1817" s="115"/>
      <c r="O1817" s="115"/>
      <c r="P1817" s="115"/>
      <c r="Q1817" s="115"/>
      <c r="R1817" s="115"/>
      <c r="S1817" s="115"/>
      <c r="T1817" s="115"/>
      <c r="U1817" s="115"/>
      <c r="V1817" s="115"/>
      <c r="W1817" s="115"/>
      <c r="X1817" s="115"/>
      <c r="Y1817" s="115"/>
      <c r="Z1817" s="115"/>
      <c r="AA1817" s="115"/>
      <c r="AB1817" s="115"/>
      <c r="AC1817" s="115"/>
      <c r="AD1817" s="115"/>
      <c r="AE1817" s="115"/>
      <c r="AF1817" s="115"/>
      <c r="AG1817" s="115"/>
      <c r="AH1817" s="115"/>
      <c r="AI1817" s="115"/>
      <c r="AJ1817" s="115"/>
      <c r="AK1817" s="115"/>
      <c r="AL1817" s="115"/>
      <c r="AM1817" s="115"/>
      <c r="AN1817" s="115"/>
      <c r="AO1817" s="115"/>
      <c r="AP1817" s="115"/>
      <c r="AQ1817" s="115"/>
      <c r="AR1817" s="115"/>
      <c r="AS1817" s="115"/>
      <c r="AT1817" s="115"/>
      <c r="AU1817" s="115"/>
      <c r="AV1817" s="115"/>
      <c r="AW1817" s="115"/>
      <c r="AX1817" s="115"/>
      <c r="AY1817" s="115"/>
      <c r="AZ1817" s="115"/>
      <c r="BA1817" s="122"/>
      <c r="BB1817" s="122"/>
      <c r="BC1817" s="122"/>
      <c r="BD1817" s="115"/>
      <c r="BE1817" s="115"/>
      <c r="BF1817" s="115"/>
      <c r="BG1817" s="115"/>
      <c r="BH1817" s="115"/>
      <c r="BI1817" s="115"/>
      <c r="BJ1817" s="115"/>
      <c r="BK1817" s="115"/>
      <c r="BL1817" s="115"/>
      <c r="BM1817" s="115"/>
      <c r="BN1817" s="115"/>
      <c r="BO1817" s="115"/>
      <c r="BP1817" s="115"/>
      <c r="BQ1817" s="115"/>
      <c r="BR1817" s="26"/>
      <c r="BS1817" s="15"/>
    </row>
    <row r="1818" spans="1:71" x14ac:dyDescent="0.4">
      <c r="BR1818" s="26"/>
      <c r="BS1818" s="15"/>
    </row>
    <row r="1819" spans="1:71" x14ac:dyDescent="0.4">
      <c r="B1819" s="115"/>
      <c r="C1819" s="115"/>
      <c r="D1819" s="115"/>
      <c r="E1819" s="115"/>
      <c r="F1819" s="115"/>
      <c r="G1819" s="115"/>
      <c r="H1819" s="115"/>
      <c r="I1819" s="115"/>
      <c r="J1819" s="115"/>
      <c r="K1819" s="115"/>
      <c r="L1819" s="115"/>
      <c r="M1819" s="115"/>
      <c r="N1819" s="115"/>
      <c r="O1819" s="115"/>
      <c r="P1819" s="115"/>
      <c r="Q1819" s="115"/>
      <c r="R1819" s="115"/>
      <c r="S1819" s="115"/>
      <c r="T1819" s="115"/>
      <c r="U1819" s="115"/>
      <c r="V1819" s="115"/>
      <c r="W1819" s="115"/>
      <c r="X1819" s="115"/>
      <c r="Y1819" s="115"/>
      <c r="Z1819" s="115"/>
      <c r="AA1819" s="115"/>
      <c r="AB1819" s="115"/>
      <c r="AC1819" s="115"/>
      <c r="AD1819" s="115"/>
      <c r="AE1819" s="115"/>
      <c r="AF1819" s="115"/>
      <c r="AG1819" s="115"/>
      <c r="AH1819" s="115"/>
      <c r="AI1819" s="115"/>
      <c r="AJ1819" s="115"/>
      <c r="AK1819" s="115"/>
      <c r="AL1819" s="115"/>
      <c r="AM1819" s="115"/>
      <c r="AN1819" s="115"/>
      <c r="AO1819" s="115"/>
      <c r="AP1819" s="115"/>
      <c r="AQ1819" s="115"/>
      <c r="AR1819" s="115"/>
      <c r="AS1819" s="115"/>
      <c r="AT1819" s="115"/>
      <c r="AU1819" s="115"/>
      <c r="AV1819" s="115"/>
      <c r="AW1819" s="115"/>
      <c r="AX1819" s="115"/>
      <c r="AY1819" s="115"/>
      <c r="AZ1819" s="115"/>
      <c r="BA1819" s="122"/>
      <c r="BB1819" s="122"/>
      <c r="BC1819" s="122"/>
      <c r="BD1819" s="115"/>
      <c r="BE1819" s="115"/>
      <c r="BF1819" s="115"/>
      <c r="BG1819" s="115"/>
      <c r="BH1819" s="115"/>
      <c r="BI1819" s="115"/>
      <c r="BJ1819" s="115"/>
      <c r="BK1819" s="115"/>
      <c r="BL1819" s="115"/>
      <c r="BM1819" s="115"/>
      <c r="BN1819" s="115"/>
      <c r="BO1819" s="115"/>
      <c r="BP1819" s="115"/>
      <c r="BQ1819" s="115"/>
      <c r="BR1819" s="26"/>
      <c r="BS1819" s="15"/>
    </row>
    <row r="1820" spans="1:71" x14ac:dyDescent="0.4">
      <c r="BR1820" s="26"/>
      <c r="BS1820" s="15"/>
    </row>
    <row r="1821" spans="1:71" x14ac:dyDescent="0.4">
      <c r="BR1821" s="26"/>
      <c r="BS1821" s="15"/>
    </row>
    <row r="1822" spans="1:71" x14ac:dyDescent="0.4">
      <c r="BR1822" s="26"/>
      <c r="BS1822" s="15"/>
    </row>
    <row r="1823" spans="1:71" x14ac:dyDescent="0.4">
      <c r="BR1823" s="26"/>
      <c r="BS1823" s="15"/>
    </row>
    <row r="1824" spans="1:71" x14ac:dyDescent="0.4">
      <c r="BR1824" s="26"/>
      <c r="BS1824" s="15"/>
    </row>
    <row r="1825" spans="1:71" x14ac:dyDescent="0.4">
      <c r="BR1825" s="26"/>
      <c r="BS1825" s="15"/>
    </row>
    <row r="1826" spans="1:71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22"/>
      <c r="BB1826" s="122"/>
      <c r="BC1826" s="122"/>
      <c r="BD1826" s="115"/>
      <c r="BE1826" s="115"/>
      <c r="BF1826" s="115"/>
      <c r="BG1826" s="115"/>
      <c r="BH1826" s="115"/>
      <c r="BI1826" s="115"/>
      <c r="BJ1826" s="115"/>
      <c r="BK1826" s="115"/>
      <c r="BL1826" s="115"/>
      <c r="BM1826" s="115"/>
      <c r="BN1826" s="115"/>
      <c r="BO1826" s="115"/>
      <c r="BP1826" s="115"/>
      <c r="BQ1826" s="115"/>
      <c r="BR1826" s="26"/>
      <c r="BS1826" s="15"/>
    </row>
    <row r="1827" spans="1:71" x14ac:dyDescent="0.4">
      <c r="BR1827" s="26"/>
      <c r="BS1827" s="15"/>
    </row>
    <row r="1828" spans="1:71" x14ac:dyDescent="0.4">
      <c r="BR1828" s="26"/>
      <c r="BS1828" s="15"/>
    </row>
    <row r="1829" spans="1:71" x14ac:dyDescent="0.4">
      <c r="BR1829" s="26"/>
      <c r="BS1829" s="15"/>
    </row>
    <row r="1830" spans="1:71" x14ac:dyDescent="0.4">
      <c r="BR1830" s="26"/>
      <c r="BS1830" s="15"/>
    </row>
    <row r="1831" spans="1:71" x14ac:dyDescent="0.4">
      <c r="BR1831" s="26"/>
      <c r="BS1831" s="15"/>
    </row>
    <row r="1832" spans="1:71" x14ac:dyDescent="0.4">
      <c r="AT1832" s="115"/>
      <c r="AU1832" s="115"/>
      <c r="AV1832" s="115"/>
      <c r="AW1832" s="115"/>
      <c r="AX1832" s="115"/>
      <c r="AY1832" s="115"/>
      <c r="AZ1832" s="115"/>
      <c r="BA1832" s="122"/>
      <c r="BB1832" s="122"/>
      <c r="BC1832" s="122"/>
      <c r="BD1832" s="115"/>
      <c r="BE1832" s="115"/>
      <c r="BF1832" s="115"/>
      <c r="BG1832" s="115"/>
      <c r="BH1832" s="115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7"/>
      <c r="BS1832" s="15"/>
    </row>
    <row r="1833" spans="1:71" x14ac:dyDescent="0.4">
      <c r="AT1833" s="115"/>
      <c r="AU1833" s="115"/>
      <c r="AV1833" s="115"/>
      <c r="AW1833" s="115"/>
      <c r="AX1833" s="115"/>
      <c r="AY1833" s="115"/>
      <c r="AZ1833" s="115"/>
      <c r="BA1833" s="122"/>
      <c r="BB1833" s="122"/>
      <c r="BC1833" s="122"/>
      <c r="BD1833" s="115"/>
      <c r="BE1833" s="115"/>
      <c r="BF1833" s="115"/>
      <c r="BG1833" s="115"/>
      <c r="BH1833" s="115"/>
      <c r="BI1833" s="115"/>
      <c r="BJ1833" s="115"/>
      <c r="BK1833" s="115"/>
      <c r="BL1833" s="115"/>
      <c r="BM1833" s="115"/>
      <c r="BN1833" s="115"/>
      <c r="BO1833" s="115"/>
      <c r="BP1833" s="115"/>
      <c r="BQ1833" s="115"/>
      <c r="BR1833" s="17"/>
      <c r="BS1833" s="15"/>
    </row>
    <row r="1834" spans="1:71" x14ac:dyDescent="0.4">
      <c r="BR1834" s="26"/>
      <c r="BS1834" s="15"/>
    </row>
    <row r="1835" spans="1:71" x14ac:dyDescent="0.4">
      <c r="BR1835" s="26"/>
      <c r="BS1835" s="15"/>
    </row>
    <row r="1836" spans="1:71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22"/>
      <c r="BB1836" s="122"/>
      <c r="BC1836" s="122"/>
      <c r="BD1836" s="115"/>
      <c r="BE1836" s="115"/>
      <c r="BF1836" s="115"/>
      <c r="BG1836" s="115"/>
      <c r="BH1836" s="115"/>
      <c r="BI1836" s="115"/>
      <c r="BJ1836" s="115"/>
      <c r="BK1836" s="115"/>
      <c r="BL1836" s="115"/>
      <c r="BM1836" s="115"/>
      <c r="BN1836" s="115"/>
      <c r="BO1836" s="115"/>
      <c r="BP1836" s="115"/>
      <c r="BQ1836" s="115"/>
      <c r="BR1836" s="26"/>
      <c r="BS1836" s="15"/>
    </row>
    <row r="1837" spans="1:71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22"/>
      <c r="BB1837" s="122"/>
      <c r="BC1837" s="122"/>
      <c r="BD1837" s="115"/>
      <c r="BE1837" s="115"/>
      <c r="BF1837" s="115"/>
      <c r="BG1837" s="115"/>
      <c r="BH1837" s="115"/>
      <c r="BI1837" s="115"/>
      <c r="BJ1837" s="115"/>
      <c r="BK1837" s="115"/>
      <c r="BL1837" s="115"/>
      <c r="BM1837" s="115"/>
      <c r="BN1837" s="115"/>
      <c r="BO1837" s="115"/>
      <c r="BP1837" s="115"/>
      <c r="BQ1837" s="115"/>
      <c r="BR1837" s="26"/>
      <c r="BS1837" s="13"/>
    </row>
    <row r="1838" spans="1:71" x14ac:dyDescent="0.4">
      <c r="BR1838" s="26"/>
      <c r="BS1838" s="15"/>
    </row>
    <row r="1839" spans="1:71" x14ac:dyDescent="0.4"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22"/>
      <c r="BB1839" s="122"/>
      <c r="BC1839" s="122"/>
      <c r="BD1839" s="115"/>
      <c r="BE1839" s="115"/>
      <c r="BF1839" s="115"/>
      <c r="BG1839" s="115"/>
      <c r="BH1839" s="115"/>
      <c r="BI1839" s="115"/>
      <c r="BJ1839" s="115"/>
      <c r="BK1839" s="115"/>
      <c r="BL1839" s="115"/>
      <c r="BM1839" s="115"/>
      <c r="BN1839" s="115"/>
      <c r="BO1839" s="115"/>
      <c r="BP1839" s="115"/>
      <c r="BQ1839" s="115"/>
      <c r="BR1839" s="26"/>
      <c r="BS1839" s="15"/>
    </row>
    <row r="1840" spans="1:71" x14ac:dyDescent="0.4">
      <c r="BR1840" s="26"/>
      <c r="BS1840" s="15"/>
    </row>
    <row r="1841" spans="1:71" x14ac:dyDescent="0.4">
      <c r="BR1841" s="26"/>
      <c r="BS1841" s="15"/>
    </row>
    <row r="1842" spans="1:71" x14ac:dyDescent="0.4">
      <c r="A1842" s="115"/>
      <c r="B1842" s="115"/>
      <c r="C1842" s="115"/>
      <c r="D1842" s="115"/>
      <c r="E1842" s="115"/>
      <c r="F1842" s="115"/>
      <c r="G1842" s="115"/>
      <c r="H1842" s="115"/>
      <c r="I1842" s="115"/>
      <c r="J1842" s="115"/>
      <c r="K1842" s="115"/>
      <c r="L1842" s="115"/>
      <c r="M1842" s="115"/>
      <c r="N1842" s="115"/>
      <c r="O1842" s="115"/>
      <c r="P1842" s="115"/>
      <c r="Q1842" s="115"/>
      <c r="R1842" s="115"/>
      <c r="S1842" s="115"/>
      <c r="T1842" s="115"/>
      <c r="U1842" s="115"/>
      <c r="V1842" s="115"/>
      <c r="W1842" s="115"/>
      <c r="X1842" s="115"/>
      <c r="Y1842" s="115"/>
      <c r="Z1842" s="115"/>
      <c r="AA1842" s="115"/>
      <c r="AB1842" s="115"/>
      <c r="AC1842" s="115"/>
      <c r="AD1842" s="115"/>
      <c r="AE1842" s="115"/>
      <c r="AF1842" s="115"/>
      <c r="AG1842" s="115"/>
      <c r="AH1842" s="115"/>
      <c r="AI1842" s="115"/>
      <c r="AJ1842" s="115"/>
      <c r="AK1842" s="115"/>
      <c r="AL1842" s="115"/>
      <c r="AM1842" s="115"/>
      <c r="AN1842" s="115"/>
      <c r="AO1842" s="115"/>
      <c r="AP1842" s="115"/>
      <c r="AQ1842" s="115"/>
      <c r="AR1842" s="115"/>
      <c r="AS1842" s="115"/>
      <c r="AT1842" s="115"/>
      <c r="AU1842" s="115"/>
      <c r="AV1842" s="115"/>
      <c r="AW1842" s="115"/>
      <c r="AX1842" s="115"/>
      <c r="AY1842" s="115"/>
      <c r="AZ1842" s="115"/>
      <c r="BA1842" s="122"/>
      <c r="BB1842" s="122"/>
      <c r="BC1842" s="122"/>
      <c r="BD1842" s="115"/>
      <c r="BE1842" s="115"/>
      <c r="BF1842" s="115"/>
      <c r="BG1842" s="115"/>
      <c r="BH1842" s="115"/>
      <c r="BI1842" s="115"/>
      <c r="BJ1842" s="115"/>
      <c r="BK1842" s="115"/>
      <c r="BL1842" s="115"/>
      <c r="BM1842" s="115"/>
      <c r="BN1842" s="115"/>
      <c r="BO1842" s="115"/>
      <c r="BP1842" s="115"/>
      <c r="BQ1842" s="115"/>
      <c r="BR1842" s="26"/>
      <c r="BS1842" s="15"/>
    </row>
    <row r="1843" spans="1:71" x14ac:dyDescent="0.4">
      <c r="BR1843" s="26"/>
      <c r="BS1843" s="13"/>
    </row>
    <row r="1844" spans="1:71" x14ac:dyDescent="0.4">
      <c r="BR1844" s="26"/>
      <c r="BS1844" s="13"/>
    </row>
    <row r="1845" spans="1:71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22"/>
      <c r="BB1845" s="122"/>
      <c r="BC1845" s="122"/>
      <c r="BD1845" s="115"/>
      <c r="BE1845" s="115"/>
      <c r="BF1845" s="115"/>
      <c r="BG1845" s="115"/>
      <c r="BH1845" s="115"/>
      <c r="BI1845" s="115"/>
      <c r="BJ1845" s="115"/>
      <c r="BK1845" s="115"/>
      <c r="BL1845" s="115"/>
      <c r="BM1845" s="115"/>
      <c r="BN1845" s="115"/>
      <c r="BO1845" s="115"/>
      <c r="BP1845" s="115"/>
      <c r="BQ1845" s="115"/>
      <c r="BR1845" s="26"/>
      <c r="BS1845" s="13"/>
    </row>
    <row r="1846" spans="1:71" x14ac:dyDescent="0.4">
      <c r="BR1846" s="26"/>
      <c r="BS1846" s="13"/>
    </row>
    <row r="1847" spans="1:71" x14ac:dyDescent="0.4">
      <c r="BR1847" s="26"/>
      <c r="BS1847" s="13"/>
    </row>
    <row r="1848" spans="1:71" x14ac:dyDescent="0.4">
      <c r="BR1848" s="26"/>
      <c r="BS1848" s="13"/>
    </row>
    <row r="1849" spans="1:71" x14ac:dyDescent="0.4">
      <c r="BR1849" s="26"/>
      <c r="BS1849" s="13"/>
    </row>
    <row r="1850" spans="1:71" x14ac:dyDescent="0.4">
      <c r="BR1850" s="26"/>
      <c r="BS1850" s="13"/>
    </row>
    <row r="1851" spans="1:71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22"/>
      <c r="BB1851" s="122"/>
      <c r="BC1851" s="122"/>
      <c r="BD1851" s="115"/>
      <c r="BE1851" s="115"/>
      <c r="BF1851" s="115"/>
      <c r="BG1851" s="115"/>
      <c r="BH1851" s="115"/>
      <c r="BI1851" s="115"/>
      <c r="BJ1851" s="115"/>
      <c r="BK1851" s="115"/>
      <c r="BL1851" s="115"/>
      <c r="BM1851" s="115"/>
      <c r="BN1851" s="115"/>
      <c r="BO1851" s="115"/>
      <c r="BP1851" s="115"/>
      <c r="BQ1851" s="115"/>
      <c r="BR1851" s="26"/>
      <c r="BS1851" s="25"/>
    </row>
    <row r="1852" spans="1:71" x14ac:dyDescent="0.4">
      <c r="BR1852" s="26"/>
      <c r="BS1852" s="13"/>
    </row>
    <row r="1853" spans="1:71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22"/>
      <c r="BB1853" s="122"/>
      <c r="BC1853" s="122"/>
      <c r="BD1853" s="115"/>
      <c r="BE1853" s="115"/>
      <c r="BF1853" s="115"/>
      <c r="BG1853" s="115"/>
      <c r="BH1853" s="115"/>
      <c r="BI1853" s="115"/>
      <c r="BJ1853" s="115"/>
      <c r="BK1853" s="115"/>
      <c r="BL1853" s="115"/>
      <c r="BM1853" s="115"/>
      <c r="BN1853" s="115"/>
      <c r="BO1853" s="115"/>
      <c r="BP1853" s="115"/>
      <c r="BQ1853" s="115"/>
      <c r="BR1853" s="26"/>
      <c r="BS1853" s="13"/>
    </row>
    <row r="1854" spans="1:71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22"/>
      <c r="BB1854" s="122"/>
      <c r="BC1854" s="122"/>
      <c r="BD1854" s="115"/>
      <c r="BE1854" s="115"/>
      <c r="BF1854" s="115"/>
      <c r="BG1854" s="115"/>
      <c r="BH1854" s="115"/>
      <c r="BI1854" s="115"/>
      <c r="BJ1854" s="115"/>
      <c r="BK1854" s="115"/>
      <c r="BL1854" s="115"/>
      <c r="BM1854" s="115"/>
      <c r="BN1854" s="115"/>
      <c r="BO1854" s="115"/>
      <c r="BP1854" s="115"/>
      <c r="BQ1854" s="115"/>
      <c r="BR1854" s="26"/>
      <c r="BS1854" s="13"/>
    </row>
    <row r="1855" spans="1:71" x14ac:dyDescent="0.4">
      <c r="BR1855" s="26"/>
      <c r="BS1855" s="15"/>
    </row>
    <row r="1856" spans="1:71" x14ac:dyDescent="0.4">
      <c r="BR1856" s="26"/>
      <c r="BS1856" s="15"/>
    </row>
    <row r="1857" spans="2:71" x14ac:dyDescent="0.4">
      <c r="BR1857" s="26"/>
      <c r="BS1857" s="15"/>
    </row>
    <row r="1858" spans="2:71" x14ac:dyDescent="0.4">
      <c r="BR1858" s="26"/>
      <c r="BS1858" s="13"/>
    </row>
    <row r="1859" spans="2:71" x14ac:dyDescent="0.4">
      <c r="BR1859" s="26"/>
      <c r="BS1859" s="15"/>
    </row>
    <row r="1860" spans="2:71" x14ac:dyDescent="0.4">
      <c r="B1860" s="115"/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22"/>
      <c r="BB1860" s="122"/>
      <c r="BC1860" s="122"/>
      <c r="BD1860" s="115"/>
      <c r="BE1860" s="115"/>
      <c r="BF1860" s="115"/>
      <c r="BG1860" s="115"/>
      <c r="BH1860" s="115"/>
      <c r="BI1860" s="115"/>
      <c r="BJ1860" s="115"/>
      <c r="BK1860" s="115"/>
      <c r="BL1860" s="115"/>
      <c r="BM1860" s="115"/>
      <c r="BN1860" s="115"/>
      <c r="BO1860" s="115"/>
      <c r="BP1860" s="115"/>
      <c r="BQ1860" s="115"/>
      <c r="BR1860" s="17"/>
      <c r="BS1860" s="15"/>
    </row>
    <row r="1861" spans="2:71" x14ac:dyDescent="0.4">
      <c r="BR1861" s="26"/>
      <c r="BS1861" s="15"/>
    </row>
    <row r="1862" spans="2:71" x14ac:dyDescent="0.4"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22"/>
      <c r="BB1862" s="122"/>
      <c r="BC1862" s="122"/>
      <c r="BD1862" s="115"/>
      <c r="BE1862" s="115"/>
      <c r="BF1862" s="115"/>
      <c r="BG1862" s="115"/>
      <c r="BH1862" s="115"/>
      <c r="BI1862" s="115"/>
      <c r="BJ1862" s="115"/>
      <c r="BK1862" s="115"/>
      <c r="BL1862" s="115"/>
      <c r="BM1862" s="115"/>
      <c r="BN1862" s="115"/>
      <c r="BO1862" s="115"/>
      <c r="BP1862" s="115"/>
      <c r="BQ1862" s="115"/>
      <c r="BR1862" s="17"/>
      <c r="BS1862" s="15"/>
    </row>
    <row r="1863" spans="2:71" x14ac:dyDescent="0.4">
      <c r="BR1863" s="26"/>
      <c r="BS1863" s="15"/>
    </row>
    <row r="1864" spans="2:71" x14ac:dyDescent="0.4">
      <c r="BR1864" s="26"/>
      <c r="BS1864" s="15"/>
    </row>
    <row r="1865" spans="2:71" x14ac:dyDescent="0.4"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22"/>
      <c r="BB1865" s="122"/>
      <c r="BC1865" s="122"/>
      <c r="BD1865" s="115"/>
      <c r="BE1865" s="115"/>
      <c r="BF1865" s="115"/>
      <c r="BG1865" s="115"/>
      <c r="BH1865" s="115"/>
      <c r="BI1865" s="115"/>
      <c r="BJ1865" s="115"/>
      <c r="BK1865" s="115"/>
      <c r="BL1865" s="115"/>
      <c r="BM1865" s="115"/>
      <c r="BN1865" s="115"/>
      <c r="BO1865" s="115"/>
      <c r="BP1865" s="115"/>
      <c r="BQ1865" s="115"/>
      <c r="BR1865" s="17"/>
      <c r="BS1865" s="15"/>
    </row>
    <row r="1866" spans="2:71" x14ac:dyDescent="0.4">
      <c r="BR1866" s="26"/>
      <c r="BS1866" s="15"/>
    </row>
    <row r="1867" spans="2:71" x14ac:dyDescent="0.4">
      <c r="BR1867" s="26"/>
      <c r="BS1867" s="15"/>
    </row>
    <row r="1868" spans="2:71" x14ac:dyDescent="0.4">
      <c r="BR1868" s="26"/>
      <c r="BS1868" s="105"/>
    </row>
    <row r="1869" spans="2:71" x14ac:dyDescent="0.4">
      <c r="BR1869" s="26"/>
      <c r="BS1869" s="15"/>
    </row>
    <row r="1870" spans="2:71" x14ac:dyDescent="0.4">
      <c r="BR1870" s="26"/>
      <c r="BS1870" s="15"/>
    </row>
    <row r="1871" spans="2:71" x14ac:dyDescent="0.4">
      <c r="BR1871" s="26"/>
      <c r="BS1871" s="15"/>
    </row>
    <row r="1872" spans="2:71" x14ac:dyDescent="0.4">
      <c r="BR1872" s="26"/>
      <c r="BS1872" s="15"/>
    </row>
    <row r="1873" spans="2:71" x14ac:dyDescent="0.4">
      <c r="BR1873" s="26"/>
      <c r="BS1873" s="15"/>
    </row>
    <row r="1874" spans="2:71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22"/>
      <c r="BB1874" s="122"/>
      <c r="BC1874" s="122"/>
      <c r="BD1874" s="115"/>
      <c r="BE1874" s="115"/>
      <c r="BF1874" s="115"/>
      <c r="BG1874" s="115"/>
      <c r="BH1874" s="115"/>
      <c r="BI1874" s="115"/>
      <c r="BJ1874" s="115"/>
      <c r="BK1874" s="115"/>
      <c r="BL1874" s="115"/>
      <c r="BM1874" s="115"/>
      <c r="BN1874" s="115"/>
      <c r="BO1874" s="115"/>
      <c r="BP1874" s="115"/>
      <c r="BQ1874" s="115"/>
      <c r="BR1874" s="119"/>
      <c r="BS1874" s="119"/>
    </row>
    <row r="1875" spans="2:71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22"/>
      <c r="BB1875" s="122"/>
      <c r="BC1875" s="122"/>
      <c r="BD1875" s="115"/>
      <c r="BE1875" s="115"/>
      <c r="BF1875" s="115"/>
      <c r="BG1875" s="115"/>
      <c r="BH1875" s="115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9"/>
      <c r="BS1875" s="119"/>
    </row>
  </sheetData>
  <sortState xmlns:xlrd2="http://schemas.microsoft.com/office/spreadsheetml/2017/richdata2" ref="S2:T101">
    <sortCondition ref="S2:S101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2025-12-16T07:06:12Z</cp:lastPrinted>
  <dcterms:created xsi:type="dcterms:W3CDTF">2020-05-08T06:29:04Z</dcterms:created>
  <dcterms:modified xsi:type="dcterms:W3CDTF">2025-12-17T01:13:41Z</dcterms:modified>
</cp:coreProperties>
</file>