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B20F3C55-9B51-4553-9ADD-1B9780558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33" i="3"/>
  <c r="C33" i="3"/>
  <c r="B33" i="3"/>
  <c r="K220" i="3"/>
  <c r="L219" i="3"/>
  <c r="K219" i="3"/>
  <c r="L217" i="3"/>
  <c r="K217" i="3"/>
  <c r="L212" i="3"/>
  <c r="K212" i="3"/>
  <c r="L210" i="3"/>
  <c r="K210" i="3"/>
  <c r="L207" i="3"/>
  <c r="K207" i="3"/>
  <c r="L202" i="3"/>
  <c r="K202" i="3"/>
  <c r="L200" i="3"/>
  <c r="K200" i="3"/>
  <c r="L198" i="3"/>
  <c r="K198" i="3"/>
  <c r="L194" i="3"/>
  <c r="K194" i="3"/>
  <c r="L192" i="3"/>
  <c r="K192" i="3"/>
  <c r="L185" i="3"/>
  <c r="K185" i="3"/>
  <c r="L170" i="3"/>
  <c r="K170" i="3"/>
  <c r="L165" i="3"/>
  <c r="K165" i="3"/>
  <c r="L139" i="3"/>
  <c r="K139" i="3"/>
  <c r="L137" i="3"/>
  <c r="K137" i="3"/>
  <c r="L121" i="3"/>
  <c r="K121" i="3"/>
  <c r="L116" i="3"/>
  <c r="K116" i="3"/>
  <c r="L86" i="3"/>
  <c r="K86" i="3"/>
  <c r="L73" i="3"/>
  <c r="K73" i="3"/>
  <c r="L59" i="3"/>
  <c r="K59" i="3"/>
  <c r="L56" i="3"/>
  <c r="K56" i="3"/>
  <c r="L53" i="3"/>
  <c r="K53" i="3"/>
  <c r="L31" i="3"/>
  <c r="K31" i="3"/>
  <c r="L28" i="3"/>
  <c r="K28" i="3"/>
  <c r="L23" i="3"/>
  <c r="K23" i="3"/>
  <c r="L13" i="3"/>
  <c r="K13" i="3"/>
  <c r="L10" i="3"/>
  <c r="K10" i="3"/>
  <c r="L7" i="3"/>
  <c r="K7" i="3"/>
  <c r="L5" i="3"/>
  <c r="K5" i="3"/>
  <c r="L3" i="3"/>
  <c r="L220" i="3" s="1"/>
  <c r="K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J311" i="3"/>
  <c r="AI311" i="3"/>
  <c r="AJ306" i="3"/>
  <c r="AI306" i="3"/>
  <c r="AJ304" i="3"/>
  <c r="AI304" i="3"/>
  <c r="AJ290" i="3"/>
  <c r="AI290" i="3"/>
  <c r="AJ272" i="3"/>
  <c r="AI272" i="3"/>
  <c r="AJ261" i="3"/>
  <c r="AI261" i="3"/>
  <c r="AJ227" i="3"/>
  <c r="AI227" i="3"/>
  <c r="AJ214" i="3"/>
  <c r="AI214" i="3"/>
  <c r="AJ176" i="3"/>
  <c r="AI176" i="3"/>
  <c r="AJ167" i="3"/>
  <c r="AI167" i="3"/>
  <c r="AJ153" i="3"/>
  <c r="AI153" i="3"/>
  <c r="AJ120" i="3"/>
  <c r="AI120" i="3"/>
  <c r="AJ87" i="3"/>
  <c r="AI87" i="3"/>
  <c r="AJ81" i="3"/>
  <c r="AI81" i="3"/>
  <c r="AJ68" i="3"/>
  <c r="AI68" i="3"/>
  <c r="AJ64" i="3"/>
  <c r="AI64" i="3"/>
  <c r="AJ55" i="3"/>
  <c r="AI55" i="3"/>
  <c r="AJ50" i="3"/>
  <c r="AI50" i="3"/>
  <c r="AJ43" i="3"/>
  <c r="AI43" i="3"/>
  <c r="AJ35" i="3"/>
  <c r="AI35" i="3"/>
  <c r="AJ32" i="3"/>
  <c r="AI32" i="3"/>
  <c r="AJ16" i="3"/>
  <c r="AI16" i="3"/>
  <c r="B61" i="1"/>
  <c r="A241" i="1"/>
  <c r="A151" i="1"/>
  <c r="AB43" i="1"/>
  <c r="AI312" i="3" l="1"/>
  <c r="AJ31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<sst xmlns="http://schemas.openxmlformats.org/spreadsheetml/2006/main" count="2761" uniqueCount="428">
  <si>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</si>
  <si>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</si>
  <si>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</si>
  <si>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</si>
  <si>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</si>
  <si>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</si>
  <si>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</si>
  <si>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</si>
  <si>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</si>
  <si>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</si>
  <si>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</si>
  <si>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</si>
  <si>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</si>
  <si>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</si>
  <si>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</si>
  <si>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</si>
  <si>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</si>
  <si>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</si>
  <si>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</si>
  <si>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</si>
  <si>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</si>
  <si>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</si>
  <si>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</si>
  <si>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</si>
  <si>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</si>
  <si>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</si>
  <si>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</si>
  <si>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</si>
  <si>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</si>
  <si>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</si>
  <si>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</si>
  <si>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</si>
  <si>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</si>
  <si>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</si>
  <si>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</si>
  <si>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</si>
  <si>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</si>
  <si>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</si>
  <si>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</si>
  <si>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</si>
  <si>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</si>
  <si>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</si>
  <si>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</si>
  <si>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</si>
  <si>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</si>
  <si>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</si>
  <si>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</si>
  <si>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</si>
  <si>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</si>
  <si>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</si>
  <si>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</si>
  <si>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</si>
  <si>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</si>
  <si>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</si>
  <si>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</si>
  <si>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</si>
  <si>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</si>
  <si>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</si>
  <si>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</si>
  <si>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</si>
  <si>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</si>
  <si>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</si>
  <si>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</si>
  <si>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</si>
  <si>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</si>
  <si>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</si>
  <si>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</si>
  <si>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</si>
  <si>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</si>
  <si>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</si>
  <si>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</si>
  <si>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</si>
  <si>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</si>
  <si>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</si>
  <si>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</si>
  <si>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</si>
  <si>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</si>
  <si>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</si>
  <si>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</si>
  <si>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</si>
  <si>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</si>
  <si>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</si>
  <si>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</si>
  <si>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</si>
  <si>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</si>
  <si>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</si>
  <si>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</si>
  <si>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</si>
  <si>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</si>
  <si>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</si>
  <si>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</si>
  <si>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</si>
  <si>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</si>
  <si>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</si>
  <si>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</si>
  <si>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</si>
  <si>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</si>
  <si>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</si>
  <si>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</si>
  <si>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</si>
  <si>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</si>
  <si>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</si>
  <si>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</si>
  <si>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</si>
  <si>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</si>
  <si>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</si>
  <si>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</si>
  <si>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</si>
  <si>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</si>
  <si>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</si>
  <si>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</si>
  <si>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</si>
  <si>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</si>
  <si>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</si>
  <si>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</si>
  <si>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</si>
  <si>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</si>
  <si>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</si>
  <si>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</si>
  <si>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</si>
  <si>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</si>
  <si>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</si>
  <si>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</si>
  <si>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</si>
  <si>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</si>
  <si>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</si>
  <si>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</si>
  <si>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</si>
  <si>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</si>
  <si>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</si>
  <si>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</si>
  <si>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</si>
  <si>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</si>
  <si>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</si>
  <si>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</si>
  <si>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</si>
  <si>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</si>
  <si>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</si>
  <si>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</si>
  <si>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</si>
  <si>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</si>
  <si>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</si>
  <si>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</si>
  <si>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</si>
  <si>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</si>
  <si>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</si>
  <si>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</si>
  <si>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</si>
  <si>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</si>
  <si>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</si>
  <si>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</si>
  <si>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</si>
  <si>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</si>
  <si>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</si>
  <si>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</si>
  <si>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</si>
  <si>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</si>
  <si>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</si>
  <si>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</si>
  <si>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</si>
  <si>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</si>
  <si>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</si>
  <si>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</si>
  <si>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</si>
  <si>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</si>
  <si>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</si>
  <si>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</si>
  <si>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</si>
  <si>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</si>
  <si>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</si>
  <si>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</si>
  <si>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</si>
  <si>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</si>
  <si>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</si>
  <si>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</si>
  <si>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</si>
  <si>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</si>
  <si>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M032</t>
    <phoneticPr fontId="1"/>
  </si>
  <si>
    <t>S</t>
    <phoneticPr fontId="1"/>
  </si>
  <si>
    <t>A623</t>
    <phoneticPr fontId="1"/>
  </si>
  <si>
    <t>A622</t>
    <phoneticPr fontId="1"/>
  </si>
  <si>
    <t>A335</t>
    <phoneticPr fontId="1"/>
  </si>
  <si>
    <t>A336</t>
    <phoneticPr fontId="1"/>
  </si>
  <si>
    <t>M079</t>
    <phoneticPr fontId="1"/>
  </si>
  <si>
    <t>M070</t>
    <phoneticPr fontId="1"/>
  </si>
  <si>
    <t>P</t>
    <phoneticPr fontId="1"/>
  </si>
  <si>
    <t>A505</t>
    <phoneticPr fontId="1"/>
  </si>
  <si>
    <t>A997</t>
    <phoneticPr fontId="1"/>
  </si>
  <si>
    <t>M037</t>
    <phoneticPr fontId="1"/>
  </si>
  <si>
    <t>A545</t>
    <phoneticPr fontId="1"/>
  </si>
  <si>
    <t>A913</t>
    <phoneticPr fontId="1"/>
  </si>
  <si>
    <t>M078</t>
    <phoneticPr fontId="1"/>
  </si>
  <si>
    <t>A700</t>
    <phoneticPr fontId="1"/>
  </si>
  <si>
    <t>M074</t>
    <phoneticPr fontId="1"/>
  </si>
  <si>
    <t>E</t>
    <phoneticPr fontId="1"/>
  </si>
  <si>
    <t>A550</t>
    <phoneticPr fontId="1"/>
  </si>
  <si>
    <t>2024/10/28 個数</t>
  </si>
  <si>
    <t>A318</t>
    <phoneticPr fontId="1"/>
  </si>
  <si>
    <t>A123</t>
    <phoneticPr fontId="1"/>
  </si>
  <si>
    <t>M028</t>
    <phoneticPr fontId="1"/>
  </si>
  <si>
    <t>2024/11/4 個数</t>
  </si>
  <si>
    <t>2024/11/5 個数</t>
  </si>
  <si>
    <t>2024/11/8 個数</t>
  </si>
  <si>
    <t>2024/11/9 個数</t>
  </si>
  <si>
    <t>2024/11/10 個数</t>
  </si>
  <si>
    <t>2024/11/11 個数</t>
  </si>
  <si>
    <t>2024/11/12 個数</t>
  </si>
  <si>
    <t>2024/11/13 個数</t>
  </si>
  <si>
    <t>2024/11/14 個数</t>
  </si>
  <si>
    <t>2024/11/16 個数</t>
  </si>
  <si>
    <t>2024/11/18 個数</t>
  </si>
  <si>
    <t>2024/11/20 個数</t>
  </si>
  <si>
    <t>2024/11/22 個数</t>
  </si>
  <si>
    <t>2024/11/26 個数</t>
  </si>
  <si>
    <t>2024/11/30 個数</t>
  </si>
  <si>
    <t>AYG091</t>
    <phoneticPr fontId="1"/>
  </si>
  <si>
    <t>06100259</t>
    <phoneticPr fontId="1"/>
  </si>
  <si>
    <t>06100260</t>
    <phoneticPr fontId="1"/>
  </si>
  <si>
    <t>06100285</t>
    <phoneticPr fontId="1"/>
  </si>
  <si>
    <t>A529</t>
    <phoneticPr fontId="1"/>
  </si>
  <si>
    <t>06100286</t>
    <phoneticPr fontId="1"/>
  </si>
  <si>
    <t>06100287</t>
    <phoneticPr fontId="1"/>
  </si>
  <si>
    <t>06100288</t>
    <phoneticPr fontId="1"/>
  </si>
  <si>
    <t>06100289</t>
    <phoneticPr fontId="1"/>
  </si>
  <si>
    <t>06100290</t>
    <phoneticPr fontId="1"/>
  </si>
  <si>
    <t>06100291</t>
    <phoneticPr fontId="1"/>
  </si>
  <si>
    <t>06100292</t>
    <phoneticPr fontId="1"/>
  </si>
  <si>
    <t>06100302</t>
    <phoneticPr fontId="1"/>
  </si>
  <si>
    <t>A199</t>
    <phoneticPr fontId="1"/>
  </si>
  <si>
    <t>06100303</t>
    <phoneticPr fontId="1"/>
  </si>
  <si>
    <t>06100304</t>
    <phoneticPr fontId="1"/>
  </si>
  <si>
    <t>A255</t>
    <phoneticPr fontId="1"/>
  </si>
  <si>
    <t>06100305</t>
    <phoneticPr fontId="1"/>
  </si>
  <si>
    <t>06100306</t>
    <phoneticPr fontId="1"/>
  </si>
  <si>
    <t>A740</t>
    <phoneticPr fontId="1"/>
  </si>
  <si>
    <t>06100325</t>
    <phoneticPr fontId="1"/>
  </si>
  <si>
    <t>06090331</t>
    <phoneticPr fontId="1"/>
  </si>
  <si>
    <t>06100234</t>
    <phoneticPr fontId="1"/>
  </si>
  <si>
    <t>06100235</t>
    <phoneticPr fontId="1"/>
  </si>
  <si>
    <t>06100247</t>
    <phoneticPr fontId="1"/>
  </si>
  <si>
    <t>06100248</t>
    <phoneticPr fontId="1"/>
  </si>
  <si>
    <t>06100276</t>
    <phoneticPr fontId="1"/>
  </si>
  <si>
    <t>06100278</t>
    <phoneticPr fontId="1"/>
  </si>
  <si>
    <t>06100279</t>
    <phoneticPr fontId="1"/>
  </si>
  <si>
    <t>06100280</t>
    <phoneticPr fontId="1"/>
  </si>
  <si>
    <t>06100283</t>
    <phoneticPr fontId="1"/>
  </si>
  <si>
    <t>06100284</t>
    <phoneticPr fontId="1"/>
  </si>
  <si>
    <t>06100300</t>
    <phoneticPr fontId="1"/>
  </si>
  <si>
    <t>A181</t>
    <phoneticPr fontId="1"/>
  </si>
  <si>
    <t>06100301</t>
    <phoneticPr fontId="1"/>
  </si>
  <si>
    <t>06100329</t>
    <phoneticPr fontId="1"/>
  </si>
  <si>
    <t>06100352</t>
    <phoneticPr fontId="1"/>
  </si>
  <si>
    <t>06100353</t>
    <phoneticPr fontId="1"/>
  </si>
  <si>
    <t>06100005</t>
    <phoneticPr fontId="1"/>
  </si>
  <si>
    <t>06100189</t>
    <phoneticPr fontId="1"/>
  </si>
  <si>
    <t>06100207</t>
    <phoneticPr fontId="1"/>
  </si>
  <si>
    <t>06100208</t>
    <phoneticPr fontId="1"/>
  </si>
  <si>
    <t>06100224</t>
    <phoneticPr fontId="1"/>
  </si>
  <si>
    <t>A755</t>
    <phoneticPr fontId="1"/>
  </si>
  <si>
    <t>06100225</t>
    <phoneticPr fontId="1"/>
  </si>
  <si>
    <t>06100275</t>
    <phoneticPr fontId="1"/>
  </si>
  <si>
    <t>06100230</t>
    <phoneticPr fontId="1"/>
  </si>
  <si>
    <t>06100233</t>
    <phoneticPr fontId="1"/>
  </si>
  <si>
    <t>06100242</t>
    <phoneticPr fontId="1"/>
  </si>
  <si>
    <t>06100268</t>
    <phoneticPr fontId="1"/>
  </si>
  <si>
    <t>06100273</t>
    <phoneticPr fontId="1"/>
  </si>
  <si>
    <t>06100349</t>
    <phoneticPr fontId="1"/>
  </si>
  <si>
    <t>06100407</t>
    <phoneticPr fontId="1"/>
  </si>
  <si>
    <t>06100408</t>
    <phoneticPr fontId="1"/>
  </si>
  <si>
    <t>M025</t>
    <phoneticPr fontId="1"/>
  </si>
  <si>
    <t>06100411</t>
    <phoneticPr fontId="1"/>
  </si>
  <si>
    <t>06100321</t>
    <phoneticPr fontId="1"/>
  </si>
  <si>
    <t>06100322</t>
    <phoneticPr fontId="1"/>
  </si>
  <si>
    <t>06100323</t>
    <phoneticPr fontId="1"/>
  </si>
  <si>
    <t>06100324</t>
    <phoneticPr fontId="1"/>
  </si>
  <si>
    <t>06100209</t>
    <phoneticPr fontId="1"/>
  </si>
  <si>
    <t>06100210</t>
    <phoneticPr fontId="1"/>
  </si>
  <si>
    <t>06100350</t>
    <phoneticPr fontId="1"/>
  </si>
  <si>
    <t>06100369</t>
    <phoneticPr fontId="1"/>
  </si>
  <si>
    <t>06100370</t>
    <phoneticPr fontId="1"/>
  </si>
  <si>
    <t>06100371</t>
    <phoneticPr fontId="1"/>
  </si>
  <si>
    <t>06100372</t>
    <phoneticPr fontId="1"/>
  </si>
  <si>
    <t>06100373</t>
    <phoneticPr fontId="1"/>
  </si>
  <si>
    <t>06100374</t>
    <phoneticPr fontId="1"/>
  </si>
  <si>
    <t>06100375</t>
  </si>
  <si>
    <t>06100376</t>
  </si>
  <si>
    <t>06100414</t>
    <phoneticPr fontId="1"/>
  </si>
  <si>
    <t>06100415</t>
    <phoneticPr fontId="1"/>
  </si>
  <si>
    <t>06100416</t>
    <phoneticPr fontId="1"/>
  </si>
  <si>
    <t>06100417</t>
    <phoneticPr fontId="1"/>
  </si>
  <si>
    <t>06100418</t>
    <phoneticPr fontId="1"/>
  </si>
  <si>
    <t>06100316</t>
    <phoneticPr fontId="1"/>
  </si>
  <si>
    <t>06100317</t>
    <phoneticPr fontId="1"/>
  </si>
  <si>
    <t>06100318</t>
    <phoneticPr fontId="1"/>
  </si>
  <si>
    <t>06100320</t>
    <phoneticPr fontId="1"/>
  </si>
  <si>
    <t>06100358</t>
    <phoneticPr fontId="1"/>
  </si>
  <si>
    <t>06100359</t>
  </si>
  <si>
    <t>06100360</t>
  </si>
  <si>
    <t>06100319</t>
    <phoneticPr fontId="1"/>
  </si>
  <si>
    <t>06100357</t>
    <phoneticPr fontId="1"/>
  </si>
  <si>
    <t>06100386</t>
    <phoneticPr fontId="1"/>
  </si>
  <si>
    <t>06100387</t>
  </si>
  <si>
    <t>06100388</t>
  </si>
  <si>
    <t>06100389</t>
  </si>
  <si>
    <t>06100419</t>
    <phoneticPr fontId="1"/>
  </si>
  <si>
    <t>06100420</t>
    <phoneticPr fontId="1"/>
  </si>
  <si>
    <t>06100274</t>
    <phoneticPr fontId="1"/>
  </si>
  <si>
    <t>06100362</t>
    <phoneticPr fontId="1"/>
  </si>
  <si>
    <t>06100363</t>
    <phoneticPr fontId="1"/>
  </si>
  <si>
    <t>06100378</t>
    <phoneticPr fontId="1"/>
  </si>
  <si>
    <t>06100379</t>
    <phoneticPr fontId="1"/>
  </si>
  <si>
    <t>06100381</t>
    <phoneticPr fontId="1"/>
  </si>
  <si>
    <t>06100382</t>
  </si>
  <si>
    <t>06100383</t>
  </si>
  <si>
    <t>06100390</t>
    <phoneticPr fontId="1"/>
  </si>
  <si>
    <t>06100406</t>
    <phoneticPr fontId="1"/>
  </si>
  <si>
    <t>06100409</t>
    <phoneticPr fontId="1"/>
  </si>
  <si>
    <t>06100412</t>
    <phoneticPr fontId="1"/>
  </si>
  <si>
    <t>06100413</t>
    <phoneticPr fontId="1"/>
  </si>
  <si>
    <t>06100423</t>
    <phoneticPr fontId="1"/>
  </si>
  <si>
    <t>06090455</t>
    <phoneticPr fontId="1"/>
  </si>
  <si>
    <t>06100199</t>
    <phoneticPr fontId="1"/>
  </si>
  <si>
    <t>06100277</t>
    <phoneticPr fontId="1"/>
  </si>
  <si>
    <t>06100281</t>
    <phoneticPr fontId="1"/>
  </si>
  <si>
    <t>06100282</t>
    <phoneticPr fontId="1"/>
  </si>
  <si>
    <t>06100328</t>
    <phoneticPr fontId="1"/>
  </si>
  <si>
    <t>06100330</t>
    <phoneticPr fontId="1"/>
  </si>
  <si>
    <t>06100331</t>
    <phoneticPr fontId="1"/>
  </si>
  <si>
    <t>06100336</t>
    <phoneticPr fontId="1"/>
  </si>
  <si>
    <t>06100337</t>
    <phoneticPr fontId="1"/>
  </si>
  <si>
    <t>06100339</t>
    <phoneticPr fontId="1"/>
  </si>
  <si>
    <t>06100343</t>
    <phoneticPr fontId="1"/>
  </si>
  <si>
    <t>06100345</t>
    <phoneticPr fontId="1"/>
  </si>
  <si>
    <t>06100366</t>
    <phoneticPr fontId="1"/>
  </si>
  <si>
    <t>06100367</t>
    <phoneticPr fontId="1"/>
  </si>
  <si>
    <t>06100368</t>
    <phoneticPr fontId="1"/>
  </si>
  <si>
    <t>06100405</t>
    <phoneticPr fontId="1"/>
  </si>
  <si>
    <t>06100307</t>
    <phoneticPr fontId="1"/>
  </si>
  <si>
    <t>06100308</t>
    <phoneticPr fontId="1"/>
  </si>
  <si>
    <t>06100333</t>
    <phoneticPr fontId="1"/>
  </si>
  <si>
    <t>06100354</t>
    <phoneticPr fontId="1"/>
  </si>
  <si>
    <t>06100355</t>
    <phoneticPr fontId="1"/>
  </si>
  <si>
    <t>06100356</t>
    <phoneticPr fontId="1"/>
  </si>
  <si>
    <t>06100463</t>
    <phoneticPr fontId="1"/>
  </si>
  <si>
    <t>A501</t>
    <phoneticPr fontId="1"/>
  </si>
  <si>
    <t>06100466</t>
    <phoneticPr fontId="1"/>
  </si>
  <si>
    <t>06100467</t>
    <phoneticPr fontId="1"/>
  </si>
  <si>
    <t>06100474</t>
    <phoneticPr fontId="1"/>
  </si>
  <si>
    <t>06100475</t>
    <phoneticPr fontId="1"/>
  </si>
  <si>
    <t>06100476</t>
    <phoneticPr fontId="1"/>
  </si>
  <si>
    <t>06100477</t>
    <phoneticPr fontId="1"/>
  </si>
  <si>
    <t>06100478</t>
    <phoneticPr fontId="1"/>
  </si>
  <si>
    <t>06100479</t>
    <phoneticPr fontId="1"/>
  </si>
  <si>
    <t>06100480</t>
    <phoneticPr fontId="1"/>
  </si>
  <si>
    <t>06100481</t>
    <phoneticPr fontId="1"/>
  </si>
  <si>
    <t>06100482</t>
    <phoneticPr fontId="1"/>
  </si>
  <si>
    <t>06100483</t>
    <phoneticPr fontId="1"/>
  </si>
  <si>
    <t>06100484</t>
    <phoneticPr fontId="1"/>
  </si>
  <si>
    <t>06100485</t>
    <phoneticPr fontId="1"/>
  </si>
  <si>
    <t>06100486</t>
    <phoneticPr fontId="1"/>
  </si>
  <si>
    <t>06100487</t>
    <phoneticPr fontId="1"/>
  </si>
  <si>
    <t>06100495</t>
    <phoneticPr fontId="1"/>
  </si>
  <si>
    <t>06100424</t>
    <phoneticPr fontId="1"/>
  </si>
  <si>
    <t>06100425</t>
  </si>
  <si>
    <t>06100426</t>
  </si>
  <si>
    <t>06100427</t>
  </si>
  <si>
    <t>06100428</t>
  </si>
  <si>
    <t>06100429</t>
  </si>
  <si>
    <t>06100430</t>
  </si>
  <si>
    <t>06100431</t>
  </si>
  <si>
    <t>06100458</t>
    <phoneticPr fontId="1"/>
  </si>
  <si>
    <t>06100493</t>
    <phoneticPr fontId="1"/>
  </si>
  <si>
    <t>06100494</t>
    <phoneticPr fontId="1"/>
  </si>
  <si>
    <t>06100496</t>
    <phoneticPr fontId="1"/>
  </si>
  <si>
    <t>06100497</t>
  </si>
  <si>
    <t>06100498</t>
  </si>
  <si>
    <t>06100499</t>
  </si>
  <si>
    <t>06100500</t>
  </si>
  <si>
    <t>06100122</t>
    <phoneticPr fontId="1"/>
  </si>
  <si>
    <t>06100129</t>
    <phoneticPr fontId="1"/>
  </si>
  <si>
    <t>06100421</t>
    <phoneticPr fontId="1"/>
  </si>
  <si>
    <t>06100422</t>
    <phoneticPr fontId="1"/>
  </si>
  <si>
    <t>06100446</t>
    <phoneticPr fontId="1"/>
  </si>
  <si>
    <t>06100447</t>
    <phoneticPr fontId="1"/>
  </si>
  <si>
    <t>06100488</t>
    <phoneticPr fontId="1"/>
  </si>
  <si>
    <t>06100489</t>
    <phoneticPr fontId="1"/>
  </si>
  <si>
    <t>06100490</t>
    <phoneticPr fontId="1"/>
  </si>
  <si>
    <t>06100491</t>
    <phoneticPr fontId="1"/>
  </si>
  <si>
    <t>06100492</t>
    <phoneticPr fontId="1"/>
  </si>
  <si>
    <t>06100506</t>
    <phoneticPr fontId="1"/>
  </si>
  <si>
    <t>06100507</t>
    <phoneticPr fontId="1"/>
  </si>
  <si>
    <t>06100515</t>
    <phoneticPr fontId="1"/>
  </si>
  <si>
    <t>06100516</t>
    <phoneticPr fontId="1"/>
  </si>
  <si>
    <t>06100517</t>
    <phoneticPr fontId="1"/>
  </si>
  <si>
    <t>06100518</t>
    <phoneticPr fontId="1"/>
  </si>
  <si>
    <t>06100031</t>
    <phoneticPr fontId="1"/>
  </si>
  <si>
    <t>06100198</t>
    <phoneticPr fontId="1"/>
  </si>
  <si>
    <t>06100232</t>
    <phoneticPr fontId="1"/>
  </si>
  <si>
    <t>06100261</t>
    <phoneticPr fontId="1"/>
  </si>
  <si>
    <t>06100327</t>
    <phoneticPr fontId="1"/>
  </si>
  <si>
    <t>06100340</t>
    <phoneticPr fontId="1"/>
  </si>
  <si>
    <t>06100380</t>
    <phoneticPr fontId="1"/>
  </si>
  <si>
    <t>06100384</t>
    <phoneticPr fontId="1"/>
  </si>
  <si>
    <t>06100393</t>
    <phoneticPr fontId="1"/>
  </si>
  <si>
    <t>06100394</t>
    <phoneticPr fontId="1"/>
  </si>
  <si>
    <t>06100402</t>
    <phoneticPr fontId="1"/>
  </si>
  <si>
    <t>A630</t>
    <phoneticPr fontId="1"/>
  </si>
  <si>
    <t>06100404</t>
    <phoneticPr fontId="1"/>
  </si>
  <si>
    <t>06100448</t>
    <phoneticPr fontId="1"/>
  </si>
  <si>
    <t>06100449</t>
    <phoneticPr fontId="1"/>
  </si>
  <si>
    <t>06100457</t>
    <phoneticPr fontId="1"/>
  </si>
  <si>
    <t>A182</t>
    <phoneticPr fontId="1"/>
  </si>
  <si>
    <t>06100512</t>
    <phoneticPr fontId="1"/>
  </si>
  <si>
    <t>06100513</t>
    <phoneticPr fontId="1"/>
  </si>
  <si>
    <t>2024/11/15 個数</t>
  </si>
  <si>
    <t>2024/11/17 個数</t>
  </si>
  <si>
    <t>2024/11/19 個数</t>
  </si>
  <si>
    <t>2024/11/23 個数</t>
  </si>
  <si>
    <t>2024/11/24 個数</t>
  </si>
  <si>
    <t>2024/11/25 個数</t>
  </si>
  <si>
    <t>2024/11/28 個数</t>
  </si>
  <si>
    <t>2024/12/2 個数</t>
  </si>
  <si>
    <t>2024/12/3 個数</t>
  </si>
  <si>
    <t>2024/12/4 個数</t>
  </si>
  <si>
    <t>2024/12/5 個数</t>
  </si>
  <si>
    <t>2024/12/6 個数</t>
  </si>
  <si>
    <t>2024/12/8 個数</t>
  </si>
  <si>
    <t>2024/12/15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</si>
</sst>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F5" sqref="F5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215</v>
      </c>
      <c r="B1" s="24">
        <v>45587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3" t="s">
        <v>105</v>
      </c>
      <c r="Y2" s="13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5">
        <v>1</v>
      </c>
      <c r="B3" s="138">
        <v>22</v>
      </c>
      <c r="C3" s="85" t="s">
        <v>216</v>
      </c>
      <c r="D3" s="109" t="s">
        <v>191</v>
      </c>
      <c r="E3" s="15" t="s">
        <v>40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>
        <v>1</v>
      </c>
      <c r="P3" s="13">
        <v>1</v>
      </c>
      <c r="Q3" s="13"/>
      <c r="R3" s="13">
        <v>1</v>
      </c>
      <c r="S3" s="13"/>
      <c r="T3" s="25">
        <v>45612</v>
      </c>
      <c r="U3" s="13" t="s">
        <v>148</v>
      </c>
      <c r="V3">
        <v>1</v>
      </c>
      <c r="X3" s="51" t="s">
        <v>106</v>
      </c>
      <c r="Y3" s="52">
        <f>COUNTIF(U3:U27,"K")</f>
        <v>10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6"/>
      <c r="B4" s="139"/>
      <c r="C4" s="85" t="s">
        <v>217</v>
      </c>
      <c r="D4" s="109" t="s">
        <v>191</v>
      </c>
      <c r="E4" s="15" t="s">
        <v>40</v>
      </c>
      <c r="F4" s="16"/>
      <c r="G4" s="12" t="s">
        <v>178</v>
      </c>
      <c r="H4" s="15"/>
      <c r="I4" s="13"/>
      <c r="J4" s="15"/>
      <c r="K4" s="15"/>
      <c r="L4" s="17"/>
      <c r="M4" s="17"/>
      <c r="N4" s="13"/>
      <c r="O4" s="17">
        <v>1</v>
      </c>
      <c r="P4" s="17">
        <v>1</v>
      </c>
      <c r="Q4" s="17">
        <v>1</v>
      </c>
      <c r="R4" s="17">
        <v>1</v>
      </c>
      <c r="S4" s="15"/>
      <c r="T4" s="25">
        <v>45612</v>
      </c>
      <c r="U4" s="13" t="s">
        <v>148</v>
      </c>
      <c r="V4">
        <v>2</v>
      </c>
      <c r="X4" s="51" t="s">
        <v>107</v>
      </c>
      <c r="Y4" s="52">
        <f>COUNTIF(U3:U27,"R")</f>
        <v>3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6"/>
      <c r="B5" s="139"/>
      <c r="C5" s="85" t="s">
        <v>218</v>
      </c>
      <c r="D5" s="109" t="s">
        <v>219</v>
      </c>
      <c r="E5" s="15" t="s">
        <v>39</v>
      </c>
      <c r="F5" s="16"/>
      <c r="G5" s="12" t="s">
        <v>178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45609</v>
      </c>
      <c r="U5" s="13" t="s">
        <v>146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6"/>
      <c r="B6" s="139"/>
      <c r="C6" s="85" t="s">
        <v>220</v>
      </c>
      <c r="D6" s="109" t="s">
        <v>219</v>
      </c>
      <c r="E6" s="15" t="s">
        <v>39</v>
      </c>
      <c r="F6" s="16"/>
      <c r="G6" s="12" t="s">
        <v>178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45609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6"/>
      <c r="B7" s="139"/>
      <c r="C7" s="85" t="s">
        <v>221</v>
      </c>
      <c r="D7" s="109" t="s">
        <v>219</v>
      </c>
      <c r="E7" s="15" t="s">
        <v>39</v>
      </c>
      <c r="F7" s="16"/>
      <c r="G7" s="12" t="s">
        <v>178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45609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6"/>
      <c r="B8" s="139"/>
      <c r="C8" s="85" t="s">
        <v>222</v>
      </c>
      <c r="D8" s="109" t="s">
        <v>219</v>
      </c>
      <c r="E8" s="15" t="s">
        <v>39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45609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6"/>
      <c r="B9" s="139"/>
      <c r="C9" s="85" t="s">
        <v>223</v>
      </c>
      <c r="D9" s="109" t="s">
        <v>219</v>
      </c>
      <c r="E9" s="15" t="s">
        <v>39</v>
      </c>
      <c r="F9" s="16"/>
      <c r="G9" s="12" t="s">
        <v>178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45609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6"/>
      <c r="B10" s="139"/>
      <c r="C10" s="85" t="s">
        <v>224</v>
      </c>
      <c r="D10" s="109" t="s">
        <v>190</v>
      </c>
      <c r="E10" s="15" t="s">
        <v>36</v>
      </c>
      <c r="F10" s="16"/>
      <c r="G10" s="12" t="s">
        <v>178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45609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6"/>
      <c r="B11" s="139"/>
      <c r="C11" s="85" t="s">
        <v>225</v>
      </c>
      <c r="D11" s="109" t="s">
        <v>190</v>
      </c>
      <c r="E11" s="15" t="s">
        <v>75</v>
      </c>
      <c r="F11" s="16"/>
      <c r="G11" s="12" t="s">
        <v>178</v>
      </c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>
        <v>1</v>
      </c>
      <c r="T11" s="25">
        <v>45609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6"/>
      <c r="B12" s="139"/>
      <c r="C12" s="85" t="s">
        <v>226</v>
      </c>
      <c r="D12" s="109" t="s">
        <v>190</v>
      </c>
      <c r="E12" s="15" t="s">
        <v>40</v>
      </c>
      <c r="F12" s="16"/>
      <c r="G12" s="12" t="s">
        <v>178</v>
      </c>
      <c r="H12" s="15"/>
      <c r="I12" s="15"/>
      <c r="J12" s="15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45609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6"/>
      <c r="B13" s="139"/>
      <c r="C13" s="85" t="s">
        <v>227</v>
      </c>
      <c r="D13" s="109" t="s">
        <v>228</v>
      </c>
      <c r="E13" s="15" t="s">
        <v>36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45614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6"/>
      <c r="B14" s="139"/>
      <c r="C14" s="85" t="s">
        <v>229</v>
      </c>
      <c r="D14" s="109" t="s">
        <v>228</v>
      </c>
      <c r="E14" s="15" t="s">
        <v>36</v>
      </c>
      <c r="F14" s="16"/>
      <c r="G14" s="12" t="s">
        <v>178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/>
      <c r="R14" s="17"/>
      <c r="S14" s="15"/>
      <c r="T14" s="25">
        <v>45614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6"/>
      <c r="B15" s="139"/>
      <c r="C15" s="85" t="s">
        <v>230</v>
      </c>
      <c r="D15" s="109" t="s">
        <v>231</v>
      </c>
      <c r="E15" s="15" t="s">
        <v>41</v>
      </c>
      <c r="F15" s="16"/>
      <c r="G15" s="12" t="s">
        <v>178</v>
      </c>
      <c r="H15" s="15"/>
      <c r="I15" s="15"/>
      <c r="J15" s="15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45630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6"/>
      <c r="B16" s="139"/>
      <c r="C16" s="85" t="s">
        <v>232</v>
      </c>
      <c r="D16" s="109" t="s">
        <v>231</v>
      </c>
      <c r="E16" s="15" t="s">
        <v>41</v>
      </c>
      <c r="F16" s="16"/>
      <c r="G16" s="12" t="s">
        <v>178</v>
      </c>
      <c r="H16" s="15"/>
      <c r="I16" s="15"/>
      <c r="J16" s="15">
        <v>1</v>
      </c>
      <c r="K16" s="15"/>
      <c r="L16" s="17"/>
      <c r="M16" s="17"/>
      <c r="N16" s="17"/>
      <c r="O16" s="17"/>
      <c r="P16" s="17"/>
      <c r="Q16" s="17"/>
      <c r="R16" s="17"/>
      <c r="S16" s="15"/>
      <c r="T16" s="25">
        <v>45630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6"/>
      <c r="B17" s="139"/>
      <c r="C17" s="85" t="s">
        <v>233</v>
      </c>
      <c r="D17" s="106" t="s">
        <v>231</v>
      </c>
      <c r="E17" s="15" t="s">
        <v>40</v>
      </c>
      <c r="F17" s="16"/>
      <c r="G17" s="15" t="s">
        <v>178</v>
      </c>
      <c r="H17" s="15"/>
      <c r="I17" s="15"/>
      <c r="J17" s="15"/>
      <c r="K17" s="15"/>
      <c r="L17" s="17"/>
      <c r="M17" s="17"/>
      <c r="N17" s="17"/>
      <c r="O17" s="17">
        <v>1</v>
      </c>
      <c r="P17" s="17"/>
      <c r="Q17" s="17"/>
      <c r="R17" s="17"/>
      <c r="S17" s="15"/>
      <c r="T17" s="25">
        <v>45630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6"/>
      <c r="B18" s="139"/>
      <c r="C18" s="85" t="s">
        <v>235</v>
      </c>
      <c r="D18" s="110" t="s">
        <v>234</v>
      </c>
      <c r="E18" s="18" t="s">
        <v>74</v>
      </c>
      <c r="F18" s="16"/>
      <c r="G18" s="18" t="s">
        <v>178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45614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6"/>
      <c r="B19" s="139"/>
      <c r="C19" s="85" t="s">
        <v>236</v>
      </c>
      <c r="D19" s="110" t="s">
        <v>193</v>
      </c>
      <c r="E19" s="18" t="s">
        <v>37</v>
      </c>
      <c r="F19" s="16"/>
      <c r="G19" s="18" t="s">
        <v>178</v>
      </c>
      <c r="H19" s="15"/>
      <c r="I19" s="15"/>
      <c r="J19" s="18"/>
      <c r="K19" s="15"/>
      <c r="L19" s="19"/>
      <c r="M19" s="19">
        <v>1</v>
      </c>
      <c r="N19" s="19"/>
      <c r="O19" s="19"/>
      <c r="P19" s="19"/>
      <c r="Q19" s="19">
        <v>1</v>
      </c>
      <c r="R19" s="19"/>
      <c r="S19" s="15"/>
      <c r="T19" s="30">
        <v>45604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6"/>
      <c r="B20" s="139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6"/>
      <c r="B21" s="139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6"/>
      <c r="B22" s="139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6"/>
      <c r="B23" s="139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6"/>
      <c r="B24" s="139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6"/>
      <c r="B25" s="139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292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6"/>
      <c r="B26" s="139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7"/>
      <c r="B27" s="140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188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17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>
        <f t="shared" si="0"/>
        <v>7</v>
      </c>
      <c r="L28" s="29">
        <f t="shared" si="0"/>
        <v>0</v>
      </c>
      <c r="M28" s="29">
        <f t="shared" si="0"/>
        <v>3</v>
      </c>
      <c r="N28" s="29">
        <f t="shared" si="0"/>
        <v>2</v>
      </c>
      <c r="O28" s="29">
        <f t="shared" si="0"/>
        <v>4</v>
      </c>
      <c r="P28" s="29">
        <f t="shared" si="0"/>
        <v>3</v>
      </c>
      <c r="Q28" s="29">
        <f t="shared" si="0"/>
        <v>4</v>
      </c>
      <c r="R28" s="29">
        <f t="shared" si="0"/>
        <v>3</v>
      </c>
      <c r="S28" s="29">
        <f t="shared" si="0"/>
        <v>1</v>
      </c>
      <c r="T28" s="29" t="s">
        <v>64</v>
      </c>
      <c r="U28" s="29">
        <f>COUNTIF(H3:H27,"M")</f>
        <v>0</v>
      </c>
      <c r="AA28" s="149" t="s">
        <v>104</v>
      </c>
      <c r="AB28" s="15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36</v>
      </c>
      <c r="T29" s="29"/>
      <c r="U29" s="29"/>
      <c r="X29" t="s">
        <v>136</v>
      </c>
      <c r="AA29" s="151"/>
      <c r="AB29" s="152"/>
      <c r="AC29" s="144">
        <f>SUM(AC28:AE28)</f>
        <v>0</v>
      </c>
      <c r="AD29" s="145"/>
      <c r="AE29" s="14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AYG091</v>
      </c>
      <c r="B31" s="24">
        <f>B1</f>
        <v>45587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3" t="s">
        <v>119</v>
      </c>
      <c r="Y32" s="134"/>
      <c r="AA32" s="153" t="s">
        <v>47</v>
      </c>
      <c r="AB32" s="154"/>
    </row>
    <row r="33" spans="1:29" ht="19.5" thickTop="1" x14ac:dyDescent="0.4">
      <c r="A33" s="135">
        <v>2</v>
      </c>
      <c r="B33" s="138">
        <v>16.2</v>
      </c>
      <c r="C33" s="85" t="s">
        <v>237</v>
      </c>
      <c r="D33" s="109" t="s">
        <v>186</v>
      </c>
      <c r="E33" s="109" t="s">
        <v>38</v>
      </c>
      <c r="F33" s="16"/>
      <c r="G33" s="12" t="s">
        <v>178</v>
      </c>
      <c r="H33" s="15"/>
      <c r="I33" s="15"/>
      <c r="J33" s="15">
        <v>1</v>
      </c>
      <c r="K33" s="15">
        <v>1</v>
      </c>
      <c r="L33" s="17"/>
      <c r="M33" s="17"/>
      <c r="N33" s="17"/>
      <c r="O33" s="17"/>
      <c r="P33" s="17"/>
      <c r="Q33" s="17"/>
      <c r="R33" s="17"/>
      <c r="S33" s="15"/>
      <c r="T33" s="25">
        <v>45621</v>
      </c>
      <c r="U33" s="13" t="s">
        <v>146</v>
      </c>
      <c r="V33">
        <v>1</v>
      </c>
      <c r="X33" s="51" t="s">
        <v>106</v>
      </c>
      <c r="Y33" s="52">
        <f>COUNTIF(U33:U57,"K")</f>
        <v>1</v>
      </c>
      <c r="AA33" s="31" t="s">
        <v>46</v>
      </c>
      <c r="AB33" s="32">
        <f>J28+J178+J148+J118+J208+J238+J268+J298+J328+J358</f>
        <v>86</v>
      </c>
    </row>
    <row r="34" spans="1:29" x14ac:dyDescent="0.4">
      <c r="A34" s="136"/>
      <c r="B34" s="139"/>
      <c r="C34" s="85" t="s">
        <v>238</v>
      </c>
      <c r="D34" s="109" t="s">
        <v>186</v>
      </c>
      <c r="E34" s="109" t="s">
        <v>38</v>
      </c>
      <c r="F34" s="16"/>
      <c r="G34" s="12" t="s">
        <v>178</v>
      </c>
      <c r="H34" s="15"/>
      <c r="I34" s="13"/>
      <c r="J34" s="15"/>
      <c r="K34" s="15"/>
      <c r="L34" s="17"/>
      <c r="M34" s="17">
        <v>1</v>
      </c>
      <c r="N34" s="17"/>
      <c r="O34" s="17"/>
      <c r="P34" s="17"/>
      <c r="Q34" s="17">
        <v>1</v>
      </c>
      <c r="R34" s="17"/>
      <c r="S34" s="15"/>
      <c r="T34" s="25">
        <v>45621</v>
      </c>
      <c r="U34" s="13" t="s">
        <v>147</v>
      </c>
      <c r="V34">
        <v>2</v>
      </c>
      <c r="X34" s="51" t="s">
        <v>107</v>
      </c>
      <c r="Y34" s="52">
        <f>COUNTIF(U33:U57,"R")</f>
        <v>9</v>
      </c>
      <c r="AA34" s="31" t="s">
        <v>48</v>
      </c>
      <c r="AB34" s="32">
        <f>K28+K178+K148+K118+K208+K238+K268+K298+K328+K358</f>
        <v>40</v>
      </c>
    </row>
    <row r="35" spans="1:29" ht="19.5" thickBot="1" x14ac:dyDescent="0.45">
      <c r="A35" s="136"/>
      <c r="B35" s="139"/>
      <c r="C35" s="85" t="s">
        <v>239</v>
      </c>
      <c r="D35" s="109" t="s">
        <v>177</v>
      </c>
      <c r="E35" s="109" t="s">
        <v>36</v>
      </c>
      <c r="F35" s="16"/>
      <c r="G35" s="12" t="s">
        <v>178</v>
      </c>
      <c r="H35" s="13"/>
      <c r="I35" s="13"/>
      <c r="J35" s="15"/>
      <c r="K35" s="15"/>
      <c r="L35" s="17"/>
      <c r="M35" s="17">
        <v>1</v>
      </c>
      <c r="N35" s="17">
        <v>1</v>
      </c>
      <c r="O35" s="17"/>
      <c r="P35" s="17"/>
      <c r="Q35" s="17"/>
      <c r="R35" s="17"/>
      <c r="S35" s="15"/>
      <c r="T35" s="25">
        <v>45606</v>
      </c>
      <c r="U35" s="13" t="s">
        <v>147</v>
      </c>
      <c r="V35">
        <v>3</v>
      </c>
      <c r="X35" s="53" t="s">
        <v>108</v>
      </c>
      <c r="Y35" s="54">
        <f>COUNTIF(U33:U57,"J")</f>
        <v>5</v>
      </c>
      <c r="AA35" s="31" t="s">
        <v>49</v>
      </c>
      <c r="AB35" s="32">
        <f>L28+L178+L148+L118+L208+L238+L268+L298+L328+L358</f>
        <v>16</v>
      </c>
    </row>
    <row r="36" spans="1:29" x14ac:dyDescent="0.4">
      <c r="A36" s="136"/>
      <c r="B36" s="139"/>
      <c r="C36" s="85" t="s">
        <v>240</v>
      </c>
      <c r="D36" s="109" t="s">
        <v>177</v>
      </c>
      <c r="E36" s="109" t="s">
        <v>40</v>
      </c>
      <c r="F36" s="16"/>
      <c r="G36" s="12" t="s">
        <v>178</v>
      </c>
      <c r="H36" s="15" t="s">
        <v>147</v>
      </c>
      <c r="I36" s="13"/>
      <c r="J36" s="13"/>
      <c r="K36" s="15"/>
      <c r="L36" s="17"/>
      <c r="M36" s="17"/>
      <c r="N36" s="17"/>
      <c r="O36" s="17">
        <v>1</v>
      </c>
      <c r="P36" s="17">
        <v>1</v>
      </c>
      <c r="Q36" s="17"/>
      <c r="R36" s="17"/>
      <c r="S36" s="15"/>
      <c r="T36" s="25">
        <v>45606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19</v>
      </c>
    </row>
    <row r="37" spans="1:29" x14ac:dyDescent="0.4">
      <c r="A37" s="136"/>
      <c r="B37" s="139"/>
      <c r="C37" s="85" t="s">
        <v>241</v>
      </c>
      <c r="D37" s="109" t="s">
        <v>184</v>
      </c>
      <c r="E37" s="109" t="s">
        <v>40</v>
      </c>
      <c r="F37" s="16"/>
      <c r="G37" s="12" t="s">
        <v>185</v>
      </c>
      <c r="H37" s="15"/>
      <c r="I37" s="15"/>
      <c r="J37" s="15"/>
      <c r="K37" s="15"/>
      <c r="L37" s="17"/>
      <c r="M37" s="17"/>
      <c r="N37" s="17"/>
      <c r="O37" s="17">
        <v>1</v>
      </c>
      <c r="P37" s="17">
        <v>1</v>
      </c>
      <c r="Q37" s="17"/>
      <c r="R37" s="17"/>
      <c r="S37" s="15"/>
      <c r="T37" s="25">
        <v>45609</v>
      </c>
      <c r="U37" s="13" t="s">
        <v>148</v>
      </c>
      <c r="V37">
        <v>5</v>
      </c>
      <c r="AA37" s="31" t="s">
        <v>51</v>
      </c>
      <c r="AB37" s="32">
        <f>N28+N178+N148+N118+N208+N238+N268+N298+N328+N358</f>
        <v>13</v>
      </c>
    </row>
    <row r="38" spans="1:29" x14ac:dyDescent="0.4">
      <c r="A38" s="136"/>
      <c r="B38" s="139"/>
      <c r="C38" s="85" t="s">
        <v>242</v>
      </c>
      <c r="D38" s="109" t="s">
        <v>184</v>
      </c>
      <c r="E38" s="109" t="s">
        <v>40</v>
      </c>
      <c r="F38" s="16"/>
      <c r="G38" s="12" t="s">
        <v>185</v>
      </c>
      <c r="H38" s="13"/>
      <c r="I38" s="15"/>
      <c r="J38" s="15"/>
      <c r="K38" s="15"/>
      <c r="L38" s="17"/>
      <c r="M38" s="17"/>
      <c r="N38" s="17"/>
      <c r="O38" s="17">
        <v>1</v>
      </c>
      <c r="P38" s="17">
        <v>1</v>
      </c>
      <c r="Q38" s="17"/>
      <c r="R38" s="17"/>
      <c r="S38" s="15"/>
      <c r="T38" s="25">
        <v>45609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36"/>
      <c r="B39" s="139"/>
      <c r="C39" s="85" t="s">
        <v>243</v>
      </c>
      <c r="D39" s="109" t="s">
        <v>177</v>
      </c>
      <c r="E39" s="109" t="s">
        <v>37</v>
      </c>
      <c r="F39" s="16"/>
      <c r="G39" s="12" t="s">
        <v>178</v>
      </c>
      <c r="H39" s="15"/>
      <c r="I39" s="15"/>
      <c r="J39" s="15"/>
      <c r="K39" s="15"/>
      <c r="L39" s="17"/>
      <c r="M39" s="17">
        <v>1</v>
      </c>
      <c r="N39" s="17"/>
      <c r="O39" s="17"/>
      <c r="P39" s="17"/>
      <c r="Q39" s="17">
        <v>1</v>
      </c>
      <c r="R39" s="17"/>
      <c r="S39" s="15"/>
      <c r="T39" s="25">
        <v>45606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14</v>
      </c>
    </row>
    <row r="40" spans="1:29" x14ac:dyDescent="0.4">
      <c r="A40" s="136"/>
      <c r="B40" s="139"/>
      <c r="C40" s="85" t="s">
        <v>244</v>
      </c>
      <c r="D40" s="109" t="s">
        <v>188</v>
      </c>
      <c r="E40" s="109" t="s">
        <v>40</v>
      </c>
      <c r="F40" s="16"/>
      <c r="G40" s="12" t="s">
        <v>178</v>
      </c>
      <c r="H40" s="15"/>
      <c r="I40" s="15"/>
      <c r="J40" s="15"/>
      <c r="K40" s="15"/>
      <c r="L40" s="17"/>
      <c r="M40" s="17"/>
      <c r="N40" s="17"/>
      <c r="O40" s="17">
        <v>1</v>
      </c>
      <c r="P40" s="17">
        <v>1</v>
      </c>
      <c r="Q40" s="17"/>
      <c r="R40" s="17"/>
      <c r="S40" s="15"/>
      <c r="T40" s="25">
        <v>45614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25</v>
      </c>
    </row>
    <row r="41" spans="1:29" x14ac:dyDescent="0.4">
      <c r="A41" s="136"/>
      <c r="B41" s="139"/>
      <c r="C41" s="85" t="s">
        <v>245</v>
      </c>
      <c r="D41" s="109" t="s">
        <v>187</v>
      </c>
      <c r="E41" s="109" t="s">
        <v>36</v>
      </c>
      <c r="F41" s="16"/>
      <c r="G41" s="12" t="s">
        <v>178</v>
      </c>
      <c r="H41" s="15"/>
      <c r="I41" s="15"/>
      <c r="J41" s="15"/>
      <c r="K41" s="15"/>
      <c r="L41" s="17"/>
      <c r="M41" s="17">
        <v>1</v>
      </c>
      <c r="N41" s="17">
        <v>1</v>
      </c>
      <c r="O41" s="17"/>
      <c r="P41" s="17"/>
      <c r="Q41" s="17">
        <v>1</v>
      </c>
      <c r="R41" s="17"/>
      <c r="S41" s="15"/>
      <c r="T41" s="25">
        <v>45610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36"/>
      <c r="B42" s="139"/>
      <c r="C42" s="85" t="s">
        <v>246</v>
      </c>
      <c r="D42" s="109" t="s">
        <v>187</v>
      </c>
      <c r="E42" s="109" t="s">
        <v>36</v>
      </c>
      <c r="F42" s="16"/>
      <c r="G42" s="12" t="s">
        <v>178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45610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7</v>
      </c>
      <c r="AC42" s="73">
        <f>SUM(AB33:AB42)</f>
        <v>246</v>
      </c>
    </row>
    <row r="43" spans="1:29" ht="19.5" thickBot="1" x14ac:dyDescent="0.45">
      <c r="A43" s="136"/>
      <c r="B43" s="139"/>
      <c r="C43" s="85" t="s">
        <v>247</v>
      </c>
      <c r="D43" s="109" t="s">
        <v>248</v>
      </c>
      <c r="E43" s="109" t="s">
        <v>36</v>
      </c>
      <c r="F43" s="16"/>
      <c r="G43" s="12" t="s">
        <v>178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/>
      <c r="R43" s="17"/>
      <c r="S43" s="15"/>
      <c r="T43" s="25">
        <v>45614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6"/>
      <c r="B44" s="139"/>
      <c r="C44" s="85" t="s">
        <v>249</v>
      </c>
      <c r="D44" s="109" t="s">
        <v>228</v>
      </c>
      <c r="E44" s="109" t="s">
        <v>58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>
        <v>45612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7</v>
      </c>
    </row>
    <row r="45" spans="1:29" x14ac:dyDescent="0.4">
      <c r="A45" s="136"/>
      <c r="B45" s="139"/>
      <c r="C45" s="85" t="s">
        <v>250</v>
      </c>
      <c r="D45" s="109" t="s">
        <v>177</v>
      </c>
      <c r="E45" s="109" t="s">
        <v>40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>
        <v>1</v>
      </c>
      <c r="R45" s="17"/>
      <c r="S45" s="15"/>
      <c r="T45" s="25">
        <v>45609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36"/>
      <c r="B46" s="139"/>
      <c r="C46" s="85" t="s">
        <v>251</v>
      </c>
      <c r="D46" s="109" t="s">
        <v>187</v>
      </c>
      <c r="E46" s="109" t="s">
        <v>75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45613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6"/>
      <c r="B47" s="139"/>
      <c r="C47" s="85" t="s">
        <v>252</v>
      </c>
      <c r="D47" s="109" t="s">
        <v>187</v>
      </c>
      <c r="E47" s="109" t="s">
        <v>36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45613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6"/>
      <c r="B48" s="139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6"/>
      <c r="B49" s="139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146</v>
      </c>
    </row>
    <row r="50" spans="1:28" ht="19.5" thickBot="1" x14ac:dyDescent="0.45">
      <c r="A50" s="136"/>
      <c r="B50" s="139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8</v>
      </c>
    </row>
    <row r="51" spans="1:28" ht="19.5" thickBot="1" x14ac:dyDescent="0.45">
      <c r="A51" s="136"/>
      <c r="B51" s="139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6"/>
      <c r="B52" s="139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5">
        <v>76</v>
      </c>
    </row>
    <row r="53" spans="1:28" ht="19.5" thickBot="1" x14ac:dyDescent="0.45">
      <c r="A53" s="136"/>
      <c r="B53" s="139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6"/>
    </row>
    <row r="54" spans="1:28" ht="19.5" thickBot="1" x14ac:dyDescent="0.45">
      <c r="A54" s="136"/>
      <c r="B54" s="139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6"/>
      <c r="B55" s="139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3" t="s">
        <v>73</v>
      </c>
      <c r="AB55" s="45"/>
    </row>
    <row r="56" spans="1:28" ht="19.5" thickBot="1" x14ac:dyDescent="0.45">
      <c r="A56" s="136"/>
      <c r="B56" s="139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8"/>
      <c r="AB56" s="46"/>
    </row>
    <row r="57" spans="1:28" ht="19.5" thickBot="1" x14ac:dyDescent="0.45">
      <c r="A57" s="137"/>
      <c r="B57" s="140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3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13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</v>
      </c>
      <c r="K58" s="29">
        <f t="shared" si="1"/>
        <v>1</v>
      </c>
      <c r="L58" s="29">
        <f t="shared" si="1"/>
        <v>0</v>
      </c>
      <c r="M58" s="29">
        <f t="shared" si="1"/>
        <v>7</v>
      </c>
      <c r="N58" s="29">
        <f t="shared" si="1"/>
        <v>5</v>
      </c>
      <c r="O58" s="29">
        <f t="shared" si="1"/>
        <v>5</v>
      </c>
      <c r="P58" s="29">
        <f t="shared" si="1"/>
        <v>5</v>
      </c>
      <c r="Q58" s="29">
        <f t="shared" si="1"/>
        <v>6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2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30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AYG091</v>
      </c>
      <c r="B61" s="24">
        <f>B1</f>
        <v>45587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3" t="s">
        <v>118</v>
      </c>
      <c r="Y62" s="134"/>
    </row>
    <row r="63" spans="1:28" ht="20.25" thickTop="1" thickBot="1" x14ac:dyDescent="0.45">
      <c r="A63" s="135">
        <v>3</v>
      </c>
      <c r="B63" s="141">
        <v>20.399999999999999</v>
      </c>
      <c r="C63" s="85" t="s">
        <v>253</v>
      </c>
      <c r="D63" s="109" t="s">
        <v>186</v>
      </c>
      <c r="E63" s="15" t="s">
        <v>38</v>
      </c>
      <c r="F63" s="14"/>
      <c r="G63" s="12" t="s">
        <v>178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45600</v>
      </c>
      <c r="U63" s="13" t="s">
        <v>146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36"/>
      <c r="B64" s="142"/>
      <c r="C64" s="85" t="s">
        <v>254</v>
      </c>
      <c r="D64" s="109" t="s">
        <v>189</v>
      </c>
      <c r="E64" s="15" t="s">
        <v>38</v>
      </c>
      <c r="F64" s="16"/>
      <c r="G64" s="12" t="s">
        <v>178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45601</v>
      </c>
      <c r="U64" s="13" t="s">
        <v>146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36"/>
      <c r="B65" s="142"/>
      <c r="C65" s="85" t="s">
        <v>255</v>
      </c>
      <c r="D65" s="109" t="s">
        <v>189</v>
      </c>
      <c r="E65" s="15" t="s">
        <v>37</v>
      </c>
      <c r="F65" s="16"/>
      <c r="G65" s="12" t="s">
        <v>178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45606</v>
      </c>
      <c r="U65" s="13" t="s">
        <v>146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36"/>
      <c r="B66" s="142"/>
      <c r="C66" s="85" t="s">
        <v>256</v>
      </c>
      <c r="D66" s="109" t="s">
        <v>189</v>
      </c>
      <c r="E66" s="15" t="s">
        <v>37</v>
      </c>
      <c r="F66" s="16"/>
      <c r="G66" s="12" t="s">
        <v>178</v>
      </c>
      <c r="H66" s="13"/>
      <c r="I66" s="15"/>
      <c r="J66" s="13"/>
      <c r="K66" s="15"/>
      <c r="L66" s="13"/>
      <c r="M66" s="17">
        <v>1</v>
      </c>
      <c r="N66" s="17"/>
      <c r="O66" s="17"/>
      <c r="P66" s="17"/>
      <c r="Q66" s="17">
        <v>1</v>
      </c>
      <c r="R66" s="17"/>
      <c r="S66" s="15"/>
      <c r="T66" s="25">
        <v>45606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6"/>
      <c r="B67" s="142"/>
      <c r="C67" s="85" t="s">
        <v>257</v>
      </c>
      <c r="D67" s="109" t="s">
        <v>258</v>
      </c>
      <c r="E67" s="15" t="s">
        <v>39</v>
      </c>
      <c r="F67" s="16"/>
      <c r="G67" s="12" t="s">
        <v>178</v>
      </c>
      <c r="H67" s="15"/>
      <c r="I67" s="15"/>
      <c r="J67" s="13"/>
      <c r="K67" s="15">
        <v>1</v>
      </c>
      <c r="L67" s="13"/>
      <c r="M67" s="17"/>
      <c r="N67" s="17"/>
      <c r="O67" s="17"/>
      <c r="P67" s="17"/>
      <c r="Q67" s="17"/>
      <c r="R67" s="17"/>
      <c r="S67" s="15"/>
      <c r="T67" s="25">
        <v>45626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6"/>
      <c r="B68" s="142"/>
      <c r="C68" s="85" t="s">
        <v>259</v>
      </c>
      <c r="D68" s="109" t="s">
        <v>258</v>
      </c>
      <c r="E68" s="15" t="s">
        <v>39</v>
      </c>
      <c r="F68" s="16"/>
      <c r="G68" s="12" t="s">
        <v>178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45626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6"/>
      <c r="B69" s="142"/>
      <c r="C69" s="85" t="s">
        <v>260</v>
      </c>
      <c r="D69" s="109" t="s">
        <v>231</v>
      </c>
      <c r="E69" s="15" t="s">
        <v>36</v>
      </c>
      <c r="F69" s="16"/>
      <c r="G69" s="12" t="s">
        <v>178</v>
      </c>
      <c r="H69" s="15"/>
      <c r="I69" s="15"/>
      <c r="J69" s="13"/>
      <c r="K69" s="15"/>
      <c r="L69" s="13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45612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6"/>
      <c r="B70" s="142"/>
      <c r="C70" s="85" t="s">
        <v>261</v>
      </c>
      <c r="D70" s="109" t="s">
        <v>177</v>
      </c>
      <c r="E70" s="15" t="s">
        <v>37</v>
      </c>
      <c r="F70" s="16"/>
      <c r="G70" s="12" t="s">
        <v>178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45605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6"/>
      <c r="B71" s="142"/>
      <c r="C71" s="85" t="s">
        <v>262</v>
      </c>
      <c r="D71" s="109" t="s">
        <v>177</v>
      </c>
      <c r="E71" s="15" t="s">
        <v>38</v>
      </c>
      <c r="F71" s="16"/>
      <c r="G71" s="12" t="s">
        <v>178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45608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6"/>
      <c r="B72" s="142"/>
      <c r="C72" s="85" t="s">
        <v>263</v>
      </c>
      <c r="D72" s="109" t="s">
        <v>184</v>
      </c>
      <c r="E72" s="15" t="s">
        <v>75</v>
      </c>
      <c r="F72" s="16"/>
      <c r="G72" s="12" t="s">
        <v>178</v>
      </c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>
        <v>45609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6"/>
      <c r="B73" s="142"/>
      <c r="C73" s="85" t="s">
        <v>264</v>
      </c>
      <c r="D73" s="109" t="s">
        <v>191</v>
      </c>
      <c r="E73" s="15" t="s">
        <v>58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>
        <v>45612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36"/>
      <c r="B74" s="142"/>
      <c r="C74" s="85" t="s">
        <v>265</v>
      </c>
      <c r="D74" s="109" t="s">
        <v>231</v>
      </c>
      <c r="E74" s="15" t="s">
        <v>36</v>
      </c>
      <c r="F74" s="16"/>
      <c r="G74" s="15" t="s">
        <v>178</v>
      </c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>
        <v>45622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36"/>
      <c r="B75" s="142"/>
      <c r="C75" s="85" t="s">
        <v>266</v>
      </c>
      <c r="D75" s="109" t="s">
        <v>183</v>
      </c>
      <c r="E75" s="15" t="s">
        <v>58</v>
      </c>
      <c r="F75" s="16"/>
      <c r="G75" s="15" t="s">
        <v>178</v>
      </c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>
        <v>45609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6"/>
      <c r="B76" s="142"/>
      <c r="C76" s="85" t="s">
        <v>267</v>
      </c>
      <c r="D76" s="109" t="s">
        <v>184</v>
      </c>
      <c r="E76" s="15" t="s">
        <v>40</v>
      </c>
      <c r="F76" s="16"/>
      <c r="G76" s="15" t="s">
        <v>178</v>
      </c>
      <c r="H76" s="15"/>
      <c r="I76" s="15"/>
      <c r="J76" s="15"/>
      <c r="K76" s="15"/>
      <c r="L76" s="17"/>
      <c r="M76" s="17"/>
      <c r="N76" s="17"/>
      <c r="O76" s="17">
        <v>1</v>
      </c>
      <c r="P76" s="17">
        <v>1</v>
      </c>
      <c r="Q76" s="17"/>
      <c r="R76" s="17"/>
      <c r="S76" s="15"/>
      <c r="T76" s="25">
        <v>45614</v>
      </c>
      <c r="U76" s="15" t="s">
        <v>148</v>
      </c>
      <c r="V76">
        <v>14</v>
      </c>
      <c r="AA76" s="49" t="s">
        <v>93</v>
      </c>
      <c r="AB76" s="50" t="s">
        <v>57</v>
      </c>
    </row>
    <row r="77" spans="1:28" x14ac:dyDescent="0.4">
      <c r="A77" s="136"/>
      <c r="B77" s="142"/>
      <c r="C77" s="85" t="s">
        <v>268</v>
      </c>
      <c r="D77" s="109" t="s">
        <v>184</v>
      </c>
      <c r="E77" s="15" t="s">
        <v>40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/>
      <c r="O77" s="17">
        <v>1</v>
      </c>
      <c r="P77" s="17">
        <v>1</v>
      </c>
      <c r="Q77" s="17"/>
      <c r="R77" s="17"/>
      <c r="S77" s="15"/>
      <c r="T77" s="25">
        <v>45614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36"/>
      <c r="B78" s="142"/>
      <c r="C78" s="85" t="s">
        <v>270</v>
      </c>
      <c r="D78" s="109" t="s">
        <v>269</v>
      </c>
      <c r="E78" s="15" t="s">
        <v>41</v>
      </c>
      <c r="F78" s="16"/>
      <c r="G78" s="15" t="s">
        <v>178</v>
      </c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>
        <v>45621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36"/>
      <c r="B79" s="142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6"/>
      <c r="B80" s="142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6"/>
      <c r="B81" s="142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6"/>
      <c r="B82" s="142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6"/>
      <c r="B83" s="142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6"/>
      <c r="B84" s="142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6"/>
      <c r="B85" s="142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6"/>
      <c r="B86" s="142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7"/>
      <c r="B87" s="143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2</v>
      </c>
      <c r="N88" s="29">
        <f t="shared" si="2"/>
        <v>1</v>
      </c>
      <c r="O88" s="29">
        <f t="shared" si="2"/>
        <v>2</v>
      </c>
      <c r="P88" s="29">
        <f t="shared" si="2"/>
        <v>2</v>
      </c>
      <c r="Q88" s="29">
        <f t="shared" si="2"/>
        <v>2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16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AYG091</v>
      </c>
      <c r="B91" s="24">
        <f>B1</f>
        <v>45587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3" t="s">
        <v>117</v>
      </c>
      <c r="Y92" s="134"/>
    </row>
    <row r="93" spans="1:28" ht="20.25" thickTop="1" thickBot="1" x14ac:dyDescent="0.45">
      <c r="A93" s="135">
        <v>4</v>
      </c>
      <c r="B93" s="138">
        <v>17.600000000000001</v>
      </c>
      <c r="C93" s="85" t="s">
        <v>271</v>
      </c>
      <c r="D93" s="109" t="s">
        <v>192</v>
      </c>
      <c r="E93" s="15" t="s">
        <v>59</v>
      </c>
      <c r="F93" s="14"/>
      <c r="G93" s="12" t="s">
        <v>178</v>
      </c>
      <c r="H93" s="13" t="s">
        <v>194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45614</v>
      </c>
      <c r="U93" s="13" t="s">
        <v>142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36"/>
      <c r="B94" s="139"/>
      <c r="C94" s="85" t="s">
        <v>272</v>
      </c>
      <c r="D94" s="109" t="s">
        <v>192</v>
      </c>
      <c r="E94" s="15" t="s">
        <v>59</v>
      </c>
      <c r="F94" s="16"/>
      <c r="G94" s="12" t="s">
        <v>178</v>
      </c>
      <c r="H94" s="15" t="s">
        <v>194</v>
      </c>
      <c r="I94" s="15"/>
      <c r="J94" s="15">
        <v>2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45616</v>
      </c>
      <c r="U94" s="15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36"/>
      <c r="B95" s="139"/>
      <c r="C95" s="85" t="s">
        <v>273</v>
      </c>
      <c r="D95" s="109" t="s">
        <v>192</v>
      </c>
      <c r="E95" s="15" t="s">
        <v>59</v>
      </c>
      <c r="F95" s="16"/>
      <c r="G95" s="12" t="s">
        <v>178</v>
      </c>
      <c r="H95" s="15" t="s">
        <v>194</v>
      </c>
      <c r="I95" s="15"/>
      <c r="J95" s="15">
        <v>2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45614</v>
      </c>
      <c r="U95" s="15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36"/>
      <c r="B96" s="139"/>
      <c r="C96" s="85" t="s">
        <v>274</v>
      </c>
      <c r="D96" s="109" t="s">
        <v>192</v>
      </c>
      <c r="E96" s="15" t="s">
        <v>59</v>
      </c>
      <c r="F96" s="16"/>
      <c r="G96" s="12" t="s">
        <v>178</v>
      </c>
      <c r="H96" s="15" t="s">
        <v>194</v>
      </c>
      <c r="I96" s="15"/>
      <c r="J96" s="15">
        <v>2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45616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6"/>
      <c r="B97" s="139"/>
      <c r="C97" s="85"/>
      <c r="D97" s="109"/>
      <c r="E97" s="15"/>
      <c r="F97" s="16"/>
      <c r="G97" s="12"/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/>
      <c r="U97" s="15"/>
      <c r="V97">
        <v>5</v>
      </c>
      <c r="AA97" s="49" t="s">
        <v>84</v>
      </c>
      <c r="AB97" s="50" t="s">
        <v>44</v>
      </c>
    </row>
    <row r="98" spans="1:28" x14ac:dyDescent="0.4">
      <c r="A98" s="136"/>
      <c r="B98" s="139"/>
      <c r="C98" s="85"/>
      <c r="D98" s="109"/>
      <c r="E98" s="15"/>
      <c r="F98" s="16"/>
      <c r="G98" s="12"/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/>
      <c r="U98" s="15"/>
      <c r="V98">
        <v>6</v>
      </c>
      <c r="AA98" s="49" t="s">
        <v>85</v>
      </c>
      <c r="AB98" s="50" t="s">
        <v>43</v>
      </c>
    </row>
    <row r="99" spans="1:28" x14ac:dyDescent="0.4">
      <c r="A99" s="136"/>
      <c r="B99" s="139"/>
      <c r="C99" s="85"/>
      <c r="D99" s="109"/>
      <c r="E99" s="15"/>
      <c r="F99" s="16"/>
      <c r="G99" s="12"/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/>
      <c r="U99" s="15"/>
      <c r="V99">
        <v>7</v>
      </c>
      <c r="AA99" s="49" t="s">
        <v>86</v>
      </c>
      <c r="AB99" s="50" t="s">
        <v>45</v>
      </c>
    </row>
    <row r="100" spans="1:28" x14ac:dyDescent="0.4">
      <c r="A100" s="136"/>
      <c r="B100" s="139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36"/>
      <c r="B101" s="139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36"/>
      <c r="B102" s="139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36"/>
      <c r="B103" s="139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36"/>
      <c r="B104" s="139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36"/>
      <c r="B105" s="139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5"/>
      <c r="V105">
        <v>13</v>
      </c>
      <c r="AA105" s="49" t="s">
        <v>92</v>
      </c>
      <c r="AB105" s="50" t="s">
        <v>40</v>
      </c>
    </row>
    <row r="106" spans="1:28" x14ac:dyDescent="0.4">
      <c r="A106" s="136"/>
      <c r="B106" s="139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36"/>
      <c r="B107" s="139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6"/>
      <c r="B108" s="139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6"/>
      <c r="B109" s="139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6"/>
      <c r="B110" s="139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6"/>
      <c r="B111" s="139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6"/>
      <c r="B112" s="139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6"/>
      <c r="B113" s="139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6"/>
      <c r="B114" s="139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6"/>
      <c r="B115" s="139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6"/>
      <c r="B116" s="139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7"/>
      <c r="B117" s="140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4</v>
      </c>
      <c r="D118" s="112"/>
      <c r="E118" s="29"/>
      <c r="F118" s="29" t="s">
        <v>34</v>
      </c>
      <c r="G118" s="29">
        <f>COUNTIF(G93:G117,"S")</f>
        <v>4</v>
      </c>
      <c r="H118" s="29">
        <f>COUNTIF(H93:H117,"E")</f>
        <v>4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AYG091</v>
      </c>
      <c r="B121" s="24">
        <f>B1</f>
        <v>45587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3" t="s">
        <v>116</v>
      </c>
      <c r="Y122" s="134"/>
    </row>
    <row r="123" spans="1:28" ht="20.25" thickTop="1" thickBot="1" x14ac:dyDescent="0.45">
      <c r="A123" s="135">
        <v>5</v>
      </c>
      <c r="B123" s="138">
        <v>22.8</v>
      </c>
      <c r="C123" s="85" t="s">
        <v>275</v>
      </c>
      <c r="D123" s="106" t="s">
        <v>189</v>
      </c>
      <c r="E123" s="106" t="s">
        <v>44</v>
      </c>
      <c r="F123" s="14"/>
      <c r="G123" s="12" t="s">
        <v>178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45606</v>
      </c>
      <c r="U123" s="13" t="s">
        <v>146</v>
      </c>
      <c r="V123">
        <v>1</v>
      </c>
      <c r="X123" s="51" t="s">
        <v>106</v>
      </c>
      <c r="Y123" s="52">
        <f>COUNTIF(U123:U147,"K")</f>
        <v>11</v>
      </c>
      <c r="AA123" s="59" t="s">
        <v>120</v>
      </c>
      <c r="AB123" s="60" t="s">
        <v>121</v>
      </c>
    </row>
    <row r="124" spans="1:28" x14ac:dyDescent="0.4">
      <c r="A124" s="136"/>
      <c r="B124" s="139"/>
      <c r="C124" s="85" t="s">
        <v>276</v>
      </c>
      <c r="D124" s="106" t="s">
        <v>189</v>
      </c>
      <c r="E124" s="106" t="s">
        <v>37</v>
      </c>
      <c r="F124" s="16"/>
      <c r="G124" s="12" t="s">
        <v>178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45606</v>
      </c>
      <c r="U124" s="13" t="s">
        <v>146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36"/>
      <c r="B125" s="139"/>
      <c r="C125" s="85" t="s">
        <v>277</v>
      </c>
      <c r="D125" s="106" t="s">
        <v>189</v>
      </c>
      <c r="E125" s="106" t="s">
        <v>44</v>
      </c>
      <c r="F125" s="16"/>
      <c r="G125" s="12" t="s">
        <v>178</v>
      </c>
      <c r="H125" s="13"/>
      <c r="I125" s="15"/>
      <c r="J125" s="15">
        <v>1</v>
      </c>
      <c r="K125" s="15">
        <v>1</v>
      </c>
      <c r="L125" s="17"/>
      <c r="M125" s="17"/>
      <c r="N125" s="17"/>
      <c r="O125" s="17"/>
      <c r="P125" s="17"/>
      <c r="Q125" s="17"/>
      <c r="R125" s="17"/>
      <c r="S125" s="15"/>
      <c r="T125" s="25">
        <v>45604</v>
      </c>
      <c r="U125" s="13" t="s">
        <v>146</v>
      </c>
      <c r="V125">
        <v>3</v>
      </c>
      <c r="X125" s="53" t="s">
        <v>108</v>
      </c>
      <c r="Y125" s="54">
        <f>COUNTIF(U123:U147,"J")</f>
        <v>4</v>
      </c>
      <c r="AA125" s="49" t="s">
        <v>82</v>
      </c>
      <c r="AB125" s="50" t="s">
        <v>39</v>
      </c>
    </row>
    <row r="126" spans="1:28" x14ac:dyDescent="0.4">
      <c r="A126" s="136"/>
      <c r="B126" s="139"/>
      <c r="C126" s="85" t="s">
        <v>278</v>
      </c>
      <c r="D126" s="106" t="s">
        <v>179</v>
      </c>
      <c r="E126" s="106" t="s">
        <v>39</v>
      </c>
      <c r="F126" s="16"/>
      <c r="G126" s="12" t="s">
        <v>178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45613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6"/>
      <c r="B127" s="139"/>
      <c r="C127" s="85" t="s">
        <v>279</v>
      </c>
      <c r="D127" s="106" t="s">
        <v>179</v>
      </c>
      <c r="E127" s="106" t="s">
        <v>133</v>
      </c>
      <c r="F127" s="16"/>
      <c r="G127" s="12" t="s">
        <v>178</v>
      </c>
      <c r="H127" s="15"/>
      <c r="I127" s="15"/>
      <c r="J127" s="15"/>
      <c r="K127" s="15"/>
      <c r="L127" s="17"/>
      <c r="M127" s="17"/>
      <c r="N127" s="17"/>
      <c r="O127" s="17">
        <v>1</v>
      </c>
      <c r="P127" s="17">
        <v>1</v>
      </c>
      <c r="Q127" s="17">
        <v>1</v>
      </c>
      <c r="R127" s="17">
        <v>1</v>
      </c>
      <c r="S127" s="15"/>
      <c r="T127" s="25">
        <v>45613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36"/>
      <c r="B128" s="139"/>
      <c r="C128" s="85" t="s">
        <v>280</v>
      </c>
      <c r="D128" s="106" t="s">
        <v>179</v>
      </c>
      <c r="E128" s="106" t="s">
        <v>39</v>
      </c>
      <c r="F128" s="16"/>
      <c r="G128" s="12" t="s">
        <v>178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45613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6"/>
      <c r="B129" s="139"/>
      <c r="C129" s="85" t="s">
        <v>281</v>
      </c>
      <c r="D129" s="106" t="s">
        <v>179</v>
      </c>
      <c r="E129" s="106" t="s">
        <v>133</v>
      </c>
      <c r="F129" s="16"/>
      <c r="G129" s="12" t="s">
        <v>178</v>
      </c>
      <c r="H129" s="15"/>
      <c r="I129" s="15"/>
      <c r="J129" s="15"/>
      <c r="K129" s="15"/>
      <c r="L129" s="17"/>
      <c r="M129" s="17"/>
      <c r="N129" s="17"/>
      <c r="O129" s="17">
        <v>1</v>
      </c>
      <c r="P129" s="17">
        <v>1</v>
      </c>
      <c r="Q129" s="17">
        <v>1</v>
      </c>
      <c r="R129" s="17">
        <v>1</v>
      </c>
      <c r="S129" s="15"/>
      <c r="T129" s="25">
        <v>45613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36"/>
      <c r="B130" s="139"/>
      <c r="C130" s="85" t="s">
        <v>282</v>
      </c>
      <c r="D130" s="106" t="s">
        <v>179</v>
      </c>
      <c r="E130" s="106" t="s">
        <v>39</v>
      </c>
      <c r="F130" s="16"/>
      <c r="G130" s="12" t="s">
        <v>178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45613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6"/>
      <c r="B131" s="139"/>
      <c r="C131" s="85" t="s">
        <v>283</v>
      </c>
      <c r="D131" s="106" t="s">
        <v>179</v>
      </c>
      <c r="E131" s="106" t="s">
        <v>133</v>
      </c>
      <c r="F131" s="16"/>
      <c r="G131" s="12" t="s">
        <v>178</v>
      </c>
      <c r="H131" s="15"/>
      <c r="I131" s="15"/>
      <c r="J131" s="15"/>
      <c r="K131" s="15"/>
      <c r="L131" s="17"/>
      <c r="M131" s="17"/>
      <c r="N131" s="17"/>
      <c r="O131" s="17">
        <v>1</v>
      </c>
      <c r="P131" s="17">
        <v>1</v>
      </c>
      <c r="Q131" s="17">
        <v>1</v>
      </c>
      <c r="R131" s="17">
        <v>1</v>
      </c>
      <c r="S131" s="15"/>
      <c r="T131" s="25">
        <v>45613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36"/>
      <c r="B132" s="139"/>
      <c r="C132" s="85" t="s">
        <v>284</v>
      </c>
      <c r="D132" s="106" t="s">
        <v>179</v>
      </c>
      <c r="E132" s="106" t="s">
        <v>39</v>
      </c>
      <c r="F132" s="106"/>
      <c r="G132" s="12" t="s">
        <v>178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45613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36"/>
      <c r="B133" s="139"/>
      <c r="C133" s="85" t="s">
        <v>285</v>
      </c>
      <c r="D133" s="106" t="s">
        <v>179</v>
      </c>
      <c r="E133" s="106" t="s">
        <v>133</v>
      </c>
      <c r="F133" s="16"/>
      <c r="G133" s="12" t="s">
        <v>178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45613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36"/>
      <c r="B134" s="139"/>
      <c r="C134" s="85" t="s">
        <v>286</v>
      </c>
      <c r="D134" s="106" t="s">
        <v>179</v>
      </c>
      <c r="E134" s="106" t="s">
        <v>38</v>
      </c>
      <c r="F134" s="16"/>
      <c r="G134" s="12" t="s">
        <v>178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45614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36"/>
      <c r="B135" s="139"/>
      <c r="C135" s="85" t="s">
        <v>287</v>
      </c>
      <c r="D135" s="106" t="s">
        <v>179</v>
      </c>
      <c r="E135" s="106" t="s">
        <v>38</v>
      </c>
      <c r="F135" s="16"/>
      <c r="G135" s="12" t="s">
        <v>178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45614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6"/>
      <c r="B136" s="139"/>
      <c r="C136" s="85" t="s">
        <v>288</v>
      </c>
      <c r="D136" s="106" t="s">
        <v>189</v>
      </c>
      <c r="E136" s="106" t="s">
        <v>58</v>
      </c>
      <c r="F136" s="16"/>
      <c r="G136" s="12" t="s">
        <v>178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>
        <v>1</v>
      </c>
      <c r="T136" s="25">
        <v>45609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36"/>
      <c r="B137" s="139"/>
      <c r="C137" s="85" t="s">
        <v>289</v>
      </c>
      <c r="D137" s="106" t="s">
        <v>180</v>
      </c>
      <c r="E137" s="106" t="s">
        <v>74</v>
      </c>
      <c r="F137" s="16"/>
      <c r="G137" s="12" t="s">
        <v>178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45614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36"/>
      <c r="B138" s="139"/>
      <c r="C138" s="85" t="s">
        <v>290</v>
      </c>
      <c r="D138" s="106" t="s">
        <v>179</v>
      </c>
      <c r="E138" s="106" t="s">
        <v>38</v>
      </c>
      <c r="F138" s="16"/>
      <c r="G138" s="12" t="s">
        <v>178</v>
      </c>
      <c r="H138" s="15"/>
      <c r="I138" s="15"/>
      <c r="J138" s="18">
        <v>1</v>
      </c>
      <c r="K138" s="15">
        <v>1</v>
      </c>
      <c r="L138" s="19"/>
      <c r="M138" s="19"/>
      <c r="N138" s="19"/>
      <c r="O138" s="19"/>
      <c r="P138" s="19"/>
      <c r="Q138" s="19"/>
      <c r="R138" s="19"/>
      <c r="S138" s="15"/>
      <c r="T138" s="25">
        <v>45614</v>
      </c>
      <c r="U138" s="13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36"/>
      <c r="B139" s="139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6"/>
      <c r="B140" s="139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6"/>
      <c r="B141" s="139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6"/>
      <c r="B142" s="139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6"/>
      <c r="B143" s="139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6"/>
      <c r="B144" s="139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6"/>
      <c r="B145" s="139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6"/>
      <c r="B146" s="139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7"/>
      <c r="B147" s="140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11</v>
      </c>
      <c r="K148" s="29">
        <f t="shared" ref="K148" si="14">SUM(K123:K147)</f>
        <v>9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4</v>
      </c>
      <c r="P148" s="29">
        <f t="shared" ref="P148" si="19">SUM(P123:P147)</f>
        <v>4</v>
      </c>
      <c r="Q148" s="29">
        <f t="shared" ref="Q148" si="20">SUM(Q123:Q147)</f>
        <v>4</v>
      </c>
      <c r="R148" s="29">
        <f t="shared" ref="R148" si="21">SUM(R123:R147)</f>
        <v>4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AYG091</v>
      </c>
      <c r="B151" s="24">
        <f>B1</f>
        <v>45587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3" t="s">
        <v>115</v>
      </c>
      <c r="Y152" s="134"/>
    </row>
    <row r="153" spans="1:28" ht="20.25" thickTop="1" thickBot="1" x14ac:dyDescent="0.45">
      <c r="A153" s="135">
        <v>6</v>
      </c>
      <c r="B153" s="141">
        <v>18</v>
      </c>
      <c r="C153" s="85" t="s">
        <v>291</v>
      </c>
      <c r="D153" s="106" t="s">
        <v>192</v>
      </c>
      <c r="E153" s="15" t="s">
        <v>39</v>
      </c>
      <c r="F153" s="14"/>
      <c r="G153" s="12" t="s">
        <v>178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5">
        <v>45614</v>
      </c>
      <c r="U153" s="13" t="s">
        <v>142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36"/>
      <c r="B154" s="142"/>
      <c r="C154" s="85" t="s">
        <v>292</v>
      </c>
      <c r="D154" s="106" t="s">
        <v>192</v>
      </c>
      <c r="E154" s="15" t="s">
        <v>39</v>
      </c>
      <c r="F154" s="16"/>
      <c r="G154" s="15" t="s">
        <v>178</v>
      </c>
      <c r="H154" s="15"/>
      <c r="I154" s="15"/>
      <c r="J154" s="15">
        <v>1</v>
      </c>
      <c r="K154" s="15"/>
      <c r="L154" s="17">
        <v>1</v>
      </c>
      <c r="M154" s="17"/>
      <c r="N154" s="17"/>
      <c r="O154" s="17"/>
      <c r="P154" s="17"/>
      <c r="Q154" s="17"/>
      <c r="R154" s="17"/>
      <c r="S154" s="15"/>
      <c r="T154" s="25">
        <v>45614</v>
      </c>
      <c r="U154" s="15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36"/>
      <c r="B155" s="142"/>
      <c r="C155" s="85" t="s">
        <v>293</v>
      </c>
      <c r="D155" s="106" t="s">
        <v>192</v>
      </c>
      <c r="E155" s="15" t="s">
        <v>39</v>
      </c>
      <c r="F155" s="16"/>
      <c r="G155" s="15" t="s">
        <v>178</v>
      </c>
      <c r="H155" s="13"/>
      <c r="I155" s="15"/>
      <c r="J155" s="15">
        <v>1</v>
      </c>
      <c r="K155" s="15"/>
      <c r="L155" s="17">
        <v>1</v>
      </c>
      <c r="M155" s="17"/>
      <c r="N155" s="17"/>
      <c r="O155" s="17"/>
      <c r="P155" s="17"/>
      <c r="Q155" s="17"/>
      <c r="R155" s="17"/>
      <c r="S155" s="15"/>
      <c r="T155" s="25">
        <v>45614</v>
      </c>
      <c r="U155" s="15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6"/>
      <c r="B156" s="142"/>
      <c r="C156" s="85" t="s">
        <v>294</v>
      </c>
      <c r="D156" s="106" t="s">
        <v>192</v>
      </c>
      <c r="E156" s="15" t="s">
        <v>39</v>
      </c>
      <c r="F156" s="16"/>
      <c r="G156" s="15" t="s">
        <v>178</v>
      </c>
      <c r="H156" s="15"/>
      <c r="I156" s="15"/>
      <c r="J156" s="15">
        <v>1</v>
      </c>
      <c r="K156" s="15"/>
      <c r="L156" s="17">
        <v>1</v>
      </c>
      <c r="M156" s="17"/>
      <c r="N156" s="17"/>
      <c r="O156" s="17"/>
      <c r="P156" s="17"/>
      <c r="Q156" s="17"/>
      <c r="R156" s="17"/>
      <c r="S156" s="15"/>
      <c r="T156" s="25">
        <v>45614</v>
      </c>
      <c r="U156" s="15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6"/>
      <c r="B157" s="142"/>
      <c r="C157" s="85" t="s">
        <v>295</v>
      </c>
      <c r="D157" s="106" t="s">
        <v>192</v>
      </c>
      <c r="E157" s="15" t="s">
        <v>39</v>
      </c>
      <c r="F157" s="16"/>
      <c r="G157" s="15" t="s">
        <v>178</v>
      </c>
      <c r="H157" s="15"/>
      <c r="I157" s="15"/>
      <c r="J157" s="15">
        <v>1</v>
      </c>
      <c r="K157" s="15"/>
      <c r="L157" s="17">
        <v>1</v>
      </c>
      <c r="M157" s="17"/>
      <c r="N157" s="17"/>
      <c r="O157" s="17"/>
      <c r="P157" s="17"/>
      <c r="Q157" s="17"/>
      <c r="R157" s="17"/>
      <c r="S157" s="15"/>
      <c r="T157" s="25">
        <v>45619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6"/>
      <c r="B158" s="142"/>
      <c r="C158" s="85" t="s">
        <v>296</v>
      </c>
      <c r="D158" s="106" t="s">
        <v>192</v>
      </c>
      <c r="E158" s="15" t="s">
        <v>39</v>
      </c>
      <c r="F158" s="16"/>
      <c r="G158" s="13" t="s">
        <v>178</v>
      </c>
      <c r="H158" s="13"/>
      <c r="I158" s="15"/>
      <c r="J158" s="15">
        <v>1</v>
      </c>
      <c r="K158" s="15"/>
      <c r="L158" s="17">
        <v>1</v>
      </c>
      <c r="M158" s="17"/>
      <c r="N158" s="17"/>
      <c r="O158" s="17"/>
      <c r="P158" s="17"/>
      <c r="Q158" s="17"/>
      <c r="R158" s="17"/>
      <c r="S158" s="15"/>
      <c r="T158" s="25">
        <v>45619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6"/>
      <c r="B159" s="142"/>
      <c r="C159" s="85" t="s">
        <v>297</v>
      </c>
      <c r="D159" s="106" t="s">
        <v>192</v>
      </c>
      <c r="E159" s="15" t="s">
        <v>39</v>
      </c>
      <c r="F159" s="16"/>
      <c r="G159" s="15" t="s">
        <v>178</v>
      </c>
      <c r="H159" s="15"/>
      <c r="I159" s="15"/>
      <c r="J159" s="15">
        <v>1</v>
      </c>
      <c r="K159" s="15"/>
      <c r="L159" s="17">
        <v>1</v>
      </c>
      <c r="M159" s="17"/>
      <c r="N159" s="17"/>
      <c r="O159" s="17"/>
      <c r="P159" s="17"/>
      <c r="Q159" s="17"/>
      <c r="R159" s="17"/>
      <c r="S159" s="15"/>
      <c r="T159" s="25">
        <v>45619</v>
      </c>
      <c r="U159" s="15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6"/>
      <c r="B160" s="142"/>
      <c r="C160" s="85"/>
      <c r="D160" s="106"/>
      <c r="E160" s="15"/>
      <c r="F160" s="16"/>
      <c r="G160" s="15"/>
      <c r="H160" s="15"/>
      <c r="I160" s="15"/>
      <c r="J160" s="15"/>
      <c r="K160" s="15"/>
      <c r="L160" s="17"/>
      <c r="M160" s="17"/>
      <c r="N160" s="17"/>
      <c r="O160" s="17"/>
      <c r="P160" s="17"/>
      <c r="Q160" s="17"/>
      <c r="R160" s="17"/>
      <c r="S160" s="15"/>
      <c r="T160" s="25"/>
      <c r="U160" s="15"/>
      <c r="V160">
        <v>8</v>
      </c>
      <c r="AA160" s="49" t="s">
        <v>87</v>
      </c>
      <c r="AB160" s="50" t="s">
        <v>37</v>
      </c>
    </row>
    <row r="161" spans="1:28" x14ac:dyDescent="0.4">
      <c r="A161" s="136"/>
      <c r="B161" s="142"/>
      <c r="C161" s="85"/>
      <c r="D161" s="106"/>
      <c r="E161" s="15"/>
      <c r="F161" s="16"/>
      <c r="G161" s="15"/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/>
      <c r="T161" s="25"/>
      <c r="U161" s="15"/>
      <c r="V161">
        <v>9</v>
      </c>
      <c r="AA161" s="49" t="s">
        <v>88</v>
      </c>
      <c r="AB161" s="50" t="s">
        <v>74</v>
      </c>
    </row>
    <row r="162" spans="1:28" x14ac:dyDescent="0.4">
      <c r="A162" s="136"/>
      <c r="B162" s="142"/>
      <c r="C162" s="85"/>
      <c r="D162" s="106"/>
      <c r="E162" s="15"/>
      <c r="F162" s="16"/>
      <c r="G162" s="15"/>
      <c r="H162" s="15"/>
      <c r="I162" s="15"/>
      <c r="J162" s="15"/>
      <c r="K162" s="15"/>
      <c r="L162" s="17"/>
      <c r="M162" s="17"/>
      <c r="N162" s="17"/>
      <c r="O162" s="17"/>
      <c r="P162" s="17"/>
      <c r="Q162" s="17"/>
      <c r="R162" s="17"/>
      <c r="S162" s="15"/>
      <c r="T162" s="25"/>
      <c r="U162" s="15"/>
      <c r="V162">
        <v>10</v>
      </c>
      <c r="AA162" s="49" t="s">
        <v>89</v>
      </c>
      <c r="AB162" s="50" t="s">
        <v>36</v>
      </c>
    </row>
    <row r="163" spans="1:28" x14ac:dyDescent="0.4">
      <c r="A163" s="136"/>
      <c r="B163" s="142"/>
      <c r="C163" s="85"/>
      <c r="D163" s="106"/>
      <c r="E163" s="15"/>
      <c r="F163" s="16"/>
      <c r="G163" s="15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/>
      <c r="U163" s="15"/>
      <c r="V163">
        <v>11</v>
      </c>
      <c r="AA163" s="49" t="s">
        <v>90</v>
      </c>
      <c r="AB163" s="50" t="s">
        <v>58</v>
      </c>
    </row>
    <row r="164" spans="1:28" x14ac:dyDescent="0.4">
      <c r="A164" s="136"/>
      <c r="B164" s="142"/>
      <c r="C164" s="85"/>
      <c r="D164" s="106"/>
      <c r="E164" s="15"/>
      <c r="F164" s="16"/>
      <c r="G164" s="15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5"/>
      <c r="V164">
        <v>12</v>
      </c>
      <c r="AA164" s="49" t="s">
        <v>91</v>
      </c>
      <c r="AB164" s="50" t="s">
        <v>75</v>
      </c>
    </row>
    <row r="165" spans="1:28" x14ac:dyDescent="0.4">
      <c r="A165" s="136"/>
      <c r="B165" s="142"/>
      <c r="C165" s="85"/>
      <c r="D165" s="106"/>
      <c r="E165" s="15"/>
      <c r="F165" s="16"/>
      <c r="G165" s="15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05"/>
      <c r="V165">
        <v>13</v>
      </c>
      <c r="AA165" s="49" t="s">
        <v>92</v>
      </c>
      <c r="AB165" s="50" t="s">
        <v>40</v>
      </c>
    </row>
    <row r="166" spans="1:28" x14ac:dyDescent="0.4">
      <c r="A166" s="136"/>
      <c r="B166" s="142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36"/>
      <c r="B167" s="142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36"/>
      <c r="B168" s="142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6"/>
      <c r="B169" s="142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6"/>
      <c r="B170" s="142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6"/>
      <c r="B171" s="142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6"/>
      <c r="B172" s="142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6"/>
      <c r="B173" s="142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6"/>
      <c r="B174" s="142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6"/>
      <c r="B175" s="142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6"/>
      <c r="B176" s="142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7"/>
      <c r="B177" s="143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7</v>
      </c>
      <c r="D178" s="112"/>
      <c r="E178" s="29"/>
      <c r="F178" s="29" t="s">
        <v>34</v>
      </c>
      <c r="G178" s="29">
        <f>COUNTIF(G153:G177,"S")</f>
        <v>7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7</v>
      </c>
      <c r="K178" s="29">
        <f t="shared" ref="K178" si="24">SUM(K153:K177)</f>
        <v>0</v>
      </c>
      <c r="L178" s="29">
        <f t="shared" ref="L178" si="25">SUM(L153:L177)</f>
        <v>7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3" t="s">
        <v>114</v>
      </c>
      <c r="Y182" s="134"/>
    </row>
    <row r="183" spans="1:28" ht="20.25" thickTop="1" thickBot="1" x14ac:dyDescent="0.45">
      <c r="A183" s="135">
        <v>7</v>
      </c>
      <c r="B183" s="141">
        <v>21.6</v>
      </c>
      <c r="C183" s="85" t="s">
        <v>298</v>
      </c>
      <c r="D183" s="110" t="s">
        <v>192</v>
      </c>
      <c r="E183" s="18" t="s">
        <v>39</v>
      </c>
      <c r="F183" s="16"/>
      <c r="G183" s="18" t="s">
        <v>185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45614</v>
      </c>
      <c r="U183" s="15" t="s">
        <v>146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36"/>
      <c r="B184" s="142"/>
      <c r="C184" s="85" t="s">
        <v>299</v>
      </c>
      <c r="D184" s="106" t="s">
        <v>192</v>
      </c>
      <c r="E184" s="15" t="s">
        <v>39</v>
      </c>
      <c r="F184" s="16"/>
      <c r="G184" s="18" t="s">
        <v>185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45619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36"/>
      <c r="B185" s="142"/>
      <c r="C185" s="85" t="s">
        <v>300</v>
      </c>
      <c r="D185" s="106" t="s">
        <v>192</v>
      </c>
      <c r="E185" s="15" t="s">
        <v>39</v>
      </c>
      <c r="F185" s="16"/>
      <c r="G185" s="18" t="s">
        <v>185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45620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36"/>
      <c r="B186" s="142"/>
      <c r="C186" s="85" t="s">
        <v>301</v>
      </c>
      <c r="D186" s="106" t="s">
        <v>192</v>
      </c>
      <c r="E186" s="13" t="s">
        <v>39</v>
      </c>
      <c r="F186" s="16"/>
      <c r="G186" s="18" t="s">
        <v>185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45620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36"/>
      <c r="B187" s="142"/>
      <c r="C187" s="85" t="s">
        <v>302</v>
      </c>
      <c r="D187" s="106" t="s">
        <v>192</v>
      </c>
      <c r="E187" s="13" t="s">
        <v>39</v>
      </c>
      <c r="F187" s="16"/>
      <c r="G187" s="18" t="s">
        <v>185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45620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36"/>
      <c r="B188" s="142"/>
      <c r="C188" s="85" t="s">
        <v>303</v>
      </c>
      <c r="D188" s="106" t="s">
        <v>192</v>
      </c>
      <c r="E188" s="13" t="s">
        <v>39</v>
      </c>
      <c r="F188" s="16"/>
      <c r="G188" s="18" t="s">
        <v>185</v>
      </c>
      <c r="H188" s="13"/>
      <c r="I188" s="15"/>
      <c r="J188" s="15">
        <v>1</v>
      </c>
      <c r="K188" s="15"/>
      <c r="L188" s="17">
        <v>1</v>
      </c>
      <c r="M188" s="17"/>
      <c r="N188" s="17"/>
      <c r="O188" s="17"/>
      <c r="P188" s="17"/>
      <c r="Q188" s="17"/>
      <c r="R188" s="17"/>
      <c r="S188" s="15"/>
      <c r="T188" s="25">
        <v>45620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36"/>
      <c r="B189" s="142"/>
      <c r="C189" s="85" t="s">
        <v>304</v>
      </c>
      <c r="D189" s="106" t="s">
        <v>192</v>
      </c>
      <c r="E189" s="13" t="s">
        <v>39</v>
      </c>
      <c r="F189" s="16"/>
      <c r="G189" s="18" t="s">
        <v>178</v>
      </c>
      <c r="H189" s="15"/>
      <c r="I189" s="15"/>
      <c r="J189" s="15">
        <v>1</v>
      </c>
      <c r="K189" s="15"/>
      <c r="L189" s="17">
        <v>1</v>
      </c>
      <c r="M189" s="17"/>
      <c r="N189" s="17"/>
      <c r="O189" s="17"/>
      <c r="P189" s="17"/>
      <c r="Q189" s="17"/>
      <c r="R189" s="17"/>
      <c r="S189" s="15"/>
      <c r="T189" s="25">
        <v>45619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6"/>
      <c r="B190" s="142"/>
      <c r="C190" s="85" t="s">
        <v>305</v>
      </c>
      <c r="D190" s="106" t="s">
        <v>192</v>
      </c>
      <c r="E190" s="13" t="s">
        <v>39</v>
      </c>
      <c r="F190" s="16"/>
      <c r="G190" s="18" t="s">
        <v>178</v>
      </c>
      <c r="H190" s="15"/>
      <c r="I190" s="15"/>
      <c r="J190" s="15">
        <v>1</v>
      </c>
      <c r="K190" s="15"/>
      <c r="L190" s="17">
        <v>1</v>
      </c>
      <c r="M190" s="17"/>
      <c r="N190" s="17"/>
      <c r="O190" s="17"/>
      <c r="P190" s="17"/>
      <c r="Q190" s="17"/>
      <c r="R190" s="17"/>
      <c r="S190" s="15"/>
      <c r="T190" s="25">
        <v>45619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6"/>
      <c r="B191" s="142"/>
      <c r="C191" s="85"/>
      <c r="D191" s="106"/>
      <c r="E191" s="13"/>
      <c r="F191" s="16"/>
      <c r="G191" s="18"/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/>
      <c r="U191" s="25"/>
      <c r="V191">
        <v>9</v>
      </c>
      <c r="AA191" s="49" t="s">
        <v>88</v>
      </c>
      <c r="AB191" s="50" t="s">
        <v>74</v>
      </c>
    </row>
    <row r="192" spans="1:28" x14ac:dyDescent="0.4">
      <c r="A192" s="136"/>
      <c r="B192" s="142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36"/>
      <c r="B193" s="142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36"/>
      <c r="B194" s="142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36"/>
      <c r="B195" s="142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36"/>
      <c r="B196" s="142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36"/>
      <c r="B197" s="142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36"/>
      <c r="B198" s="142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6"/>
      <c r="B199" s="142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6"/>
      <c r="B200" s="142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6"/>
      <c r="B201" s="142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6"/>
      <c r="B202" s="142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6"/>
      <c r="B203" s="142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6"/>
      <c r="B204" s="142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6"/>
      <c r="B205" s="142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6"/>
      <c r="B206" s="142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7"/>
      <c r="B207" s="143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8</v>
      </c>
      <c r="D208" s="112"/>
      <c r="E208" s="29"/>
      <c r="F208" s="29" t="s">
        <v>34</v>
      </c>
      <c r="G208" s="29">
        <f>COUNTIF(G183:G207,"S")</f>
        <v>2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0</v>
      </c>
      <c r="L208" s="29">
        <f t="shared" ref="L208" si="35">SUM(L183:L207)</f>
        <v>8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6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AYG091</v>
      </c>
      <c r="B211" s="24">
        <f>B1</f>
        <v>45587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3" t="s">
        <v>113</v>
      </c>
      <c r="Y212" s="134"/>
    </row>
    <row r="213" spans="1:28" ht="20.25" thickTop="1" thickBot="1" x14ac:dyDescent="0.45">
      <c r="A213" s="135">
        <v>8</v>
      </c>
      <c r="B213" s="141">
        <v>20.2</v>
      </c>
      <c r="C213" s="85" t="s">
        <v>306</v>
      </c>
      <c r="D213" s="106" t="s">
        <v>231</v>
      </c>
      <c r="E213" s="15" t="s">
        <v>36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>
        <v>1</v>
      </c>
      <c r="R213" s="17"/>
      <c r="S213" s="15"/>
      <c r="T213" s="25">
        <v>45634</v>
      </c>
      <c r="U213" s="15" t="s">
        <v>147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36"/>
      <c r="B214" s="142"/>
      <c r="C214" s="85" t="s">
        <v>307</v>
      </c>
      <c r="D214" s="106" t="s">
        <v>197</v>
      </c>
      <c r="E214" s="15" t="s">
        <v>74</v>
      </c>
      <c r="F214" s="16"/>
      <c r="G214" s="15" t="s">
        <v>178</v>
      </c>
      <c r="H214" s="15"/>
      <c r="I214" s="15"/>
      <c r="J214" s="15"/>
      <c r="K214" s="15"/>
      <c r="L214" s="17"/>
      <c r="M214" s="17">
        <v>1</v>
      </c>
      <c r="N214" s="17">
        <v>1</v>
      </c>
      <c r="O214" s="17"/>
      <c r="P214" s="17"/>
      <c r="Q214" s="17">
        <v>1</v>
      </c>
      <c r="R214" s="17"/>
      <c r="S214" s="15"/>
      <c r="T214" s="25">
        <v>45631</v>
      </c>
      <c r="U214" s="15" t="s">
        <v>147</v>
      </c>
      <c r="V214">
        <v>2</v>
      </c>
      <c r="X214" s="51" t="s">
        <v>107</v>
      </c>
      <c r="Y214" s="52">
        <f>COUNTIF(U213:U237,"R")</f>
        <v>9</v>
      </c>
      <c r="AA214" s="47" t="s">
        <v>81</v>
      </c>
      <c r="AB214" s="48" t="s">
        <v>60</v>
      </c>
    </row>
    <row r="215" spans="1:28" ht="19.5" thickBot="1" x14ac:dyDescent="0.45">
      <c r="A215" s="136"/>
      <c r="B215" s="142"/>
      <c r="C215" s="85" t="s">
        <v>308</v>
      </c>
      <c r="D215" s="106" t="s">
        <v>197</v>
      </c>
      <c r="E215" s="15" t="s">
        <v>37</v>
      </c>
      <c r="F215" s="16"/>
      <c r="G215" s="15" t="s">
        <v>178</v>
      </c>
      <c r="H215" s="15"/>
      <c r="I215" s="15"/>
      <c r="J215" s="15"/>
      <c r="K215" s="15"/>
      <c r="L215" s="17"/>
      <c r="M215" s="17">
        <v>1</v>
      </c>
      <c r="N215" s="17">
        <v>1</v>
      </c>
      <c r="O215" s="17"/>
      <c r="P215" s="17"/>
      <c r="Q215" s="17">
        <v>1</v>
      </c>
      <c r="R215" s="17"/>
      <c r="S215" s="15"/>
      <c r="T215" s="25">
        <v>45629</v>
      </c>
      <c r="U215" s="15" t="s">
        <v>147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36"/>
      <c r="B216" s="142"/>
      <c r="C216" s="85" t="s">
        <v>309</v>
      </c>
      <c r="D216" s="106" t="s">
        <v>177</v>
      </c>
      <c r="E216" s="15" t="s">
        <v>36</v>
      </c>
      <c r="F216" s="16"/>
      <c r="G216" s="15" t="s">
        <v>178</v>
      </c>
      <c r="H216" s="15"/>
      <c r="I216" s="15"/>
      <c r="J216" s="15"/>
      <c r="K216" s="15"/>
      <c r="L216" s="19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45608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36"/>
      <c r="B217" s="142"/>
      <c r="C217" s="85" t="s">
        <v>310</v>
      </c>
      <c r="D217" s="106" t="s">
        <v>177</v>
      </c>
      <c r="E217" s="15" t="s">
        <v>37</v>
      </c>
      <c r="F217" s="16"/>
      <c r="G217" s="15" t="s">
        <v>178</v>
      </c>
      <c r="H217" s="15"/>
      <c r="I217" s="15"/>
      <c r="J217" s="18"/>
      <c r="K217" s="15"/>
      <c r="L217" s="19"/>
      <c r="M217" s="19">
        <v>1</v>
      </c>
      <c r="N217" s="19">
        <v>1</v>
      </c>
      <c r="O217" s="19"/>
      <c r="P217" s="19"/>
      <c r="Q217" s="19"/>
      <c r="R217" s="19"/>
      <c r="S217" s="15"/>
      <c r="T217" s="25">
        <v>45614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36"/>
      <c r="B218" s="142"/>
      <c r="C218" s="85" t="s">
        <v>311</v>
      </c>
      <c r="D218" s="106" t="s">
        <v>177</v>
      </c>
      <c r="E218" s="15" t="s">
        <v>37</v>
      </c>
      <c r="F218" s="16"/>
      <c r="G218" s="15" t="s">
        <v>178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45614</v>
      </c>
      <c r="U218" s="15" t="s">
        <v>142</v>
      </c>
      <c r="V218">
        <v>6</v>
      </c>
      <c r="AA218" s="49" t="s">
        <v>85</v>
      </c>
      <c r="AB218" s="50" t="s">
        <v>43</v>
      </c>
    </row>
    <row r="219" spans="1:28" x14ac:dyDescent="0.4">
      <c r="A219" s="136"/>
      <c r="B219" s="142"/>
      <c r="C219" s="85" t="s">
        <v>312</v>
      </c>
      <c r="D219" s="106" t="s">
        <v>177</v>
      </c>
      <c r="E219" s="15" t="s">
        <v>75</v>
      </c>
      <c r="F219" s="16"/>
      <c r="G219" s="15" t="s">
        <v>178</v>
      </c>
      <c r="H219" s="15"/>
      <c r="I219" s="15"/>
      <c r="J219" s="18"/>
      <c r="K219" s="15"/>
      <c r="L219" s="19"/>
      <c r="M219" s="19"/>
      <c r="N219" s="19"/>
      <c r="O219" s="19"/>
      <c r="P219" s="19"/>
      <c r="Q219" s="19"/>
      <c r="R219" s="19"/>
      <c r="S219" s="15">
        <v>1</v>
      </c>
      <c r="T219" s="25">
        <v>45614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36"/>
      <c r="B220" s="142"/>
      <c r="C220" s="85" t="s">
        <v>313</v>
      </c>
      <c r="D220" s="106" t="s">
        <v>177</v>
      </c>
      <c r="E220" s="15" t="s">
        <v>40</v>
      </c>
      <c r="F220" s="16"/>
      <c r="G220" s="15" t="s">
        <v>178</v>
      </c>
      <c r="H220" s="15"/>
      <c r="I220" s="15"/>
      <c r="J220" s="18"/>
      <c r="K220" s="15"/>
      <c r="L220" s="19"/>
      <c r="M220" s="19"/>
      <c r="N220" s="19"/>
      <c r="O220" s="19">
        <v>1</v>
      </c>
      <c r="P220" s="19">
        <v>1</v>
      </c>
      <c r="Q220" s="19"/>
      <c r="R220" s="19">
        <v>1</v>
      </c>
      <c r="S220" s="15"/>
      <c r="T220" s="25">
        <v>45616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36"/>
      <c r="B221" s="142"/>
      <c r="C221" s="85" t="s">
        <v>314</v>
      </c>
      <c r="D221" s="106" t="s">
        <v>187</v>
      </c>
      <c r="E221" s="15" t="s">
        <v>36</v>
      </c>
      <c r="F221" s="16"/>
      <c r="G221" s="15" t="s">
        <v>178</v>
      </c>
      <c r="H221" s="15"/>
      <c r="I221" s="15"/>
      <c r="J221" s="18"/>
      <c r="K221" s="15"/>
      <c r="L221" s="19"/>
      <c r="M221" s="19">
        <v>1</v>
      </c>
      <c r="N221" s="19">
        <v>1</v>
      </c>
      <c r="O221" s="19"/>
      <c r="P221" s="19"/>
      <c r="Q221" s="19">
        <v>1</v>
      </c>
      <c r="R221" s="19"/>
      <c r="S221" s="15"/>
      <c r="T221" s="25">
        <v>45614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36"/>
      <c r="B222" s="142"/>
      <c r="C222" s="85" t="s">
        <v>315</v>
      </c>
      <c r="D222" s="106" t="s">
        <v>177</v>
      </c>
      <c r="E222" s="15" t="s">
        <v>44</v>
      </c>
      <c r="F222" s="16"/>
      <c r="G222" s="15" t="s">
        <v>178</v>
      </c>
      <c r="H222" s="15"/>
      <c r="I222" s="15"/>
      <c r="J222" s="15"/>
      <c r="K222" s="15"/>
      <c r="L222" s="17"/>
      <c r="M222" s="17">
        <v>1</v>
      </c>
      <c r="N222" s="17">
        <v>1</v>
      </c>
      <c r="O222" s="17"/>
      <c r="P222" s="17"/>
      <c r="Q222" s="17">
        <v>1</v>
      </c>
      <c r="R222" s="17"/>
      <c r="S222" s="15"/>
      <c r="T222" s="25">
        <v>45612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36"/>
      <c r="B223" s="142"/>
      <c r="C223" s="85" t="s">
        <v>316</v>
      </c>
      <c r="D223" s="106">
        <v>1180</v>
      </c>
      <c r="E223" s="15" t="s">
        <v>37</v>
      </c>
      <c r="F223" s="16"/>
      <c r="G223" s="15" t="s">
        <v>178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45614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6"/>
      <c r="B224" s="142"/>
      <c r="C224" s="85" t="s">
        <v>317</v>
      </c>
      <c r="D224" s="106" t="s">
        <v>198</v>
      </c>
      <c r="E224" s="15" t="s">
        <v>38</v>
      </c>
      <c r="F224" s="16"/>
      <c r="G224" s="15" t="s">
        <v>178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45613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6"/>
      <c r="B225" s="142"/>
      <c r="C225" s="85" t="s">
        <v>318</v>
      </c>
      <c r="D225" s="106" t="s">
        <v>198</v>
      </c>
      <c r="E225" s="13" t="s">
        <v>38</v>
      </c>
      <c r="F225" s="16"/>
      <c r="G225" s="15" t="s">
        <v>178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45613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36"/>
      <c r="B226" s="142"/>
      <c r="C226" s="85" t="s">
        <v>319</v>
      </c>
      <c r="D226" s="106" t="s">
        <v>193</v>
      </c>
      <c r="E226" s="13" t="s">
        <v>38</v>
      </c>
      <c r="F226" s="16"/>
      <c r="G226" s="15" t="s">
        <v>178</v>
      </c>
      <c r="H226" s="15"/>
      <c r="I226" s="15"/>
      <c r="J226" s="15"/>
      <c r="K226" s="15"/>
      <c r="L226" s="17"/>
      <c r="M226" s="17">
        <v>1</v>
      </c>
      <c r="N226" s="17"/>
      <c r="O226" s="17"/>
      <c r="P226" s="17"/>
      <c r="Q226" s="17">
        <v>1</v>
      </c>
      <c r="R226" s="17"/>
      <c r="S226" s="15"/>
      <c r="T226" s="25">
        <v>45626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36"/>
      <c r="B227" s="142"/>
      <c r="C227" s="85" t="s">
        <v>320</v>
      </c>
      <c r="D227" s="109" t="s">
        <v>183</v>
      </c>
      <c r="E227" s="15" t="s">
        <v>44</v>
      </c>
      <c r="F227" s="16"/>
      <c r="G227" s="15" t="s">
        <v>178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6">
        <v>45622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6"/>
      <c r="B228" s="142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6"/>
      <c r="B229" s="142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6"/>
      <c r="B230" s="142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6"/>
      <c r="B231" s="142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6"/>
      <c r="B232" s="142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6"/>
      <c r="B233" s="142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6"/>
      <c r="B234" s="142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6"/>
      <c r="B235" s="142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6"/>
      <c r="B236" s="142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7"/>
      <c r="B237" s="143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7</v>
      </c>
      <c r="N238" s="29">
        <f t="shared" ref="N238" si="47">SUM(N213:N237)</f>
        <v>6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7</v>
      </c>
      <c r="R238" s="29">
        <f t="shared" ref="R238" si="51">SUM(R213:R237)</f>
        <v>1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AYG091</v>
      </c>
      <c r="B241" s="24">
        <f>B1</f>
        <v>45587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7" t="s">
        <v>112</v>
      </c>
      <c r="Y242" s="147"/>
    </row>
    <row r="243" spans="1:28" ht="20.25" thickTop="1" thickBot="1" x14ac:dyDescent="0.45">
      <c r="A243" s="135">
        <v>9</v>
      </c>
      <c r="B243" s="141">
        <v>21</v>
      </c>
      <c r="C243" s="85" t="s">
        <v>321</v>
      </c>
      <c r="D243" s="109" t="s">
        <v>177</v>
      </c>
      <c r="E243" s="13" t="s">
        <v>74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45609</v>
      </c>
      <c r="U243" s="13" t="s">
        <v>146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36"/>
      <c r="B244" s="142"/>
      <c r="C244" s="85" t="s">
        <v>322</v>
      </c>
      <c r="D244" s="109" t="s">
        <v>184</v>
      </c>
      <c r="E244" s="13" t="s">
        <v>37</v>
      </c>
      <c r="F244" s="16"/>
      <c r="G244" s="12" t="s">
        <v>178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45609</v>
      </c>
      <c r="U244" s="13" t="s">
        <v>146</v>
      </c>
      <c r="V244">
        <v>2</v>
      </c>
      <c r="X244" t="s">
        <v>107</v>
      </c>
      <c r="Y244">
        <f>COUNTIF(U243:U267,"R")</f>
        <v>4</v>
      </c>
      <c r="AA244" s="47" t="s">
        <v>81</v>
      </c>
      <c r="AB244" s="48" t="s">
        <v>60</v>
      </c>
    </row>
    <row r="245" spans="1:28" x14ac:dyDescent="0.4">
      <c r="A245" s="136"/>
      <c r="B245" s="142"/>
      <c r="C245" s="85" t="s">
        <v>323</v>
      </c>
      <c r="D245" s="109" t="s">
        <v>186</v>
      </c>
      <c r="E245" s="13" t="s">
        <v>44</v>
      </c>
      <c r="F245" s="16"/>
      <c r="G245" s="12" t="s">
        <v>178</v>
      </c>
      <c r="H245" s="15"/>
      <c r="I245" s="15"/>
      <c r="J245" s="15"/>
      <c r="K245" s="15"/>
      <c r="L245" s="17"/>
      <c r="M245" s="17">
        <v>1</v>
      </c>
      <c r="N245" s="17"/>
      <c r="O245" s="17"/>
      <c r="P245" s="17"/>
      <c r="Q245" s="17">
        <v>1</v>
      </c>
      <c r="R245" s="17"/>
      <c r="S245" s="15"/>
      <c r="T245" s="26">
        <v>45607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36"/>
      <c r="B246" s="142"/>
      <c r="C246" s="85" t="s">
        <v>324</v>
      </c>
      <c r="D246" s="109" t="s">
        <v>186</v>
      </c>
      <c r="E246" s="13" t="s">
        <v>40</v>
      </c>
      <c r="F246" s="16"/>
      <c r="G246" s="12" t="s">
        <v>178</v>
      </c>
      <c r="H246" s="15"/>
      <c r="I246" s="15"/>
      <c r="J246" s="15"/>
      <c r="K246" s="15"/>
      <c r="L246" s="17"/>
      <c r="M246" s="17"/>
      <c r="N246" s="17"/>
      <c r="O246" s="17">
        <v>1</v>
      </c>
      <c r="P246" s="17">
        <v>1</v>
      </c>
      <c r="Q246" s="17"/>
      <c r="R246" s="17"/>
      <c r="S246" s="15"/>
      <c r="T246" s="26">
        <v>45609</v>
      </c>
      <c r="U246" s="13" t="s">
        <v>148</v>
      </c>
      <c r="V246">
        <v>4</v>
      </c>
      <c r="AA246" s="49" t="s">
        <v>83</v>
      </c>
      <c r="AB246" s="50" t="s">
        <v>38</v>
      </c>
    </row>
    <row r="247" spans="1:28" x14ac:dyDescent="0.4">
      <c r="A247" s="136"/>
      <c r="B247" s="142"/>
      <c r="C247" s="85" t="s">
        <v>325</v>
      </c>
      <c r="D247" s="109" t="s">
        <v>177</v>
      </c>
      <c r="E247" s="13" t="s">
        <v>38</v>
      </c>
      <c r="F247" s="16"/>
      <c r="G247" s="12" t="s">
        <v>178</v>
      </c>
      <c r="H247" s="15"/>
      <c r="I247" s="15"/>
      <c r="J247" s="15">
        <v>1</v>
      </c>
      <c r="K247" s="15">
        <v>1</v>
      </c>
      <c r="L247" s="17"/>
      <c r="M247" s="17">
        <v>1</v>
      </c>
      <c r="N247" s="17">
        <v>1</v>
      </c>
      <c r="O247" s="17"/>
      <c r="P247" s="17"/>
      <c r="Q247" s="17"/>
      <c r="R247" s="17"/>
      <c r="S247" s="15"/>
      <c r="T247" s="26">
        <v>45607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36"/>
      <c r="B248" s="142"/>
      <c r="C248" s="85" t="s">
        <v>326</v>
      </c>
      <c r="D248" s="109" t="s">
        <v>190</v>
      </c>
      <c r="E248" s="13" t="s">
        <v>44</v>
      </c>
      <c r="F248" s="16"/>
      <c r="G248" s="12" t="s">
        <v>178</v>
      </c>
      <c r="H248" s="13"/>
      <c r="I248" s="15"/>
      <c r="J248" s="15">
        <v>1</v>
      </c>
      <c r="K248" s="15">
        <v>1</v>
      </c>
      <c r="L248" s="17"/>
      <c r="M248" s="17"/>
      <c r="N248" s="17"/>
      <c r="O248" s="17"/>
      <c r="P248" s="17"/>
      <c r="Q248" s="17"/>
      <c r="R248" s="17"/>
      <c r="S248" s="15"/>
      <c r="T248" s="26">
        <v>45612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6"/>
      <c r="B249" s="142"/>
      <c r="C249" s="85" t="s">
        <v>327</v>
      </c>
      <c r="D249" s="109" t="s">
        <v>186</v>
      </c>
      <c r="E249" s="13" t="s">
        <v>36</v>
      </c>
      <c r="F249" s="16"/>
      <c r="G249" s="12" t="s">
        <v>178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45609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6"/>
      <c r="B250" s="142"/>
      <c r="C250" s="85" t="s">
        <v>328</v>
      </c>
      <c r="D250" s="109" t="s">
        <v>193</v>
      </c>
      <c r="E250" s="13" t="s">
        <v>38</v>
      </c>
      <c r="F250" s="16"/>
      <c r="G250" s="12" t="s">
        <v>178</v>
      </c>
      <c r="H250" s="15"/>
      <c r="I250" s="15"/>
      <c r="J250" s="15">
        <v>1</v>
      </c>
      <c r="K250" s="15">
        <v>1</v>
      </c>
      <c r="L250" s="17"/>
      <c r="M250" s="17"/>
      <c r="N250" s="17"/>
      <c r="O250" s="17"/>
      <c r="P250" s="17"/>
      <c r="Q250" s="17"/>
      <c r="R250" s="17"/>
      <c r="S250" s="15"/>
      <c r="T250" s="26">
        <v>45622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6"/>
      <c r="B251" s="142"/>
      <c r="C251" s="85" t="s">
        <v>329</v>
      </c>
      <c r="D251" s="109" t="s">
        <v>193</v>
      </c>
      <c r="E251" s="13" t="s">
        <v>40</v>
      </c>
      <c r="F251" s="16"/>
      <c r="G251" s="12" t="s">
        <v>178</v>
      </c>
      <c r="H251" s="15"/>
      <c r="I251" s="15"/>
      <c r="J251" s="15"/>
      <c r="K251" s="15"/>
      <c r="L251" s="17"/>
      <c r="M251" s="17"/>
      <c r="N251" s="17"/>
      <c r="O251" s="17">
        <v>1</v>
      </c>
      <c r="P251" s="17">
        <v>1</v>
      </c>
      <c r="Q251" s="17">
        <v>1</v>
      </c>
      <c r="R251" s="17"/>
      <c r="S251" s="15"/>
      <c r="T251" s="26">
        <v>45622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36"/>
      <c r="B252" s="142"/>
      <c r="C252" s="85" t="s">
        <v>330</v>
      </c>
      <c r="D252" s="109" t="s">
        <v>193</v>
      </c>
      <c r="E252" s="13" t="s">
        <v>58</v>
      </c>
      <c r="F252" s="16"/>
      <c r="G252" s="12" t="s">
        <v>178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45628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36"/>
      <c r="B253" s="142"/>
      <c r="C253" s="85" t="s">
        <v>331</v>
      </c>
      <c r="D253" s="109" t="s">
        <v>193</v>
      </c>
      <c r="E253" s="13" t="s">
        <v>38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45622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6"/>
      <c r="B254" s="142"/>
      <c r="C254" s="85" t="s">
        <v>332</v>
      </c>
      <c r="D254" s="109" t="s">
        <v>193</v>
      </c>
      <c r="E254" s="13" t="s">
        <v>37</v>
      </c>
      <c r="F254" s="16"/>
      <c r="G254" s="12" t="s">
        <v>178</v>
      </c>
      <c r="H254" s="15"/>
      <c r="I254" s="15"/>
      <c r="J254" s="15"/>
      <c r="K254" s="15"/>
      <c r="L254" s="17"/>
      <c r="M254" s="17">
        <v>1</v>
      </c>
      <c r="N254" s="17"/>
      <c r="O254" s="17"/>
      <c r="P254" s="17"/>
      <c r="Q254" s="17">
        <v>1</v>
      </c>
      <c r="R254" s="17"/>
      <c r="S254" s="15"/>
      <c r="T254" s="26">
        <v>45632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36"/>
      <c r="B255" s="142"/>
      <c r="C255" s="85" t="s">
        <v>333</v>
      </c>
      <c r="D255" s="109" t="s">
        <v>197</v>
      </c>
      <c r="E255" s="13" t="s">
        <v>38</v>
      </c>
      <c r="F255" s="16"/>
      <c r="G255" s="12" t="s">
        <v>178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45634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6"/>
      <c r="B256" s="142"/>
      <c r="C256" s="85" t="s">
        <v>334</v>
      </c>
      <c r="D256" s="109" t="s">
        <v>197</v>
      </c>
      <c r="E256" s="13" t="s">
        <v>38</v>
      </c>
      <c r="F256" s="16"/>
      <c r="G256" s="15" t="s">
        <v>178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45634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36"/>
      <c r="B257" s="142"/>
      <c r="C257" s="85" t="s">
        <v>335</v>
      </c>
      <c r="D257" s="109" t="s">
        <v>197</v>
      </c>
      <c r="E257" s="13" t="s">
        <v>44</v>
      </c>
      <c r="F257" s="16"/>
      <c r="G257" s="15" t="s">
        <v>178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6">
        <v>45634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36"/>
      <c r="B258" s="142"/>
      <c r="C258" s="85" t="s">
        <v>336</v>
      </c>
      <c r="D258" s="109" t="s">
        <v>177</v>
      </c>
      <c r="E258" s="15" t="s">
        <v>37</v>
      </c>
      <c r="F258" s="16"/>
      <c r="G258" s="15" t="s">
        <v>178</v>
      </c>
      <c r="H258" s="15"/>
      <c r="I258" s="15"/>
      <c r="J258" s="15">
        <v>1</v>
      </c>
      <c r="K258" s="15"/>
      <c r="L258" s="19"/>
      <c r="M258" s="19"/>
      <c r="N258" s="19"/>
      <c r="O258" s="19"/>
      <c r="P258" s="19"/>
      <c r="Q258" s="19"/>
      <c r="R258" s="19"/>
      <c r="S258" s="15"/>
      <c r="T258" s="26">
        <v>45612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36"/>
      <c r="B259" s="142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6"/>
      <c r="B260" s="142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6"/>
      <c r="B261" s="142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6"/>
      <c r="B262" s="142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6"/>
      <c r="B263" s="142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6"/>
      <c r="B264" s="142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6"/>
      <c r="B265" s="142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6"/>
      <c r="B266" s="142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7"/>
      <c r="B267" s="143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11</v>
      </c>
      <c r="K268" s="29">
        <f t="shared" ref="K268" si="54">SUM(K243:K267)</f>
        <v>10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1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AYG091</v>
      </c>
      <c r="B271" s="24">
        <f>B1</f>
        <v>45587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3" t="s">
        <v>111</v>
      </c>
      <c r="Y272" s="134"/>
    </row>
    <row r="273" spans="1:28" ht="20.25" thickTop="1" thickBot="1" x14ac:dyDescent="0.45">
      <c r="A273" s="135">
        <v>10</v>
      </c>
      <c r="B273" s="141">
        <v>20.399999999999999</v>
      </c>
      <c r="C273" s="85" t="s">
        <v>337</v>
      </c>
      <c r="D273" s="109" t="s">
        <v>231</v>
      </c>
      <c r="E273" s="13" t="s">
        <v>36</v>
      </c>
      <c r="F273" s="14"/>
      <c r="G273" s="12" t="s">
        <v>178</v>
      </c>
      <c r="H273" s="13"/>
      <c r="I273" s="13"/>
      <c r="J273" s="13"/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45630</v>
      </c>
      <c r="U273" s="13" t="s">
        <v>142</v>
      </c>
      <c r="V273">
        <v>1</v>
      </c>
      <c r="X273" s="51" t="s">
        <v>106</v>
      </c>
      <c r="Y273" s="52">
        <f>COUNTIF(U273:U297,"K")</f>
        <v>6</v>
      </c>
      <c r="AA273" s="59" t="s">
        <v>120</v>
      </c>
      <c r="AB273" s="60" t="s">
        <v>121</v>
      </c>
    </row>
    <row r="274" spans="1:28" x14ac:dyDescent="0.4">
      <c r="A274" s="136"/>
      <c r="B274" s="142"/>
      <c r="C274" s="85" t="s">
        <v>338</v>
      </c>
      <c r="D274" s="109" t="s">
        <v>189</v>
      </c>
      <c r="E274" s="13" t="s">
        <v>60</v>
      </c>
      <c r="F274" s="16"/>
      <c r="G274" s="12" t="s">
        <v>178</v>
      </c>
      <c r="H274" s="15"/>
      <c r="I274" s="15"/>
      <c r="J274" s="15">
        <v>1</v>
      </c>
      <c r="K274" s="15">
        <v>1</v>
      </c>
      <c r="L274" s="17">
        <v>1</v>
      </c>
      <c r="M274" s="17"/>
      <c r="N274" s="17"/>
      <c r="O274" s="17"/>
      <c r="P274" s="17"/>
      <c r="Q274" s="17"/>
      <c r="R274" s="17"/>
      <c r="S274" s="15"/>
      <c r="T274" s="26">
        <v>45624</v>
      </c>
      <c r="U274" s="13" t="s">
        <v>146</v>
      </c>
      <c r="V274">
        <v>2</v>
      </c>
      <c r="X274" s="51" t="s">
        <v>107</v>
      </c>
      <c r="Y274" s="52">
        <f>COUNTIF(U273:U297,"R")</f>
        <v>2</v>
      </c>
      <c r="AA274" s="47" t="s">
        <v>81</v>
      </c>
      <c r="AB274" s="48" t="s">
        <v>60</v>
      </c>
    </row>
    <row r="275" spans="1:28" ht="19.5" thickBot="1" x14ac:dyDescent="0.45">
      <c r="A275" s="136"/>
      <c r="B275" s="142"/>
      <c r="C275" s="85" t="s">
        <v>339</v>
      </c>
      <c r="D275" s="109" t="s">
        <v>269</v>
      </c>
      <c r="E275" s="13" t="s">
        <v>74</v>
      </c>
      <c r="F275" s="16"/>
      <c r="G275" s="12" t="s">
        <v>178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45618</v>
      </c>
      <c r="U275" s="13" t="s">
        <v>146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36"/>
      <c r="B276" s="142"/>
      <c r="C276" s="85" t="s">
        <v>340</v>
      </c>
      <c r="D276" s="109" t="s">
        <v>192</v>
      </c>
      <c r="E276" s="13" t="s">
        <v>59</v>
      </c>
      <c r="F276" s="16"/>
      <c r="G276" s="12" t="s">
        <v>178</v>
      </c>
      <c r="H276" s="15" t="s">
        <v>194</v>
      </c>
      <c r="I276" s="15"/>
      <c r="J276" s="15">
        <v>2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45619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6"/>
      <c r="B277" s="142"/>
      <c r="C277" s="85" t="s">
        <v>341</v>
      </c>
      <c r="D277" s="109" t="s">
        <v>192</v>
      </c>
      <c r="E277" s="13" t="s">
        <v>59</v>
      </c>
      <c r="F277" s="16"/>
      <c r="G277" s="12" t="s">
        <v>178</v>
      </c>
      <c r="H277" s="15" t="s">
        <v>194</v>
      </c>
      <c r="I277" s="15"/>
      <c r="J277" s="15">
        <v>2</v>
      </c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45619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36"/>
      <c r="B278" s="142"/>
      <c r="C278" s="85" t="s">
        <v>342</v>
      </c>
      <c r="D278" s="109" t="s">
        <v>192</v>
      </c>
      <c r="E278" s="13" t="s">
        <v>59</v>
      </c>
      <c r="F278" s="16"/>
      <c r="G278" s="12" t="s">
        <v>178</v>
      </c>
      <c r="H278" s="13" t="s">
        <v>194</v>
      </c>
      <c r="I278" s="15"/>
      <c r="J278" s="15">
        <v>2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45619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6"/>
      <c r="B279" s="142"/>
      <c r="C279" s="85" t="s">
        <v>343</v>
      </c>
      <c r="D279" s="109" t="s">
        <v>177</v>
      </c>
      <c r="E279" s="13" t="s">
        <v>40</v>
      </c>
      <c r="F279" s="16"/>
      <c r="G279" s="12" t="s">
        <v>178</v>
      </c>
      <c r="H279" s="15"/>
      <c r="I279" s="15"/>
      <c r="J279" s="15"/>
      <c r="K279" s="15"/>
      <c r="L279" s="17"/>
      <c r="M279" s="17"/>
      <c r="N279" s="17"/>
      <c r="O279" s="17">
        <v>1</v>
      </c>
      <c r="P279" s="17">
        <v>1</v>
      </c>
      <c r="Q279" s="17">
        <v>1</v>
      </c>
      <c r="R279" s="17">
        <v>1</v>
      </c>
      <c r="S279" s="15"/>
      <c r="T279" s="26">
        <v>45615</v>
      </c>
      <c r="U279" s="13" t="s">
        <v>148</v>
      </c>
      <c r="V279">
        <v>7</v>
      </c>
      <c r="AA279" s="49" t="s">
        <v>86</v>
      </c>
      <c r="AB279" s="50" t="s">
        <v>45</v>
      </c>
    </row>
    <row r="280" spans="1:28" x14ac:dyDescent="0.4">
      <c r="A280" s="136"/>
      <c r="B280" s="142"/>
      <c r="C280" s="85" t="s">
        <v>345</v>
      </c>
      <c r="D280" s="109" t="s">
        <v>344</v>
      </c>
      <c r="E280" s="13" t="s">
        <v>37</v>
      </c>
      <c r="F280" s="16"/>
      <c r="G280" s="12" t="s">
        <v>178</v>
      </c>
      <c r="H280" s="15"/>
      <c r="I280" s="15"/>
      <c r="J280" s="15"/>
      <c r="K280" s="15"/>
      <c r="L280" s="17"/>
      <c r="M280" s="17">
        <v>1</v>
      </c>
      <c r="N280" s="17">
        <v>1</v>
      </c>
      <c r="O280" s="17"/>
      <c r="P280" s="17"/>
      <c r="Q280" s="17"/>
      <c r="R280" s="17"/>
      <c r="S280" s="15"/>
      <c r="T280" s="26">
        <v>45616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36"/>
      <c r="B281" s="142"/>
      <c r="C281" s="85" t="s">
        <v>346</v>
      </c>
      <c r="D281" s="109" t="s">
        <v>344</v>
      </c>
      <c r="E281" s="13" t="s">
        <v>36</v>
      </c>
      <c r="F281" s="16"/>
      <c r="G281" s="12" t="s">
        <v>178</v>
      </c>
      <c r="H281" s="15"/>
      <c r="I281" s="15"/>
      <c r="J281" s="15"/>
      <c r="K281" s="15"/>
      <c r="L281" s="17"/>
      <c r="M281" s="17">
        <v>1</v>
      </c>
      <c r="N281" s="17">
        <v>1</v>
      </c>
      <c r="O281" s="17"/>
      <c r="P281" s="17"/>
      <c r="Q281" s="17"/>
      <c r="R281" s="17"/>
      <c r="S281" s="15"/>
      <c r="T281" s="26">
        <v>45616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36"/>
      <c r="B282" s="142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6"/>
      <c r="B283" s="142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6"/>
      <c r="B284" s="142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6"/>
      <c r="B285" s="142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6"/>
      <c r="B286" s="142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6"/>
      <c r="B287" s="142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6"/>
      <c r="B288" s="142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6"/>
      <c r="B289" s="142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6"/>
      <c r="B290" s="142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6"/>
      <c r="B291" s="142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6"/>
      <c r="B292" s="142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6"/>
      <c r="B293" s="142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6"/>
      <c r="B294" s="142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6"/>
      <c r="B295" s="142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6"/>
      <c r="B296" s="142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7"/>
      <c r="B297" s="143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9</v>
      </c>
      <c r="D298" s="112"/>
      <c r="E298" s="29"/>
      <c r="F298" s="29" t="s">
        <v>34</v>
      </c>
      <c r="G298" s="29">
        <f>COUNTIF(G273:G297,"S")</f>
        <v>9</v>
      </c>
      <c r="H298" s="29">
        <f>COUNTIF(H273:H297,"E")</f>
        <v>3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3</v>
      </c>
      <c r="L298" s="29">
        <f t="shared" ref="L298" si="65">SUM(L273:L297)</f>
        <v>1</v>
      </c>
      <c r="M298" s="29">
        <f t="shared" ref="M298" si="66">SUM(M273:M297)</f>
        <v>2</v>
      </c>
      <c r="N298" s="29">
        <f t="shared" ref="N298" si="67">SUM(N273:N297)</f>
        <v>2</v>
      </c>
      <c r="O298" s="29">
        <f t="shared" ref="O298" si="68">SUM(O273:O297)</f>
        <v>1</v>
      </c>
      <c r="P298" s="29">
        <f t="shared" ref="P298" si="69">SUM(P273:P297)</f>
        <v>1</v>
      </c>
      <c r="Q298" s="29">
        <f t="shared" ref="Q298" si="70">SUM(Q273:Q297)</f>
        <v>1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AYG091</v>
      </c>
      <c r="B301" s="24">
        <f>B1</f>
        <v>45587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3" t="s">
        <v>110</v>
      </c>
      <c r="Y302" s="134"/>
    </row>
    <row r="303" spans="1:28" ht="20.25" thickTop="1" thickBot="1" x14ac:dyDescent="0.45">
      <c r="A303" s="135">
        <v>11</v>
      </c>
      <c r="B303" s="141">
        <v>23</v>
      </c>
      <c r="C303" s="85" t="s">
        <v>347</v>
      </c>
      <c r="D303" s="109" t="s">
        <v>181</v>
      </c>
      <c r="E303" s="13" t="s">
        <v>37</v>
      </c>
      <c r="F303" s="14"/>
      <c r="G303" s="12" t="s">
        <v>178</v>
      </c>
      <c r="H303" s="13"/>
      <c r="I303" s="13"/>
      <c r="J303" s="13"/>
      <c r="K303" s="13"/>
      <c r="L303" s="13"/>
      <c r="M303" s="13">
        <v>1</v>
      </c>
      <c r="N303" s="13">
        <v>1</v>
      </c>
      <c r="O303" s="13"/>
      <c r="P303" s="13"/>
      <c r="Q303" s="13">
        <v>1</v>
      </c>
      <c r="R303" s="13"/>
      <c r="S303" s="13"/>
      <c r="T303" s="26">
        <v>45619</v>
      </c>
      <c r="U303" s="13" t="s">
        <v>147</v>
      </c>
      <c r="V303">
        <v>1</v>
      </c>
      <c r="X303" s="51" t="s">
        <v>106</v>
      </c>
      <c r="Y303" s="52">
        <f>COUNTIF(U303:U327,"K")</f>
        <v>9</v>
      </c>
      <c r="AA303" s="59" t="s">
        <v>120</v>
      </c>
      <c r="AB303" s="60" t="s">
        <v>121</v>
      </c>
    </row>
    <row r="304" spans="1:28" x14ac:dyDescent="0.4">
      <c r="A304" s="136"/>
      <c r="B304" s="142"/>
      <c r="C304" s="85" t="s">
        <v>348</v>
      </c>
      <c r="D304" s="109" t="s">
        <v>181</v>
      </c>
      <c r="E304" s="13" t="s">
        <v>38</v>
      </c>
      <c r="F304" s="16"/>
      <c r="G304" s="12" t="s">
        <v>178</v>
      </c>
      <c r="H304" s="15"/>
      <c r="I304" s="15"/>
      <c r="J304" s="15"/>
      <c r="K304" s="15"/>
      <c r="L304" s="17"/>
      <c r="M304" s="13">
        <v>1</v>
      </c>
      <c r="N304" s="13"/>
      <c r="O304" s="17"/>
      <c r="P304" s="17"/>
      <c r="Q304" s="17">
        <v>1</v>
      </c>
      <c r="R304" s="17"/>
      <c r="S304" s="15"/>
      <c r="T304" s="26">
        <v>45619</v>
      </c>
      <c r="U304" s="13" t="s">
        <v>147</v>
      </c>
      <c r="V304">
        <v>2</v>
      </c>
      <c r="X304" s="51" t="s">
        <v>107</v>
      </c>
      <c r="Y304" s="52">
        <f>COUNTIF(U303:U327,"R")</f>
        <v>5</v>
      </c>
      <c r="AA304" s="47" t="s">
        <v>81</v>
      </c>
      <c r="AB304" s="48" t="s">
        <v>60</v>
      </c>
    </row>
    <row r="305" spans="1:28" ht="19.5" thickBot="1" x14ac:dyDescent="0.45">
      <c r="A305" s="136"/>
      <c r="B305" s="142"/>
      <c r="C305" s="85" t="s">
        <v>349</v>
      </c>
      <c r="D305" s="109" t="s">
        <v>181</v>
      </c>
      <c r="E305" s="13" t="s">
        <v>36</v>
      </c>
      <c r="F305" s="16"/>
      <c r="G305" s="12" t="s">
        <v>178</v>
      </c>
      <c r="H305" s="15"/>
      <c r="I305" s="15"/>
      <c r="J305" s="15"/>
      <c r="K305" s="15"/>
      <c r="L305" s="17"/>
      <c r="M305" s="13">
        <v>1</v>
      </c>
      <c r="N305" s="13"/>
      <c r="O305" s="17"/>
      <c r="P305" s="17"/>
      <c r="Q305" s="17">
        <v>1</v>
      </c>
      <c r="R305" s="17"/>
      <c r="S305" s="15"/>
      <c r="T305" s="26">
        <v>45619</v>
      </c>
      <c r="U305" s="13" t="s">
        <v>147</v>
      </c>
      <c r="V305">
        <v>3</v>
      </c>
      <c r="X305" s="53" t="s">
        <v>108</v>
      </c>
      <c r="Y305" s="54">
        <f>COUNTIF(U303:U327,"J")</f>
        <v>1</v>
      </c>
      <c r="AA305" s="49" t="s">
        <v>82</v>
      </c>
      <c r="AB305" s="50" t="s">
        <v>39</v>
      </c>
    </row>
    <row r="306" spans="1:28" x14ac:dyDescent="0.4">
      <c r="A306" s="136"/>
      <c r="B306" s="142"/>
      <c r="C306" s="85" t="s">
        <v>350</v>
      </c>
      <c r="D306" s="109" t="s">
        <v>181</v>
      </c>
      <c r="E306" s="13" t="s">
        <v>36</v>
      </c>
      <c r="F306" s="16"/>
      <c r="G306" s="12" t="s">
        <v>178</v>
      </c>
      <c r="H306" s="15"/>
      <c r="I306" s="15"/>
      <c r="J306" s="15"/>
      <c r="K306" s="15"/>
      <c r="L306" s="17"/>
      <c r="M306" s="13">
        <v>1</v>
      </c>
      <c r="N306" s="13">
        <v>1</v>
      </c>
      <c r="O306" s="17"/>
      <c r="P306" s="17"/>
      <c r="Q306" s="17">
        <v>1</v>
      </c>
      <c r="R306" s="17"/>
      <c r="S306" s="15"/>
      <c r="T306" s="26">
        <v>45619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36"/>
      <c r="B307" s="142"/>
      <c r="C307" s="85" t="s">
        <v>351</v>
      </c>
      <c r="D307" s="109" t="s">
        <v>181</v>
      </c>
      <c r="E307" s="13" t="s">
        <v>75</v>
      </c>
      <c r="F307" s="16"/>
      <c r="G307" s="12" t="s">
        <v>178</v>
      </c>
      <c r="H307" s="15" t="s">
        <v>147</v>
      </c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>
        <v>45619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36"/>
      <c r="B308" s="142"/>
      <c r="C308" s="85" t="s">
        <v>352</v>
      </c>
      <c r="D308" s="109" t="s">
        <v>181</v>
      </c>
      <c r="E308" s="13" t="s">
        <v>39</v>
      </c>
      <c r="F308" s="16"/>
      <c r="G308" s="12" t="s">
        <v>178</v>
      </c>
      <c r="H308" s="13"/>
      <c r="I308" s="15"/>
      <c r="J308" s="15">
        <v>1</v>
      </c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45621</v>
      </c>
      <c r="U308" s="13" t="s">
        <v>142</v>
      </c>
      <c r="V308">
        <v>6</v>
      </c>
      <c r="AA308" s="49" t="s">
        <v>85</v>
      </c>
      <c r="AB308" s="50" t="s">
        <v>43</v>
      </c>
    </row>
    <row r="309" spans="1:28" x14ac:dyDescent="0.4">
      <c r="A309" s="136"/>
      <c r="B309" s="142"/>
      <c r="C309" s="85" t="s">
        <v>353</v>
      </c>
      <c r="D309" s="109" t="s">
        <v>181</v>
      </c>
      <c r="E309" s="13" t="s">
        <v>39</v>
      </c>
      <c r="F309" s="16"/>
      <c r="G309" s="12" t="s">
        <v>178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45621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36"/>
      <c r="B310" s="142"/>
      <c r="C310" s="85" t="s">
        <v>354</v>
      </c>
      <c r="D310" s="109" t="s">
        <v>181</v>
      </c>
      <c r="E310" s="13" t="s">
        <v>39</v>
      </c>
      <c r="F310" s="16"/>
      <c r="G310" s="12" t="s">
        <v>178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45621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36"/>
      <c r="B311" s="142"/>
      <c r="C311" s="85" t="s">
        <v>355</v>
      </c>
      <c r="D311" s="109" t="s">
        <v>181</v>
      </c>
      <c r="E311" s="13" t="s">
        <v>39</v>
      </c>
      <c r="F311" s="16"/>
      <c r="G311" s="12" t="s">
        <v>178</v>
      </c>
      <c r="H311" s="15"/>
      <c r="I311" s="15"/>
      <c r="J311" s="15">
        <v>1</v>
      </c>
      <c r="K311" s="15"/>
      <c r="L311" s="17"/>
      <c r="M311" s="13"/>
      <c r="N311" s="13"/>
      <c r="O311" s="17"/>
      <c r="P311" s="17"/>
      <c r="Q311" s="17"/>
      <c r="R311" s="17"/>
      <c r="S311" s="15"/>
      <c r="T311" s="26">
        <v>45621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36"/>
      <c r="B312" s="142"/>
      <c r="C312" s="85" t="s">
        <v>356</v>
      </c>
      <c r="D312" s="109" t="s">
        <v>181</v>
      </c>
      <c r="E312" s="13" t="s">
        <v>39</v>
      </c>
      <c r="F312" s="16"/>
      <c r="G312" s="12" t="s">
        <v>178</v>
      </c>
      <c r="H312" s="15"/>
      <c r="I312" s="15"/>
      <c r="J312" s="15">
        <v>1</v>
      </c>
      <c r="K312" s="15"/>
      <c r="L312" s="17"/>
      <c r="M312" s="13"/>
      <c r="N312" s="13"/>
      <c r="O312" s="17"/>
      <c r="P312" s="17"/>
      <c r="Q312" s="17"/>
      <c r="R312" s="17"/>
      <c r="S312" s="15"/>
      <c r="T312" s="26">
        <v>45621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36"/>
      <c r="B313" s="142"/>
      <c r="C313" s="85" t="s">
        <v>357</v>
      </c>
      <c r="D313" s="109" t="s">
        <v>181</v>
      </c>
      <c r="E313" s="13" t="s">
        <v>39</v>
      </c>
      <c r="F313" s="16"/>
      <c r="G313" s="12" t="s">
        <v>178</v>
      </c>
      <c r="H313" s="15"/>
      <c r="I313" s="15"/>
      <c r="J313" s="15">
        <v>1</v>
      </c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45621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36"/>
      <c r="B314" s="142"/>
      <c r="C314" s="85" t="s">
        <v>358</v>
      </c>
      <c r="D314" s="109" t="s">
        <v>181</v>
      </c>
      <c r="E314" s="13" t="s">
        <v>39</v>
      </c>
      <c r="F314" s="16"/>
      <c r="G314" s="12" t="s">
        <v>178</v>
      </c>
      <c r="H314" s="15"/>
      <c r="I314" s="15"/>
      <c r="J314" s="15">
        <v>1</v>
      </c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45621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36"/>
      <c r="B315" s="142"/>
      <c r="C315" s="85" t="s">
        <v>359</v>
      </c>
      <c r="D315" s="109" t="s">
        <v>181</v>
      </c>
      <c r="E315" s="13" t="s">
        <v>74</v>
      </c>
      <c r="F315" s="16"/>
      <c r="G315" s="12" t="s">
        <v>178</v>
      </c>
      <c r="H315" s="15"/>
      <c r="I315" s="15"/>
      <c r="J315" s="15">
        <v>1</v>
      </c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45621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36"/>
      <c r="B316" s="142"/>
      <c r="C316" s="85" t="s">
        <v>360</v>
      </c>
      <c r="D316" s="109" t="s">
        <v>181</v>
      </c>
      <c r="E316" s="13" t="s">
        <v>60</v>
      </c>
      <c r="F316" s="16"/>
      <c r="G316" s="12" t="s">
        <v>178</v>
      </c>
      <c r="H316" s="15"/>
      <c r="I316" s="15"/>
      <c r="J316" s="15">
        <v>1</v>
      </c>
      <c r="K316" s="15">
        <v>1</v>
      </c>
      <c r="L316" s="17"/>
      <c r="M316" s="13"/>
      <c r="N316" s="13"/>
      <c r="O316" s="17"/>
      <c r="P316" s="17"/>
      <c r="Q316" s="17"/>
      <c r="R316" s="17"/>
      <c r="S316" s="15"/>
      <c r="T316" s="26">
        <v>45619</v>
      </c>
      <c r="U316" s="13" t="s">
        <v>146</v>
      </c>
      <c r="V316">
        <v>14</v>
      </c>
      <c r="AA316" s="49" t="s">
        <v>93</v>
      </c>
      <c r="AB316" s="50" t="s">
        <v>57</v>
      </c>
    </row>
    <row r="317" spans="1:28" x14ac:dyDescent="0.4">
      <c r="A317" s="136"/>
      <c r="B317" s="142"/>
      <c r="C317" s="85" t="s">
        <v>361</v>
      </c>
      <c r="D317" s="109" t="s">
        <v>181</v>
      </c>
      <c r="E317" s="13" t="s">
        <v>133</v>
      </c>
      <c r="F317" s="16"/>
      <c r="G317" s="12" t="s">
        <v>178</v>
      </c>
      <c r="H317" s="15"/>
      <c r="I317" s="15"/>
      <c r="J317" s="15"/>
      <c r="K317" s="15"/>
      <c r="L317" s="17"/>
      <c r="M317" s="13"/>
      <c r="N317" s="13"/>
      <c r="O317" s="17">
        <v>1</v>
      </c>
      <c r="P317" s="17">
        <v>1</v>
      </c>
      <c r="Q317" s="17"/>
      <c r="R317" s="17"/>
      <c r="S317" s="15"/>
      <c r="T317" s="26">
        <v>45621</v>
      </c>
      <c r="U317" s="13" t="s">
        <v>148</v>
      </c>
      <c r="V317">
        <v>15</v>
      </c>
      <c r="AA317" s="49" t="s">
        <v>94</v>
      </c>
      <c r="AB317" s="50" t="s">
        <v>41</v>
      </c>
    </row>
    <row r="318" spans="1:28" x14ac:dyDescent="0.4">
      <c r="A318" s="136"/>
      <c r="B318" s="142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6"/>
      <c r="B319" s="142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6"/>
      <c r="B320" s="142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6"/>
      <c r="B321" s="142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6"/>
      <c r="B322" s="142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6"/>
      <c r="B323" s="142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6"/>
      <c r="B324" s="142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6"/>
      <c r="B325" s="142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6"/>
      <c r="B326" s="142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7"/>
      <c r="B327" s="143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15</v>
      </c>
      <c r="D328" s="112"/>
      <c r="E328" s="29"/>
      <c r="F328" s="29" t="s">
        <v>34</v>
      </c>
      <c r="G328" s="29">
        <f>COUNTIF(G303:G327,"S")</f>
        <v>15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9</v>
      </c>
      <c r="K328" s="29">
        <f t="shared" ref="K328" si="74">SUM(K303:K327)</f>
        <v>4</v>
      </c>
      <c r="L328" s="29">
        <f t="shared" ref="L328" si="75">SUM(L303:L327)</f>
        <v>0</v>
      </c>
      <c r="M328" s="29">
        <f t="shared" ref="M328" si="76">SUM(M303:M327)</f>
        <v>4</v>
      </c>
      <c r="N328" s="29">
        <f t="shared" ref="N328" si="77">SUM(N303:N327)</f>
        <v>2</v>
      </c>
      <c r="O328" s="29">
        <f t="shared" ref="O328" si="78">SUM(O303:O327)</f>
        <v>1</v>
      </c>
      <c r="P328" s="29">
        <f t="shared" ref="P328" si="79">SUM(P303:P327)</f>
        <v>1</v>
      </c>
      <c r="Q328" s="29">
        <f t="shared" ref="Q328" si="80">SUM(Q303:Q327)</f>
        <v>4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25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AYG091</v>
      </c>
      <c r="B331" s="24">
        <f>B151</f>
        <v>45587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3" t="s">
        <v>109</v>
      </c>
      <c r="Y332" s="134"/>
    </row>
    <row r="333" spans="1:28" ht="20.25" thickTop="1" thickBot="1" x14ac:dyDescent="0.45">
      <c r="A333" s="135">
        <v>12</v>
      </c>
      <c r="B333" s="141">
        <v>23.6</v>
      </c>
      <c r="C333" s="86" t="s">
        <v>362</v>
      </c>
      <c r="D333" s="109" t="s">
        <v>192</v>
      </c>
      <c r="E333" s="109" t="s">
        <v>42</v>
      </c>
      <c r="F333" s="14"/>
      <c r="G333" s="12" t="s">
        <v>178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>
        <v>1</v>
      </c>
      <c r="T333" s="26">
        <v>45616</v>
      </c>
      <c r="U333" s="13" t="s">
        <v>146</v>
      </c>
      <c r="V333">
        <v>1</v>
      </c>
      <c r="X333" s="51" t="s">
        <v>106</v>
      </c>
      <c r="Y333" s="52">
        <f>COUNTIF(U333:U356,"K")</f>
        <v>14</v>
      </c>
      <c r="AA333" s="59" t="s">
        <v>120</v>
      </c>
      <c r="AB333" s="60" t="s">
        <v>121</v>
      </c>
    </row>
    <row r="334" spans="1:28" x14ac:dyDescent="0.4">
      <c r="A334" s="136"/>
      <c r="B334" s="142"/>
      <c r="C334" s="86" t="s">
        <v>363</v>
      </c>
      <c r="D334" s="109" t="s">
        <v>192</v>
      </c>
      <c r="E334" s="109" t="s">
        <v>41</v>
      </c>
      <c r="F334" s="16"/>
      <c r="G334" s="12" t="s">
        <v>178</v>
      </c>
      <c r="H334" s="15"/>
      <c r="I334" s="15"/>
      <c r="J334" s="15">
        <v>1</v>
      </c>
      <c r="K334" s="15"/>
      <c r="L334" s="17"/>
      <c r="M334" s="17"/>
      <c r="N334" s="17"/>
      <c r="O334" s="17"/>
      <c r="P334" s="17"/>
      <c r="Q334" s="17"/>
      <c r="R334" s="17"/>
      <c r="S334" s="15"/>
      <c r="T334" s="26">
        <v>45616</v>
      </c>
      <c r="U334" s="13" t="s">
        <v>146</v>
      </c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6"/>
      <c r="B335" s="142"/>
      <c r="C335" s="86" t="s">
        <v>364</v>
      </c>
      <c r="D335" s="109" t="s">
        <v>192</v>
      </c>
      <c r="E335" s="109" t="s">
        <v>42</v>
      </c>
      <c r="F335" s="16"/>
      <c r="G335" s="12" t="s">
        <v>178</v>
      </c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>
        <v>1</v>
      </c>
      <c r="T335" s="26">
        <v>45616</v>
      </c>
      <c r="U335" s="13" t="s">
        <v>146</v>
      </c>
      <c r="V335">
        <v>3</v>
      </c>
      <c r="X335" s="53" t="s">
        <v>108</v>
      </c>
      <c r="Y335" s="54">
        <f>COUNTIF(U333:U356,"J")</f>
        <v>2</v>
      </c>
      <c r="AA335" s="49" t="s">
        <v>82</v>
      </c>
      <c r="AB335" s="50" t="s">
        <v>39</v>
      </c>
    </row>
    <row r="336" spans="1:28" x14ac:dyDescent="0.4">
      <c r="A336" s="136"/>
      <c r="B336" s="142"/>
      <c r="C336" s="86" t="s">
        <v>365</v>
      </c>
      <c r="D336" s="109" t="s">
        <v>192</v>
      </c>
      <c r="E336" s="109" t="s">
        <v>41</v>
      </c>
      <c r="F336" s="16"/>
      <c r="G336" s="12" t="s">
        <v>178</v>
      </c>
      <c r="H336" s="15"/>
      <c r="I336" s="15"/>
      <c r="J336" s="15">
        <v>1</v>
      </c>
      <c r="K336" s="15"/>
      <c r="L336" s="17"/>
      <c r="M336" s="17"/>
      <c r="N336" s="17"/>
      <c r="O336" s="17"/>
      <c r="P336" s="17"/>
      <c r="Q336" s="17"/>
      <c r="R336" s="17"/>
      <c r="S336" s="15"/>
      <c r="T336" s="26">
        <v>45616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36"/>
      <c r="B337" s="142"/>
      <c r="C337" s="86" t="s">
        <v>366</v>
      </c>
      <c r="D337" s="109" t="s">
        <v>192</v>
      </c>
      <c r="E337" s="109" t="s">
        <v>42</v>
      </c>
      <c r="F337" s="16"/>
      <c r="G337" s="12" t="s">
        <v>178</v>
      </c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>
        <v>1</v>
      </c>
      <c r="T337" s="26">
        <v>45616</v>
      </c>
      <c r="U337" s="13" t="s">
        <v>146</v>
      </c>
      <c r="V337">
        <v>5</v>
      </c>
      <c r="AA337" s="49" t="s">
        <v>84</v>
      </c>
      <c r="AB337" s="50" t="s">
        <v>44</v>
      </c>
    </row>
    <row r="338" spans="1:28" x14ac:dyDescent="0.4">
      <c r="A338" s="136"/>
      <c r="B338" s="142"/>
      <c r="C338" s="86" t="s">
        <v>367</v>
      </c>
      <c r="D338" s="109" t="s">
        <v>192</v>
      </c>
      <c r="E338" s="109" t="s">
        <v>41</v>
      </c>
      <c r="F338" s="16"/>
      <c r="G338" s="12" t="s">
        <v>178</v>
      </c>
      <c r="H338" s="13"/>
      <c r="I338" s="15"/>
      <c r="J338" s="15">
        <v>1</v>
      </c>
      <c r="K338" s="15"/>
      <c r="L338" s="17"/>
      <c r="M338" s="17"/>
      <c r="N338" s="17"/>
      <c r="O338" s="17"/>
      <c r="P338" s="17"/>
      <c r="Q338" s="17"/>
      <c r="R338" s="17"/>
      <c r="S338" s="15"/>
      <c r="T338" s="26">
        <v>45616</v>
      </c>
      <c r="U338" s="13" t="s">
        <v>146</v>
      </c>
      <c r="V338">
        <v>6</v>
      </c>
      <c r="AA338" s="49" t="s">
        <v>85</v>
      </c>
      <c r="AB338" s="50" t="s">
        <v>43</v>
      </c>
    </row>
    <row r="339" spans="1:28" x14ac:dyDescent="0.4">
      <c r="A339" s="136"/>
      <c r="B339" s="142"/>
      <c r="C339" s="86" t="s">
        <v>368</v>
      </c>
      <c r="D339" s="109" t="s">
        <v>192</v>
      </c>
      <c r="E339" s="109" t="s">
        <v>42</v>
      </c>
      <c r="F339" s="16"/>
      <c r="G339" s="12" t="s">
        <v>178</v>
      </c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>
        <v>1</v>
      </c>
      <c r="T339" s="26">
        <v>45616</v>
      </c>
      <c r="U339" s="13" t="s">
        <v>146</v>
      </c>
      <c r="V339">
        <v>7</v>
      </c>
      <c r="AA339" s="49" t="s">
        <v>86</v>
      </c>
      <c r="AB339" s="50" t="s">
        <v>45</v>
      </c>
    </row>
    <row r="340" spans="1:28" x14ac:dyDescent="0.4">
      <c r="A340" s="136"/>
      <c r="B340" s="142"/>
      <c r="C340" s="86" t="s">
        <v>369</v>
      </c>
      <c r="D340" s="109" t="s">
        <v>192</v>
      </c>
      <c r="E340" s="109" t="s">
        <v>41</v>
      </c>
      <c r="F340" s="16"/>
      <c r="G340" s="12" t="s">
        <v>178</v>
      </c>
      <c r="H340" s="15"/>
      <c r="I340" s="15"/>
      <c r="J340" s="15">
        <v>1</v>
      </c>
      <c r="K340" s="15"/>
      <c r="L340" s="17"/>
      <c r="M340" s="17"/>
      <c r="N340" s="17"/>
      <c r="O340" s="17"/>
      <c r="P340" s="17"/>
      <c r="Q340" s="17"/>
      <c r="R340" s="17"/>
      <c r="S340" s="15"/>
      <c r="T340" s="26">
        <v>45616</v>
      </c>
      <c r="U340" s="13" t="s">
        <v>146</v>
      </c>
      <c r="V340">
        <v>8</v>
      </c>
      <c r="AA340" s="49" t="s">
        <v>87</v>
      </c>
      <c r="AB340" s="50" t="s">
        <v>37</v>
      </c>
    </row>
    <row r="341" spans="1:28" x14ac:dyDescent="0.4">
      <c r="A341" s="136"/>
      <c r="B341" s="142"/>
      <c r="C341" s="86" t="s">
        <v>370</v>
      </c>
      <c r="D341" s="109" t="s">
        <v>179</v>
      </c>
      <c r="E341" s="15" t="s">
        <v>39</v>
      </c>
      <c r="F341" s="16"/>
      <c r="G341" s="15" t="s">
        <v>178</v>
      </c>
      <c r="H341" s="15"/>
      <c r="I341" s="15"/>
      <c r="J341" s="15">
        <v>1</v>
      </c>
      <c r="K341" s="15"/>
      <c r="L341" s="17"/>
      <c r="M341" s="17"/>
      <c r="N341" s="17"/>
      <c r="O341" s="17"/>
      <c r="P341" s="17"/>
      <c r="Q341" s="17"/>
      <c r="R341" s="17"/>
      <c r="S341" s="15"/>
      <c r="T341" s="26">
        <v>45616</v>
      </c>
      <c r="U341" s="13" t="s">
        <v>146</v>
      </c>
      <c r="V341">
        <v>9</v>
      </c>
      <c r="AA341" s="49" t="s">
        <v>88</v>
      </c>
      <c r="AB341" s="50" t="s">
        <v>74</v>
      </c>
    </row>
    <row r="342" spans="1:28" x14ac:dyDescent="0.4">
      <c r="A342" s="136"/>
      <c r="B342" s="142"/>
      <c r="C342" s="86" t="s">
        <v>371</v>
      </c>
      <c r="D342" s="109" t="s">
        <v>189</v>
      </c>
      <c r="E342" s="15" t="s">
        <v>74</v>
      </c>
      <c r="F342" s="16"/>
      <c r="G342" s="15" t="s">
        <v>178</v>
      </c>
      <c r="H342" s="15"/>
      <c r="I342" s="15"/>
      <c r="J342" s="15">
        <v>1</v>
      </c>
      <c r="K342" s="15">
        <v>1</v>
      </c>
      <c r="L342" s="17"/>
      <c r="M342" s="17"/>
      <c r="N342" s="17"/>
      <c r="O342" s="17"/>
      <c r="P342" s="17"/>
      <c r="Q342" s="17"/>
      <c r="R342" s="17"/>
      <c r="S342" s="15"/>
      <c r="T342" s="26">
        <v>45606</v>
      </c>
      <c r="U342" s="13" t="s">
        <v>146</v>
      </c>
      <c r="V342">
        <v>10</v>
      </c>
      <c r="AA342" s="49" t="s">
        <v>89</v>
      </c>
      <c r="AB342" s="50" t="s">
        <v>36</v>
      </c>
    </row>
    <row r="343" spans="1:28" x14ac:dyDescent="0.4">
      <c r="A343" s="136"/>
      <c r="B343" s="142"/>
      <c r="C343" s="86" t="s">
        <v>372</v>
      </c>
      <c r="D343" s="109" t="s">
        <v>189</v>
      </c>
      <c r="E343" s="15" t="s">
        <v>74</v>
      </c>
      <c r="F343" s="16"/>
      <c r="G343" s="15" t="s">
        <v>178</v>
      </c>
      <c r="H343" s="15"/>
      <c r="I343" s="15"/>
      <c r="J343" s="15">
        <v>1</v>
      </c>
      <c r="K343" s="15">
        <v>1</v>
      </c>
      <c r="L343" s="17"/>
      <c r="M343" s="17"/>
      <c r="N343" s="17"/>
      <c r="O343" s="17"/>
      <c r="P343" s="17"/>
      <c r="Q343" s="17"/>
      <c r="R343" s="17"/>
      <c r="S343" s="15"/>
      <c r="T343" s="26">
        <v>45606</v>
      </c>
      <c r="U343" s="15" t="s">
        <v>146</v>
      </c>
      <c r="V343">
        <v>11</v>
      </c>
      <c r="AA343" s="49" t="s">
        <v>90</v>
      </c>
      <c r="AB343" s="50" t="s">
        <v>58</v>
      </c>
    </row>
    <row r="344" spans="1:28" x14ac:dyDescent="0.4">
      <c r="A344" s="136"/>
      <c r="B344" s="142"/>
      <c r="C344" s="86" t="s">
        <v>373</v>
      </c>
      <c r="D344" s="109" t="s">
        <v>179</v>
      </c>
      <c r="E344" s="15" t="s">
        <v>39</v>
      </c>
      <c r="F344" s="16"/>
      <c r="G344" s="15" t="s">
        <v>178</v>
      </c>
      <c r="H344" s="15"/>
      <c r="I344" s="15"/>
      <c r="J344" s="15">
        <v>1</v>
      </c>
      <c r="K344" s="15"/>
      <c r="L344" s="17"/>
      <c r="M344" s="17"/>
      <c r="N344" s="17"/>
      <c r="O344" s="17"/>
      <c r="P344" s="17"/>
      <c r="Q344" s="17"/>
      <c r="R344" s="17"/>
      <c r="S344" s="15"/>
      <c r="T344" s="26">
        <v>45619</v>
      </c>
      <c r="U344" s="15" t="s">
        <v>146</v>
      </c>
      <c r="V344">
        <v>12</v>
      </c>
      <c r="AA344" s="49" t="s">
        <v>91</v>
      </c>
      <c r="AB344" s="50" t="s">
        <v>75</v>
      </c>
    </row>
    <row r="345" spans="1:28" x14ac:dyDescent="0.4">
      <c r="A345" s="136"/>
      <c r="B345" s="142"/>
      <c r="C345" s="86" t="s">
        <v>374</v>
      </c>
      <c r="D345" s="109" t="s">
        <v>179</v>
      </c>
      <c r="E345" s="15" t="s">
        <v>39</v>
      </c>
      <c r="F345" s="16"/>
      <c r="G345" s="15" t="s">
        <v>178</v>
      </c>
      <c r="H345" s="15"/>
      <c r="I345" s="15"/>
      <c r="J345" s="15">
        <v>1</v>
      </c>
      <c r="K345" s="15"/>
      <c r="L345" s="17"/>
      <c r="M345" s="17"/>
      <c r="N345" s="17"/>
      <c r="O345" s="17"/>
      <c r="P345" s="17"/>
      <c r="Q345" s="17"/>
      <c r="R345" s="17"/>
      <c r="S345" s="15"/>
      <c r="T345" s="26">
        <v>45619</v>
      </c>
      <c r="U345" s="15" t="s">
        <v>146</v>
      </c>
      <c r="V345">
        <v>13</v>
      </c>
      <c r="AA345" s="49" t="s">
        <v>92</v>
      </c>
      <c r="AB345" s="50" t="s">
        <v>40</v>
      </c>
    </row>
    <row r="346" spans="1:28" x14ac:dyDescent="0.4">
      <c r="A346" s="136"/>
      <c r="B346" s="142"/>
      <c r="C346" s="86" t="s">
        <v>375</v>
      </c>
      <c r="D346" s="109" t="s">
        <v>179</v>
      </c>
      <c r="E346" s="15" t="s">
        <v>133</v>
      </c>
      <c r="F346" s="16"/>
      <c r="G346" s="15" t="s">
        <v>178</v>
      </c>
      <c r="H346" s="15"/>
      <c r="I346" s="15"/>
      <c r="J346" s="15"/>
      <c r="K346" s="15"/>
      <c r="L346" s="17"/>
      <c r="M346" s="17"/>
      <c r="N346" s="17"/>
      <c r="O346" s="17">
        <v>1</v>
      </c>
      <c r="P346" s="17">
        <v>1</v>
      </c>
      <c r="Q346" s="17">
        <v>1</v>
      </c>
      <c r="R346" s="17">
        <v>1</v>
      </c>
      <c r="S346" s="15"/>
      <c r="T346" s="26">
        <v>45619</v>
      </c>
      <c r="U346" s="15" t="s">
        <v>148</v>
      </c>
      <c r="V346">
        <v>14</v>
      </c>
      <c r="AA346" s="49" t="s">
        <v>93</v>
      </c>
      <c r="AB346" s="50" t="s">
        <v>57</v>
      </c>
    </row>
    <row r="347" spans="1:28" x14ac:dyDescent="0.4">
      <c r="A347" s="136"/>
      <c r="B347" s="142"/>
      <c r="C347" s="86" t="s">
        <v>376</v>
      </c>
      <c r="D347" s="109" t="s">
        <v>179</v>
      </c>
      <c r="E347" s="15" t="s">
        <v>39</v>
      </c>
      <c r="F347" s="16"/>
      <c r="G347" s="15" t="s">
        <v>178</v>
      </c>
      <c r="H347" s="15"/>
      <c r="I347" s="15"/>
      <c r="J347" s="15">
        <v>1</v>
      </c>
      <c r="K347" s="15"/>
      <c r="L347" s="17"/>
      <c r="M347" s="17"/>
      <c r="N347" s="17"/>
      <c r="O347" s="17"/>
      <c r="P347" s="17"/>
      <c r="Q347" s="17"/>
      <c r="R347" s="17"/>
      <c r="S347" s="15"/>
      <c r="T347" s="26">
        <v>45619</v>
      </c>
      <c r="U347" s="15" t="s">
        <v>146</v>
      </c>
      <c r="V347">
        <v>15</v>
      </c>
      <c r="AA347" s="49" t="s">
        <v>94</v>
      </c>
      <c r="AB347" s="50" t="s">
        <v>41</v>
      </c>
    </row>
    <row r="348" spans="1:28" x14ac:dyDescent="0.4">
      <c r="A348" s="136"/>
      <c r="B348" s="142"/>
      <c r="C348" s="86" t="s">
        <v>377</v>
      </c>
      <c r="D348" s="109" t="s">
        <v>179</v>
      </c>
      <c r="E348" s="15" t="s">
        <v>133</v>
      </c>
      <c r="F348" s="16"/>
      <c r="G348" s="15" t="s">
        <v>178</v>
      </c>
      <c r="H348" s="15"/>
      <c r="I348" s="15"/>
      <c r="J348" s="15"/>
      <c r="K348" s="15"/>
      <c r="L348" s="19"/>
      <c r="M348" s="19"/>
      <c r="N348" s="19"/>
      <c r="O348" s="19">
        <v>1</v>
      </c>
      <c r="P348" s="19">
        <v>1</v>
      </c>
      <c r="Q348" s="19">
        <v>1</v>
      </c>
      <c r="R348" s="19">
        <v>1</v>
      </c>
      <c r="S348" s="15"/>
      <c r="T348" s="26">
        <v>45619</v>
      </c>
      <c r="U348" s="15" t="s">
        <v>148</v>
      </c>
      <c r="V348">
        <v>16</v>
      </c>
      <c r="AA348" s="49" t="s">
        <v>95</v>
      </c>
      <c r="AB348" s="50" t="s">
        <v>42</v>
      </c>
    </row>
    <row r="349" spans="1:28" x14ac:dyDescent="0.4">
      <c r="A349" s="136"/>
      <c r="B349" s="142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6"/>
      <c r="B350" s="142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6"/>
      <c r="B351" s="142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6"/>
      <c r="B352" s="142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6"/>
      <c r="B353" s="142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6"/>
      <c r="B354" s="142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6"/>
      <c r="B355" s="142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6"/>
      <c r="B356" s="142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7"/>
      <c r="B357" s="143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16</v>
      </c>
      <c r="D358" s="112"/>
      <c r="E358" s="29"/>
      <c r="F358" s="29" t="s">
        <v>34</v>
      </c>
      <c r="G358" s="29">
        <f>COUNTIF(G333:G357,"S")</f>
        <v>16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10</v>
      </c>
      <c r="K358" s="29">
        <f t="shared" si="83"/>
        <v>2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2</v>
      </c>
      <c r="P358" s="29">
        <f t="shared" si="83"/>
        <v>2</v>
      </c>
      <c r="Q358" s="29">
        <f t="shared" si="83"/>
        <v>2</v>
      </c>
      <c r="R358" s="29">
        <f t="shared" si="83"/>
        <v>2</v>
      </c>
      <c r="S358" s="29">
        <f t="shared" si="83"/>
        <v>4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24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3" t="s">
        <v>138</v>
      </c>
      <c r="Y362" s="134"/>
    </row>
    <row r="363" spans="1:28" ht="19.5" thickTop="1" x14ac:dyDescent="0.4">
      <c r="A363" s="135">
        <v>13</v>
      </c>
      <c r="B363" s="141">
        <v>21</v>
      </c>
      <c r="C363" s="86" t="s">
        <v>378</v>
      </c>
      <c r="D363" s="109" t="s">
        <v>191</v>
      </c>
      <c r="E363" s="13" t="s">
        <v>36</v>
      </c>
      <c r="F363" s="14"/>
      <c r="G363" s="12" t="s">
        <v>178</v>
      </c>
      <c r="H363" s="13"/>
      <c r="I363" s="13"/>
      <c r="J363" s="13">
        <v>1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26">
        <v>45609</v>
      </c>
      <c r="U363" s="15" t="s">
        <v>142</v>
      </c>
      <c r="V363">
        <v>1</v>
      </c>
      <c r="X363" s="51" t="s">
        <v>106</v>
      </c>
      <c r="Y363" s="52">
        <f>COUNTIF(U362:U386,"K")</f>
        <v>7</v>
      </c>
    </row>
    <row r="364" spans="1:28" x14ac:dyDescent="0.4">
      <c r="A364" s="136"/>
      <c r="B364" s="142"/>
      <c r="C364" s="86" t="s">
        <v>379</v>
      </c>
      <c r="D364" s="106" t="s">
        <v>191</v>
      </c>
      <c r="E364" s="15" t="s">
        <v>40</v>
      </c>
      <c r="F364" s="16"/>
      <c r="G364" s="15" t="s">
        <v>178</v>
      </c>
      <c r="H364" s="15"/>
      <c r="I364" s="15"/>
      <c r="J364" s="15"/>
      <c r="K364" s="15"/>
      <c r="L364" s="17"/>
      <c r="M364" s="17"/>
      <c r="N364" s="17"/>
      <c r="O364" s="17">
        <v>1</v>
      </c>
      <c r="P364" s="17">
        <v>1</v>
      </c>
      <c r="Q364" s="17">
        <v>1</v>
      </c>
      <c r="R364" s="17"/>
      <c r="S364" s="15"/>
      <c r="T364" s="26">
        <v>45609</v>
      </c>
      <c r="U364" s="15" t="s">
        <v>148</v>
      </c>
      <c r="V364">
        <v>2</v>
      </c>
      <c r="X364" s="51" t="s">
        <v>107</v>
      </c>
      <c r="Y364" s="52">
        <f>COUNTIF(U362:U386,"R")</f>
        <v>2</v>
      </c>
    </row>
    <row r="365" spans="1:28" ht="19.5" thickBot="1" x14ac:dyDescent="0.45">
      <c r="A365" s="136"/>
      <c r="B365" s="142"/>
      <c r="C365" s="86" t="s">
        <v>380</v>
      </c>
      <c r="D365" s="109" t="s">
        <v>193</v>
      </c>
      <c r="E365" s="15" t="s">
        <v>78</v>
      </c>
      <c r="F365" s="16"/>
      <c r="G365" s="15" t="s">
        <v>178</v>
      </c>
      <c r="H365" s="15"/>
      <c r="I365" s="15"/>
      <c r="J365" s="15">
        <v>1</v>
      </c>
      <c r="K365" s="15"/>
      <c r="L365" s="17"/>
      <c r="M365" s="17"/>
      <c r="N365" s="17"/>
      <c r="O365" s="17"/>
      <c r="P365" s="17"/>
      <c r="Q365" s="17"/>
      <c r="R365" s="17"/>
      <c r="S365" s="15"/>
      <c r="T365" s="26">
        <v>45641</v>
      </c>
      <c r="U365" s="15" t="s">
        <v>146</v>
      </c>
      <c r="V365">
        <v>3</v>
      </c>
      <c r="X365" s="53" t="s">
        <v>108</v>
      </c>
      <c r="Y365" s="54">
        <f>COUNTIF(U362:U386,"J")</f>
        <v>8</v>
      </c>
    </row>
    <row r="366" spans="1:28" x14ac:dyDescent="0.4">
      <c r="A366" s="136"/>
      <c r="B366" s="142"/>
      <c r="C366" s="86" t="s">
        <v>381</v>
      </c>
      <c r="D366" s="109" t="s">
        <v>193</v>
      </c>
      <c r="E366" s="15" t="s">
        <v>79</v>
      </c>
      <c r="F366" s="16"/>
      <c r="G366" s="15" t="s">
        <v>185</v>
      </c>
      <c r="H366" s="15"/>
      <c r="I366" s="15"/>
      <c r="J366" s="15">
        <v>1</v>
      </c>
      <c r="K366" s="15"/>
      <c r="L366" s="17">
        <v>1</v>
      </c>
      <c r="M366" s="17"/>
      <c r="N366" s="17"/>
      <c r="O366" s="17"/>
      <c r="P366" s="17"/>
      <c r="Q366" s="17"/>
      <c r="R366" s="17"/>
      <c r="S366" s="15"/>
      <c r="T366" s="26">
        <v>45631</v>
      </c>
      <c r="U366" s="15" t="s">
        <v>148</v>
      </c>
      <c r="V366">
        <v>4</v>
      </c>
    </row>
    <row r="367" spans="1:28" x14ac:dyDescent="0.4">
      <c r="A367" s="136"/>
      <c r="B367" s="142"/>
      <c r="C367" s="86" t="s">
        <v>382</v>
      </c>
      <c r="D367" s="109" t="s">
        <v>199</v>
      </c>
      <c r="E367" s="15" t="s">
        <v>40</v>
      </c>
      <c r="F367" s="16"/>
      <c r="G367" s="15" t="s">
        <v>178</v>
      </c>
      <c r="H367" s="15"/>
      <c r="I367" s="15"/>
      <c r="J367" s="15"/>
      <c r="K367" s="15"/>
      <c r="L367" s="17"/>
      <c r="M367" s="17"/>
      <c r="N367" s="17"/>
      <c r="O367" s="17"/>
      <c r="P367" s="17">
        <v>1</v>
      </c>
      <c r="Q367" s="17">
        <v>1</v>
      </c>
      <c r="R367" s="17"/>
      <c r="S367" s="15"/>
      <c r="T367" s="26">
        <v>45611</v>
      </c>
      <c r="U367" s="15" t="s">
        <v>148</v>
      </c>
      <c r="V367">
        <v>5</v>
      </c>
    </row>
    <row r="368" spans="1:28" x14ac:dyDescent="0.4">
      <c r="A368" s="136"/>
      <c r="B368" s="142"/>
      <c r="C368" s="86" t="s">
        <v>383</v>
      </c>
      <c r="D368" s="109" t="s">
        <v>199</v>
      </c>
      <c r="E368" s="15" t="s">
        <v>40</v>
      </c>
      <c r="F368" s="16"/>
      <c r="G368" s="15" t="s">
        <v>178</v>
      </c>
      <c r="H368" s="13"/>
      <c r="I368" s="15"/>
      <c r="J368" s="15"/>
      <c r="K368" s="15"/>
      <c r="L368" s="17"/>
      <c r="M368" s="17"/>
      <c r="N368" s="17"/>
      <c r="O368" s="17"/>
      <c r="P368" s="17">
        <v>1</v>
      </c>
      <c r="Q368" s="17">
        <v>1</v>
      </c>
      <c r="R368" s="17"/>
      <c r="S368" s="15"/>
      <c r="T368" s="26">
        <v>45611</v>
      </c>
      <c r="U368" s="15" t="s">
        <v>148</v>
      </c>
      <c r="V368">
        <v>6</v>
      </c>
    </row>
    <row r="369" spans="1:22" x14ac:dyDescent="0.4">
      <c r="A369" s="136"/>
      <c r="B369" s="142"/>
      <c r="C369" s="86" t="s">
        <v>384</v>
      </c>
      <c r="D369" s="109" t="s">
        <v>182</v>
      </c>
      <c r="E369" s="15" t="s">
        <v>38</v>
      </c>
      <c r="F369" s="16"/>
      <c r="G369" s="15" t="s">
        <v>178</v>
      </c>
      <c r="H369" s="15"/>
      <c r="I369" s="15"/>
      <c r="J369" s="15">
        <v>1</v>
      </c>
      <c r="K369" s="15"/>
      <c r="L369" s="17"/>
      <c r="M369" s="17"/>
      <c r="N369" s="17"/>
      <c r="O369" s="17"/>
      <c r="P369" s="17"/>
      <c r="Q369" s="17"/>
      <c r="R369" s="17"/>
      <c r="S369" s="15"/>
      <c r="T369" s="26">
        <v>45619</v>
      </c>
      <c r="U369" s="15" t="s">
        <v>146</v>
      </c>
      <c r="V369">
        <v>7</v>
      </c>
    </row>
    <row r="370" spans="1:22" x14ac:dyDescent="0.4">
      <c r="A370" s="136"/>
      <c r="B370" s="142"/>
      <c r="C370" s="86" t="s">
        <v>385</v>
      </c>
      <c r="D370" s="109" t="s">
        <v>181</v>
      </c>
      <c r="E370" s="15" t="s">
        <v>75</v>
      </c>
      <c r="F370" s="16"/>
      <c r="G370" s="15" t="s">
        <v>178</v>
      </c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>
        <v>1</v>
      </c>
      <c r="T370" s="26">
        <v>45619</v>
      </c>
      <c r="U370" s="15" t="s">
        <v>146</v>
      </c>
      <c r="V370">
        <v>8</v>
      </c>
    </row>
    <row r="371" spans="1:22" x14ac:dyDescent="0.4">
      <c r="A371" s="136"/>
      <c r="B371" s="142"/>
      <c r="C371" s="86" t="s">
        <v>386</v>
      </c>
      <c r="D371" s="109" t="s">
        <v>181</v>
      </c>
      <c r="E371" s="15" t="s">
        <v>36</v>
      </c>
      <c r="F371" s="16"/>
      <c r="G371" s="15" t="s">
        <v>178</v>
      </c>
      <c r="H371" s="15"/>
      <c r="I371" s="15"/>
      <c r="J371" s="15">
        <v>1</v>
      </c>
      <c r="K371" s="15">
        <v>1</v>
      </c>
      <c r="L371" s="17"/>
      <c r="M371" s="17"/>
      <c r="N371" s="17"/>
      <c r="O371" s="17"/>
      <c r="P371" s="17"/>
      <c r="Q371" s="17"/>
      <c r="R371" s="17"/>
      <c r="S371" s="15"/>
      <c r="T371" s="26">
        <v>45619</v>
      </c>
      <c r="U371" s="15" t="s">
        <v>146</v>
      </c>
      <c r="V371">
        <v>9</v>
      </c>
    </row>
    <row r="372" spans="1:22" x14ac:dyDescent="0.4">
      <c r="A372" s="136"/>
      <c r="B372" s="142"/>
      <c r="C372" s="86" t="s">
        <v>387</v>
      </c>
      <c r="D372" s="109" t="s">
        <v>181</v>
      </c>
      <c r="E372" s="15" t="s">
        <v>37</v>
      </c>
      <c r="F372" s="16"/>
      <c r="G372" s="15" t="s">
        <v>178</v>
      </c>
      <c r="H372" s="15"/>
      <c r="I372" s="15"/>
      <c r="J372" s="15">
        <v>1</v>
      </c>
      <c r="K372" s="15">
        <v>1</v>
      </c>
      <c r="L372" s="17"/>
      <c r="M372" s="17"/>
      <c r="N372" s="17"/>
      <c r="O372" s="17"/>
      <c r="P372" s="17"/>
      <c r="Q372" s="17"/>
      <c r="R372" s="17"/>
      <c r="S372" s="15"/>
      <c r="T372" s="26">
        <v>45621</v>
      </c>
      <c r="U372" s="15" t="s">
        <v>146</v>
      </c>
      <c r="V372">
        <v>10</v>
      </c>
    </row>
    <row r="373" spans="1:22" x14ac:dyDescent="0.4">
      <c r="A373" s="136"/>
      <c r="B373" s="142"/>
      <c r="C373" s="86" t="s">
        <v>388</v>
      </c>
      <c r="D373" s="109" t="s">
        <v>181</v>
      </c>
      <c r="E373" s="15" t="s">
        <v>40</v>
      </c>
      <c r="F373" s="16"/>
      <c r="G373" s="15" t="s">
        <v>178</v>
      </c>
      <c r="H373" s="15"/>
      <c r="I373" s="15"/>
      <c r="J373" s="15"/>
      <c r="K373" s="15"/>
      <c r="L373" s="17"/>
      <c r="M373" s="17"/>
      <c r="N373" s="17"/>
      <c r="O373" s="17"/>
      <c r="P373" s="17">
        <v>1</v>
      </c>
      <c r="Q373" s="17"/>
      <c r="R373" s="17"/>
      <c r="S373" s="15"/>
      <c r="T373" s="26">
        <v>45621</v>
      </c>
      <c r="U373" s="15" t="s">
        <v>148</v>
      </c>
      <c r="V373">
        <v>11</v>
      </c>
    </row>
    <row r="374" spans="1:22" x14ac:dyDescent="0.4">
      <c r="A374" s="136"/>
      <c r="B374" s="142"/>
      <c r="C374" s="86" t="s">
        <v>389</v>
      </c>
      <c r="D374" s="109" t="s">
        <v>177</v>
      </c>
      <c r="E374" s="15" t="s">
        <v>37</v>
      </c>
      <c r="F374" s="16"/>
      <c r="G374" s="15" t="s">
        <v>178</v>
      </c>
      <c r="H374" s="15"/>
      <c r="I374" s="15"/>
      <c r="J374" s="15"/>
      <c r="K374" s="15"/>
      <c r="L374" s="17"/>
      <c r="M374" s="17">
        <v>1</v>
      </c>
      <c r="N374" s="17">
        <v>1</v>
      </c>
      <c r="O374" s="17"/>
      <c r="P374" s="17"/>
      <c r="Q374" s="17">
        <v>1</v>
      </c>
      <c r="R374" s="17"/>
      <c r="S374" s="15"/>
      <c r="T374" s="26">
        <v>45616</v>
      </c>
      <c r="U374" s="15" t="s">
        <v>147</v>
      </c>
      <c r="V374">
        <v>12</v>
      </c>
    </row>
    <row r="375" spans="1:22" x14ac:dyDescent="0.4">
      <c r="A375" s="136"/>
      <c r="B375" s="142"/>
      <c r="C375" s="86" t="s">
        <v>390</v>
      </c>
      <c r="D375" s="109" t="s">
        <v>190</v>
      </c>
      <c r="E375" s="15" t="s">
        <v>40</v>
      </c>
      <c r="F375" s="16"/>
      <c r="G375" s="15" t="s">
        <v>178</v>
      </c>
      <c r="H375" s="15"/>
      <c r="I375" s="15"/>
      <c r="J375" s="15"/>
      <c r="K375" s="15"/>
      <c r="L375" s="17"/>
      <c r="M375" s="17"/>
      <c r="N375" s="17"/>
      <c r="O375" s="17">
        <v>1</v>
      </c>
      <c r="P375" s="17">
        <v>1</v>
      </c>
      <c r="Q375" s="17"/>
      <c r="R375" s="17">
        <v>1</v>
      </c>
      <c r="S375" s="15"/>
      <c r="T375" s="26">
        <v>45614</v>
      </c>
      <c r="U375" s="15" t="s">
        <v>148</v>
      </c>
      <c r="V375">
        <v>13</v>
      </c>
    </row>
    <row r="376" spans="1:22" x14ac:dyDescent="0.4">
      <c r="A376" s="136"/>
      <c r="B376" s="142"/>
      <c r="C376" s="86" t="s">
        <v>391</v>
      </c>
      <c r="D376" s="106" t="s">
        <v>195</v>
      </c>
      <c r="E376" s="15" t="s">
        <v>40</v>
      </c>
      <c r="F376" s="16"/>
      <c r="G376" s="15" t="s">
        <v>178</v>
      </c>
      <c r="H376" s="15"/>
      <c r="I376" s="15"/>
      <c r="J376" s="15"/>
      <c r="K376" s="15"/>
      <c r="L376" s="17"/>
      <c r="M376" s="17"/>
      <c r="N376" s="17"/>
      <c r="O376" s="17"/>
      <c r="P376" s="17"/>
      <c r="Q376" s="17">
        <v>1</v>
      </c>
      <c r="R376" s="17">
        <v>1</v>
      </c>
      <c r="S376" s="15"/>
      <c r="T376" s="26">
        <v>45614</v>
      </c>
      <c r="U376" s="15" t="s">
        <v>148</v>
      </c>
      <c r="V376">
        <v>14</v>
      </c>
    </row>
    <row r="377" spans="1:22" x14ac:dyDescent="0.4">
      <c r="A377" s="136"/>
      <c r="B377" s="142"/>
      <c r="C377" s="86" t="s">
        <v>392</v>
      </c>
      <c r="D377" s="106" t="s">
        <v>195</v>
      </c>
      <c r="E377" s="15" t="s">
        <v>40</v>
      </c>
      <c r="F377" s="16"/>
      <c r="G377" s="15" t="s">
        <v>178</v>
      </c>
      <c r="H377" s="15"/>
      <c r="I377" s="15"/>
      <c r="J377" s="15"/>
      <c r="K377" s="15"/>
      <c r="L377" s="17"/>
      <c r="M377" s="17"/>
      <c r="N377" s="17">
        <v>1</v>
      </c>
      <c r="O377" s="17">
        <v>1</v>
      </c>
      <c r="P377" s="17"/>
      <c r="Q377" s="17"/>
      <c r="R377" s="17"/>
      <c r="S377" s="15"/>
      <c r="T377" s="26">
        <v>45614</v>
      </c>
      <c r="U377" s="15" t="s">
        <v>148</v>
      </c>
      <c r="V377">
        <v>15</v>
      </c>
    </row>
    <row r="378" spans="1:22" x14ac:dyDescent="0.4">
      <c r="A378" s="136"/>
      <c r="B378" s="142"/>
      <c r="C378" s="86" t="s">
        <v>393</v>
      </c>
      <c r="D378" s="106" t="s">
        <v>195</v>
      </c>
      <c r="E378" s="15" t="s">
        <v>37</v>
      </c>
      <c r="F378" s="16"/>
      <c r="G378" s="15" t="s">
        <v>178</v>
      </c>
      <c r="H378" s="15"/>
      <c r="I378" s="15"/>
      <c r="J378" s="15">
        <v>1</v>
      </c>
      <c r="K378" s="15">
        <v>1</v>
      </c>
      <c r="L378" s="19"/>
      <c r="M378" s="19"/>
      <c r="N378" s="19"/>
      <c r="O378" s="19"/>
      <c r="P378" s="19"/>
      <c r="Q378" s="19"/>
      <c r="R378" s="19"/>
      <c r="S378" s="15"/>
      <c r="T378" s="26">
        <v>45614</v>
      </c>
      <c r="U378" s="15" t="s">
        <v>146</v>
      </c>
      <c r="V378">
        <v>16</v>
      </c>
    </row>
    <row r="379" spans="1:22" x14ac:dyDescent="0.4">
      <c r="A379" s="136"/>
      <c r="B379" s="142"/>
      <c r="C379" s="86" t="s">
        <v>394</v>
      </c>
      <c r="D379" s="110" t="s">
        <v>195</v>
      </c>
      <c r="E379" s="18" t="s">
        <v>42</v>
      </c>
      <c r="F379" s="16"/>
      <c r="G379" s="15" t="s">
        <v>178</v>
      </c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>
        <v>45607</v>
      </c>
      <c r="U379" s="15" t="s">
        <v>147</v>
      </c>
      <c r="V379">
        <v>17</v>
      </c>
    </row>
    <row r="380" spans="1:22" x14ac:dyDescent="0.4">
      <c r="A380" s="136"/>
      <c r="B380" s="142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6"/>
      <c r="B381" s="142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6"/>
      <c r="B382" s="142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6"/>
      <c r="B383" s="142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6"/>
      <c r="B384" s="142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6"/>
      <c r="B385" s="142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6"/>
      <c r="B386" s="142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7"/>
      <c r="B387" s="143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17</v>
      </c>
      <c r="D388" s="112"/>
      <c r="E388" s="29"/>
      <c r="F388" s="29" t="s">
        <v>34</v>
      </c>
      <c r="G388" s="29">
        <f>COUNTIF(G363:G387,"S")</f>
        <v>16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7</v>
      </c>
      <c r="K388" s="29">
        <f t="shared" si="84"/>
        <v>3</v>
      </c>
      <c r="L388" s="29">
        <f t="shared" si="84"/>
        <v>1</v>
      </c>
      <c r="M388" s="29">
        <f t="shared" si="84"/>
        <v>1</v>
      </c>
      <c r="N388" s="29">
        <f t="shared" si="84"/>
        <v>2</v>
      </c>
      <c r="O388" s="29">
        <f t="shared" si="84"/>
        <v>3</v>
      </c>
      <c r="P388" s="29">
        <f t="shared" si="84"/>
        <v>5</v>
      </c>
      <c r="Q388" s="29">
        <f t="shared" si="84"/>
        <v>5</v>
      </c>
      <c r="R388" s="29">
        <f t="shared" si="84"/>
        <v>2</v>
      </c>
      <c r="S388" s="29">
        <f t="shared" si="84"/>
        <v>1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3" t="s">
        <v>139</v>
      </c>
      <c r="Y392" s="134"/>
    </row>
    <row r="393" spans="1:25" ht="19.5" thickTop="1" x14ac:dyDescent="0.4">
      <c r="A393" s="135">
        <v>14</v>
      </c>
      <c r="B393" s="141">
        <v>20.6</v>
      </c>
      <c r="C393" s="86" t="s">
        <v>395</v>
      </c>
      <c r="D393" s="109" t="s">
        <v>193</v>
      </c>
      <c r="E393" s="13" t="s">
        <v>36</v>
      </c>
      <c r="F393" s="14"/>
      <c r="G393" s="12" t="s">
        <v>178</v>
      </c>
      <c r="H393" s="13"/>
      <c r="I393" s="13"/>
      <c r="J393" s="13"/>
      <c r="K393" s="13">
        <v>1</v>
      </c>
      <c r="L393" s="13"/>
      <c r="M393" s="13"/>
      <c r="N393" s="13"/>
      <c r="O393" s="13"/>
      <c r="P393" s="13"/>
      <c r="Q393" s="13"/>
      <c r="R393" s="13"/>
      <c r="S393" s="13"/>
      <c r="T393" s="26">
        <v>45612</v>
      </c>
      <c r="U393" s="15" t="s">
        <v>147</v>
      </c>
      <c r="V393">
        <v>1</v>
      </c>
      <c r="X393" s="51" t="s">
        <v>106</v>
      </c>
      <c r="Y393" s="52">
        <f>COUNTIF(U392:U416,"K")</f>
        <v>4</v>
      </c>
    </row>
    <row r="394" spans="1:25" x14ac:dyDescent="0.4">
      <c r="A394" s="136"/>
      <c r="B394" s="142"/>
      <c r="C394" s="86" t="s">
        <v>396</v>
      </c>
      <c r="D394" s="109" t="s">
        <v>188</v>
      </c>
      <c r="E394" s="15" t="s">
        <v>36</v>
      </c>
      <c r="F394" s="16"/>
      <c r="G394" s="15" t="s">
        <v>178</v>
      </c>
      <c r="H394" s="15"/>
      <c r="I394" s="15"/>
      <c r="J394" s="15">
        <v>1</v>
      </c>
      <c r="K394" s="15">
        <v>1</v>
      </c>
      <c r="L394" s="17"/>
      <c r="M394" s="17"/>
      <c r="N394" s="17"/>
      <c r="O394" s="17"/>
      <c r="P394" s="17"/>
      <c r="Q394" s="17"/>
      <c r="R394" s="17"/>
      <c r="S394" s="15"/>
      <c r="T394" s="26">
        <v>45593</v>
      </c>
      <c r="U394" s="15" t="s">
        <v>146</v>
      </c>
      <c r="V394">
        <v>2</v>
      </c>
      <c r="X394" s="51" t="s">
        <v>107</v>
      </c>
      <c r="Y394" s="52">
        <f>COUNTIF(U392:U416,"R")</f>
        <v>11</v>
      </c>
    </row>
    <row r="395" spans="1:25" ht="19.5" thickBot="1" x14ac:dyDescent="0.45">
      <c r="A395" s="136"/>
      <c r="B395" s="142"/>
      <c r="C395" s="86" t="s">
        <v>397</v>
      </c>
      <c r="D395" s="109" t="s">
        <v>177</v>
      </c>
      <c r="E395" s="15" t="s">
        <v>38</v>
      </c>
      <c r="F395" s="16"/>
      <c r="G395" s="15" t="s">
        <v>178</v>
      </c>
      <c r="H395" s="15"/>
      <c r="I395" s="15"/>
      <c r="J395" s="15">
        <v>1</v>
      </c>
      <c r="K395" s="15">
        <v>1</v>
      </c>
      <c r="L395" s="17"/>
      <c r="M395" s="17"/>
      <c r="N395" s="17"/>
      <c r="O395" s="17"/>
      <c r="P395" s="17"/>
      <c r="Q395" s="17"/>
      <c r="R395" s="17"/>
      <c r="S395" s="15"/>
      <c r="T395" s="26">
        <v>45605</v>
      </c>
      <c r="U395" s="15" t="s">
        <v>146</v>
      </c>
      <c r="V395">
        <v>3</v>
      </c>
      <c r="X395" s="53" t="s">
        <v>108</v>
      </c>
      <c r="Y395" s="54">
        <f>COUNTIF(U392:U416,"J")</f>
        <v>2</v>
      </c>
    </row>
    <row r="396" spans="1:25" x14ac:dyDescent="0.4">
      <c r="A396" s="136"/>
      <c r="B396" s="142"/>
      <c r="C396" s="86" t="s">
        <v>398</v>
      </c>
      <c r="D396" s="109" t="s">
        <v>191</v>
      </c>
      <c r="E396" s="15" t="s">
        <v>40</v>
      </c>
      <c r="F396" s="16"/>
      <c r="G396" s="15" t="s">
        <v>178</v>
      </c>
      <c r="H396" s="15"/>
      <c r="I396" s="15"/>
      <c r="J396" s="15"/>
      <c r="K396" s="15"/>
      <c r="L396" s="17"/>
      <c r="M396" s="17"/>
      <c r="N396" s="17"/>
      <c r="O396" s="17">
        <v>1</v>
      </c>
      <c r="P396" s="17">
        <v>1</v>
      </c>
      <c r="Q396" s="17"/>
      <c r="R396" s="17"/>
      <c r="S396" s="15"/>
      <c r="T396" s="26">
        <v>45612</v>
      </c>
      <c r="U396" s="15" t="s">
        <v>148</v>
      </c>
      <c r="V396">
        <v>4</v>
      </c>
    </row>
    <row r="397" spans="1:25" x14ac:dyDescent="0.4">
      <c r="A397" s="136"/>
      <c r="B397" s="142"/>
      <c r="C397" s="86" t="s">
        <v>399</v>
      </c>
      <c r="D397" s="109" t="s">
        <v>177</v>
      </c>
      <c r="E397" s="15" t="s">
        <v>36</v>
      </c>
      <c r="F397" s="16"/>
      <c r="G397" s="15" t="s">
        <v>178</v>
      </c>
      <c r="H397" s="15"/>
      <c r="I397" s="15"/>
      <c r="J397" s="15"/>
      <c r="K397" s="15"/>
      <c r="L397" s="17"/>
      <c r="M397" s="17">
        <v>1</v>
      </c>
      <c r="N397" s="17">
        <v>1</v>
      </c>
      <c r="O397" s="17"/>
      <c r="P397" s="17"/>
      <c r="Q397" s="17">
        <v>1</v>
      </c>
      <c r="R397" s="17"/>
      <c r="S397" s="15"/>
      <c r="T397" s="26">
        <v>45607</v>
      </c>
      <c r="U397" s="15" t="s">
        <v>147</v>
      </c>
      <c r="V397">
        <v>5</v>
      </c>
    </row>
    <row r="398" spans="1:25" x14ac:dyDescent="0.4">
      <c r="A398" s="136"/>
      <c r="B398" s="142"/>
      <c r="C398" s="86" t="s">
        <v>400</v>
      </c>
      <c r="D398" s="109" t="s">
        <v>193</v>
      </c>
      <c r="E398" s="15" t="s">
        <v>58</v>
      </c>
      <c r="F398" s="16"/>
      <c r="G398" s="15" t="s">
        <v>178</v>
      </c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>
        <v>45612</v>
      </c>
      <c r="U398" s="15" t="s">
        <v>147</v>
      </c>
      <c r="V398">
        <v>6</v>
      </c>
    </row>
    <row r="399" spans="1:25" x14ac:dyDescent="0.4">
      <c r="A399" s="136"/>
      <c r="B399" s="142"/>
      <c r="C399" s="86" t="s">
        <v>401</v>
      </c>
      <c r="D399" s="109" t="s">
        <v>177</v>
      </c>
      <c r="E399" s="15" t="s">
        <v>36</v>
      </c>
      <c r="F399" s="16"/>
      <c r="G399" s="15" t="s">
        <v>178</v>
      </c>
      <c r="H399" s="15"/>
      <c r="I399" s="15"/>
      <c r="J399" s="15">
        <v>1</v>
      </c>
      <c r="K399" s="15">
        <v>1</v>
      </c>
      <c r="L399" s="17"/>
      <c r="M399" s="17"/>
      <c r="N399" s="17"/>
      <c r="O399" s="17"/>
      <c r="P399" s="17"/>
      <c r="Q399" s="17"/>
      <c r="R399" s="17"/>
      <c r="S399" s="15"/>
      <c r="T399" s="26">
        <v>45614</v>
      </c>
      <c r="U399" s="15" t="s">
        <v>147</v>
      </c>
      <c r="V399">
        <v>7</v>
      </c>
    </row>
    <row r="400" spans="1:25" x14ac:dyDescent="0.4">
      <c r="A400" s="136"/>
      <c r="B400" s="142"/>
      <c r="C400" s="86" t="s">
        <v>402</v>
      </c>
      <c r="D400" s="109" t="s">
        <v>184</v>
      </c>
      <c r="E400" s="15" t="s">
        <v>40</v>
      </c>
      <c r="F400" s="16"/>
      <c r="G400" s="15" t="s">
        <v>185</v>
      </c>
      <c r="H400" s="15"/>
      <c r="I400" s="15"/>
      <c r="J400" s="15"/>
      <c r="K400" s="15"/>
      <c r="L400" s="17"/>
      <c r="M400" s="17"/>
      <c r="N400" s="17"/>
      <c r="O400" s="17">
        <v>1</v>
      </c>
      <c r="P400" s="17">
        <v>1</v>
      </c>
      <c r="Q400" s="17"/>
      <c r="R400" s="17"/>
      <c r="S400" s="15"/>
      <c r="T400" s="26">
        <v>45609</v>
      </c>
      <c r="U400" s="15" t="s">
        <v>148</v>
      </c>
      <c r="V400">
        <v>8</v>
      </c>
    </row>
    <row r="401" spans="1:22" x14ac:dyDescent="0.4">
      <c r="A401" s="136"/>
      <c r="B401" s="142"/>
      <c r="C401" s="86" t="s">
        <v>403</v>
      </c>
      <c r="D401" s="109" t="s">
        <v>191</v>
      </c>
      <c r="E401" s="15" t="s">
        <v>58</v>
      </c>
      <c r="F401" s="16"/>
      <c r="G401" s="15" t="s">
        <v>178</v>
      </c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>
        <v>45622</v>
      </c>
      <c r="U401" s="15" t="s">
        <v>147</v>
      </c>
      <c r="V401">
        <v>9</v>
      </c>
    </row>
    <row r="402" spans="1:22" x14ac:dyDescent="0.4">
      <c r="A402" s="136"/>
      <c r="B402" s="142"/>
      <c r="C402" s="86" t="s">
        <v>404</v>
      </c>
      <c r="D402" s="109" t="s">
        <v>191</v>
      </c>
      <c r="E402" s="15" t="s">
        <v>58</v>
      </c>
      <c r="F402" s="16"/>
      <c r="G402" s="15" t="s">
        <v>178</v>
      </c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>
        <v>45612</v>
      </c>
      <c r="U402" s="15" t="s">
        <v>147</v>
      </c>
      <c r="V402">
        <v>10</v>
      </c>
    </row>
    <row r="403" spans="1:22" x14ac:dyDescent="0.4">
      <c r="A403" s="136"/>
      <c r="B403" s="142"/>
      <c r="C403" s="86" t="s">
        <v>405</v>
      </c>
      <c r="D403" s="109" t="s">
        <v>177</v>
      </c>
      <c r="E403" s="15" t="s">
        <v>37</v>
      </c>
      <c r="F403" s="16"/>
      <c r="G403" s="15" t="s">
        <v>178</v>
      </c>
      <c r="H403" s="15"/>
      <c r="I403" s="15"/>
      <c r="J403" s="15">
        <v>1</v>
      </c>
      <c r="K403" s="15">
        <v>1</v>
      </c>
      <c r="L403" s="17"/>
      <c r="M403" s="17"/>
      <c r="N403" s="17"/>
      <c r="O403" s="17"/>
      <c r="P403" s="17"/>
      <c r="Q403" s="17"/>
      <c r="R403" s="17"/>
      <c r="S403" s="15"/>
      <c r="T403" s="26">
        <v>45612</v>
      </c>
      <c r="U403" s="15" t="s">
        <v>147</v>
      </c>
      <c r="V403">
        <v>11</v>
      </c>
    </row>
    <row r="404" spans="1:22" x14ac:dyDescent="0.4">
      <c r="A404" s="136"/>
      <c r="B404" s="142"/>
      <c r="C404" s="86" t="s">
        <v>407</v>
      </c>
      <c r="D404" s="109" t="s">
        <v>406</v>
      </c>
      <c r="E404" s="15" t="s">
        <v>58</v>
      </c>
      <c r="F404" s="16"/>
      <c r="G404" s="15" t="s">
        <v>178</v>
      </c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>
        <v>45614</v>
      </c>
      <c r="U404" s="15" t="s">
        <v>147</v>
      </c>
      <c r="V404">
        <v>12</v>
      </c>
    </row>
    <row r="405" spans="1:22" x14ac:dyDescent="0.4">
      <c r="A405" s="136"/>
      <c r="B405" s="142"/>
      <c r="C405" s="86" t="s">
        <v>408</v>
      </c>
      <c r="D405" s="109" t="s">
        <v>190</v>
      </c>
      <c r="E405" s="15" t="s">
        <v>75</v>
      </c>
      <c r="F405" s="16"/>
      <c r="G405" s="15" t="s">
        <v>178</v>
      </c>
      <c r="H405" s="15"/>
      <c r="I405" s="15"/>
      <c r="J405" s="15"/>
      <c r="K405" s="15"/>
      <c r="L405" s="17"/>
      <c r="M405" s="17"/>
      <c r="N405" s="17">
        <v>1</v>
      </c>
      <c r="O405" s="17"/>
      <c r="P405" s="17"/>
      <c r="Q405" s="17"/>
      <c r="R405" s="17"/>
      <c r="S405" s="15">
        <v>1</v>
      </c>
      <c r="T405" s="26">
        <v>45615</v>
      </c>
      <c r="U405" s="15" t="s">
        <v>147</v>
      </c>
      <c r="V405">
        <v>13</v>
      </c>
    </row>
    <row r="406" spans="1:22" x14ac:dyDescent="0.4">
      <c r="A406" s="136"/>
      <c r="B406" s="142"/>
      <c r="C406" s="86" t="s">
        <v>409</v>
      </c>
      <c r="D406" s="109" t="s">
        <v>190</v>
      </c>
      <c r="E406" s="15" t="s">
        <v>36</v>
      </c>
      <c r="F406" s="16"/>
      <c r="G406" s="15" t="s">
        <v>178</v>
      </c>
      <c r="H406" s="15"/>
      <c r="I406" s="15"/>
      <c r="J406" s="15"/>
      <c r="K406" s="15">
        <v>1</v>
      </c>
      <c r="L406" s="17"/>
      <c r="M406" s="17"/>
      <c r="N406" s="17"/>
      <c r="O406" s="17"/>
      <c r="P406" s="17"/>
      <c r="Q406" s="17"/>
      <c r="R406" s="17"/>
      <c r="S406" s="15"/>
      <c r="T406" s="26">
        <v>45615</v>
      </c>
      <c r="U406" s="15" t="s">
        <v>147</v>
      </c>
      <c r="V406">
        <v>14</v>
      </c>
    </row>
    <row r="407" spans="1:22" x14ac:dyDescent="0.4">
      <c r="A407" s="136"/>
      <c r="B407" s="142"/>
      <c r="C407" s="86" t="s">
        <v>410</v>
      </c>
      <c r="D407" s="106" t="s">
        <v>411</v>
      </c>
      <c r="E407" s="15" t="s">
        <v>36</v>
      </c>
      <c r="F407" s="16"/>
      <c r="G407" s="15" t="s">
        <v>178</v>
      </c>
      <c r="H407" s="15"/>
      <c r="I407" s="15"/>
      <c r="J407" s="15">
        <v>1</v>
      </c>
      <c r="K407" s="15">
        <v>1</v>
      </c>
      <c r="L407" s="17"/>
      <c r="M407" s="17"/>
      <c r="N407" s="17"/>
      <c r="O407" s="17"/>
      <c r="P407" s="17"/>
      <c r="Q407" s="17"/>
      <c r="R407" s="17"/>
      <c r="S407" s="15"/>
      <c r="T407" s="26">
        <v>45615</v>
      </c>
      <c r="U407" s="15" t="s">
        <v>146</v>
      </c>
      <c r="V407">
        <v>15</v>
      </c>
    </row>
    <row r="408" spans="1:22" x14ac:dyDescent="0.4">
      <c r="A408" s="136"/>
      <c r="B408" s="142"/>
      <c r="C408" s="86" t="s">
        <v>412</v>
      </c>
      <c r="D408" s="106" t="s">
        <v>182</v>
      </c>
      <c r="E408" s="15" t="s">
        <v>36</v>
      </c>
      <c r="F408" s="16"/>
      <c r="G408" s="15" t="s">
        <v>178</v>
      </c>
      <c r="H408" s="15"/>
      <c r="I408" s="15"/>
      <c r="J408" s="15"/>
      <c r="K408" s="15"/>
      <c r="L408" s="19"/>
      <c r="M408" s="19">
        <v>1</v>
      </c>
      <c r="N408" s="19">
        <v>1</v>
      </c>
      <c r="O408" s="19"/>
      <c r="P408" s="19"/>
      <c r="Q408" s="19"/>
      <c r="R408" s="19"/>
      <c r="S408" s="15"/>
      <c r="T408" s="26">
        <v>45619</v>
      </c>
      <c r="U408" s="15" t="s">
        <v>147</v>
      </c>
      <c r="V408">
        <v>16</v>
      </c>
    </row>
    <row r="409" spans="1:22" x14ac:dyDescent="0.4">
      <c r="A409" s="136"/>
      <c r="B409" s="142"/>
      <c r="C409" s="86" t="s">
        <v>413</v>
      </c>
      <c r="D409" s="110" t="s">
        <v>182</v>
      </c>
      <c r="E409" s="18" t="s">
        <v>37</v>
      </c>
      <c r="F409" s="16"/>
      <c r="G409" s="15" t="s">
        <v>178</v>
      </c>
      <c r="H409" s="15"/>
      <c r="I409" s="15"/>
      <c r="J409" s="18">
        <v>1</v>
      </c>
      <c r="K409" s="15">
        <v>1</v>
      </c>
      <c r="L409" s="19"/>
      <c r="M409" s="19"/>
      <c r="N409" s="19"/>
      <c r="O409" s="19"/>
      <c r="P409" s="19"/>
      <c r="Q409" s="19"/>
      <c r="R409" s="19"/>
      <c r="S409" s="15"/>
      <c r="T409" s="26">
        <v>45619</v>
      </c>
      <c r="U409" s="15" t="s">
        <v>146</v>
      </c>
      <c r="V409">
        <v>17</v>
      </c>
    </row>
    <row r="410" spans="1:22" x14ac:dyDescent="0.4">
      <c r="A410" s="136"/>
      <c r="B410" s="142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6"/>
      <c r="B411" s="142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6"/>
      <c r="B412" s="142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6"/>
      <c r="B413" s="142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6"/>
      <c r="B414" s="142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6"/>
      <c r="B415" s="142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6"/>
      <c r="B416" s="142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7"/>
      <c r="B417" s="143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17</v>
      </c>
      <c r="D418" s="112"/>
      <c r="E418" s="29"/>
      <c r="F418" s="29" t="s">
        <v>34</v>
      </c>
      <c r="G418" s="29">
        <f>COUNTIF(G393:G417,"S")</f>
        <v>16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6</v>
      </c>
      <c r="K418" s="29">
        <f t="shared" si="85"/>
        <v>8</v>
      </c>
      <c r="L418" s="29">
        <f t="shared" si="85"/>
        <v>0</v>
      </c>
      <c r="M418" s="29">
        <f t="shared" si="85"/>
        <v>2</v>
      </c>
      <c r="N418" s="29">
        <f t="shared" si="85"/>
        <v>3</v>
      </c>
      <c r="O418" s="29">
        <f t="shared" si="85"/>
        <v>2</v>
      </c>
      <c r="P418" s="29">
        <f t="shared" si="85"/>
        <v>2</v>
      </c>
      <c r="Q418" s="29">
        <f t="shared" si="85"/>
        <v>1</v>
      </c>
      <c r="R418" s="29">
        <f t="shared" si="85"/>
        <v>0</v>
      </c>
      <c r="S418" s="29">
        <f t="shared" si="85"/>
        <v>1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1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25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3" t="s">
        <v>140</v>
      </c>
      <c r="Y422" s="134"/>
    </row>
    <row r="423" spans="1:25" ht="19.5" thickTop="1" x14ac:dyDescent="0.4">
      <c r="A423" s="135">
        <v>15</v>
      </c>
      <c r="B423" s="141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6"/>
      <c r="B424" s="142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6"/>
      <c r="B425" s="142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6"/>
      <c r="B426" s="142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6"/>
      <c r="B427" s="142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6"/>
      <c r="B428" s="142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6"/>
      <c r="B429" s="142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6"/>
      <c r="B430" s="142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6"/>
      <c r="B431" s="142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6"/>
      <c r="B432" s="142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6"/>
      <c r="B433" s="142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6"/>
      <c r="B434" s="142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6"/>
      <c r="B435" s="142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6"/>
      <c r="B436" s="142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6"/>
      <c r="B437" s="142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6"/>
      <c r="B438" s="142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6"/>
      <c r="B439" s="142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6"/>
      <c r="B440" s="142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6"/>
      <c r="B441" s="142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6"/>
      <c r="B442" s="142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6"/>
      <c r="B443" s="142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6"/>
      <c r="B444" s="142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6"/>
      <c r="B445" s="142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6"/>
      <c r="B446" s="142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7"/>
      <c r="B447" s="143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3" t="s">
        <v>105</v>
      </c>
      <c r="Y451" s="134"/>
    </row>
    <row r="452" spans="1:25" ht="19.5" thickTop="1" x14ac:dyDescent="0.4">
      <c r="A452" s="135">
        <v>16</v>
      </c>
      <c r="B452" s="138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6"/>
      <c r="B453" s="139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6"/>
      <c r="B454" s="139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6"/>
      <c r="B455" s="139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6"/>
      <c r="B456" s="139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6"/>
      <c r="B457" s="139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6"/>
      <c r="B458" s="139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6"/>
      <c r="B459" s="139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6"/>
      <c r="B460" s="139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6"/>
      <c r="B461" s="139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6"/>
      <c r="B462" s="139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6"/>
      <c r="B463" s="139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6"/>
      <c r="B464" s="139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6"/>
      <c r="B465" s="139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6"/>
      <c r="B466" s="139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6"/>
      <c r="B467" s="139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6"/>
      <c r="B468" s="139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6"/>
      <c r="B469" s="139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6"/>
      <c r="B470" s="139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6"/>
      <c r="B471" s="139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6"/>
      <c r="B472" s="139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6"/>
      <c r="B473" s="139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6"/>
      <c r="B474" s="139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6"/>
      <c r="B475" s="139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7"/>
      <c r="B476" s="140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Q994"/>
  <sheetViews>
    <sheetView topLeftCell="A10" zoomScaleNormal="100" workbookViewId="0">
      <selection activeCell="L17" sqref="L17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6" width="16.625" customWidth="1"/>
    <col min="17" max="17" width="11" customWidth="1"/>
    <col min="18" max="18" width="10.5" style="121" customWidth="1"/>
    <col min="19" max="19" width="10.25" style="121" customWidth="1"/>
    <col min="20" max="20" width="10.875" style="121" customWidth="1"/>
    <col min="21" max="34" width="16.625" customWidth="1"/>
    <col min="35" max="35" width="20.5" customWidth="1"/>
    <col min="40" max="40" width="12.375" customWidth="1"/>
    <col min="41" max="41" width="11.25" customWidth="1"/>
    <col min="42" max="42" width="10.5" customWidth="1"/>
    <col min="43" max="43" width="10.25" customWidth="1"/>
  </cols>
  <sheetData>
    <row r="1" spans="1:39" x14ac:dyDescent="0.4">
      <c r="A1" s="120" t="s">
        <v>215</v>
      </c>
      <c r="B1" s="121"/>
      <c r="C1" s="121"/>
      <c r="D1" s="121"/>
      <c r="K1" t="s">
        <v>143</v>
      </c>
      <c r="L1" t="s">
        <v>144</v>
      </c>
      <c r="Q1" s="120"/>
      <c r="AI1" t="s">
        <v>143</v>
      </c>
      <c r="AJ1" t="s">
        <v>144</v>
      </c>
    </row>
    <row r="2" spans="1:39" ht="19.5" x14ac:dyDescent="0.4">
      <c r="A2" s="116"/>
      <c r="B2" s="123" t="s">
        <v>146</v>
      </c>
      <c r="C2" s="123" t="s">
        <v>147</v>
      </c>
      <c r="D2" s="123" t="s">
        <v>148</v>
      </c>
      <c r="K2" s="25">
        <v>45593</v>
      </c>
      <c r="L2" s="13" t="s">
        <v>146</v>
      </c>
      <c r="Q2" s="116"/>
      <c r="R2" s="123"/>
      <c r="S2" s="123"/>
      <c r="T2" s="123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25">
        <v>45258</v>
      </c>
      <c r="AJ2" s="13" t="s">
        <v>162</v>
      </c>
      <c r="AM2" s="114"/>
    </row>
    <row r="3" spans="1:39" ht="19.5" x14ac:dyDescent="0.4">
      <c r="A3" s="117">
        <v>45593</v>
      </c>
      <c r="B3" s="123">
        <v>1</v>
      </c>
      <c r="C3" s="123"/>
      <c r="D3" s="123"/>
      <c r="J3" s="115" t="s">
        <v>196</v>
      </c>
      <c r="K3" s="13">
        <f>SUBTOTAL(3,K2:K2)</f>
        <v>1</v>
      </c>
      <c r="L3" s="13">
        <f>SUBTOTAL(3,L2:L2)</f>
        <v>1</v>
      </c>
      <c r="Q3" s="116"/>
      <c r="R3" s="123"/>
      <c r="S3" s="123"/>
      <c r="T3" s="123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25"/>
      <c r="AJ3" s="13"/>
      <c r="AM3" s="114"/>
    </row>
    <row r="4" spans="1:39" ht="19.5" x14ac:dyDescent="0.4">
      <c r="A4" s="117">
        <v>45600</v>
      </c>
      <c r="B4" s="123">
        <v>1</v>
      </c>
      <c r="C4" s="123"/>
      <c r="D4" s="123"/>
      <c r="I4" s="115"/>
      <c r="J4" s="115"/>
      <c r="K4" s="25">
        <v>45600</v>
      </c>
      <c r="L4" s="13" t="s">
        <v>146</v>
      </c>
      <c r="Q4" s="116"/>
      <c r="R4" s="123"/>
      <c r="S4" s="123"/>
      <c r="T4" s="123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25"/>
      <c r="AJ4" s="13"/>
      <c r="AM4" s="114"/>
    </row>
    <row r="5" spans="1:39" ht="19.5" x14ac:dyDescent="0.4">
      <c r="A5" s="117">
        <v>45601</v>
      </c>
      <c r="B5" s="123">
        <v>1</v>
      </c>
      <c r="C5" s="123"/>
      <c r="D5" s="123"/>
      <c r="I5" s="115"/>
      <c r="J5" s="115" t="s">
        <v>200</v>
      </c>
      <c r="K5" s="13">
        <f>SUBTOTAL(3,K4:K4)</f>
        <v>1</v>
      </c>
      <c r="L5" s="13">
        <f>SUBTOTAL(3,L4:L4)</f>
        <v>1</v>
      </c>
      <c r="Q5" s="116"/>
      <c r="R5" s="123"/>
      <c r="S5" s="123"/>
      <c r="T5" s="123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25"/>
      <c r="AJ5" s="13"/>
      <c r="AM5" s="114"/>
    </row>
    <row r="6" spans="1:39" ht="19.5" x14ac:dyDescent="0.4">
      <c r="A6" s="117">
        <v>45604</v>
      </c>
      <c r="B6" s="123">
        <v>1</v>
      </c>
      <c r="C6" s="123"/>
      <c r="D6" s="123"/>
      <c r="G6" s="115"/>
      <c r="H6" s="115"/>
      <c r="I6" s="115"/>
      <c r="J6" s="115"/>
      <c r="K6" s="25">
        <v>45601</v>
      </c>
      <c r="L6" s="13" t="s">
        <v>146</v>
      </c>
      <c r="Q6" s="116"/>
      <c r="R6" s="123"/>
      <c r="S6" s="123"/>
      <c r="T6" s="123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25"/>
      <c r="AJ6" s="13"/>
      <c r="AM6" s="114"/>
    </row>
    <row r="7" spans="1:39" ht="19.5" x14ac:dyDescent="0.4">
      <c r="A7" s="117">
        <v>45605</v>
      </c>
      <c r="B7" s="123">
        <v>2</v>
      </c>
      <c r="C7" s="123"/>
      <c r="D7" s="123"/>
      <c r="G7" s="115"/>
      <c r="H7" s="115"/>
      <c r="I7" s="115"/>
      <c r="J7" s="115" t="s">
        <v>201</v>
      </c>
      <c r="K7" s="13">
        <f>SUBTOTAL(3,K6:K6)</f>
        <v>1</v>
      </c>
      <c r="L7" s="13">
        <f>SUBTOTAL(3,L6:L6)</f>
        <v>1</v>
      </c>
      <c r="Q7" s="116"/>
      <c r="R7" s="123"/>
      <c r="S7" s="123"/>
      <c r="T7" s="123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25"/>
      <c r="AJ7" s="13"/>
      <c r="AM7" s="114"/>
    </row>
    <row r="8" spans="1:39" ht="19.5" x14ac:dyDescent="0.4">
      <c r="A8" s="117">
        <v>45606</v>
      </c>
      <c r="B8" s="123">
        <v>5</v>
      </c>
      <c r="C8" s="123">
        <v>3</v>
      </c>
      <c r="D8" s="123">
        <v>1</v>
      </c>
      <c r="K8" s="25">
        <v>45604</v>
      </c>
      <c r="L8" s="13" t="s">
        <v>147</v>
      </c>
      <c r="Q8" s="116"/>
      <c r="R8" s="123"/>
      <c r="S8" s="123"/>
      <c r="T8" s="123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25"/>
      <c r="AJ8" s="13"/>
      <c r="AM8" s="114"/>
    </row>
    <row r="9" spans="1:39" ht="19.5" x14ac:dyDescent="0.4">
      <c r="A9" s="117">
        <v>45607</v>
      </c>
      <c r="B9" s="123"/>
      <c r="C9" s="123">
        <v>4</v>
      </c>
      <c r="D9" s="123"/>
      <c r="I9" s="115"/>
      <c r="J9" s="115"/>
      <c r="K9" s="25">
        <v>45604</v>
      </c>
      <c r="L9" s="13" t="s">
        <v>146</v>
      </c>
      <c r="Q9" s="116"/>
      <c r="R9" s="123"/>
      <c r="S9" s="123"/>
      <c r="T9" s="123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25"/>
      <c r="AJ9" s="13"/>
      <c r="AM9" s="114"/>
    </row>
    <row r="10" spans="1:39" ht="19.5" x14ac:dyDescent="0.4">
      <c r="A10" s="117">
        <v>45608</v>
      </c>
      <c r="B10" s="123">
        <v>1</v>
      </c>
      <c r="C10" s="123">
        <v>1</v>
      </c>
      <c r="D10" s="123"/>
      <c r="I10" s="115"/>
      <c r="J10" s="115" t="s">
        <v>202</v>
      </c>
      <c r="K10" s="13">
        <f>SUBTOTAL(3,K8:K9)</f>
        <v>2</v>
      </c>
      <c r="L10" s="13">
        <f>SUBTOTAL(3,L8:L9)</f>
        <v>2</v>
      </c>
      <c r="Q10" s="116"/>
      <c r="R10" s="123"/>
      <c r="S10" s="123"/>
      <c r="T10" s="123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25"/>
      <c r="AJ10" s="13"/>
      <c r="AM10" s="114"/>
    </row>
    <row r="11" spans="1:39" ht="19.5" x14ac:dyDescent="0.4">
      <c r="A11" s="117">
        <v>45609</v>
      </c>
      <c r="B11" s="123">
        <v>12</v>
      </c>
      <c r="C11" s="123">
        <v>2</v>
      </c>
      <c r="D11" s="123">
        <v>7</v>
      </c>
      <c r="F11" s="115"/>
      <c r="G11" s="115"/>
      <c r="H11" s="115"/>
      <c r="I11" s="115"/>
      <c r="J11" s="115"/>
      <c r="K11" s="25">
        <v>45605</v>
      </c>
      <c r="L11" s="13" t="s">
        <v>146</v>
      </c>
      <c r="Q11" s="116"/>
      <c r="R11" s="123"/>
      <c r="S11" s="123"/>
      <c r="T11" s="123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25"/>
      <c r="AJ11" s="13"/>
      <c r="AM11" s="114"/>
    </row>
    <row r="12" spans="1:39" ht="19.5" x14ac:dyDescent="0.4">
      <c r="A12" s="117">
        <v>45610</v>
      </c>
      <c r="B12" s="123"/>
      <c r="C12" s="123">
        <v>2</v>
      </c>
      <c r="D12" s="123"/>
      <c r="F12" s="115"/>
      <c r="G12" s="115"/>
      <c r="H12" s="115"/>
      <c r="I12" s="115"/>
      <c r="J12" s="115"/>
      <c r="K12" s="25">
        <v>45605</v>
      </c>
      <c r="L12" s="13" t="s">
        <v>146</v>
      </c>
      <c r="Q12" s="116"/>
      <c r="R12" s="123"/>
      <c r="S12" s="123"/>
      <c r="T12" s="123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25"/>
      <c r="AJ12" s="13"/>
      <c r="AM12" s="114"/>
    </row>
    <row r="13" spans="1:39" ht="19.5" x14ac:dyDescent="0.4">
      <c r="A13" s="117">
        <v>45611</v>
      </c>
      <c r="B13" s="123"/>
      <c r="C13" s="123"/>
      <c r="D13" s="123">
        <v>2</v>
      </c>
      <c r="F13" s="115"/>
      <c r="G13" s="115"/>
      <c r="H13" s="115"/>
      <c r="I13" s="115"/>
      <c r="J13" s="115" t="s">
        <v>203</v>
      </c>
      <c r="K13" s="13">
        <f>SUBTOTAL(3,K11:K12)</f>
        <v>2</v>
      </c>
      <c r="L13" s="13">
        <f>SUBTOTAL(3,L11:L12)</f>
        <v>2</v>
      </c>
      <c r="Q13" s="116"/>
      <c r="R13" s="123"/>
      <c r="S13" s="123"/>
      <c r="T13" s="123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25"/>
      <c r="AJ13" s="13"/>
      <c r="AM13" s="114"/>
    </row>
    <row r="14" spans="1:39" ht="19.5" x14ac:dyDescent="0.4">
      <c r="A14" s="117">
        <v>45612</v>
      </c>
      <c r="B14" s="123">
        <v>2</v>
      </c>
      <c r="C14" s="123">
        <v>8</v>
      </c>
      <c r="D14" s="123">
        <v>3</v>
      </c>
      <c r="F14" s="115"/>
      <c r="G14" s="115"/>
      <c r="H14" s="115"/>
      <c r="I14" s="115"/>
      <c r="J14" s="115"/>
      <c r="K14" s="25">
        <v>45606</v>
      </c>
      <c r="L14" s="13" t="s">
        <v>147</v>
      </c>
      <c r="Q14" s="116"/>
      <c r="R14" s="123"/>
      <c r="S14" s="123"/>
      <c r="T14" s="123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25"/>
      <c r="AJ14" s="13"/>
      <c r="AM14" s="114"/>
    </row>
    <row r="15" spans="1:39" ht="19.5" x14ac:dyDescent="0.4">
      <c r="A15" s="117">
        <v>45613</v>
      </c>
      <c r="B15" s="123">
        <v>6</v>
      </c>
      <c r="C15" s="123">
        <v>2</v>
      </c>
      <c r="D15" s="123">
        <v>4</v>
      </c>
      <c r="F15" s="115"/>
      <c r="G15" s="115"/>
      <c r="H15" s="115"/>
      <c r="I15" s="115"/>
      <c r="J15" s="115"/>
      <c r="K15" s="25">
        <v>45606</v>
      </c>
      <c r="L15" s="13" t="s">
        <v>148</v>
      </c>
      <c r="Q15" s="116"/>
      <c r="R15" s="123"/>
      <c r="S15" s="123"/>
      <c r="T15" s="123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25"/>
      <c r="AJ15" s="13"/>
      <c r="AM15" s="114"/>
    </row>
    <row r="16" spans="1:39" ht="19.5" x14ac:dyDescent="0.4">
      <c r="A16" s="117">
        <v>45614</v>
      </c>
      <c r="B16" s="123">
        <v>14</v>
      </c>
      <c r="C16" s="123">
        <v>9</v>
      </c>
      <c r="D16" s="123">
        <v>6</v>
      </c>
      <c r="K16" s="25">
        <v>45606</v>
      </c>
      <c r="L16" s="13" t="s">
        <v>147</v>
      </c>
      <c r="Q16" s="117"/>
      <c r="R16" s="123"/>
      <c r="S16" s="123"/>
      <c r="T16" s="123"/>
      <c r="Y16" s="115"/>
      <c r="Z16" s="115"/>
      <c r="AA16" s="115"/>
      <c r="AB16" s="115"/>
      <c r="AC16" s="115"/>
      <c r="AD16" s="115"/>
      <c r="AE16" s="115"/>
      <c r="AF16" s="115"/>
      <c r="AG16" s="115"/>
      <c r="AH16" s="115" t="s">
        <v>149</v>
      </c>
      <c r="AI16" s="13">
        <f>SUBTOTAL(3,AI2:AI2)</f>
        <v>1</v>
      </c>
      <c r="AJ16" s="13">
        <f>SUBTOTAL(3,AJ2:AJ2)</f>
        <v>1</v>
      </c>
      <c r="AM16" s="114"/>
    </row>
    <row r="17" spans="1:39" ht="19.5" x14ac:dyDescent="0.4">
      <c r="A17" s="117">
        <v>45615</v>
      </c>
      <c r="B17" s="123">
        <v>1</v>
      </c>
      <c r="C17" s="123">
        <v>2</v>
      </c>
      <c r="D17" s="123">
        <v>1</v>
      </c>
      <c r="G17" s="115"/>
      <c r="H17" s="115"/>
      <c r="I17" s="115"/>
      <c r="J17" s="115"/>
      <c r="K17" s="25">
        <v>45606</v>
      </c>
      <c r="L17" s="13" t="s">
        <v>146</v>
      </c>
      <c r="Q17" s="117"/>
      <c r="R17" s="123"/>
      <c r="S17" s="123"/>
      <c r="T17" s="123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3"/>
      <c r="AJ17" s="13"/>
      <c r="AM17" s="114"/>
    </row>
    <row r="18" spans="1:39" ht="19.5" x14ac:dyDescent="0.4">
      <c r="A18" s="117">
        <v>45616</v>
      </c>
      <c r="B18" s="123">
        <v>11</v>
      </c>
      <c r="C18" s="123">
        <v>3</v>
      </c>
      <c r="D18" s="123">
        <v>1</v>
      </c>
      <c r="G18" s="115"/>
      <c r="H18" s="115"/>
      <c r="I18" s="115"/>
      <c r="J18" s="115"/>
      <c r="K18" s="25">
        <v>45606</v>
      </c>
      <c r="L18" s="13" t="s">
        <v>147</v>
      </c>
      <c r="Q18" s="117"/>
      <c r="R18" s="123"/>
      <c r="S18" s="123"/>
      <c r="T18" s="123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3"/>
      <c r="AJ18" s="13"/>
      <c r="AM18" s="114"/>
    </row>
    <row r="19" spans="1:39" ht="19.5" x14ac:dyDescent="0.4">
      <c r="A19" s="117">
        <v>45618</v>
      </c>
      <c r="B19" s="123">
        <v>1</v>
      </c>
      <c r="C19" s="123"/>
      <c r="D19" s="123"/>
      <c r="K19" s="25">
        <v>45606</v>
      </c>
      <c r="L19" s="13" t="s">
        <v>146</v>
      </c>
      <c r="Q19" s="117"/>
      <c r="R19" s="123"/>
      <c r="S19" s="123"/>
      <c r="T19" s="123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3"/>
      <c r="AJ19" s="13"/>
      <c r="AM19" s="114"/>
    </row>
    <row r="20" spans="1:39" ht="19.5" x14ac:dyDescent="0.4">
      <c r="A20" s="117">
        <v>45619</v>
      </c>
      <c r="B20" s="123">
        <v>17</v>
      </c>
      <c r="C20" s="123">
        <v>6</v>
      </c>
      <c r="D20" s="123">
        <v>2</v>
      </c>
      <c r="G20" s="115"/>
      <c r="H20" s="115"/>
      <c r="I20" s="115"/>
      <c r="J20" s="115"/>
      <c r="K20" s="25">
        <v>45606</v>
      </c>
      <c r="L20" s="13" t="s">
        <v>146</v>
      </c>
      <c r="Q20" s="117"/>
      <c r="R20" s="123"/>
      <c r="S20" s="123"/>
      <c r="T20" s="123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3"/>
      <c r="AJ20" s="13"/>
      <c r="AM20" s="114"/>
    </row>
    <row r="21" spans="1:39" ht="19.5" x14ac:dyDescent="0.4">
      <c r="A21" s="117">
        <v>45620</v>
      </c>
      <c r="B21" s="123">
        <v>4</v>
      </c>
      <c r="C21" s="123"/>
      <c r="D21" s="123"/>
      <c r="G21" s="115"/>
      <c r="H21" s="115"/>
      <c r="I21" s="115"/>
      <c r="J21" s="115"/>
      <c r="K21" s="25">
        <v>45606</v>
      </c>
      <c r="L21" s="15" t="s">
        <v>146</v>
      </c>
      <c r="Q21" s="117"/>
      <c r="R21" s="123"/>
      <c r="S21" s="123"/>
      <c r="T21" s="123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3"/>
      <c r="AJ21" s="13"/>
      <c r="AM21" s="114"/>
    </row>
    <row r="22" spans="1:39" ht="19.5" x14ac:dyDescent="0.4">
      <c r="A22" s="117">
        <v>45621</v>
      </c>
      <c r="B22" s="123">
        <v>10</v>
      </c>
      <c r="C22" s="123">
        <v>2</v>
      </c>
      <c r="D22" s="123">
        <v>2</v>
      </c>
      <c r="G22" s="115"/>
      <c r="H22" s="115"/>
      <c r="I22" s="115"/>
      <c r="J22" s="115"/>
      <c r="K22" s="25">
        <v>45606</v>
      </c>
      <c r="L22" s="15" t="s">
        <v>146</v>
      </c>
      <c r="Q22" s="117"/>
      <c r="R22" s="123"/>
      <c r="S22" s="123"/>
      <c r="T22" s="123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3"/>
      <c r="AJ22" s="13"/>
      <c r="AM22" s="114"/>
    </row>
    <row r="23" spans="1:39" ht="19.5" x14ac:dyDescent="0.4">
      <c r="A23" s="117">
        <v>45622</v>
      </c>
      <c r="B23" s="123">
        <v>3</v>
      </c>
      <c r="C23" s="123">
        <v>2</v>
      </c>
      <c r="D23" s="123">
        <v>1</v>
      </c>
      <c r="G23" s="115"/>
      <c r="H23" s="115"/>
      <c r="I23" s="115"/>
      <c r="J23" s="115" t="s">
        <v>204</v>
      </c>
      <c r="K23" s="132">
        <f>SUBTOTAL(3,K14:K22)</f>
        <v>9</v>
      </c>
      <c r="L23" s="15">
        <f>SUBTOTAL(3,L14:L22)</f>
        <v>9</v>
      </c>
      <c r="Q23" s="117"/>
      <c r="R23" s="123"/>
      <c r="S23" s="123"/>
      <c r="T23" s="123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3"/>
      <c r="AJ23" s="13"/>
      <c r="AM23" s="114"/>
    </row>
    <row r="24" spans="1:39" ht="19.5" x14ac:dyDescent="0.4">
      <c r="A24" s="117">
        <v>45624</v>
      </c>
      <c r="B24" s="123">
        <v>1</v>
      </c>
      <c r="C24" s="123"/>
      <c r="D24" s="123"/>
      <c r="F24" s="115"/>
      <c r="G24" s="115"/>
      <c r="H24" s="115"/>
      <c r="I24" s="115"/>
      <c r="J24" s="115"/>
      <c r="K24" s="30">
        <v>45607</v>
      </c>
      <c r="L24" s="15" t="s">
        <v>147</v>
      </c>
      <c r="Q24" s="117"/>
      <c r="R24" s="123"/>
      <c r="S24" s="123"/>
      <c r="T24" s="123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3"/>
      <c r="AJ24" s="13"/>
      <c r="AM24" s="114"/>
    </row>
    <row r="25" spans="1:39" ht="19.5" x14ac:dyDescent="0.4">
      <c r="A25" s="117">
        <v>45626</v>
      </c>
      <c r="B25" s="123">
        <v>2</v>
      </c>
      <c r="C25" s="123">
        <v>1</v>
      </c>
      <c r="D25" s="123"/>
      <c r="F25" s="115"/>
      <c r="G25" s="115"/>
      <c r="H25" s="115"/>
      <c r="I25" s="115"/>
      <c r="J25" s="115"/>
      <c r="K25" s="25">
        <v>45607</v>
      </c>
      <c r="L25" s="13" t="s">
        <v>147</v>
      </c>
      <c r="Q25" s="117"/>
      <c r="R25" s="123"/>
      <c r="S25" s="123"/>
      <c r="T25" s="123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3"/>
      <c r="AJ25" s="13"/>
      <c r="AM25" s="114"/>
    </row>
    <row r="26" spans="1:39" ht="19.5" x14ac:dyDescent="0.4">
      <c r="A26" s="117">
        <v>45628</v>
      </c>
      <c r="B26" s="123"/>
      <c r="C26" s="123">
        <v>1</v>
      </c>
      <c r="D26" s="123"/>
      <c r="F26" s="115"/>
      <c r="G26" s="115"/>
      <c r="H26" s="115"/>
      <c r="I26" s="115"/>
      <c r="J26" s="115"/>
      <c r="K26" s="25">
        <v>45607</v>
      </c>
      <c r="L26" s="13" t="s">
        <v>147</v>
      </c>
      <c r="Q26" s="117"/>
      <c r="R26" s="123"/>
      <c r="S26" s="123"/>
      <c r="T26" s="123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3"/>
      <c r="AJ26" s="13"/>
      <c r="AM26" s="114"/>
    </row>
    <row r="27" spans="1:39" ht="19.5" x14ac:dyDescent="0.4">
      <c r="A27" s="117">
        <v>45629</v>
      </c>
      <c r="B27" s="123"/>
      <c r="C27" s="123">
        <v>1</v>
      </c>
      <c r="D27" s="123"/>
      <c r="F27" s="115"/>
      <c r="G27" s="115"/>
      <c r="H27" s="115"/>
      <c r="I27" s="115"/>
      <c r="J27" s="115"/>
      <c r="K27" s="25">
        <v>45607</v>
      </c>
      <c r="L27" s="13" t="s">
        <v>147</v>
      </c>
      <c r="Q27" s="117"/>
      <c r="R27" s="123"/>
      <c r="S27" s="123"/>
      <c r="T27" s="123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3"/>
      <c r="AJ27" s="13"/>
      <c r="AM27" s="114"/>
    </row>
    <row r="28" spans="1:39" ht="19.5" x14ac:dyDescent="0.4">
      <c r="A28" s="117">
        <v>45630</v>
      </c>
      <c r="B28" s="123">
        <v>3</v>
      </c>
      <c r="C28" s="123"/>
      <c r="D28" s="123">
        <v>1</v>
      </c>
      <c r="F28" s="115"/>
      <c r="G28" s="115"/>
      <c r="H28" s="115"/>
      <c r="I28" s="115"/>
      <c r="J28" s="115" t="s">
        <v>205</v>
      </c>
      <c r="K28" s="13">
        <f>SUBTOTAL(3,K24:K27)</f>
        <v>4</v>
      </c>
      <c r="L28" s="13">
        <f>SUBTOTAL(3,L24:L27)</f>
        <v>4</v>
      </c>
      <c r="Q28" s="117"/>
      <c r="R28" s="123"/>
      <c r="S28" s="123"/>
      <c r="T28" s="123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3"/>
      <c r="AJ28" s="13"/>
      <c r="AM28" s="114"/>
    </row>
    <row r="29" spans="1:39" ht="19.5" x14ac:dyDescent="0.4">
      <c r="A29" s="117">
        <v>45631</v>
      </c>
      <c r="B29" s="123"/>
      <c r="C29" s="123">
        <v>1</v>
      </c>
      <c r="D29" s="123">
        <v>1</v>
      </c>
      <c r="K29" s="25">
        <v>45608</v>
      </c>
      <c r="L29" s="13" t="s">
        <v>146</v>
      </c>
      <c r="Q29" s="117"/>
      <c r="R29" s="123"/>
      <c r="S29" s="123"/>
      <c r="T29" s="123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25">
        <v>45263</v>
      </c>
      <c r="AJ29" s="13" t="s">
        <v>162</v>
      </c>
      <c r="AM29" s="114"/>
    </row>
    <row r="30" spans="1:39" ht="19.5" x14ac:dyDescent="0.4">
      <c r="A30" s="117">
        <v>45632</v>
      </c>
      <c r="B30" s="123"/>
      <c r="C30" s="123">
        <v>1</v>
      </c>
      <c r="D30" s="123"/>
      <c r="G30" s="115"/>
      <c r="H30" s="115"/>
      <c r="I30" s="115"/>
      <c r="J30" s="115"/>
      <c r="K30" s="25">
        <v>45608</v>
      </c>
      <c r="L30" s="13" t="s">
        <v>147</v>
      </c>
      <c r="Q30" s="117"/>
      <c r="R30" s="123"/>
      <c r="S30" s="123"/>
      <c r="T30" s="123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25"/>
      <c r="AJ30" s="13"/>
      <c r="AM30" s="114"/>
    </row>
    <row r="31" spans="1:39" ht="19.5" x14ac:dyDescent="0.4">
      <c r="A31" s="117">
        <v>45634</v>
      </c>
      <c r="B31" s="123">
        <v>3</v>
      </c>
      <c r="C31" s="123">
        <v>1</v>
      </c>
      <c r="D31" s="123"/>
      <c r="G31" s="115"/>
      <c r="H31" s="115"/>
      <c r="I31" s="115"/>
      <c r="J31" s="115" t="s">
        <v>206</v>
      </c>
      <c r="K31" s="13">
        <f>SUBTOTAL(3,K29:K30)</f>
        <v>2</v>
      </c>
      <c r="L31" s="13">
        <f>SUBTOTAL(3,L29:L30)</f>
        <v>2</v>
      </c>
      <c r="Q31" s="117"/>
      <c r="R31" s="123"/>
      <c r="S31" s="123"/>
      <c r="T31" s="123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25"/>
      <c r="AJ31" s="13"/>
      <c r="AM31" s="114"/>
    </row>
    <row r="32" spans="1:39" ht="19.5" x14ac:dyDescent="0.4">
      <c r="A32" s="117">
        <v>45641</v>
      </c>
      <c r="B32" s="123">
        <v>1</v>
      </c>
      <c r="C32" s="123"/>
      <c r="D32" s="123"/>
      <c r="K32" s="25">
        <v>45609</v>
      </c>
      <c r="L32" s="13" t="s">
        <v>146</v>
      </c>
      <c r="Q32" s="117"/>
      <c r="R32" s="123"/>
      <c r="S32" s="123"/>
      <c r="T32" s="123"/>
      <c r="Y32" s="115"/>
      <c r="Z32" s="115"/>
      <c r="AA32" s="115"/>
      <c r="AB32" s="115"/>
      <c r="AC32" s="115"/>
      <c r="AD32" s="115"/>
      <c r="AE32" s="115"/>
      <c r="AF32" s="115"/>
      <c r="AG32" s="115"/>
      <c r="AH32" s="115" t="s">
        <v>150</v>
      </c>
      <c r="AI32" s="13">
        <f>SUBTOTAL(3,AI29:AI29)</f>
        <v>1</v>
      </c>
      <c r="AJ32" s="13">
        <f>SUBTOTAL(3,AJ29:AJ29)</f>
        <v>1</v>
      </c>
      <c r="AM32" s="114"/>
    </row>
    <row r="33" spans="1:39" ht="19.5" x14ac:dyDescent="0.4">
      <c r="A33" s="117"/>
      <c r="B33" s="123">
        <f>SUM(B3:B32)</f>
        <v>103</v>
      </c>
      <c r="C33" s="123">
        <f>SUM(C3:C32)</f>
        <v>52</v>
      </c>
      <c r="D33" s="123">
        <f>SUM(D3:D32)</f>
        <v>32</v>
      </c>
      <c r="G33" s="115"/>
      <c r="H33" s="115"/>
      <c r="I33" s="115"/>
      <c r="J33" s="115"/>
      <c r="K33" s="25">
        <v>45609</v>
      </c>
      <c r="L33" s="13" t="s">
        <v>146</v>
      </c>
      <c r="Q33" s="117"/>
      <c r="R33" s="123"/>
      <c r="S33" s="123"/>
      <c r="T33" s="123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3"/>
      <c r="AJ33" s="13"/>
      <c r="AM33" s="114"/>
    </row>
    <row r="34" spans="1:39" ht="19.5" x14ac:dyDescent="0.4">
      <c r="A34" s="117"/>
      <c r="B34" s="123"/>
      <c r="C34" s="123"/>
      <c r="D34" s="123">
        <f>SUM(B33:D33)</f>
        <v>187</v>
      </c>
      <c r="K34" s="25">
        <v>45609</v>
      </c>
      <c r="L34" s="13" t="s">
        <v>146</v>
      </c>
      <c r="Q34" s="117"/>
      <c r="R34" s="123"/>
      <c r="S34" s="123"/>
      <c r="T34" s="123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25">
        <v>45264</v>
      </c>
      <c r="AJ34" s="13" t="s">
        <v>162</v>
      </c>
      <c r="AM34" s="114"/>
    </row>
    <row r="35" spans="1:39" ht="19.5" x14ac:dyDescent="0.4">
      <c r="A35" s="117"/>
      <c r="B35" s="123"/>
      <c r="C35" s="123"/>
      <c r="D35" s="123"/>
      <c r="K35" s="25">
        <v>45609</v>
      </c>
      <c r="L35" s="13" t="s">
        <v>146</v>
      </c>
      <c r="Q35" s="117"/>
      <c r="R35" s="123"/>
      <c r="S35" s="123"/>
      <c r="T35" s="123"/>
      <c r="Y35" s="115"/>
      <c r="Z35" s="115"/>
      <c r="AA35" s="115"/>
      <c r="AB35" s="115"/>
      <c r="AC35" s="115"/>
      <c r="AD35" s="115"/>
      <c r="AE35" s="115"/>
      <c r="AF35" s="115"/>
      <c r="AG35" s="115"/>
      <c r="AH35" s="115" t="s">
        <v>154</v>
      </c>
      <c r="AI35" s="13">
        <f>SUBTOTAL(3,AI34:AI34)</f>
        <v>1</v>
      </c>
      <c r="AJ35" s="13">
        <f>SUBTOTAL(3,AJ34:AJ34)</f>
        <v>1</v>
      </c>
      <c r="AM35" s="114"/>
    </row>
    <row r="36" spans="1:39" ht="19.5" x14ac:dyDescent="0.4">
      <c r="A36" s="117"/>
      <c r="B36" s="123"/>
      <c r="C36" s="123"/>
      <c r="D36" s="123"/>
      <c r="K36" s="25">
        <v>45609</v>
      </c>
      <c r="L36" s="13" t="s">
        <v>146</v>
      </c>
      <c r="Q36" s="117"/>
      <c r="R36" s="123"/>
      <c r="S36" s="123"/>
      <c r="T36" s="123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25">
        <v>45265</v>
      </c>
      <c r="AJ36" s="13" t="s">
        <v>162</v>
      </c>
      <c r="AM36" s="114"/>
    </row>
    <row r="37" spans="1:39" ht="19.5" x14ac:dyDescent="0.4">
      <c r="A37" s="117"/>
      <c r="B37" s="123"/>
      <c r="C37" s="123"/>
      <c r="D37" s="123"/>
      <c r="K37" s="25">
        <v>45609</v>
      </c>
      <c r="L37" s="13" t="s">
        <v>146</v>
      </c>
      <c r="Q37" s="117"/>
      <c r="R37" s="123"/>
      <c r="S37" s="123"/>
      <c r="T37" s="123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25">
        <v>45265</v>
      </c>
      <c r="AJ37" s="25" t="s">
        <v>162</v>
      </c>
      <c r="AM37" s="114"/>
    </row>
    <row r="38" spans="1:39" ht="19.5" x14ac:dyDescent="0.4">
      <c r="A38" s="117"/>
      <c r="B38" s="123"/>
      <c r="C38" s="123"/>
      <c r="D38" s="123"/>
      <c r="H38" s="115"/>
      <c r="I38" s="115"/>
      <c r="J38" s="115"/>
      <c r="K38" s="25">
        <v>45609</v>
      </c>
      <c r="L38" s="13" t="s">
        <v>146</v>
      </c>
      <c r="Q38" s="117"/>
      <c r="R38" s="123"/>
      <c r="S38" s="123"/>
      <c r="T38" s="123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25"/>
      <c r="AJ38" s="25"/>
      <c r="AM38" s="114"/>
    </row>
    <row r="39" spans="1:39" ht="19.5" x14ac:dyDescent="0.4">
      <c r="A39" s="117"/>
      <c r="B39" s="123"/>
      <c r="C39" s="123"/>
      <c r="D39" s="123"/>
      <c r="K39" s="25">
        <v>45609</v>
      </c>
      <c r="L39" s="13" t="s">
        <v>148</v>
      </c>
      <c r="Q39" s="117"/>
      <c r="R39" s="123"/>
      <c r="S39" s="123"/>
      <c r="T39" s="123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25">
        <v>45265</v>
      </c>
      <c r="AJ39" s="13" t="s">
        <v>162</v>
      </c>
      <c r="AM39" s="114"/>
    </row>
    <row r="40" spans="1:39" ht="19.5" x14ac:dyDescent="0.4">
      <c r="A40" s="117"/>
      <c r="B40" s="123"/>
      <c r="C40" s="123"/>
      <c r="D40" s="123"/>
      <c r="K40" s="25">
        <v>45609</v>
      </c>
      <c r="L40" s="13" t="s">
        <v>148</v>
      </c>
      <c r="Q40" s="117"/>
      <c r="R40" s="123"/>
      <c r="S40" s="123"/>
      <c r="T40" s="123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25">
        <v>45265</v>
      </c>
      <c r="AJ40" s="13" t="s">
        <v>162</v>
      </c>
      <c r="AM40" s="114"/>
    </row>
    <row r="41" spans="1:39" ht="19.5" x14ac:dyDescent="0.4">
      <c r="A41" s="117"/>
      <c r="B41" s="123"/>
      <c r="C41" s="123"/>
      <c r="D41" s="123"/>
      <c r="G41" s="115"/>
      <c r="H41" s="115"/>
      <c r="I41" s="115"/>
      <c r="J41" s="115"/>
      <c r="K41" s="25">
        <v>45609</v>
      </c>
      <c r="L41" s="13" t="s">
        <v>148</v>
      </c>
      <c r="Q41" s="117"/>
      <c r="R41" s="123"/>
      <c r="S41" s="123"/>
      <c r="T41" s="123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25"/>
      <c r="AJ41" s="13"/>
      <c r="AM41" s="114"/>
    </row>
    <row r="42" spans="1:39" ht="19.5" x14ac:dyDescent="0.4">
      <c r="A42" s="117"/>
      <c r="B42" s="123"/>
      <c r="C42" s="123"/>
      <c r="D42" s="123"/>
      <c r="K42" s="25">
        <v>45609</v>
      </c>
      <c r="L42" s="13" t="s">
        <v>148</v>
      </c>
      <c r="Q42" s="117"/>
      <c r="R42" s="123"/>
      <c r="S42" s="123"/>
      <c r="T42" s="123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25">
        <v>45265</v>
      </c>
      <c r="AJ42" s="13" t="s">
        <v>163</v>
      </c>
      <c r="AM42" s="114"/>
    </row>
    <row r="43" spans="1:39" ht="19.5" x14ac:dyDescent="0.4">
      <c r="A43" s="117"/>
      <c r="B43" s="123"/>
      <c r="C43" s="123"/>
      <c r="D43" s="123"/>
      <c r="K43" s="25">
        <v>45609</v>
      </c>
      <c r="L43" s="13" t="s">
        <v>147</v>
      </c>
      <c r="Q43" s="117"/>
      <c r="R43" s="123"/>
      <c r="S43" s="123"/>
      <c r="T43" s="123"/>
      <c r="Y43" s="115"/>
      <c r="Z43" s="115"/>
      <c r="AA43" s="115"/>
      <c r="AB43" s="115"/>
      <c r="AC43" s="115"/>
      <c r="AD43" s="115"/>
      <c r="AE43" s="115"/>
      <c r="AF43" s="115"/>
      <c r="AG43" s="115"/>
      <c r="AH43" s="115" t="s">
        <v>155</v>
      </c>
      <c r="AI43" s="13">
        <f>SUBTOTAL(3,AI36:AI42)</f>
        <v>5</v>
      </c>
      <c r="AJ43" s="13">
        <f>SUBTOTAL(3,AJ36:AJ42)</f>
        <v>5</v>
      </c>
      <c r="AM43" s="114"/>
    </row>
    <row r="44" spans="1:39" ht="19.5" x14ac:dyDescent="0.4">
      <c r="A44" s="117"/>
      <c r="B44" s="123"/>
      <c r="C44" s="123"/>
      <c r="D44" s="123"/>
      <c r="G44" s="115"/>
      <c r="H44" s="115"/>
      <c r="I44" s="115"/>
      <c r="J44" s="115"/>
      <c r="K44" s="25">
        <v>45609</v>
      </c>
      <c r="L44" s="13" t="s">
        <v>147</v>
      </c>
      <c r="Q44" s="117"/>
      <c r="R44" s="123"/>
      <c r="S44" s="123"/>
      <c r="T44" s="123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3"/>
      <c r="AJ44" s="13"/>
      <c r="AM44" s="114"/>
    </row>
    <row r="45" spans="1:39" ht="19.5" x14ac:dyDescent="0.4">
      <c r="A45" s="117"/>
      <c r="B45" s="123"/>
      <c r="C45" s="123"/>
      <c r="D45" s="123"/>
      <c r="F45" s="115"/>
      <c r="G45" s="115"/>
      <c r="H45" s="115"/>
      <c r="I45" s="115"/>
      <c r="J45" s="115"/>
      <c r="K45" s="25">
        <v>45609</v>
      </c>
      <c r="L45" s="13" t="s">
        <v>146</v>
      </c>
      <c r="Q45" s="117"/>
      <c r="R45" s="123"/>
      <c r="S45" s="123"/>
      <c r="T45" s="123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3"/>
      <c r="AJ45" s="13"/>
      <c r="AM45" s="114"/>
    </row>
    <row r="46" spans="1:39" ht="19.5" x14ac:dyDescent="0.4">
      <c r="A46" s="117"/>
      <c r="B46" s="123"/>
      <c r="C46" s="123"/>
      <c r="D46" s="123"/>
      <c r="F46" s="115"/>
      <c r="G46" s="115"/>
      <c r="H46" s="115"/>
      <c r="I46" s="115"/>
      <c r="J46" s="115"/>
      <c r="K46" s="25">
        <v>45609</v>
      </c>
      <c r="L46" s="13" t="s">
        <v>146</v>
      </c>
      <c r="Q46" s="117"/>
      <c r="R46" s="123"/>
      <c r="S46" s="123"/>
      <c r="T46" s="123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3"/>
      <c r="AJ46" s="13"/>
      <c r="AM46" s="114"/>
    </row>
    <row r="47" spans="1:39" ht="19.5" x14ac:dyDescent="0.4">
      <c r="A47" s="117"/>
      <c r="B47" s="123"/>
      <c r="C47" s="123"/>
      <c r="D47" s="123"/>
      <c r="F47" s="115"/>
      <c r="G47" s="115"/>
      <c r="H47" s="115"/>
      <c r="I47" s="115"/>
      <c r="J47" s="115"/>
      <c r="K47" s="25">
        <v>45609</v>
      </c>
      <c r="L47" s="13" t="s">
        <v>146</v>
      </c>
      <c r="Q47" s="117"/>
      <c r="R47" s="123"/>
      <c r="S47" s="123"/>
      <c r="T47" s="123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3"/>
      <c r="AJ47" s="13"/>
      <c r="AM47" s="114"/>
    </row>
    <row r="48" spans="1:39" ht="19.5" x14ac:dyDescent="0.4">
      <c r="A48" s="117"/>
      <c r="B48" s="123"/>
      <c r="C48" s="123"/>
      <c r="D48" s="123"/>
      <c r="K48" s="25">
        <v>45609</v>
      </c>
      <c r="L48" s="13" t="s">
        <v>148</v>
      </c>
      <c r="Q48" s="117"/>
      <c r="R48" s="123"/>
      <c r="S48" s="123"/>
      <c r="T48" s="123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25">
        <v>45266</v>
      </c>
      <c r="AJ48" s="25" t="s">
        <v>162</v>
      </c>
      <c r="AM48" s="114"/>
    </row>
    <row r="49" spans="1:39" ht="19.5" x14ac:dyDescent="0.4">
      <c r="A49" s="117"/>
      <c r="B49" s="123"/>
      <c r="C49" s="123"/>
      <c r="D49" s="123"/>
      <c r="I49" s="115"/>
      <c r="J49" s="115"/>
      <c r="K49" s="25">
        <v>45609</v>
      </c>
      <c r="L49" s="13" t="s">
        <v>146</v>
      </c>
      <c r="Q49" s="117"/>
      <c r="R49" s="123"/>
      <c r="S49" s="123"/>
      <c r="T49" s="123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25"/>
      <c r="AJ49" s="25"/>
      <c r="AM49" s="114"/>
    </row>
    <row r="50" spans="1:39" ht="19.5" x14ac:dyDescent="0.4">
      <c r="A50" s="117"/>
      <c r="B50" s="123"/>
      <c r="C50" s="123"/>
      <c r="D50" s="123"/>
      <c r="K50" s="25">
        <v>45609</v>
      </c>
      <c r="L50" s="13" t="s">
        <v>142</v>
      </c>
      <c r="Q50" s="117"/>
      <c r="R50" s="123"/>
      <c r="S50" s="123"/>
      <c r="T50" s="123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 t="s">
        <v>156</v>
      </c>
      <c r="AI50" s="13">
        <f>SUBTOTAL(3,AI48:AI48)</f>
        <v>1</v>
      </c>
      <c r="AJ50" s="13">
        <f>SUBTOTAL(3,AJ48:AJ48)</f>
        <v>1</v>
      </c>
      <c r="AM50" s="114"/>
    </row>
    <row r="51" spans="1:39" ht="19.5" x14ac:dyDescent="0.4">
      <c r="A51" s="117"/>
      <c r="B51" s="123"/>
      <c r="C51" s="123"/>
      <c r="D51" s="123"/>
      <c r="H51" s="115"/>
      <c r="I51" s="115"/>
      <c r="J51" s="115"/>
      <c r="K51" s="25">
        <v>45609</v>
      </c>
      <c r="L51" s="13" t="s">
        <v>148</v>
      </c>
      <c r="Q51" s="117"/>
      <c r="R51" s="123"/>
      <c r="S51" s="123"/>
      <c r="T51" s="123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3"/>
      <c r="AJ51" s="13"/>
      <c r="AM51" s="114"/>
    </row>
    <row r="52" spans="1:39" ht="19.5" x14ac:dyDescent="0.4">
      <c r="A52" s="117"/>
      <c r="B52" s="123"/>
      <c r="C52" s="123"/>
      <c r="D52" s="123"/>
      <c r="K52" s="25">
        <v>45609</v>
      </c>
      <c r="L52" s="15" t="s">
        <v>148</v>
      </c>
      <c r="Q52" s="117"/>
      <c r="R52" s="123"/>
      <c r="S52" s="123"/>
      <c r="T52" s="123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25">
        <v>45267</v>
      </c>
      <c r="AJ52" s="13" t="s">
        <v>142</v>
      </c>
      <c r="AM52" s="114"/>
    </row>
    <row r="53" spans="1:39" ht="19.5" x14ac:dyDescent="0.4">
      <c r="A53" s="117"/>
      <c r="B53" s="123"/>
      <c r="C53" s="123"/>
      <c r="D53" s="123"/>
      <c r="J53" s="115" t="s">
        <v>207</v>
      </c>
      <c r="K53" s="13">
        <f>SUBTOTAL(3,K32:K52)</f>
        <v>21</v>
      </c>
      <c r="L53" s="15">
        <f>SUBTOTAL(3,L32:L52)</f>
        <v>21</v>
      </c>
      <c r="Q53" s="117"/>
      <c r="R53" s="123"/>
      <c r="S53" s="123"/>
      <c r="T53" s="123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25"/>
      <c r="AJ53" s="13"/>
      <c r="AM53" s="114"/>
    </row>
    <row r="54" spans="1:39" ht="19.5" x14ac:dyDescent="0.4">
      <c r="A54" s="117"/>
      <c r="B54" s="123"/>
      <c r="C54" s="123"/>
      <c r="D54" s="123"/>
      <c r="I54" s="115"/>
      <c r="J54" s="115"/>
      <c r="K54" s="25">
        <v>45610</v>
      </c>
      <c r="L54" s="15" t="s">
        <v>147</v>
      </c>
      <c r="Q54" s="117"/>
      <c r="R54" s="123"/>
      <c r="S54" s="123"/>
      <c r="T54" s="123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25"/>
      <c r="AJ54" s="13"/>
      <c r="AM54" s="114"/>
    </row>
    <row r="55" spans="1:39" ht="19.5" x14ac:dyDescent="0.4">
      <c r="A55" s="117"/>
      <c r="B55" s="123"/>
      <c r="C55" s="123"/>
      <c r="D55" s="123"/>
      <c r="K55" s="25">
        <v>45610</v>
      </c>
      <c r="L55" s="15" t="s">
        <v>147</v>
      </c>
      <c r="Q55" s="117"/>
      <c r="R55" s="123"/>
      <c r="S55" s="123"/>
      <c r="T55" s="123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 t="s">
        <v>157</v>
      </c>
      <c r="AI55" s="13">
        <f>SUBTOTAL(3,AI52:AI52)</f>
        <v>1</v>
      </c>
      <c r="AJ55" s="13">
        <f>SUBTOTAL(3,AJ52:AJ52)</f>
        <v>1</v>
      </c>
      <c r="AM55" s="114"/>
    </row>
    <row r="56" spans="1:39" ht="19.5" x14ac:dyDescent="0.4">
      <c r="A56" s="117"/>
      <c r="B56" s="123"/>
      <c r="C56" s="123"/>
      <c r="D56" s="123"/>
      <c r="J56" s="115" t="s">
        <v>208</v>
      </c>
      <c r="K56" s="13">
        <f>SUBTOTAL(3,K54:K55)</f>
        <v>2</v>
      </c>
      <c r="L56" s="15">
        <f>SUBTOTAL(3,L54:L55)</f>
        <v>2</v>
      </c>
      <c r="Q56" s="117"/>
      <c r="R56" s="123"/>
      <c r="S56" s="123"/>
      <c r="T56" s="123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3"/>
      <c r="AJ56" s="13"/>
      <c r="AM56" s="114"/>
    </row>
    <row r="57" spans="1:39" ht="19.5" x14ac:dyDescent="0.4">
      <c r="A57" s="117"/>
      <c r="B57" s="123"/>
      <c r="C57" s="123"/>
      <c r="D57" s="123"/>
      <c r="I57" s="115"/>
      <c r="J57" s="115"/>
      <c r="K57" s="25">
        <v>45611</v>
      </c>
      <c r="L57" s="15" t="s">
        <v>148</v>
      </c>
      <c r="Q57" s="117"/>
      <c r="R57" s="123"/>
      <c r="S57" s="123"/>
      <c r="T57" s="123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3"/>
      <c r="AJ57" s="13"/>
      <c r="AM57" s="114"/>
    </row>
    <row r="58" spans="1:39" ht="19.5" x14ac:dyDescent="0.4">
      <c r="A58" s="117"/>
      <c r="B58" s="123"/>
      <c r="C58" s="123"/>
      <c r="D58" s="123"/>
      <c r="K58" s="25">
        <v>45611</v>
      </c>
      <c r="L58" s="15" t="s">
        <v>148</v>
      </c>
      <c r="Q58" s="117"/>
      <c r="R58" s="123"/>
      <c r="S58" s="123"/>
      <c r="T58" s="123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25">
        <v>45268</v>
      </c>
      <c r="AJ58" s="13" t="s">
        <v>162</v>
      </c>
      <c r="AM58" s="114"/>
    </row>
    <row r="59" spans="1:39" ht="19.5" x14ac:dyDescent="0.4">
      <c r="A59" s="117"/>
      <c r="B59" s="123"/>
      <c r="C59" s="123"/>
      <c r="D59" s="123"/>
      <c r="J59" s="115" t="s">
        <v>414</v>
      </c>
      <c r="K59" s="13">
        <f>SUBTOTAL(3,K57:K58)</f>
        <v>2</v>
      </c>
      <c r="L59" s="15">
        <f>SUBTOTAL(3,L57:L58)</f>
        <v>2</v>
      </c>
      <c r="Q59" s="117"/>
      <c r="R59" s="123"/>
      <c r="S59" s="123"/>
      <c r="T59" s="123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25"/>
      <c r="AJ59" s="13"/>
      <c r="AM59" s="114"/>
    </row>
    <row r="60" spans="1:39" ht="19.5" x14ac:dyDescent="0.4">
      <c r="A60" s="117"/>
      <c r="B60" s="123"/>
      <c r="C60" s="123"/>
      <c r="D60" s="123"/>
      <c r="K60" s="25">
        <v>45612</v>
      </c>
      <c r="L60" s="15" t="s">
        <v>148</v>
      </c>
      <c r="Q60" s="117"/>
      <c r="R60" s="123"/>
      <c r="S60" s="123"/>
      <c r="T60" s="123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25">
        <v>45268</v>
      </c>
      <c r="AJ60" s="13" t="s">
        <v>162</v>
      </c>
      <c r="AM60" s="114"/>
    </row>
    <row r="61" spans="1:39" ht="19.5" x14ac:dyDescent="0.4">
      <c r="A61" s="117"/>
      <c r="B61" s="123"/>
      <c r="C61" s="123"/>
      <c r="D61" s="123"/>
      <c r="K61" s="25">
        <v>45612</v>
      </c>
      <c r="L61" s="13" t="s">
        <v>148</v>
      </c>
      <c r="Q61" s="117"/>
      <c r="R61" s="123"/>
      <c r="S61" s="123"/>
      <c r="T61" s="123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25">
        <v>45268</v>
      </c>
      <c r="AJ61" s="13" t="s">
        <v>163</v>
      </c>
      <c r="AM61" s="114"/>
    </row>
    <row r="62" spans="1:39" ht="19.5" x14ac:dyDescent="0.4">
      <c r="A62" s="117"/>
      <c r="B62" s="123"/>
      <c r="C62" s="123"/>
      <c r="D62" s="123"/>
      <c r="I62" s="115"/>
      <c r="J62" s="115"/>
      <c r="K62" s="25">
        <v>45612</v>
      </c>
      <c r="L62" s="15" t="s">
        <v>147</v>
      </c>
      <c r="Q62" s="117"/>
      <c r="R62" s="123"/>
      <c r="S62" s="123"/>
      <c r="T62" s="123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25"/>
      <c r="AJ62" s="13"/>
      <c r="AM62" s="114"/>
    </row>
    <row r="63" spans="1:39" ht="19.5" x14ac:dyDescent="0.4">
      <c r="A63" s="117"/>
      <c r="B63" s="123"/>
      <c r="C63" s="123"/>
      <c r="D63" s="123"/>
      <c r="K63" s="25">
        <v>45612</v>
      </c>
      <c r="L63" s="15" t="s">
        <v>147</v>
      </c>
      <c r="Q63" s="117"/>
      <c r="R63" s="123"/>
      <c r="S63" s="123"/>
      <c r="T63" s="123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25">
        <v>45268</v>
      </c>
      <c r="AJ63" s="13" t="s">
        <v>163</v>
      </c>
      <c r="AM63" s="114"/>
    </row>
    <row r="64" spans="1:39" ht="19.5" x14ac:dyDescent="0.4">
      <c r="A64" s="117"/>
      <c r="B64" s="123"/>
      <c r="C64" s="123"/>
      <c r="D64" s="123"/>
      <c r="K64" s="25">
        <v>45612</v>
      </c>
      <c r="L64" s="15" t="s">
        <v>147</v>
      </c>
      <c r="Q64" s="117"/>
      <c r="R64" s="123"/>
      <c r="S64" s="123"/>
      <c r="T64" s="123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 t="s">
        <v>158</v>
      </c>
      <c r="AI64" s="13">
        <f>SUBTOTAL(3,AI58:AI63)</f>
        <v>4</v>
      </c>
      <c r="AJ64" s="13">
        <f>SUBTOTAL(3,AJ58:AJ63)</f>
        <v>4</v>
      </c>
      <c r="AM64" s="114"/>
    </row>
    <row r="65" spans="1:39" ht="19.5" x14ac:dyDescent="0.4">
      <c r="A65" s="117"/>
      <c r="B65" s="123"/>
      <c r="C65" s="123"/>
      <c r="D65" s="123"/>
      <c r="K65" s="25">
        <v>45612</v>
      </c>
      <c r="L65" s="13" t="s">
        <v>147</v>
      </c>
      <c r="Q65" s="117"/>
      <c r="R65" s="123"/>
      <c r="S65" s="123"/>
      <c r="T65" s="123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25">
        <v>45269</v>
      </c>
      <c r="AJ65" s="13" t="s">
        <v>163</v>
      </c>
      <c r="AM65" s="114"/>
    </row>
    <row r="66" spans="1:39" ht="19.5" x14ac:dyDescent="0.4">
      <c r="A66" s="117"/>
      <c r="B66" s="123"/>
      <c r="C66" s="123"/>
      <c r="D66" s="123"/>
      <c r="H66" s="115"/>
      <c r="I66" s="115"/>
      <c r="J66" s="115"/>
      <c r="K66" s="25">
        <v>45612</v>
      </c>
      <c r="L66" s="13" t="s">
        <v>146</v>
      </c>
      <c r="Q66" s="117"/>
      <c r="R66" s="123"/>
      <c r="S66" s="123"/>
      <c r="T66" s="123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25"/>
      <c r="AJ66" s="13"/>
      <c r="AM66" s="114"/>
    </row>
    <row r="67" spans="1:39" ht="19.5" x14ac:dyDescent="0.4">
      <c r="A67" s="117"/>
      <c r="B67" s="123"/>
      <c r="C67" s="123"/>
      <c r="D67" s="123"/>
      <c r="K67" s="25">
        <v>45612</v>
      </c>
      <c r="L67" s="13" t="s">
        <v>146</v>
      </c>
      <c r="Q67" s="117"/>
      <c r="R67" s="123"/>
      <c r="S67" s="123"/>
      <c r="T67" s="123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25">
        <v>45269</v>
      </c>
      <c r="AJ67" s="13" t="s">
        <v>163</v>
      </c>
      <c r="AM67" s="114"/>
    </row>
    <row r="68" spans="1:39" ht="19.5" x14ac:dyDescent="0.4">
      <c r="A68" s="117"/>
      <c r="B68" s="123"/>
      <c r="C68" s="123"/>
      <c r="D68" s="123"/>
      <c r="K68" s="25">
        <v>45612</v>
      </c>
      <c r="L68" s="13" t="s">
        <v>147</v>
      </c>
      <c r="Q68" s="117"/>
      <c r="R68" s="123"/>
      <c r="S68" s="123"/>
      <c r="T68" s="123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 t="s">
        <v>159</v>
      </c>
      <c r="AI68" s="13">
        <f>SUBTOTAL(3,AI65:AI67)</f>
        <v>2</v>
      </c>
      <c r="AJ68" s="13">
        <f>SUBTOTAL(3,AJ65:AJ67)</f>
        <v>2</v>
      </c>
      <c r="AM68" s="114"/>
    </row>
    <row r="69" spans="1:39" ht="19.5" x14ac:dyDescent="0.4">
      <c r="A69" s="117"/>
      <c r="B69" s="123"/>
      <c r="C69" s="123"/>
      <c r="D69" s="123"/>
      <c r="G69" s="115"/>
      <c r="H69" s="115"/>
      <c r="I69" s="115"/>
      <c r="J69" s="115"/>
      <c r="K69" s="25">
        <v>45612</v>
      </c>
      <c r="L69" s="13" t="s">
        <v>148</v>
      </c>
      <c r="Q69" s="117"/>
      <c r="R69" s="123"/>
      <c r="S69" s="123"/>
      <c r="T69" s="123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3"/>
      <c r="AJ69" s="13"/>
      <c r="AM69" s="114"/>
    </row>
    <row r="70" spans="1:39" ht="19.5" x14ac:dyDescent="0.4">
      <c r="A70" s="117"/>
      <c r="B70" s="123"/>
      <c r="C70" s="123"/>
      <c r="D70" s="123"/>
      <c r="F70" s="115"/>
      <c r="G70" s="115"/>
      <c r="H70" s="115"/>
      <c r="I70" s="115"/>
      <c r="J70" s="115"/>
      <c r="K70" s="25">
        <v>45612</v>
      </c>
      <c r="L70" s="13" t="s">
        <v>147</v>
      </c>
      <c r="Q70" s="117"/>
      <c r="R70" s="123"/>
      <c r="S70" s="123"/>
      <c r="T70" s="123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3"/>
      <c r="AJ70" s="13"/>
      <c r="AM70" s="114"/>
    </row>
    <row r="71" spans="1:39" ht="19.5" x14ac:dyDescent="0.4">
      <c r="A71" s="117"/>
      <c r="B71" s="123"/>
      <c r="C71" s="123"/>
      <c r="D71" s="123"/>
      <c r="K71" s="25">
        <v>45612</v>
      </c>
      <c r="L71" s="13" t="s">
        <v>147</v>
      </c>
      <c r="Q71" s="117"/>
      <c r="R71" s="123"/>
      <c r="S71" s="123"/>
      <c r="T71" s="123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25">
        <v>45270</v>
      </c>
      <c r="AJ71" s="13" t="s">
        <v>164</v>
      </c>
      <c r="AM71" s="114"/>
    </row>
    <row r="72" spans="1:39" ht="19.5" x14ac:dyDescent="0.4">
      <c r="A72" s="117"/>
      <c r="B72" s="123"/>
      <c r="C72" s="123"/>
      <c r="D72" s="123"/>
      <c r="K72" s="25">
        <v>45612</v>
      </c>
      <c r="L72" s="13" t="s">
        <v>147</v>
      </c>
      <c r="Q72" s="117"/>
      <c r="R72" s="123"/>
      <c r="S72" s="123"/>
      <c r="T72" s="123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25"/>
      <c r="AJ72" s="13"/>
      <c r="AM72" s="114"/>
    </row>
    <row r="73" spans="1:39" ht="19.5" x14ac:dyDescent="0.4">
      <c r="A73" s="117"/>
      <c r="B73" s="123"/>
      <c r="C73" s="123"/>
      <c r="D73" s="123"/>
      <c r="J73" s="115" t="s">
        <v>209</v>
      </c>
      <c r="K73" s="13">
        <f>SUBTOTAL(3,K60:K72)</f>
        <v>13</v>
      </c>
      <c r="L73" s="13">
        <f>SUBTOTAL(3,L60:L72)</f>
        <v>13</v>
      </c>
      <c r="Q73" s="117"/>
      <c r="R73" s="123"/>
      <c r="S73" s="123"/>
      <c r="T73" s="123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25"/>
      <c r="AJ73" s="13"/>
      <c r="AM73" s="114"/>
    </row>
    <row r="74" spans="1:39" ht="19.5" x14ac:dyDescent="0.4">
      <c r="A74" s="117"/>
      <c r="B74" s="123"/>
      <c r="C74" s="123"/>
      <c r="D74" s="123"/>
      <c r="K74" s="25">
        <v>45613</v>
      </c>
      <c r="L74" s="13" t="s">
        <v>147</v>
      </c>
      <c r="Q74" s="117"/>
      <c r="R74" s="123"/>
      <c r="S74" s="123"/>
      <c r="T74" s="123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25">
        <v>45270</v>
      </c>
      <c r="AJ74" s="13" t="s">
        <v>164</v>
      </c>
      <c r="AM74" s="114"/>
    </row>
    <row r="75" spans="1:39" ht="19.5" x14ac:dyDescent="0.4">
      <c r="A75" s="117"/>
      <c r="B75" s="123"/>
      <c r="C75" s="123"/>
      <c r="D75" s="123"/>
      <c r="F75" s="115"/>
      <c r="G75" s="115"/>
      <c r="H75" s="115"/>
      <c r="I75" s="115"/>
      <c r="J75" s="115"/>
      <c r="K75" s="25">
        <v>45613</v>
      </c>
      <c r="L75" s="13" t="s">
        <v>147</v>
      </c>
      <c r="Q75" s="117"/>
      <c r="R75" s="123"/>
      <c r="S75" s="123"/>
      <c r="T75" s="123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25"/>
      <c r="AJ75" s="13"/>
      <c r="AM75" s="114"/>
    </row>
    <row r="76" spans="1:39" ht="19.5" x14ac:dyDescent="0.4">
      <c r="A76" s="117"/>
      <c r="B76" s="123"/>
      <c r="C76" s="123"/>
      <c r="D76" s="123"/>
      <c r="K76" s="25">
        <v>45613</v>
      </c>
      <c r="L76" s="13" t="s">
        <v>146</v>
      </c>
      <c r="Q76" s="117"/>
      <c r="R76" s="123"/>
      <c r="S76" s="123"/>
      <c r="T76" s="123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25">
        <v>45270</v>
      </c>
      <c r="AJ76" s="13" t="s">
        <v>162</v>
      </c>
      <c r="AM76" s="114"/>
    </row>
    <row r="77" spans="1:39" ht="19.5" x14ac:dyDescent="0.4">
      <c r="A77" s="117"/>
      <c r="B77" s="123"/>
      <c r="C77" s="123"/>
      <c r="D77" s="123"/>
      <c r="K77" s="25">
        <v>45613</v>
      </c>
      <c r="L77" s="13" t="s">
        <v>148</v>
      </c>
      <c r="Q77" s="117"/>
      <c r="R77" s="123"/>
      <c r="S77" s="123"/>
      <c r="T77" s="123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25">
        <v>45270</v>
      </c>
      <c r="AJ77" s="13" t="s">
        <v>162</v>
      </c>
      <c r="AM77" s="114"/>
    </row>
    <row r="78" spans="1:39" ht="19.5" x14ac:dyDescent="0.4">
      <c r="A78" s="117"/>
      <c r="B78" s="123"/>
      <c r="C78" s="123"/>
      <c r="D78" s="123"/>
      <c r="G78" s="115"/>
      <c r="H78" s="115"/>
      <c r="I78" s="115"/>
      <c r="J78" s="115"/>
      <c r="K78" s="25">
        <v>45613</v>
      </c>
      <c r="L78" s="13" t="s">
        <v>146</v>
      </c>
      <c r="Q78" s="117"/>
      <c r="R78" s="123"/>
      <c r="S78" s="123"/>
      <c r="T78" s="123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25"/>
      <c r="AJ78" s="13"/>
      <c r="AM78" s="114"/>
    </row>
    <row r="79" spans="1:39" ht="19.5" x14ac:dyDescent="0.4">
      <c r="A79" s="117"/>
      <c r="B79" s="123"/>
      <c r="C79" s="123"/>
      <c r="D79" s="123"/>
      <c r="K79" s="25">
        <v>45613</v>
      </c>
      <c r="L79" s="13" t="s">
        <v>148</v>
      </c>
      <c r="Q79" s="117"/>
      <c r="R79" s="123"/>
      <c r="S79" s="123"/>
      <c r="T79" s="123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25"/>
      <c r="AJ79" s="13"/>
      <c r="AM79" s="114"/>
    </row>
    <row r="80" spans="1:39" ht="19.5" x14ac:dyDescent="0.4">
      <c r="A80" s="117"/>
      <c r="B80" s="123"/>
      <c r="C80" s="123"/>
      <c r="D80" s="123"/>
      <c r="K80" s="25">
        <v>45613</v>
      </c>
      <c r="L80" s="13" t="s">
        <v>146</v>
      </c>
      <c r="Q80" s="117"/>
      <c r="R80" s="123"/>
      <c r="S80" s="123"/>
      <c r="T80" s="123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25">
        <v>45270</v>
      </c>
      <c r="AJ80" s="13" t="s">
        <v>163</v>
      </c>
      <c r="AM80" s="114"/>
    </row>
    <row r="81" spans="1:39" ht="19.5" x14ac:dyDescent="0.4">
      <c r="A81" s="117"/>
      <c r="B81" s="123"/>
      <c r="C81" s="123"/>
      <c r="D81" s="123"/>
      <c r="K81" s="25">
        <v>45613</v>
      </c>
      <c r="L81" s="13" t="s">
        <v>148</v>
      </c>
      <c r="Q81" s="117"/>
      <c r="R81" s="123"/>
      <c r="S81" s="123"/>
      <c r="T81" s="123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 t="s">
        <v>151</v>
      </c>
      <c r="AI81" s="13">
        <f>SUBTOTAL(3,AI71:AI80)</f>
        <v>5</v>
      </c>
      <c r="AJ81" s="13">
        <f>SUBTOTAL(3,AJ71:AJ80)</f>
        <v>5</v>
      </c>
      <c r="AM81" s="114"/>
    </row>
    <row r="82" spans="1:39" ht="19.5" x14ac:dyDescent="0.4">
      <c r="A82" s="117"/>
      <c r="B82" s="123"/>
      <c r="C82" s="123"/>
      <c r="D82" s="123"/>
      <c r="K82" s="25">
        <v>45613</v>
      </c>
      <c r="L82" s="13" t="s">
        <v>146</v>
      </c>
      <c r="Q82" s="117"/>
      <c r="R82" s="123"/>
      <c r="S82" s="123"/>
      <c r="T82" s="123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25">
        <v>45271</v>
      </c>
      <c r="AJ82" s="13" t="s">
        <v>162</v>
      </c>
      <c r="AM82" s="114"/>
    </row>
    <row r="83" spans="1:39" ht="19.5" x14ac:dyDescent="0.4">
      <c r="A83" s="117"/>
      <c r="B83" s="123"/>
      <c r="C83" s="123"/>
      <c r="D83" s="123"/>
      <c r="K83" s="25">
        <v>45613</v>
      </c>
      <c r="L83" s="15" t="s">
        <v>148</v>
      </c>
      <c r="Q83" s="117"/>
      <c r="R83" s="123"/>
      <c r="S83" s="123"/>
      <c r="T83" s="123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25">
        <v>45271</v>
      </c>
      <c r="AJ83" s="13" t="s">
        <v>163</v>
      </c>
      <c r="AM83" s="114"/>
    </row>
    <row r="84" spans="1:39" ht="19.5" x14ac:dyDescent="0.4">
      <c r="A84" s="117"/>
      <c r="B84" s="123"/>
      <c r="C84" s="123"/>
      <c r="D84" s="123"/>
      <c r="I84" s="115"/>
      <c r="J84" s="115"/>
      <c r="K84" s="25">
        <v>45613</v>
      </c>
      <c r="L84" s="15" t="s">
        <v>146</v>
      </c>
      <c r="Q84" s="117"/>
      <c r="R84" s="123"/>
      <c r="S84" s="123"/>
      <c r="T84" s="123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25"/>
      <c r="AJ84" s="13"/>
      <c r="AM84" s="114"/>
    </row>
    <row r="85" spans="1:39" ht="19.5" x14ac:dyDescent="0.4">
      <c r="A85" s="117"/>
      <c r="B85" s="123"/>
      <c r="C85" s="123"/>
      <c r="D85" s="123"/>
      <c r="K85" s="25">
        <v>45613</v>
      </c>
      <c r="L85" s="15" t="s">
        <v>146</v>
      </c>
      <c r="Q85" s="117"/>
      <c r="R85" s="123"/>
      <c r="S85" s="123"/>
      <c r="T85" s="123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25">
        <v>45271</v>
      </c>
      <c r="AJ85" s="13" t="s">
        <v>163</v>
      </c>
      <c r="AM85" s="114"/>
    </row>
    <row r="86" spans="1:39" ht="19.5" x14ac:dyDescent="0.4">
      <c r="A86" s="117"/>
      <c r="B86" s="123"/>
      <c r="C86" s="123"/>
      <c r="D86" s="123"/>
      <c r="J86" s="115" t="s">
        <v>415</v>
      </c>
      <c r="K86" s="13">
        <f>SUBTOTAL(3,K74:K85)</f>
        <v>12</v>
      </c>
      <c r="L86" s="15">
        <f>SUBTOTAL(3,L74:L85)</f>
        <v>12</v>
      </c>
      <c r="Q86" s="117"/>
      <c r="R86" s="123"/>
      <c r="S86" s="123"/>
      <c r="T86" s="123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25"/>
      <c r="AJ86" s="13"/>
      <c r="AM86" s="114"/>
    </row>
    <row r="87" spans="1:39" ht="19.5" x14ac:dyDescent="0.4">
      <c r="A87" s="117"/>
      <c r="B87" s="123"/>
      <c r="C87" s="123"/>
      <c r="D87" s="123"/>
      <c r="K87" s="25">
        <v>45614</v>
      </c>
      <c r="L87" s="15" t="s">
        <v>147</v>
      </c>
      <c r="Q87" s="117"/>
      <c r="R87" s="123"/>
      <c r="S87" s="123"/>
      <c r="T87" s="123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 t="s">
        <v>165</v>
      </c>
      <c r="AI87" s="13">
        <f>SUBTOTAL(3,AI82:AI85)</f>
        <v>3</v>
      </c>
      <c r="AJ87" s="13">
        <f>SUBTOTAL(3,AJ82:AJ85)</f>
        <v>3</v>
      </c>
      <c r="AM87" s="114"/>
    </row>
    <row r="88" spans="1:39" ht="19.5" x14ac:dyDescent="0.4">
      <c r="A88" s="117"/>
      <c r="B88" s="123"/>
      <c r="C88" s="123"/>
      <c r="D88" s="123"/>
      <c r="K88" s="25">
        <v>45614</v>
      </c>
      <c r="L88" s="15" t="s">
        <v>147</v>
      </c>
      <c r="Q88" s="117"/>
      <c r="R88" s="123"/>
      <c r="S88" s="123"/>
      <c r="T88" s="123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25">
        <v>45272</v>
      </c>
      <c r="AJ88" s="13" t="s">
        <v>162</v>
      </c>
      <c r="AM88" s="114"/>
    </row>
    <row r="89" spans="1:39" ht="19.5" x14ac:dyDescent="0.4">
      <c r="A89" s="117"/>
      <c r="B89" s="123"/>
      <c r="C89" s="123"/>
      <c r="D89" s="123"/>
      <c r="K89" s="25">
        <v>45614</v>
      </c>
      <c r="L89" s="15" t="s">
        <v>146</v>
      </c>
      <c r="Q89" s="117"/>
      <c r="R89" s="123"/>
      <c r="S89" s="123"/>
      <c r="T89" s="123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25">
        <v>45272</v>
      </c>
      <c r="AJ89" s="13" t="s">
        <v>162</v>
      </c>
      <c r="AM89" s="114"/>
    </row>
    <row r="90" spans="1:39" ht="19.5" x14ac:dyDescent="0.4">
      <c r="A90" s="117"/>
      <c r="B90" s="123"/>
      <c r="C90" s="123"/>
      <c r="D90" s="123"/>
      <c r="K90" s="25">
        <v>45614</v>
      </c>
      <c r="L90" s="15" t="s">
        <v>148</v>
      </c>
      <c r="Q90" s="117"/>
      <c r="R90" s="123"/>
      <c r="S90" s="123"/>
      <c r="T90" s="123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25">
        <v>45272</v>
      </c>
      <c r="AJ90" s="13" t="s">
        <v>162</v>
      </c>
      <c r="AM90" s="114"/>
    </row>
    <row r="91" spans="1:39" ht="19.5" x14ac:dyDescent="0.4">
      <c r="A91" s="125"/>
      <c r="B91" s="126"/>
      <c r="C91" s="126"/>
      <c r="D91" s="126"/>
      <c r="F91" s="115"/>
      <c r="G91" s="115"/>
      <c r="H91" s="115"/>
      <c r="I91" s="115"/>
      <c r="J91" s="115"/>
      <c r="K91" s="25">
        <v>45614</v>
      </c>
      <c r="L91" s="15" t="s">
        <v>147</v>
      </c>
      <c r="Q91" s="117"/>
      <c r="R91" s="123"/>
      <c r="S91" s="123"/>
      <c r="T91" s="123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25"/>
      <c r="AJ91" s="13"/>
      <c r="AM91" s="114"/>
    </row>
    <row r="92" spans="1:39" ht="19.5" x14ac:dyDescent="0.4">
      <c r="A92" s="125"/>
      <c r="B92" s="126"/>
      <c r="C92" s="126"/>
      <c r="D92" s="126"/>
      <c r="F92" s="115"/>
      <c r="G92" s="115"/>
      <c r="H92" s="115"/>
      <c r="I92" s="115"/>
      <c r="J92" s="115"/>
      <c r="K92" s="25">
        <v>45614</v>
      </c>
      <c r="L92" s="15" t="s">
        <v>148</v>
      </c>
      <c r="Q92" s="117"/>
      <c r="R92" s="123"/>
      <c r="S92" s="123"/>
      <c r="T92" s="123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25"/>
      <c r="AJ92" s="13"/>
      <c r="AM92" s="114"/>
    </row>
    <row r="93" spans="1:39" ht="19.5" x14ac:dyDescent="0.4">
      <c r="K93" s="25">
        <v>45614</v>
      </c>
      <c r="L93" s="13" t="s">
        <v>148</v>
      </c>
      <c r="Q93" s="117"/>
      <c r="R93" s="123"/>
      <c r="S93" s="123"/>
      <c r="T93" s="123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25">
        <v>45272</v>
      </c>
      <c r="AJ93" s="13" t="s">
        <v>162</v>
      </c>
      <c r="AM93" s="114"/>
    </row>
    <row r="94" spans="1:39" ht="19.5" x14ac:dyDescent="0.4">
      <c r="K94" s="25">
        <v>45614</v>
      </c>
      <c r="L94" s="13" t="s">
        <v>142</v>
      </c>
      <c r="Q94" s="117"/>
      <c r="R94" s="123"/>
      <c r="S94" s="123"/>
      <c r="T94" s="123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25"/>
      <c r="AJ94" s="13"/>
      <c r="AM94" s="114"/>
    </row>
    <row r="95" spans="1:39" ht="19.5" x14ac:dyDescent="0.4">
      <c r="H95" s="115"/>
      <c r="I95" s="115"/>
      <c r="J95" s="115"/>
      <c r="K95" s="25">
        <v>45614</v>
      </c>
      <c r="L95" s="13" t="s">
        <v>146</v>
      </c>
      <c r="Q95" s="117"/>
      <c r="R95" s="123"/>
      <c r="S95" s="123"/>
      <c r="T95" s="123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25"/>
      <c r="AJ95" s="13"/>
      <c r="AM95" s="114"/>
    </row>
    <row r="96" spans="1:39" ht="19.5" x14ac:dyDescent="0.4">
      <c r="K96" s="25">
        <v>45614</v>
      </c>
      <c r="L96" s="13" t="s">
        <v>146</v>
      </c>
      <c r="Q96" s="117"/>
      <c r="R96" s="123"/>
      <c r="S96" s="123"/>
      <c r="T96" s="123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25">
        <v>45272</v>
      </c>
      <c r="AJ96" s="13" t="s">
        <v>162</v>
      </c>
      <c r="AM96" s="114"/>
    </row>
    <row r="97" spans="6:39" ht="19.5" x14ac:dyDescent="0.4">
      <c r="K97" s="25">
        <v>45614</v>
      </c>
      <c r="L97" s="13" t="s">
        <v>146</v>
      </c>
      <c r="Q97" s="117"/>
      <c r="R97" s="123"/>
      <c r="S97" s="123"/>
      <c r="T97" s="123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25">
        <v>45272</v>
      </c>
      <c r="AJ97" s="15" t="s">
        <v>162</v>
      </c>
      <c r="AM97" s="114"/>
    </row>
    <row r="98" spans="6:39" ht="19.5" x14ac:dyDescent="0.4">
      <c r="K98" s="25">
        <v>45614</v>
      </c>
      <c r="L98" s="15" t="s">
        <v>147</v>
      </c>
      <c r="Q98" s="117"/>
      <c r="R98" s="123"/>
      <c r="S98" s="123"/>
      <c r="T98" s="123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25">
        <v>45272</v>
      </c>
      <c r="AJ98" s="15" t="s">
        <v>162</v>
      </c>
      <c r="AM98" s="114"/>
    </row>
    <row r="99" spans="6:39" ht="19.5" x14ac:dyDescent="0.4">
      <c r="H99" s="115"/>
      <c r="I99" s="115"/>
      <c r="J99" s="115"/>
      <c r="K99" s="25">
        <v>45614</v>
      </c>
      <c r="L99" s="15" t="s">
        <v>146</v>
      </c>
      <c r="Q99" s="117"/>
      <c r="R99" s="123"/>
      <c r="S99" s="123"/>
      <c r="T99" s="123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25"/>
      <c r="AJ99" s="15"/>
      <c r="AM99" s="114"/>
    </row>
    <row r="100" spans="6:39" ht="19.5" x14ac:dyDescent="0.4">
      <c r="K100" s="25">
        <v>45614</v>
      </c>
      <c r="L100" s="15" t="s">
        <v>142</v>
      </c>
      <c r="Q100" s="117"/>
      <c r="R100" s="123"/>
      <c r="S100" s="123"/>
      <c r="T100" s="123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25">
        <v>45272</v>
      </c>
      <c r="AJ100" s="15" t="s">
        <v>162</v>
      </c>
      <c r="AM100" s="114"/>
    </row>
    <row r="101" spans="6:39" ht="19.5" x14ac:dyDescent="0.4">
      <c r="F101" s="115"/>
      <c r="G101" s="115"/>
      <c r="H101" s="115"/>
      <c r="I101" s="115"/>
      <c r="J101" s="115"/>
      <c r="K101" s="25">
        <v>45614</v>
      </c>
      <c r="L101" s="15" t="s">
        <v>146</v>
      </c>
      <c r="Q101" s="117"/>
      <c r="R101" s="123"/>
      <c r="S101" s="123"/>
      <c r="T101" s="123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25"/>
      <c r="AJ101" s="15"/>
      <c r="AM101" s="114"/>
    </row>
    <row r="102" spans="6:39" ht="19.5" x14ac:dyDescent="0.4">
      <c r="F102" s="115"/>
      <c r="G102" s="115"/>
      <c r="H102" s="115"/>
      <c r="I102" s="115"/>
      <c r="J102" s="115"/>
      <c r="K102" s="25">
        <v>45614</v>
      </c>
      <c r="L102" s="15" t="s">
        <v>146</v>
      </c>
      <c r="Q102" s="117"/>
      <c r="R102" s="123"/>
      <c r="S102" s="123"/>
      <c r="T102" s="123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25"/>
      <c r="AJ102" s="15"/>
      <c r="AM102" s="114"/>
    </row>
    <row r="103" spans="6:39" ht="19.5" x14ac:dyDescent="0.4">
      <c r="F103" s="115"/>
      <c r="G103" s="115"/>
      <c r="H103" s="115"/>
      <c r="I103" s="115"/>
      <c r="J103" s="115"/>
      <c r="K103" s="25">
        <v>45614</v>
      </c>
      <c r="L103" s="15" t="s">
        <v>146</v>
      </c>
      <c r="Q103" s="117"/>
      <c r="R103" s="123"/>
      <c r="S103" s="123"/>
      <c r="T103" s="123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25"/>
      <c r="AJ103" s="15"/>
      <c r="AM103" s="114"/>
    </row>
    <row r="104" spans="6:39" ht="19.5" x14ac:dyDescent="0.4">
      <c r="K104" s="25">
        <v>45614</v>
      </c>
      <c r="L104" s="15" t="s">
        <v>146</v>
      </c>
      <c r="Q104" s="117"/>
      <c r="R104" s="123"/>
      <c r="S104" s="123"/>
      <c r="T104" s="123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25">
        <v>45272</v>
      </c>
      <c r="AJ104" s="15" t="s">
        <v>162</v>
      </c>
      <c r="AM104" s="114"/>
    </row>
    <row r="105" spans="6:39" ht="19.5" x14ac:dyDescent="0.4">
      <c r="F105" s="115"/>
      <c r="G105" s="115"/>
      <c r="H105" s="115"/>
      <c r="I105" s="115"/>
      <c r="J105" s="115"/>
      <c r="K105" s="25">
        <v>45614</v>
      </c>
      <c r="L105" s="15" t="s">
        <v>147</v>
      </c>
      <c r="Q105" s="117"/>
      <c r="R105" s="123"/>
      <c r="S105" s="123"/>
      <c r="T105" s="123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25"/>
      <c r="AJ105" s="15"/>
      <c r="AM105" s="114"/>
    </row>
    <row r="106" spans="6:39" ht="19.5" x14ac:dyDescent="0.4">
      <c r="F106" s="115"/>
      <c r="G106" s="115"/>
      <c r="H106" s="115"/>
      <c r="I106" s="115"/>
      <c r="J106" s="115"/>
      <c r="K106" s="25">
        <v>45614</v>
      </c>
      <c r="L106" s="15" t="s">
        <v>142</v>
      </c>
      <c r="Q106" s="117"/>
      <c r="R106" s="123"/>
      <c r="S106" s="123"/>
      <c r="T106" s="123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25"/>
      <c r="AJ106" s="15"/>
      <c r="AM106" s="114"/>
    </row>
    <row r="107" spans="6:39" ht="19.5" x14ac:dyDescent="0.4">
      <c r="K107" s="25">
        <v>45614</v>
      </c>
      <c r="L107" s="15" t="s">
        <v>147</v>
      </c>
      <c r="Q107" s="117"/>
      <c r="R107" s="123"/>
      <c r="S107" s="123"/>
      <c r="T107" s="123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25">
        <v>45272</v>
      </c>
      <c r="AJ107" s="15" t="s">
        <v>162</v>
      </c>
      <c r="AM107" s="114"/>
    </row>
    <row r="108" spans="6:39" ht="19.5" x14ac:dyDescent="0.4">
      <c r="H108" s="115"/>
      <c r="I108" s="115"/>
      <c r="J108" s="115"/>
      <c r="K108" s="25">
        <v>45614</v>
      </c>
      <c r="L108" s="15" t="s">
        <v>147</v>
      </c>
      <c r="Q108" s="117"/>
      <c r="R108" s="123"/>
      <c r="S108" s="123"/>
      <c r="T108" s="123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25"/>
      <c r="AJ108" s="15"/>
      <c r="AM108" s="114"/>
    </row>
    <row r="109" spans="6:39" ht="19.5" x14ac:dyDescent="0.4">
      <c r="H109" s="115"/>
      <c r="I109" s="115"/>
      <c r="J109" s="115"/>
      <c r="K109" s="25">
        <v>45614</v>
      </c>
      <c r="L109" s="15" t="s">
        <v>146</v>
      </c>
      <c r="Q109" s="117"/>
      <c r="R109" s="123"/>
      <c r="S109" s="123"/>
      <c r="T109" s="123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25"/>
      <c r="AJ109" s="15"/>
      <c r="AM109" s="114"/>
    </row>
    <row r="110" spans="6:39" ht="19.5" x14ac:dyDescent="0.4">
      <c r="F110" s="115"/>
      <c r="G110" s="115"/>
      <c r="H110" s="115"/>
      <c r="I110" s="115"/>
      <c r="J110" s="115"/>
      <c r="K110" s="25">
        <v>45614</v>
      </c>
      <c r="L110" s="15" t="s">
        <v>148</v>
      </c>
      <c r="Q110" s="117"/>
      <c r="R110" s="123"/>
      <c r="S110" s="123"/>
      <c r="T110" s="123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25"/>
      <c r="AJ110" s="15"/>
      <c r="AM110" s="114"/>
    </row>
    <row r="111" spans="6:39" ht="19.5" x14ac:dyDescent="0.4">
      <c r="F111" s="115"/>
      <c r="G111" s="115"/>
      <c r="H111" s="115"/>
      <c r="I111" s="115"/>
      <c r="J111" s="115"/>
      <c r="K111" s="25">
        <v>45614</v>
      </c>
      <c r="L111" s="15" t="s">
        <v>148</v>
      </c>
      <c r="Q111" s="117"/>
      <c r="R111" s="123"/>
      <c r="S111" s="123"/>
      <c r="T111" s="123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25"/>
      <c r="AJ111" s="15"/>
      <c r="AM111" s="114"/>
    </row>
    <row r="112" spans="6:39" ht="19.5" x14ac:dyDescent="0.4">
      <c r="K112" s="26">
        <v>45614</v>
      </c>
      <c r="L112" s="15" t="s">
        <v>148</v>
      </c>
      <c r="Q112" s="117"/>
      <c r="R112" s="123"/>
      <c r="S112" s="123"/>
      <c r="T112" s="123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25">
        <v>45272</v>
      </c>
      <c r="AJ112" s="15" t="s">
        <v>162</v>
      </c>
      <c r="AM112" s="114"/>
    </row>
    <row r="113" spans="7:39" ht="19.5" x14ac:dyDescent="0.4">
      <c r="K113" s="26">
        <v>45614</v>
      </c>
      <c r="L113" s="13" t="s">
        <v>146</v>
      </c>
      <c r="Q113" s="117"/>
      <c r="R113" s="123"/>
      <c r="S113" s="123"/>
      <c r="T113" s="123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25"/>
      <c r="AJ113" s="15"/>
      <c r="AM113" s="114"/>
    </row>
    <row r="114" spans="7:39" ht="19.5" x14ac:dyDescent="0.4">
      <c r="G114" s="115"/>
      <c r="H114" s="115"/>
      <c r="I114" s="115"/>
      <c r="J114" s="115"/>
      <c r="K114" s="26">
        <v>45614</v>
      </c>
      <c r="L114" s="13" t="s">
        <v>147</v>
      </c>
      <c r="Q114" s="117"/>
      <c r="R114" s="123"/>
      <c r="S114" s="123"/>
      <c r="T114" s="123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25"/>
      <c r="AJ114" s="15"/>
      <c r="AM114" s="114"/>
    </row>
    <row r="115" spans="7:39" ht="19.5" x14ac:dyDescent="0.4">
      <c r="K115" s="26">
        <v>45614</v>
      </c>
      <c r="L115" s="13" t="s">
        <v>147</v>
      </c>
      <c r="Q115" s="117"/>
      <c r="R115" s="123"/>
      <c r="S115" s="123"/>
      <c r="T115" s="123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25">
        <v>45272</v>
      </c>
      <c r="AJ115" s="15" t="s">
        <v>162</v>
      </c>
      <c r="AM115" s="114"/>
    </row>
    <row r="116" spans="7:39" ht="19.5" x14ac:dyDescent="0.4">
      <c r="J116" s="115" t="s">
        <v>210</v>
      </c>
      <c r="K116" s="17">
        <f>SUBTOTAL(3,K87:K115)</f>
        <v>29</v>
      </c>
      <c r="L116" s="13">
        <f>SUBTOTAL(3,L87:L115)</f>
        <v>29</v>
      </c>
      <c r="Q116" s="117"/>
      <c r="R116" s="123"/>
      <c r="S116" s="123"/>
      <c r="T116" s="123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25"/>
      <c r="AJ116" s="15"/>
      <c r="AM116" s="114"/>
    </row>
    <row r="117" spans="7:39" ht="19.5" x14ac:dyDescent="0.4">
      <c r="K117" s="26">
        <v>45615</v>
      </c>
      <c r="L117" s="13" t="s">
        <v>148</v>
      </c>
      <c r="Q117" s="117"/>
      <c r="R117" s="123"/>
      <c r="S117" s="123"/>
      <c r="T117" s="123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25"/>
      <c r="AJ117" s="15"/>
      <c r="AM117" s="114"/>
    </row>
    <row r="118" spans="7:39" ht="19.5" x14ac:dyDescent="0.4">
      <c r="H118" s="115"/>
      <c r="I118" s="115"/>
      <c r="J118" s="115"/>
      <c r="K118" s="26">
        <v>45615</v>
      </c>
      <c r="L118" s="13" t="s">
        <v>147</v>
      </c>
      <c r="Q118" s="117"/>
      <c r="R118" s="123"/>
      <c r="S118" s="123"/>
      <c r="T118" s="123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25"/>
      <c r="AJ118" s="15"/>
      <c r="AM118" s="114"/>
    </row>
    <row r="119" spans="7:39" ht="19.5" x14ac:dyDescent="0.4">
      <c r="K119" s="26">
        <v>45615</v>
      </c>
      <c r="L119" s="13" t="s">
        <v>147</v>
      </c>
      <c r="Q119" s="117"/>
      <c r="R119" s="123"/>
      <c r="S119" s="123"/>
      <c r="T119" s="123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25">
        <v>45272</v>
      </c>
      <c r="AJ119" s="15" t="s">
        <v>162</v>
      </c>
      <c r="AM119" s="114"/>
    </row>
    <row r="120" spans="7:39" ht="19.5" x14ac:dyDescent="0.4">
      <c r="K120" s="26">
        <v>45615</v>
      </c>
      <c r="L120" s="13" t="s">
        <v>146</v>
      </c>
      <c r="Q120" s="117"/>
      <c r="R120" s="123"/>
      <c r="S120" s="123"/>
      <c r="T120" s="123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 t="s">
        <v>166</v>
      </c>
      <c r="AI120" s="13">
        <f>SUBTOTAL(3,AI88:AI119)</f>
        <v>13</v>
      </c>
      <c r="AJ120" s="15">
        <f>SUBTOTAL(3,AJ88:AJ119)</f>
        <v>13</v>
      </c>
      <c r="AM120" s="114"/>
    </row>
    <row r="121" spans="7:39" ht="19.5" x14ac:dyDescent="0.4">
      <c r="J121" s="115" t="s">
        <v>416</v>
      </c>
      <c r="K121" s="17">
        <f>SUBTOTAL(3,K117:K120)</f>
        <v>4</v>
      </c>
      <c r="L121" s="13">
        <f>SUBTOTAL(3,L117:L120)</f>
        <v>4</v>
      </c>
      <c r="Q121" s="117"/>
      <c r="R121" s="123"/>
      <c r="S121" s="123"/>
      <c r="T121" s="123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3"/>
      <c r="AJ121" s="15"/>
      <c r="AM121" s="114"/>
    </row>
    <row r="122" spans="7:39" ht="19.5" x14ac:dyDescent="0.4">
      <c r="K122" s="26">
        <v>45616</v>
      </c>
      <c r="L122" s="13" t="s">
        <v>146</v>
      </c>
      <c r="Q122" s="117"/>
      <c r="R122" s="123"/>
      <c r="S122" s="123"/>
      <c r="T122" s="123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25">
        <v>45273</v>
      </c>
      <c r="AJ122" s="105" t="s">
        <v>164</v>
      </c>
      <c r="AM122" s="114"/>
    </row>
    <row r="123" spans="7:39" ht="19.5" x14ac:dyDescent="0.4">
      <c r="K123" s="26">
        <v>45616</v>
      </c>
      <c r="L123" s="13" t="s">
        <v>146</v>
      </c>
      <c r="Q123" s="117"/>
      <c r="R123" s="123"/>
      <c r="S123" s="123"/>
      <c r="T123" s="123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25">
        <v>45273</v>
      </c>
      <c r="AJ123" s="15" t="s">
        <v>164</v>
      </c>
      <c r="AM123" s="114"/>
    </row>
    <row r="124" spans="7:39" ht="19.5" x14ac:dyDescent="0.4">
      <c r="G124" s="115"/>
      <c r="H124" s="115"/>
      <c r="I124" s="115"/>
      <c r="J124" s="115"/>
      <c r="K124" s="26">
        <v>45616</v>
      </c>
      <c r="L124" s="13" t="s">
        <v>148</v>
      </c>
      <c r="Q124" s="117"/>
      <c r="R124" s="123"/>
      <c r="S124" s="123"/>
      <c r="T124" s="123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25"/>
      <c r="AJ124" s="13"/>
      <c r="AM124" s="114"/>
    </row>
    <row r="125" spans="7:39" ht="19.5" x14ac:dyDescent="0.4">
      <c r="K125" s="26">
        <v>45616</v>
      </c>
      <c r="L125" s="13" t="s">
        <v>147</v>
      </c>
      <c r="Q125" s="117"/>
      <c r="R125" s="123"/>
      <c r="S125" s="123"/>
      <c r="T125" s="123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25">
        <v>45273</v>
      </c>
      <c r="AJ125" s="13" t="s">
        <v>164</v>
      </c>
      <c r="AM125" s="114"/>
    </row>
    <row r="126" spans="7:39" ht="19.5" x14ac:dyDescent="0.4">
      <c r="K126" s="26">
        <v>45616</v>
      </c>
      <c r="L126" s="13" t="s">
        <v>147</v>
      </c>
      <c r="Q126" s="117"/>
      <c r="R126" s="123"/>
      <c r="S126" s="123"/>
      <c r="T126" s="123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25">
        <v>45273</v>
      </c>
      <c r="AJ126" s="15" t="s">
        <v>164</v>
      </c>
      <c r="AM126" s="114"/>
    </row>
    <row r="127" spans="7:39" ht="19.5" x14ac:dyDescent="0.4">
      <c r="K127" s="26">
        <v>45616</v>
      </c>
      <c r="L127" s="13" t="s">
        <v>146</v>
      </c>
      <c r="Q127" s="117"/>
      <c r="R127" s="123"/>
      <c r="S127" s="123"/>
      <c r="T127" s="123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25">
        <v>45273</v>
      </c>
      <c r="AJ127" s="15" t="s">
        <v>162</v>
      </c>
      <c r="AM127" s="114"/>
    </row>
    <row r="128" spans="7:39" ht="19.5" x14ac:dyDescent="0.4">
      <c r="I128" s="115"/>
      <c r="J128" s="115"/>
      <c r="K128" s="26">
        <v>45616</v>
      </c>
      <c r="L128" s="13" t="s">
        <v>146</v>
      </c>
      <c r="Q128" s="117"/>
      <c r="R128" s="123"/>
      <c r="S128" s="123"/>
      <c r="T128" s="123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25"/>
      <c r="AJ128" s="15"/>
      <c r="AM128" s="114"/>
    </row>
    <row r="129" spans="7:39" ht="19.5" x14ac:dyDescent="0.4">
      <c r="K129" s="26">
        <v>45616</v>
      </c>
      <c r="L129" s="13" t="s">
        <v>146</v>
      </c>
      <c r="Q129" s="117"/>
      <c r="R129" s="123"/>
      <c r="S129" s="123"/>
      <c r="T129" s="123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25">
        <v>45273</v>
      </c>
      <c r="AJ129" s="15" t="s">
        <v>162</v>
      </c>
      <c r="AM129" s="114"/>
    </row>
    <row r="130" spans="7:39" ht="19.5" x14ac:dyDescent="0.4">
      <c r="K130" s="26">
        <v>45616</v>
      </c>
      <c r="L130" s="13" t="s">
        <v>146</v>
      </c>
      <c r="Q130" s="117"/>
      <c r="R130" s="123"/>
      <c r="S130" s="123"/>
      <c r="T130" s="123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25">
        <v>45273</v>
      </c>
      <c r="AJ130" s="15" t="s">
        <v>162</v>
      </c>
      <c r="AM130" s="114"/>
    </row>
    <row r="131" spans="7:39" ht="19.5" x14ac:dyDescent="0.4">
      <c r="K131" s="26">
        <v>45616</v>
      </c>
      <c r="L131" s="13" t="s">
        <v>146</v>
      </c>
      <c r="Q131" s="117"/>
      <c r="R131" s="123"/>
      <c r="S131" s="123"/>
      <c r="T131" s="123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25">
        <v>45273</v>
      </c>
      <c r="AJ131" s="15" t="s">
        <v>162</v>
      </c>
      <c r="AM131" s="114"/>
    </row>
    <row r="132" spans="7:39" ht="19.5" x14ac:dyDescent="0.4">
      <c r="H132" s="115"/>
      <c r="I132" s="115"/>
      <c r="J132" s="115"/>
      <c r="K132" s="26">
        <v>45616</v>
      </c>
      <c r="L132" s="13" t="s">
        <v>146</v>
      </c>
      <c r="Q132" s="117"/>
      <c r="R132" s="123"/>
      <c r="S132" s="123"/>
      <c r="T132" s="123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25"/>
      <c r="AJ132" s="15"/>
      <c r="AM132" s="114"/>
    </row>
    <row r="133" spans="7:39" ht="19.5" x14ac:dyDescent="0.4">
      <c r="K133" s="26">
        <v>45616</v>
      </c>
      <c r="L133" s="13" t="s">
        <v>146</v>
      </c>
      <c r="Q133" s="117"/>
      <c r="R133" s="123"/>
      <c r="S133" s="123"/>
      <c r="T133" s="123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25">
        <v>45273</v>
      </c>
      <c r="AJ133" s="15" t="s">
        <v>162</v>
      </c>
      <c r="AM133" s="114"/>
    </row>
    <row r="134" spans="7:39" ht="19.5" x14ac:dyDescent="0.4">
      <c r="K134" s="26">
        <v>45616</v>
      </c>
      <c r="L134" s="13" t="s">
        <v>146</v>
      </c>
      <c r="Q134" s="117"/>
      <c r="R134" s="123"/>
      <c r="S134" s="123"/>
      <c r="T134" s="123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25">
        <v>45273</v>
      </c>
      <c r="AJ134" s="15" t="s">
        <v>162</v>
      </c>
      <c r="AM134" s="114"/>
    </row>
    <row r="135" spans="7:39" ht="19.5" x14ac:dyDescent="0.4">
      <c r="K135" s="26">
        <v>45616</v>
      </c>
      <c r="L135" s="13" t="s">
        <v>146</v>
      </c>
      <c r="Q135" s="117"/>
      <c r="R135" s="123"/>
      <c r="S135" s="123"/>
      <c r="T135" s="123"/>
      <c r="U135" s="115"/>
      <c r="V135" s="115"/>
      <c r="W135" s="115"/>
      <c r="X135" s="115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25">
        <v>45273</v>
      </c>
      <c r="AJ135" s="15" t="s">
        <v>162</v>
      </c>
      <c r="AM135" s="114"/>
    </row>
    <row r="136" spans="7:39" ht="19.5" x14ac:dyDescent="0.4">
      <c r="K136" s="26">
        <v>45616</v>
      </c>
      <c r="L136" s="13" t="s">
        <v>147</v>
      </c>
      <c r="Q136" s="117"/>
      <c r="R136" s="123"/>
      <c r="S136" s="123"/>
      <c r="T136" s="123"/>
      <c r="U136" s="115"/>
      <c r="V136" s="115"/>
      <c r="W136" s="115"/>
      <c r="X136" s="115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25">
        <v>45273</v>
      </c>
      <c r="AJ136" s="15" t="s">
        <v>162</v>
      </c>
      <c r="AM136" s="114"/>
    </row>
    <row r="137" spans="7:39" ht="19.5" x14ac:dyDescent="0.4">
      <c r="J137" s="115" t="s">
        <v>211</v>
      </c>
      <c r="K137" s="17">
        <f>SUBTOTAL(3,K122:K136)</f>
        <v>15</v>
      </c>
      <c r="L137" s="13">
        <f>SUBTOTAL(3,L122:L136)</f>
        <v>15</v>
      </c>
      <c r="Q137" s="117"/>
      <c r="R137" s="123"/>
      <c r="S137" s="123"/>
      <c r="T137" s="123"/>
      <c r="U137" s="115"/>
      <c r="V137" s="115"/>
      <c r="W137" s="115"/>
      <c r="X137" s="115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25"/>
      <c r="AJ137" s="15"/>
      <c r="AM137" s="114"/>
    </row>
    <row r="138" spans="7:39" ht="19.5" x14ac:dyDescent="0.4">
      <c r="K138" s="26">
        <v>45618</v>
      </c>
      <c r="L138" s="13" t="s">
        <v>146</v>
      </c>
      <c r="Q138" s="117"/>
      <c r="R138" s="123"/>
      <c r="S138" s="123"/>
      <c r="T138" s="123"/>
      <c r="U138" s="115"/>
      <c r="V138" s="115"/>
      <c r="W138" s="115"/>
      <c r="X138" s="115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25">
        <v>45273</v>
      </c>
      <c r="AJ138" s="15" t="s">
        <v>162</v>
      </c>
      <c r="AM138" s="114"/>
    </row>
    <row r="139" spans="7:39" ht="19.5" x14ac:dyDescent="0.4">
      <c r="J139" s="115" t="s">
        <v>212</v>
      </c>
      <c r="K139" s="17">
        <f>SUBTOTAL(3,K138:K138)</f>
        <v>1</v>
      </c>
      <c r="L139" s="13">
        <f>SUBTOTAL(3,L138:L138)</f>
        <v>1</v>
      </c>
      <c r="Q139" s="117"/>
      <c r="R139" s="123"/>
      <c r="S139" s="123"/>
      <c r="T139" s="123"/>
      <c r="U139" s="115"/>
      <c r="V139" s="115"/>
      <c r="W139" s="115"/>
      <c r="X139" s="115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25"/>
      <c r="AJ139" s="15"/>
      <c r="AM139" s="114"/>
    </row>
    <row r="140" spans="7:39" ht="19.5" x14ac:dyDescent="0.4">
      <c r="K140" s="26">
        <v>45619</v>
      </c>
      <c r="L140" s="13" t="s">
        <v>146</v>
      </c>
      <c r="Q140" s="117"/>
      <c r="R140" s="123"/>
      <c r="S140" s="123"/>
      <c r="T140" s="123"/>
      <c r="U140" s="115"/>
      <c r="V140" s="115"/>
      <c r="W140" s="115"/>
      <c r="X140" s="115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25">
        <v>45273</v>
      </c>
      <c r="AJ140" s="15" t="s">
        <v>162</v>
      </c>
      <c r="AM140" s="114"/>
    </row>
    <row r="141" spans="7:39" ht="19.5" x14ac:dyDescent="0.4">
      <c r="K141" s="26">
        <v>45619</v>
      </c>
      <c r="L141" s="13" t="s">
        <v>146</v>
      </c>
      <c r="Q141" s="117"/>
      <c r="R141" s="123"/>
      <c r="S141" s="123"/>
      <c r="T141" s="123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25">
        <v>45273</v>
      </c>
      <c r="AJ141" s="13" t="s">
        <v>162</v>
      </c>
      <c r="AM141" s="114"/>
    </row>
    <row r="142" spans="7:39" ht="19.5" x14ac:dyDescent="0.4">
      <c r="K142" s="26">
        <v>45619</v>
      </c>
      <c r="L142" s="13" t="s">
        <v>146</v>
      </c>
      <c r="Q142" s="117"/>
      <c r="R142" s="123"/>
      <c r="S142" s="123"/>
      <c r="T142" s="123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25">
        <v>45273</v>
      </c>
      <c r="AJ142" s="15" t="s">
        <v>162</v>
      </c>
      <c r="AM142" s="114"/>
    </row>
    <row r="143" spans="7:39" ht="19.5" x14ac:dyDescent="0.4">
      <c r="K143" s="26">
        <v>45619</v>
      </c>
      <c r="L143" s="13" t="s">
        <v>146</v>
      </c>
      <c r="Q143" s="117"/>
      <c r="R143" s="123"/>
      <c r="S143" s="123"/>
      <c r="T143" s="123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25">
        <v>45273</v>
      </c>
      <c r="AJ143" s="15" t="s">
        <v>162</v>
      </c>
      <c r="AM143" s="114"/>
    </row>
    <row r="144" spans="7:39" ht="19.5" x14ac:dyDescent="0.4">
      <c r="G144" s="115"/>
      <c r="H144" s="115"/>
      <c r="I144" s="115"/>
      <c r="J144" s="115"/>
      <c r="K144" s="26">
        <v>45619</v>
      </c>
      <c r="L144" s="25" t="s">
        <v>146</v>
      </c>
      <c r="Q144" s="117"/>
      <c r="R144" s="123"/>
      <c r="S144" s="123"/>
      <c r="T144" s="123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25"/>
      <c r="AJ144" s="15"/>
      <c r="AM144" s="114"/>
    </row>
    <row r="145" spans="6:39" ht="19.5" x14ac:dyDescent="0.4">
      <c r="K145" s="26">
        <v>45619</v>
      </c>
      <c r="L145" s="25" t="s">
        <v>146</v>
      </c>
      <c r="Q145" s="117"/>
      <c r="R145" s="123"/>
      <c r="S145" s="123"/>
      <c r="T145" s="123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25">
        <v>45273</v>
      </c>
      <c r="AJ145" s="15" t="s">
        <v>162</v>
      </c>
      <c r="AM145" s="114"/>
    </row>
    <row r="146" spans="6:39" ht="19.5" x14ac:dyDescent="0.4">
      <c r="K146" s="26">
        <v>45619</v>
      </c>
      <c r="L146" s="13" t="s">
        <v>146</v>
      </c>
      <c r="Q146" s="117"/>
      <c r="R146" s="123"/>
      <c r="S146" s="123"/>
      <c r="T146" s="123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25">
        <v>45273</v>
      </c>
      <c r="AJ146" s="15" t="s">
        <v>162</v>
      </c>
      <c r="AM146" s="114"/>
    </row>
    <row r="147" spans="6:39" ht="19.5" x14ac:dyDescent="0.4">
      <c r="F147" s="115"/>
      <c r="G147" s="115"/>
      <c r="H147" s="115"/>
      <c r="I147" s="115"/>
      <c r="J147" s="115"/>
      <c r="K147" s="26">
        <v>45619</v>
      </c>
      <c r="L147" s="13" t="s">
        <v>146</v>
      </c>
      <c r="Q147" s="117"/>
      <c r="R147" s="123"/>
      <c r="S147" s="123"/>
      <c r="T147" s="123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25"/>
      <c r="AJ147" s="15"/>
      <c r="AM147" s="114"/>
    </row>
    <row r="148" spans="6:39" ht="19.5" x14ac:dyDescent="0.4">
      <c r="F148" s="115"/>
      <c r="G148" s="115"/>
      <c r="H148" s="115"/>
      <c r="I148" s="115"/>
      <c r="J148" s="115"/>
      <c r="K148" s="26">
        <v>45619</v>
      </c>
      <c r="L148" s="13" t="s">
        <v>146</v>
      </c>
      <c r="Q148" s="117"/>
      <c r="R148" s="123"/>
      <c r="S148" s="123"/>
      <c r="T148" s="123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25"/>
      <c r="AJ148" s="15"/>
      <c r="AM148" s="114"/>
    </row>
    <row r="149" spans="6:39" ht="19.5" x14ac:dyDescent="0.4">
      <c r="K149" s="26">
        <v>45619</v>
      </c>
      <c r="L149" s="13" t="s">
        <v>147</v>
      </c>
      <c r="Q149" s="117"/>
      <c r="R149" s="123"/>
      <c r="S149" s="123"/>
      <c r="T149" s="123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25">
        <v>45273</v>
      </c>
      <c r="AJ149" s="15" t="s">
        <v>162</v>
      </c>
      <c r="AM149" s="114"/>
    </row>
    <row r="150" spans="6:39" ht="19.5" x14ac:dyDescent="0.4">
      <c r="K150" s="26">
        <v>45619</v>
      </c>
      <c r="L150" s="13" t="s">
        <v>147</v>
      </c>
      <c r="Q150" s="117"/>
      <c r="R150" s="123"/>
      <c r="S150" s="123"/>
      <c r="T150" s="123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25">
        <v>45273</v>
      </c>
      <c r="AJ150" s="15" t="s">
        <v>162</v>
      </c>
      <c r="AM150" s="114"/>
    </row>
    <row r="151" spans="6:39" ht="19.5" x14ac:dyDescent="0.4">
      <c r="K151" s="26">
        <v>45619</v>
      </c>
      <c r="L151" s="13" t="s">
        <v>147</v>
      </c>
      <c r="Q151" s="117"/>
      <c r="R151" s="123"/>
      <c r="S151" s="123"/>
      <c r="T151" s="123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25">
        <v>45273</v>
      </c>
      <c r="AJ151" s="13" t="s">
        <v>163</v>
      </c>
      <c r="AM151" s="114"/>
    </row>
    <row r="152" spans="6:39" ht="19.5" x14ac:dyDescent="0.4">
      <c r="K152" s="26">
        <v>45619</v>
      </c>
      <c r="L152" s="13" t="s">
        <v>147</v>
      </c>
      <c r="Q152" s="117"/>
      <c r="R152" s="123"/>
      <c r="S152" s="123"/>
      <c r="T152" s="123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25"/>
      <c r="AJ152" s="13"/>
      <c r="AM152" s="114"/>
    </row>
    <row r="153" spans="6:39" ht="19.5" x14ac:dyDescent="0.4">
      <c r="K153" s="26">
        <v>45619</v>
      </c>
      <c r="L153" s="13" t="s">
        <v>147</v>
      </c>
      <c r="Q153" s="117"/>
      <c r="R153" s="123"/>
      <c r="S153" s="123"/>
      <c r="T153" s="123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 t="s">
        <v>152</v>
      </c>
      <c r="AI153" s="13">
        <f>SUBTOTAL(3,AI122:AI151)</f>
        <v>22</v>
      </c>
      <c r="AJ153" s="13">
        <f>SUBTOTAL(3,AJ122:AJ151)</f>
        <v>22</v>
      </c>
      <c r="AM153" s="114"/>
    </row>
    <row r="154" spans="6:39" ht="19.5" x14ac:dyDescent="0.4">
      <c r="K154" s="26">
        <v>45619</v>
      </c>
      <c r="L154" s="13" t="s">
        <v>146</v>
      </c>
      <c r="Q154" s="117"/>
      <c r="R154" s="123"/>
      <c r="S154" s="123"/>
      <c r="T154" s="123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25">
        <v>45274</v>
      </c>
      <c r="AJ154" s="15" t="s">
        <v>162</v>
      </c>
      <c r="AM154" s="114"/>
    </row>
    <row r="155" spans="6:39" ht="19.5" x14ac:dyDescent="0.4">
      <c r="H155" s="115"/>
      <c r="I155" s="115"/>
      <c r="J155" s="115"/>
      <c r="K155" s="26">
        <v>45619</v>
      </c>
      <c r="L155" s="13" t="s">
        <v>146</v>
      </c>
      <c r="Q155" s="117"/>
      <c r="R155" s="123"/>
      <c r="S155" s="123"/>
      <c r="T155" s="123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25"/>
      <c r="AJ155" s="15"/>
      <c r="AM155" s="114"/>
    </row>
    <row r="156" spans="6:39" ht="19.5" x14ac:dyDescent="0.4">
      <c r="H156" s="115"/>
      <c r="I156" s="115"/>
      <c r="J156" s="115"/>
      <c r="K156" s="26">
        <v>45619</v>
      </c>
      <c r="L156" s="13" t="s">
        <v>146</v>
      </c>
      <c r="Q156" s="117"/>
      <c r="R156" s="123"/>
      <c r="S156" s="123"/>
      <c r="T156" s="123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25"/>
      <c r="AJ156" s="15"/>
      <c r="AM156" s="114"/>
    </row>
    <row r="157" spans="6:39" ht="19.5" x14ac:dyDescent="0.4">
      <c r="K157" s="26">
        <v>45619</v>
      </c>
      <c r="L157" s="13" t="s">
        <v>148</v>
      </c>
      <c r="Q157" s="117"/>
      <c r="R157" s="123"/>
      <c r="S157" s="123"/>
      <c r="T157" s="123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25">
        <v>45274</v>
      </c>
      <c r="AJ157" s="15" t="s">
        <v>162</v>
      </c>
      <c r="AM157" s="114"/>
    </row>
    <row r="158" spans="6:39" ht="19.5" x14ac:dyDescent="0.4">
      <c r="I158" s="115"/>
      <c r="J158" s="115"/>
      <c r="K158" s="26">
        <v>45619</v>
      </c>
      <c r="L158" s="13" t="s">
        <v>146</v>
      </c>
      <c r="Q158" s="117"/>
      <c r="R158" s="123"/>
      <c r="S158" s="123"/>
      <c r="T158" s="123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25"/>
      <c r="AJ158" s="15"/>
      <c r="AM158" s="114"/>
    </row>
    <row r="159" spans="6:39" ht="19.5" x14ac:dyDescent="0.4">
      <c r="H159" s="115"/>
      <c r="I159" s="115"/>
      <c r="J159" s="115"/>
      <c r="K159" s="26">
        <v>45619</v>
      </c>
      <c r="L159" s="13" t="s">
        <v>148</v>
      </c>
      <c r="Q159" s="117"/>
      <c r="R159" s="123"/>
      <c r="S159" s="123"/>
      <c r="T159" s="123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25"/>
      <c r="AJ159" s="15"/>
      <c r="AM159" s="114"/>
    </row>
    <row r="160" spans="6:39" ht="19.5" x14ac:dyDescent="0.4">
      <c r="F160" s="115"/>
      <c r="G160" s="115"/>
      <c r="H160" s="115"/>
      <c r="I160" s="115"/>
      <c r="J160" s="115"/>
      <c r="K160" s="26">
        <v>45619</v>
      </c>
      <c r="L160" s="13" t="s">
        <v>146</v>
      </c>
      <c r="Q160" s="117"/>
      <c r="R160" s="123"/>
      <c r="S160" s="123"/>
      <c r="T160" s="123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25"/>
      <c r="AJ160" s="15"/>
      <c r="AM160" s="114"/>
    </row>
    <row r="161" spans="7:39" ht="19.5" x14ac:dyDescent="0.4">
      <c r="K161" s="26">
        <v>45619</v>
      </c>
      <c r="L161" s="13" t="s">
        <v>146</v>
      </c>
      <c r="Q161" s="117"/>
      <c r="R161" s="123"/>
      <c r="S161" s="123"/>
      <c r="T161" s="123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25">
        <v>45274</v>
      </c>
      <c r="AJ161" s="15" t="s">
        <v>162</v>
      </c>
      <c r="AM161" s="114"/>
    </row>
    <row r="162" spans="7:39" ht="19.5" x14ac:dyDescent="0.4">
      <c r="G162" s="115"/>
      <c r="H162" s="115"/>
      <c r="I162" s="115"/>
      <c r="J162" s="115"/>
      <c r="K162" s="26">
        <v>45619</v>
      </c>
      <c r="L162" s="13" t="s">
        <v>146</v>
      </c>
      <c r="Q162" s="117"/>
      <c r="R162" s="123"/>
      <c r="S162" s="123"/>
      <c r="T162" s="123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25"/>
      <c r="AJ162" s="15"/>
      <c r="AM162" s="114"/>
    </row>
    <row r="163" spans="7:39" ht="19.5" x14ac:dyDescent="0.4">
      <c r="K163" s="26">
        <v>45619</v>
      </c>
      <c r="L163" s="13" t="s">
        <v>147</v>
      </c>
      <c r="Q163" s="117"/>
      <c r="R163" s="123"/>
      <c r="S163" s="123"/>
      <c r="T163" s="123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25">
        <v>45274</v>
      </c>
      <c r="AJ163" s="15" t="s">
        <v>162</v>
      </c>
      <c r="AM163" s="114"/>
    </row>
    <row r="164" spans="7:39" ht="19.5" x14ac:dyDescent="0.4">
      <c r="K164" s="26">
        <v>45619</v>
      </c>
      <c r="L164" s="13" t="s">
        <v>146</v>
      </c>
      <c r="Q164" s="117"/>
      <c r="R164" s="123"/>
      <c r="S164" s="123"/>
      <c r="T164" s="123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25">
        <v>45274</v>
      </c>
      <c r="AJ164" s="15" t="s">
        <v>163</v>
      </c>
      <c r="AM164" s="114"/>
    </row>
    <row r="165" spans="7:39" ht="19.5" x14ac:dyDescent="0.4">
      <c r="J165" s="115" t="s">
        <v>417</v>
      </c>
      <c r="K165" s="17">
        <f>SUBTOTAL(3,K140:K164)</f>
        <v>25</v>
      </c>
      <c r="L165" s="13">
        <f>SUBTOTAL(3,L140:L164)</f>
        <v>25</v>
      </c>
      <c r="Q165" s="117"/>
      <c r="R165" s="123"/>
      <c r="S165" s="123"/>
      <c r="T165" s="123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25"/>
      <c r="AJ165" s="15"/>
      <c r="AM165" s="114"/>
    </row>
    <row r="166" spans="7:39" ht="19.5" x14ac:dyDescent="0.4">
      <c r="H166" s="115"/>
      <c r="I166" s="115"/>
      <c r="J166" s="115"/>
      <c r="K166" s="26">
        <v>45620</v>
      </c>
      <c r="L166" s="13" t="s">
        <v>146</v>
      </c>
      <c r="Q166" s="117"/>
      <c r="R166" s="123"/>
      <c r="S166" s="123"/>
      <c r="T166" s="123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25"/>
      <c r="AJ166" s="15"/>
      <c r="AM166" s="114"/>
    </row>
    <row r="167" spans="7:39" ht="19.5" x14ac:dyDescent="0.4">
      <c r="K167" s="26">
        <v>45620</v>
      </c>
      <c r="L167" s="25" t="s">
        <v>146</v>
      </c>
      <c r="Q167" s="117"/>
      <c r="R167" s="123"/>
      <c r="S167" s="123"/>
      <c r="T167" s="123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 t="s">
        <v>167</v>
      </c>
      <c r="AI167" s="13">
        <f>SUBTOTAL(3,AI154:AI164)</f>
        <v>5</v>
      </c>
      <c r="AJ167" s="15">
        <f>SUBTOTAL(3,AJ154:AJ164)</f>
        <v>5</v>
      </c>
      <c r="AM167" s="114"/>
    </row>
    <row r="168" spans="7:39" ht="19.5" x14ac:dyDescent="0.4">
      <c r="H168" s="115"/>
      <c r="I168" s="115"/>
      <c r="J168" s="115"/>
      <c r="K168" s="26">
        <v>45620</v>
      </c>
      <c r="L168" s="105" t="s">
        <v>146</v>
      </c>
      <c r="Q168" s="117"/>
      <c r="R168" s="123"/>
      <c r="S168" s="123"/>
      <c r="T168" s="123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3"/>
      <c r="AJ168" s="15"/>
      <c r="AM168" s="114"/>
    </row>
    <row r="169" spans="7:39" ht="19.5" x14ac:dyDescent="0.4">
      <c r="K169" s="26">
        <v>45620</v>
      </c>
      <c r="L169" s="105" t="s">
        <v>146</v>
      </c>
      <c r="Q169" s="117"/>
      <c r="R169" s="123"/>
      <c r="S169" s="123"/>
      <c r="T169" s="123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3"/>
      <c r="AJ169" s="15"/>
      <c r="AM169" s="114"/>
    </row>
    <row r="170" spans="7:39" ht="19.5" x14ac:dyDescent="0.4">
      <c r="J170" s="115" t="s">
        <v>418</v>
      </c>
      <c r="K170" s="17">
        <f>SUBTOTAL(3,K166:K169)</f>
        <v>4</v>
      </c>
      <c r="L170" s="15">
        <f>SUBTOTAL(3,L166:L169)</f>
        <v>4</v>
      </c>
      <c r="Q170" s="117"/>
      <c r="R170" s="123"/>
      <c r="S170" s="123"/>
      <c r="T170" s="123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3"/>
      <c r="AJ170" s="15"/>
      <c r="AM170" s="114"/>
    </row>
    <row r="171" spans="7:39" ht="19.5" x14ac:dyDescent="0.4">
      <c r="H171" s="115"/>
      <c r="I171" s="115"/>
      <c r="J171" s="115"/>
      <c r="K171" s="26">
        <v>45621</v>
      </c>
      <c r="L171" s="15" t="s">
        <v>146</v>
      </c>
      <c r="Q171" s="117"/>
      <c r="R171" s="123"/>
      <c r="S171" s="123"/>
      <c r="T171" s="123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3"/>
      <c r="AJ171" s="15"/>
      <c r="AM171" s="114"/>
    </row>
    <row r="172" spans="7:39" ht="19.5" x14ac:dyDescent="0.4">
      <c r="H172" s="115"/>
      <c r="I172" s="115"/>
      <c r="J172" s="115"/>
      <c r="K172" s="26">
        <v>45621</v>
      </c>
      <c r="L172" s="15" t="s">
        <v>147</v>
      </c>
      <c r="Q172" s="117"/>
      <c r="R172" s="123"/>
      <c r="S172" s="123"/>
      <c r="T172" s="123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3"/>
      <c r="AJ172" s="15"/>
      <c r="AM172" s="114"/>
    </row>
    <row r="173" spans="7:39" ht="19.5" x14ac:dyDescent="0.4">
      <c r="H173" s="115"/>
      <c r="I173" s="115"/>
      <c r="J173" s="115"/>
      <c r="K173" s="26">
        <v>45621</v>
      </c>
      <c r="L173" s="15" t="s">
        <v>147</v>
      </c>
      <c r="Q173" s="117"/>
      <c r="R173" s="123"/>
      <c r="S173" s="123"/>
      <c r="T173" s="123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3"/>
      <c r="AJ173" s="15"/>
      <c r="AM173" s="114"/>
    </row>
    <row r="174" spans="7:39" ht="19.5" x14ac:dyDescent="0.4">
      <c r="G174" s="115"/>
      <c r="H174" s="115"/>
      <c r="I174" s="115"/>
      <c r="J174" s="115"/>
      <c r="K174" s="26">
        <v>45621</v>
      </c>
      <c r="L174" s="15" t="s">
        <v>142</v>
      </c>
      <c r="Q174" s="117"/>
      <c r="R174" s="123"/>
      <c r="S174" s="123"/>
      <c r="T174" s="123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3"/>
      <c r="AJ174" s="15"/>
      <c r="AM174" s="114"/>
    </row>
    <row r="175" spans="7:39" ht="19.5" x14ac:dyDescent="0.4">
      <c r="K175" s="26">
        <v>45621</v>
      </c>
      <c r="L175" s="15" t="s">
        <v>146</v>
      </c>
      <c r="Q175" s="117"/>
      <c r="R175" s="123"/>
      <c r="S175" s="123"/>
      <c r="T175" s="123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25">
        <v>45275</v>
      </c>
      <c r="AJ175" s="15" t="s">
        <v>163</v>
      </c>
      <c r="AM175" s="114"/>
    </row>
    <row r="176" spans="7:39" ht="19.5" x14ac:dyDescent="0.4">
      <c r="K176" s="26">
        <v>45621</v>
      </c>
      <c r="L176" s="15" t="s">
        <v>146</v>
      </c>
      <c r="Q176" s="117"/>
      <c r="R176" s="123"/>
      <c r="S176" s="123"/>
      <c r="T176" s="123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 t="s">
        <v>168</v>
      </c>
      <c r="AI176" s="13">
        <f>SUBTOTAL(3,AI175:AI175)</f>
        <v>1</v>
      </c>
      <c r="AJ176" s="15">
        <f>SUBTOTAL(3,AJ175:AJ175)</f>
        <v>1</v>
      </c>
      <c r="AM176" s="114"/>
    </row>
    <row r="177" spans="6:39" ht="19.5" x14ac:dyDescent="0.4">
      <c r="K177" s="26">
        <v>45621</v>
      </c>
      <c r="L177" s="15" t="s">
        <v>146</v>
      </c>
      <c r="Q177" s="117"/>
      <c r="R177" s="123"/>
      <c r="S177" s="123"/>
      <c r="T177" s="123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25">
        <v>45276</v>
      </c>
      <c r="AJ177" s="15" t="s">
        <v>164</v>
      </c>
      <c r="AM177" s="114"/>
    </row>
    <row r="178" spans="6:39" ht="19.5" x14ac:dyDescent="0.4">
      <c r="K178" s="26">
        <v>45621</v>
      </c>
      <c r="L178" s="15" t="s">
        <v>146</v>
      </c>
      <c r="Q178" s="117"/>
      <c r="R178" s="123"/>
      <c r="S178" s="123"/>
      <c r="T178" s="123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25">
        <v>45276</v>
      </c>
      <c r="AJ178" s="15" t="s">
        <v>162</v>
      </c>
      <c r="AM178" s="114"/>
    </row>
    <row r="179" spans="6:39" ht="19.5" x14ac:dyDescent="0.4">
      <c r="K179" s="26">
        <v>45621</v>
      </c>
      <c r="L179" s="15" t="s">
        <v>146</v>
      </c>
      <c r="Q179" s="117"/>
      <c r="R179" s="123"/>
      <c r="S179" s="123"/>
      <c r="T179" s="123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25">
        <v>45276</v>
      </c>
      <c r="AJ179" s="15" t="s">
        <v>162</v>
      </c>
      <c r="AM179" s="114"/>
    </row>
    <row r="180" spans="6:39" ht="19.5" x14ac:dyDescent="0.4">
      <c r="K180" s="26">
        <v>45621</v>
      </c>
      <c r="L180" s="15" t="s">
        <v>146</v>
      </c>
      <c r="Q180" s="117"/>
      <c r="R180" s="123"/>
      <c r="S180" s="123"/>
      <c r="T180" s="123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25">
        <v>45276</v>
      </c>
      <c r="AJ180" s="15" t="s">
        <v>162</v>
      </c>
      <c r="AM180" s="114"/>
    </row>
    <row r="181" spans="6:39" ht="19.5" x14ac:dyDescent="0.4">
      <c r="K181" s="26">
        <v>45621</v>
      </c>
      <c r="L181" s="15" t="s">
        <v>146</v>
      </c>
      <c r="Q181" s="117"/>
      <c r="R181" s="123"/>
      <c r="S181" s="123"/>
      <c r="T181" s="123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25">
        <v>45276</v>
      </c>
      <c r="AJ181" s="15" t="s">
        <v>162</v>
      </c>
      <c r="AM181" s="114"/>
    </row>
    <row r="182" spans="6:39" ht="19.5" x14ac:dyDescent="0.4">
      <c r="F182" s="115"/>
      <c r="G182" s="115"/>
      <c r="H182" s="115"/>
      <c r="I182" s="115"/>
      <c r="J182" s="115"/>
      <c r="K182" s="26">
        <v>45621</v>
      </c>
      <c r="L182" s="15" t="s">
        <v>148</v>
      </c>
      <c r="Q182" s="117"/>
      <c r="R182" s="123"/>
      <c r="S182" s="123"/>
      <c r="T182" s="123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25"/>
      <c r="AJ182" s="15"/>
      <c r="AM182" s="114"/>
    </row>
    <row r="183" spans="6:39" ht="19.5" x14ac:dyDescent="0.4">
      <c r="K183" s="26">
        <v>45621</v>
      </c>
      <c r="L183" s="15" t="s">
        <v>146</v>
      </c>
      <c r="Q183" s="117"/>
      <c r="R183" s="123"/>
      <c r="S183" s="123"/>
      <c r="T183" s="123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25">
        <v>45276</v>
      </c>
      <c r="AJ183" s="15" t="s">
        <v>162</v>
      </c>
      <c r="AM183" s="114"/>
    </row>
    <row r="184" spans="6:39" ht="19.5" x14ac:dyDescent="0.4">
      <c r="K184" s="26">
        <v>45621</v>
      </c>
      <c r="L184" s="15" t="s">
        <v>148</v>
      </c>
      <c r="Q184" s="117"/>
      <c r="R184" s="123"/>
      <c r="S184" s="123"/>
      <c r="T184" s="123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25">
        <v>45276</v>
      </c>
      <c r="AJ184" s="15" t="s">
        <v>162</v>
      </c>
      <c r="AM184" s="114"/>
    </row>
    <row r="185" spans="6:39" ht="19.5" x14ac:dyDescent="0.4">
      <c r="J185" s="115" t="s">
        <v>419</v>
      </c>
      <c r="K185" s="17">
        <f>SUBTOTAL(3,K171:K184)</f>
        <v>14</v>
      </c>
      <c r="L185" s="15">
        <f>SUBTOTAL(3,L171:L184)</f>
        <v>14</v>
      </c>
      <c r="Q185" s="117"/>
      <c r="R185" s="123"/>
      <c r="S185" s="123"/>
      <c r="T185" s="123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25"/>
      <c r="AJ185" s="15"/>
      <c r="AM185" s="114"/>
    </row>
    <row r="186" spans="6:39" ht="19.5" x14ac:dyDescent="0.4">
      <c r="F186" s="115"/>
      <c r="G186" s="115"/>
      <c r="H186" s="115"/>
      <c r="I186" s="115"/>
      <c r="J186" s="115"/>
      <c r="K186" s="26">
        <v>45622</v>
      </c>
      <c r="L186" s="15" t="s">
        <v>147</v>
      </c>
      <c r="Q186" s="117"/>
      <c r="R186" s="123"/>
      <c r="S186" s="123"/>
      <c r="T186" s="123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25"/>
      <c r="AJ186" s="15"/>
      <c r="AM186" s="114"/>
    </row>
    <row r="187" spans="6:39" ht="19.5" x14ac:dyDescent="0.4">
      <c r="F187" s="115"/>
      <c r="G187" s="115"/>
      <c r="H187" s="115"/>
      <c r="I187" s="115"/>
      <c r="J187" s="115"/>
      <c r="K187" s="26">
        <v>45622</v>
      </c>
      <c r="L187" s="15" t="s">
        <v>146</v>
      </c>
      <c r="Q187" s="117"/>
      <c r="R187" s="123"/>
      <c r="S187" s="123"/>
      <c r="T187" s="123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25"/>
      <c r="AJ187" s="15"/>
      <c r="AM187" s="114"/>
    </row>
    <row r="188" spans="6:39" ht="19.5" x14ac:dyDescent="0.4">
      <c r="F188" s="115"/>
      <c r="G188" s="115"/>
      <c r="H188" s="115"/>
      <c r="I188" s="115"/>
      <c r="J188" s="115"/>
      <c r="K188" s="26">
        <v>45622</v>
      </c>
      <c r="L188" s="15" t="s">
        <v>146</v>
      </c>
      <c r="Q188" s="117"/>
      <c r="R188" s="123"/>
      <c r="S188" s="123"/>
      <c r="T188" s="123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25"/>
      <c r="AJ188" s="15"/>
      <c r="AM188" s="114"/>
    </row>
    <row r="189" spans="6:39" ht="19.5" x14ac:dyDescent="0.4">
      <c r="K189" s="26">
        <v>45622</v>
      </c>
      <c r="L189" s="15" t="s">
        <v>148</v>
      </c>
      <c r="P189" s="115"/>
      <c r="Q189" s="117"/>
      <c r="R189" s="123"/>
      <c r="S189" s="123"/>
      <c r="T189" s="123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25">
        <v>45276</v>
      </c>
      <c r="AJ189" s="15" t="s">
        <v>162</v>
      </c>
      <c r="AM189" s="114"/>
    </row>
    <row r="190" spans="6:39" ht="19.5" x14ac:dyDescent="0.4">
      <c r="K190" s="26">
        <v>45622</v>
      </c>
      <c r="L190" s="15" t="s">
        <v>146</v>
      </c>
      <c r="P190" s="115"/>
      <c r="Q190" s="117"/>
      <c r="R190" s="123"/>
      <c r="S190" s="123"/>
      <c r="T190" s="123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25">
        <v>45276</v>
      </c>
      <c r="AJ190" s="15" t="s">
        <v>162</v>
      </c>
      <c r="AM190" s="114"/>
    </row>
    <row r="191" spans="6:39" ht="19.5" x14ac:dyDescent="0.4">
      <c r="K191" s="26">
        <v>45622</v>
      </c>
      <c r="L191" s="15" t="s">
        <v>147</v>
      </c>
      <c r="P191" s="115"/>
      <c r="Q191" s="117"/>
      <c r="R191" s="123"/>
      <c r="S191" s="123"/>
      <c r="T191" s="123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25">
        <v>45276</v>
      </c>
      <c r="AJ191" s="15" t="s">
        <v>162</v>
      </c>
      <c r="AM191" s="114"/>
    </row>
    <row r="192" spans="6:39" ht="19.5" x14ac:dyDescent="0.4">
      <c r="J192" s="115" t="s">
        <v>213</v>
      </c>
      <c r="K192" s="17">
        <f>SUBTOTAL(3,K186:K191)</f>
        <v>6</v>
      </c>
      <c r="L192" s="15">
        <f>SUBTOTAL(3,L186:L191)</f>
        <v>6</v>
      </c>
      <c r="P192" s="115"/>
      <c r="Q192" s="117"/>
      <c r="R192" s="123"/>
      <c r="S192" s="123"/>
      <c r="T192" s="123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25"/>
      <c r="AJ192" s="15"/>
      <c r="AM192" s="114"/>
    </row>
    <row r="193" spans="6:39" ht="19.5" x14ac:dyDescent="0.4">
      <c r="G193" s="115"/>
      <c r="H193" s="115"/>
      <c r="I193" s="115"/>
      <c r="J193" s="115"/>
      <c r="K193" s="26">
        <v>45624</v>
      </c>
      <c r="L193" s="15" t="s">
        <v>146</v>
      </c>
      <c r="P193" s="115"/>
      <c r="Q193" s="117"/>
      <c r="R193" s="123"/>
      <c r="S193" s="123"/>
      <c r="T193" s="123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25"/>
      <c r="AJ193" s="15"/>
      <c r="AM193" s="114"/>
    </row>
    <row r="194" spans="6:39" ht="19.5" x14ac:dyDescent="0.4">
      <c r="G194" s="115"/>
      <c r="H194" s="115"/>
      <c r="I194" s="115"/>
      <c r="J194" s="115" t="s">
        <v>420</v>
      </c>
      <c r="K194" s="17">
        <f>SUBTOTAL(3,K193:K193)</f>
        <v>1</v>
      </c>
      <c r="L194" s="15">
        <f>SUBTOTAL(3,L193:L193)</f>
        <v>1</v>
      </c>
      <c r="P194" s="115"/>
      <c r="Q194" s="117"/>
      <c r="R194" s="123"/>
      <c r="S194" s="123"/>
      <c r="T194" s="123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25"/>
      <c r="AJ194" s="15"/>
      <c r="AM194" s="114"/>
    </row>
    <row r="195" spans="6:39" ht="19.5" x14ac:dyDescent="0.4">
      <c r="K195" s="26">
        <v>45626</v>
      </c>
      <c r="L195" s="15" t="s">
        <v>146</v>
      </c>
      <c r="P195" s="115"/>
      <c r="Q195" s="117"/>
      <c r="R195" s="123"/>
      <c r="S195" s="123"/>
      <c r="T195" s="123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25"/>
      <c r="AJ195" s="15"/>
      <c r="AM195" s="114"/>
    </row>
    <row r="196" spans="6:39" ht="19.5" x14ac:dyDescent="0.4">
      <c r="F196" s="115"/>
      <c r="G196" s="115"/>
      <c r="H196" s="115"/>
      <c r="I196" s="115"/>
      <c r="J196" s="115"/>
      <c r="K196" s="26">
        <v>45626</v>
      </c>
      <c r="L196" s="15" t="s">
        <v>146</v>
      </c>
      <c r="P196" s="115"/>
      <c r="Q196" s="117"/>
      <c r="R196" s="123"/>
      <c r="S196" s="123"/>
      <c r="T196" s="123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25"/>
      <c r="AJ196" s="15"/>
      <c r="AM196" s="114"/>
    </row>
    <row r="197" spans="6:39" ht="19.5" x14ac:dyDescent="0.4">
      <c r="K197" s="26">
        <v>45626</v>
      </c>
      <c r="L197" s="15" t="s">
        <v>147</v>
      </c>
      <c r="P197" s="115"/>
      <c r="Q197" s="117"/>
      <c r="R197" s="123"/>
      <c r="S197" s="123"/>
      <c r="T197" s="123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25">
        <v>45276</v>
      </c>
      <c r="AJ197" s="15" t="s">
        <v>162</v>
      </c>
      <c r="AM197" s="114"/>
    </row>
    <row r="198" spans="6:39" ht="19.5" x14ac:dyDescent="0.4">
      <c r="J198" s="115" t="s">
        <v>214</v>
      </c>
      <c r="K198" s="17">
        <f>SUBTOTAL(3,K195:K197)</f>
        <v>3</v>
      </c>
      <c r="L198" s="15">
        <f>SUBTOTAL(3,L195:L197)</f>
        <v>3</v>
      </c>
      <c r="P198" s="115"/>
      <c r="Q198" s="117"/>
      <c r="R198" s="123"/>
      <c r="S198" s="123"/>
      <c r="T198" s="123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25"/>
      <c r="AJ198" s="15"/>
      <c r="AM198" s="114"/>
    </row>
    <row r="199" spans="6:39" ht="19.5" x14ac:dyDescent="0.4">
      <c r="K199" s="26">
        <v>45628</v>
      </c>
      <c r="L199" s="15" t="s">
        <v>147</v>
      </c>
      <c r="P199" s="115"/>
      <c r="Q199" s="117"/>
      <c r="R199" s="123"/>
      <c r="S199" s="123"/>
      <c r="T199" s="123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25">
        <v>45276</v>
      </c>
      <c r="AJ199" s="15" t="s">
        <v>162</v>
      </c>
      <c r="AM199" s="114"/>
    </row>
    <row r="200" spans="6:39" ht="19.5" x14ac:dyDescent="0.4">
      <c r="J200" s="115" t="s">
        <v>421</v>
      </c>
      <c r="K200" s="17">
        <f>SUBTOTAL(3,K199:K199)</f>
        <v>1</v>
      </c>
      <c r="L200" s="15">
        <f>SUBTOTAL(3,L199:L199)</f>
        <v>1</v>
      </c>
      <c r="P200" s="115"/>
      <c r="Q200" s="117"/>
      <c r="R200" s="123"/>
      <c r="S200" s="123"/>
      <c r="T200" s="123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25"/>
      <c r="AJ200" s="15"/>
      <c r="AM200" s="114"/>
    </row>
    <row r="201" spans="6:39" ht="19.5" x14ac:dyDescent="0.4">
      <c r="I201" s="115"/>
      <c r="J201" s="115"/>
      <c r="K201" s="26">
        <v>45629</v>
      </c>
      <c r="L201" s="15" t="s">
        <v>147</v>
      </c>
      <c r="P201" s="115"/>
      <c r="Q201" s="117"/>
      <c r="R201" s="123"/>
      <c r="S201" s="123"/>
      <c r="T201" s="123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25"/>
      <c r="AJ201" s="15"/>
      <c r="AM201" s="114"/>
    </row>
    <row r="202" spans="6:39" ht="19.5" x14ac:dyDescent="0.4">
      <c r="I202" s="115"/>
      <c r="J202" s="115" t="s">
        <v>422</v>
      </c>
      <c r="K202" s="17">
        <f>SUBTOTAL(3,K201:K201)</f>
        <v>1</v>
      </c>
      <c r="L202" s="15">
        <f>SUBTOTAL(3,L201:L201)</f>
        <v>1</v>
      </c>
      <c r="P202" s="115"/>
      <c r="Q202" s="117"/>
      <c r="R202" s="123"/>
      <c r="S202" s="123"/>
      <c r="T202" s="123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25"/>
      <c r="AJ202" s="15"/>
      <c r="AM202" s="114"/>
    </row>
    <row r="203" spans="6:39" ht="19.5" x14ac:dyDescent="0.4">
      <c r="K203" s="26">
        <v>45630</v>
      </c>
      <c r="L203" s="15" t="s">
        <v>146</v>
      </c>
      <c r="P203" s="115"/>
      <c r="Q203" s="117"/>
      <c r="R203" s="123"/>
      <c r="S203" s="123"/>
      <c r="T203" s="123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25">
        <v>45276</v>
      </c>
      <c r="AJ203" s="15" t="s">
        <v>162</v>
      </c>
      <c r="AM203" s="114"/>
    </row>
    <row r="204" spans="6:39" ht="19.5" x14ac:dyDescent="0.4">
      <c r="K204" s="26">
        <v>45630</v>
      </c>
      <c r="L204" s="15" t="s">
        <v>146</v>
      </c>
      <c r="P204" s="115"/>
      <c r="Q204" s="117"/>
      <c r="R204" s="123"/>
      <c r="S204" s="123"/>
      <c r="T204" s="123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25">
        <v>45276</v>
      </c>
      <c r="AJ204" s="15" t="s">
        <v>162</v>
      </c>
      <c r="AM204" s="114"/>
    </row>
    <row r="205" spans="6:39" ht="19.5" x14ac:dyDescent="0.4">
      <c r="K205" s="26">
        <v>45630</v>
      </c>
      <c r="L205" s="15" t="s">
        <v>148</v>
      </c>
      <c r="P205" s="115"/>
      <c r="Q205" s="117"/>
      <c r="R205" s="123"/>
      <c r="S205" s="123"/>
      <c r="T205" s="123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25">
        <v>45276</v>
      </c>
      <c r="AJ205" s="15" t="s">
        <v>162</v>
      </c>
      <c r="AM205" s="114"/>
    </row>
    <row r="206" spans="6:39" ht="19.5" x14ac:dyDescent="0.4">
      <c r="K206" s="26">
        <v>45630</v>
      </c>
      <c r="L206" s="15" t="s">
        <v>142</v>
      </c>
      <c r="P206" s="115"/>
      <c r="Q206" s="117"/>
      <c r="R206" s="123"/>
      <c r="S206" s="123"/>
      <c r="T206" s="123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25"/>
      <c r="AJ206" s="15"/>
      <c r="AM206" s="114"/>
    </row>
    <row r="207" spans="6:39" ht="19.5" x14ac:dyDescent="0.4">
      <c r="J207" s="115" t="s">
        <v>423</v>
      </c>
      <c r="K207" s="17">
        <f>SUBTOTAL(3,K203:K206)</f>
        <v>4</v>
      </c>
      <c r="L207" s="15">
        <f>SUBTOTAL(3,L203:L206)</f>
        <v>4</v>
      </c>
      <c r="P207" s="115"/>
      <c r="Q207" s="117"/>
      <c r="R207" s="123"/>
      <c r="S207" s="123"/>
      <c r="T207" s="123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25"/>
      <c r="AJ207" s="15"/>
      <c r="AM207" s="114"/>
    </row>
    <row r="208" spans="6:39" ht="19.5" x14ac:dyDescent="0.4">
      <c r="K208" s="26">
        <v>45631</v>
      </c>
      <c r="L208" s="15" t="s">
        <v>147</v>
      </c>
      <c r="P208" s="115"/>
      <c r="Q208" s="117"/>
      <c r="R208" s="123"/>
      <c r="S208" s="123"/>
      <c r="T208" s="123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25">
        <v>45276</v>
      </c>
      <c r="AJ208" s="15" t="s">
        <v>162</v>
      </c>
      <c r="AM208" s="114"/>
    </row>
    <row r="209" spans="7:39" ht="19.5" x14ac:dyDescent="0.4">
      <c r="K209" s="26">
        <v>45631</v>
      </c>
      <c r="L209" s="15" t="s">
        <v>148</v>
      </c>
      <c r="P209" s="115"/>
      <c r="Q209" s="117"/>
      <c r="R209" s="123"/>
      <c r="S209" s="123"/>
      <c r="T209" s="123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25">
        <v>45276</v>
      </c>
      <c r="AJ209" s="15" t="s">
        <v>162</v>
      </c>
      <c r="AM209" s="114"/>
    </row>
    <row r="210" spans="7:39" ht="19.5" x14ac:dyDescent="0.4">
      <c r="J210" s="115" t="s">
        <v>424</v>
      </c>
      <c r="K210" s="17">
        <f>SUBTOTAL(3,K208:K209)</f>
        <v>2</v>
      </c>
      <c r="L210" s="15">
        <f>SUBTOTAL(3,L208:L209)</f>
        <v>2</v>
      </c>
      <c r="P210" s="115"/>
      <c r="Q210" s="117"/>
      <c r="R210" s="123"/>
      <c r="S210" s="123"/>
      <c r="T210" s="123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25"/>
      <c r="AJ210" s="15"/>
      <c r="AM210" s="114"/>
    </row>
    <row r="211" spans="7:39" ht="19.5" x14ac:dyDescent="0.4">
      <c r="G211" s="115"/>
      <c r="H211" s="115"/>
      <c r="I211" s="115"/>
      <c r="J211" s="115"/>
      <c r="K211" s="26">
        <v>45632</v>
      </c>
      <c r="L211" s="15" t="s">
        <v>147</v>
      </c>
      <c r="P211" s="115"/>
      <c r="Q211" s="117"/>
      <c r="R211" s="123"/>
      <c r="S211" s="123"/>
      <c r="T211" s="123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25"/>
      <c r="AJ211" s="15"/>
      <c r="AM211" s="114"/>
    </row>
    <row r="212" spans="7:39" ht="19.5" x14ac:dyDescent="0.4">
      <c r="G212" s="115"/>
      <c r="H212" s="115"/>
      <c r="I212" s="115"/>
      <c r="J212" s="115" t="s">
        <v>425</v>
      </c>
      <c r="K212" s="17">
        <f>SUBTOTAL(3,K211:K211)</f>
        <v>1</v>
      </c>
      <c r="L212" s="15">
        <f>SUBTOTAL(3,L211:L211)</f>
        <v>1</v>
      </c>
      <c r="P212" s="115"/>
      <c r="Q212" s="117"/>
      <c r="R212" s="123"/>
      <c r="S212" s="123"/>
      <c r="T212" s="123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25"/>
      <c r="AJ212" s="15"/>
      <c r="AM212" s="114"/>
    </row>
    <row r="213" spans="7:39" ht="19.5" x14ac:dyDescent="0.4">
      <c r="G213" s="115"/>
      <c r="H213" s="115"/>
      <c r="I213" s="115"/>
      <c r="J213" s="115"/>
      <c r="K213" s="26">
        <v>45634</v>
      </c>
      <c r="L213" s="15" t="s">
        <v>147</v>
      </c>
      <c r="P213" s="115"/>
      <c r="Q213" s="117"/>
      <c r="R213" s="123"/>
      <c r="S213" s="123"/>
      <c r="T213" s="123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25"/>
      <c r="AJ213" s="15"/>
      <c r="AM213" s="114"/>
    </row>
    <row r="214" spans="7:39" ht="19.5" x14ac:dyDescent="0.4">
      <c r="K214" s="26">
        <v>45634</v>
      </c>
      <c r="L214" s="15" t="s">
        <v>146</v>
      </c>
      <c r="P214" s="115"/>
      <c r="Q214" s="117"/>
      <c r="R214" s="123"/>
      <c r="S214" s="123"/>
      <c r="T214" s="123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 t="s">
        <v>169</v>
      </c>
      <c r="AI214" s="13">
        <f>SUBTOTAL(3,AI177:AI209)</f>
        <v>17</v>
      </c>
      <c r="AJ214" s="15">
        <f>SUBTOTAL(3,AJ177:AJ209)</f>
        <v>17</v>
      </c>
      <c r="AM214" s="114"/>
    </row>
    <row r="215" spans="7:39" ht="19.5" x14ac:dyDescent="0.4">
      <c r="G215" s="115"/>
      <c r="H215" s="115"/>
      <c r="I215" s="115"/>
      <c r="J215" s="115"/>
      <c r="K215" s="26">
        <v>45634</v>
      </c>
      <c r="L215" s="15" t="s">
        <v>146</v>
      </c>
      <c r="P215" s="115"/>
      <c r="Q215" s="117"/>
      <c r="R215" s="123"/>
      <c r="S215" s="123"/>
      <c r="T215" s="123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3"/>
      <c r="AJ215" s="15"/>
      <c r="AM215" s="114"/>
    </row>
    <row r="216" spans="7:39" ht="19.5" x14ac:dyDescent="0.4">
      <c r="K216" s="26">
        <v>45634</v>
      </c>
      <c r="L216" s="15" t="s">
        <v>146</v>
      </c>
      <c r="P216" s="115"/>
      <c r="Q216" s="117"/>
      <c r="R216" s="123"/>
      <c r="S216" s="123"/>
      <c r="T216" s="123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25">
        <v>45277</v>
      </c>
      <c r="AJ216" s="15" t="s">
        <v>162</v>
      </c>
      <c r="AM216" s="114"/>
    </row>
    <row r="217" spans="7:39" ht="19.5" x14ac:dyDescent="0.4">
      <c r="J217" s="115" t="s">
        <v>426</v>
      </c>
      <c r="K217" s="17">
        <f>SUBTOTAL(3,K213:K216)</f>
        <v>4</v>
      </c>
      <c r="L217" s="15">
        <f>SUBTOTAL(3,L213:L216)</f>
        <v>4</v>
      </c>
      <c r="P217" s="115"/>
      <c r="Q217" s="117"/>
      <c r="R217" s="123"/>
      <c r="S217" s="123"/>
      <c r="T217" s="123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25"/>
      <c r="AJ217" s="15"/>
      <c r="AM217" s="114"/>
    </row>
    <row r="218" spans="7:39" ht="19.5" x14ac:dyDescent="0.4">
      <c r="G218" s="115"/>
      <c r="H218" s="115"/>
      <c r="I218" s="115"/>
      <c r="J218" s="115"/>
      <c r="K218" s="26">
        <v>45641</v>
      </c>
      <c r="L218" s="15" t="s">
        <v>146</v>
      </c>
      <c r="P218" s="115"/>
      <c r="Q218" s="117"/>
      <c r="R218" s="123"/>
      <c r="S218" s="123"/>
      <c r="T218" s="123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25"/>
      <c r="AJ218" s="15"/>
      <c r="AM218" s="114"/>
    </row>
    <row r="219" spans="7:39" ht="19.5" x14ac:dyDescent="0.4">
      <c r="G219" s="115"/>
      <c r="H219" s="115"/>
      <c r="I219" s="115"/>
      <c r="J219" s="115" t="s">
        <v>427</v>
      </c>
      <c r="K219" s="17">
        <f>SUBTOTAL(3,K218:K218)</f>
        <v>1</v>
      </c>
      <c r="L219" s="15">
        <f>SUBTOTAL(3,L218:L218)</f>
        <v>1</v>
      </c>
      <c r="P219" s="115"/>
      <c r="Q219" s="117"/>
      <c r="R219" s="123"/>
      <c r="S219" s="123"/>
      <c r="T219" s="123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25"/>
      <c r="AJ219" s="15"/>
      <c r="AM219" s="114"/>
    </row>
    <row r="220" spans="7:39" ht="19.5" x14ac:dyDescent="0.4">
      <c r="G220" s="115"/>
      <c r="H220" s="115"/>
      <c r="I220" s="115"/>
      <c r="J220" s="115" t="s">
        <v>145</v>
      </c>
      <c r="K220" s="17">
        <f>SUBTOTAL(3,K2:K218)</f>
        <v>188</v>
      </c>
      <c r="L220" s="15">
        <f>SUBTOTAL(3,L2:L218)</f>
        <v>188</v>
      </c>
      <c r="P220" s="115"/>
      <c r="Q220" s="117"/>
      <c r="R220" s="123"/>
      <c r="S220" s="123"/>
      <c r="T220" s="123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25"/>
      <c r="AJ220" s="15"/>
      <c r="AM220" s="114"/>
    </row>
    <row r="221" spans="7:39" ht="19.5" x14ac:dyDescent="0.4">
      <c r="K221" s="26"/>
      <c r="L221" s="15"/>
      <c r="P221" s="115"/>
      <c r="Q221" s="117"/>
      <c r="R221" s="123"/>
      <c r="S221" s="123"/>
      <c r="T221" s="123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25">
        <v>45277</v>
      </c>
      <c r="AJ221" s="15" t="s">
        <v>162</v>
      </c>
      <c r="AM221" s="114"/>
    </row>
    <row r="222" spans="7:39" ht="19.5" x14ac:dyDescent="0.4">
      <c r="I222" s="115"/>
      <c r="J222" s="115"/>
      <c r="K222" s="17"/>
      <c r="L222" s="15"/>
      <c r="P222" s="115"/>
      <c r="Q222" s="117"/>
      <c r="R222" s="123"/>
      <c r="S222" s="123"/>
      <c r="T222" s="123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31"/>
      <c r="AJ222" s="13"/>
      <c r="AM222" s="114"/>
    </row>
    <row r="223" spans="7:39" ht="19.5" x14ac:dyDescent="0.4">
      <c r="K223" s="26"/>
      <c r="L223" s="15"/>
      <c r="P223" s="115"/>
      <c r="Q223" s="117"/>
      <c r="R223" s="123"/>
      <c r="S223" s="123"/>
      <c r="T223" s="123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26">
        <v>45277</v>
      </c>
      <c r="AJ223" s="13" t="s">
        <v>162</v>
      </c>
      <c r="AM223" s="114"/>
    </row>
    <row r="224" spans="7:39" ht="19.5" x14ac:dyDescent="0.4">
      <c r="K224" s="26"/>
      <c r="L224" s="15"/>
      <c r="P224" s="115"/>
      <c r="Q224" s="117"/>
      <c r="R224" s="123"/>
      <c r="S224" s="123"/>
      <c r="T224" s="123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26">
        <v>45277</v>
      </c>
      <c r="AJ224" s="15" t="s">
        <v>162</v>
      </c>
      <c r="AM224" s="114"/>
    </row>
    <row r="225" spans="6:39" ht="19.5" x14ac:dyDescent="0.4">
      <c r="F225" s="115"/>
      <c r="G225" s="115"/>
      <c r="H225" s="115"/>
      <c r="I225" s="115"/>
      <c r="J225" s="115"/>
      <c r="K225" s="26"/>
      <c r="L225" s="15"/>
      <c r="P225" s="115"/>
      <c r="Q225" s="117"/>
      <c r="R225" s="123"/>
      <c r="S225" s="123"/>
      <c r="T225" s="123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26"/>
      <c r="AJ225" s="15"/>
      <c r="AM225" s="114"/>
    </row>
    <row r="226" spans="6:39" ht="19.5" x14ac:dyDescent="0.4">
      <c r="K226" s="26"/>
      <c r="L226" s="15"/>
      <c r="P226" s="115"/>
      <c r="Q226" s="117"/>
      <c r="R226" s="123"/>
      <c r="S226" s="123"/>
      <c r="T226" s="123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26">
        <v>45277</v>
      </c>
      <c r="AJ226" s="15" t="s">
        <v>162</v>
      </c>
      <c r="AM226" s="114"/>
    </row>
    <row r="227" spans="6:39" ht="19.5" x14ac:dyDescent="0.4">
      <c r="K227" s="26"/>
      <c r="L227" s="15"/>
      <c r="P227" s="115"/>
      <c r="Q227" s="117"/>
      <c r="R227" s="123"/>
      <c r="S227" s="123"/>
      <c r="T227" s="123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 t="s">
        <v>160</v>
      </c>
      <c r="AI227" s="17">
        <f>SUBTOTAL(3,AI216:AI226)</f>
        <v>5</v>
      </c>
      <c r="AJ227" s="15">
        <f>SUBTOTAL(3,AJ216:AJ226)</f>
        <v>5</v>
      </c>
      <c r="AM227" s="114"/>
    </row>
    <row r="228" spans="6:39" ht="19.5" x14ac:dyDescent="0.4">
      <c r="F228" s="115"/>
      <c r="G228" s="115"/>
      <c r="H228" s="115"/>
      <c r="I228" s="115"/>
      <c r="J228" s="115"/>
      <c r="K228" s="26"/>
      <c r="L228" s="15"/>
      <c r="P228" s="115"/>
      <c r="Q228" s="117"/>
      <c r="R228" s="123"/>
      <c r="S228" s="123"/>
      <c r="T228" s="123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7"/>
      <c r="AJ228" s="15"/>
      <c r="AM228" s="114"/>
    </row>
    <row r="229" spans="6:39" ht="19.5" x14ac:dyDescent="0.4">
      <c r="F229" s="115"/>
      <c r="G229" s="115"/>
      <c r="H229" s="115"/>
      <c r="I229" s="115"/>
      <c r="J229" s="115"/>
      <c r="K229" s="26"/>
      <c r="L229" s="15"/>
      <c r="P229" s="115"/>
      <c r="Q229" s="117"/>
      <c r="R229" s="123"/>
      <c r="S229" s="123"/>
      <c r="T229" s="123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7"/>
      <c r="AJ229" s="15"/>
      <c r="AM229" s="114"/>
    </row>
    <row r="230" spans="6:39" ht="19.5" x14ac:dyDescent="0.4">
      <c r="K230" s="26"/>
      <c r="L230" s="15"/>
      <c r="P230" s="115"/>
      <c r="Q230" s="117"/>
      <c r="R230" s="123"/>
      <c r="S230" s="123"/>
      <c r="T230" s="123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26">
        <v>45278</v>
      </c>
      <c r="AJ230" s="15" t="s">
        <v>164</v>
      </c>
      <c r="AM230" s="114"/>
    </row>
    <row r="231" spans="6:39" ht="19.5" x14ac:dyDescent="0.4">
      <c r="K231" s="26"/>
      <c r="L231" s="15"/>
      <c r="P231" s="115"/>
      <c r="Q231" s="117"/>
      <c r="R231" s="123"/>
      <c r="S231" s="123"/>
      <c r="T231" s="123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26">
        <v>45278</v>
      </c>
      <c r="AJ231" s="15" t="s">
        <v>164</v>
      </c>
      <c r="AM231" s="114"/>
    </row>
    <row r="232" spans="6:39" ht="19.5" x14ac:dyDescent="0.4">
      <c r="G232" s="115"/>
      <c r="H232" s="115"/>
      <c r="I232" s="115"/>
      <c r="J232" s="115"/>
      <c r="K232" s="26"/>
      <c r="L232" s="15"/>
      <c r="P232" s="115"/>
      <c r="Q232" s="117"/>
      <c r="R232" s="123"/>
      <c r="S232" s="123"/>
      <c r="T232" s="123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26"/>
      <c r="AJ232" s="15"/>
      <c r="AM232" s="114"/>
    </row>
    <row r="233" spans="6:39" ht="19.5" x14ac:dyDescent="0.4">
      <c r="K233" s="26"/>
      <c r="L233" s="15"/>
      <c r="P233" s="115"/>
      <c r="Q233" s="117"/>
      <c r="R233" s="123"/>
      <c r="S233" s="123"/>
      <c r="T233" s="123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26">
        <v>45278</v>
      </c>
      <c r="AJ233" s="15" t="s">
        <v>162</v>
      </c>
      <c r="AM233" s="114"/>
    </row>
    <row r="234" spans="6:39" ht="19.5" x14ac:dyDescent="0.4">
      <c r="I234" s="115"/>
      <c r="J234" s="115"/>
      <c r="K234" s="17"/>
      <c r="L234" s="15"/>
      <c r="P234" s="115"/>
      <c r="Q234" s="117"/>
      <c r="R234" s="123"/>
      <c r="S234" s="123"/>
      <c r="T234" s="123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26"/>
      <c r="AJ234" s="15"/>
      <c r="AM234" s="114"/>
    </row>
    <row r="235" spans="6:39" ht="19.5" x14ac:dyDescent="0.4">
      <c r="G235" s="115"/>
      <c r="H235" s="115"/>
      <c r="I235" s="115"/>
      <c r="J235" s="115"/>
      <c r="K235" s="26"/>
      <c r="L235" s="15"/>
      <c r="P235" s="115"/>
      <c r="Q235" s="117"/>
      <c r="R235" s="123"/>
      <c r="S235" s="123"/>
      <c r="T235" s="123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26"/>
      <c r="AJ235" s="15"/>
      <c r="AM235" s="114"/>
    </row>
    <row r="236" spans="6:39" ht="19.5" x14ac:dyDescent="0.4">
      <c r="G236" s="115"/>
      <c r="H236" s="115"/>
      <c r="I236" s="115"/>
      <c r="J236" s="115"/>
      <c r="K236" s="17"/>
      <c r="L236" s="15"/>
      <c r="P236" s="115"/>
      <c r="Q236" s="117"/>
      <c r="R236" s="123"/>
      <c r="S236" s="123"/>
      <c r="T236" s="123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26"/>
      <c r="AJ236" s="15"/>
      <c r="AM236" s="114"/>
    </row>
    <row r="237" spans="6:39" ht="19.5" x14ac:dyDescent="0.4">
      <c r="K237" s="26"/>
      <c r="L237" s="15"/>
      <c r="P237" s="115"/>
      <c r="Q237" s="117"/>
      <c r="R237" s="123"/>
      <c r="S237" s="123"/>
      <c r="T237" s="123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26">
        <v>45278</v>
      </c>
      <c r="AJ237" s="15" t="s">
        <v>142</v>
      </c>
      <c r="AM237" s="114"/>
    </row>
    <row r="238" spans="6:39" ht="19.5" x14ac:dyDescent="0.4">
      <c r="K238" s="26"/>
      <c r="L238" s="15"/>
      <c r="P238" s="115"/>
      <c r="Q238" s="117"/>
      <c r="R238" s="123"/>
      <c r="S238" s="123"/>
      <c r="T238" s="123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26">
        <v>45278</v>
      </c>
      <c r="AJ238" s="15" t="s">
        <v>162</v>
      </c>
      <c r="AM238" s="114"/>
    </row>
    <row r="239" spans="6:39" ht="19.5" x14ac:dyDescent="0.4">
      <c r="K239" s="26"/>
      <c r="L239" s="15"/>
      <c r="P239" s="115"/>
      <c r="Q239" s="117"/>
      <c r="R239" s="123"/>
      <c r="S239" s="123"/>
      <c r="T239" s="123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26">
        <v>45278</v>
      </c>
      <c r="AJ239" s="15" t="s">
        <v>162</v>
      </c>
      <c r="AM239" s="114"/>
    </row>
    <row r="240" spans="6:39" ht="19.5" x14ac:dyDescent="0.4">
      <c r="I240" s="115"/>
      <c r="J240" s="115"/>
      <c r="K240" s="17"/>
      <c r="L240" s="15"/>
      <c r="P240" s="115"/>
      <c r="Q240" s="117"/>
      <c r="R240" s="123"/>
      <c r="S240" s="123"/>
      <c r="T240" s="123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26"/>
      <c r="AJ240" s="15"/>
      <c r="AM240" s="114"/>
    </row>
    <row r="241" spans="6:39" ht="19.5" x14ac:dyDescent="0.4">
      <c r="G241" s="115"/>
      <c r="H241" s="115"/>
      <c r="I241" s="115"/>
      <c r="J241" s="115"/>
      <c r="K241" s="26"/>
      <c r="L241" s="15"/>
      <c r="P241" s="115"/>
      <c r="Q241" s="117"/>
      <c r="R241" s="123"/>
      <c r="S241" s="123"/>
      <c r="T241" s="123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26"/>
      <c r="AJ241" s="15"/>
      <c r="AM241" s="114"/>
    </row>
    <row r="242" spans="6:39" ht="19.5" x14ac:dyDescent="0.4">
      <c r="F242" s="115"/>
      <c r="G242" s="115"/>
      <c r="H242" s="115"/>
      <c r="I242" s="115"/>
      <c r="J242" s="115"/>
      <c r="K242" s="26"/>
      <c r="L242" s="15"/>
      <c r="P242" s="115"/>
      <c r="Q242" s="117"/>
      <c r="R242" s="123"/>
      <c r="S242" s="123"/>
      <c r="T242" s="123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26"/>
      <c r="AJ242" s="15"/>
      <c r="AM242" s="114"/>
    </row>
    <row r="243" spans="6:39" ht="19.5" x14ac:dyDescent="0.4">
      <c r="F243" s="115"/>
      <c r="G243" s="115"/>
      <c r="H243" s="115"/>
      <c r="I243" s="115"/>
      <c r="J243" s="115"/>
      <c r="K243" s="17"/>
      <c r="L243" s="15"/>
      <c r="P243" s="115"/>
      <c r="Q243" s="117"/>
      <c r="R243" s="123"/>
      <c r="S243" s="123"/>
      <c r="T243" s="123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26"/>
      <c r="AJ243" s="15"/>
      <c r="AM243" s="114"/>
    </row>
    <row r="244" spans="6:39" ht="19.5" x14ac:dyDescent="0.4">
      <c r="F244" s="115"/>
      <c r="G244" s="115"/>
      <c r="H244" s="115"/>
      <c r="I244" s="115"/>
      <c r="J244" s="115"/>
      <c r="K244" s="26"/>
      <c r="L244" s="15"/>
      <c r="P244" s="115"/>
      <c r="Q244" s="117"/>
      <c r="R244" s="123"/>
      <c r="S244" s="123"/>
      <c r="T244" s="123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26"/>
      <c r="AJ244" s="15"/>
      <c r="AM244" s="114"/>
    </row>
    <row r="245" spans="6:39" ht="19.5" x14ac:dyDescent="0.4">
      <c r="K245" s="26"/>
      <c r="L245" s="15"/>
      <c r="P245" s="115"/>
      <c r="Q245" s="117"/>
      <c r="R245" s="123"/>
      <c r="S245" s="123"/>
      <c r="T245" s="123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26">
        <v>45278</v>
      </c>
      <c r="AJ245" s="15" t="s">
        <v>162</v>
      </c>
      <c r="AM245" s="114"/>
    </row>
    <row r="246" spans="6:39" ht="19.5" x14ac:dyDescent="0.4">
      <c r="G246" s="115"/>
      <c r="H246" s="115"/>
      <c r="I246" s="115"/>
      <c r="J246" s="115"/>
      <c r="K246" s="26"/>
      <c r="L246" s="15"/>
      <c r="P246" s="115"/>
      <c r="Q246" s="117"/>
      <c r="R246" s="123"/>
      <c r="S246" s="123"/>
      <c r="T246" s="123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26"/>
      <c r="AJ246" s="15"/>
      <c r="AM246" s="114"/>
    </row>
    <row r="247" spans="6:39" ht="19.5" x14ac:dyDescent="0.4">
      <c r="K247" s="26"/>
      <c r="L247" s="15"/>
      <c r="P247" s="115"/>
      <c r="Q247" s="117"/>
      <c r="R247" s="123"/>
      <c r="S247" s="123"/>
      <c r="T247" s="123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26">
        <v>45278</v>
      </c>
      <c r="AJ247" s="15" t="s">
        <v>163</v>
      </c>
      <c r="AM247" s="114"/>
    </row>
    <row r="248" spans="6:39" ht="19.5" x14ac:dyDescent="0.4">
      <c r="K248" s="26"/>
      <c r="L248" s="15"/>
      <c r="P248" s="115"/>
      <c r="Q248" s="117"/>
      <c r="R248" s="123"/>
      <c r="S248" s="123"/>
      <c r="T248" s="123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26">
        <v>45278</v>
      </c>
      <c r="AJ248" s="105" t="s">
        <v>163</v>
      </c>
      <c r="AM248" s="114"/>
    </row>
    <row r="249" spans="6:39" ht="19.5" x14ac:dyDescent="0.4">
      <c r="K249" s="25"/>
      <c r="L249" s="13"/>
      <c r="P249" s="115"/>
      <c r="Q249" s="117"/>
      <c r="R249" s="123"/>
      <c r="S249" s="123"/>
      <c r="T249" s="123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26">
        <v>45278</v>
      </c>
      <c r="AJ249" s="15" t="s">
        <v>163</v>
      </c>
      <c r="AM249" s="114"/>
    </row>
    <row r="250" spans="6:39" ht="19.5" x14ac:dyDescent="0.4">
      <c r="F250" s="115"/>
      <c r="G250" s="115"/>
      <c r="H250" s="115"/>
      <c r="I250" s="115"/>
      <c r="J250" s="115"/>
      <c r="K250" s="25"/>
      <c r="L250" s="13"/>
      <c r="P250" s="115"/>
      <c r="Q250" s="117"/>
      <c r="R250" s="123"/>
      <c r="S250" s="123"/>
      <c r="T250" s="123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26"/>
      <c r="AJ250" s="15"/>
      <c r="AM250" s="114"/>
    </row>
    <row r="251" spans="6:39" ht="19.5" x14ac:dyDescent="0.4">
      <c r="F251" s="115"/>
      <c r="G251" s="115"/>
      <c r="H251" s="115"/>
      <c r="I251" s="115"/>
      <c r="J251" s="115"/>
      <c r="K251" s="25"/>
      <c r="L251" s="13"/>
      <c r="P251" s="115"/>
      <c r="Q251" s="117"/>
      <c r="R251" s="123"/>
      <c r="S251" s="123"/>
      <c r="T251" s="123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26"/>
      <c r="AJ251" s="15"/>
      <c r="AM251" s="114"/>
    </row>
    <row r="252" spans="6:39" ht="19.5" x14ac:dyDescent="0.4">
      <c r="F252" s="115"/>
      <c r="G252" s="115"/>
      <c r="H252" s="115"/>
      <c r="I252" s="115"/>
      <c r="J252" s="115"/>
      <c r="K252" s="25"/>
      <c r="L252" s="13"/>
      <c r="P252" s="115"/>
      <c r="Q252" s="117"/>
      <c r="R252" s="123"/>
      <c r="S252" s="123"/>
      <c r="T252" s="123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26"/>
      <c r="AJ252" s="15"/>
      <c r="AM252" s="114"/>
    </row>
    <row r="253" spans="6:39" ht="19.5" x14ac:dyDescent="0.4">
      <c r="F253" s="115"/>
      <c r="G253" s="115"/>
      <c r="H253" s="115"/>
      <c r="I253" s="115"/>
      <c r="J253" s="115"/>
      <c r="K253" s="25"/>
      <c r="L253" s="13"/>
      <c r="P253" s="115"/>
      <c r="Q253" s="117"/>
      <c r="R253" s="123"/>
      <c r="S253" s="123"/>
      <c r="T253" s="123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26"/>
      <c r="AJ253" s="15"/>
      <c r="AM253" s="114"/>
    </row>
    <row r="254" spans="6:39" ht="19.5" x14ac:dyDescent="0.4">
      <c r="F254" s="115"/>
      <c r="G254" s="115"/>
      <c r="H254" s="115"/>
      <c r="I254" s="115"/>
      <c r="J254" s="115"/>
      <c r="K254" s="25"/>
      <c r="L254" s="13"/>
      <c r="P254" s="115"/>
      <c r="Q254" s="117"/>
      <c r="R254" s="123"/>
      <c r="S254" s="123"/>
      <c r="T254" s="123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26"/>
      <c r="AJ254" s="15"/>
      <c r="AM254" s="114"/>
    </row>
    <row r="255" spans="6:39" ht="19.5" x14ac:dyDescent="0.4">
      <c r="F255" s="115"/>
      <c r="G255" s="115"/>
      <c r="H255" s="115"/>
      <c r="I255" s="115"/>
      <c r="J255" s="115"/>
      <c r="K255" s="25"/>
      <c r="L255" s="13"/>
      <c r="P255" s="115"/>
      <c r="Q255" s="117"/>
      <c r="R255" s="123"/>
      <c r="S255" s="123"/>
      <c r="T255" s="123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26"/>
      <c r="AJ255" s="15"/>
      <c r="AM255" s="114"/>
    </row>
    <row r="256" spans="6:39" ht="19.5" x14ac:dyDescent="0.4">
      <c r="K256" s="25"/>
      <c r="L256" s="13"/>
      <c r="P256" s="115"/>
      <c r="Q256" s="117"/>
      <c r="R256" s="123"/>
      <c r="S256" s="123"/>
      <c r="T256" s="123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26">
        <v>45278</v>
      </c>
      <c r="AJ256" s="15" t="s">
        <v>163</v>
      </c>
      <c r="AM256" s="114"/>
    </row>
    <row r="257" spans="9:39" ht="19.5" x14ac:dyDescent="0.4">
      <c r="K257" s="25"/>
      <c r="L257" s="13"/>
      <c r="P257" s="115"/>
      <c r="Q257" s="117"/>
      <c r="R257" s="123"/>
      <c r="S257" s="123"/>
      <c r="T257" s="123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26"/>
      <c r="AJ257" s="15"/>
      <c r="AM257" s="114"/>
    </row>
    <row r="258" spans="9:39" ht="19.5" x14ac:dyDescent="0.4">
      <c r="I258" s="115"/>
      <c r="J258" s="115"/>
      <c r="K258" s="13"/>
      <c r="L258" s="13"/>
      <c r="P258" s="115"/>
      <c r="Q258" s="117"/>
      <c r="R258" s="123"/>
      <c r="S258" s="123"/>
      <c r="T258" s="123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26"/>
      <c r="AJ258" s="15"/>
      <c r="AM258" s="114"/>
    </row>
    <row r="259" spans="9:39" ht="19.5" x14ac:dyDescent="0.4">
      <c r="K259" s="25"/>
      <c r="L259" s="13"/>
      <c r="P259" s="115"/>
      <c r="Q259" s="117"/>
      <c r="R259" s="123"/>
      <c r="S259" s="123"/>
      <c r="T259" s="123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26">
        <v>45278</v>
      </c>
      <c r="AJ259" s="15" t="s">
        <v>163</v>
      </c>
      <c r="AM259" s="114"/>
    </row>
    <row r="260" spans="9:39" ht="19.5" x14ac:dyDescent="0.4">
      <c r="I260" s="115"/>
      <c r="J260" s="115"/>
      <c r="K260" s="13"/>
      <c r="L260" s="13"/>
      <c r="P260" s="115"/>
      <c r="Q260" s="117"/>
      <c r="R260" s="123"/>
      <c r="S260" s="123"/>
      <c r="T260" s="123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26"/>
      <c r="AJ260" s="13"/>
      <c r="AM260" s="114"/>
    </row>
    <row r="261" spans="9:39" ht="19.5" x14ac:dyDescent="0.4">
      <c r="K261" s="25"/>
      <c r="L261" s="13"/>
      <c r="P261" s="115"/>
      <c r="Q261" s="117"/>
      <c r="R261" s="123"/>
      <c r="S261" s="123"/>
      <c r="T261" s="123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 t="s">
        <v>153</v>
      </c>
      <c r="AI261" s="17">
        <f>SUBTOTAL(3,AI230:AI259)</f>
        <v>12</v>
      </c>
      <c r="AJ261" s="13">
        <f>SUBTOTAL(3,AJ230:AJ259)</f>
        <v>12</v>
      </c>
      <c r="AM261" s="114"/>
    </row>
    <row r="262" spans="9:39" ht="19.5" x14ac:dyDescent="0.4">
      <c r="I262" s="115"/>
      <c r="J262" s="115"/>
      <c r="K262" s="13"/>
      <c r="L262" s="13"/>
      <c r="P262" s="115"/>
      <c r="Q262" s="117"/>
      <c r="R262" s="123"/>
      <c r="S262" s="123"/>
      <c r="T262" s="123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7"/>
      <c r="AJ262" s="13"/>
      <c r="AM262" s="114"/>
    </row>
    <row r="263" spans="9:39" ht="19.5" x14ac:dyDescent="0.4">
      <c r="K263" s="25"/>
      <c r="L263" s="13"/>
      <c r="P263" s="115"/>
      <c r="Q263" s="117"/>
      <c r="R263" s="123"/>
      <c r="S263" s="123"/>
      <c r="T263" s="123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26">
        <v>45279</v>
      </c>
      <c r="AJ263" s="25" t="s">
        <v>162</v>
      </c>
      <c r="AM263" s="114"/>
    </row>
    <row r="264" spans="9:39" ht="19.5" x14ac:dyDescent="0.4">
      <c r="K264" s="25"/>
      <c r="L264" s="13"/>
      <c r="P264" s="115"/>
      <c r="Q264" s="117"/>
      <c r="R264" s="123"/>
      <c r="S264" s="123"/>
      <c r="T264" s="123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26">
        <v>45279</v>
      </c>
      <c r="AJ264" s="13" t="s">
        <v>162</v>
      </c>
      <c r="AM264" s="114"/>
    </row>
    <row r="265" spans="9:39" ht="19.5" x14ac:dyDescent="0.4">
      <c r="I265" s="115"/>
      <c r="J265" s="115"/>
      <c r="K265" s="20"/>
      <c r="L265" s="13"/>
      <c r="P265" s="115"/>
      <c r="Q265" s="117"/>
      <c r="R265" s="123"/>
      <c r="S265" s="123"/>
      <c r="T265" s="123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26"/>
      <c r="AJ265" s="13"/>
      <c r="AM265" s="114"/>
    </row>
    <row r="266" spans="9:39" ht="19.5" x14ac:dyDescent="0.4">
      <c r="I266" s="115"/>
      <c r="J266" s="115"/>
      <c r="K266" s="20"/>
      <c r="L266" s="13"/>
      <c r="P266" s="115"/>
      <c r="Q266" s="117"/>
      <c r="R266" s="123"/>
      <c r="S266" s="123"/>
      <c r="T266" s="123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26"/>
      <c r="AJ266" s="13"/>
      <c r="AM266" s="114"/>
    </row>
    <row r="267" spans="9:39" ht="19.5" x14ac:dyDescent="0.4">
      <c r="K267" s="26"/>
      <c r="L267" s="13"/>
      <c r="P267" s="115"/>
      <c r="Q267" s="117"/>
      <c r="R267" s="123"/>
      <c r="S267" s="123"/>
      <c r="T267" s="123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26">
        <v>45279</v>
      </c>
      <c r="AJ267" s="13" t="s">
        <v>162</v>
      </c>
      <c r="AM267" s="114"/>
    </row>
    <row r="268" spans="9:39" ht="19.5" x14ac:dyDescent="0.4">
      <c r="K268" s="26"/>
      <c r="L268" s="13"/>
      <c r="P268" s="115"/>
      <c r="Q268" s="117"/>
      <c r="R268" s="123"/>
      <c r="S268" s="123"/>
      <c r="T268" s="123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26">
        <v>45279</v>
      </c>
      <c r="AJ268" s="13" t="s">
        <v>162</v>
      </c>
      <c r="AM268" s="114"/>
    </row>
    <row r="269" spans="9:39" ht="19.5" x14ac:dyDescent="0.4">
      <c r="K269" s="129"/>
      <c r="L269" s="13"/>
      <c r="P269" s="115"/>
      <c r="Q269" s="117"/>
      <c r="R269" s="123"/>
      <c r="S269" s="123"/>
      <c r="T269" s="123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26"/>
      <c r="AJ269" s="13"/>
      <c r="AM269" s="114"/>
    </row>
    <row r="270" spans="9:39" ht="19.5" x14ac:dyDescent="0.4">
      <c r="K270" s="26"/>
      <c r="L270" s="13"/>
      <c r="P270" s="115"/>
      <c r="Q270" s="117"/>
      <c r="R270" s="123"/>
      <c r="S270" s="123"/>
      <c r="T270" s="123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26">
        <v>45279</v>
      </c>
      <c r="AJ270" s="13" t="s">
        <v>162</v>
      </c>
      <c r="AM270" s="114"/>
    </row>
    <row r="271" spans="9:39" ht="19.5" x14ac:dyDescent="0.4">
      <c r="K271" s="26"/>
      <c r="L271" s="13"/>
      <c r="P271" s="115"/>
      <c r="Q271" s="117"/>
      <c r="R271" s="123"/>
      <c r="S271" s="123"/>
      <c r="T271" s="123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26">
        <v>45279</v>
      </c>
      <c r="AJ271" s="13" t="s">
        <v>162</v>
      </c>
      <c r="AM271" s="114"/>
    </row>
    <row r="272" spans="9:39" ht="19.5" x14ac:dyDescent="0.4">
      <c r="K272" s="26"/>
      <c r="L272" s="13"/>
      <c r="P272" s="115"/>
      <c r="Q272" s="117"/>
      <c r="R272" s="123"/>
      <c r="S272" s="123"/>
      <c r="T272" s="123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 t="s">
        <v>170</v>
      </c>
      <c r="AI272" s="17">
        <f>SUBTOTAL(3,AI263:AI271)</f>
        <v>6</v>
      </c>
      <c r="AJ272" s="13">
        <f>SUBTOTAL(3,AJ263:AJ271)</f>
        <v>6</v>
      </c>
      <c r="AM272" s="114"/>
    </row>
    <row r="273" spans="11:39" ht="19.5" x14ac:dyDescent="0.4">
      <c r="K273" s="129"/>
      <c r="L273" s="13"/>
      <c r="P273" s="115"/>
      <c r="Q273" s="117"/>
      <c r="R273" s="123"/>
      <c r="S273" s="123"/>
      <c r="T273" s="123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7"/>
      <c r="AJ273" s="13"/>
      <c r="AM273" s="114"/>
    </row>
    <row r="274" spans="11:39" ht="19.5" x14ac:dyDescent="0.4">
      <c r="K274" s="26"/>
      <c r="L274" s="13"/>
      <c r="P274" s="115"/>
      <c r="Q274" s="117"/>
      <c r="R274" s="123"/>
      <c r="S274" s="123"/>
      <c r="T274" s="123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26">
        <v>45280</v>
      </c>
      <c r="AJ274" s="13" t="s">
        <v>162</v>
      </c>
      <c r="AM274" s="114"/>
    </row>
    <row r="275" spans="11:39" ht="19.5" x14ac:dyDescent="0.4">
      <c r="K275" s="26"/>
      <c r="L275" s="13"/>
      <c r="P275" s="115"/>
      <c r="Q275" s="116"/>
      <c r="R275" s="123"/>
      <c r="S275" s="123"/>
      <c r="T275" s="123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26">
        <v>45280</v>
      </c>
      <c r="AJ275" s="13" t="s">
        <v>162</v>
      </c>
      <c r="AM275" s="114"/>
    </row>
    <row r="276" spans="11:39" ht="19.5" x14ac:dyDescent="0.4">
      <c r="K276" s="26"/>
      <c r="L276" s="13"/>
      <c r="P276" s="115"/>
      <c r="Q276" s="116"/>
      <c r="R276" s="123"/>
      <c r="S276" s="123"/>
      <c r="T276" s="123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26">
        <v>45280</v>
      </c>
      <c r="AJ276" s="13" t="s">
        <v>162</v>
      </c>
      <c r="AM276" s="114"/>
    </row>
    <row r="277" spans="11:39" ht="19.5" x14ac:dyDescent="0.4">
      <c r="K277" s="26"/>
      <c r="L277" s="13"/>
      <c r="P277" s="115"/>
      <c r="Q277" s="116"/>
      <c r="R277" s="123"/>
      <c r="S277" s="123"/>
      <c r="T277" s="123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26">
        <v>45280</v>
      </c>
      <c r="AJ277" s="13" t="s">
        <v>162</v>
      </c>
      <c r="AM277" s="114"/>
    </row>
    <row r="278" spans="11:39" ht="19.5" x14ac:dyDescent="0.4">
      <c r="K278" s="129"/>
      <c r="L278" s="13"/>
      <c r="P278" s="115"/>
      <c r="Q278" s="116"/>
      <c r="R278" s="123"/>
      <c r="S278" s="123"/>
      <c r="T278" s="123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26"/>
      <c r="AJ278" s="13"/>
      <c r="AM278" s="114"/>
    </row>
    <row r="279" spans="11:39" ht="19.5" x14ac:dyDescent="0.4">
      <c r="K279" s="26"/>
      <c r="L279" s="13"/>
      <c r="P279" s="115"/>
      <c r="Q279" s="116"/>
      <c r="R279" s="123"/>
      <c r="S279" s="123"/>
      <c r="T279" s="123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26">
        <v>45280</v>
      </c>
      <c r="AJ279" s="13" t="s">
        <v>162</v>
      </c>
      <c r="AM279" s="114"/>
    </row>
    <row r="280" spans="11:39" ht="19.5" x14ac:dyDescent="0.4">
      <c r="K280" s="130"/>
      <c r="L280" s="119"/>
      <c r="P280" s="115"/>
      <c r="Q280" s="116"/>
      <c r="R280" s="123"/>
      <c r="S280" s="123"/>
      <c r="T280" s="123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26"/>
      <c r="AJ280" s="13"/>
      <c r="AM280" s="114"/>
    </row>
    <row r="281" spans="11:39" ht="19.5" x14ac:dyDescent="0.4">
      <c r="K281" s="130"/>
      <c r="L281" s="119"/>
      <c r="P281" s="115"/>
      <c r="Q281" s="116"/>
      <c r="R281" s="123"/>
      <c r="S281" s="123"/>
      <c r="T281" s="123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26"/>
      <c r="AJ281" s="13"/>
      <c r="AM281" s="114"/>
    </row>
    <row r="282" spans="11:39" ht="19.5" x14ac:dyDescent="0.4">
      <c r="P282" s="115"/>
      <c r="Q282" s="116"/>
      <c r="R282" s="123"/>
      <c r="S282" s="123"/>
      <c r="T282" s="123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26">
        <v>45280</v>
      </c>
      <c r="AJ282" s="13" t="s">
        <v>162</v>
      </c>
      <c r="AM282" s="114"/>
    </row>
    <row r="283" spans="11:39" ht="19.5" x14ac:dyDescent="0.4">
      <c r="P283" s="115"/>
      <c r="Q283" s="116"/>
      <c r="R283" s="123"/>
      <c r="S283" s="123"/>
      <c r="T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26">
        <v>45280</v>
      </c>
      <c r="AJ283" s="13" t="s">
        <v>162</v>
      </c>
      <c r="AM283" s="114"/>
    </row>
    <row r="284" spans="11:39" ht="19.5" x14ac:dyDescent="0.4">
      <c r="P284" s="115"/>
      <c r="Q284" s="116"/>
      <c r="R284" s="123"/>
      <c r="S284" s="123"/>
      <c r="T284" s="123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26">
        <v>45280</v>
      </c>
      <c r="AJ284" s="13" t="s">
        <v>162</v>
      </c>
      <c r="AM284" s="114"/>
    </row>
    <row r="285" spans="11:39" ht="19.5" x14ac:dyDescent="0.4">
      <c r="O285" s="115"/>
      <c r="P285" s="115"/>
      <c r="Q285" s="116"/>
      <c r="R285" s="123"/>
      <c r="S285" s="123"/>
      <c r="T285" s="123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26">
        <v>45280</v>
      </c>
      <c r="AJ285" s="13" t="s">
        <v>162</v>
      </c>
      <c r="AM285" s="114"/>
    </row>
    <row r="286" spans="11:39" ht="19.5" x14ac:dyDescent="0.4">
      <c r="O286" s="115"/>
      <c r="P286" s="115"/>
      <c r="Q286" s="116"/>
      <c r="R286" s="123"/>
      <c r="S286" s="123"/>
      <c r="T286" s="123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26">
        <v>45280</v>
      </c>
      <c r="AJ286" s="13" t="s">
        <v>162</v>
      </c>
      <c r="AM286" s="114"/>
    </row>
    <row r="287" spans="11:39" ht="19.5" x14ac:dyDescent="0.4">
      <c r="M287" s="115"/>
      <c r="N287" s="115"/>
      <c r="O287" s="115"/>
      <c r="P287" s="115"/>
      <c r="Q287" s="116"/>
      <c r="R287" s="123"/>
      <c r="S287" s="123"/>
      <c r="T287" s="123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26">
        <v>45280</v>
      </c>
      <c r="AJ287" s="13" t="s">
        <v>162</v>
      </c>
      <c r="AM287" s="114"/>
    </row>
    <row r="288" spans="11:39" x14ac:dyDescent="0.4">
      <c r="M288" s="115"/>
      <c r="N288" s="115"/>
      <c r="O288" s="115"/>
      <c r="P288" s="115"/>
      <c r="Q288" s="115"/>
      <c r="R288" s="122"/>
      <c r="S288" s="122"/>
      <c r="T288" s="122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26">
        <v>45280</v>
      </c>
      <c r="AJ288" s="13" t="s">
        <v>162</v>
      </c>
      <c r="AM288" s="114"/>
    </row>
    <row r="289" spans="13:39" x14ac:dyDescent="0.4">
      <c r="M289" s="115"/>
      <c r="N289" s="115"/>
      <c r="O289" s="115"/>
      <c r="P289" s="115"/>
      <c r="Q289" s="115"/>
      <c r="R289" s="122"/>
      <c r="S289" s="122"/>
      <c r="T289" s="122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26">
        <v>45280</v>
      </c>
      <c r="AJ289" s="13" t="s">
        <v>162</v>
      </c>
      <c r="AM289" s="114"/>
    </row>
    <row r="290" spans="13:39" x14ac:dyDescent="0.4">
      <c r="M290" s="115"/>
      <c r="N290" s="115"/>
      <c r="O290" s="115"/>
      <c r="P290" s="115"/>
      <c r="Q290" s="115"/>
      <c r="R290" s="122"/>
      <c r="S290" s="122"/>
      <c r="T290" s="122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 t="s">
        <v>171</v>
      </c>
      <c r="AI290" s="17">
        <f>SUBTOTAL(3,AI274:AI289)</f>
        <v>13</v>
      </c>
      <c r="AJ290" s="13">
        <f>SUBTOTAL(3,AJ274:AJ289)</f>
        <v>13</v>
      </c>
      <c r="AM290" s="114"/>
    </row>
    <row r="291" spans="13:39" x14ac:dyDescent="0.4">
      <c r="M291" s="115"/>
      <c r="N291" s="115"/>
      <c r="O291" s="115"/>
      <c r="P291" s="115"/>
      <c r="Q291" s="115"/>
      <c r="R291" s="122"/>
      <c r="S291" s="122"/>
      <c r="T291" s="122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26">
        <v>45283</v>
      </c>
      <c r="AJ291" s="13" t="s">
        <v>162</v>
      </c>
      <c r="AM291" s="114"/>
    </row>
    <row r="292" spans="13:39" x14ac:dyDescent="0.4">
      <c r="M292" s="115"/>
      <c r="N292" s="115"/>
      <c r="O292" s="115"/>
      <c r="P292" s="115"/>
      <c r="Q292" s="115"/>
      <c r="R292" s="122"/>
      <c r="S292" s="122"/>
      <c r="T292" s="122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26">
        <v>45283</v>
      </c>
      <c r="AJ292" s="13" t="s">
        <v>162</v>
      </c>
      <c r="AM292" s="114"/>
    </row>
    <row r="293" spans="13:39" x14ac:dyDescent="0.4">
      <c r="M293" s="115"/>
      <c r="N293" s="115"/>
      <c r="O293" s="115"/>
      <c r="P293" s="115"/>
      <c r="Q293" s="115"/>
      <c r="R293" s="122"/>
      <c r="S293" s="122"/>
      <c r="T293" s="122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26">
        <v>45283</v>
      </c>
      <c r="AJ293" s="13" t="s">
        <v>162</v>
      </c>
      <c r="AM293" s="114"/>
    </row>
    <row r="294" spans="13:39" x14ac:dyDescent="0.4">
      <c r="M294" s="115"/>
      <c r="N294" s="115"/>
      <c r="O294" s="115"/>
      <c r="P294" s="115"/>
      <c r="Q294" s="115"/>
      <c r="R294" s="122"/>
      <c r="S294" s="122"/>
      <c r="T294" s="122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26">
        <v>45283</v>
      </c>
      <c r="AJ294" s="13" t="s">
        <v>162</v>
      </c>
      <c r="AM294" s="114"/>
    </row>
    <row r="295" spans="13:39" x14ac:dyDescent="0.4">
      <c r="M295" s="115"/>
      <c r="N295" s="115"/>
      <c r="O295" s="115"/>
      <c r="P295" s="115"/>
      <c r="Q295" s="115"/>
      <c r="R295" s="122"/>
      <c r="S295" s="122"/>
      <c r="T295" s="122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26">
        <v>45283</v>
      </c>
      <c r="AJ295" s="13" t="s">
        <v>162</v>
      </c>
      <c r="AM295" s="114"/>
    </row>
    <row r="296" spans="13:39" x14ac:dyDescent="0.4">
      <c r="M296" s="115"/>
      <c r="N296" s="115"/>
      <c r="O296" s="115"/>
      <c r="P296" s="115"/>
      <c r="Q296" s="115"/>
      <c r="R296" s="122"/>
      <c r="S296" s="122"/>
      <c r="T296" s="122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26">
        <v>45283</v>
      </c>
      <c r="AJ296" s="13" t="s">
        <v>162</v>
      </c>
      <c r="AM296" s="114"/>
    </row>
    <row r="297" spans="13:39" x14ac:dyDescent="0.4">
      <c r="M297" s="115"/>
      <c r="N297" s="115"/>
      <c r="O297" s="115"/>
      <c r="P297" s="115"/>
      <c r="Q297" s="115"/>
      <c r="R297" s="122"/>
      <c r="S297" s="122"/>
      <c r="T297" s="122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26">
        <v>45283</v>
      </c>
      <c r="AJ297" s="13" t="s">
        <v>162</v>
      </c>
      <c r="AM297" s="114"/>
    </row>
    <row r="298" spans="13:39" x14ac:dyDescent="0.4">
      <c r="M298" s="115"/>
      <c r="N298" s="115"/>
      <c r="O298" s="115"/>
      <c r="P298" s="115"/>
      <c r="Q298" s="115"/>
      <c r="R298" s="122"/>
      <c r="S298" s="122"/>
      <c r="T298" s="122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26">
        <v>45283</v>
      </c>
      <c r="AJ298" s="13" t="s">
        <v>162</v>
      </c>
      <c r="AM298" s="114"/>
    </row>
    <row r="299" spans="13:39" x14ac:dyDescent="0.4">
      <c r="M299" s="115"/>
      <c r="N299" s="115"/>
      <c r="O299" s="115"/>
      <c r="P299" s="115"/>
      <c r="Q299" s="115"/>
      <c r="R299" s="122"/>
      <c r="S299" s="122"/>
      <c r="T299" s="122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26">
        <v>45283</v>
      </c>
      <c r="AJ299" s="13" t="s">
        <v>162</v>
      </c>
      <c r="AM299" s="114"/>
    </row>
    <row r="300" spans="13:39" x14ac:dyDescent="0.4">
      <c r="M300" s="115"/>
      <c r="N300" s="115"/>
      <c r="O300" s="115"/>
      <c r="P300" s="115"/>
      <c r="Q300" s="115"/>
      <c r="R300" s="122"/>
      <c r="S300" s="122"/>
      <c r="T300" s="122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26">
        <v>45283</v>
      </c>
      <c r="AJ300" s="13" t="s">
        <v>162</v>
      </c>
      <c r="AM300" s="114"/>
    </row>
    <row r="301" spans="13:39" x14ac:dyDescent="0.4">
      <c r="M301" s="115"/>
      <c r="N301" s="115"/>
      <c r="O301" s="115"/>
      <c r="P301" s="115"/>
      <c r="Q301" s="115"/>
      <c r="R301" s="122"/>
      <c r="S301" s="122"/>
      <c r="T301" s="122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26">
        <v>45283</v>
      </c>
      <c r="AJ301" s="13" t="s">
        <v>163</v>
      </c>
      <c r="AM301" s="114"/>
    </row>
    <row r="302" spans="13:39" x14ac:dyDescent="0.4">
      <c r="M302" s="115"/>
      <c r="N302" s="115"/>
      <c r="O302" s="115"/>
      <c r="P302" s="115"/>
      <c r="Q302" s="115"/>
      <c r="R302" s="122"/>
      <c r="S302" s="122"/>
      <c r="T302" s="122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26">
        <v>45283</v>
      </c>
      <c r="AJ302" s="13" t="s">
        <v>163</v>
      </c>
      <c r="AM302" s="114"/>
    </row>
    <row r="303" spans="13:39" x14ac:dyDescent="0.4">
      <c r="M303" s="115"/>
      <c r="N303" s="115"/>
      <c r="O303" s="115"/>
      <c r="P303" s="115"/>
      <c r="Q303" s="115"/>
      <c r="R303" s="122"/>
      <c r="S303" s="122"/>
      <c r="T303" s="122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26">
        <v>45283</v>
      </c>
      <c r="AJ303" s="13" t="s">
        <v>163</v>
      </c>
      <c r="AM303" s="114"/>
    </row>
    <row r="304" spans="13:39" x14ac:dyDescent="0.4">
      <c r="M304" s="115"/>
      <c r="N304" s="115"/>
      <c r="O304" s="115"/>
      <c r="P304" s="115"/>
      <c r="Q304" s="115"/>
      <c r="R304" s="122"/>
      <c r="S304" s="122"/>
      <c r="T304" s="122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 t="s">
        <v>161</v>
      </c>
      <c r="AI304" s="17">
        <f>SUBTOTAL(3,AI291:AI303)</f>
        <v>13</v>
      </c>
      <c r="AJ304" s="13">
        <f>SUBTOTAL(3,AJ291:AJ303)</f>
        <v>13</v>
      </c>
      <c r="AM304" s="114"/>
    </row>
    <row r="305" spans="13:39" x14ac:dyDescent="0.4">
      <c r="M305" s="115"/>
      <c r="N305" s="115"/>
      <c r="O305" s="115"/>
      <c r="P305" s="115"/>
      <c r="Q305" s="115"/>
      <c r="R305" s="122"/>
      <c r="S305" s="122"/>
      <c r="T305" s="122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26">
        <v>45285</v>
      </c>
      <c r="AJ305" s="13" t="s">
        <v>163</v>
      </c>
      <c r="AM305" s="114"/>
    </row>
    <row r="306" spans="13:39" x14ac:dyDescent="0.4">
      <c r="M306" s="115"/>
      <c r="N306" s="115"/>
      <c r="O306" s="115"/>
      <c r="P306" s="115"/>
      <c r="Q306" s="115"/>
      <c r="R306" s="122"/>
      <c r="S306" s="122"/>
      <c r="T306" s="122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 t="s">
        <v>172</v>
      </c>
      <c r="AI306" s="17">
        <f>SUBTOTAL(3,AI305:AI305)</f>
        <v>1</v>
      </c>
      <c r="AJ306" s="13">
        <f>SUBTOTAL(3,AJ305:AJ305)</f>
        <v>1</v>
      </c>
      <c r="AM306" s="114"/>
    </row>
    <row r="307" spans="13:39" x14ac:dyDescent="0.4">
      <c r="M307" s="115"/>
      <c r="N307" s="115"/>
      <c r="O307" s="115"/>
      <c r="P307" s="115"/>
      <c r="Q307" s="115"/>
      <c r="R307" s="122"/>
      <c r="S307" s="122"/>
      <c r="T307" s="122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26">
        <v>45299</v>
      </c>
      <c r="AJ307" s="13" t="s">
        <v>164</v>
      </c>
      <c r="AM307" s="114"/>
    </row>
    <row r="308" spans="13:39" x14ac:dyDescent="0.4">
      <c r="M308" s="115"/>
      <c r="N308" s="115"/>
      <c r="O308" s="115"/>
      <c r="P308" s="115"/>
      <c r="Q308" s="115"/>
      <c r="R308" s="122"/>
      <c r="S308" s="122"/>
      <c r="T308" s="122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26">
        <v>45299</v>
      </c>
      <c r="AJ308" s="13" t="s">
        <v>162</v>
      </c>
      <c r="AM308" s="114"/>
    </row>
    <row r="309" spans="13:39" x14ac:dyDescent="0.4">
      <c r="M309" s="115"/>
      <c r="N309" s="115"/>
      <c r="O309" s="115"/>
      <c r="P309" s="115"/>
      <c r="Q309" s="115"/>
      <c r="R309" s="122"/>
      <c r="S309" s="122"/>
      <c r="T309" s="122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26">
        <v>45299</v>
      </c>
      <c r="AJ309" s="13" t="s">
        <v>162</v>
      </c>
      <c r="AM309" s="114"/>
    </row>
    <row r="310" spans="13:39" x14ac:dyDescent="0.4">
      <c r="M310" s="115"/>
      <c r="N310" s="115"/>
      <c r="O310" s="115"/>
      <c r="P310" s="115"/>
      <c r="Q310" s="115"/>
      <c r="R310" s="122"/>
      <c r="S310" s="122"/>
      <c r="T310" s="122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26">
        <v>45299</v>
      </c>
      <c r="AJ310" s="15" t="s">
        <v>162</v>
      </c>
      <c r="AM310" s="114"/>
    </row>
    <row r="311" spans="13:39" x14ac:dyDescent="0.4">
      <c r="M311" s="115"/>
      <c r="N311" s="115"/>
      <c r="O311" s="115"/>
      <c r="P311" s="115"/>
      <c r="Q311" s="115"/>
      <c r="R311" s="122"/>
      <c r="S311" s="122"/>
      <c r="T311" s="122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 t="s">
        <v>173</v>
      </c>
      <c r="AI311" s="17">
        <f>SUBTOTAL(3,AI307:AI310)</f>
        <v>4</v>
      </c>
      <c r="AJ311" s="13">
        <f>SUBTOTAL(3,AJ307:AJ310)</f>
        <v>4</v>
      </c>
      <c r="AM311" s="114"/>
    </row>
    <row r="312" spans="13:39" x14ac:dyDescent="0.4">
      <c r="M312" s="115"/>
      <c r="N312" s="115"/>
      <c r="O312" s="115"/>
      <c r="P312" s="115"/>
      <c r="Q312" s="115"/>
      <c r="R312" s="122"/>
      <c r="S312" s="122"/>
      <c r="T312" s="122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 t="s">
        <v>145</v>
      </c>
      <c r="AI312" s="17">
        <f>SUBTOTAL(3,AI2:AI310)</f>
        <v>136</v>
      </c>
      <c r="AJ312" s="13">
        <f>SUBTOTAL(3,AJ2:AJ310)</f>
        <v>136</v>
      </c>
      <c r="AM312" s="114"/>
    </row>
    <row r="313" spans="13:39" x14ac:dyDescent="0.4">
      <c r="M313" s="115"/>
      <c r="N313" s="115"/>
      <c r="O313" s="115"/>
      <c r="P313" s="115"/>
      <c r="Q313" s="115"/>
      <c r="R313" s="122"/>
      <c r="S313" s="122"/>
      <c r="T313" s="122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 t="s">
        <v>145</v>
      </c>
      <c r="AG313" s="115"/>
      <c r="AH313" s="115"/>
      <c r="AI313" s="26"/>
      <c r="AJ313" s="13"/>
      <c r="AM313" s="114"/>
    </row>
    <row r="314" spans="13:39" x14ac:dyDescent="0.4">
      <c r="M314" s="115"/>
      <c r="N314" s="115"/>
      <c r="O314" s="115"/>
      <c r="P314" s="115"/>
      <c r="Q314" s="115"/>
      <c r="R314" s="122"/>
      <c r="S314" s="122"/>
      <c r="T314" s="122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7"/>
      <c r="AJ314" s="13"/>
      <c r="AM314" s="114"/>
    </row>
    <row r="315" spans="13:39" x14ac:dyDescent="0.4">
      <c r="M315" s="115"/>
      <c r="N315" s="115"/>
      <c r="O315" s="115"/>
      <c r="P315" s="115"/>
      <c r="Q315" s="115"/>
      <c r="R315" s="122"/>
      <c r="S315" s="122"/>
      <c r="T315" s="122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26"/>
      <c r="AJ315" s="13"/>
      <c r="AM315" s="114"/>
    </row>
    <row r="316" spans="13:39" x14ac:dyDescent="0.4">
      <c r="M316" s="115"/>
      <c r="N316" s="115"/>
      <c r="O316" s="115"/>
      <c r="P316" s="115"/>
      <c r="Q316" s="115"/>
      <c r="R316" s="122"/>
      <c r="S316" s="122"/>
      <c r="T316" s="122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7"/>
      <c r="AJ316" s="13"/>
      <c r="AM316" s="114"/>
    </row>
    <row r="317" spans="13:39" x14ac:dyDescent="0.4">
      <c r="M317" s="115"/>
      <c r="N317" s="115"/>
      <c r="O317" s="115"/>
      <c r="P317" s="115"/>
      <c r="Q317" s="115"/>
      <c r="R317" s="122"/>
      <c r="S317" s="122"/>
      <c r="T317" s="122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26"/>
      <c r="AJ317" s="13"/>
      <c r="AM317" s="114"/>
    </row>
    <row r="318" spans="13:39" x14ac:dyDescent="0.4">
      <c r="M318" s="115"/>
      <c r="N318" s="115"/>
      <c r="O318" s="115"/>
      <c r="P318" s="115"/>
      <c r="Q318" s="115"/>
      <c r="R318" s="122"/>
      <c r="S318" s="122"/>
      <c r="T318" s="122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26"/>
      <c r="AJ318" s="13"/>
      <c r="AM318" s="114"/>
    </row>
    <row r="319" spans="13:39" x14ac:dyDescent="0.4">
      <c r="M319" s="115"/>
      <c r="N319" s="115"/>
      <c r="O319" s="115"/>
      <c r="P319" s="115"/>
      <c r="Q319" s="115"/>
      <c r="R319" s="122"/>
      <c r="S319" s="122"/>
      <c r="T319" s="122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26"/>
      <c r="AJ319" s="13"/>
      <c r="AM319" s="114"/>
    </row>
    <row r="320" spans="13:39" x14ac:dyDescent="0.4">
      <c r="M320" s="115"/>
      <c r="N320" s="115"/>
      <c r="O320" s="115"/>
      <c r="P320" s="115"/>
      <c r="Q320" s="115"/>
      <c r="R320" s="122"/>
      <c r="S320" s="122"/>
      <c r="T320" s="122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7"/>
      <c r="AJ320" s="13"/>
      <c r="AM320" s="114"/>
    </row>
    <row r="321" spans="13:39" x14ac:dyDescent="0.4">
      <c r="M321" s="115"/>
      <c r="N321" s="115"/>
      <c r="O321" s="115"/>
      <c r="P321" s="115"/>
      <c r="Q321" s="115"/>
      <c r="R321" s="122"/>
      <c r="S321" s="122"/>
      <c r="T321" s="122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26"/>
      <c r="AJ321" s="13"/>
      <c r="AM321" s="114"/>
    </row>
    <row r="322" spans="13:39" x14ac:dyDescent="0.4">
      <c r="M322" s="115"/>
      <c r="N322" s="115"/>
      <c r="O322" s="115"/>
      <c r="P322" s="115"/>
      <c r="Q322" s="115"/>
      <c r="R322" s="122"/>
      <c r="S322" s="122"/>
      <c r="T322" s="122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7"/>
      <c r="AJ322" s="13"/>
      <c r="AM322" s="114"/>
    </row>
    <row r="323" spans="13:39" x14ac:dyDescent="0.4">
      <c r="M323" s="115"/>
      <c r="N323" s="115"/>
      <c r="O323" s="115"/>
      <c r="P323" s="115"/>
      <c r="Q323" s="115"/>
      <c r="R323" s="122"/>
      <c r="S323" s="122"/>
      <c r="T323" s="122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26"/>
      <c r="AJ323" s="13"/>
      <c r="AM323" s="114"/>
    </row>
    <row r="324" spans="13:39" x14ac:dyDescent="0.4">
      <c r="M324" s="115"/>
      <c r="N324" s="115"/>
      <c r="O324" s="115"/>
      <c r="P324" s="115"/>
      <c r="Q324" s="115"/>
      <c r="R324" s="122"/>
      <c r="S324" s="122"/>
      <c r="T324" s="122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7"/>
      <c r="AJ324" s="13"/>
      <c r="AM324" s="114"/>
    </row>
    <row r="325" spans="13:39" x14ac:dyDescent="0.4">
      <c r="M325" s="115"/>
      <c r="N325" s="115"/>
      <c r="O325" s="115"/>
      <c r="P325" s="115"/>
      <c r="Q325" s="115"/>
      <c r="R325" s="122"/>
      <c r="S325" s="122"/>
      <c r="T325" s="122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7"/>
      <c r="AJ325" s="13"/>
      <c r="AM325" s="114"/>
    </row>
    <row r="326" spans="13:39" x14ac:dyDescent="0.4">
      <c r="M326" s="115"/>
      <c r="N326" s="115"/>
      <c r="O326" s="115"/>
      <c r="P326" s="115"/>
      <c r="Q326" s="115"/>
      <c r="R326" s="122"/>
      <c r="S326" s="122"/>
      <c r="T326" s="122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7"/>
      <c r="AJ326" s="13"/>
      <c r="AM326" s="114"/>
    </row>
    <row r="327" spans="13:39" x14ac:dyDescent="0.4">
      <c r="M327" s="115"/>
      <c r="N327" s="115"/>
      <c r="O327" s="115"/>
      <c r="P327" s="115"/>
      <c r="Q327" s="115"/>
      <c r="R327" s="122"/>
      <c r="S327" s="122"/>
      <c r="T327" s="122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26"/>
      <c r="AJ327" s="13"/>
      <c r="AM327" s="114"/>
    </row>
    <row r="328" spans="13:39" x14ac:dyDescent="0.4">
      <c r="M328" s="115"/>
      <c r="N328" s="115"/>
      <c r="O328" s="115"/>
      <c r="P328" s="115"/>
      <c r="Q328" s="115"/>
      <c r="R328" s="122"/>
      <c r="S328" s="122"/>
      <c r="T328" s="122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7"/>
      <c r="AJ328" s="13"/>
      <c r="AM328" s="114"/>
    </row>
    <row r="329" spans="13:39" x14ac:dyDescent="0.4">
      <c r="M329" s="115"/>
      <c r="N329" s="115"/>
      <c r="O329" s="115"/>
      <c r="P329" s="115"/>
      <c r="Q329" s="115"/>
      <c r="R329" s="122"/>
      <c r="S329" s="122"/>
      <c r="T329" s="122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26"/>
      <c r="AJ329" s="13"/>
      <c r="AM329" s="114"/>
    </row>
    <row r="330" spans="13:39" x14ac:dyDescent="0.4">
      <c r="M330" s="115"/>
      <c r="N330" s="115"/>
      <c r="O330" s="115"/>
      <c r="P330" s="115"/>
      <c r="Q330" s="115"/>
      <c r="R330" s="122"/>
      <c r="S330" s="122"/>
      <c r="T330" s="122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7"/>
      <c r="AJ330" s="13"/>
      <c r="AM330" s="114"/>
    </row>
    <row r="331" spans="13:39" x14ac:dyDescent="0.4">
      <c r="M331" s="115"/>
      <c r="N331" s="115"/>
      <c r="O331" s="115"/>
      <c r="P331" s="115"/>
      <c r="Q331" s="115"/>
      <c r="R331" s="122"/>
      <c r="S331" s="122"/>
      <c r="T331" s="122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26"/>
      <c r="AJ331" s="25"/>
      <c r="AM331" s="114"/>
    </row>
    <row r="332" spans="13:39" x14ac:dyDescent="0.4">
      <c r="M332" s="115"/>
      <c r="N332" s="115"/>
      <c r="O332" s="115"/>
      <c r="P332" s="115"/>
      <c r="Q332" s="115"/>
      <c r="R332" s="122"/>
      <c r="S332" s="122"/>
      <c r="T332" s="122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7"/>
      <c r="AJ332" s="13"/>
      <c r="AM332" s="114"/>
    </row>
    <row r="333" spans="13:39" x14ac:dyDescent="0.4">
      <c r="M333" s="115"/>
      <c r="N333" s="115"/>
      <c r="O333" s="115"/>
      <c r="P333" s="115"/>
      <c r="Q333" s="115"/>
      <c r="R333" s="122"/>
      <c r="S333" s="122"/>
      <c r="T333" s="122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7"/>
      <c r="AJ333" s="13"/>
      <c r="AM333" s="114"/>
    </row>
    <row r="334" spans="13:39" x14ac:dyDescent="0.4">
      <c r="M334" s="115"/>
      <c r="N334" s="115"/>
      <c r="O334" s="115"/>
      <c r="P334" s="115"/>
      <c r="Q334" s="115"/>
      <c r="R334" s="122"/>
      <c r="S334" s="122"/>
      <c r="T334" s="122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26"/>
      <c r="AJ334" s="15"/>
      <c r="AM334" s="114"/>
    </row>
    <row r="335" spans="13:39" x14ac:dyDescent="0.4">
      <c r="M335" s="115"/>
      <c r="N335" s="115"/>
      <c r="O335" s="115"/>
      <c r="P335" s="115"/>
      <c r="Q335" s="115"/>
      <c r="R335" s="122"/>
      <c r="S335" s="122"/>
      <c r="T335" s="122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26"/>
      <c r="AJ335" s="15"/>
      <c r="AM335" s="114"/>
    </row>
    <row r="336" spans="13:39" x14ac:dyDescent="0.4">
      <c r="M336" s="115"/>
      <c r="N336" s="115"/>
      <c r="O336" s="115"/>
      <c r="P336" s="115"/>
      <c r="Q336" s="115"/>
      <c r="R336" s="122"/>
      <c r="S336" s="122"/>
      <c r="T336" s="122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26"/>
      <c r="AJ336" s="15"/>
      <c r="AM336" s="114"/>
    </row>
    <row r="337" spans="13:39" x14ac:dyDescent="0.4">
      <c r="M337" s="115"/>
      <c r="N337" s="115"/>
      <c r="O337" s="115"/>
      <c r="P337" s="115"/>
      <c r="Q337" s="115"/>
      <c r="R337" s="122"/>
      <c r="S337" s="122"/>
      <c r="T337" s="122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26"/>
      <c r="AJ337" s="15"/>
      <c r="AM337" s="114"/>
    </row>
    <row r="338" spans="13:39" x14ac:dyDescent="0.4">
      <c r="M338" s="115"/>
      <c r="N338" s="115"/>
      <c r="O338" s="115"/>
      <c r="P338" s="115"/>
      <c r="Q338" s="115"/>
      <c r="R338" s="122"/>
      <c r="S338" s="122"/>
      <c r="T338" s="122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26"/>
      <c r="AJ338" s="15"/>
      <c r="AM338" s="114"/>
    </row>
    <row r="339" spans="13:39" x14ac:dyDescent="0.4">
      <c r="M339" s="115"/>
      <c r="N339" s="115"/>
      <c r="O339" s="115"/>
      <c r="P339" s="115"/>
      <c r="Q339" s="115"/>
      <c r="R339" s="122"/>
      <c r="S339" s="122"/>
      <c r="T339" s="122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26"/>
      <c r="AJ339" s="15"/>
      <c r="AM339" s="114"/>
    </row>
    <row r="340" spans="13:39" x14ac:dyDescent="0.4">
      <c r="M340" s="115"/>
      <c r="N340" s="115"/>
      <c r="O340" s="115"/>
      <c r="P340" s="115"/>
      <c r="Q340" s="115"/>
      <c r="R340" s="122"/>
      <c r="S340" s="122"/>
      <c r="T340" s="122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26"/>
      <c r="AJ340" s="15"/>
      <c r="AM340" s="114"/>
    </row>
    <row r="341" spans="13:39" x14ac:dyDescent="0.4">
      <c r="M341" s="115"/>
      <c r="N341" s="115"/>
      <c r="O341" s="115"/>
      <c r="P341" s="115"/>
      <c r="Q341" s="115"/>
      <c r="R341" s="122"/>
      <c r="S341" s="122"/>
      <c r="T341" s="122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26"/>
      <c r="AJ341" s="15"/>
      <c r="AM341" s="114"/>
    </row>
    <row r="342" spans="13:39" x14ac:dyDescent="0.4">
      <c r="M342" s="115"/>
      <c r="N342" s="115"/>
      <c r="O342" s="115"/>
      <c r="P342" s="115"/>
      <c r="Q342" s="115"/>
      <c r="R342" s="122"/>
      <c r="S342" s="122"/>
      <c r="T342" s="122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7"/>
      <c r="AJ342" s="15"/>
      <c r="AM342" s="114"/>
    </row>
    <row r="343" spans="13:39" x14ac:dyDescent="0.4">
      <c r="M343" s="115"/>
      <c r="N343" s="115"/>
      <c r="O343" s="115"/>
      <c r="P343" s="115"/>
      <c r="Q343" s="115"/>
      <c r="R343" s="122"/>
      <c r="S343" s="122"/>
      <c r="T343" s="122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26"/>
      <c r="AJ343" s="15"/>
      <c r="AM343" s="114"/>
    </row>
    <row r="344" spans="13:39" x14ac:dyDescent="0.4">
      <c r="M344" s="115"/>
      <c r="N344" s="115"/>
      <c r="O344" s="115"/>
      <c r="P344" s="115"/>
      <c r="Q344" s="115"/>
      <c r="R344" s="122"/>
      <c r="S344" s="122"/>
      <c r="T344" s="122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26"/>
      <c r="AJ344" s="13"/>
      <c r="AM344" s="114"/>
    </row>
    <row r="345" spans="13:39" x14ac:dyDescent="0.4">
      <c r="M345" s="115"/>
      <c r="N345" s="115"/>
      <c r="O345" s="115"/>
      <c r="P345" s="115"/>
      <c r="Q345" s="115"/>
      <c r="R345" s="122"/>
      <c r="S345" s="122"/>
      <c r="T345" s="122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26"/>
      <c r="AJ345" s="13"/>
      <c r="AM345" s="114"/>
    </row>
    <row r="346" spans="13:39" x14ac:dyDescent="0.4">
      <c r="M346" s="115"/>
      <c r="N346" s="115"/>
      <c r="O346" s="115"/>
      <c r="P346" s="115"/>
      <c r="Q346" s="115"/>
      <c r="R346" s="122"/>
      <c r="S346" s="122"/>
      <c r="T346" s="122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26"/>
      <c r="AJ346" s="13"/>
      <c r="AM346" s="114"/>
    </row>
    <row r="347" spans="13:39" x14ac:dyDescent="0.4">
      <c r="M347" s="115"/>
      <c r="N347" s="115"/>
      <c r="O347" s="115"/>
      <c r="P347" s="115"/>
      <c r="Q347" s="115"/>
      <c r="R347" s="122"/>
      <c r="S347" s="122"/>
      <c r="T347" s="122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26"/>
      <c r="AJ347" s="13"/>
      <c r="AM347" s="114"/>
    </row>
    <row r="348" spans="13:39" x14ac:dyDescent="0.4">
      <c r="M348" s="115"/>
      <c r="N348" s="115"/>
      <c r="O348" s="115"/>
      <c r="P348" s="115"/>
      <c r="Q348" s="115"/>
      <c r="R348" s="122"/>
      <c r="S348" s="122"/>
      <c r="T348" s="122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26"/>
      <c r="AJ348" s="13"/>
      <c r="AM348" s="114"/>
    </row>
    <row r="349" spans="13:39" x14ac:dyDescent="0.4">
      <c r="M349" s="115"/>
      <c r="N349" s="115"/>
      <c r="O349" s="115"/>
      <c r="P349" s="115"/>
      <c r="Q349" s="115"/>
      <c r="R349" s="122"/>
      <c r="S349" s="122"/>
      <c r="T349" s="122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26"/>
      <c r="AJ349" s="13"/>
      <c r="AM349" s="114"/>
    </row>
    <row r="350" spans="13:39" x14ac:dyDescent="0.4">
      <c r="M350" s="115"/>
      <c r="N350" s="115"/>
      <c r="O350" s="115"/>
      <c r="P350" s="115"/>
      <c r="Q350" s="115"/>
      <c r="R350" s="122"/>
      <c r="S350" s="122"/>
      <c r="T350" s="122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26"/>
      <c r="AJ350" s="13"/>
      <c r="AM350" s="114"/>
    </row>
    <row r="351" spans="13:39" x14ac:dyDescent="0.4">
      <c r="M351" s="115"/>
      <c r="N351" s="115"/>
      <c r="O351" s="115"/>
      <c r="P351" s="115"/>
      <c r="Q351" s="115"/>
      <c r="R351" s="122"/>
      <c r="S351" s="122"/>
      <c r="T351" s="122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26"/>
      <c r="AJ351" s="13"/>
      <c r="AM351" s="114"/>
    </row>
    <row r="352" spans="13:39" x14ac:dyDescent="0.4">
      <c r="M352" s="115"/>
      <c r="N352" s="115"/>
      <c r="O352" s="115"/>
      <c r="P352" s="115"/>
      <c r="Q352" s="115"/>
      <c r="R352" s="122"/>
      <c r="S352" s="122"/>
      <c r="T352" s="122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26"/>
      <c r="AJ352" s="13"/>
      <c r="AM352" s="114"/>
    </row>
    <row r="353" spans="12:39" x14ac:dyDescent="0.4">
      <c r="M353" s="115"/>
      <c r="N353" s="115"/>
      <c r="O353" s="115"/>
      <c r="P353" s="115"/>
      <c r="Q353" s="115"/>
      <c r="R353" s="122"/>
      <c r="S353" s="122"/>
      <c r="T353" s="122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26"/>
      <c r="AJ353" s="13"/>
      <c r="AM353" s="114"/>
    </row>
    <row r="354" spans="12:39" x14ac:dyDescent="0.4">
      <c r="M354" s="115"/>
      <c r="N354" s="115"/>
      <c r="O354" s="115"/>
      <c r="P354" s="115"/>
      <c r="Q354" s="115"/>
      <c r="R354" s="122"/>
      <c r="S354" s="122"/>
      <c r="T354" s="122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26"/>
      <c r="AJ354" s="13"/>
      <c r="AM354" s="114"/>
    </row>
    <row r="355" spans="12:39" x14ac:dyDescent="0.4">
      <c r="M355" s="115"/>
      <c r="N355" s="115"/>
      <c r="O355" s="115"/>
      <c r="P355" s="115"/>
      <c r="Q355" s="115"/>
      <c r="R355" s="122"/>
      <c r="S355" s="122"/>
      <c r="T355" s="122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7"/>
      <c r="AJ355" s="13"/>
      <c r="AM355" s="114"/>
    </row>
    <row r="356" spans="12:39" x14ac:dyDescent="0.4">
      <c r="M356" s="115"/>
      <c r="N356" s="115"/>
      <c r="O356" s="115"/>
      <c r="P356" s="115"/>
      <c r="Q356" s="115"/>
      <c r="R356" s="122"/>
      <c r="S356" s="122"/>
      <c r="T356" s="122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26"/>
      <c r="AJ356" s="13"/>
      <c r="AM356" s="114"/>
    </row>
    <row r="357" spans="12:39" x14ac:dyDescent="0.4">
      <c r="M357" s="115"/>
      <c r="N357" s="115"/>
      <c r="O357" s="115"/>
      <c r="P357" s="115"/>
      <c r="Q357" s="115"/>
      <c r="R357" s="122"/>
      <c r="S357" s="122"/>
      <c r="T357" s="122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26"/>
      <c r="AJ357" s="13"/>
      <c r="AM357" s="114"/>
    </row>
    <row r="358" spans="12:39" x14ac:dyDescent="0.4">
      <c r="M358" s="115"/>
      <c r="N358" s="115"/>
      <c r="O358" s="115"/>
      <c r="P358" s="115"/>
      <c r="Q358" s="115"/>
      <c r="R358" s="122"/>
      <c r="S358" s="122"/>
      <c r="T358" s="122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26"/>
      <c r="AJ358" s="13"/>
      <c r="AM358" s="114"/>
    </row>
    <row r="359" spans="12:39" x14ac:dyDescent="0.4">
      <c r="M359" s="115"/>
      <c r="N359" s="115"/>
      <c r="O359" s="115"/>
      <c r="P359" s="115"/>
      <c r="Q359" s="115"/>
      <c r="R359" s="122"/>
      <c r="S359" s="122"/>
      <c r="T359" s="122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7"/>
      <c r="AJ359" s="13"/>
      <c r="AM359" s="114"/>
    </row>
    <row r="360" spans="12:39" x14ac:dyDescent="0.4">
      <c r="M360" s="115"/>
      <c r="N360" s="115"/>
      <c r="O360" s="115"/>
      <c r="P360" s="115"/>
      <c r="Q360" s="115"/>
      <c r="R360" s="122"/>
      <c r="S360" s="122"/>
      <c r="T360" s="122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26"/>
      <c r="AJ360" s="13"/>
      <c r="AM360" s="114"/>
    </row>
    <row r="361" spans="12:39" x14ac:dyDescent="0.4">
      <c r="M361" s="115"/>
      <c r="N361" s="115"/>
      <c r="O361" s="115"/>
      <c r="P361" s="115"/>
      <c r="Q361" s="115"/>
      <c r="R361" s="122"/>
      <c r="S361" s="122"/>
      <c r="T361" s="122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7"/>
      <c r="AJ361" s="13"/>
      <c r="AM361" s="114"/>
    </row>
    <row r="362" spans="12:39" x14ac:dyDescent="0.4">
      <c r="M362" s="115"/>
      <c r="N362" s="115"/>
      <c r="O362" s="115"/>
      <c r="P362" s="115"/>
      <c r="Q362" s="115"/>
      <c r="R362" s="122"/>
      <c r="S362" s="122"/>
      <c r="T362" s="122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26"/>
      <c r="AJ362" s="13"/>
      <c r="AM362" s="114"/>
    </row>
    <row r="363" spans="12:39" x14ac:dyDescent="0.4">
      <c r="M363" s="115"/>
      <c r="N363" s="115"/>
      <c r="O363" s="115"/>
      <c r="P363" s="115"/>
      <c r="Q363" s="115"/>
      <c r="R363" s="122"/>
      <c r="S363" s="122"/>
      <c r="T363" s="122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26"/>
      <c r="AJ363" s="15"/>
      <c r="AM363" s="114"/>
    </row>
    <row r="364" spans="12:39" x14ac:dyDescent="0.4">
      <c r="M364" s="115"/>
      <c r="N364" s="115"/>
      <c r="O364" s="115"/>
      <c r="P364" s="115"/>
      <c r="Q364" s="115"/>
      <c r="R364" s="122"/>
      <c r="S364" s="122"/>
      <c r="T364" s="122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7"/>
      <c r="AJ364" s="15"/>
      <c r="AM364" s="114"/>
    </row>
    <row r="365" spans="12:39" x14ac:dyDescent="0.4">
      <c r="M365" s="115"/>
      <c r="N365" s="115"/>
      <c r="O365" s="115"/>
      <c r="P365" s="115"/>
      <c r="Q365" s="115"/>
      <c r="R365" s="122"/>
      <c r="S365" s="122"/>
      <c r="T365" s="122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7"/>
      <c r="AJ365" s="15"/>
      <c r="AM365" s="114"/>
    </row>
    <row r="366" spans="12:39" x14ac:dyDescent="0.4">
      <c r="L366" s="115"/>
      <c r="M366" s="115"/>
      <c r="N366" s="115"/>
      <c r="O366" s="115"/>
      <c r="P366" s="115"/>
      <c r="Q366" s="115"/>
      <c r="R366" s="122"/>
      <c r="S366" s="122"/>
      <c r="T366" s="122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26"/>
      <c r="AJ366" s="15"/>
      <c r="AM366" s="114"/>
    </row>
    <row r="367" spans="12:39" x14ac:dyDescent="0.4">
      <c r="L367" s="115"/>
      <c r="M367" s="115"/>
      <c r="N367" s="115"/>
      <c r="O367" s="115"/>
      <c r="P367" s="115"/>
      <c r="Q367" s="115"/>
      <c r="R367" s="122"/>
      <c r="S367" s="122"/>
      <c r="T367" s="122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7"/>
      <c r="AJ367" s="15"/>
      <c r="AM367" s="114"/>
    </row>
    <row r="368" spans="12:39" x14ac:dyDescent="0.4">
      <c r="L368" s="115"/>
      <c r="M368" s="115"/>
      <c r="N368" s="115"/>
      <c r="O368" s="115"/>
      <c r="P368" s="115"/>
      <c r="Q368" s="115"/>
      <c r="R368" s="122"/>
      <c r="S368" s="122"/>
      <c r="T368" s="122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26"/>
      <c r="AJ368" s="15"/>
      <c r="AM368" s="114"/>
    </row>
    <row r="369" spans="12:39" x14ac:dyDescent="0.4">
      <c r="L369" s="115"/>
      <c r="M369" s="115"/>
      <c r="N369" s="115"/>
      <c r="O369" s="115"/>
      <c r="P369" s="115"/>
      <c r="Q369" s="115"/>
      <c r="R369" s="122"/>
      <c r="S369" s="122"/>
      <c r="T369" s="122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26"/>
      <c r="AJ369" s="15"/>
      <c r="AM369" s="114"/>
    </row>
    <row r="370" spans="12:39" x14ac:dyDescent="0.4">
      <c r="L370" s="115"/>
      <c r="M370" s="115"/>
      <c r="N370" s="115"/>
      <c r="O370" s="115"/>
      <c r="P370" s="115"/>
      <c r="Q370" s="115"/>
      <c r="R370" s="122"/>
      <c r="S370" s="122"/>
      <c r="T370" s="122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7"/>
      <c r="AJ370" s="15"/>
      <c r="AM370" s="114"/>
    </row>
    <row r="371" spans="12:39" x14ac:dyDescent="0.4">
      <c r="L371" s="115"/>
      <c r="M371" s="115"/>
      <c r="N371" s="115"/>
      <c r="O371" s="115"/>
      <c r="P371" s="115"/>
      <c r="Q371" s="115"/>
      <c r="R371" s="122"/>
      <c r="S371" s="122"/>
      <c r="T371" s="122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26"/>
      <c r="AJ371" s="15"/>
      <c r="AM371" s="114"/>
    </row>
    <row r="372" spans="12:39" x14ac:dyDescent="0.4">
      <c r="L372" s="115"/>
      <c r="M372" s="115"/>
      <c r="N372" s="115"/>
      <c r="O372" s="115"/>
      <c r="P372" s="115"/>
      <c r="Q372" s="115"/>
      <c r="R372" s="122"/>
      <c r="S372" s="122"/>
      <c r="T372" s="122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7"/>
      <c r="AJ372" s="15"/>
      <c r="AM372" s="114"/>
    </row>
    <row r="373" spans="12:39" x14ac:dyDescent="0.4">
      <c r="L373" s="115"/>
      <c r="M373" s="115"/>
      <c r="N373" s="115"/>
      <c r="O373" s="115"/>
      <c r="P373" s="115"/>
      <c r="Q373" s="115"/>
      <c r="R373" s="122"/>
      <c r="S373" s="122"/>
      <c r="T373" s="122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7"/>
      <c r="AJ373" s="15"/>
      <c r="AM373" s="114"/>
    </row>
    <row r="374" spans="12:39" x14ac:dyDescent="0.4">
      <c r="L374" s="115"/>
      <c r="M374" s="115"/>
      <c r="N374" s="115"/>
      <c r="O374" s="115"/>
      <c r="P374" s="115"/>
      <c r="Q374" s="115"/>
      <c r="R374" s="122"/>
      <c r="S374" s="122"/>
      <c r="T374" s="122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26"/>
      <c r="AJ374" s="15"/>
      <c r="AM374" s="114"/>
    </row>
    <row r="375" spans="12:39" x14ac:dyDescent="0.4">
      <c r="L375" s="115"/>
      <c r="M375" s="115"/>
      <c r="N375" s="115"/>
      <c r="O375" s="115"/>
      <c r="P375" s="115"/>
      <c r="Q375" s="115"/>
      <c r="R375" s="122"/>
      <c r="S375" s="122"/>
      <c r="T375" s="122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26"/>
      <c r="AJ375" s="15"/>
      <c r="AM375" s="114"/>
    </row>
    <row r="376" spans="12:39" x14ac:dyDescent="0.4">
      <c r="L376" s="115"/>
      <c r="M376" s="115"/>
      <c r="N376" s="115"/>
      <c r="O376" s="115"/>
      <c r="P376" s="115"/>
      <c r="Q376" s="115"/>
      <c r="R376" s="122"/>
      <c r="S376" s="122"/>
      <c r="T376" s="122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26"/>
      <c r="AJ376" s="15"/>
      <c r="AM376" s="114"/>
    </row>
    <row r="377" spans="12:39" x14ac:dyDescent="0.4">
      <c r="L377" s="115"/>
      <c r="M377" s="115"/>
      <c r="N377" s="115"/>
      <c r="O377" s="115"/>
      <c r="P377" s="115"/>
      <c r="Q377" s="115"/>
      <c r="R377" s="122"/>
      <c r="S377" s="122"/>
      <c r="T377" s="122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26"/>
      <c r="AJ377" s="15"/>
      <c r="AM377" s="114"/>
    </row>
    <row r="378" spans="12:39" x14ac:dyDescent="0.4">
      <c r="L378" s="115"/>
      <c r="M378" s="115"/>
      <c r="N378" s="115"/>
      <c r="O378" s="115"/>
      <c r="P378" s="115"/>
      <c r="Q378" s="115"/>
      <c r="R378" s="122"/>
      <c r="S378" s="122"/>
      <c r="T378" s="122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26"/>
      <c r="AJ378" s="15"/>
      <c r="AM378" s="114"/>
    </row>
    <row r="379" spans="12:39" x14ac:dyDescent="0.4">
      <c r="L379" s="115"/>
      <c r="M379" s="115"/>
      <c r="N379" s="115"/>
      <c r="O379" s="115"/>
      <c r="P379" s="115"/>
      <c r="Q379" s="115"/>
      <c r="R379" s="122"/>
      <c r="S379" s="122"/>
      <c r="T379" s="122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26"/>
      <c r="AJ379" s="15"/>
      <c r="AM379" s="114"/>
    </row>
    <row r="380" spans="12:39" x14ac:dyDescent="0.4">
      <c r="L380" s="115"/>
      <c r="M380" s="115"/>
      <c r="N380" s="115"/>
      <c r="O380" s="115"/>
      <c r="P380" s="115"/>
      <c r="Q380" s="115"/>
      <c r="R380" s="122"/>
      <c r="S380" s="122"/>
      <c r="T380" s="122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26"/>
      <c r="AJ380" s="15"/>
      <c r="AM380" s="114"/>
    </row>
    <row r="381" spans="12:39" x14ac:dyDescent="0.4">
      <c r="L381" s="115"/>
      <c r="M381" s="115"/>
      <c r="N381" s="115"/>
      <c r="O381" s="115"/>
      <c r="P381" s="115"/>
      <c r="Q381" s="115"/>
      <c r="R381" s="122"/>
      <c r="S381" s="122"/>
      <c r="T381" s="122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7"/>
      <c r="AJ381" s="15"/>
      <c r="AM381" s="114"/>
    </row>
    <row r="382" spans="12:39" x14ac:dyDescent="0.4">
      <c r="L382" s="115"/>
      <c r="M382" s="115"/>
      <c r="N382" s="115"/>
      <c r="O382" s="115"/>
      <c r="P382" s="115"/>
      <c r="Q382" s="115"/>
      <c r="R382" s="122"/>
      <c r="S382" s="122"/>
      <c r="T382" s="122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26"/>
      <c r="AJ382" s="15"/>
      <c r="AM382" s="114"/>
    </row>
    <row r="383" spans="12:39" x14ac:dyDescent="0.4">
      <c r="L383" s="115"/>
      <c r="M383" s="115"/>
      <c r="N383" s="115"/>
      <c r="O383" s="115"/>
      <c r="P383" s="115"/>
      <c r="Q383" s="115"/>
      <c r="R383" s="122"/>
      <c r="S383" s="122"/>
      <c r="T383" s="122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26"/>
      <c r="AJ383" s="15"/>
      <c r="AM383" s="114"/>
    </row>
    <row r="384" spans="12:39" x14ac:dyDescent="0.4">
      <c r="L384" s="115"/>
      <c r="M384" s="115"/>
      <c r="N384" s="115"/>
      <c r="O384" s="115"/>
      <c r="P384" s="115"/>
      <c r="Q384" s="115"/>
      <c r="R384" s="122"/>
      <c r="S384" s="122"/>
      <c r="T384" s="122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26"/>
      <c r="AJ384" s="15"/>
      <c r="AM384" s="114"/>
    </row>
    <row r="385" spans="5:39" x14ac:dyDescent="0.4">
      <c r="L385" s="115"/>
      <c r="M385" s="115"/>
      <c r="N385" s="115"/>
      <c r="O385" s="115"/>
      <c r="P385" s="115"/>
      <c r="Q385" s="115"/>
      <c r="R385" s="122"/>
      <c r="S385" s="122"/>
      <c r="T385" s="122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26"/>
      <c r="AJ385" s="13"/>
      <c r="AM385" s="114"/>
    </row>
    <row r="386" spans="5:39" x14ac:dyDescent="0.4">
      <c r="L386" s="115"/>
      <c r="M386" s="115"/>
      <c r="N386" s="115"/>
      <c r="O386" s="115"/>
      <c r="P386" s="115"/>
      <c r="Q386" s="115"/>
      <c r="R386" s="122"/>
      <c r="S386" s="122"/>
      <c r="T386" s="122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7"/>
      <c r="AJ386" s="13"/>
      <c r="AM386" s="114"/>
    </row>
    <row r="387" spans="5:39" x14ac:dyDescent="0.4">
      <c r="L387" s="115"/>
      <c r="M387" s="115"/>
      <c r="N387" s="115"/>
      <c r="O387" s="115"/>
      <c r="P387" s="115"/>
      <c r="Q387" s="115"/>
      <c r="R387" s="122"/>
      <c r="S387" s="122"/>
      <c r="T387" s="122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26"/>
      <c r="AJ387" s="13"/>
      <c r="AM387" s="114"/>
    </row>
    <row r="388" spans="5:39" x14ac:dyDescent="0.4">
      <c r="L388" s="115"/>
      <c r="M388" s="115"/>
      <c r="N388" s="115"/>
      <c r="O388" s="115"/>
      <c r="P388" s="115"/>
      <c r="Q388" s="115"/>
      <c r="R388" s="122"/>
      <c r="S388" s="122"/>
      <c r="T388" s="122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26"/>
      <c r="AJ388" s="13"/>
      <c r="AM388" s="114"/>
    </row>
    <row r="389" spans="5:39" x14ac:dyDescent="0.4">
      <c r="L389" s="115"/>
      <c r="M389" s="115"/>
      <c r="N389" s="115"/>
      <c r="O389" s="115"/>
      <c r="P389" s="115"/>
      <c r="Q389" s="115"/>
      <c r="R389" s="122"/>
      <c r="S389" s="122"/>
      <c r="T389" s="122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26"/>
      <c r="AJ389" s="13"/>
      <c r="AM389" s="114"/>
    </row>
    <row r="390" spans="5:39" x14ac:dyDescent="0.4">
      <c r="L390" s="115"/>
      <c r="M390" s="115"/>
      <c r="N390" s="115"/>
      <c r="O390" s="115"/>
      <c r="P390" s="115"/>
      <c r="Q390" s="115"/>
      <c r="R390" s="122"/>
      <c r="S390" s="122"/>
      <c r="T390" s="122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26"/>
      <c r="AJ390" s="13"/>
      <c r="AM390" s="114"/>
    </row>
    <row r="391" spans="5:39" x14ac:dyDescent="0.4">
      <c r="L391" s="115"/>
      <c r="M391" s="115"/>
      <c r="N391" s="115"/>
      <c r="O391" s="115"/>
      <c r="P391" s="115"/>
      <c r="Q391" s="115"/>
      <c r="R391" s="122"/>
      <c r="S391" s="122"/>
      <c r="T391" s="122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26"/>
      <c r="AJ391" s="13"/>
      <c r="AM391" s="114"/>
    </row>
    <row r="392" spans="5:39" x14ac:dyDescent="0.4">
      <c r="L392" s="115"/>
      <c r="M392" s="115"/>
      <c r="N392" s="115"/>
      <c r="O392" s="115"/>
      <c r="P392" s="115"/>
      <c r="Q392" s="115"/>
      <c r="R392" s="122"/>
      <c r="S392" s="122"/>
      <c r="T392" s="122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26"/>
      <c r="AJ392" s="13"/>
      <c r="AM392" s="114"/>
    </row>
    <row r="393" spans="5:39" x14ac:dyDescent="0.4">
      <c r="L393" s="115"/>
      <c r="M393" s="115"/>
      <c r="N393" s="115"/>
      <c r="O393" s="115"/>
      <c r="P393" s="115"/>
      <c r="Q393" s="115"/>
      <c r="R393" s="122"/>
      <c r="S393" s="122"/>
      <c r="T393" s="122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7"/>
      <c r="AJ393" s="13"/>
      <c r="AM393" s="114"/>
    </row>
    <row r="394" spans="5:39" x14ac:dyDescent="0.4">
      <c r="L394" s="115"/>
      <c r="M394" s="115"/>
      <c r="N394" s="115"/>
      <c r="O394" s="115"/>
      <c r="P394" s="115"/>
      <c r="Q394" s="115"/>
      <c r="R394" s="122"/>
      <c r="S394" s="122"/>
      <c r="T394" s="122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26"/>
      <c r="AJ394" s="13"/>
      <c r="AM394" s="114"/>
    </row>
    <row r="395" spans="5:39" x14ac:dyDescent="0.4">
      <c r="L395" s="115"/>
      <c r="M395" s="115"/>
      <c r="N395" s="115"/>
      <c r="O395" s="115"/>
      <c r="P395" s="115"/>
      <c r="Q395" s="115"/>
      <c r="R395" s="122"/>
      <c r="S395" s="122"/>
      <c r="T395" s="122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26"/>
      <c r="AJ395" s="13"/>
      <c r="AM395" s="114"/>
    </row>
    <row r="396" spans="5:39" x14ac:dyDescent="0.4"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22"/>
      <c r="S396" s="122"/>
      <c r="T396" s="122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26"/>
      <c r="AJ396" s="13"/>
      <c r="AM396" s="114"/>
    </row>
    <row r="397" spans="5:39" x14ac:dyDescent="0.4"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22"/>
      <c r="S397" s="122"/>
      <c r="T397" s="122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26"/>
      <c r="AJ397" s="13"/>
      <c r="AM397" s="114"/>
    </row>
    <row r="398" spans="5:39" x14ac:dyDescent="0.4"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22"/>
      <c r="S398" s="122"/>
      <c r="T398" s="122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26"/>
      <c r="AJ398" s="13"/>
      <c r="AM398" s="114"/>
    </row>
    <row r="399" spans="5:39" x14ac:dyDescent="0.4"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22"/>
      <c r="S399" s="122"/>
      <c r="T399" s="122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26"/>
      <c r="AJ399" s="13"/>
      <c r="AM399" s="114"/>
    </row>
    <row r="400" spans="5:39" x14ac:dyDescent="0.4"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22"/>
      <c r="S400" s="122"/>
      <c r="T400" s="122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26"/>
      <c r="AJ400" s="13"/>
      <c r="AM400" s="114"/>
    </row>
    <row r="401" spans="4:39" x14ac:dyDescent="0.4"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22"/>
      <c r="S401" s="122"/>
      <c r="T401" s="122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26"/>
      <c r="AJ401" s="13"/>
      <c r="AM401" s="114"/>
    </row>
    <row r="402" spans="4:39" x14ac:dyDescent="0.4"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22"/>
      <c r="S402" s="122"/>
      <c r="T402" s="122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26"/>
      <c r="AJ402" s="13"/>
      <c r="AM402" s="114"/>
    </row>
    <row r="403" spans="4:39" x14ac:dyDescent="0.4"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22"/>
      <c r="S403" s="122"/>
      <c r="T403" s="122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26"/>
      <c r="AJ403" s="13"/>
      <c r="AM403" s="114"/>
    </row>
    <row r="404" spans="4:39" x14ac:dyDescent="0.4"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22"/>
      <c r="S404" s="122"/>
      <c r="T404" s="122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26"/>
      <c r="AJ404" s="13"/>
      <c r="AM404" s="114"/>
    </row>
    <row r="405" spans="4:39" x14ac:dyDescent="0.4"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22"/>
      <c r="S405" s="122"/>
      <c r="T405" s="122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26"/>
      <c r="AJ405" s="13"/>
      <c r="AM405" s="114"/>
    </row>
    <row r="406" spans="4:39" x14ac:dyDescent="0.4"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22"/>
      <c r="S406" s="122"/>
      <c r="T406" s="122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26"/>
      <c r="AJ406" s="13"/>
      <c r="AM406" s="114"/>
    </row>
    <row r="407" spans="4:39" x14ac:dyDescent="0.4"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22"/>
      <c r="S407" s="122"/>
      <c r="T407" s="122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26"/>
      <c r="AJ407" s="13"/>
      <c r="AM407" s="114"/>
    </row>
    <row r="408" spans="4:39" x14ac:dyDescent="0.4"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22"/>
      <c r="S408" s="122"/>
      <c r="T408" s="122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26"/>
      <c r="AJ408" s="13"/>
      <c r="AM408" s="114"/>
    </row>
    <row r="409" spans="4:39" x14ac:dyDescent="0.4"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22"/>
      <c r="S409" s="122"/>
      <c r="T409" s="122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26"/>
      <c r="AJ409" s="13"/>
      <c r="AM409" s="114"/>
    </row>
    <row r="410" spans="4:39" x14ac:dyDescent="0.4"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22"/>
      <c r="S410" s="122"/>
      <c r="T410" s="122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26"/>
      <c r="AJ410" s="13"/>
      <c r="AM410" s="114"/>
    </row>
    <row r="411" spans="4:39" x14ac:dyDescent="0.4"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22"/>
      <c r="S411" s="122"/>
      <c r="T411" s="122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26"/>
      <c r="AJ411" s="13"/>
      <c r="AM411" s="114"/>
    </row>
    <row r="412" spans="4:39" x14ac:dyDescent="0.4"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22"/>
      <c r="S412" s="122"/>
      <c r="T412" s="122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7"/>
      <c r="AJ412" s="13"/>
      <c r="AM412" s="114"/>
    </row>
    <row r="413" spans="4:39" x14ac:dyDescent="0.4"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22"/>
      <c r="S413" s="122"/>
      <c r="T413" s="122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26"/>
      <c r="AJ413" s="13"/>
      <c r="AM413" s="114"/>
    </row>
    <row r="414" spans="4:39" x14ac:dyDescent="0.4"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22"/>
      <c r="S414" s="122"/>
      <c r="T414" s="122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26"/>
      <c r="AJ414" s="13"/>
      <c r="AM414" s="114"/>
    </row>
    <row r="415" spans="4:39" x14ac:dyDescent="0.4"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22"/>
      <c r="S415" s="122"/>
      <c r="T415" s="122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26"/>
      <c r="AJ415" s="13"/>
      <c r="AM415" s="114"/>
    </row>
    <row r="416" spans="4:39" x14ac:dyDescent="0.4"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22"/>
      <c r="S416" s="122"/>
      <c r="T416" s="122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26"/>
      <c r="AJ416" s="15"/>
      <c r="AM416" s="114"/>
    </row>
    <row r="417" spans="3:39" x14ac:dyDescent="0.4"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22"/>
      <c r="S417" s="122"/>
      <c r="T417" s="122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26"/>
      <c r="AJ417" s="15"/>
      <c r="AM417" s="114"/>
    </row>
    <row r="418" spans="3:39" x14ac:dyDescent="0.4"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22"/>
      <c r="S418" s="122"/>
      <c r="T418" s="122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26"/>
      <c r="AJ418" s="15"/>
      <c r="AM418" s="114"/>
    </row>
    <row r="419" spans="3:39" x14ac:dyDescent="0.4"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22"/>
      <c r="S419" s="122"/>
      <c r="T419" s="122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26"/>
      <c r="AJ419" s="13"/>
      <c r="AM419" s="114"/>
    </row>
    <row r="420" spans="3:39" x14ac:dyDescent="0.4"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22"/>
      <c r="S420" s="122"/>
      <c r="T420" s="122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26"/>
      <c r="AJ420" s="13"/>
      <c r="AM420" s="114"/>
    </row>
    <row r="421" spans="3:39" x14ac:dyDescent="0.4"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22"/>
      <c r="S421" s="122"/>
      <c r="T421" s="122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26"/>
      <c r="AJ421" s="13"/>
      <c r="AM421" s="114"/>
    </row>
    <row r="422" spans="3:39" x14ac:dyDescent="0.4"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22"/>
      <c r="S422" s="122"/>
      <c r="T422" s="122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7"/>
      <c r="AJ422" s="13"/>
      <c r="AM422" s="114"/>
    </row>
    <row r="423" spans="3:39" x14ac:dyDescent="0.4"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22"/>
      <c r="S423" s="122"/>
      <c r="T423" s="122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26"/>
      <c r="AJ423" s="13"/>
      <c r="AM423" s="114"/>
    </row>
    <row r="424" spans="3:39" x14ac:dyDescent="0.4"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22"/>
      <c r="S424" s="122"/>
      <c r="T424" s="122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26"/>
      <c r="AJ424" s="25"/>
      <c r="AM424" s="114"/>
    </row>
    <row r="425" spans="3:39" x14ac:dyDescent="0.4"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22"/>
      <c r="S425" s="122"/>
      <c r="T425" s="122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26"/>
      <c r="AJ425" s="13"/>
      <c r="AM425" s="114"/>
    </row>
    <row r="426" spans="3:39" x14ac:dyDescent="0.4"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22"/>
      <c r="S426" s="122"/>
      <c r="T426" s="122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26"/>
      <c r="AJ426" s="13"/>
      <c r="AM426" s="114"/>
    </row>
    <row r="427" spans="3:39" x14ac:dyDescent="0.4"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22"/>
      <c r="S427" s="122"/>
      <c r="T427" s="122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26"/>
      <c r="AJ427" s="13"/>
      <c r="AM427" s="114"/>
    </row>
    <row r="428" spans="3:39" x14ac:dyDescent="0.4"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22"/>
      <c r="S428" s="122"/>
      <c r="T428" s="122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26"/>
      <c r="AJ428" s="13"/>
      <c r="AM428" s="114"/>
    </row>
    <row r="429" spans="3:39" x14ac:dyDescent="0.4"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22"/>
      <c r="S429" s="122"/>
      <c r="T429" s="122"/>
      <c r="U429" s="115"/>
      <c r="V429" s="115"/>
      <c r="W429" s="115"/>
      <c r="X429" s="115"/>
      <c r="AI429" s="26"/>
      <c r="AJ429" s="13"/>
      <c r="AM429" s="114"/>
    </row>
    <row r="430" spans="3:39" x14ac:dyDescent="0.4"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22"/>
      <c r="S430" s="122"/>
      <c r="T430" s="122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26"/>
      <c r="AJ430" s="13"/>
      <c r="AM430" s="114"/>
    </row>
    <row r="431" spans="3:39" x14ac:dyDescent="0.4"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22"/>
      <c r="S431" s="122"/>
      <c r="T431" s="122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7"/>
      <c r="AJ431" s="13"/>
      <c r="AM431" s="114"/>
    </row>
    <row r="432" spans="3:39" x14ac:dyDescent="0.4"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22"/>
      <c r="S432" s="122"/>
      <c r="T432" s="122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26"/>
      <c r="AJ432" s="13"/>
      <c r="AM432" s="114"/>
    </row>
    <row r="433" spans="1:39" x14ac:dyDescent="0.4"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22"/>
      <c r="S433" s="122"/>
      <c r="T433" s="122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26"/>
      <c r="AJ433" s="15"/>
      <c r="AM433" s="114"/>
    </row>
    <row r="434" spans="1:39" x14ac:dyDescent="0.4"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22"/>
      <c r="S434" s="122"/>
      <c r="T434" s="122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7"/>
      <c r="AJ434" s="15"/>
      <c r="AM434" s="114"/>
    </row>
    <row r="435" spans="1:39" x14ac:dyDescent="0.4"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22"/>
      <c r="S435" s="122"/>
      <c r="T435" s="122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26"/>
      <c r="AJ435" s="15"/>
      <c r="AM435" s="114"/>
    </row>
    <row r="436" spans="1:39" x14ac:dyDescent="0.4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22"/>
      <c r="S436" s="122"/>
      <c r="T436" s="122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26"/>
      <c r="AJ436" s="15"/>
      <c r="AM436" s="114"/>
    </row>
    <row r="437" spans="1:39" x14ac:dyDescent="0.4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22"/>
      <c r="S437" s="122"/>
      <c r="T437" s="122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7"/>
      <c r="AJ437" s="13"/>
      <c r="AM437" s="114"/>
    </row>
    <row r="438" spans="1:39" x14ac:dyDescent="0.4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22"/>
      <c r="S438" s="122"/>
      <c r="T438" s="122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7"/>
      <c r="AJ438" s="13"/>
      <c r="AM438" s="114"/>
    </row>
    <row r="439" spans="1:39" x14ac:dyDescent="0.4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22"/>
      <c r="S439" s="122"/>
      <c r="T439" s="122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26"/>
      <c r="AJ439" s="13"/>
      <c r="AM439" s="114"/>
    </row>
    <row r="440" spans="1:39" x14ac:dyDescent="0.4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22"/>
      <c r="S440" s="122"/>
      <c r="T440" s="122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26"/>
      <c r="AJ440" s="13"/>
      <c r="AM440" s="114"/>
    </row>
    <row r="441" spans="1:39" x14ac:dyDescent="0.4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22"/>
      <c r="S441" s="122"/>
      <c r="T441" s="122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7"/>
      <c r="AJ441" s="13"/>
      <c r="AM441" s="114"/>
    </row>
    <row r="442" spans="1:39" x14ac:dyDescent="0.4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22"/>
      <c r="S442" s="122"/>
      <c r="T442" s="122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26"/>
      <c r="AJ442" s="15"/>
      <c r="AM442" s="114"/>
    </row>
    <row r="443" spans="1:39" x14ac:dyDescent="0.4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22"/>
      <c r="S443" s="122"/>
      <c r="T443" s="122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26"/>
      <c r="AJ443" s="15"/>
      <c r="AM443" s="114"/>
    </row>
    <row r="444" spans="1:39" x14ac:dyDescent="0.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22"/>
      <c r="S444" s="122"/>
      <c r="T444" s="122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26"/>
      <c r="AJ444" s="15"/>
      <c r="AM444" s="114"/>
    </row>
    <row r="445" spans="1:39" x14ac:dyDescent="0.4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22"/>
      <c r="S445" s="122"/>
      <c r="T445" s="122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26"/>
      <c r="AJ445" s="13"/>
      <c r="AM445" s="114"/>
    </row>
    <row r="446" spans="1:39" x14ac:dyDescent="0.4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22"/>
      <c r="S446" s="122"/>
      <c r="T446" s="122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26"/>
      <c r="AJ446" s="25"/>
      <c r="AM446" s="114"/>
    </row>
    <row r="447" spans="1:39" x14ac:dyDescent="0.4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22"/>
      <c r="S447" s="122"/>
      <c r="T447" s="122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26"/>
      <c r="AJ447" s="13"/>
      <c r="AM447" s="114"/>
    </row>
    <row r="448" spans="1:39" x14ac:dyDescent="0.4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22"/>
      <c r="S448" s="122"/>
      <c r="T448" s="122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26"/>
      <c r="AJ448" s="13"/>
      <c r="AM448" s="114"/>
    </row>
    <row r="449" spans="1:39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22"/>
      <c r="S449" s="122"/>
      <c r="T449" s="122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26"/>
      <c r="AJ449" s="13"/>
      <c r="AM449" s="114"/>
    </row>
    <row r="450" spans="1:39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22"/>
      <c r="S450" s="122"/>
      <c r="T450" s="122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26"/>
      <c r="AJ450" s="13"/>
      <c r="AM450" s="114"/>
    </row>
    <row r="451" spans="1:39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22"/>
      <c r="S451" s="122"/>
      <c r="T451" s="122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26"/>
      <c r="AJ451" s="13"/>
      <c r="AM451" s="114"/>
    </row>
    <row r="452" spans="1:39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22"/>
      <c r="S452" s="122"/>
      <c r="T452" s="122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26"/>
      <c r="AJ452" s="13"/>
      <c r="AM452" s="114"/>
    </row>
    <row r="453" spans="1:39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22"/>
      <c r="S453" s="122"/>
      <c r="T453" s="122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26"/>
      <c r="AJ453" s="13"/>
      <c r="AM453" s="114"/>
    </row>
    <row r="454" spans="1:39" x14ac:dyDescent="0.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22"/>
      <c r="S454" s="122"/>
      <c r="T454" s="122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26"/>
      <c r="AJ454" s="13"/>
      <c r="AM454" s="114"/>
    </row>
    <row r="455" spans="1:39" x14ac:dyDescent="0.4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22"/>
      <c r="S455" s="122"/>
      <c r="T455" s="122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26"/>
      <c r="AJ455" s="13"/>
      <c r="AM455" s="114"/>
    </row>
    <row r="456" spans="1:39" x14ac:dyDescent="0.4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22"/>
      <c r="S456" s="122"/>
      <c r="T456" s="122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26"/>
      <c r="AJ456" s="13"/>
      <c r="AM456" s="114"/>
    </row>
    <row r="457" spans="1:39" x14ac:dyDescent="0.4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22"/>
      <c r="S457" s="122"/>
      <c r="T457" s="122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26"/>
      <c r="AJ457" s="15"/>
      <c r="AM457" s="114"/>
    </row>
    <row r="458" spans="1:39" x14ac:dyDescent="0.4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22"/>
      <c r="S458" s="122"/>
      <c r="T458" s="122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26"/>
      <c r="AJ458" s="15"/>
      <c r="AM458" s="114"/>
    </row>
    <row r="459" spans="1:39" x14ac:dyDescent="0.4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22"/>
      <c r="S459" s="122"/>
      <c r="T459" s="122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26"/>
      <c r="AJ459" s="15"/>
      <c r="AM459" s="114"/>
    </row>
    <row r="460" spans="1:39" x14ac:dyDescent="0.4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22"/>
      <c r="S460" s="122"/>
      <c r="T460" s="122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26"/>
      <c r="AJ460" s="15"/>
      <c r="AM460" s="114"/>
    </row>
    <row r="461" spans="1:39" x14ac:dyDescent="0.4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22"/>
      <c r="S461" s="122"/>
      <c r="T461" s="122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26"/>
      <c r="AJ461" s="13"/>
      <c r="AM461" s="114"/>
    </row>
    <row r="462" spans="1:39" x14ac:dyDescent="0.4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22"/>
      <c r="S462" s="122"/>
      <c r="T462" s="122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26"/>
      <c r="AJ462" s="15"/>
      <c r="AM462" s="114"/>
    </row>
    <row r="463" spans="1:39" x14ac:dyDescent="0.4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22"/>
      <c r="S463" s="122"/>
      <c r="T463" s="122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26"/>
      <c r="AJ463" s="15"/>
      <c r="AM463" s="114"/>
    </row>
    <row r="464" spans="1:39" x14ac:dyDescent="0.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22"/>
      <c r="S464" s="122"/>
      <c r="T464" s="122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26"/>
      <c r="AJ464" s="15"/>
      <c r="AM464" s="114"/>
    </row>
    <row r="465" spans="1:39" x14ac:dyDescent="0.4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22"/>
      <c r="S465" s="122"/>
      <c r="T465" s="122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26"/>
      <c r="AJ465" s="15"/>
      <c r="AM465" s="114"/>
    </row>
    <row r="466" spans="1:39" x14ac:dyDescent="0.4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22"/>
      <c r="S466" s="122"/>
      <c r="T466" s="122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26"/>
      <c r="AJ466" s="15"/>
      <c r="AM466" s="114"/>
    </row>
    <row r="467" spans="1:39" x14ac:dyDescent="0.4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22"/>
      <c r="S467" s="122"/>
      <c r="T467" s="122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26"/>
      <c r="AJ467" s="105"/>
      <c r="AM467" s="114"/>
    </row>
    <row r="468" spans="1:39" x14ac:dyDescent="0.4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22"/>
      <c r="S468" s="122"/>
      <c r="T468" s="122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7"/>
      <c r="AJ468" s="15"/>
      <c r="AM468" s="114"/>
    </row>
    <row r="469" spans="1:39" x14ac:dyDescent="0.4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22"/>
      <c r="S469" s="122"/>
      <c r="T469" s="122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26"/>
      <c r="AJ469" s="15"/>
      <c r="AM469" s="114"/>
    </row>
    <row r="470" spans="1:39" x14ac:dyDescent="0.4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22"/>
      <c r="S470" s="122"/>
      <c r="T470" s="122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26"/>
      <c r="AJ470" s="15"/>
      <c r="AM470" s="114"/>
    </row>
    <row r="471" spans="1:39" x14ac:dyDescent="0.4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22"/>
      <c r="S471" s="122"/>
      <c r="T471" s="122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26"/>
      <c r="AJ471" s="105"/>
      <c r="AM471" s="114"/>
    </row>
    <row r="472" spans="1:39" x14ac:dyDescent="0.4">
      <c r="AI472" s="26"/>
      <c r="AJ472" s="15"/>
      <c r="AM472" s="114"/>
    </row>
    <row r="473" spans="1:39" x14ac:dyDescent="0.4">
      <c r="S473" s="122"/>
      <c r="T473" s="122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26"/>
      <c r="AJ473" s="15"/>
      <c r="AM473" s="114"/>
    </row>
    <row r="474" spans="1:39" x14ac:dyDescent="0.4">
      <c r="O474" s="115"/>
      <c r="P474" s="115"/>
      <c r="Q474" s="115"/>
      <c r="R474" s="122"/>
      <c r="S474" s="122"/>
      <c r="T474" s="122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26"/>
      <c r="AJ474" s="15"/>
      <c r="AM474" s="114"/>
    </row>
    <row r="475" spans="1:39" x14ac:dyDescent="0.4"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22"/>
      <c r="S475" s="122"/>
      <c r="T475" s="122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26"/>
      <c r="AJ475" s="15"/>
      <c r="AM475" s="114"/>
    </row>
    <row r="476" spans="1:39" x14ac:dyDescent="0.4"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22"/>
      <c r="S476" s="122"/>
      <c r="T476" s="122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7"/>
      <c r="AJ476" s="15"/>
      <c r="AM476" s="114"/>
    </row>
    <row r="477" spans="1:39" x14ac:dyDescent="0.4"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22"/>
      <c r="S477" s="122"/>
      <c r="T477" s="122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26"/>
      <c r="AJ477" s="15"/>
      <c r="AM477" s="114"/>
    </row>
    <row r="478" spans="1:39" x14ac:dyDescent="0.4"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22"/>
      <c r="S478" s="122"/>
      <c r="T478" s="122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26"/>
      <c r="AJ478" s="15"/>
      <c r="AM478" s="114"/>
    </row>
    <row r="479" spans="1:39" x14ac:dyDescent="0.4"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22"/>
      <c r="S479" s="122"/>
      <c r="T479" s="122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26"/>
      <c r="AJ479" s="15"/>
      <c r="AM479" s="114"/>
    </row>
    <row r="480" spans="1:39" x14ac:dyDescent="0.4"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22"/>
      <c r="S480" s="122"/>
      <c r="T480" s="122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26"/>
      <c r="AJ480" s="15"/>
      <c r="AM480" s="114"/>
    </row>
    <row r="481" spans="2:39" x14ac:dyDescent="0.4"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22"/>
      <c r="S481" s="122"/>
      <c r="T481" s="122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26"/>
      <c r="AJ481" s="15"/>
      <c r="AM481" s="114"/>
    </row>
    <row r="482" spans="2:39" x14ac:dyDescent="0.4"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22"/>
      <c r="S482" s="122"/>
      <c r="T482" s="122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26"/>
      <c r="AJ482" s="15"/>
      <c r="AM482" s="114"/>
    </row>
    <row r="483" spans="2:39" x14ac:dyDescent="0.4"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22"/>
      <c r="S483" s="122"/>
      <c r="T483" s="122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26"/>
      <c r="AJ483" s="15"/>
      <c r="AM483" s="114"/>
    </row>
    <row r="484" spans="2:39" x14ac:dyDescent="0.4"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22"/>
      <c r="S484" s="122"/>
      <c r="T484" s="122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7"/>
      <c r="AJ484" s="15"/>
      <c r="AM484" s="114"/>
    </row>
    <row r="485" spans="2:39" x14ac:dyDescent="0.4"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22"/>
      <c r="S485" s="122"/>
      <c r="T485" s="122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26"/>
      <c r="AJ485" s="15"/>
      <c r="AM485" s="114"/>
    </row>
    <row r="486" spans="2:39" x14ac:dyDescent="0.4"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22"/>
      <c r="S486" s="122"/>
      <c r="T486" s="122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26"/>
      <c r="AJ486" s="15"/>
      <c r="AM486" s="114"/>
    </row>
    <row r="487" spans="2:39" x14ac:dyDescent="0.4"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22"/>
      <c r="S487" s="122"/>
      <c r="T487" s="122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26"/>
      <c r="AJ487" s="15"/>
      <c r="AM487" s="114"/>
    </row>
    <row r="488" spans="2:39" x14ac:dyDescent="0.4"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22"/>
      <c r="S488" s="122"/>
      <c r="T488" s="122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26"/>
      <c r="AJ488" s="15"/>
      <c r="AM488" s="114"/>
    </row>
    <row r="489" spans="2:39" x14ac:dyDescent="0.4"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22"/>
      <c r="S489" s="122"/>
      <c r="T489" s="122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26"/>
      <c r="AJ489" s="15"/>
      <c r="AM489" s="114"/>
    </row>
    <row r="490" spans="2:39" x14ac:dyDescent="0.4"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22"/>
      <c r="S490" s="122"/>
      <c r="T490" s="122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26"/>
      <c r="AJ490" s="15"/>
      <c r="AM490" s="114"/>
    </row>
    <row r="491" spans="2:39" x14ac:dyDescent="0.4"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22"/>
      <c r="S491" s="122"/>
      <c r="T491" s="122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26"/>
      <c r="AJ491" s="15"/>
      <c r="AM491" s="114"/>
    </row>
    <row r="492" spans="2:39" x14ac:dyDescent="0.4"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22"/>
      <c r="S492" s="122"/>
      <c r="T492" s="122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7"/>
      <c r="AJ492" s="15"/>
      <c r="AM492" s="114"/>
    </row>
    <row r="493" spans="2:39" x14ac:dyDescent="0.4"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22"/>
      <c r="S493" s="122"/>
      <c r="T493" s="122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26"/>
      <c r="AJ493" s="15"/>
      <c r="AM493" s="114"/>
    </row>
    <row r="494" spans="2:39" x14ac:dyDescent="0.4"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22"/>
      <c r="S494" s="122"/>
      <c r="T494" s="122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26"/>
      <c r="AJ494" s="15"/>
      <c r="AM494" s="114"/>
    </row>
    <row r="495" spans="2:39" x14ac:dyDescent="0.4"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22"/>
      <c r="S495" s="122"/>
      <c r="T495" s="122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26"/>
      <c r="AJ495" s="15"/>
      <c r="AM495" s="114"/>
    </row>
    <row r="496" spans="2:39" x14ac:dyDescent="0.4"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22"/>
      <c r="S496" s="122"/>
      <c r="T496" s="122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26"/>
      <c r="AJ496" s="15"/>
      <c r="AM496" s="114"/>
    </row>
    <row r="497" spans="1:39" x14ac:dyDescent="0.4"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22"/>
      <c r="S497" s="122"/>
      <c r="T497" s="122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26"/>
      <c r="AJ497" s="15"/>
      <c r="AM497" s="114"/>
    </row>
    <row r="498" spans="1:39" x14ac:dyDescent="0.4"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22"/>
      <c r="S498" s="122"/>
      <c r="T498" s="122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26"/>
      <c r="AJ498" s="15"/>
      <c r="AM498" s="114"/>
    </row>
    <row r="499" spans="1:39" x14ac:dyDescent="0.4"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22"/>
      <c r="S499" s="122"/>
      <c r="T499" s="122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26"/>
      <c r="AJ499" s="15"/>
      <c r="AM499" s="114"/>
    </row>
    <row r="500" spans="1:39" x14ac:dyDescent="0.4"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22"/>
      <c r="S500" s="122"/>
      <c r="T500" s="122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26"/>
      <c r="AJ500" s="15"/>
      <c r="AM500" s="114"/>
    </row>
    <row r="501" spans="1:39" x14ac:dyDescent="0.4"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22"/>
      <c r="S501" s="122"/>
      <c r="T501" s="122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7"/>
      <c r="AJ501" s="15"/>
      <c r="AM501" s="114"/>
    </row>
    <row r="502" spans="1:39" x14ac:dyDescent="0.4"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22"/>
      <c r="S502" s="122"/>
      <c r="T502" s="122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26"/>
      <c r="AJ502" s="15"/>
      <c r="AM502" s="114"/>
    </row>
    <row r="503" spans="1:39" x14ac:dyDescent="0.4"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22"/>
      <c r="S503" s="122"/>
      <c r="T503" s="122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7"/>
      <c r="AJ503" s="15"/>
      <c r="AM503" s="114"/>
    </row>
    <row r="504" spans="1:39" x14ac:dyDescent="0.4"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22"/>
      <c r="S504" s="122"/>
      <c r="T504" s="122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26"/>
      <c r="AJ504" s="15"/>
      <c r="AM504" s="114"/>
    </row>
    <row r="505" spans="1:39" x14ac:dyDescent="0.4"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22"/>
      <c r="S505" s="122"/>
      <c r="T505" s="122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7"/>
      <c r="AJ505" s="15"/>
      <c r="AM505" s="114"/>
    </row>
    <row r="506" spans="1:39" x14ac:dyDescent="0.4"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22"/>
      <c r="S506" s="122"/>
      <c r="T506" s="122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26"/>
      <c r="AJ506" s="15"/>
      <c r="AM506" s="114"/>
    </row>
    <row r="507" spans="1:39" x14ac:dyDescent="0.4"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22"/>
      <c r="S507" s="122"/>
      <c r="T507" s="122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26"/>
      <c r="AJ507" s="15"/>
      <c r="AM507" s="114"/>
    </row>
    <row r="508" spans="1:39" x14ac:dyDescent="0.4"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22"/>
      <c r="S508" s="122"/>
      <c r="T508" s="122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7"/>
      <c r="AJ508" s="15"/>
      <c r="AM508" s="114"/>
    </row>
    <row r="509" spans="1:39" x14ac:dyDescent="0.4"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22"/>
      <c r="S509" s="122"/>
      <c r="T509" s="122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26"/>
      <c r="AJ509" s="15"/>
      <c r="AM509" s="114"/>
    </row>
    <row r="510" spans="1:39" x14ac:dyDescent="0.4"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22"/>
      <c r="S510" s="122"/>
      <c r="T510" s="122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26"/>
      <c r="AJ510" s="15"/>
      <c r="AM510" s="114"/>
    </row>
    <row r="511" spans="1:39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22"/>
      <c r="S511" s="122"/>
      <c r="T511" s="122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26"/>
      <c r="AJ511" s="105"/>
      <c r="AM511" s="114"/>
    </row>
    <row r="512" spans="1:39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22"/>
      <c r="S512" s="122"/>
      <c r="T512" s="122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7"/>
      <c r="AJ512" s="15"/>
      <c r="AM512" s="114"/>
    </row>
    <row r="513" spans="1:39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22"/>
      <c r="S513" s="122"/>
      <c r="T513" s="122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7"/>
      <c r="AJ513" s="15"/>
      <c r="AM513" s="114"/>
    </row>
    <row r="514" spans="1:39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22"/>
      <c r="S514" s="122"/>
      <c r="T514" s="122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26"/>
      <c r="AJ514" s="15"/>
      <c r="AM514" s="114"/>
    </row>
    <row r="515" spans="1:39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22"/>
      <c r="S515" s="122"/>
      <c r="T515" s="122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26"/>
      <c r="AJ515" s="15"/>
      <c r="AM515" s="114"/>
    </row>
    <row r="516" spans="1:39" x14ac:dyDescent="0.4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22"/>
      <c r="S516" s="122"/>
      <c r="T516" s="122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26"/>
      <c r="AJ516" s="15"/>
      <c r="AM516" s="114"/>
    </row>
    <row r="517" spans="1:39" x14ac:dyDescent="0.4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22"/>
      <c r="S517" s="122"/>
      <c r="T517" s="122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26"/>
      <c r="AJ517" s="15"/>
      <c r="AM517" s="114"/>
    </row>
    <row r="518" spans="1:39" x14ac:dyDescent="0.4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22"/>
      <c r="S518" s="122"/>
      <c r="T518" s="122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26"/>
      <c r="AJ518" s="15"/>
      <c r="AM518" s="114"/>
    </row>
    <row r="519" spans="1:39" x14ac:dyDescent="0.4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22"/>
      <c r="S519" s="122"/>
      <c r="T519" s="122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26"/>
      <c r="AJ519" s="15"/>
      <c r="AM519" s="114"/>
    </row>
    <row r="520" spans="1:39" x14ac:dyDescent="0.4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22"/>
      <c r="S520" s="122"/>
      <c r="T520" s="122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26"/>
      <c r="AJ520" s="15"/>
      <c r="AM520" s="114"/>
    </row>
    <row r="521" spans="1:39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22"/>
      <c r="S521" s="122"/>
      <c r="T521" s="122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26"/>
      <c r="AJ521" s="15"/>
      <c r="AM521" s="114"/>
    </row>
    <row r="522" spans="1:39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22"/>
      <c r="S522" s="122"/>
      <c r="T522" s="122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26"/>
      <c r="AJ522" s="105"/>
      <c r="AM522" s="114"/>
    </row>
    <row r="523" spans="1:39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22"/>
      <c r="S523" s="122"/>
      <c r="T523" s="122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26"/>
      <c r="AJ523" s="15"/>
      <c r="AM523" s="114"/>
    </row>
    <row r="524" spans="1:39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22"/>
      <c r="S524" s="122"/>
      <c r="T524" s="122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26"/>
      <c r="AJ524" s="15"/>
      <c r="AM524" s="114"/>
    </row>
    <row r="525" spans="1:39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22"/>
      <c r="S525" s="122"/>
      <c r="T525" s="122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26"/>
      <c r="AJ525" s="13"/>
      <c r="AM525" s="114"/>
    </row>
    <row r="526" spans="1:39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22"/>
      <c r="S526" s="122"/>
      <c r="T526" s="122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7"/>
      <c r="AJ526" s="13"/>
      <c r="AM526" s="114"/>
    </row>
    <row r="527" spans="1:39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22"/>
      <c r="S527" s="122"/>
      <c r="T527" s="122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26"/>
      <c r="AJ527" s="13"/>
      <c r="AM527" s="114"/>
    </row>
    <row r="528" spans="1:39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22"/>
      <c r="S528" s="122"/>
      <c r="T528" s="122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26"/>
      <c r="AJ528" s="13"/>
      <c r="AM528" s="114"/>
    </row>
    <row r="529" spans="1:39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22"/>
      <c r="S529" s="122"/>
      <c r="T529" s="122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26"/>
      <c r="AJ529" s="13"/>
      <c r="AM529" s="114"/>
    </row>
    <row r="530" spans="1:39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22"/>
      <c r="S530" s="122"/>
      <c r="T530" s="122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26"/>
      <c r="AJ530" s="13"/>
      <c r="AM530" s="114"/>
    </row>
    <row r="531" spans="1:39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22"/>
      <c r="S531" s="122"/>
      <c r="T531" s="122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26"/>
      <c r="AJ531" s="13"/>
      <c r="AM531" s="114"/>
    </row>
    <row r="532" spans="1:39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22"/>
      <c r="S532" s="122"/>
      <c r="T532" s="122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26"/>
      <c r="AJ532" s="13"/>
      <c r="AM532" s="114"/>
    </row>
    <row r="533" spans="1:39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22"/>
      <c r="S533" s="122"/>
      <c r="T533" s="122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7"/>
      <c r="AJ533" s="13"/>
      <c r="AM533" s="114"/>
    </row>
    <row r="534" spans="1:39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22"/>
      <c r="S534" s="122"/>
      <c r="T534" s="122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26"/>
      <c r="AJ534" s="13"/>
      <c r="AM534" s="114"/>
    </row>
    <row r="535" spans="1:39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22"/>
      <c r="S535" s="122"/>
      <c r="T535" s="122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26"/>
      <c r="AJ535" s="13"/>
      <c r="AM535" s="114"/>
    </row>
    <row r="536" spans="1:39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22"/>
      <c r="S536" s="122"/>
      <c r="T536" s="122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26"/>
      <c r="AJ536" s="13"/>
      <c r="AM536" s="114"/>
    </row>
    <row r="537" spans="1:39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22"/>
      <c r="S537" s="122"/>
      <c r="T537" s="122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26"/>
      <c r="AJ537" s="13"/>
      <c r="AM537" s="114"/>
    </row>
    <row r="538" spans="1:39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22"/>
      <c r="S538" s="122"/>
      <c r="T538" s="122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26"/>
      <c r="AJ538" s="25"/>
      <c r="AM538" s="114"/>
    </row>
    <row r="539" spans="1:39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22"/>
      <c r="S539" s="122"/>
      <c r="T539" s="122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7"/>
      <c r="AJ539" s="13"/>
      <c r="AM539" s="114"/>
    </row>
    <row r="540" spans="1:39" x14ac:dyDescent="0.4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22"/>
      <c r="S540" s="122"/>
      <c r="T540" s="122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26"/>
      <c r="AJ540" s="15"/>
      <c r="AM540" s="114"/>
    </row>
    <row r="541" spans="1:39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22"/>
      <c r="S541" s="122"/>
      <c r="T541" s="122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26"/>
      <c r="AJ541" s="15"/>
      <c r="AM541" s="114"/>
    </row>
    <row r="542" spans="1:39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22"/>
      <c r="S542" s="122"/>
      <c r="T542" s="122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7"/>
      <c r="AJ542" s="15"/>
      <c r="AM542" s="114"/>
    </row>
    <row r="543" spans="1:39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22"/>
      <c r="S543" s="122"/>
      <c r="T543" s="122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26"/>
      <c r="AJ543" s="15"/>
      <c r="AM543" s="114"/>
    </row>
    <row r="544" spans="1:39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22"/>
      <c r="S544" s="122"/>
      <c r="T544" s="122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26"/>
      <c r="AJ544" s="15"/>
      <c r="AM544" s="114"/>
    </row>
    <row r="545" spans="1:39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22"/>
      <c r="S545" s="122"/>
      <c r="T545" s="122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26"/>
      <c r="AJ545" s="13"/>
      <c r="AM545" s="114"/>
    </row>
    <row r="546" spans="1:39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22"/>
      <c r="S546" s="122"/>
      <c r="T546" s="122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26"/>
      <c r="AJ546" s="13"/>
      <c r="AM546" s="114"/>
    </row>
    <row r="547" spans="1:39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22"/>
      <c r="S547" s="122"/>
      <c r="T547" s="122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26"/>
      <c r="AJ547" s="13"/>
      <c r="AM547" s="114"/>
    </row>
    <row r="548" spans="1:39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22"/>
      <c r="S548" s="122"/>
      <c r="T548" s="122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26"/>
      <c r="AJ548" s="13"/>
      <c r="AM548" s="114"/>
    </row>
    <row r="549" spans="1:39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22"/>
      <c r="S549" s="122"/>
      <c r="T549" s="122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26"/>
      <c r="AJ549" s="13"/>
      <c r="AM549" s="114"/>
    </row>
    <row r="550" spans="1:39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22"/>
      <c r="S550" s="122"/>
      <c r="T550" s="122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26"/>
      <c r="AJ550" s="13"/>
      <c r="AM550" s="114"/>
    </row>
    <row r="551" spans="1:39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22"/>
      <c r="S551" s="122"/>
      <c r="T551" s="122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26"/>
      <c r="AJ551" s="13"/>
      <c r="AM551" s="114"/>
    </row>
    <row r="552" spans="1:39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22"/>
      <c r="S552" s="122"/>
      <c r="T552" s="122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26"/>
      <c r="AJ552" s="13"/>
      <c r="AM552" s="114"/>
    </row>
    <row r="553" spans="1:39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22"/>
      <c r="S553" s="122"/>
      <c r="T553" s="122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7"/>
      <c r="AJ553" s="13"/>
      <c r="AM553" s="114"/>
    </row>
    <row r="554" spans="1:39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22"/>
      <c r="S554" s="122"/>
      <c r="T554" s="122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26"/>
      <c r="AJ554" s="13"/>
      <c r="AM554" s="114"/>
    </row>
    <row r="555" spans="1:39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22"/>
      <c r="S555" s="122"/>
      <c r="T555" s="122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7"/>
      <c r="AJ555" s="13"/>
      <c r="AM555" s="114"/>
    </row>
    <row r="556" spans="1:39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22"/>
      <c r="S556" s="122"/>
      <c r="T556" s="122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26"/>
      <c r="AJ556" s="13"/>
      <c r="AM556" s="114"/>
    </row>
    <row r="557" spans="1:39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22"/>
      <c r="S557" s="122"/>
      <c r="T557" s="122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26"/>
      <c r="AJ557" s="13"/>
      <c r="AM557" s="114"/>
    </row>
    <row r="558" spans="1:39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22"/>
      <c r="S558" s="122"/>
      <c r="T558" s="122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26"/>
      <c r="AJ558" s="13"/>
      <c r="AM558" s="114"/>
    </row>
    <row r="559" spans="1:39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22"/>
      <c r="S559" s="122"/>
      <c r="T559" s="122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26"/>
      <c r="AJ559" s="15"/>
      <c r="AM559" s="114"/>
    </row>
    <row r="560" spans="1:39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22"/>
      <c r="S560" s="122"/>
      <c r="T560" s="122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26"/>
      <c r="AJ560" s="15"/>
      <c r="AM560" s="114"/>
    </row>
    <row r="561" spans="1:40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22"/>
      <c r="S561" s="122"/>
      <c r="T561" s="122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26"/>
      <c r="AJ561" s="15"/>
      <c r="AM561" s="114"/>
    </row>
    <row r="562" spans="1:40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22"/>
      <c r="S562" s="122"/>
      <c r="T562" s="122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26"/>
      <c r="AJ562" s="13"/>
      <c r="AM562" s="114"/>
    </row>
    <row r="563" spans="1:40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22"/>
      <c r="S563" s="122"/>
      <c r="T563" s="122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26"/>
      <c r="AJ563" s="15"/>
      <c r="AM563" s="114"/>
    </row>
    <row r="564" spans="1:40" x14ac:dyDescent="0.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22"/>
      <c r="S564" s="122"/>
      <c r="T564" s="122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26"/>
      <c r="AJ564" s="15"/>
      <c r="AM564" s="114"/>
      <c r="AN564" s="120"/>
    </row>
    <row r="565" spans="1:40" x14ac:dyDescent="0.4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22"/>
      <c r="S565" s="122"/>
      <c r="T565" s="122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26"/>
      <c r="AJ565" s="15"/>
      <c r="AM565" s="114"/>
      <c r="AN565" s="120"/>
    </row>
    <row r="566" spans="1:40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22"/>
      <c r="S566" s="122"/>
      <c r="T566" s="122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26"/>
      <c r="AJ566" s="15"/>
      <c r="AM566" s="114"/>
      <c r="AN566" s="120"/>
    </row>
    <row r="567" spans="1:40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22"/>
      <c r="S567" s="122"/>
      <c r="T567" s="122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26"/>
      <c r="AJ567" s="15"/>
      <c r="AM567" s="114"/>
      <c r="AN567" s="120"/>
    </row>
    <row r="568" spans="1:40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22"/>
      <c r="S568" s="122"/>
      <c r="T568" s="122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26"/>
      <c r="AJ568" s="15"/>
      <c r="AM568" s="114"/>
      <c r="AN568" s="120"/>
    </row>
    <row r="569" spans="1:40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22"/>
      <c r="S569" s="122"/>
      <c r="T569" s="122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26"/>
      <c r="AJ569" s="15"/>
      <c r="AM569" s="114"/>
      <c r="AN569" s="120"/>
    </row>
    <row r="570" spans="1:40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22"/>
      <c r="S570" s="122"/>
      <c r="T570" s="122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26"/>
      <c r="AJ570" s="15"/>
      <c r="AM570" s="114"/>
      <c r="AN570" s="120"/>
    </row>
    <row r="571" spans="1:40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22"/>
      <c r="S571" s="122"/>
      <c r="T571" s="122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7"/>
      <c r="AJ571" s="15"/>
      <c r="AM571" s="114"/>
      <c r="AN571" s="120"/>
    </row>
    <row r="572" spans="1:40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22"/>
      <c r="S572" s="122"/>
      <c r="T572" s="122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26"/>
      <c r="AJ572" s="15"/>
      <c r="AM572" s="114"/>
      <c r="AN572" s="120"/>
    </row>
    <row r="573" spans="1:40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22"/>
      <c r="S573" s="122"/>
      <c r="T573" s="122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26"/>
      <c r="AJ573" s="15"/>
      <c r="AM573" s="114"/>
    </row>
    <row r="574" spans="1:40" x14ac:dyDescent="0.4">
      <c r="AI574" s="26"/>
      <c r="AJ574" s="15"/>
      <c r="AM574" s="114"/>
    </row>
    <row r="575" spans="1:40" x14ac:dyDescent="0.4"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7"/>
      <c r="AJ575" s="15"/>
      <c r="AM575" s="114"/>
    </row>
    <row r="576" spans="1:40" x14ac:dyDescent="0.4"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7"/>
      <c r="AJ576" s="15"/>
      <c r="AM576" s="114"/>
    </row>
    <row r="577" spans="4:43" x14ac:dyDescent="0.4">
      <c r="T577" s="122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7"/>
      <c r="AJ577" s="15"/>
      <c r="AM577" s="114"/>
    </row>
    <row r="578" spans="4:43" x14ac:dyDescent="0.4">
      <c r="O578" s="115"/>
      <c r="P578" s="115"/>
      <c r="Q578" s="115"/>
      <c r="R578" s="122"/>
      <c r="S578" s="122"/>
      <c r="T578" s="122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26"/>
      <c r="AJ578" s="15"/>
      <c r="AM578" s="114"/>
    </row>
    <row r="579" spans="4:43" x14ac:dyDescent="0.4">
      <c r="O579" s="115"/>
      <c r="P579" s="115"/>
      <c r="Q579" s="115"/>
      <c r="R579" s="122"/>
      <c r="S579" s="122"/>
      <c r="T579" s="122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7"/>
      <c r="AJ579" s="15"/>
      <c r="AM579" s="114"/>
    </row>
    <row r="580" spans="4:43" x14ac:dyDescent="0.4">
      <c r="N580" s="115"/>
      <c r="O580" s="115"/>
      <c r="P580" s="115"/>
      <c r="Q580" s="115"/>
      <c r="R580" s="122"/>
      <c r="S580" s="122"/>
      <c r="T580" s="122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26"/>
      <c r="AJ580" s="15"/>
      <c r="AM580" s="114"/>
    </row>
    <row r="581" spans="4:43" x14ac:dyDescent="0.4">
      <c r="N581" s="115"/>
      <c r="O581" s="115"/>
      <c r="P581" s="115"/>
      <c r="Q581" s="115"/>
      <c r="R581" s="122"/>
      <c r="S581" s="122"/>
      <c r="T581" s="122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7"/>
      <c r="AJ581" s="15"/>
      <c r="AM581" s="114"/>
    </row>
    <row r="582" spans="4:43" x14ac:dyDescent="0.4">
      <c r="N582" s="115"/>
      <c r="O582" s="115"/>
      <c r="P582" s="115"/>
      <c r="Q582" s="115"/>
      <c r="R582" s="122"/>
      <c r="S582" s="122"/>
      <c r="T582" s="122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7"/>
      <c r="AJ582" s="15"/>
      <c r="AM582" s="114"/>
    </row>
    <row r="583" spans="4:43" x14ac:dyDescent="0.4">
      <c r="N583" s="115"/>
      <c r="O583" s="115"/>
      <c r="P583" s="115"/>
      <c r="Q583" s="115"/>
      <c r="R583" s="122"/>
      <c r="S583" s="122"/>
      <c r="T583" s="122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7"/>
      <c r="AJ583" s="15"/>
      <c r="AM583" s="114"/>
    </row>
    <row r="584" spans="4:43" x14ac:dyDescent="0.4">
      <c r="N584" s="115"/>
      <c r="O584" s="115"/>
      <c r="P584" s="115"/>
      <c r="Q584" s="115"/>
      <c r="R584" s="122"/>
      <c r="S584" s="122"/>
      <c r="T584" s="122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26"/>
      <c r="AJ584" s="15"/>
      <c r="AM584" s="114"/>
    </row>
    <row r="585" spans="4:43" x14ac:dyDescent="0.4">
      <c r="N585" s="115"/>
      <c r="O585" s="115"/>
      <c r="P585" s="115"/>
      <c r="Q585" s="115"/>
      <c r="R585" s="122"/>
      <c r="S585" s="122"/>
      <c r="T585" s="122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7"/>
      <c r="AJ585" s="15"/>
      <c r="AM585" s="114"/>
    </row>
    <row r="586" spans="4:43" ht="19.5" x14ac:dyDescent="0.4">
      <c r="AI586" s="26"/>
      <c r="AJ586" s="15"/>
      <c r="AN586" s="116"/>
      <c r="AO586" s="116"/>
      <c r="AP586" s="116"/>
      <c r="AQ586" s="116"/>
    </row>
    <row r="587" spans="4:43" ht="19.5" x14ac:dyDescent="0.4">
      <c r="S587" s="122"/>
      <c r="T587" s="122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7"/>
      <c r="AJ587" s="15"/>
      <c r="AN587" s="117"/>
      <c r="AO587" s="116"/>
      <c r="AP587" s="116"/>
      <c r="AQ587" s="116"/>
    </row>
    <row r="588" spans="4:43" ht="19.5" x14ac:dyDescent="0.4">
      <c r="K588" s="115"/>
      <c r="L588" s="115"/>
      <c r="M588" s="115"/>
      <c r="N588" s="115"/>
      <c r="O588" s="115"/>
      <c r="P588" s="115"/>
      <c r="Q588" s="115"/>
      <c r="R588" s="122"/>
      <c r="S588" s="122"/>
      <c r="T588" s="122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26"/>
      <c r="AJ588" s="15"/>
      <c r="AN588" s="117"/>
      <c r="AO588" s="116"/>
      <c r="AP588" s="116"/>
      <c r="AQ588" s="116"/>
    </row>
    <row r="589" spans="4:43" ht="19.5" x14ac:dyDescent="0.4"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22"/>
      <c r="S589" s="122"/>
      <c r="T589" s="122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26"/>
      <c r="AJ589" s="13"/>
      <c r="AN589" s="117"/>
      <c r="AO589" s="116"/>
      <c r="AP589" s="116"/>
      <c r="AQ589" s="116"/>
    </row>
    <row r="590" spans="4:43" ht="19.5" x14ac:dyDescent="0.4"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22"/>
      <c r="S590" s="122"/>
      <c r="T590" s="122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26"/>
      <c r="AJ590" s="15"/>
      <c r="AN590" s="117"/>
      <c r="AO590" s="116"/>
      <c r="AP590" s="116"/>
      <c r="AQ590" s="116"/>
    </row>
    <row r="591" spans="4:43" ht="19.5" x14ac:dyDescent="0.4"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22"/>
      <c r="S591" s="122"/>
      <c r="T591" s="122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7"/>
      <c r="AJ591" s="15"/>
      <c r="AN591" s="117"/>
      <c r="AO591" s="116"/>
      <c r="AP591" s="116"/>
      <c r="AQ591" s="116"/>
    </row>
    <row r="592" spans="4:43" ht="19.5" x14ac:dyDescent="0.4"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22"/>
      <c r="S592" s="122"/>
      <c r="T592" s="122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26"/>
      <c r="AJ592" s="15"/>
      <c r="AN592" s="117"/>
      <c r="AO592" s="116"/>
      <c r="AP592" s="116"/>
      <c r="AQ592" s="116"/>
    </row>
    <row r="593" spans="1:43" ht="19.5" x14ac:dyDescent="0.4"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22"/>
      <c r="S593" s="122"/>
      <c r="T593" s="122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26"/>
      <c r="AJ593" s="15"/>
      <c r="AN593" s="117"/>
      <c r="AO593" s="116"/>
      <c r="AP593" s="116"/>
      <c r="AQ593" s="116"/>
    </row>
    <row r="594" spans="1:43" ht="19.5" x14ac:dyDescent="0.4"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22"/>
      <c r="S594" s="122"/>
      <c r="T594" s="122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7"/>
      <c r="AJ594" s="15"/>
      <c r="AN594" s="117"/>
      <c r="AO594" s="116"/>
      <c r="AP594" s="116"/>
      <c r="AQ594" s="116"/>
    </row>
    <row r="595" spans="1:43" ht="19.5" x14ac:dyDescent="0.4"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22"/>
      <c r="S595" s="122"/>
      <c r="T595" s="122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26"/>
      <c r="AJ595" s="15"/>
      <c r="AN595" s="117"/>
      <c r="AO595" s="116"/>
      <c r="AP595" s="116"/>
      <c r="AQ595" s="116"/>
    </row>
    <row r="596" spans="1:43" ht="19.5" x14ac:dyDescent="0.4">
      <c r="AI596" s="26"/>
      <c r="AJ596" s="15"/>
      <c r="AN596" s="117"/>
      <c r="AO596" s="116"/>
      <c r="AP596" s="116"/>
      <c r="AQ596" s="116"/>
    </row>
    <row r="597" spans="1:43" ht="19.5" x14ac:dyDescent="0.4">
      <c r="S597" s="122"/>
      <c r="T597" s="122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7"/>
      <c r="AJ597" s="15"/>
      <c r="AN597" s="117"/>
      <c r="AO597" s="116"/>
      <c r="AP597" s="116"/>
      <c r="AQ597" s="116"/>
    </row>
    <row r="598" spans="1:43" ht="19.5" x14ac:dyDescent="0.4">
      <c r="P598" s="115"/>
      <c r="Q598" s="115"/>
      <c r="R598" s="122"/>
      <c r="S598" s="122"/>
      <c r="T598" s="122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26"/>
      <c r="AJ598" s="15"/>
      <c r="AN598" s="117"/>
      <c r="AO598" s="116"/>
      <c r="AP598" s="116"/>
      <c r="AQ598" s="116"/>
    </row>
    <row r="599" spans="1:43" ht="19.5" x14ac:dyDescent="0.4">
      <c r="P599" s="115"/>
      <c r="Q599" s="115"/>
      <c r="R599" s="122"/>
      <c r="S599" s="122"/>
      <c r="T599" s="122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7"/>
      <c r="AJ599" s="15"/>
      <c r="AN599" s="117"/>
      <c r="AO599" s="116"/>
      <c r="AP599" s="116"/>
      <c r="AQ599" s="116"/>
    </row>
    <row r="600" spans="1:43" ht="19.5" x14ac:dyDescent="0.4">
      <c r="O600" s="115"/>
      <c r="P600" s="115"/>
      <c r="Q600" s="115"/>
      <c r="R600" s="122"/>
      <c r="S600" s="122"/>
      <c r="T600" s="122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26"/>
      <c r="AJ600" s="15"/>
      <c r="AN600" s="117"/>
      <c r="AO600" s="116"/>
      <c r="AP600" s="116"/>
      <c r="AQ600" s="116"/>
    </row>
    <row r="601" spans="1:43" ht="19.5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22"/>
      <c r="S601" s="122"/>
      <c r="T601" s="122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26"/>
      <c r="AJ601" s="15"/>
      <c r="AN601" s="117"/>
      <c r="AO601" s="116"/>
      <c r="AP601" s="116"/>
      <c r="AQ601" s="116"/>
    </row>
    <row r="602" spans="1:43" ht="19.5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22"/>
      <c r="S602" s="122"/>
      <c r="T602" s="122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26"/>
      <c r="AJ602" s="15"/>
      <c r="AN602" s="117"/>
      <c r="AO602" s="116"/>
      <c r="AP602" s="116"/>
      <c r="AQ602" s="116"/>
    </row>
    <row r="603" spans="1:43" ht="19.5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22"/>
      <c r="S603" s="122"/>
      <c r="T603" s="122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26"/>
      <c r="AJ603" s="15"/>
      <c r="AN603" s="117"/>
      <c r="AO603" s="116"/>
      <c r="AP603" s="116"/>
      <c r="AQ603" s="116"/>
    </row>
    <row r="604" spans="1:43" ht="19.5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22"/>
      <c r="S604" s="122"/>
      <c r="T604" s="122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26"/>
      <c r="AJ604" s="105"/>
      <c r="AN604" s="117"/>
      <c r="AO604" s="116"/>
      <c r="AP604" s="116"/>
      <c r="AQ604" s="116"/>
    </row>
    <row r="605" spans="1:43" ht="19.5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22"/>
      <c r="S605" s="122"/>
      <c r="T605" s="122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26"/>
      <c r="AJ605" s="105"/>
      <c r="AN605" s="117"/>
      <c r="AO605" s="116"/>
      <c r="AP605" s="116"/>
      <c r="AQ605" s="116"/>
    </row>
    <row r="606" spans="1:43" ht="19.5" x14ac:dyDescent="0.4">
      <c r="AI606" s="26"/>
      <c r="AJ606" s="13"/>
      <c r="AN606" s="117"/>
      <c r="AO606" s="116"/>
      <c r="AP606" s="116"/>
      <c r="AQ606" s="116"/>
    </row>
    <row r="607" spans="1:43" ht="19.5" x14ac:dyDescent="0.4">
      <c r="P607" s="115"/>
      <c r="Q607" s="115"/>
      <c r="R607" s="122"/>
      <c r="S607" s="122"/>
      <c r="T607" s="122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26"/>
      <c r="AJ607" s="13"/>
      <c r="AN607" s="117"/>
      <c r="AO607" s="116"/>
      <c r="AP607" s="116"/>
      <c r="AQ607" s="116"/>
    </row>
    <row r="608" spans="1:43" ht="19.5" x14ac:dyDescent="0.4">
      <c r="K608" s="115"/>
      <c r="L608" s="115"/>
      <c r="M608" s="115"/>
      <c r="N608" s="115"/>
      <c r="O608" s="115"/>
      <c r="P608" s="115"/>
      <c r="Q608" s="115"/>
      <c r="R608" s="122"/>
      <c r="S608" s="122"/>
      <c r="T608" s="122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26"/>
      <c r="AJ608" s="13"/>
      <c r="AN608" s="117"/>
      <c r="AO608" s="116"/>
      <c r="AP608" s="116"/>
      <c r="AQ608" s="116"/>
    </row>
    <row r="609" spans="3:43" ht="19.5" x14ac:dyDescent="0.4">
      <c r="AI609" s="26"/>
      <c r="AJ609" s="13"/>
      <c r="AN609" s="117"/>
      <c r="AO609" s="116"/>
      <c r="AP609" s="116"/>
      <c r="AQ609" s="116"/>
    </row>
    <row r="610" spans="3:43" ht="19.5" x14ac:dyDescent="0.4"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22"/>
      <c r="S610" s="122"/>
      <c r="T610" s="122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26"/>
      <c r="AJ610" s="13"/>
      <c r="AN610" s="117"/>
      <c r="AO610" s="116"/>
      <c r="AP610" s="116"/>
      <c r="AQ610" s="116"/>
    </row>
    <row r="611" spans="3:43" ht="19.5" x14ac:dyDescent="0.4"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22"/>
      <c r="S611" s="122"/>
      <c r="T611" s="122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26"/>
      <c r="AJ611" s="13"/>
      <c r="AN611" s="117"/>
      <c r="AO611" s="116"/>
      <c r="AP611" s="116"/>
      <c r="AQ611" s="116"/>
    </row>
    <row r="612" spans="3:43" ht="19.5" x14ac:dyDescent="0.4"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22"/>
      <c r="S612" s="122"/>
      <c r="T612" s="122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26"/>
      <c r="AJ612" s="13"/>
      <c r="AN612" s="117"/>
      <c r="AO612" s="116"/>
      <c r="AP612" s="116"/>
      <c r="AQ612" s="116"/>
    </row>
    <row r="613" spans="3:43" ht="19.5" x14ac:dyDescent="0.4"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22"/>
      <c r="S613" s="122"/>
      <c r="T613" s="122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26"/>
      <c r="AJ613" s="13"/>
      <c r="AN613" s="117"/>
      <c r="AO613" s="116"/>
      <c r="AP613" s="116"/>
      <c r="AQ613" s="116"/>
    </row>
    <row r="614" spans="3:43" ht="19.5" x14ac:dyDescent="0.4"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22"/>
      <c r="S614" s="122"/>
      <c r="T614" s="122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26"/>
      <c r="AJ614" s="13"/>
      <c r="AN614" s="117"/>
      <c r="AO614" s="116"/>
      <c r="AP614" s="116"/>
      <c r="AQ614" s="116"/>
    </row>
    <row r="615" spans="3:43" ht="19.5" x14ac:dyDescent="0.4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22"/>
      <c r="S615" s="122"/>
      <c r="T615" s="122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26"/>
      <c r="AJ615" s="13"/>
      <c r="AN615" s="117"/>
      <c r="AO615" s="116"/>
      <c r="AP615" s="116"/>
      <c r="AQ615" s="116"/>
    </row>
    <row r="616" spans="3:43" ht="19.5" x14ac:dyDescent="0.4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22"/>
      <c r="S616" s="122"/>
      <c r="T616" s="122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26"/>
      <c r="AJ616" s="13"/>
      <c r="AN616" s="117"/>
      <c r="AO616" s="116"/>
      <c r="AP616" s="116"/>
      <c r="AQ616" s="116"/>
    </row>
    <row r="617" spans="3:43" ht="19.5" x14ac:dyDescent="0.4"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22"/>
      <c r="S617" s="122"/>
      <c r="T617" s="122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26"/>
      <c r="AJ617" s="13"/>
      <c r="AN617" s="117"/>
      <c r="AO617" s="116"/>
      <c r="AP617" s="116"/>
      <c r="AQ617" s="116"/>
    </row>
    <row r="618" spans="3:43" ht="19.5" x14ac:dyDescent="0.4">
      <c r="AI618" s="26"/>
      <c r="AJ618" s="15"/>
      <c r="AN618" s="117"/>
      <c r="AO618" s="116"/>
      <c r="AP618" s="116"/>
      <c r="AQ618" s="116"/>
    </row>
    <row r="619" spans="3:43" ht="19.5" x14ac:dyDescent="0.4"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22"/>
      <c r="S619" s="122"/>
      <c r="T619" s="122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26"/>
      <c r="AJ619" s="15"/>
      <c r="AN619" s="117"/>
      <c r="AO619" s="116"/>
      <c r="AP619" s="116"/>
      <c r="AQ619" s="116"/>
    </row>
    <row r="620" spans="3:43" ht="19.5" x14ac:dyDescent="0.4"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22"/>
      <c r="S620" s="122"/>
      <c r="T620" s="122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7"/>
      <c r="AJ620" s="15"/>
      <c r="AN620" s="117"/>
      <c r="AO620" s="116"/>
      <c r="AP620" s="116"/>
      <c r="AQ620" s="116"/>
    </row>
    <row r="621" spans="3:43" ht="19.5" x14ac:dyDescent="0.4">
      <c r="AI621" s="26"/>
      <c r="AJ621" s="15"/>
      <c r="AN621" s="117"/>
      <c r="AO621" s="116"/>
      <c r="AP621" s="116"/>
      <c r="AQ621" s="116"/>
    </row>
    <row r="622" spans="3:43" ht="19.5" x14ac:dyDescent="0.4">
      <c r="AI622" s="26"/>
      <c r="AJ622" s="13"/>
      <c r="AN622" s="117"/>
      <c r="AO622" s="116"/>
      <c r="AP622" s="116"/>
      <c r="AQ622" s="116"/>
    </row>
    <row r="623" spans="3:43" ht="19.5" x14ac:dyDescent="0.4">
      <c r="O623" s="115"/>
      <c r="P623" s="115"/>
      <c r="Q623" s="115"/>
      <c r="R623" s="122"/>
      <c r="S623" s="122"/>
      <c r="T623" s="122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26"/>
      <c r="AJ623" s="13"/>
      <c r="AN623" s="117"/>
      <c r="AO623" s="116"/>
      <c r="AP623" s="116"/>
      <c r="AQ623" s="116"/>
    </row>
    <row r="624" spans="3:43" ht="19.5" x14ac:dyDescent="0.4"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22"/>
      <c r="S624" s="122"/>
      <c r="T624" s="122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26"/>
      <c r="AJ624" s="13"/>
      <c r="AN624" s="117"/>
      <c r="AO624" s="116"/>
      <c r="AP624" s="116"/>
      <c r="AQ624" s="116"/>
    </row>
    <row r="625" spans="1:43" ht="19.5" x14ac:dyDescent="0.4"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22"/>
      <c r="S625" s="122"/>
      <c r="T625" s="122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7"/>
      <c r="AJ625" s="13"/>
      <c r="AN625" s="117"/>
      <c r="AO625" s="116"/>
      <c r="AP625" s="116"/>
      <c r="AQ625" s="116"/>
    </row>
    <row r="626" spans="1:43" ht="19.5" x14ac:dyDescent="0.4"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22"/>
      <c r="S626" s="122"/>
      <c r="T626" s="122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26"/>
      <c r="AJ626" s="25"/>
      <c r="AN626" s="117"/>
      <c r="AO626" s="116"/>
      <c r="AP626" s="116"/>
      <c r="AQ626" s="116"/>
    </row>
    <row r="627" spans="1:43" ht="19.5" x14ac:dyDescent="0.4"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22"/>
      <c r="S627" s="122"/>
      <c r="T627" s="122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7"/>
      <c r="AJ627" s="13"/>
      <c r="AN627" s="117"/>
      <c r="AO627" s="116"/>
      <c r="AP627" s="116"/>
      <c r="AQ627" s="116"/>
    </row>
    <row r="628" spans="1:43" ht="19.5" x14ac:dyDescent="0.4"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22"/>
      <c r="S628" s="122"/>
      <c r="T628" s="122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26"/>
      <c r="AJ628" s="13"/>
      <c r="AN628" s="117"/>
      <c r="AO628" s="116"/>
      <c r="AP628" s="116"/>
      <c r="AQ628" s="116"/>
    </row>
    <row r="629" spans="1:43" ht="19.5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22"/>
      <c r="S629" s="122"/>
      <c r="T629" s="122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26"/>
      <c r="AJ629" s="13"/>
      <c r="AN629" s="117"/>
      <c r="AO629" s="116"/>
      <c r="AP629" s="116"/>
      <c r="AQ629" s="116"/>
    </row>
    <row r="630" spans="1:43" ht="19.5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22"/>
      <c r="S630" s="122"/>
      <c r="T630" s="122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26"/>
      <c r="AJ630" s="13"/>
      <c r="AN630" s="117"/>
      <c r="AO630" s="116"/>
      <c r="AP630" s="116"/>
      <c r="AQ630" s="116"/>
    </row>
    <row r="631" spans="1:43" ht="19.5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22"/>
      <c r="S631" s="122"/>
      <c r="T631" s="122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26"/>
      <c r="AJ631" s="13"/>
      <c r="AN631" s="117"/>
      <c r="AO631" s="116"/>
      <c r="AP631" s="116"/>
      <c r="AQ631" s="116"/>
    </row>
    <row r="632" spans="1:43" ht="19.5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22"/>
      <c r="S632" s="122"/>
      <c r="T632" s="122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26"/>
      <c r="AJ632" s="13"/>
      <c r="AN632" s="117"/>
      <c r="AO632" s="116"/>
      <c r="AP632" s="116"/>
      <c r="AQ632" s="116"/>
    </row>
    <row r="633" spans="1:43" ht="19.5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22"/>
      <c r="S633" s="122"/>
      <c r="T633" s="122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26"/>
      <c r="AJ633" s="13"/>
      <c r="AN633" s="117"/>
      <c r="AO633" s="116"/>
      <c r="AP633" s="116"/>
      <c r="AQ633" s="116"/>
    </row>
    <row r="634" spans="1:43" ht="19.5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22"/>
      <c r="S634" s="122"/>
      <c r="T634" s="122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26"/>
      <c r="AJ634" s="13"/>
      <c r="AN634" s="117"/>
      <c r="AO634" s="116"/>
      <c r="AP634" s="116"/>
      <c r="AQ634" s="116"/>
    </row>
    <row r="635" spans="1:43" ht="19.5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22"/>
      <c r="S635" s="122"/>
      <c r="T635" s="122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26"/>
      <c r="AJ635" s="13"/>
      <c r="AN635" s="117"/>
      <c r="AO635" s="116"/>
      <c r="AP635" s="116"/>
      <c r="AQ635" s="116"/>
    </row>
    <row r="636" spans="1:43" ht="19.5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22"/>
      <c r="S636" s="122"/>
      <c r="T636" s="122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26"/>
      <c r="AJ636" s="15"/>
      <c r="AN636" s="117"/>
      <c r="AO636" s="116"/>
      <c r="AP636" s="116"/>
      <c r="AQ636" s="116"/>
    </row>
    <row r="637" spans="1:43" ht="19.5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22"/>
      <c r="S637" s="122"/>
      <c r="T637" s="122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26"/>
      <c r="AJ637" s="15"/>
      <c r="AN637" s="117"/>
      <c r="AO637" s="116"/>
      <c r="AP637" s="116"/>
      <c r="AQ637" s="116"/>
    </row>
    <row r="638" spans="1:43" ht="19.5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22"/>
      <c r="S638" s="122"/>
      <c r="T638" s="122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26"/>
      <c r="AJ638" s="15"/>
      <c r="AN638" s="117"/>
      <c r="AO638" s="116"/>
      <c r="AP638" s="116"/>
      <c r="AQ638" s="116"/>
    </row>
    <row r="639" spans="1:43" ht="19.5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22"/>
      <c r="S639" s="122"/>
      <c r="T639" s="122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26"/>
      <c r="AJ639" s="15"/>
      <c r="AN639" s="117"/>
      <c r="AO639" s="116"/>
      <c r="AP639" s="116"/>
      <c r="AQ639" s="116"/>
    </row>
    <row r="640" spans="1:43" ht="19.5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22"/>
      <c r="S640" s="122"/>
      <c r="T640" s="122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26"/>
      <c r="AJ640" s="25"/>
      <c r="AN640" s="117"/>
      <c r="AO640" s="116"/>
      <c r="AP640" s="116"/>
      <c r="AQ640" s="116"/>
    </row>
    <row r="641" spans="1:43" ht="19.5" x14ac:dyDescent="0.4">
      <c r="AI641" s="26"/>
      <c r="AJ641" s="15"/>
      <c r="AN641" s="117"/>
      <c r="AO641" s="116"/>
      <c r="AP641" s="116"/>
      <c r="AQ641" s="116"/>
    </row>
    <row r="642" spans="1:43" ht="19.5" x14ac:dyDescent="0.4">
      <c r="Q642" s="115"/>
      <c r="R642" s="122"/>
      <c r="S642" s="122"/>
      <c r="T642" s="122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26"/>
      <c r="AJ642" s="15"/>
      <c r="AN642" s="117"/>
      <c r="AO642" s="116"/>
      <c r="AP642" s="116"/>
      <c r="AQ642" s="116"/>
    </row>
    <row r="643" spans="1:43" ht="19.5" x14ac:dyDescent="0.4">
      <c r="O643" s="115"/>
      <c r="P643" s="115"/>
      <c r="Q643" s="115"/>
      <c r="R643" s="122"/>
      <c r="S643" s="122"/>
      <c r="T643" s="122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26"/>
      <c r="AJ643" s="15"/>
      <c r="AN643" s="117"/>
      <c r="AO643" s="116"/>
      <c r="AP643" s="116"/>
      <c r="AQ643" s="116"/>
    </row>
    <row r="644" spans="1:43" ht="19.5" x14ac:dyDescent="0.4">
      <c r="O644" s="115"/>
      <c r="P644" s="115"/>
      <c r="Q644" s="115"/>
      <c r="R644" s="122"/>
      <c r="S644" s="122"/>
      <c r="T644" s="122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7"/>
      <c r="AJ644" s="15"/>
      <c r="AN644" s="117"/>
      <c r="AO644" s="116"/>
      <c r="AP644" s="116"/>
      <c r="AQ644" s="116"/>
    </row>
    <row r="645" spans="1:43" ht="19.5" x14ac:dyDescent="0.4">
      <c r="L645" s="115"/>
      <c r="M645" s="115"/>
      <c r="N645" s="115"/>
      <c r="O645" s="115"/>
      <c r="P645" s="115"/>
      <c r="Q645" s="115"/>
      <c r="R645" s="122"/>
      <c r="S645" s="122"/>
      <c r="T645" s="122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26"/>
      <c r="AJ645" s="15"/>
      <c r="AN645" s="117"/>
      <c r="AO645" s="116"/>
      <c r="AP645" s="116"/>
      <c r="AQ645" s="116"/>
    </row>
    <row r="646" spans="1:43" ht="19.5" x14ac:dyDescent="0.4">
      <c r="L646" s="115"/>
      <c r="M646" s="115"/>
      <c r="N646" s="115"/>
      <c r="O646" s="115"/>
      <c r="P646" s="115"/>
      <c r="Q646" s="115"/>
      <c r="R646" s="122"/>
      <c r="S646" s="122"/>
      <c r="T646" s="122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7"/>
      <c r="AJ646" s="15"/>
      <c r="AN646" s="117"/>
      <c r="AO646" s="116"/>
      <c r="AP646" s="116"/>
      <c r="AQ646" s="116"/>
    </row>
    <row r="647" spans="1:43" ht="19.5" x14ac:dyDescent="0.4">
      <c r="L647" s="115"/>
      <c r="M647" s="115"/>
      <c r="N647" s="115"/>
      <c r="O647" s="115"/>
      <c r="P647" s="115"/>
      <c r="Q647" s="115"/>
      <c r="R647" s="122"/>
      <c r="S647" s="122"/>
      <c r="T647" s="122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26"/>
      <c r="AJ647" s="15"/>
      <c r="AN647" s="117"/>
      <c r="AO647" s="116"/>
      <c r="AP647" s="116"/>
      <c r="AQ647" s="116"/>
    </row>
    <row r="648" spans="1:43" ht="19.5" x14ac:dyDescent="0.4">
      <c r="L648" s="115"/>
      <c r="M648" s="115"/>
      <c r="N648" s="115"/>
      <c r="O648" s="115"/>
      <c r="P648" s="115"/>
      <c r="Q648" s="115"/>
      <c r="R648" s="122"/>
      <c r="S648" s="122"/>
      <c r="T648" s="122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7"/>
      <c r="AJ648" s="13"/>
      <c r="AN648" s="117"/>
      <c r="AO648" s="116"/>
      <c r="AP648" s="116"/>
      <c r="AQ648" s="116"/>
    </row>
    <row r="649" spans="1:43" ht="19.5" x14ac:dyDescent="0.4">
      <c r="L649" s="115"/>
      <c r="M649" s="115"/>
      <c r="N649" s="115"/>
      <c r="O649" s="115"/>
      <c r="P649" s="115"/>
      <c r="Q649" s="115"/>
      <c r="R649" s="122"/>
      <c r="S649" s="122"/>
      <c r="T649" s="122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7"/>
      <c r="AJ649" s="13"/>
      <c r="AN649" s="117"/>
      <c r="AO649" s="116"/>
      <c r="AP649" s="116"/>
      <c r="AQ649" s="116"/>
    </row>
    <row r="650" spans="1:43" ht="19.5" x14ac:dyDescent="0.4">
      <c r="AI650" s="26"/>
      <c r="AJ650" s="13"/>
      <c r="AN650" s="117"/>
      <c r="AO650" s="116"/>
      <c r="AP650" s="116"/>
      <c r="AQ650" s="116"/>
    </row>
    <row r="651" spans="1:43" ht="19.5" x14ac:dyDescent="0.4">
      <c r="Q651" s="115"/>
      <c r="R651" s="122"/>
      <c r="S651" s="122"/>
      <c r="T651" s="122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7"/>
      <c r="AJ651" s="13"/>
      <c r="AN651" s="117"/>
      <c r="AO651" s="116"/>
      <c r="AP651" s="116"/>
      <c r="AQ651" s="116"/>
    </row>
    <row r="652" spans="1:43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22"/>
      <c r="S652" s="122"/>
      <c r="T652" s="122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26"/>
      <c r="AJ652" s="13"/>
      <c r="AN652" s="117"/>
      <c r="AO652" s="116"/>
      <c r="AP652" s="116"/>
      <c r="AQ652" s="116"/>
    </row>
    <row r="653" spans="1:43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22"/>
      <c r="S653" s="122"/>
      <c r="T653" s="122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26"/>
      <c r="AJ653" s="13"/>
      <c r="AN653" s="117"/>
      <c r="AO653" s="116"/>
      <c r="AP653" s="116"/>
      <c r="AQ653" s="116"/>
    </row>
    <row r="654" spans="1:43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22"/>
      <c r="S654" s="122"/>
      <c r="T654" s="122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26"/>
      <c r="AJ654" s="13"/>
      <c r="AN654" s="117"/>
      <c r="AO654" s="116"/>
      <c r="AP654" s="116"/>
      <c r="AQ654" s="116"/>
    </row>
    <row r="655" spans="1:43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22"/>
      <c r="S655" s="122"/>
      <c r="T655" s="122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26"/>
      <c r="AJ655" s="13"/>
      <c r="AN655" s="117"/>
      <c r="AO655" s="116"/>
      <c r="AP655" s="116"/>
      <c r="AQ655" s="116"/>
    </row>
    <row r="656" spans="1:43" ht="19.5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22"/>
      <c r="S656" s="122"/>
      <c r="T656" s="122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7"/>
      <c r="AJ656" s="13"/>
      <c r="AN656" s="117"/>
      <c r="AO656" s="116"/>
      <c r="AP656" s="116"/>
      <c r="AQ656" s="116"/>
    </row>
    <row r="657" spans="1:43" ht="19.5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22"/>
      <c r="S657" s="122"/>
      <c r="T657" s="122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26"/>
      <c r="AJ657" s="13"/>
      <c r="AN657" s="117"/>
      <c r="AO657" s="116"/>
      <c r="AP657" s="116"/>
      <c r="AQ657" s="116"/>
    </row>
    <row r="658" spans="1:43" ht="19.5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22"/>
      <c r="S658" s="122"/>
      <c r="T658" s="122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26"/>
      <c r="AJ658" s="15"/>
      <c r="AN658" s="117"/>
      <c r="AO658" s="116"/>
      <c r="AP658" s="116"/>
      <c r="AQ658" s="116"/>
    </row>
    <row r="659" spans="1:43" ht="19.5" x14ac:dyDescent="0.4">
      <c r="AI659" s="26"/>
      <c r="AJ659" s="15"/>
      <c r="AN659" s="117"/>
      <c r="AO659" s="116"/>
      <c r="AP659" s="116"/>
      <c r="AQ659" s="116"/>
    </row>
    <row r="660" spans="1:43" ht="19.5" x14ac:dyDescent="0.4">
      <c r="P660" s="115"/>
      <c r="Q660" s="115"/>
      <c r="R660" s="122"/>
      <c r="S660" s="122"/>
      <c r="T660" s="122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26"/>
      <c r="AJ660" s="13"/>
      <c r="AN660" s="117"/>
      <c r="AO660" s="116"/>
      <c r="AP660" s="116"/>
      <c r="AQ660" s="116"/>
    </row>
    <row r="661" spans="1:43" ht="19.5" x14ac:dyDescent="0.4">
      <c r="N661" s="115"/>
      <c r="O661" s="115"/>
      <c r="P661" s="115"/>
      <c r="Q661" s="115"/>
      <c r="R661" s="122"/>
      <c r="S661" s="122"/>
      <c r="T661" s="122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26"/>
      <c r="AJ661" s="15"/>
      <c r="AN661" s="117"/>
      <c r="AO661" s="116"/>
      <c r="AP661" s="116"/>
      <c r="AQ661" s="116"/>
    </row>
    <row r="662" spans="1:43" ht="19.5" x14ac:dyDescent="0.4">
      <c r="N662" s="115"/>
      <c r="O662" s="115"/>
      <c r="P662" s="115"/>
      <c r="Q662" s="115"/>
      <c r="R662" s="122"/>
      <c r="S662" s="122"/>
      <c r="T662" s="122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26"/>
      <c r="AJ662" s="15"/>
      <c r="AN662" s="117"/>
      <c r="AO662" s="116"/>
      <c r="AP662" s="116"/>
      <c r="AQ662" s="116"/>
    </row>
    <row r="663" spans="1:43" ht="19.5" x14ac:dyDescent="0.4">
      <c r="N663" s="115"/>
      <c r="O663" s="115"/>
      <c r="P663" s="115"/>
      <c r="Q663" s="115"/>
      <c r="R663" s="122"/>
      <c r="S663" s="122"/>
      <c r="T663" s="122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7"/>
      <c r="AJ663" s="15"/>
      <c r="AN663" s="117"/>
      <c r="AO663" s="116"/>
      <c r="AP663" s="116"/>
      <c r="AQ663" s="116"/>
    </row>
    <row r="664" spans="1:43" ht="19.5" x14ac:dyDescent="0.4">
      <c r="M664" s="115"/>
      <c r="N664" s="115"/>
      <c r="O664" s="115"/>
      <c r="P664" s="115"/>
      <c r="Q664" s="115"/>
      <c r="R664" s="122"/>
      <c r="S664" s="122"/>
      <c r="T664" s="122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26"/>
      <c r="AJ664" s="15"/>
      <c r="AN664" s="117"/>
      <c r="AO664" s="116"/>
      <c r="AP664" s="116"/>
      <c r="AQ664" s="116"/>
    </row>
    <row r="665" spans="1:43" ht="19.5" x14ac:dyDescent="0.4">
      <c r="M665" s="115"/>
      <c r="N665" s="115"/>
      <c r="O665" s="115"/>
      <c r="P665" s="115"/>
      <c r="Q665" s="115"/>
      <c r="R665" s="122"/>
      <c r="S665" s="122"/>
      <c r="T665" s="122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26"/>
      <c r="AJ665" s="15"/>
      <c r="AN665" s="117"/>
      <c r="AO665" s="116"/>
      <c r="AP665" s="116"/>
      <c r="AQ665" s="116"/>
    </row>
    <row r="666" spans="1:43" ht="19.5" x14ac:dyDescent="0.4">
      <c r="M666" s="115"/>
      <c r="N666" s="115"/>
      <c r="O666" s="115"/>
      <c r="P666" s="115"/>
      <c r="Q666" s="115"/>
      <c r="R666" s="122"/>
      <c r="S666" s="122"/>
      <c r="T666" s="122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26"/>
      <c r="AJ666" s="105"/>
      <c r="AN666" s="117"/>
      <c r="AO666" s="116"/>
      <c r="AP666" s="116"/>
      <c r="AQ666" s="116"/>
    </row>
    <row r="667" spans="1:43" ht="19.5" x14ac:dyDescent="0.4">
      <c r="M667" s="115"/>
      <c r="N667" s="115"/>
      <c r="O667" s="115"/>
      <c r="P667" s="115"/>
      <c r="Q667" s="115"/>
      <c r="R667" s="122"/>
      <c r="S667" s="122"/>
      <c r="T667" s="122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7"/>
      <c r="AJ667" s="15"/>
      <c r="AN667" s="117"/>
      <c r="AO667" s="116"/>
      <c r="AP667" s="116"/>
      <c r="AQ667" s="116"/>
    </row>
    <row r="668" spans="1:43" ht="19.5" x14ac:dyDescent="0.4">
      <c r="M668" s="115"/>
      <c r="N668" s="115"/>
      <c r="O668" s="115"/>
      <c r="P668" s="115"/>
      <c r="Q668" s="115"/>
      <c r="R668" s="122"/>
      <c r="S668" s="122"/>
      <c r="T668" s="122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26"/>
      <c r="AJ668" s="15"/>
      <c r="AN668" s="117"/>
      <c r="AO668" s="116"/>
      <c r="AP668" s="116"/>
      <c r="AQ668" s="116"/>
    </row>
    <row r="669" spans="1:43" ht="19.5" x14ac:dyDescent="0.4">
      <c r="M669" s="115"/>
      <c r="N669" s="115"/>
      <c r="O669" s="115"/>
      <c r="P669" s="115"/>
      <c r="Q669" s="115"/>
      <c r="R669" s="122"/>
      <c r="S669" s="122"/>
      <c r="T669" s="122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7"/>
      <c r="AJ669" s="15"/>
      <c r="AN669" s="117"/>
      <c r="AO669" s="116"/>
      <c r="AP669" s="116"/>
      <c r="AQ669" s="116"/>
    </row>
    <row r="670" spans="1:43" ht="19.5" x14ac:dyDescent="0.4"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22"/>
      <c r="S670" s="122"/>
      <c r="T670" s="122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26"/>
      <c r="AJ670" s="15"/>
      <c r="AN670" s="117"/>
      <c r="AO670" s="116"/>
      <c r="AP670" s="116"/>
      <c r="AQ670" s="116"/>
    </row>
    <row r="671" spans="1:43" ht="19.5" x14ac:dyDescent="0.4"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22"/>
      <c r="S671" s="122"/>
      <c r="T671" s="122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7"/>
      <c r="AJ671" s="15"/>
      <c r="AN671" s="117"/>
      <c r="AO671" s="116"/>
      <c r="AP671" s="116"/>
      <c r="AQ671" s="116"/>
    </row>
    <row r="672" spans="1:43" ht="19.5" x14ac:dyDescent="0.4"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22"/>
      <c r="S672" s="122"/>
      <c r="T672" s="122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26"/>
      <c r="AJ672" s="15"/>
      <c r="AN672" s="117"/>
      <c r="AO672" s="116"/>
      <c r="AP672" s="116"/>
      <c r="AQ672" s="116"/>
    </row>
    <row r="673" spans="1:43" ht="19.5" x14ac:dyDescent="0.4"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22"/>
      <c r="S673" s="122"/>
      <c r="T673" s="122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7"/>
      <c r="AJ673" s="15"/>
      <c r="AN673" s="117"/>
      <c r="AO673" s="116"/>
      <c r="AP673" s="116"/>
      <c r="AQ673" s="116"/>
    </row>
    <row r="674" spans="1:43" ht="19.5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22"/>
      <c r="S674" s="122"/>
      <c r="T674" s="122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26"/>
      <c r="AJ674" s="15"/>
      <c r="AN674" s="117"/>
      <c r="AO674" s="116"/>
      <c r="AP674" s="116"/>
      <c r="AQ674" s="116"/>
    </row>
    <row r="675" spans="1:43" ht="19.5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22"/>
      <c r="S675" s="122"/>
      <c r="T675" s="122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26"/>
      <c r="AJ675" s="15"/>
      <c r="AN675" s="117"/>
      <c r="AO675" s="116"/>
      <c r="AP675" s="116"/>
      <c r="AQ675" s="116"/>
    </row>
    <row r="676" spans="1:43" ht="19.5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22"/>
      <c r="S676" s="122"/>
      <c r="T676" s="122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26"/>
      <c r="AJ676" s="15"/>
      <c r="AN676" s="117"/>
      <c r="AO676" s="116"/>
      <c r="AP676" s="116"/>
      <c r="AQ676" s="116"/>
    </row>
    <row r="677" spans="1:43" ht="19.5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22"/>
      <c r="S677" s="122"/>
      <c r="T677" s="122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26"/>
      <c r="AJ677" s="15"/>
      <c r="AN677" s="117"/>
      <c r="AO677" s="116"/>
      <c r="AP677" s="116"/>
      <c r="AQ677" s="116"/>
    </row>
    <row r="678" spans="1:43" ht="19.5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22"/>
      <c r="S678" s="122"/>
      <c r="T678" s="122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26"/>
      <c r="AJ678" s="15"/>
      <c r="AN678" s="117"/>
      <c r="AO678" s="116"/>
      <c r="AP678" s="116"/>
      <c r="AQ678" s="116"/>
    </row>
    <row r="679" spans="1:43" ht="19.5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22"/>
      <c r="S679" s="122"/>
      <c r="T679" s="122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26"/>
      <c r="AJ679" s="15"/>
      <c r="AN679" s="117"/>
      <c r="AO679" s="116"/>
      <c r="AP679" s="116"/>
      <c r="AQ679" s="116"/>
    </row>
    <row r="680" spans="1:43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22"/>
      <c r="S680" s="122"/>
      <c r="T680" s="122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7"/>
      <c r="AJ680" s="15"/>
      <c r="AN680" s="117"/>
      <c r="AO680" s="116"/>
      <c r="AP680" s="116"/>
      <c r="AQ680" s="116"/>
    </row>
    <row r="681" spans="1:43" ht="19.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22"/>
      <c r="S681" s="122"/>
      <c r="T681" s="122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26"/>
      <c r="AJ681" s="15"/>
      <c r="AN681" s="117"/>
      <c r="AO681" s="116"/>
      <c r="AP681" s="116"/>
      <c r="AQ681" s="116"/>
    </row>
    <row r="682" spans="1:43" ht="19.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22"/>
      <c r="S682" s="122"/>
      <c r="T682" s="122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7"/>
      <c r="AJ682" s="15"/>
      <c r="AN682" s="117"/>
      <c r="AO682" s="116"/>
      <c r="AP682" s="116"/>
      <c r="AQ682" s="116"/>
    </row>
    <row r="683" spans="1:43" ht="19.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22"/>
      <c r="S683" s="122"/>
      <c r="T683" s="122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26"/>
      <c r="AJ683" s="15"/>
      <c r="AN683" s="117"/>
      <c r="AO683" s="116"/>
      <c r="AP683" s="116"/>
      <c r="AQ683" s="116"/>
    </row>
    <row r="684" spans="1:43" ht="19.5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22"/>
      <c r="S684" s="122"/>
      <c r="T684" s="122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20"/>
      <c r="AJ684" s="15"/>
      <c r="AN684" s="117"/>
      <c r="AO684" s="116"/>
      <c r="AP684" s="116"/>
      <c r="AQ684" s="116"/>
    </row>
    <row r="685" spans="1:43" ht="19.5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22"/>
      <c r="S685" s="122"/>
      <c r="T685" s="122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20"/>
      <c r="AJ685" s="15"/>
      <c r="AN685" s="117"/>
      <c r="AO685" s="116"/>
      <c r="AP685" s="116"/>
      <c r="AQ685" s="116"/>
    </row>
    <row r="686" spans="1:43" ht="19.5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22"/>
      <c r="S686" s="122"/>
      <c r="T686" s="122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20"/>
      <c r="AJ686" s="15"/>
      <c r="AN686" s="117"/>
      <c r="AO686" s="116"/>
      <c r="AP686" s="116"/>
      <c r="AQ686" s="116"/>
    </row>
    <row r="687" spans="1:43" ht="19.5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22"/>
      <c r="S687" s="122"/>
      <c r="T687" s="122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20"/>
      <c r="AJ687" s="15"/>
      <c r="AN687" s="117"/>
      <c r="AO687" s="116"/>
      <c r="AP687" s="116"/>
      <c r="AQ687" s="116"/>
    </row>
    <row r="688" spans="1:43" ht="19.5" x14ac:dyDescent="0.4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22"/>
      <c r="S688" s="122"/>
      <c r="T688" s="122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25"/>
      <c r="AJ688" s="15"/>
      <c r="AN688" s="117"/>
      <c r="AO688" s="116"/>
      <c r="AP688" s="116"/>
      <c r="AQ688" s="116"/>
    </row>
    <row r="689" spans="1:43" ht="19.5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22"/>
      <c r="S689" s="122"/>
      <c r="T689" s="122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3"/>
      <c r="AJ689" s="15"/>
      <c r="AN689" s="117"/>
      <c r="AO689" s="116"/>
      <c r="AP689" s="116"/>
      <c r="AQ689" s="116"/>
    </row>
    <row r="690" spans="1:43" ht="19.5" x14ac:dyDescent="0.4">
      <c r="AI690" s="25"/>
      <c r="AJ690" s="15"/>
      <c r="AN690" s="117"/>
      <c r="AO690" s="116"/>
      <c r="AP690" s="116"/>
      <c r="AQ690" s="116"/>
    </row>
    <row r="691" spans="1:43" ht="19.5" x14ac:dyDescent="0.4">
      <c r="O691" s="115"/>
      <c r="P691" s="115"/>
      <c r="Q691" s="115"/>
      <c r="R691" s="122"/>
      <c r="S691" s="122"/>
      <c r="T691" s="122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3"/>
      <c r="AJ691" s="15"/>
      <c r="AN691" s="117"/>
      <c r="AO691" s="116"/>
      <c r="AP691" s="116"/>
      <c r="AQ691" s="116"/>
    </row>
    <row r="692" spans="1:43" ht="19.5" x14ac:dyDescent="0.4"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22"/>
      <c r="S692" s="122"/>
      <c r="T692" s="122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25"/>
      <c r="AJ692" s="15"/>
      <c r="AN692" s="117"/>
      <c r="AO692" s="116"/>
      <c r="AP692" s="116"/>
      <c r="AQ692" s="116"/>
    </row>
    <row r="693" spans="1:43" ht="19.5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22"/>
      <c r="S693" s="122"/>
      <c r="T693" s="122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25"/>
      <c r="AJ693" s="15"/>
      <c r="AN693" s="117"/>
      <c r="AO693" s="116"/>
      <c r="AP693" s="116"/>
      <c r="AQ693" s="116"/>
    </row>
    <row r="694" spans="1:43" ht="19.5" x14ac:dyDescent="0.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22"/>
      <c r="S694" s="122"/>
      <c r="T694" s="122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3"/>
      <c r="AJ694" s="15"/>
      <c r="AN694" s="117"/>
      <c r="AO694" s="116"/>
      <c r="AP694" s="116"/>
      <c r="AQ694" s="116"/>
    </row>
    <row r="695" spans="1:43" ht="19.5" x14ac:dyDescent="0.4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22"/>
      <c r="S695" s="122"/>
      <c r="T695" s="122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25"/>
      <c r="AJ695" s="15"/>
      <c r="AN695" s="117"/>
      <c r="AO695" s="116"/>
      <c r="AP695" s="116"/>
      <c r="AQ695" s="116"/>
    </row>
    <row r="696" spans="1:43" ht="19.5" x14ac:dyDescent="0.4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22"/>
      <c r="S696" s="122"/>
      <c r="T696" s="122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3"/>
      <c r="AJ696" s="15"/>
      <c r="AN696" s="117"/>
      <c r="AO696" s="116"/>
      <c r="AP696" s="116"/>
      <c r="AQ696" s="116"/>
    </row>
    <row r="697" spans="1:43" ht="19.5" x14ac:dyDescent="0.4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22"/>
      <c r="S697" s="122"/>
      <c r="T697" s="122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25"/>
      <c r="AJ697" s="15"/>
      <c r="AN697" s="117"/>
      <c r="AO697" s="116"/>
      <c r="AP697" s="116"/>
      <c r="AQ697" s="116"/>
    </row>
    <row r="698" spans="1:43" ht="19.5" x14ac:dyDescent="0.4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22"/>
      <c r="S698" s="122"/>
      <c r="T698" s="122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26"/>
      <c r="AJ698" s="15"/>
      <c r="AN698" s="117"/>
      <c r="AO698" s="116"/>
      <c r="AP698" s="116"/>
      <c r="AQ698" s="116"/>
    </row>
    <row r="699" spans="1:43" ht="19.5" x14ac:dyDescent="0.4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22"/>
      <c r="S699" s="122"/>
      <c r="T699" s="122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7"/>
      <c r="AJ699" s="13"/>
      <c r="AN699" s="117"/>
      <c r="AO699" s="116"/>
      <c r="AP699" s="116"/>
      <c r="AQ699" s="116"/>
    </row>
    <row r="700" spans="1:43" ht="19.5" x14ac:dyDescent="0.4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22"/>
      <c r="S700" s="122"/>
      <c r="T700" s="122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26"/>
      <c r="AJ700" s="13"/>
      <c r="AN700" s="117"/>
      <c r="AO700" s="116"/>
      <c r="AP700" s="116"/>
      <c r="AQ700" s="116"/>
    </row>
    <row r="701" spans="1:43" ht="19.5" x14ac:dyDescent="0.4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22"/>
      <c r="S701" s="122"/>
      <c r="T701" s="122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7"/>
      <c r="AJ701" s="13"/>
      <c r="AN701" s="117"/>
      <c r="AO701" s="116"/>
      <c r="AP701" s="116"/>
      <c r="AQ701" s="116"/>
    </row>
    <row r="702" spans="1:43" ht="19.5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22"/>
      <c r="S702" s="122"/>
      <c r="T702" s="122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26"/>
      <c r="AJ702" s="15"/>
      <c r="AN702" s="117"/>
      <c r="AO702" s="116"/>
      <c r="AP702" s="116"/>
      <c r="AQ702" s="116"/>
    </row>
    <row r="703" spans="1:43" ht="19.5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22"/>
      <c r="S703" s="122"/>
      <c r="T703" s="122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7"/>
      <c r="AJ703" s="15"/>
      <c r="AN703" s="117"/>
      <c r="AO703" s="116"/>
      <c r="AP703" s="116"/>
      <c r="AQ703" s="116"/>
    </row>
    <row r="704" spans="1:43" ht="19.5" x14ac:dyDescent="0.4">
      <c r="AI704" s="26"/>
      <c r="AJ704" s="105"/>
      <c r="AN704" s="117"/>
      <c r="AO704" s="116"/>
      <c r="AP704" s="116"/>
      <c r="AQ704" s="116"/>
    </row>
    <row r="705" spans="1:43" ht="19.5" x14ac:dyDescent="0.4">
      <c r="O705" s="115"/>
      <c r="P705" s="115"/>
      <c r="Q705" s="115"/>
      <c r="R705" s="122"/>
      <c r="S705" s="122"/>
      <c r="T705" s="122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7"/>
      <c r="AJ705" s="15"/>
      <c r="AN705" s="117"/>
      <c r="AO705" s="116"/>
      <c r="AP705" s="116"/>
      <c r="AQ705" s="116"/>
    </row>
    <row r="706" spans="1:43" ht="19.5" x14ac:dyDescent="0.4">
      <c r="L706" s="115"/>
      <c r="M706" s="115"/>
      <c r="N706" s="115"/>
      <c r="O706" s="115"/>
      <c r="P706" s="115"/>
      <c r="Q706" s="115"/>
      <c r="R706" s="122"/>
      <c r="S706" s="122"/>
      <c r="T706" s="122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26"/>
      <c r="AJ706" s="15"/>
      <c r="AN706" s="117"/>
      <c r="AO706" s="116"/>
      <c r="AP706" s="116"/>
      <c r="AQ706" s="116"/>
    </row>
    <row r="707" spans="1:43" ht="19.5" x14ac:dyDescent="0.4">
      <c r="L707" s="115"/>
      <c r="M707" s="115"/>
      <c r="N707" s="115"/>
      <c r="O707" s="115"/>
      <c r="P707" s="115"/>
      <c r="Q707" s="115"/>
      <c r="R707" s="122"/>
      <c r="S707" s="122"/>
      <c r="T707" s="122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7"/>
      <c r="AJ707" s="15"/>
      <c r="AN707" s="117"/>
      <c r="AO707" s="116"/>
      <c r="AP707" s="116"/>
      <c r="AQ707" s="116"/>
    </row>
    <row r="708" spans="1:43" ht="19.5" x14ac:dyDescent="0.4"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22"/>
      <c r="S708" s="122"/>
      <c r="T708" s="122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26"/>
      <c r="AJ708" s="15"/>
      <c r="AN708" s="117"/>
      <c r="AO708" s="116"/>
      <c r="AP708" s="116"/>
      <c r="AQ708" s="116"/>
    </row>
    <row r="709" spans="1:43" ht="19.5" x14ac:dyDescent="0.4"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22"/>
      <c r="S709" s="122"/>
      <c r="T709" s="122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7"/>
      <c r="AJ709" s="15"/>
      <c r="AN709" s="117"/>
      <c r="AO709" s="116"/>
      <c r="AP709" s="116"/>
      <c r="AQ709" s="116"/>
    </row>
    <row r="710" spans="1:43" ht="19.5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22"/>
      <c r="S710" s="122"/>
      <c r="T710" s="122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26"/>
      <c r="AJ710" s="15"/>
      <c r="AN710" s="117"/>
      <c r="AO710" s="116"/>
      <c r="AP710" s="116"/>
      <c r="AQ710" s="116"/>
    </row>
    <row r="711" spans="1:43" ht="19.5" x14ac:dyDescent="0.4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22"/>
      <c r="S711" s="122"/>
      <c r="T711" s="122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26"/>
      <c r="AJ711" s="15"/>
      <c r="AN711" s="117"/>
      <c r="AO711" s="116"/>
      <c r="AP711" s="116"/>
      <c r="AQ711" s="116"/>
    </row>
    <row r="712" spans="1:43" ht="19.5" x14ac:dyDescent="0.4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22"/>
      <c r="S712" s="122"/>
      <c r="T712" s="122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7"/>
      <c r="AJ712" s="15"/>
      <c r="AN712" s="117"/>
      <c r="AO712" s="116"/>
      <c r="AP712" s="116"/>
      <c r="AQ712" s="116"/>
    </row>
    <row r="713" spans="1:43" ht="19.5" x14ac:dyDescent="0.4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22"/>
      <c r="S713" s="122"/>
      <c r="T713" s="122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26"/>
      <c r="AJ713" s="15"/>
      <c r="AN713" s="117"/>
      <c r="AO713" s="116"/>
      <c r="AP713" s="116"/>
      <c r="AQ713" s="116"/>
    </row>
    <row r="714" spans="1:43" ht="19.5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22"/>
      <c r="S714" s="122"/>
      <c r="T714" s="122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7"/>
      <c r="AJ714" s="15"/>
      <c r="AN714" s="117"/>
      <c r="AO714" s="116"/>
      <c r="AP714" s="116"/>
      <c r="AQ714" s="116"/>
    </row>
    <row r="715" spans="1:43" ht="19.5" x14ac:dyDescent="0.4">
      <c r="AI715" s="26"/>
      <c r="AJ715" s="15"/>
      <c r="AN715" s="117"/>
      <c r="AO715" s="116"/>
      <c r="AP715" s="116"/>
      <c r="AQ715" s="116"/>
    </row>
    <row r="716" spans="1:43" ht="19.5" x14ac:dyDescent="0.4">
      <c r="O716" s="115"/>
      <c r="P716" s="115"/>
      <c r="Q716" s="115"/>
      <c r="R716" s="122"/>
      <c r="S716" s="122"/>
      <c r="T716" s="122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7"/>
      <c r="AJ716" s="15"/>
      <c r="AN716" s="117"/>
      <c r="AO716" s="116"/>
      <c r="AP716" s="116"/>
      <c r="AQ716" s="116"/>
    </row>
    <row r="717" spans="1:43" ht="19.5" x14ac:dyDescent="0.4">
      <c r="AI717" s="26"/>
      <c r="AJ717" s="15"/>
      <c r="AN717" s="117"/>
      <c r="AO717" s="116"/>
      <c r="AP717" s="116"/>
      <c r="AQ717" s="116"/>
    </row>
    <row r="718" spans="1:43" ht="19.5" x14ac:dyDescent="0.4">
      <c r="O718" s="115"/>
      <c r="P718" s="115"/>
      <c r="Q718" s="115"/>
      <c r="R718" s="122"/>
      <c r="S718" s="122"/>
      <c r="T718" s="122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7"/>
      <c r="AJ718" s="15"/>
      <c r="AN718" s="117"/>
      <c r="AO718" s="116"/>
      <c r="AP718" s="116"/>
      <c r="AQ718" s="116"/>
    </row>
    <row r="719" spans="1:43" ht="19.5" x14ac:dyDescent="0.4">
      <c r="AI719" s="26"/>
      <c r="AJ719" s="15"/>
      <c r="AN719" s="117"/>
      <c r="AO719" s="116"/>
      <c r="AP719" s="116"/>
      <c r="AQ719" s="116"/>
    </row>
    <row r="720" spans="1:43" ht="19.5" x14ac:dyDescent="0.4">
      <c r="O720" s="115"/>
      <c r="P720" s="115"/>
      <c r="Q720" s="115"/>
      <c r="R720" s="122"/>
      <c r="S720" s="122"/>
      <c r="T720" s="122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7"/>
      <c r="AJ720" s="15"/>
      <c r="AN720" s="117"/>
      <c r="AO720" s="116"/>
      <c r="AP720" s="116"/>
      <c r="AQ720" s="116"/>
    </row>
    <row r="721" spans="2:43" ht="19.5" x14ac:dyDescent="0.4"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22"/>
      <c r="S721" s="122"/>
      <c r="T721" s="122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26"/>
      <c r="AJ721" s="15"/>
      <c r="AN721" s="117"/>
      <c r="AO721" s="116"/>
      <c r="AP721" s="116"/>
      <c r="AQ721" s="116"/>
    </row>
    <row r="722" spans="2:43" ht="19.5" x14ac:dyDescent="0.4"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22"/>
      <c r="S722" s="122"/>
      <c r="T722" s="122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7"/>
      <c r="AJ722" s="15"/>
      <c r="AN722" s="117"/>
      <c r="AO722" s="116"/>
      <c r="AP722" s="116"/>
      <c r="AQ722" s="116"/>
    </row>
    <row r="723" spans="2:43" ht="19.5" x14ac:dyDescent="0.4"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22"/>
      <c r="S723" s="122"/>
      <c r="T723" s="122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26"/>
      <c r="AJ723" s="15"/>
      <c r="AN723" s="117"/>
      <c r="AO723" s="116"/>
      <c r="AP723" s="116"/>
      <c r="AQ723" s="116"/>
    </row>
    <row r="724" spans="2:43" ht="19.5" x14ac:dyDescent="0.4">
      <c r="AI724" s="26"/>
      <c r="AJ724" s="15"/>
      <c r="AN724" s="117"/>
      <c r="AO724" s="116"/>
      <c r="AP724" s="116"/>
      <c r="AQ724" s="116"/>
    </row>
    <row r="725" spans="2:43" ht="19.5" x14ac:dyDescent="0.4">
      <c r="O725" s="115"/>
      <c r="P725" s="115"/>
      <c r="Q725" s="115"/>
      <c r="R725" s="122"/>
      <c r="S725" s="122"/>
      <c r="T725" s="122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7"/>
      <c r="AJ725" s="15"/>
      <c r="AN725" s="117"/>
      <c r="AO725" s="116"/>
      <c r="AP725" s="116"/>
      <c r="AQ725" s="116"/>
    </row>
    <row r="726" spans="2:43" ht="19.5" x14ac:dyDescent="0.4">
      <c r="M726" s="115"/>
      <c r="N726" s="115"/>
      <c r="O726" s="115"/>
      <c r="P726" s="115"/>
      <c r="Q726" s="115"/>
      <c r="R726" s="122"/>
      <c r="S726" s="122"/>
      <c r="T726" s="122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26"/>
      <c r="AJ726" s="15"/>
      <c r="AN726" s="117"/>
      <c r="AO726" s="116"/>
      <c r="AP726" s="116"/>
      <c r="AQ726" s="116"/>
    </row>
    <row r="727" spans="2:43" ht="19.5" x14ac:dyDescent="0.4">
      <c r="M727" s="115"/>
      <c r="N727" s="115"/>
      <c r="O727" s="115"/>
      <c r="P727" s="115"/>
      <c r="Q727" s="115"/>
      <c r="R727" s="122"/>
      <c r="S727" s="122"/>
      <c r="T727" s="122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7"/>
      <c r="AJ727" s="13"/>
      <c r="AN727" s="117"/>
      <c r="AO727" s="116"/>
      <c r="AP727" s="116"/>
      <c r="AQ727" s="116"/>
    </row>
    <row r="728" spans="2:43" ht="19.5" x14ac:dyDescent="0.4">
      <c r="L728" s="115"/>
      <c r="M728" s="115"/>
      <c r="N728" s="115"/>
      <c r="O728" s="115"/>
      <c r="P728" s="115"/>
      <c r="Q728" s="115"/>
      <c r="R728" s="122"/>
      <c r="S728" s="122"/>
      <c r="T728" s="122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26"/>
      <c r="AJ728" s="13"/>
      <c r="AN728" s="117"/>
      <c r="AO728" s="116"/>
      <c r="AP728" s="116"/>
      <c r="AQ728" s="116"/>
    </row>
    <row r="729" spans="2:43" ht="19.5" x14ac:dyDescent="0.4">
      <c r="L729" s="115"/>
      <c r="M729" s="115"/>
      <c r="N729" s="115"/>
      <c r="O729" s="115"/>
      <c r="P729" s="115"/>
      <c r="Q729" s="115"/>
      <c r="R729" s="122"/>
      <c r="S729" s="122"/>
      <c r="T729" s="122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7"/>
      <c r="AJ729" s="13"/>
      <c r="AN729" s="117"/>
      <c r="AO729" s="116"/>
      <c r="AP729" s="116"/>
      <c r="AQ729" s="116"/>
    </row>
    <row r="730" spans="2:43" ht="19.5" x14ac:dyDescent="0.4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22"/>
      <c r="S730" s="122"/>
      <c r="T730" s="122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26"/>
      <c r="AJ730" s="15"/>
      <c r="AN730" s="117"/>
      <c r="AO730" s="116"/>
      <c r="AP730" s="116"/>
      <c r="AQ730" s="116"/>
    </row>
    <row r="731" spans="2:43" ht="19.5" x14ac:dyDescent="0.4"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22"/>
      <c r="S731" s="122"/>
      <c r="T731" s="122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7"/>
      <c r="AJ731" s="15"/>
      <c r="AN731" s="117"/>
      <c r="AO731" s="116"/>
      <c r="AP731" s="116"/>
      <c r="AQ731" s="116"/>
    </row>
    <row r="732" spans="2:43" ht="19.5" x14ac:dyDescent="0.4"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22"/>
      <c r="S732" s="122"/>
      <c r="T732" s="122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26"/>
      <c r="AJ732" s="105"/>
      <c r="AN732" s="117"/>
      <c r="AO732" s="116"/>
      <c r="AP732" s="116"/>
      <c r="AQ732" s="116"/>
    </row>
    <row r="733" spans="2:43" ht="19.5" x14ac:dyDescent="0.4"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22"/>
      <c r="S733" s="122"/>
      <c r="T733" s="122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7"/>
      <c r="AJ733" s="15"/>
      <c r="AN733" s="117"/>
      <c r="AO733" s="116"/>
      <c r="AP733" s="116"/>
      <c r="AQ733" s="116"/>
    </row>
    <row r="734" spans="2:43" ht="19.5" x14ac:dyDescent="0.4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22"/>
      <c r="S734" s="122"/>
      <c r="T734" s="122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26"/>
      <c r="AJ734" s="15"/>
      <c r="AN734" s="117"/>
      <c r="AO734" s="116"/>
      <c r="AP734" s="116"/>
      <c r="AQ734" s="116"/>
    </row>
    <row r="735" spans="2:43" ht="19.5" x14ac:dyDescent="0.4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22"/>
      <c r="S735" s="122"/>
      <c r="T735" s="122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26"/>
      <c r="AJ735" s="15"/>
      <c r="AN735" s="117"/>
      <c r="AO735" s="116"/>
      <c r="AP735" s="116"/>
      <c r="AQ735" s="116"/>
    </row>
    <row r="736" spans="2:43" ht="19.5" x14ac:dyDescent="0.4">
      <c r="AI736" s="26"/>
      <c r="AJ736" s="15"/>
      <c r="AN736" s="117"/>
      <c r="AO736" s="116"/>
      <c r="AP736" s="116"/>
      <c r="AQ736" s="116"/>
    </row>
    <row r="737" spans="1:43" ht="19.5" x14ac:dyDescent="0.4">
      <c r="N737" s="115"/>
      <c r="O737" s="115"/>
      <c r="P737" s="115"/>
      <c r="Q737" s="115"/>
      <c r="R737" s="122"/>
      <c r="S737" s="122"/>
      <c r="T737" s="122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26"/>
      <c r="AJ737" s="15"/>
      <c r="AN737" s="117"/>
      <c r="AO737" s="116"/>
      <c r="AP737" s="116"/>
      <c r="AQ737" s="116"/>
    </row>
    <row r="738" spans="1:43" ht="19.5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22"/>
      <c r="S738" s="122"/>
      <c r="T738" s="122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26"/>
      <c r="AJ738" s="15"/>
      <c r="AN738" s="117"/>
      <c r="AO738" s="116"/>
      <c r="AP738" s="116"/>
      <c r="AQ738" s="116"/>
    </row>
    <row r="739" spans="1:43" ht="19.5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22"/>
      <c r="S739" s="122"/>
      <c r="T739" s="122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26"/>
      <c r="AJ739" s="15"/>
      <c r="AN739" s="117"/>
      <c r="AO739" s="116"/>
      <c r="AP739" s="116"/>
      <c r="AQ739" s="116"/>
    </row>
    <row r="740" spans="1:43" ht="19.5" x14ac:dyDescent="0.4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22"/>
      <c r="S740" s="122"/>
      <c r="T740" s="122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7"/>
      <c r="AJ740" s="15"/>
      <c r="AN740" s="117"/>
      <c r="AO740" s="116"/>
      <c r="AP740" s="116"/>
      <c r="AQ740" s="116"/>
    </row>
    <row r="741" spans="1:43" ht="19.5" x14ac:dyDescent="0.4">
      <c r="AI741" s="26"/>
      <c r="AJ741" s="15"/>
      <c r="AN741" s="117"/>
      <c r="AO741" s="116"/>
      <c r="AP741" s="116"/>
      <c r="AQ741" s="116"/>
    </row>
    <row r="742" spans="1:43" ht="19.5" x14ac:dyDescent="0.4">
      <c r="O742" s="115"/>
      <c r="P742" s="115"/>
      <c r="Q742" s="115"/>
      <c r="R742" s="122"/>
      <c r="S742" s="122"/>
      <c r="T742" s="122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7"/>
      <c r="AJ742" s="15"/>
      <c r="AN742" s="117"/>
      <c r="AO742" s="116"/>
      <c r="AP742" s="116"/>
      <c r="AQ742" s="116"/>
    </row>
    <row r="743" spans="1:43" ht="19.5" x14ac:dyDescent="0.4">
      <c r="N743" s="115"/>
      <c r="O743" s="115"/>
      <c r="P743" s="115"/>
      <c r="Q743" s="115"/>
      <c r="R743" s="122"/>
      <c r="S743" s="122"/>
      <c r="T743" s="122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26"/>
      <c r="AJ743" s="15"/>
      <c r="AN743" s="117"/>
      <c r="AO743" s="116"/>
      <c r="AP743" s="116"/>
      <c r="AQ743" s="116"/>
    </row>
    <row r="744" spans="1:43" ht="19.5" x14ac:dyDescent="0.4"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22"/>
      <c r="S744" s="122"/>
      <c r="T744" s="122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26"/>
      <c r="AJ744" s="15"/>
      <c r="AN744" s="117"/>
      <c r="AO744" s="116"/>
      <c r="AP744" s="116"/>
      <c r="AQ744" s="116"/>
    </row>
    <row r="745" spans="1:43" ht="19.5" x14ac:dyDescent="0.4"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22"/>
      <c r="S745" s="122"/>
      <c r="T745" s="122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26"/>
      <c r="AJ745" s="15"/>
      <c r="AN745" s="117"/>
      <c r="AO745" s="116"/>
      <c r="AP745" s="116"/>
      <c r="AQ745" s="116"/>
    </row>
    <row r="746" spans="1:43" ht="19.5" x14ac:dyDescent="0.4"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22"/>
      <c r="S746" s="122"/>
      <c r="T746" s="122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26"/>
      <c r="AJ746" s="15"/>
      <c r="AN746" s="117"/>
      <c r="AO746" s="116"/>
      <c r="AP746" s="116"/>
      <c r="AQ746" s="116"/>
    </row>
    <row r="747" spans="1:43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22"/>
      <c r="S747" s="122"/>
      <c r="T747" s="122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26"/>
      <c r="AJ747" s="15"/>
      <c r="AN747" s="117"/>
      <c r="AO747" s="116"/>
      <c r="AP747" s="116"/>
      <c r="AQ747" s="116"/>
    </row>
    <row r="748" spans="1:43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22"/>
      <c r="S748" s="122"/>
      <c r="T748" s="122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26"/>
      <c r="AJ748" s="15"/>
      <c r="AN748" s="117"/>
      <c r="AO748" s="116"/>
      <c r="AP748" s="116"/>
      <c r="AQ748" s="116"/>
    </row>
    <row r="749" spans="1:43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22"/>
      <c r="S749" s="122"/>
      <c r="T749" s="122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7"/>
      <c r="AJ749" s="15"/>
      <c r="AN749" s="117"/>
      <c r="AO749" s="116"/>
      <c r="AP749" s="116"/>
      <c r="AQ749" s="116"/>
    </row>
    <row r="750" spans="1:43" ht="19.5" x14ac:dyDescent="0.4">
      <c r="AI750" s="26"/>
      <c r="AJ750" s="15"/>
      <c r="AN750" s="117"/>
      <c r="AO750" s="116"/>
      <c r="AP750" s="116"/>
      <c r="AQ750" s="116"/>
    </row>
    <row r="751" spans="1:43" ht="19.5" x14ac:dyDescent="0.4">
      <c r="O751" s="115"/>
      <c r="P751" s="115"/>
      <c r="Q751" s="115"/>
      <c r="R751" s="122"/>
      <c r="S751" s="122"/>
      <c r="T751" s="122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7"/>
      <c r="AJ751" s="13"/>
      <c r="AN751" s="117"/>
      <c r="AO751" s="116"/>
      <c r="AP751" s="116"/>
      <c r="AQ751" s="116"/>
    </row>
    <row r="752" spans="1:43" ht="19.5" x14ac:dyDescent="0.4">
      <c r="O752" s="115"/>
      <c r="P752" s="115"/>
      <c r="Q752" s="115"/>
      <c r="R752" s="122"/>
      <c r="S752" s="122"/>
      <c r="T752" s="122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7"/>
      <c r="AJ752" s="13"/>
      <c r="AN752" s="117"/>
      <c r="AO752" s="116"/>
      <c r="AP752" s="116"/>
      <c r="AQ752" s="116"/>
    </row>
    <row r="753" spans="1:43" ht="19.5" x14ac:dyDescent="0.4">
      <c r="AI753" s="26"/>
      <c r="AJ753" s="13"/>
      <c r="AN753" s="117"/>
      <c r="AO753" s="116"/>
      <c r="AP753" s="116"/>
      <c r="AQ753" s="116"/>
    </row>
    <row r="754" spans="1:43" ht="19.5" x14ac:dyDescent="0.4">
      <c r="AI754" s="26"/>
      <c r="AJ754" s="13"/>
      <c r="AN754" s="116"/>
      <c r="AO754" s="116"/>
      <c r="AP754" s="116"/>
      <c r="AQ754" s="116"/>
    </row>
    <row r="755" spans="1:43" ht="19.5" x14ac:dyDescent="0.4"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22"/>
      <c r="S755" s="122"/>
      <c r="T755" s="122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26"/>
      <c r="AJ755" s="13"/>
      <c r="AN755" s="118"/>
      <c r="AO755" s="118"/>
      <c r="AP755" s="118"/>
      <c r="AQ755" s="118"/>
    </row>
    <row r="756" spans="1:43" ht="19.5" x14ac:dyDescent="0.4"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22"/>
      <c r="S756" s="122"/>
      <c r="T756" s="122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26"/>
      <c r="AJ756" s="13"/>
      <c r="AN756" s="118"/>
      <c r="AO756" s="118"/>
      <c r="AP756" s="118"/>
      <c r="AQ756" s="118"/>
    </row>
    <row r="757" spans="1:43" ht="19.5" x14ac:dyDescent="0.4"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22"/>
      <c r="S757" s="122"/>
      <c r="T757" s="122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26"/>
      <c r="AJ757" s="13"/>
      <c r="AN757" s="118"/>
      <c r="AO757" s="118"/>
      <c r="AP757" s="118"/>
      <c r="AQ757" s="118"/>
    </row>
    <row r="758" spans="1:43" ht="19.5" x14ac:dyDescent="0.4"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22"/>
      <c r="S758" s="122"/>
      <c r="T758" s="122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26"/>
      <c r="AJ758" s="15"/>
      <c r="AN758" s="118"/>
      <c r="AO758" s="118"/>
      <c r="AP758" s="118"/>
      <c r="AQ758" s="118"/>
    </row>
    <row r="759" spans="1:43" ht="19.5" x14ac:dyDescent="0.4"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22"/>
      <c r="S759" s="122"/>
      <c r="T759" s="122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26"/>
      <c r="AJ759" s="15"/>
      <c r="AN759" s="118"/>
      <c r="AO759" s="118"/>
      <c r="AP759" s="118"/>
      <c r="AQ759" s="118"/>
    </row>
    <row r="760" spans="1:43" ht="19.5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22"/>
      <c r="S760" s="122"/>
      <c r="T760" s="122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26"/>
      <c r="AJ760" s="15"/>
      <c r="AN760" s="118"/>
      <c r="AO760" s="118"/>
      <c r="AP760" s="118"/>
      <c r="AQ760" s="118"/>
    </row>
    <row r="761" spans="1:43" ht="19.5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22"/>
      <c r="S761" s="122"/>
      <c r="T761" s="122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26"/>
      <c r="AJ761" s="15"/>
      <c r="AN761" s="118"/>
      <c r="AO761" s="118"/>
      <c r="AP761" s="118"/>
      <c r="AQ761" s="118"/>
    </row>
    <row r="762" spans="1:43" ht="20.25" customHeight="1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22"/>
      <c r="S762" s="122"/>
      <c r="T762" s="122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26"/>
      <c r="AJ762" s="15"/>
      <c r="AN762" s="118"/>
      <c r="AO762" s="118"/>
      <c r="AP762" s="118"/>
      <c r="AQ762" s="118"/>
    </row>
    <row r="763" spans="1:43" x14ac:dyDescent="0.4">
      <c r="AI763" s="26"/>
      <c r="AJ763" s="15"/>
    </row>
    <row r="764" spans="1:43" x14ac:dyDescent="0.4">
      <c r="AI764" s="26"/>
      <c r="AJ764" s="13"/>
    </row>
    <row r="765" spans="1:43" x14ac:dyDescent="0.4">
      <c r="M765" s="115"/>
      <c r="N765" s="115"/>
      <c r="O765" s="115"/>
      <c r="P765" s="115"/>
      <c r="Q765" s="115"/>
      <c r="R765" s="122"/>
      <c r="S765" s="122"/>
      <c r="T765" s="122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26"/>
      <c r="AJ765" s="13"/>
    </row>
    <row r="766" spans="1:43" x14ac:dyDescent="0.4">
      <c r="M766" s="115"/>
      <c r="N766" s="115"/>
      <c r="O766" s="115"/>
      <c r="P766" s="115"/>
      <c r="Q766" s="115"/>
      <c r="R766" s="122"/>
      <c r="S766" s="122"/>
      <c r="T766" s="122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7"/>
      <c r="AJ766" s="13"/>
    </row>
    <row r="767" spans="1:43" x14ac:dyDescent="0.4"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22"/>
      <c r="S767" s="122"/>
      <c r="T767" s="122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26"/>
      <c r="AJ767" s="13"/>
    </row>
    <row r="768" spans="1:43" x14ac:dyDescent="0.4"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22"/>
      <c r="S768" s="122"/>
      <c r="T768" s="122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26"/>
      <c r="AJ768" s="13"/>
    </row>
    <row r="769" spans="1:36" x14ac:dyDescent="0.4">
      <c r="AI769" s="26"/>
      <c r="AJ769" s="13"/>
    </row>
    <row r="770" spans="1:36" x14ac:dyDescent="0.4"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22"/>
      <c r="S770" s="122"/>
      <c r="T770" s="122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26"/>
      <c r="AJ770" s="13"/>
    </row>
    <row r="771" spans="1:36" x14ac:dyDescent="0.4"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22"/>
      <c r="S771" s="122"/>
      <c r="T771" s="122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26"/>
      <c r="AJ771" s="13"/>
    </row>
    <row r="772" spans="1:36" x14ac:dyDescent="0.4">
      <c r="AI772" s="26"/>
      <c r="AJ772" s="13"/>
    </row>
    <row r="773" spans="1:36" x14ac:dyDescent="0.4"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22"/>
      <c r="S773" s="122"/>
      <c r="T773" s="122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26"/>
      <c r="AJ773" s="13"/>
    </row>
    <row r="774" spans="1:36" x14ac:dyDescent="0.4">
      <c r="AI774" s="26"/>
      <c r="AJ774" s="13"/>
    </row>
    <row r="775" spans="1:36" x14ac:dyDescent="0.4">
      <c r="L775" s="115"/>
      <c r="M775" s="115"/>
      <c r="N775" s="115"/>
      <c r="O775" s="115"/>
      <c r="P775" s="115"/>
      <c r="Q775" s="115"/>
      <c r="R775" s="122"/>
      <c r="S775" s="122"/>
      <c r="T775" s="122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26"/>
      <c r="AJ775" s="13"/>
    </row>
    <row r="776" spans="1:36" x14ac:dyDescent="0.4">
      <c r="AI776" s="26"/>
      <c r="AJ776" s="13"/>
    </row>
    <row r="777" spans="1:36" x14ac:dyDescent="0.4"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22"/>
      <c r="S777" s="122"/>
      <c r="T777" s="122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26"/>
      <c r="AJ777" s="15"/>
    </row>
    <row r="778" spans="1:36" x14ac:dyDescent="0.4"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22"/>
      <c r="S778" s="122"/>
      <c r="T778" s="122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26"/>
      <c r="AJ778" s="15"/>
    </row>
    <row r="779" spans="1:36" x14ac:dyDescent="0.4"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22"/>
      <c r="S779" s="122"/>
      <c r="T779" s="122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26"/>
      <c r="AJ779" s="15"/>
    </row>
    <row r="780" spans="1:36" x14ac:dyDescent="0.4">
      <c r="AI780" s="26"/>
      <c r="AJ780" s="13"/>
    </row>
    <row r="781" spans="1:36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22"/>
      <c r="S781" s="122"/>
      <c r="T781" s="122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26"/>
      <c r="AJ781" s="15"/>
    </row>
    <row r="782" spans="1:36" x14ac:dyDescent="0.4">
      <c r="AI782" s="26"/>
      <c r="AJ782" s="15"/>
    </row>
    <row r="783" spans="1:36" x14ac:dyDescent="0.4">
      <c r="AI783" s="26"/>
      <c r="AJ783" s="15"/>
    </row>
    <row r="784" spans="1:36" x14ac:dyDescent="0.4"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22"/>
      <c r="S784" s="122"/>
      <c r="T784" s="122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26"/>
      <c r="AJ784" s="15"/>
    </row>
    <row r="785" spans="1:36" x14ac:dyDescent="0.4"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22"/>
      <c r="S785" s="122"/>
      <c r="T785" s="122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26"/>
      <c r="AJ785" s="15"/>
    </row>
    <row r="786" spans="1:36" x14ac:dyDescent="0.4">
      <c r="AI786" s="26"/>
      <c r="AJ786" s="15"/>
    </row>
    <row r="787" spans="1:36" x14ac:dyDescent="0.4">
      <c r="K787" s="115"/>
      <c r="L787" s="115"/>
      <c r="M787" s="115"/>
      <c r="N787" s="115"/>
      <c r="O787" s="115"/>
      <c r="P787" s="115"/>
      <c r="Q787" s="115"/>
      <c r="R787" s="122"/>
      <c r="S787" s="122"/>
      <c r="T787" s="122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26"/>
      <c r="AJ787" s="15"/>
    </row>
    <row r="788" spans="1:36" x14ac:dyDescent="0.4"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22"/>
      <c r="S788" s="122"/>
      <c r="T788" s="122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26"/>
      <c r="AJ788" s="15"/>
    </row>
    <row r="789" spans="1:36" x14ac:dyDescent="0.4"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22"/>
      <c r="S789" s="122"/>
      <c r="T789" s="122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26"/>
      <c r="AJ789" s="15"/>
    </row>
    <row r="790" spans="1:36" x14ac:dyDescent="0.4"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22"/>
      <c r="S790" s="122"/>
      <c r="T790" s="122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26"/>
      <c r="AJ790" s="15"/>
    </row>
    <row r="791" spans="1:36" x14ac:dyDescent="0.4"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22"/>
      <c r="S791" s="122"/>
      <c r="T791" s="122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26"/>
      <c r="AJ791" s="15"/>
    </row>
    <row r="792" spans="1:36" x14ac:dyDescent="0.4">
      <c r="AI792" s="26"/>
      <c r="AJ792" s="15"/>
    </row>
    <row r="793" spans="1:36" x14ac:dyDescent="0.4">
      <c r="N793" s="115"/>
      <c r="O793" s="115"/>
      <c r="P793" s="115"/>
      <c r="Q793" s="115"/>
      <c r="R793" s="122"/>
      <c r="S793" s="122"/>
      <c r="T793" s="122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7"/>
      <c r="AJ793" s="15"/>
    </row>
    <row r="794" spans="1:36" x14ac:dyDescent="0.4">
      <c r="AI794" s="26"/>
      <c r="AJ794" s="15"/>
    </row>
    <row r="795" spans="1:36" x14ac:dyDescent="0.4">
      <c r="L795" s="115"/>
      <c r="M795" s="115"/>
      <c r="N795" s="115"/>
      <c r="O795" s="115"/>
      <c r="P795" s="115"/>
      <c r="Q795" s="115"/>
      <c r="R795" s="122"/>
      <c r="S795" s="122"/>
      <c r="T795" s="122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26"/>
      <c r="AJ795" s="15"/>
    </row>
    <row r="796" spans="1:36" x14ac:dyDescent="0.4">
      <c r="AI796" s="26"/>
      <c r="AJ796" s="15"/>
    </row>
    <row r="797" spans="1:36" x14ac:dyDescent="0.4">
      <c r="AI797" s="26"/>
      <c r="AJ797" s="15"/>
    </row>
    <row r="798" spans="1:36" x14ac:dyDescent="0.4"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22"/>
      <c r="S798" s="122"/>
      <c r="T798" s="122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26"/>
      <c r="AJ798" s="15"/>
    </row>
    <row r="799" spans="1:36" x14ac:dyDescent="0.4"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22"/>
      <c r="S799" s="122"/>
      <c r="T799" s="122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26"/>
      <c r="AJ799" s="15"/>
    </row>
    <row r="800" spans="1:36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22"/>
      <c r="S800" s="122"/>
      <c r="T800" s="122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26"/>
      <c r="AJ800" s="15"/>
    </row>
    <row r="801" spans="1:36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22"/>
      <c r="S801" s="122"/>
      <c r="T801" s="122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26"/>
      <c r="AJ801" s="15"/>
    </row>
    <row r="802" spans="1:36" x14ac:dyDescent="0.4">
      <c r="AI802" s="26"/>
      <c r="AJ802" s="15"/>
    </row>
    <row r="803" spans="1:36" x14ac:dyDescent="0.4">
      <c r="N803" s="115"/>
      <c r="O803" s="115"/>
      <c r="P803" s="115"/>
      <c r="Q803" s="115"/>
      <c r="R803" s="122"/>
      <c r="S803" s="122"/>
      <c r="T803" s="122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7"/>
      <c r="AJ803" s="15"/>
    </row>
    <row r="804" spans="1:36" x14ac:dyDescent="0.4">
      <c r="AI804" s="26"/>
      <c r="AJ804" s="15"/>
    </row>
    <row r="805" spans="1:36" x14ac:dyDescent="0.4"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22"/>
      <c r="S805" s="122"/>
      <c r="T805" s="122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26"/>
      <c r="AJ805" s="15"/>
    </row>
    <row r="806" spans="1:36" x14ac:dyDescent="0.4"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22"/>
      <c r="S806" s="122"/>
      <c r="T806" s="122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26"/>
      <c r="AJ806" s="15"/>
    </row>
    <row r="807" spans="1:36" x14ac:dyDescent="0.4"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22"/>
      <c r="S807" s="122"/>
      <c r="T807" s="122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7"/>
      <c r="AJ807" s="15"/>
    </row>
    <row r="808" spans="1:36" x14ac:dyDescent="0.4">
      <c r="AI808" s="26"/>
      <c r="AJ808" s="15"/>
    </row>
    <row r="809" spans="1:36" x14ac:dyDescent="0.4"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22"/>
      <c r="S809" s="122"/>
      <c r="T809" s="122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26"/>
      <c r="AJ809" s="15"/>
    </row>
    <row r="810" spans="1:36" x14ac:dyDescent="0.4"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22"/>
      <c r="S810" s="122"/>
      <c r="T810" s="122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7"/>
      <c r="AJ810" s="15"/>
    </row>
    <row r="811" spans="1:36" x14ac:dyDescent="0.4">
      <c r="AI811" s="26"/>
      <c r="AJ811" s="15"/>
    </row>
    <row r="812" spans="1:36" x14ac:dyDescent="0.4">
      <c r="N812" s="115"/>
      <c r="O812" s="115"/>
      <c r="P812" s="115"/>
      <c r="Q812" s="115"/>
      <c r="R812" s="122"/>
      <c r="S812" s="122"/>
      <c r="T812" s="122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7"/>
      <c r="AJ812" s="15"/>
    </row>
    <row r="813" spans="1:36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22"/>
      <c r="S813" s="122"/>
      <c r="T813" s="122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26"/>
      <c r="AJ813" s="15"/>
    </row>
    <row r="814" spans="1:36" x14ac:dyDescent="0.4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22"/>
      <c r="S814" s="122"/>
      <c r="T814" s="122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7"/>
      <c r="AJ814" s="15"/>
    </row>
    <row r="815" spans="1:36" x14ac:dyDescent="0.4">
      <c r="AI815" s="26"/>
      <c r="AJ815" s="15"/>
    </row>
    <row r="816" spans="1:36" x14ac:dyDescent="0.4">
      <c r="AI816" s="26"/>
      <c r="AJ816" s="15"/>
    </row>
    <row r="817" spans="3:36" x14ac:dyDescent="0.4">
      <c r="M817" s="115"/>
      <c r="N817" s="115"/>
      <c r="O817" s="115"/>
      <c r="P817" s="115"/>
      <c r="Q817" s="115"/>
      <c r="R817" s="122"/>
      <c r="S817" s="122"/>
      <c r="T817" s="122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26"/>
      <c r="AJ817" s="15"/>
    </row>
    <row r="818" spans="3:36" x14ac:dyDescent="0.4">
      <c r="K818" s="115"/>
      <c r="L818" s="115"/>
      <c r="M818" s="115"/>
      <c r="N818" s="115"/>
      <c r="O818" s="115"/>
      <c r="P818" s="115"/>
      <c r="Q818" s="115"/>
      <c r="R818" s="122"/>
      <c r="S818" s="122"/>
      <c r="T818" s="122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26"/>
      <c r="AJ818" s="15"/>
    </row>
    <row r="819" spans="3:36" x14ac:dyDescent="0.4">
      <c r="K819" s="115"/>
      <c r="L819" s="115"/>
      <c r="M819" s="115"/>
      <c r="N819" s="115"/>
      <c r="O819" s="115"/>
      <c r="P819" s="115"/>
      <c r="Q819" s="115"/>
      <c r="R819" s="122"/>
      <c r="S819" s="122"/>
      <c r="T819" s="122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26"/>
      <c r="AJ819" s="15"/>
    </row>
    <row r="820" spans="3:36" x14ac:dyDescent="0.4"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22"/>
      <c r="S820" s="122"/>
      <c r="T820" s="122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26"/>
      <c r="AJ820" s="15"/>
    </row>
    <row r="821" spans="3:36" x14ac:dyDescent="0.4"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22"/>
      <c r="S821" s="122"/>
      <c r="T821" s="122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26"/>
      <c r="AJ821" s="15"/>
    </row>
    <row r="822" spans="3:36" x14ac:dyDescent="0.4">
      <c r="AI822" s="26"/>
      <c r="AJ822" s="15"/>
    </row>
    <row r="823" spans="3:36" x14ac:dyDescent="0.4">
      <c r="M823" s="115"/>
      <c r="N823" s="115"/>
      <c r="O823" s="115"/>
      <c r="P823" s="115"/>
      <c r="Q823" s="115"/>
      <c r="R823" s="122"/>
      <c r="S823" s="122"/>
      <c r="T823" s="122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26"/>
      <c r="AJ823" s="15"/>
    </row>
    <row r="824" spans="3:36" x14ac:dyDescent="0.4">
      <c r="AI824" s="26"/>
      <c r="AJ824" s="15"/>
    </row>
    <row r="825" spans="3:36" x14ac:dyDescent="0.4">
      <c r="N825" s="115"/>
      <c r="O825" s="115"/>
      <c r="P825" s="115"/>
      <c r="Q825" s="115"/>
      <c r="R825" s="122"/>
      <c r="S825" s="122"/>
      <c r="T825" s="122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7"/>
      <c r="AJ825" s="15"/>
    </row>
    <row r="826" spans="3:36" x14ac:dyDescent="0.4">
      <c r="M826" s="115"/>
      <c r="N826" s="115"/>
      <c r="O826" s="115"/>
      <c r="P826" s="115"/>
      <c r="Q826" s="115"/>
      <c r="R826" s="122"/>
      <c r="S826" s="122"/>
      <c r="T826" s="122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26"/>
      <c r="AJ826" s="15"/>
    </row>
    <row r="827" spans="3:36" x14ac:dyDescent="0.4"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22"/>
      <c r="S827" s="122"/>
      <c r="T827" s="122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26"/>
      <c r="AJ827" s="15"/>
    </row>
    <row r="828" spans="3:36" x14ac:dyDescent="0.4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22"/>
      <c r="S828" s="122"/>
      <c r="T828" s="122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7"/>
      <c r="AJ828" s="15"/>
    </row>
    <row r="829" spans="3:36" x14ac:dyDescent="0.4">
      <c r="AI829" s="26"/>
      <c r="AJ829" s="15"/>
    </row>
    <row r="830" spans="3:36" x14ac:dyDescent="0.4">
      <c r="N830" s="115"/>
      <c r="O830" s="115"/>
      <c r="P830" s="115"/>
      <c r="Q830" s="115"/>
      <c r="R830" s="122"/>
      <c r="S830" s="122"/>
      <c r="T830" s="122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7"/>
      <c r="AJ830" s="15"/>
    </row>
    <row r="831" spans="3:36" x14ac:dyDescent="0.4">
      <c r="M831" s="115"/>
      <c r="N831" s="115"/>
      <c r="O831" s="115"/>
      <c r="P831" s="115"/>
      <c r="Q831" s="115"/>
      <c r="R831" s="122"/>
      <c r="S831" s="122"/>
      <c r="T831" s="122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26"/>
      <c r="AJ831" s="15"/>
    </row>
    <row r="832" spans="3:36" x14ac:dyDescent="0.4">
      <c r="M832" s="115"/>
      <c r="N832" s="115"/>
      <c r="O832" s="115"/>
      <c r="P832" s="115"/>
      <c r="Q832" s="115"/>
      <c r="R832" s="122"/>
      <c r="S832" s="122"/>
      <c r="T832" s="122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7"/>
      <c r="AJ832" s="15"/>
    </row>
    <row r="833" spans="4:36" x14ac:dyDescent="0.4">
      <c r="M833" s="115"/>
      <c r="N833" s="115"/>
      <c r="O833" s="115"/>
      <c r="P833" s="115"/>
      <c r="Q833" s="115"/>
      <c r="R833" s="122"/>
      <c r="S833" s="122"/>
      <c r="T833" s="122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7"/>
      <c r="AJ833" s="15"/>
    </row>
    <row r="834" spans="4:36" x14ac:dyDescent="0.4"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22"/>
      <c r="S834" s="122"/>
      <c r="T834" s="122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26"/>
      <c r="AJ834" s="15"/>
    </row>
    <row r="835" spans="4:36" x14ac:dyDescent="0.4"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22"/>
      <c r="S835" s="122"/>
      <c r="T835" s="122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26"/>
      <c r="AJ835" s="15"/>
    </row>
    <row r="836" spans="4:36" x14ac:dyDescent="0.4"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22"/>
      <c r="S836" s="122"/>
      <c r="T836" s="122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26"/>
      <c r="AJ836" s="15"/>
    </row>
    <row r="837" spans="4:36" x14ac:dyDescent="0.4"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22"/>
      <c r="S837" s="122"/>
      <c r="T837" s="122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26"/>
      <c r="AJ837" s="15"/>
    </row>
    <row r="838" spans="4:36" x14ac:dyDescent="0.4"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22"/>
      <c r="S838" s="122"/>
      <c r="T838" s="122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26"/>
      <c r="AJ838" s="15"/>
    </row>
    <row r="839" spans="4:36" x14ac:dyDescent="0.4"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22"/>
      <c r="S839" s="122"/>
      <c r="T839" s="122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7"/>
      <c r="AJ839" s="15"/>
    </row>
    <row r="840" spans="4:36" x14ac:dyDescent="0.4">
      <c r="AI840" s="26"/>
      <c r="AJ840" s="15"/>
    </row>
    <row r="841" spans="4:36" x14ac:dyDescent="0.4">
      <c r="M841" s="115"/>
      <c r="N841" s="115"/>
      <c r="O841" s="115"/>
      <c r="P841" s="115"/>
      <c r="Q841" s="115"/>
      <c r="R841" s="122"/>
      <c r="S841" s="122"/>
      <c r="T841" s="122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7"/>
      <c r="AJ841" s="13"/>
    </row>
    <row r="842" spans="4:36" x14ac:dyDescent="0.4">
      <c r="M842" s="115"/>
      <c r="N842" s="115"/>
      <c r="O842" s="115"/>
      <c r="P842" s="115"/>
      <c r="Q842" s="115"/>
      <c r="R842" s="122"/>
      <c r="S842" s="122"/>
      <c r="T842" s="122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7"/>
      <c r="AJ842" s="13"/>
    </row>
    <row r="843" spans="4:36" x14ac:dyDescent="0.4">
      <c r="K843" s="115"/>
      <c r="L843" s="115"/>
      <c r="M843" s="115"/>
      <c r="N843" s="115"/>
      <c r="O843" s="115"/>
      <c r="P843" s="115"/>
      <c r="Q843" s="115"/>
      <c r="R843" s="122"/>
      <c r="S843" s="122"/>
      <c r="T843" s="122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26"/>
      <c r="AJ843" s="13"/>
    </row>
    <row r="844" spans="4:36" x14ac:dyDescent="0.4">
      <c r="K844" s="115"/>
      <c r="L844" s="115"/>
      <c r="M844" s="115"/>
      <c r="N844" s="115"/>
      <c r="O844" s="115"/>
      <c r="P844" s="115"/>
      <c r="Q844" s="115"/>
      <c r="R844" s="122"/>
      <c r="S844" s="122"/>
      <c r="T844" s="122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7"/>
      <c r="AJ844" s="13"/>
    </row>
    <row r="845" spans="4:36" x14ac:dyDescent="0.4">
      <c r="AI845" s="26"/>
      <c r="AJ845" s="13"/>
    </row>
    <row r="846" spans="4:36" x14ac:dyDescent="0.4">
      <c r="L846" s="115"/>
      <c r="M846" s="115"/>
      <c r="N846" s="115"/>
      <c r="O846" s="115"/>
      <c r="P846" s="115"/>
      <c r="Q846" s="115"/>
      <c r="R846" s="122"/>
      <c r="S846" s="122"/>
      <c r="T846" s="122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7"/>
      <c r="AJ846" s="13"/>
    </row>
    <row r="847" spans="4:36" x14ac:dyDescent="0.4">
      <c r="AI847" s="26"/>
      <c r="AJ847" s="13"/>
    </row>
    <row r="848" spans="4:36" x14ac:dyDescent="0.4">
      <c r="AI848" s="26"/>
      <c r="AJ848" s="13"/>
    </row>
    <row r="849" spans="3:36" x14ac:dyDescent="0.4"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22"/>
      <c r="S849" s="122"/>
      <c r="T849" s="122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26"/>
      <c r="AJ849" s="13"/>
    </row>
    <row r="850" spans="3:36" x14ac:dyDescent="0.4"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22"/>
      <c r="S850" s="122"/>
      <c r="T850" s="122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26"/>
      <c r="AJ850" s="13"/>
    </row>
    <row r="851" spans="3:36" x14ac:dyDescent="0.4">
      <c r="AI851" s="26"/>
      <c r="AJ851" s="13"/>
    </row>
    <row r="852" spans="3:36" x14ac:dyDescent="0.4">
      <c r="AI852" s="26"/>
      <c r="AJ852" s="13"/>
    </row>
    <row r="853" spans="3:36" x14ac:dyDescent="0.4"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22"/>
      <c r="S853" s="122"/>
      <c r="T853" s="122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26"/>
      <c r="AJ853" s="13"/>
    </row>
    <row r="854" spans="3:36" x14ac:dyDescent="0.4">
      <c r="AI854" s="26"/>
      <c r="AJ854" s="105"/>
    </row>
    <row r="855" spans="3:36" x14ac:dyDescent="0.4"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22"/>
      <c r="S855" s="122"/>
      <c r="T855" s="122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26"/>
      <c r="AJ855" s="15"/>
    </row>
    <row r="856" spans="3:36" x14ac:dyDescent="0.4"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22"/>
      <c r="S856" s="122"/>
      <c r="T856" s="122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7"/>
      <c r="AJ856" s="15"/>
    </row>
    <row r="857" spans="3:36" x14ac:dyDescent="0.4">
      <c r="AI857" s="26"/>
      <c r="AJ857" s="15"/>
    </row>
    <row r="858" spans="3:36" x14ac:dyDescent="0.4"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22"/>
      <c r="S858" s="122"/>
      <c r="T858" s="122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26"/>
      <c r="AJ858" s="15"/>
    </row>
    <row r="859" spans="3:36" x14ac:dyDescent="0.4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22"/>
      <c r="S859" s="122"/>
      <c r="T859" s="122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26"/>
      <c r="AJ859" s="15"/>
    </row>
    <row r="860" spans="3:36" x14ac:dyDescent="0.4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22"/>
      <c r="S860" s="122"/>
      <c r="T860" s="122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26"/>
      <c r="AJ860" s="13"/>
    </row>
    <row r="861" spans="3:36" x14ac:dyDescent="0.4">
      <c r="AI861" s="26"/>
      <c r="AJ861" s="15"/>
    </row>
    <row r="862" spans="3:36" x14ac:dyDescent="0.4"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22"/>
      <c r="S862" s="122"/>
      <c r="T862" s="122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26"/>
      <c r="AJ862" s="15"/>
    </row>
    <row r="863" spans="3:36" x14ac:dyDescent="0.4"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22"/>
      <c r="S863" s="122"/>
      <c r="T863" s="122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26"/>
      <c r="AJ863" s="15"/>
    </row>
    <row r="864" spans="3:36" x14ac:dyDescent="0.4"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22"/>
      <c r="S864" s="122"/>
      <c r="T864" s="122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26"/>
      <c r="AJ864" s="15"/>
    </row>
    <row r="865" spans="2:36" x14ac:dyDescent="0.4"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22"/>
      <c r="S865" s="122"/>
      <c r="T865" s="122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26"/>
      <c r="AJ865" s="15"/>
    </row>
    <row r="866" spans="2:36" x14ac:dyDescent="0.4"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22"/>
      <c r="S866" s="122"/>
      <c r="T866" s="122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26"/>
      <c r="AJ866" s="15"/>
    </row>
    <row r="867" spans="2:36" x14ac:dyDescent="0.4"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22"/>
      <c r="S867" s="122"/>
      <c r="T867" s="122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26"/>
      <c r="AJ867" s="15"/>
    </row>
    <row r="868" spans="2:36" ht="19.5" customHeight="1" x14ac:dyDescent="0.4"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22"/>
      <c r="S868" s="122"/>
      <c r="T868" s="122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26"/>
      <c r="AJ868" s="15"/>
    </row>
    <row r="869" spans="2:36" ht="19.5" customHeight="1" x14ac:dyDescent="0.4"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22"/>
      <c r="S869" s="122"/>
      <c r="T869" s="122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26"/>
      <c r="AJ869" s="15"/>
    </row>
    <row r="870" spans="2:36" x14ac:dyDescent="0.4">
      <c r="AI870" s="26"/>
      <c r="AJ870" s="15"/>
    </row>
    <row r="871" spans="2:36" x14ac:dyDescent="0.4"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22"/>
      <c r="S871" s="122"/>
      <c r="T871" s="122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26"/>
      <c r="AJ871" s="15"/>
    </row>
    <row r="872" spans="2:36" x14ac:dyDescent="0.4"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22"/>
      <c r="S872" s="122"/>
      <c r="T872" s="122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26"/>
      <c r="AJ872" s="15"/>
    </row>
    <row r="873" spans="2:36" x14ac:dyDescent="0.4"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22"/>
      <c r="S873" s="122"/>
      <c r="T873" s="122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7"/>
      <c r="AJ873" s="15"/>
    </row>
    <row r="874" spans="2:36" x14ac:dyDescent="0.4">
      <c r="AI874" s="26"/>
      <c r="AJ874" s="15"/>
    </row>
    <row r="875" spans="2:36" x14ac:dyDescent="0.4">
      <c r="L875" s="115"/>
      <c r="M875" s="115"/>
      <c r="N875" s="115"/>
      <c r="O875" s="115"/>
      <c r="P875" s="115"/>
      <c r="Q875" s="115"/>
      <c r="R875" s="122"/>
      <c r="S875" s="122"/>
      <c r="T875" s="122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7"/>
      <c r="AJ875" s="15"/>
    </row>
    <row r="876" spans="2:36" x14ac:dyDescent="0.4"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22"/>
      <c r="S876" s="122"/>
      <c r="T876" s="122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26"/>
      <c r="AJ876" s="15"/>
    </row>
    <row r="877" spans="2:36" x14ac:dyDescent="0.4">
      <c r="AI877" s="26"/>
      <c r="AJ877" s="15"/>
    </row>
    <row r="878" spans="2:36" x14ac:dyDescent="0.4">
      <c r="AI878" s="26"/>
      <c r="AJ878" s="15"/>
    </row>
    <row r="879" spans="2:36" x14ac:dyDescent="0.4">
      <c r="K879" s="115"/>
      <c r="L879" s="115"/>
      <c r="M879" s="115"/>
      <c r="N879" s="115"/>
      <c r="O879" s="115"/>
      <c r="P879" s="115"/>
      <c r="Q879" s="115"/>
      <c r="R879" s="122"/>
      <c r="S879" s="122"/>
      <c r="T879" s="122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26"/>
      <c r="AJ879" s="15"/>
    </row>
    <row r="880" spans="2:36" x14ac:dyDescent="0.4">
      <c r="AI880" s="26"/>
      <c r="AJ880" s="15"/>
    </row>
    <row r="881" spans="1:36" x14ac:dyDescent="0.4">
      <c r="L881" s="115"/>
      <c r="M881" s="115"/>
      <c r="N881" s="115"/>
      <c r="O881" s="115"/>
      <c r="P881" s="115"/>
      <c r="Q881" s="115"/>
      <c r="R881" s="122"/>
      <c r="S881" s="122"/>
      <c r="T881" s="122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7"/>
      <c r="AJ881" s="15"/>
    </row>
    <row r="882" spans="1:36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22"/>
      <c r="S882" s="122"/>
      <c r="T882" s="122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26"/>
      <c r="AJ882" s="15"/>
    </row>
    <row r="883" spans="1:36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22"/>
      <c r="S883" s="122"/>
      <c r="T883" s="122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7"/>
      <c r="AJ883" s="13"/>
    </row>
    <row r="884" spans="1:36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22"/>
      <c r="S884" s="122"/>
      <c r="T884" s="122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7"/>
      <c r="AJ884" s="13"/>
    </row>
    <row r="885" spans="1:36" x14ac:dyDescent="0.4">
      <c r="AI885" s="26"/>
      <c r="AJ885" s="13"/>
    </row>
    <row r="886" spans="1:36" x14ac:dyDescent="0.4"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22"/>
      <c r="S886" s="122"/>
      <c r="T886" s="122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26"/>
      <c r="AJ886" s="15"/>
    </row>
    <row r="887" spans="1:36" x14ac:dyDescent="0.4"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22"/>
      <c r="S887" s="122"/>
      <c r="T887" s="122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26"/>
      <c r="AJ887" s="15"/>
    </row>
    <row r="888" spans="1:36" x14ac:dyDescent="0.4">
      <c r="AI888" s="26"/>
      <c r="AJ888" s="15"/>
    </row>
    <row r="889" spans="1:36" x14ac:dyDescent="0.4"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22"/>
      <c r="S889" s="122"/>
      <c r="T889" s="122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26"/>
      <c r="AJ889" s="15"/>
    </row>
    <row r="890" spans="1:36" x14ac:dyDescent="0.4"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22"/>
      <c r="S890" s="122"/>
      <c r="T890" s="122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26"/>
      <c r="AJ890" s="15"/>
    </row>
    <row r="891" spans="1:36" x14ac:dyDescent="0.4"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22"/>
      <c r="S891" s="122"/>
      <c r="T891" s="122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26"/>
      <c r="AJ891" s="15"/>
    </row>
    <row r="892" spans="1:36" x14ac:dyDescent="0.4"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22"/>
      <c r="S892" s="122"/>
      <c r="T892" s="122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26"/>
      <c r="AJ892" s="15"/>
    </row>
    <row r="893" spans="1:36" x14ac:dyDescent="0.4">
      <c r="AI893" s="26"/>
      <c r="AJ893" s="15"/>
    </row>
    <row r="894" spans="1:36" x14ac:dyDescent="0.4"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22"/>
      <c r="S894" s="122"/>
      <c r="T894" s="122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26"/>
      <c r="AJ894" s="15"/>
    </row>
    <row r="895" spans="1:36" x14ac:dyDescent="0.4">
      <c r="AI895" s="26"/>
      <c r="AJ895" s="15"/>
    </row>
    <row r="896" spans="1:36" x14ac:dyDescent="0.4"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22"/>
      <c r="S896" s="122"/>
      <c r="T896" s="122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26"/>
      <c r="AJ896" s="15"/>
    </row>
    <row r="897" spans="1:36" x14ac:dyDescent="0.4"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22"/>
      <c r="S897" s="122"/>
      <c r="T897" s="122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26"/>
      <c r="AJ897" s="15"/>
    </row>
    <row r="898" spans="1:36" x14ac:dyDescent="0.4"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22"/>
      <c r="S898" s="122"/>
      <c r="T898" s="122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7"/>
      <c r="AJ898" s="15"/>
    </row>
    <row r="899" spans="1:36" x14ac:dyDescent="0.4">
      <c r="AI899" s="26"/>
      <c r="AJ899" s="15"/>
    </row>
    <row r="900" spans="1:36" x14ac:dyDescent="0.4">
      <c r="AI900" s="26"/>
      <c r="AJ900" s="15"/>
    </row>
    <row r="901" spans="1:36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22"/>
      <c r="S901" s="122"/>
      <c r="T901" s="122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26"/>
      <c r="AJ901" s="15"/>
    </row>
    <row r="902" spans="1:36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22"/>
      <c r="S902" s="122"/>
      <c r="T902" s="122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7"/>
      <c r="AJ902" s="15"/>
    </row>
    <row r="903" spans="1:36" x14ac:dyDescent="0.4">
      <c r="AI903" s="26"/>
      <c r="AJ903" s="15"/>
    </row>
    <row r="904" spans="1:36" ht="17.25" customHeight="1" x14ac:dyDescent="0.4"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22"/>
      <c r="S904" s="122"/>
      <c r="T904" s="122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26"/>
      <c r="AJ904" s="15"/>
    </row>
    <row r="905" spans="1:36" x14ac:dyDescent="0.4">
      <c r="AI905" s="26"/>
      <c r="AJ905" s="15"/>
    </row>
    <row r="906" spans="1:36" x14ac:dyDescent="0.4">
      <c r="K906" s="115"/>
      <c r="L906" s="115"/>
      <c r="M906" s="115"/>
      <c r="N906" s="115"/>
      <c r="O906" s="115"/>
      <c r="P906" s="115"/>
      <c r="Q906" s="115"/>
      <c r="R906" s="122"/>
      <c r="S906" s="122"/>
      <c r="T906" s="122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7"/>
      <c r="AJ906" s="15"/>
    </row>
    <row r="907" spans="1:36" ht="16.5" customHeight="1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22"/>
      <c r="S907" s="122"/>
      <c r="T907" s="122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26"/>
      <c r="AJ907" s="15"/>
    </row>
    <row r="908" spans="1:36" ht="22.5" customHeight="1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22"/>
      <c r="S908" s="122"/>
      <c r="T908" s="122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26"/>
      <c r="AJ908" s="15"/>
    </row>
    <row r="909" spans="1:36" x14ac:dyDescent="0.4">
      <c r="AI909" s="26"/>
      <c r="AJ909" s="15"/>
    </row>
    <row r="910" spans="1:36" x14ac:dyDescent="0.4">
      <c r="AI910" s="26"/>
      <c r="AJ910" s="105"/>
    </row>
    <row r="911" spans="1:36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22"/>
      <c r="S911" s="122"/>
      <c r="T911" s="122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26"/>
      <c r="AJ911" s="15"/>
    </row>
    <row r="912" spans="1:36" x14ac:dyDescent="0.4">
      <c r="AI912" s="26"/>
      <c r="AJ912" s="15"/>
    </row>
    <row r="913" spans="1:36" x14ac:dyDescent="0.4">
      <c r="AI913" s="26"/>
      <c r="AJ913" s="15"/>
    </row>
    <row r="914" spans="1:36" x14ac:dyDescent="0.4">
      <c r="AI914" s="26"/>
      <c r="AJ914" s="15"/>
    </row>
    <row r="915" spans="1:36" x14ac:dyDescent="0.4">
      <c r="AI915" s="26"/>
      <c r="AJ915" s="15"/>
    </row>
    <row r="916" spans="1:36" x14ac:dyDescent="0.4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22"/>
      <c r="S916" s="122"/>
      <c r="T916" s="122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26"/>
      <c r="AJ916" s="15"/>
    </row>
    <row r="917" spans="1:36" x14ac:dyDescent="0.4">
      <c r="AI917" s="26"/>
      <c r="AJ917" s="15"/>
    </row>
    <row r="918" spans="1:36" x14ac:dyDescent="0.4">
      <c r="AI918" s="26"/>
      <c r="AJ918" s="15"/>
    </row>
    <row r="919" spans="1:36" x14ac:dyDescent="0.4">
      <c r="AI919" s="26"/>
      <c r="AJ919" s="15"/>
    </row>
    <row r="920" spans="1:36" x14ac:dyDescent="0.4">
      <c r="AI920" s="26"/>
      <c r="AJ920" s="15"/>
    </row>
    <row r="921" spans="1:36" ht="18.75" customHeight="1" x14ac:dyDescent="0.4"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22"/>
      <c r="S921" s="122"/>
      <c r="T921" s="122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26"/>
      <c r="AJ921" s="15"/>
    </row>
    <row r="922" spans="1:36" x14ac:dyDescent="0.4">
      <c r="AI922" s="26"/>
      <c r="AJ922" s="15"/>
    </row>
    <row r="923" spans="1:36" x14ac:dyDescent="0.4">
      <c r="AI923" s="26"/>
      <c r="AJ923" s="15"/>
    </row>
    <row r="924" spans="1:36" x14ac:dyDescent="0.4"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22"/>
      <c r="S924" s="122"/>
      <c r="T924" s="122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26"/>
      <c r="AJ924" s="15"/>
    </row>
    <row r="925" spans="1:36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22"/>
      <c r="S925" s="122"/>
      <c r="T925" s="122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26"/>
      <c r="AJ925" s="15"/>
    </row>
    <row r="926" spans="1:36" x14ac:dyDescent="0.4">
      <c r="AI926" s="26"/>
      <c r="AJ926" s="15"/>
    </row>
    <row r="927" spans="1:36" x14ac:dyDescent="0.4">
      <c r="K927" s="115"/>
      <c r="L927" s="115"/>
      <c r="M927" s="115"/>
      <c r="N927" s="115"/>
      <c r="O927" s="115"/>
      <c r="P927" s="115"/>
      <c r="Q927" s="115"/>
      <c r="R927" s="122"/>
      <c r="S927" s="122"/>
      <c r="T927" s="122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7"/>
      <c r="AJ927" s="15"/>
    </row>
    <row r="928" spans="1:36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22"/>
      <c r="S928" s="122"/>
      <c r="T928" s="122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26"/>
      <c r="AJ928" s="15"/>
    </row>
    <row r="929" spans="1:36" x14ac:dyDescent="0.4">
      <c r="AI929" s="26"/>
      <c r="AJ929" s="15"/>
    </row>
    <row r="930" spans="1:36" x14ac:dyDescent="0.4">
      <c r="K930" s="115"/>
      <c r="L930" s="115"/>
      <c r="M930" s="115"/>
      <c r="N930" s="115"/>
      <c r="O930" s="115"/>
      <c r="P930" s="115"/>
      <c r="Q930" s="115"/>
      <c r="R930" s="122"/>
      <c r="S930" s="122"/>
      <c r="T930" s="122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7"/>
      <c r="AJ930" s="15"/>
    </row>
    <row r="931" spans="1:36" x14ac:dyDescent="0.4">
      <c r="AI931" s="26"/>
      <c r="AJ931" s="15"/>
    </row>
    <row r="932" spans="1:36" x14ac:dyDescent="0.4"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22"/>
      <c r="S932" s="122"/>
      <c r="T932" s="122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26"/>
      <c r="AJ932" s="15"/>
    </row>
    <row r="933" spans="1:36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22"/>
      <c r="S933" s="122"/>
      <c r="T933" s="122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26"/>
      <c r="AJ933" s="15"/>
    </row>
    <row r="934" spans="1:36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22"/>
      <c r="S934" s="122"/>
      <c r="T934" s="122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26"/>
      <c r="AJ934" s="15"/>
    </row>
    <row r="935" spans="1:36" x14ac:dyDescent="0.4">
      <c r="AI935" s="26"/>
      <c r="AJ935" s="15"/>
    </row>
    <row r="936" spans="1:36" x14ac:dyDescent="0.4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22"/>
      <c r="S936" s="122"/>
      <c r="T936" s="122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26"/>
      <c r="AJ936" s="15"/>
    </row>
    <row r="937" spans="1:36" x14ac:dyDescent="0.4">
      <c r="AI937" s="26"/>
      <c r="AJ937" s="15"/>
    </row>
    <row r="938" spans="1:36" x14ac:dyDescent="0.4"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22"/>
      <c r="S938" s="122"/>
      <c r="T938" s="122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26"/>
      <c r="AJ938" s="15"/>
    </row>
    <row r="939" spans="1:36" x14ac:dyDescent="0.4">
      <c r="AI939" s="26"/>
      <c r="AJ939" s="15"/>
    </row>
    <row r="940" spans="1:36" x14ac:dyDescent="0.4">
      <c r="AI940" s="26"/>
      <c r="AJ940" s="15"/>
    </row>
    <row r="941" spans="1:36" x14ac:dyDescent="0.4">
      <c r="AI941" s="26"/>
      <c r="AJ941" s="15"/>
    </row>
    <row r="942" spans="1:36" x14ac:dyDescent="0.4">
      <c r="AI942" s="26"/>
      <c r="AJ942" s="15"/>
    </row>
    <row r="943" spans="1:36" x14ac:dyDescent="0.4">
      <c r="AI943" s="26"/>
      <c r="AJ943" s="15"/>
    </row>
    <row r="944" spans="1:36" x14ac:dyDescent="0.4">
      <c r="AI944" s="26"/>
      <c r="AJ944" s="15"/>
    </row>
    <row r="945" spans="1:36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22"/>
      <c r="S945" s="122"/>
      <c r="T945" s="122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26"/>
      <c r="AJ945" s="15"/>
    </row>
    <row r="946" spans="1:36" x14ac:dyDescent="0.4">
      <c r="AI946" s="26"/>
      <c r="AJ946" s="15"/>
    </row>
    <row r="947" spans="1:36" x14ac:dyDescent="0.4">
      <c r="AI947" s="26"/>
      <c r="AJ947" s="15"/>
    </row>
    <row r="948" spans="1:36" x14ac:dyDescent="0.4">
      <c r="AI948" s="26"/>
      <c r="AJ948" s="15"/>
    </row>
    <row r="949" spans="1:36" x14ac:dyDescent="0.4">
      <c r="AI949" s="26"/>
      <c r="AJ949" s="15"/>
    </row>
    <row r="950" spans="1:36" x14ac:dyDescent="0.4">
      <c r="AI950" s="26"/>
      <c r="AJ950" s="15"/>
    </row>
    <row r="951" spans="1:36" x14ac:dyDescent="0.4">
      <c r="K951" s="115"/>
      <c r="L951" s="115"/>
      <c r="M951" s="115"/>
      <c r="N951" s="115"/>
      <c r="O951" s="115"/>
      <c r="P951" s="115"/>
      <c r="Q951" s="115"/>
      <c r="R951" s="122"/>
      <c r="S951" s="122"/>
      <c r="T951" s="122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7"/>
      <c r="AJ951" s="15"/>
    </row>
    <row r="952" spans="1:36" x14ac:dyDescent="0.4">
      <c r="K952" s="115"/>
      <c r="L952" s="115"/>
      <c r="M952" s="115"/>
      <c r="N952" s="115"/>
      <c r="O952" s="115"/>
      <c r="P952" s="115"/>
      <c r="Q952" s="115"/>
      <c r="R952" s="122"/>
      <c r="S952" s="122"/>
      <c r="T952" s="122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7"/>
      <c r="AJ952" s="15"/>
    </row>
    <row r="953" spans="1:36" x14ac:dyDescent="0.4">
      <c r="AI953" s="26"/>
      <c r="AJ953" s="15"/>
    </row>
    <row r="954" spans="1:36" x14ac:dyDescent="0.4">
      <c r="AI954" s="26"/>
      <c r="AJ954" s="15"/>
    </row>
    <row r="955" spans="1:36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22"/>
      <c r="S955" s="122"/>
      <c r="T955" s="122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26"/>
      <c r="AJ955" s="15"/>
    </row>
    <row r="956" spans="1:36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22"/>
      <c r="S956" s="122"/>
      <c r="T956" s="122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26"/>
      <c r="AJ956" s="13"/>
    </row>
    <row r="957" spans="1:36" x14ac:dyDescent="0.4">
      <c r="AI957" s="26"/>
      <c r="AJ957" s="15"/>
    </row>
    <row r="958" spans="1:36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22"/>
      <c r="S958" s="122"/>
      <c r="T958" s="122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26"/>
      <c r="AJ958" s="15"/>
    </row>
    <row r="959" spans="1:36" x14ac:dyDescent="0.4">
      <c r="AI959" s="26"/>
      <c r="AJ959" s="15"/>
    </row>
    <row r="960" spans="1:36" x14ac:dyDescent="0.4">
      <c r="AI960" s="26"/>
      <c r="AJ960" s="15"/>
    </row>
    <row r="961" spans="1:36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22"/>
      <c r="S961" s="122"/>
      <c r="T961" s="122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26"/>
      <c r="AJ961" s="15"/>
    </row>
    <row r="962" spans="1:36" x14ac:dyDescent="0.4">
      <c r="AI962" s="26"/>
      <c r="AJ962" s="13"/>
    </row>
    <row r="963" spans="1:36" x14ac:dyDescent="0.4">
      <c r="AI963" s="26"/>
      <c r="AJ963" s="13"/>
    </row>
    <row r="964" spans="1:36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22"/>
      <c r="S964" s="122"/>
      <c r="T964" s="122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26"/>
      <c r="AJ964" s="13"/>
    </row>
    <row r="965" spans="1:36" x14ac:dyDescent="0.4">
      <c r="AI965" s="26"/>
      <c r="AJ965" s="13"/>
    </row>
    <row r="966" spans="1:36" x14ac:dyDescent="0.4">
      <c r="AI966" s="26"/>
      <c r="AJ966" s="13"/>
    </row>
    <row r="967" spans="1:36" x14ac:dyDescent="0.4">
      <c r="AI967" s="26"/>
      <c r="AJ967" s="13"/>
    </row>
    <row r="968" spans="1:36" x14ac:dyDescent="0.4">
      <c r="AI968" s="26"/>
      <c r="AJ968" s="13"/>
    </row>
    <row r="969" spans="1:36" x14ac:dyDescent="0.4">
      <c r="AI969" s="26"/>
      <c r="AJ969" s="13"/>
    </row>
    <row r="970" spans="1:36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22"/>
      <c r="S970" s="122"/>
      <c r="T970" s="122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26"/>
      <c r="AJ970" s="25"/>
    </row>
    <row r="971" spans="1:36" x14ac:dyDescent="0.4">
      <c r="AI971" s="26"/>
      <c r="AJ971" s="13"/>
    </row>
    <row r="972" spans="1:36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22"/>
      <c r="S972" s="122"/>
      <c r="T972" s="122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26"/>
      <c r="AJ972" s="13"/>
    </row>
    <row r="973" spans="1:36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22"/>
      <c r="S973" s="122"/>
      <c r="T973" s="122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26"/>
      <c r="AJ973" s="13"/>
    </row>
    <row r="974" spans="1:36" x14ac:dyDescent="0.4">
      <c r="AI974" s="26"/>
      <c r="AJ974" s="15"/>
    </row>
    <row r="975" spans="1:36" x14ac:dyDescent="0.4">
      <c r="AI975" s="26"/>
      <c r="AJ975" s="15"/>
    </row>
    <row r="976" spans="1:36" x14ac:dyDescent="0.4">
      <c r="AI976" s="26"/>
      <c r="AJ976" s="15"/>
    </row>
    <row r="977" spans="2:36" x14ac:dyDescent="0.4">
      <c r="AI977" s="26"/>
      <c r="AJ977" s="13"/>
    </row>
    <row r="978" spans="2:36" x14ac:dyDescent="0.4">
      <c r="AI978" s="26"/>
      <c r="AJ978" s="15"/>
    </row>
    <row r="979" spans="2:36" x14ac:dyDescent="0.4"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22"/>
      <c r="S979" s="122"/>
      <c r="T979" s="122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7"/>
      <c r="AJ979" s="15"/>
    </row>
    <row r="980" spans="2:36" x14ac:dyDescent="0.4">
      <c r="AI980" s="26"/>
      <c r="AJ980" s="15"/>
    </row>
    <row r="981" spans="2:36" x14ac:dyDescent="0.4"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22"/>
      <c r="S981" s="122"/>
      <c r="T981" s="122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7"/>
      <c r="AJ981" s="15"/>
    </row>
    <row r="982" spans="2:36" x14ac:dyDescent="0.4">
      <c r="AI982" s="26"/>
      <c r="AJ982" s="15"/>
    </row>
    <row r="983" spans="2:36" x14ac:dyDescent="0.4">
      <c r="AI983" s="26"/>
      <c r="AJ983" s="15"/>
    </row>
    <row r="984" spans="2:36" x14ac:dyDescent="0.4"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22"/>
      <c r="S984" s="122"/>
      <c r="T984" s="122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7"/>
      <c r="AJ984" s="15"/>
    </row>
    <row r="985" spans="2:36" x14ac:dyDescent="0.4">
      <c r="AI985" s="26"/>
      <c r="AJ985" s="15"/>
    </row>
    <row r="986" spans="2:36" x14ac:dyDescent="0.4">
      <c r="AI986" s="26"/>
      <c r="AJ986" s="15"/>
    </row>
    <row r="987" spans="2:36" x14ac:dyDescent="0.4">
      <c r="AI987" s="26"/>
      <c r="AJ987" s="105"/>
    </row>
    <row r="988" spans="2:36" x14ac:dyDescent="0.4">
      <c r="AI988" s="26"/>
      <c r="AJ988" s="15"/>
    </row>
    <row r="989" spans="2:36" x14ac:dyDescent="0.4">
      <c r="AI989" s="26"/>
      <c r="AJ989" s="15"/>
    </row>
    <row r="990" spans="2:36" x14ac:dyDescent="0.4">
      <c r="AI990" s="26"/>
      <c r="AJ990" s="15"/>
    </row>
    <row r="991" spans="2:36" x14ac:dyDescent="0.4">
      <c r="AI991" s="26"/>
      <c r="AJ991" s="15"/>
    </row>
    <row r="992" spans="2:36" x14ac:dyDescent="0.4">
      <c r="AI992" s="26"/>
      <c r="AJ992" s="15"/>
    </row>
    <row r="993" spans="2:36" x14ac:dyDescent="0.4"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22"/>
      <c r="S993" s="122"/>
      <c r="T993" s="122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9"/>
      <c r="AJ993" s="119"/>
    </row>
    <row r="994" spans="2:36" x14ac:dyDescent="0.4"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22"/>
      <c r="S994" s="122"/>
      <c r="T994" s="122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9"/>
      <c r="AJ994" s="119"/>
    </row>
  </sheetData>
  <sortState xmlns:xlrd2="http://schemas.microsoft.com/office/spreadsheetml/2017/richdata2" ref="K2:L218">
    <sortCondition ref="K2:K21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2024-10-22T08:07:37Z</cp:lastPrinted>
  <dcterms:created xsi:type="dcterms:W3CDTF">2020-05-08T06:29:04Z</dcterms:created>
  <dcterms:modified xsi:type="dcterms:W3CDTF">2024-10-23T01:26:44Z</dcterms:modified>
</cp:coreProperties>
</file>