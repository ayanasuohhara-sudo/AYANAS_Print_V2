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8AF2635-9499-457A-9698-898DD5D9F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27" i="3"/>
  <c r="C27" i="3"/>
  <c r="B27" i="3"/>
  <c r="L164" i="3"/>
  <c r="K164" i="3"/>
  <c r="L162" i="3"/>
  <c r="K162" i="3"/>
  <c r="L160" i="3"/>
  <c r="K160" i="3"/>
  <c r="L154" i="3"/>
  <c r="K154" i="3"/>
  <c r="L152" i="3"/>
  <c r="K152" i="3"/>
  <c r="L150" i="3"/>
  <c r="K150" i="3"/>
  <c r="L147" i="3"/>
  <c r="K147" i="3"/>
  <c r="L134" i="3"/>
  <c r="K134" i="3"/>
  <c r="L123" i="3"/>
  <c r="K123" i="3"/>
  <c r="L119" i="3"/>
  <c r="K119" i="3"/>
  <c r="L107" i="3"/>
  <c r="K107" i="3"/>
  <c r="L101" i="3"/>
  <c r="K101" i="3"/>
  <c r="L91" i="3"/>
  <c r="K91" i="3"/>
  <c r="L76" i="3"/>
  <c r="K76" i="3"/>
  <c r="L67" i="3"/>
  <c r="K67" i="3"/>
  <c r="L45" i="3"/>
  <c r="K45" i="3"/>
  <c r="L31" i="3"/>
  <c r="K31" i="3"/>
  <c r="L29" i="3"/>
  <c r="K29" i="3"/>
  <c r="L24" i="3"/>
  <c r="K24" i="3"/>
  <c r="L14" i="3"/>
  <c r="K14" i="3"/>
  <c r="L12" i="3"/>
  <c r="K12" i="3"/>
  <c r="L10" i="3"/>
  <c r="K10" i="3"/>
  <c r="L7" i="3"/>
  <c r="K7" i="3"/>
  <c r="L3" i="3"/>
  <c r="L165" i="3" s="1"/>
  <c r="K3" i="3"/>
  <c r="K165" i="3" s="1"/>
  <c r="W324" i="3"/>
  <c r="U32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U606" i="3"/>
  <c r="AT606" i="3"/>
  <c r="AU601" i="3"/>
  <c r="AT601" i="3"/>
  <c r="AU599" i="3"/>
  <c r="AT599" i="3"/>
  <c r="AU585" i="3"/>
  <c r="AT585" i="3"/>
  <c r="AU567" i="3"/>
  <c r="AT567" i="3"/>
  <c r="AU556" i="3"/>
  <c r="AT556" i="3"/>
  <c r="AU522" i="3"/>
  <c r="AT522" i="3"/>
  <c r="AU509" i="3"/>
  <c r="AT509" i="3"/>
  <c r="AU471" i="3"/>
  <c r="AT471" i="3"/>
  <c r="AU462" i="3"/>
  <c r="AT462" i="3"/>
  <c r="AU448" i="3"/>
  <c r="AT448" i="3"/>
  <c r="AU415" i="3"/>
  <c r="AT415" i="3"/>
  <c r="AU362" i="3"/>
  <c r="AT362" i="3"/>
  <c r="AU350" i="3"/>
  <c r="AT350" i="3"/>
  <c r="AU327" i="3"/>
  <c r="AT327" i="3"/>
  <c r="AU312" i="3"/>
  <c r="AT312" i="3"/>
  <c r="AU288" i="3"/>
  <c r="AT288" i="3"/>
  <c r="AU270" i="3"/>
  <c r="AT270" i="3"/>
  <c r="AU250" i="3"/>
  <c r="AT250" i="3"/>
  <c r="AU236" i="3"/>
  <c r="AT236" i="3"/>
  <c r="AU227" i="3"/>
  <c r="AT227" i="3"/>
  <c r="AU153" i="3"/>
  <c r="AT153" i="3"/>
  <c r="B61" i="1"/>
  <c r="A241" i="1"/>
  <c r="A151" i="1"/>
  <c r="AB43" i="1"/>
  <c r="AT607" i="3" l="1"/>
  <c r="AU60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<sst xmlns="http://schemas.openxmlformats.org/spreadsheetml/2006/main" count="2613" uniqueCount="370">
  <si>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</si>
  <si>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</si>
  <si>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</si>
  <si>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</si>
  <si>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</si>
  <si>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</si>
  <si>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</si>
  <si>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</si>
  <si>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</si>
  <si>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</si>
  <si>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</si>
  <si>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</si>
  <si>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</si>
  <si>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</si>
  <si>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</si>
  <si>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</si>
  <si>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</si>
  <si>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</si>
  <si>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</si>
  <si>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</si>
  <si>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</si>
  <si>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</si>
  <si>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</si>
  <si>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</si>
  <si>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</si>
  <si>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</si>
  <si>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</si>
  <si>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</si>
  <si>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</si>
  <si>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</si>
  <si>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</si>
  <si>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</si>
  <si>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</si>
  <si>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</si>
  <si>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</si>
  <si>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</si>
  <si>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</si>
  <si>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</si>
  <si>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</si>
  <si>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</si>
  <si>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</si>
  <si>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</si>
  <si>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</si>
  <si>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</si>
  <si>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</si>
  <si>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</si>
  <si>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</si>
  <si>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</si>
  <si>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</si>
  <si>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</si>
  <si>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</si>
  <si>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</si>
  <si>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</si>
  <si>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</si>
  <si>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</si>
  <si>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</si>
  <si>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</si>
  <si>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</si>
  <si>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</si>
  <si>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</si>
  <si>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</si>
  <si>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</si>
  <si>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</si>
  <si>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</si>
  <si>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</si>
  <si>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</si>
  <si>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</si>
  <si>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</si>
  <si>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</si>
  <si>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</si>
  <si>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</si>
  <si>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</si>
  <si>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</si>
  <si>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</si>
  <si>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</si>
  <si>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</si>
  <si>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</si>
  <si>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</si>
  <si>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</si>
  <si>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</si>
  <si>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</si>
  <si>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</si>
  <si>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</si>
  <si>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</si>
  <si>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</si>
  <si>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</si>
  <si>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</si>
  <si>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</si>
  <si>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</si>
  <si>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</si>
  <si>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</si>
  <si>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</si>
  <si>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</si>
  <si>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</si>
  <si>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</si>
  <si>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</si>
  <si>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</si>
  <si>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</si>
  <si>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</si>
  <si>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</si>
  <si>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</si>
  <si>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</si>
  <si>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</si>
  <si>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</si>
  <si>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</si>
  <si>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</si>
  <si>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</si>
  <si>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</si>
  <si>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</si>
  <si>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</si>
  <si>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</si>
  <si>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</si>
  <si>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</si>
  <si>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</si>
  <si>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</si>
  <si>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</si>
  <si>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</si>
  <si>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</si>
  <si>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</si>
  <si>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</si>
  <si>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</si>
  <si>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</si>
  <si>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</si>
  <si>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</si>
  <si>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</si>
  <si>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</si>
  <si>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</si>
  <si>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</si>
  <si>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</si>
  <si>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</si>
  <si>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</si>
  <si>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</si>
  <si>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</si>
  <si>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</si>
  <si>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</si>
  <si>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</si>
  <si>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</si>
  <si>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</si>
  <si>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</si>
  <si>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</si>
  <si>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</si>
  <si>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</si>
  <si>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</si>
  <si>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</si>
  <si>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</si>
  <si>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</si>
  <si>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</si>
  <si>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</si>
  <si>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</si>
  <si>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</si>
  <si>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</si>
  <si>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</si>
  <si>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</si>
  <si>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</si>
  <si>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</si>
  <si>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</si>
  <si>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</si>
  <si>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</si>
  <si>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</si>
  <si>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</si>
  <si>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</si>
  <si>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</si>
  <si>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</si>
  <si>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</si>
  <si>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</si>
  <si>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</si>
  <si>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</si>
  <si>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</si>
  <si>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</si>
  <si>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</si>
  <si>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</si>
  <si>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</si>
  <si>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</si>
  <si>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</si>
  <si>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</si>
  <si>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</si>
  <si>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</si>
  <si>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</si>
  <si>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</si>
  <si>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</si>
  <si>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</si>
  <si>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A700</t>
    <phoneticPr fontId="1"/>
  </si>
  <si>
    <t>M079</t>
    <phoneticPr fontId="1"/>
  </si>
  <si>
    <t>M070</t>
    <phoneticPr fontId="1"/>
  </si>
  <si>
    <t>M074</t>
    <phoneticPr fontId="1"/>
  </si>
  <si>
    <t>AYG099</t>
    <phoneticPr fontId="1"/>
  </si>
  <si>
    <t>M037</t>
    <phoneticPr fontId="1"/>
  </si>
  <si>
    <t>A913</t>
    <phoneticPr fontId="1"/>
  </si>
  <si>
    <t>A318</t>
    <phoneticPr fontId="1"/>
  </si>
  <si>
    <t>A335</t>
    <phoneticPr fontId="1"/>
  </si>
  <si>
    <t>A336</t>
    <phoneticPr fontId="1"/>
  </si>
  <si>
    <t>2025/3/26 個数</t>
  </si>
  <si>
    <t>2025/3/27 個数</t>
  </si>
  <si>
    <t>A330</t>
    <phoneticPr fontId="1"/>
  </si>
  <si>
    <t>2025/3/28 個数</t>
  </si>
  <si>
    <t>2025/3/31 個数</t>
  </si>
  <si>
    <t>2025/4/3 個数</t>
  </si>
  <si>
    <t>A199</t>
    <phoneticPr fontId="1"/>
  </si>
  <si>
    <t>A505</t>
    <phoneticPr fontId="1"/>
  </si>
  <si>
    <t>A611</t>
    <phoneticPr fontId="1"/>
  </si>
  <si>
    <t>A623</t>
    <phoneticPr fontId="1"/>
  </si>
  <si>
    <t>重量</t>
    <rPh sb="0" eb="2">
      <t>ジュウリョウ</t>
    </rPh>
    <phoneticPr fontId="1"/>
  </si>
  <si>
    <t>M100</t>
    <phoneticPr fontId="1"/>
  </si>
  <si>
    <t>A328</t>
    <phoneticPr fontId="1"/>
  </si>
  <si>
    <t>2025/4/1 個数</t>
  </si>
  <si>
    <t>2025/4/5 個数</t>
  </si>
  <si>
    <t>2025/4/6 個数</t>
  </si>
  <si>
    <t>2025/4/8 個数</t>
  </si>
  <si>
    <t>2025/4/13 個数</t>
  </si>
  <si>
    <t>2025/5/21 個数</t>
  </si>
  <si>
    <t>AYG103</t>
    <phoneticPr fontId="1"/>
  </si>
  <si>
    <t>07020270</t>
    <phoneticPr fontId="1"/>
  </si>
  <si>
    <t>07020304</t>
    <phoneticPr fontId="1"/>
  </si>
  <si>
    <t>07020332</t>
    <phoneticPr fontId="1"/>
  </si>
  <si>
    <t>07020519</t>
    <phoneticPr fontId="1"/>
  </si>
  <si>
    <t>07020520</t>
    <phoneticPr fontId="1"/>
  </si>
  <si>
    <t>A732</t>
    <phoneticPr fontId="1"/>
  </si>
  <si>
    <t>07030003</t>
    <phoneticPr fontId="1"/>
  </si>
  <si>
    <t>07030023</t>
    <phoneticPr fontId="1"/>
  </si>
  <si>
    <t>07030024</t>
    <phoneticPr fontId="1"/>
  </si>
  <si>
    <t>07030025</t>
    <phoneticPr fontId="1"/>
  </si>
  <si>
    <t>07030029</t>
    <phoneticPr fontId="1"/>
  </si>
  <si>
    <t>07030032</t>
    <phoneticPr fontId="1"/>
  </si>
  <si>
    <t>M028</t>
    <phoneticPr fontId="1"/>
  </si>
  <si>
    <t>07030083</t>
    <phoneticPr fontId="1"/>
  </si>
  <si>
    <t>07030092</t>
    <phoneticPr fontId="1"/>
  </si>
  <si>
    <t>07030094</t>
    <phoneticPr fontId="1"/>
  </si>
  <si>
    <t>07030146</t>
    <phoneticPr fontId="1"/>
  </si>
  <si>
    <t>E</t>
    <phoneticPr fontId="1"/>
  </si>
  <si>
    <t>07030147</t>
    <phoneticPr fontId="1"/>
  </si>
  <si>
    <t>07030148</t>
    <phoneticPr fontId="1"/>
  </si>
  <si>
    <t>07030149</t>
    <phoneticPr fontId="1"/>
  </si>
  <si>
    <t>07030073</t>
    <phoneticPr fontId="1"/>
  </si>
  <si>
    <t>07030082</t>
    <phoneticPr fontId="1"/>
  </si>
  <si>
    <t>07030085</t>
    <phoneticPr fontId="1"/>
  </si>
  <si>
    <t>A181</t>
    <phoneticPr fontId="1"/>
  </si>
  <si>
    <t>07030093</t>
    <phoneticPr fontId="1"/>
  </si>
  <si>
    <t>07030121</t>
    <phoneticPr fontId="1"/>
  </si>
  <si>
    <t>07030122</t>
    <phoneticPr fontId="1"/>
  </si>
  <si>
    <t>07030123</t>
    <phoneticPr fontId="1"/>
  </si>
  <si>
    <t>07030124</t>
    <phoneticPr fontId="1"/>
  </si>
  <si>
    <t>07030125</t>
    <phoneticPr fontId="1"/>
  </si>
  <si>
    <t>07030126</t>
    <phoneticPr fontId="1"/>
  </si>
  <si>
    <t>07030127</t>
    <phoneticPr fontId="1"/>
  </si>
  <si>
    <t>07030141</t>
    <phoneticPr fontId="1"/>
  </si>
  <si>
    <t>07030150</t>
    <phoneticPr fontId="1"/>
  </si>
  <si>
    <t>07030151</t>
    <phoneticPr fontId="1"/>
  </si>
  <si>
    <t>07030132</t>
    <phoneticPr fontId="1"/>
  </si>
  <si>
    <t>07030133</t>
    <phoneticPr fontId="1"/>
  </si>
  <si>
    <t>07030134</t>
  </si>
  <si>
    <t>07030135</t>
  </si>
  <si>
    <t>07030136</t>
  </si>
  <si>
    <t>07030137</t>
  </si>
  <si>
    <t>07030167</t>
    <phoneticPr fontId="1"/>
  </si>
  <si>
    <t>07030169</t>
    <phoneticPr fontId="1"/>
  </si>
  <si>
    <t>07030170</t>
    <phoneticPr fontId="1"/>
  </si>
  <si>
    <t>07030176</t>
    <phoneticPr fontId="1"/>
  </si>
  <si>
    <t>07030177</t>
    <phoneticPr fontId="1"/>
  </si>
  <si>
    <t>07030178</t>
    <phoneticPr fontId="1"/>
  </si>
  <si>
    <t>07030180</t>
    <phoneticPr fontId="1"/>
  </si>
  <si>
    <t>07030187</t>
    <phoneticPr fontId="1"/>
  </si>
  <si>
    <t>07030188</t>
    <phoneticPr fontId="1"/>
  </si>
  <si>
    <t>07030193</t>
    <phoneticPr fontId="1"/>
  </si>
  <si>
    <t>07030194</t>
    <phoneticPr fontId="1"/>
  </si>
  <si>
    <t>07030195</t>
    <phoneticPr fontId="1"/>
  </si>
  <si>
    <t>07030196</t>
    <phoneticPr fontId="1"/>
  </si>
  <si>
    <t>07030120</t>
    <phoneticPr fontId="1"/>
  </si>
  <si>
    <t>A602</t>
    <phoneticPr fontId="1"/>
  </si>
  <si>
    <t>07030186</t>
    <phoneticPr fontId="1"/>
  </si>
  <si>
    <t>07030189</t>
    <phoneticPr fontId="1"/>
  </si>
  <si>
    <t>07030198</t>
    <phoneticPr fontId="1"/>
  </si>
  <si>
    <t>07030190</t>
    <phoneticPr fontId="1"/>
  </si>
  <si>
    <t>07030191</t>
    <phoneticPr fontId="1"/>
  </si>
  <si>
    <t>07030202</t>
    <phoneticPr fontId="1"/>
  </si>
  <si>
    <t>07030208</t>
    <phoneticPr fontId="1"/>
  </si>
  <si>
    <t>07030209</t>
    <phoneticPr fontId="1"/>
  </si>
  <si>
    <t>07030210</t>
    <phoneticPr fontId="1"/>
  </si>
  <si>
    <t>07030211</t>
    <phoneticPr fontId="1"/>
  </si>
  <si>
    <t>07030213</t>
    <phoneticPr fontId="1"/>
  </si>
  <si>
    <t>07030214</t>
    <phoneticPr fontId="1"/>
  </si>
  <si>
    <t>07030215</t>
    <phoneticPr fontId="1"/>
  </si>
  <si>
    <t>07020516</t>
    <phoneticPr fontId="1"/>
  </si>
  <si>
    <t>07020521</t>
    <phoneticPr fontId="1"/>
  </si>
  <si>
    <t>07020522</t>
    <phoneticPr fontId="1"/>
  </si>
  <si>
    <t>07020523</t>
    <phoneticPr fontId="1"/>
  </si>
  <si>
    <t>07030009</t>
    <phoneticPr fontId="1"/>
  </si>
  <si>
    <t>07030010</t>
    <phoneticPr fontId="1"/>
  </si>
  <si>
    <t>07030058</t>
    <phoneticPr fontId="1"/>
  </si>
  <si>
    <t>M025</t>
    <phoneticPr fontId="1"/>
  </si>
  <si>
    <t>07030059</t>
    <phoneticPr fontId="1"/>
  </si>
  <si>
    <t>07030060</t>
    <phoneticPr fontId="1"/>
  </si>
  <si>
    <t>07030079</t>
    <phoneticPr fontId="1"/>
  </si>
  <si>
    <t>07030080</t>
    <phoneticPr fontId="1"/>
  </si>
  <si>
    <t>07030084</t>
    <phoneticPr fontId="1"/>
  </si>
  <si>
    <t>07030103</t>
    <phoneticPr fontId="1"/>
  </si>
  <si>
    <t>07030107</t>
    <phoneticPr fontId="1"/>
  </si>
  <si>
    <t>07030199</t>
    <phoneticPr fontId="1"/>
  </si>
  <si>
    <t>07030200</t>
    <phoneticPr fontId="1"/>
  </si>
  <si>
    <t>07030128</t>
    <phoneticPr fontId="1"/>
  </si>
  <si>
    <t>07030129</t>
    <phoneticPr fontId="1"/>
  </si>
  <si>
    <t>07030130</t>
  </si>
  <si>
    <t>07030131</t>
  </si>
  <si>
    <t>07030172</t>
    <phoneticPr fontId="1"/>
  </si>
  <si>
    <t>07020477</t>
    <phoneticPr fontId="1"/>
  </si>
  <si>
    <t>07020489</t>
    <phoneticPr fontId="1"/>
  </si>
  <si>
    <t>07020493</t>
    <phoneticPr fontId="1"/>
  </si>
  <si>
    <t>07020494</t>
    <phoneticPr fontId="1"/>
  </si>
  <si>
    <t>07020495</t>
    <phoneticPr fontId="1"/>
  </si>
  <si>
    <t>07020498</t>
    <phoneticPr fontId="1"/>
  </si>
  <si>
    <t>07020499</t>
    <phoneticPr fontId="1"/>
  </si>
  <si>
    <t>07020500</t>
    <phoneticPr fontId="1"/>
  </si>
  <si>
    <t>07020518</t>
    <phoneticPr fontId="1"/>
  </si>
  <si>
    <t>07030002</t>
    <phoneticPr fontId="1"/>
  </si>
  <si>
    <t>M061</t>
    <phoneticPr fontId="1"/>
  </si>
  <si>
    <t>07030192</t>
    <phoneticPr fontId="1"/>
  </si>
  <si>
    <t>07030007</t>
    <phoneticPr fontId="1"/>
  </si>
  <si>
    <t>07030008</t>
    <phoneticPr fontId="1"/>
  </si>
  <si>
    <t>07030049</t>
    <phoneticPr fontId="1"/>
  </si>
  <si>
    <t>07030056</t>
    <phoneticPr fontId="1"/>
  </si>
  <si>
    <t>07030081</t>
    <phoneticPr fontId="1"/>
  </si>
  <si>
    <t>07030098</t>
    <phoneticPr fontId="1"/>
  </si>
  <si>
    <t>07030143</t>
    <phoneticPr fontId="1"/>
  </si>
  <si>
    <t>07030163</t>
    <phoneticPr fontId="1"/>
  </si>
  <si>
    <t>07030164</t>
    <phoneticPr fontId="1"/>
  </si>
  <si>
    <t>07030179</t>
    <phoneticPr fontId="1"/>
  </si>
  <si>
    <t>07030220</t>
    <phoneticPr fontId="1"/>
  </si>
  <si>
    <t>07030221</t>
    <phoneticPr fontId="1"/>
  </si>
  <si>
    <t>07030222</t>
    <phoneticPr fontId="1"/>
  </si>
  <si>
    <t>07030223</t>
    <phoneticPr fontId="1"/>
  </si>
  <si>
    <t>07030224</t>
    <phoneticPr fontId="1"/>
  </si>
  <si>
    <t>07030225</t>
    <phoneticPr fontId="1"/>
  </si>
  <si>
    <t>07030243</t>
    <phoneticPr fontId="1"/>
  </si>
  <si>
    <t>07030021</t>
    <phoneticPr fontId="1"/>
  </si>
  <si>
    <t>07030116</t>
    <phoneticPr fontId="1"/>
  </si>
  <si>
    <t>07030117</t>
    <phoneticPr fontId="1"/>
  </si>
  <si>
    <t>07030118</t>
    <phoneticPr fontId="1"/>
  </si>
  <si>
    <t>07030119</t>
    <phoneticPr fontId="1"/>
  </si>
  <si>
    <t>07030157</t>
    <phoneticPr fontId="1"/>
  </si>
  <si>
    <t>07030168</t>
    <phoneticPr fontId="1"/>
  </si>
  <si>
    <t>07030212</t>
    <phoneticPr fontId="1"/>
  </si>
  <si>
    <t>07020318</t>
    <phoneticPr fontId="1"/>
  </si>
  <si>
    <t>07020319</t>
    <phoneticPr fontId="1"/>
  </si>
  <si>
    <t>07020336</t>
    <phoneticPr fontId="1"/>
  </si>
  <si>
    <t>07020316</t>
    <phoneticPr fontId="1"/>
  </si>
  <si>
    <t>07030144</t>
    <phoneticPr fontId="1"/>
  </si>
  <si>
    <t>07030145</t>
    <phoneticPr fontId="1"/>
  </si>
  <si>
    <t>07030159</t>
    <phoneticPr fontId="1"/>
  </si>
  <si>
    <t>07030160</t>
    <phoneticPr fontId="1"/>
  </si>
  <si>
    <t>07030161</t>
    <phoneticPr fontId="1"/>
  </si>
  <si>
    <t>07030162</t>
    <phoneticPr fontId="1"/>
  </si>
  <si>
    <t>07030217</t>
    <phoneticPr fontId="1"/>
  </si>
  <si>
    <t>07030250</t>
    <phoneticPr fontId="1"/>
  </si>
  <si>
    <t>07030252</t>
    <phoneticPr fontId="1"/>
  </si>
  <si>
    <t>07030253</t>
    <phoneticPr fontId="1"/>
  </si>
  <si>
    <t>07030255</t>
    <phoneticPr fontId="1"/>
  </si>
  <si>
    <t>07020505</t>
    <phoneticPr fontId="1"/>
  </si>
  <si>
    <t>2025/4/2 個数</t>
  </si>
  <si>
    <t>2025/4/4 個数</t>
  </si>
  <si>
    <t>2025/4/7 個数</t>
  </si>
  <si>
    <t>2025/4/9 個数</t>
  </si>
  <si>
    <t>2025/4/12 個数</t>
  </si>
  <si>
    <t>2025/4/14 個数</t>
  </si>
  <si>
    <t>2025/4/15 個数</t>
  </si>
  <si>
    <t>2025/4/16 個数</t>
  </si>
  <si>
    <t>2025/4/21 個数</t>
  </si>
  <si>
    <t>2025/5/16 個数</t>
  </si>
  <si>
    <t>2025/5/18 個数</t>
  </si>
  <si>
    <t>2025/5/23 個数</t>
  </si>
  <si>
    <t>2025/6/21 個数</t>
  </si>
  <si>
    <t>07020162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</si>
</sst>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C266" zoomScale="106" zoomScaleNormal="106" workbookViewId="0">
      <selection activeCell="F283" sqref="F283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210</v>
      </c>
      <c r="B1" s="24">
        <v>45729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21.6</v>
      </c>
      <c r="C3" s="85" t="s">
        <v>211</v>
      </c>
      <c r="D3" s="109" t="s">
        <v>198</v>
      </c>
      <c r="E3" s="15" t="s">
        <v>60</v>
      </c>
      <c r="F3" s="14"/>
      <c r="G3" s="12" t="s">
        <v>178</v>
      </c>
      <c r="H3" s="13"/>
      <c r="I3" s="13"/>
      <c r="J3" s="13"/>
      <c r="K3" s="13">
        <v>1</v>
      </c>
      <c r="L3" s="13">
        <v>1</v>
      </c>
      <c r="M3" s="13"/>
      <c r="N3" s="13"/>
      <c r="O3" s="13"/>
      <c r="P3" s="13"/>
      <c r="Q3" s="13"/>
      <c r="R3" s="13"/>
      <c r="S3" s="13"/>
      <c r="T3" s="25">
        <v>45744</v>
      </c>
      <c r="U3" s="13" t="s">
        <v>142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212</v>
      </c>
      <c r="D4" s="109" t="s">
        <v>180</v>
      </c>
      <c r="E4" s="15" t="s">
        <v>36</v>
      </c>
      <c r="F4" s="16"/>
      <c r="G4" s="12" t="s">
        <v>178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45743</v>
      </c>
      <c r="U4" s="13" t="s">
        <v>146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213</v>
      </c>
      <c r="D5" s="109" t="s">
        <v>198</v>
      </c>
      <c r="E5" s="15" t="s">
        <v>37</v>
      </c>
      <c r="F5" s="16"/>
      <c r="G5" s="12" t="s">
        <v>178</v>
      </c>
      <c r="H5" s="13"/>
      <c r="I5" s="13"/>
      <c r="J5" s="15"/>
      <c r="K5" s="15"/>
      <c r="L5" s="17"/>
      <c r="M5" s="17">
        <v>1</v>
      </c>
      <c r="N5" s="13"/>
      <c r="O5" s="17"/>
      <c r="P5" s="17"/>
      <c r="Q5" s="17">
        <v>1</v>
      </c>
      <c r="R5" s="17"/>
      <c r="S5" s="15"/>
      <c r="T5" s="25">
        <v>45747</v>
      </c>
      <c r="U5" s="13" t="s">
        <v>147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214</v>
      </c>
      <c r="D6" s="109" t="s">
        <v>183</v>
      </c>
      <c r="E6" s="15" t="s">
        <v>58</v>
      </c>
      <c r="F6" s="16"/>
      <c r="G6" s="12" t="s">
        <v>178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45798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215</v>
      </c>
      <c r="D7" s="109" t="s">
        <v>183</v>
      </c>
      <c r="E7" s="15" t="s">
        <v>37</v>
      </c>
      <c r="F7" s="16"/>
      <c r="G7" s="12" t="s">
        <v>178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45749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217</v>
      </c>
      <c r="D8" s="109" t="s">
        <v>216</v>
      </c>
      <c r="E8" s="15" t="s">
        <v>36</v>
      </c>
      <c r="F8" s="16"/>
      <c r="G8" s="12" t="s">
        <v>178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/>
      <c r="R8" s="17"/>
      <c r="S8" s="15"/>
      <c r="T8" s="25">
        <v>45756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218</v>
      </c>
      <c r="D9" s="109" t="s">
        <v>202</v>
      </c>
      <c r="E9" s="15" t="s">
        <v>37</v>
      </c>
      <c r="F9" s="16"/>
      <c r="G9" s="12" t="s">
        <v>178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45759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219</v>
      </c>
      <c r="D10" s="109" t="s">
        <v>202</v>
      </c>
      <c r="E10" s="15" t="s">
        <v>37</v>
      </c>
      <c r="F10" s="16"/>
      <c r="G10" s="12" t="s">
        <v>178</v>
      </c>
      <c r="H10" s="15"/>
      <c r="I10" s="13"/>
      <c r="J10" s="15"/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45759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220</v>
      </c>
      <c r="D11" s="109" t="s">
        <v>202</v>
      </c>
      <c r="E11" s="15" t="s">
        <v>36</v>
      </c>
      <c r="F11" s="16"/>
      <c r="G11" s="12" t="s">
        <v>178</v>
      </c>
      <c r="H11" s="15"/>
      <c r="I11" s="13"/>
      <c r="J11" s="15"/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45759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221</v>
      </c>
      <c r="D12" s="109">
        <v>1183</v>
      </c>
      <c r="E12" s="15" t="s">
        <v>36</v>
      </c>
      <c r="F12" s="16"/>
      <c r="G12" s="12" t="s">
        <v>178</v>
      </c>
      <c r="H12" s="15"/>
      <c r="I12" s="15"/>
      <c r="J12" s="15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45795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222</v>
      </c>
      <c r="D13" s="109" t="s">
        <v>177</v>
      </c>
      <c r="E13" s="15" t="s">
        <v>44</v>
      </c>
      <c r="F13" s="16"/>
      <c r="G13" s="12" t="s">
        <v>178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45752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224</v>
      </c>
      <c r="D14" s="109" t="s">
        <v>223</v>
      </c>
      <c r="E14" s="15" t="s">
        <v>39</v>
      </c>
      <c r="F14" s="16"/>
      <c r="G14" s="12" t="s">
        <v>178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45750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225</v>
      </c>
      <c r="D15" s="109" t="s">
        <v>223</v>
      </c>
      <c r="E15" s="15" t="s">
        <v>133</v>
      </c>
      <c r="F15" s="16"/>
      <c r="G15" s="12" t="s">
        <v>178</v>
      </c>
      <c r="H15" s="15"/>
      <c r="I15" s="15"/>
      <c r="J15" s="15">
        <v>1</v>
      </c>
      <c r="K15" s="15"/>
      <c r="L15" s="17"/>
      <c r="M15" s="17"/>
      <c r="N15" s="17"/>
      <c r="O15" s="17">
        <v>1</v>
      </c>
      <c r="P15" s="17"/>
      <c r="Q15" s="17"/>
      <c r="R15" s="17">
        <v>1</v>
      </c>
      <c r="S15" s="15"/>
      <c r="T15" s="25">
        <v>45750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226</v>
      </c>
      <c r="D16" s="109" t="s">
        <v>197</v>
      </c>
      <c r="E16" s="15" t="s">
        <v>75</v>
      </c>
      <c r="F16" s="16"/>
      <c r="G16" s="12" t="s">
        <v>178</v>
      </c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>
        <v>45753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 t="s">
        <v>355</v>
      </c>
      <c r="D17" s="106" t="s">
        <v>182</v>
      </c>
      <c r="E17" s="15" t="s">
        <v>58</v>
      </c>
      <c r="F17" s="16"/>
      <c r="G17" s="15" t="s">
        <v>178</v>
      </c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>
        <v>45798</v>
      </c>
      <c r="U17" s="15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259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7</v>
      </c>
      <c r="L28" s="29">
        <f t="shared" si="0"/>
        <v>1</v>
      </c>
      <c r="M28" s="29">
        <f t="shared" si="0"/>
        <v>4</v>
      </c>
      <c r="N28" s="29">
        <f t="shared" si="0"/>
        <v>3</v>
      </c>
      <c r="O28" s="29">
        <f t="shared" si="0"/>
        <v>1</v>
      </c>
      <c r="P28" s="29">
        <f t="shared" si="0"/>
        <v>0</v>
      </c>
      <c r="Q28" s="29">
        <f t="shared" si="0"/>
        <v>2</v>
      </c>
      <c r="R28" s="29">
        <f t="shared" si="0"/>
        <v>1</v>
      </c>
      <c r="S28" s="29">
        <f t="shared" si="0"/>
        <v>0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24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AYG103</v>
      </c>
      <c r="B31" s="24">
        <f>B1</f>
        <v>45729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19.2</v>
      </c>
      <c r="C33" s="85" t="s">
        <v>227</v>
      </c>
      <c r="D33" s="109" t="s">
        <v>181</v>
      </c>
      <c r="E33" s="15" t="s">
        <v>59</v>
      </c>
      <c r="F33" s="14"/>
      <c r="G33" s="12" t="s">
        <v>178</v>
      </c>
      <c r="H33" s="13" t="s">
        <v>228</v>
      </c>
      <c r="I33" s="13"/>
      <c r="J33" s="13">
        <v>2</v>
      </c>
      <c r="K33" s="13"/>
      <c r="L33" s="13"/>
      <c r="M33" s="13"/>
      <c r="N33" s="13"/>
      <c r="O33" s="13"/>
      <c r="P33" s="13"/>
      <c r="Q33" s="13"/>
      <c r="R33" s="13"/>
      <c r="S33" s="13"/>
      <c r="T33" s="25">
        <v>45755</v>
      </c>
      <c r="U33" s="13" t="s">
        <v>146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51</v>
      </c>
    </row>
    <row r="34" spans="1:29" x14ac:dyDescent="0.4">
      <c r="A34" s="146"/>
      <c r="B34" s="136"/>
      <c r="C34" s="85" t="s">
        <v>229</v>
      </c>
      <c r="D34" s="109" t="s">
        <v>181</v>
      </c>
      <c r="E34" s="15" t="s">
        <v>59</v>
      </c>
      <c r="F34" s="16"/>
      <c r="G34" s="12" t="s">
        <v>178</v>
      </c>
      <c r="H34" s="15" t="s">
        <v>228</v>
      </c>
      <c r="I34" s="13"/>
      <c r="J34" s="15">
        <v>2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45755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37</v>
      </c>
    </row>
    <row r="35" spans="1:29" ht="19.5" thickBot="1" x14ac:dyDescent="0.45">
      <c r="A35" s="146"/>
      <c r="B35" s="136"/>
      <c r="C35" s="85" t="s">
        <v>230</v>
      </c>
      <c r="D35" s="109" t="s">
        <v>181</v>
      </c>
      <c r="E35" s="15" t="s">
        <v>59</v>
      </c>
      <c r="F35" s="16"/>
      <c r="G35" s="12" t="s">
        <v>178</v>
      </c>
      <c r="H35" s="13" t="s">
        <v>228</v>
      </c>
      <c r="I35" s="13"/>
      <c r="J35" s="15">
        <v>2</v>
      </c>
      <c r="K35" s="15"/>
      <c r="L35" s="17"/>
      <c r="M35" s="17"/>
      <c r="N35" s="13"/>
      <c r="O35" s="17"/>
      <c r="P35" s="17"/>
      <c r="Q35" s="17"/>
      <c r="R35" s="17"/>
      <c r="S35" s="15"/>
      <c r="T35" s="25">
        <v>45755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5</v>
      </c>
    </row>
    <row r="36" spans="1:29" x14ac:dyDescent="0.4">
      <c r="A36" s="146"/>
      <c r="B36" s="136"/>
      <c r="C36" s="85" t="s">
        <v>231</v>
      </c>
      <c r="D36" s="109" t="s">
        <v>181</v>
      </c>
      <c r="E36" s="15" t="s">
        <v>59</v>
      </c>
      <c r="F36" s="16"/>
      <c r="G36" s="12" t="s">
        <v>178</v>
      </c>
      <c r="H36" s="15" t="s">
        <v>228</v>
      </c>
      <c r="I36" s="13"/>
      <c r="J36" s="13">
        <v>2</v>
      </c>
      <c r="K36" s="15"/>
      <c r="L36" s="17"/>
      <c r="M36" s="17"/>
      <c r="N36" s="13"/>
      <c r="O36" s="17"/>
      <c r="P36" s="17"/>
      <c r="Q36" s="17"/>
      <c r="R36" s="17"/>
      <c r="S36" s="15"/>
      <c r="T36" s="25">
        <v>45760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28</v>
      </c>
    </row>
    <row r="37" spans="1:29" x14ac:dyDescent="0.4">
      <c r="A37" s="146"/>
      <c r="B37" s="136"/>
      <c r="C37" s="85"/>
      <c r="D37" s="109"/>
      <c r="E37" s="15"/>
      <c r="F37" s="16"/>
      <c r="G37" s="12"/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/>
      <c r="T37" s="25"/>
      <c r="U37" s="13"/>
      <c r="V37">
        <v>5</v>
      </c>
      <c r="AA37" s="31" t="s">
        <v>51</v>
      </c>
      <c r="AB37" s="32">
        <f>N28+N178+N148+N118+N208+N238+N268+N298+N328+N358</f>
        <v>28</v>
      </c>
    </row>
    <row r="38" spans="1:29" x14ac:dyDescent="0.4">
      <c r="A38" s="146"/>
      <c r="B38" s="136"/>
      <c r="C38" s="85"/>
      <c r="D38" s="109"/>
      <c r="E38" s="15"/>
      <c r="F38" s="16"/>
      <c r="G38" s="12"/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/>
      <c r="U38" s="13"/>
      <c r="V38">
        <v>6</v>
      </c>
      <c r="AA38" s="31" t="s">
        <v>52</v>
      </c>
      <c r="AB38" s="32">
        <f>O28+O178+O148+O118+O208+O238+O268+O298+O328+O358</f>
        <v>14</v>
      </c>
    </row>
    <row r="39" spans="1:29" x14ac:dyDescent="0.4">
      <c r="A39" s="146"/>
      <c r="B39" s="136"/>
      <c r="C39" s="85"/>
      <c r="D39" s="109"/>
      <c r="E39" s="15"/>
      <c r="F39" s="16"/>
      <c r="G39" s="12"/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/>
      <c r="T39" s="25"/>
      <c r="U39" s="13"/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46"/>
      <c r="B40" s="136"/>
      <c r="C40" s="85"/>
      <c r="D40" s="109"/>
      <c r="E40" s="15"/>
      <c r="F40" s="16"/>
      <c r="G40" s="12"/>
      <c r="H40" s="15"/>
      <c r="I40" s="13"/>
      <c r="J40" s="15"/>
      <c r="K40" s="15"/>
      <c r="L40" s="17"/>
      <c r="M40" s="17"/>
      <c r="N40" s="13"/>
      <c r="O40" s="17"/>
      <c r="P40" s="17"/>
      <c r="Q40" s="17"/>
      <c r="R40" s="17"/>
      <c r="S40" s="15"/>
      <c r="T40" s="25"/>
      <c r="U40" s="13"/>
      <c r="V40">
        <v>8</v>
      </c>
      <c r="AA40" s="31" t="s">
        <v>54</v>
      </c>
      <c r="AB40" s="32">
        <f>Q28+Q178+Q148+Q118+Q208+Q238+Q268+Q298+Q328+Q358</f>
        <v>30</v>
      </c>
    </row>
    <row r="41" spans="1:29" x14ac:dyDescent="0.4">
      <c r="A41" s="146"/>
      <c r="B41" s="136"/>
      <c r="C41" s="85"/>
      <c r="D41" s="109"/>
      <c r="E41" s="15"/>
      <c r="F41" s="16"/>
      <c r="G41" s="12"/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46"/>
      <c r="B42" s="136"/>
      <c r="C42" s="85"/>
      <c r="D42" s="109"/>
      <c r="E42" s="15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9</v>
      </c>
      <c r="AC42" s="73">
        <f>SUM(AB33:AB42)</f>
        <v>223</v>
      </c>
    </row>
    <row r="43" spans="1:29" ht="19.5" thickBot="1" x14ac:dyDescent="0.45">
      <c r="A43" s="146"/>
      <c r="B43" s="136"/>
      <c r="C43" s="85"/>
      <c r="D43" s="109"/>
      <c r="E43" s="15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12</v>
      </c>
    </row>
    <row r="45" spans="1:29" x14ac:dyDescent="0.4">
      <c r="A45" s="146"/>
      <c r="B45" s="136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6"/>
      <c r="B46" s="136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139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4</v>
      </c>
      <c r="D58" s="112"/>
      <c r="E58" s="29"/>
      <c r="F58" s="29" t="s">
        <v>34</v>
      </c>
      <c r="G58" s="29">
        <f>COUNTIF(G33:G57,"S")</f>
        <v>4</v>
      </c>
      <c r="H58" s="29">
        <f>COUNTIF(H33:H57,"E")</f>
        <v>4</v>
      </c>
      <c r="I58" s="29">
        <f>SUM(I33:I57)</f>
        <v>0</v>
      </c>
      <c r="J58" s="29">
        <f t="shared" ref="J58:S58" si="1">SUM(J33:J57)</f>
        <v>8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AYG103</v>
      </c>
      <c r="B61" s="24">
        <f>B1</f>
        <v>45729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23.8</v>
      </c>
      <c r="C63" s="85" t="s">
        <v>232</v>
      </c>
      <c r="D63" s="109" t="s">
        <v>188</v>
      </c>
      <c r="E63" s="15" t="s">
        <v>37</v>
      </c>
      <c r="F63" s="14"/>
      <c r="G63" s="12" t="s">
        <v>178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>
        <v>1</v>
      </c>
      <c r="R63" s="13"/>
      <c r="S63" s="13"/>
      <c r="T63" s="25">
        <v>45755</v>
      </c>
      <c r="U63" s="13" t="s">
        <v>147</v>
      </c>
      <c r="V63">
        <v>1</v>
      </c>
      <c r="X63" s="51" t="s">
        <v>106</v>
      </c>
      <c r="Y63" s="52">
        <f>COUNTIF(U63:U87,"K")</f>
        <v>8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233</v>
      </c>
      <c r="D64" s="109" t="s">
        <v>179</v>
      </c>
      <c r="E64" s="15" t="s">
        <v>37</v>
      </c>
      <c r="F64" s="16"/>
      <c r="G64" s="12" t="s">
        <v>178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45752</v>
      </c>
      <c r="U64" s="13" t="s">
        <v>147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234</v>
      </c>
      <c r="D65" s="109" t="s">
        <v>187</v>
      </c>
      <c r="E65" s="15" t="s">
        <v>74</v>
      </c>
      <c r="F65" s="16"/>
      <c r="G65" s="12" t="s">
        <v>178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45753</v>
      </c>
      <c r="U65" s="13" t="s">
        <v>146</v>
      </c>
      <c r="V65">
        <v>3</v>
      </c>
      <c r="X65" s="53" t="s">
        <v>108</v>
      </c>
      <c r="Y65" s="54">
        <f>COUNTIF(U63:U87,"J")</f>
        <v>4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236</v>
      </c>
      <c r="D66" s="109" t="s">
        <v>235</v>
      </c>
      <c r="E66" s="15" t="s">
        <v>44</v>
      </c>
      <c r="F66" s="16"/>
      <c r="G66" s="12" t="s">
        <v>178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45753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237</v>
      </c>
      <c r="D67" s="109" t="s">
        <v>181</v>
      </c>
      <c r="E67" s="15" t="s">
        <v>39</v>
      </c>
      <c r="F67" s="16"/>
      <c r="G67" s="12" t="s">
        <v>178</v>
      </c>
      <c r="H67" s="15"/>
      <c r="I67" s="15"/>
      <c r="J67" s="13">
        <v>1</v>
      </c>
      <c r="K67" s="15"/>
      <c r="L67" s="13">
        <v>1</v>
      </c>
      <c r="M67" s="17"/>
      <c r="N67" s="17"/>
      <c r="O67" s="17"/>
      <c r="P67" s="17"/>
      <c r="Q67" s="17"/>
      <c r="R67" s="17"/>
      <c r="S67" s="15"/>
      <c r="T67" s="25">
        <v>45752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238</v>
      </c>
      <c r="D68" s="109" t="s">
        <v>200</v>
      </c>
      <c r="E68" s="15" t="s">
        <v>39</v>
      </c>
      <c r="F68" s="16"/>
      <c r="G68" s="12" t="s">
        <v>178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45753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239</v>
      </c>
      <c r="D69" s="109" t="s">
        <v>200</v>
      </c>
      <c r="E69" s="15" t="s">
        <v>133</v>
      </c>
      <c r="F69" s="16"/>
      <c r="G69" s="12" t="s">
        <v>178</v>
      </c>
      <c r="H69" s="15"/>
      <c r="I69" s="15"/>
      <c r="J69" s="13"/>
      <c r="K69" s="15"/>
      <c r="L69" s="13"/>
      <c r="M69" s="17"/>
      <c r="N69" s="17"/>
      <c r="O69" s="17">
        <v>1</v>
      </c>
      <c r="P69" s="17">
        <v>1</v>
      </c>
      <c r="Q69" s="17">
        <v>1</v>
      </c>
      <c r="R69" s="17">
        <v>1</v>
      </c>
      <c r="S69" s="15"/>
      <c r="T69" s="25">
        <v>45753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 t="s">
        <v>240</v>
      </c>
      <c r="D70" s="109" t="s">
        <v>200</v>
      </c>
      <c r="E70" s="15" t="s">
        <v>39</v>
      </c>
      <c r="F70" s="16"/>
      <c r="G70" s="12" t="s">
        <v>178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45753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 t="s">
        <v>241</v>
      </c>
      <c r="D71" s="109" t="s">
        <v>200</v>
      </c>
      <c r="E71" s="15" t="s">
        <v>133</v>
      </c>
      <c r="F71" s="16"/>
      <c r="G71" s="12" t="s">
        <v>178</v>
      </c>
      <c r="H71" s="15"/>
      <c r="I71" s="15"/>
      <c r="J71" s="13"/>
      <c r="K71" s="15"/>
      <c r="L71" s="13"/>
      <c r="M71" s="17"/>
      <c r="N71" s="17"/>
      <c r="O71" s="17">
        <v>1</v>
      </c>
      <c r="P71" s="17">
        <v>1</v>
      </c>
      <c r="Q71" s="17">
        <v>1</v>
      </c>
      <c r="R71" s="17">
        <v>1</v>
      </c>
      <c r="S71" s="15"/>
      <c r="T71" s="25">
        <v>45753</v>
      </c>
      <c r="U71" s="13" t="s">
        <v>148</v>
      </c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 t="s">
        <v>242</v>
      </c>
      <c r="D72" s="109" t="s">
        <v>200</v>
      </c>
      <c r="E72" s="15" t="s">
        <v>39</v>
      </c>
      <c r="F72" s="16"/>
      <c r="G72" s="12" t="s">
        <v>178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45753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 t="s">
        <v>243</v>
      </c>
      <c r="D73" s="109" t="s">
        <v>200</v>
      </c>
      <c r="E73" s="15" t="s">
        <v>133</v>
      </c>
      <c r="F73" s="16"/>
      <c r="G73" s="15" t="s">
        <v>178</v>
      </c>
      <c r="H73" s="15"/>
      <c r="I73" s="15"/>
      <c r="J73" s="15"/>
      <c r="K73" s="15"/>
      <c r="L73" s="17"/>
      <c r="M73" s="17"/>
      <c r="N73" s="17"/>
      <c r="O73" s="17">
        <v>1</v>
      </c>
      <c r="P73" s="17">
        <v>1</v>
      </c>
      <c r="Q73" s="17">
        <v>1</v>
      </c>
      <c r="R73" s="17">
        <v>1</v>
      </c>
      <c r="S73" s="15"/>
      <c r="T73" s="25">
        <v>45753</v>
      </c>
      <c r="U73" s="15" t="s">
        <v>148</v>
      </c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 t="s">
        <v>244</v>
      </c>
      <c r="D74" s="109" t="s">
        <v>179</v>
      </c>
      <c r="E74" s="15" t="s">
        <v>40</v>
      </c>
      <c r="F74" s="16"/>
      <c r="G74" s="15" t="s">
        <v>178</v>
      </c>
      <c r="H74" s="15"/>
      <c r="I74" s="15"/>
      <c r="J74" s="15"/>
      <c r="K74" s="15"/>
      <c r="L74" s="17"/>
      <c r="M74" s="17"/>
      <c r="N74" s="17"/>
      <c r="O74" s="17"/>
      <c r="P74" s="17">
        <v>1</v>
      </c>
      <c r="Q74" s="17">
        <v>1</v>
      </c>
      <c r="R74" s="17"/>
      <c r="S74" s="15"/>
      <c r="T74" s="25">
        <v>45755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 t="s">
        <v>245</v>
      </c>
      <c r="D75" s="109" t="s">
        <v>181</v>
      </c>
      <c r="E75" s="15" t="s">
        <v>39</v>
      </c>
      <c r="F75" s="16"/>
      <c r="G75" s="15" t="s">
        <v>178</v>
      </c>
      <c r="H75" s="15"/>
      <c r="I75" s="15"/>
      <c r="J75" s="15">
        <v>1</v>
      </c>
      <c r="K75" s="15"/>
      <c r="L75" s="17">
        <v>1</v>
      </c>
      <c r="M75" s="17"/>
      <c r="N75" s="17"/>
      <c r="O75" s="17"/>
      <c r="P75" s="17"/>
      <c r="Q75" s="17"/>
      <c r="R75" s="17"/>
      <c r="S75" s="15"/>
      <c r="T75" s="25">
        <v>45755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 t="s">
        <v>246</v>
      </c>
      <c r="D76" s="109" t="s">
        <v>177</v>
      </c>
      <c r="E76" s="15" t="s">
        <v>39</v>
      </c>
      <c r="F76" s="16"/>
      <c r="G76" s="15" t="s">
        <v>178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45800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14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6</v>
      </c>
      <c r="L88" s="29">
        <f t="shared" si="2"/>
        <v>2</v>
      </c>
      <c r="M88" s="29">
        <f t="shared" si="2"/>
        <v>2</v>
      </c>
      <c r="N88" s="29">
        <f t="shared" si="2"/>
        <v>2</v>
      </c>
      <c r="O88" s="29">
        <f t="shared" si="2"/>
        <v>3</v>
      </c>
      <c r="P88" s="29">
        <f t="shared" si="2"/>
        <v>4</v>
      </c>
      <c r="Q88" s="29">
        <f t="shared" si="2"/>
        <v>6</v>
      </c>
      <c r="R88" s="29">
        <f t="shared" si="2"/>
        <v>3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AYG103</v>
      </c>
      <c r="B91" s="24">
        <f>B1</f>
        <v>45729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25.4</v>
      </c>
      <c r="C93" s="85" t="s">
        <v>247</v>
      </c>
      <c r="D93" s="109" t="s">
        <v>181</v>
      </c>
      <c r="E93" s="15" t="s">
        <v>42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>
        <v>1</v>
      </c>
      <c r="T93" s="25">
        <v>45752</v>
      </c>
      <c r="U93" s="13" t="s">
        <v>146</v>
      </c>
      <c r="V93">
        <v>1</v>
      </c>
      <c r="X93" s="51" t="s">
        <v>106</v>
      </c>
      <c r="Y93" s="52">
        <f>COUNTIF(U93:U117,"K")</f>
        <v>14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248</v>
      </c>
      <c r="D94" s="109" t="s">
        <v>181</v>
      </c>
      <c r="E94" s="15" t="s">
        <v>41</v>
      </c>
      <c r="F94" s="16"/>
      <c r="G94" s="12" t="s">
        <v>178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45752</v>
      </c>
      <c r="U94" s="13" t="s">
        <v>146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249</v>
      </c>
      <c r="D95" s="109" t="s">
        <v>181</v>
      </c>
      <c r="E95" s="15" t="s">
        <v>42</v>
      </c>
      <c r="F95" s="16"/>
      <c r="G95" s="12" t="s">
        <v>178</v>
      </c>
      <c r="H95" s="15"/>
      <c r="I95" s="15"/>
      <c r="J95" s="15"/>
      <c r="K95" s="15"/>
      <c r="L95" s="17"/>
      <c r="M95" s="17"/>
      <c r="N95" s="17"/>
      <c r="O95" s="17"/>
      <c r="P95" s="17"/>
      <c r="Q95" s="17"/>
      <c r="R95" s="17"/>
      <c r="S95" s="15">
        <v>1</v>
      </c>
      <c r="T95" s="25">
        <v>45752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250</v>
      </c>
      <c r="D96" s="109" t="s">
        <v>181</v>
      </c>
      <c r="E96" s="15" t="s">
        <v>41</v>
      </c>
      <c r="F96" s="16"/>
      <c r="G96" s="12" t="s">
        <v>178</v>
      </c>
      <c r="H96" s="15"/>
      <c r="I96" s="15"/>
      <c r="J96" s="15">
        <v>1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45752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251</v>
      </c>
      <c r="D97" s="109" t="s">
        <v>181</v>
      </c>
      <c r="E97" s="15" t="s">
        <v>42</v>
      </c>
      <c r="F97" s="16"/>
      <c r="G97" s="12" t="s">
        <v>178</v>
      </c>
      <c r="H97" s="15"/>
      <c r="I97" s="15"/>
      <c r="J97" s="15"/>
      <c r="K97" s="15"/>
      <c r="L97" s="17"/>
      <c r="M97" s="17"/>
      <c r="N97" s="17"/>
      <c r="O97" s="17"/>
      <c r="P97" s="17"/>
      <c r="Q97" s="17"/>
      <c r="R97" s="17"/>
      <c r="S97" s="15">
        <v>1</v>
      </c>
      <c r="T97" s="25">
        <v>45752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252</v>
      </c>
      <c r="D98" s="109" t="s">
        <v>181</v>
      </c>
      <c r="E98" s="15" t="s">
        <v>41</v>
      </c>
      <c r="F98" s="16"/>
      <c r="G98" s="12" t="s">
        <v>178</v>
      </c>
      <c r="H98" s="13"/>
      <c r="I98" s="15"/>
      <c r="J98" s="15">
        <v>1</v>
      </c>
      <c r="K98" s="15"/>
      <c r="L98" s="17"/>
      <c r="M98" s="17"/>
      <c r="N98" s="17"/>
      <c r="O98" s="17"/>
      <c r="P98" s="17"/>
      <c r="Q98" s="17"/>
      <c r="R98" s="17"/>
      <c r="S98" s="15"/>
      <c r="T98" s="25">
        <v>45752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253</v>
      </c>
      <c r="D99" s="109" t="s">
        <v>177</v>
      </c>
      <c r="E99" s="15" t="s">
        <v>38</v>
      </c>
      <c r="F99" s="16"/>
      <c r="G99" s="12" t="s">
        <v>178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45755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254</v>
      </c>
      <c r="D100" s="109" t="s">
        <v>203</v>
      </c>
      <c r="E100" s="15" t="s">
        <v>74</v>
      </c>
      <c r="F100" s="16"/>
      <c r="G100" s="12" t="s">
        <v>178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45756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255</v>
      </c>
      <c r="D101" s="109" t="s">
        <v>203</v>
      </c>
      <c r="E101" s="15" t="s">
        <v>37</v>
      </c>
      <c r="F101" s="16"/>
      <c r="G101" s="12" t="s">
        <v>178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45756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256</v>
      </c>
      <c r="D102" s="109" t="s">
        <v>203</v>
      </c>
      <c r="E102" s="15" t="s">
        <v>39</v>
      </c>
      <c r="F102" s="16"/>
      <c r="G102" s="12" t="s">
        <v>178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45756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257</v>
      </c>
      <c r="D103" s="109" t="s">
        <v>203</v>
      </c>
      <c r="E103" s="15" t="s">
        <v>39</v>
      </c>
      <c r="F103" s="16"/>
      <c r="G103" s="12" t="s">
        <v>178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45756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258</v>
      </c>
      <c r="D104" s="109" t="s">
        <v>203</v>
      </c>
      <c r="E104" s="15" t="s">
        <v>39</v>
      </c>
      <c r="F104" s="16"/>
      <c r="G104" s="12" t="s">
        <v>178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45756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259</v>
      </c>
      <c r="D105" s="109" t="s">
        <v>203</v>
      </c>
      <c r="E105" s="15" t="s">
        <v>39</v>
      </c>
      <c r="F105" s="16"/>
      <c r="G105" s="12" t="s">
        <v>178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45756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260</v>
      </c>
      <c r="D106" s="109" t="s">
        <v>177</v>
      </c>
      <c r="E106" s="15" t="s">
        <v>37</v>
      </c>
      <c r="F106" s="16"/>
      <c r="G106" s="12" t="s">
        <v>178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45760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261</v>
      </c>
      <c r="D107" s="109" t="s">
        <v>177</v>
      </c>
      <c r="E107" s="15" t="s">
        <v>37</v>
      </c>
      <c r="F107" s="16"/>
      <c r="G107" s="15" t="s">
        <v>178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45760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11</v>
      </c>
      <c r="K118" s="29">
        <f t="shared" ref="K118" si="4">SUM(K93:K117)</f>
        <v>8</v>
      </c>
      <c r="L118" s="29">
        <f t="shared" ref="L118" si="5">SUM(L93:L117)</f>
        <v>0</v>
      </c>
      <c r="M118" s="29">
        <f t="shared" ref="M118" si="6">SUM(M93:M117)</f>
        <v>1</v>
      </c>
      <c r="N118" s="29">
        <f t="shared" ref="N118" si="7">SUM(N93:N117)</f>
        <v>1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3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AYG103</v>
      </c>
      <c r="B121" s="24">
        <f>B1</f>
        <v>45729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18</v>
      </c>
      <c r="C123" s="85" t="s">
        <v>262</v>
      </c>
      <c r="D123" s="106" t="s">
        <v>181</v>
      </c>
      <c r="E123" s="15" t="s">
        <v>59</v>
      </c>
      <c r="F123" s="14"/>
      <c r="G123" s="12" t="s">
        <v>178</v>
      </c>
      <c r="H123" s="13" t="s">
        <v>228</v>
      </c>
      <c r="I123" s="13"/>
      <c r="J123" s="13">
        <v>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45763</v>
      </c>
      <c r="U123" s="13" t="s">
        <v>146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263</v>
      </c>
      <c r="D124" s="106" t="s">
        <v>181</v>
      </c>
      <c r="E124" s="15" t="s">
        <v>59</v>
      </c>
      <c r="F124" s="16"/>
      <c r="G124" s="15" t="s">
        <v>178</v>
      </c>
      <c r="H124" s="15" t="s">
        <v>228</v>
      </c>
      <c r="I124" s="15"/>
      <c r="J124" s="15">
        <v>2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45763</v>
      </c>
      <c r="U124" s="13" t="s">
        <v>146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264</v>
      </c>
      <c r="D125" s="106" t="s">
        <v>181</v>
      </c>
      <c r="E125" s="15" t="s">
        <v>59</v>
      </c>
      <c r="F125" s="16"/>
      <c r="G125" s="15" t="s">
        <v>178</v>
      </c>
      <c r="H125" s="13" t="s">
        <v>228</v>
      </c>
      <c r="I125" s="15"/>
      <c r="J125" s="15">
        <v>2</v>
      </c>
      <c r="K125" s="15"/>
      <c r="L125" s="17"/>
      <c r="M125" s="17"/>
      <c r="N125" s="17"/>
      <c r="O125" s="17"/>
      <c r="P125" s="17"/>
      <c r="Q125" s="17"/>
      <c r="R125" s="17"/>
      <c r="S125" s="15"/>
      <c r="T125" s="25">
        <v>45763</v>
      </c>
      <c r="U125" s="13" t="s">
        <v>146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265</v>
      </c>
      <c r="D126" s="106" t="s">
        <v>181</v>
      </c>
      <c r="E126" s="15" t="s">
        <v>59</v>
      </c>
      <c r="F126" s="16"/>
      <c r="G126" s="15" t="s">
        <v>178</v>
      </c>
      <c r="H126" s="15" t="s">
        <v>228</v>
      </c>
      <c r="I126" s="15"/>
      <c r="J126" s="15">
        <v>2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45763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/>
      <c r="D127" s="106"/>
      <c r="E127" s="15"/>
      <c r="F127" s="16"/>
      <c r="G127" s="15"/>
      <c r="H127" s="15"/>
      <c r="I127" s="15"/>
      <c r="J127" s="15"/>
      <c r="K127" s="15"/>
      <c r="L127" s="17"/>
      <c r="M127" s="17"/>
      <c r="N127" s="17"/>
      <c r="O127" s="17"/>
      <c r="P127" s="17"/>
      <c r="Q127" s="17"/>
      <c r="R127" s="17"/>
      <c r="S127" s="15"/>
      <c r="T127" s="25"/>
      <c r="U127" s="13"/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/>
      <c r="D128" s="106"/>
      <c r="E128" s="15"/>
      <c r="F128" s="16"/>
      <c r="G128" s="13"/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/>
      <c r="T128" s="25"/>
      <c r="U128" s="13"/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/>
      <c r="D129" s="106"/>
      <c r="E129" s="15"/>
      <c r="F129" s="16"/>
      <c r="G129" s="15"/>
      <c r="H129" s="15"/>
      <c r="I129" s="15"/>
      <c r="J129" s="15"/>
      <c r="K129" s="15"/>
      <c r="L129" s="17"/>
      <c r="M129" s="17"/>
      <c r="N129" s="17"/>
      <c r="O129" s="17"/>
      <c r="P129" s="17"/>
      <c r="Q129" s="17"/>
      <c r="R129" s="17"/>
      <c r="S129" s="15"/>
      <c r="T129" s="25"/>
      <c r="U129" s="13"/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/>
      <c r="D130" s="106"/>
      <c r="E130" s="15"/>
      <c r="F130" s="16"/>
      <c r="G130" s="15"/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/>
      <c r="U130" s="13"/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/>
      <c r="D131" s="106"/>
      <c r="E131" s="15"/>
      <c r="F131" s="16"/>
      <c r="G131" s="15"/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86"/>
      <c r="T131" s="25"/>
      <c r="U131" s="13"/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/>
      <c r="D132" s="106"/>
      <c r="E132" s="15"/>
      <c r="F132" s="16"/>
      <c r="G132" s="15"/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/>
      <c r="U132" s="13"/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/>
      <c r="D133" s="106"/>
      <c r="E133" s="15"/>
      <c r="F133" s="16"/>
      <c r="G133" s="15"/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/>
      <c r="T133" s="25"/>
      <c r="U133" s="13"/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/>
      <c r="D134" s="106"/>
      <c r="E134" s="15"/>
      <c r="F134" s="16"/>
      <c r="G134" s="15"/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/>
      <c r="U134" s="13"/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/>
      <c r="D135" s="106"/>
      <c r="E135" s="15"/>
      <c r="F135" s="16"/>
      <c r="G135" s="15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/>
      <c r="D136" s="106"/>
      <c r="E136" s="15"/>
      <c r="F136" s="16"/>
      <c r="G136" s="15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/>
      <c r="D137" s="106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25"/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/>
      <c r="D138" s="106"/>
      <c r="E138" s="15"/>
      <c r="F138" s="16"/>
      <c r="G138" s="15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5"/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6"/>
      <c r="D139" s="106"/>
      <c r="E139" s="15"/>
      <c r="F139" s="16"/>
      <c r="G139" s="15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6"/>
      <c r="U139" s="15"/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6"/>
      <c r="D140" s="106"/>
      <c r="E140" s="15"/>
      <c r="F140" s="16"/>
      <c r="G140" s="15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6"/>
      <c r="U140" s="15"/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4</v>
      </c>
      <c r="D148" s="112"/>
      <c r="E148" s="29"/>
      <c r="F148" s="29" t="s">
        <v>34</v>
      </c>
      <c r="G148" s="29">
        <f>COUNTIF(G123:G147,"S")</f>
        <v>4</v>
      </c>
      <c r="H148" s="29">
        <f>COUNTIF(H123:H147,"E")</f>
        <v>4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8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AYG103</v>
      </c>
      <c r="B151" s="24">
        <f>B1</f>
        <v>45729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201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19.600000000000001</v>
      </c>
      <c r="C153" s="85" t="s">
        <v>266</v>
      </c>
      <c r="D153" s="106" t="s">
        <v>181</v>
      </c>
      <c r="E153" s="106" t="s">
        <v>38</v>
      </c>
      <c r="F153" s="14"/>
      <c r="G153" s="12" t="s">
        <v>178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45752</v>
      </c>
      <c r="U153" s="13" t="s">
        <v>146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268</v>
      </c>
      <c r="D154" s="106" t="s">
        <v>267</v>
      </c>
      <c r="E154" s="106" t="s">
        <v>58</v>
      </c>
      <c r="F154" s="16"/>
      <c r="G154" s="12" t="s">
        <v>178</v>
      </c>
      <c r="H154" s="15"/>
      <c r="I154" s="15"/>
      <c r="J154" s="13"/>
      <c r="K154" s="15"/>
      <c r="L154" s="13"/>
      <c r="M154" s="17"/>
      <c r="N154" s="17"/>
      <c r="O154" s="17"/>
      <c r="P154" s="17"/>
      <c r="Q154" s="17"/>
      <c r="R154" s="17"/>
      <c r="S154" s="15"/>
      <c r="T154" s="25">
        <v>45762</v>
      </c>
      <c r="U154" s="13" t="s">
        <v>146</v>
      </c>
      <c r="V154">
        <v>2</v>
      </c>
      <c r="X154" s="51" t="s">
        <v>107</v>
      </c>
      <c r="Y154" s="52">
        <f>COUNTIF(U153:U177,"R")</f>
        <v>1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269</v>
      </c>
      <c r="D155" s="106" t="s">
        <v>177</v>
      </c>
      <c r="E155" s="106" t="s">
        <v>37</v>
      </c>
      <c r="F155" s="16"/>
      <c r="G155" s="12" t="s">
        <v>178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45762</v>
      </c>
      <c r="U155" s="13" t="s">
        <v>146</v>
      </c>
      <c r="V155">
        <v>3</v>
      </c>
      <c r="X155" s="53" t="s">
        <v>108</v>
      </c>
      <c r="Y155" s="54">
        <f>COUNTIF(U153:U177,"J")</f>
        <v>4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270</v>
      </c>
      <c r="D156" s="106" t="s">
        <v>181</v>
      </c>
      <c r="E156" s="106" t="s">
        <v>38</v>
      </c>
      <c r="F156" s="16"/>
      <c r="G156" s="12" t="s">
        <v>178</v>
      </c>
      <c r="H156" s="15"/>
      <c r="I156" s="15"/>
      <c r="J156" s="13">
        <v>1</v>
      </c>
      <c r="K156" s="15"/>
      <c r="L156" s="13"/>
      <c r="M156" s="17"/>
      <c r="N156" s="17"/>
      <c r="O156" s="17"/>
      <c r="P156" s="17"/>
      <c r="Q156" s="17"/>
      <c r="R156" s="17"/>
      <c r="S156" s="15"/>
      <c r="T156" s="25">
        <v>45763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271</v>
      </c>
      <c r="D157" s="106" t="s">
        <v>177</v>
      </c>
      <c r="E157" s="106" t="s">
        <v>40</v>
      </c>
      <c r="F157" s="16"/>
      <c r="G157" s="12" t="s">
        <v>178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5">
        <v>45762</v>
      </c>
      <c r="U157" s="13" t="s">
        <v>148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272</v>
      </c>
      <c r="D158" s="106" t="s">
        <v>177</v>
      </c>
      <c r="E158" s="106" t="s">
        <v>40</v>
      </c>
      <c r="F158" s="16"/>
      <c r="G158" s="12" t="s">
        <v>178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5">
        <v>45762</v>
      </c>
      <c r="U158" s="13" t="s">
        <v>148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273</v>
      </c>
      <c r="D159" s="106" t="s">
        <v>186</v>
      </c>
      <c r="E159" s="106" t="s">
        <v>40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/>
      <c r="O159" s="17">
        <v>1</v>
      </c>
      <c r="P159" s="17">
        <v>1</v>
      </c>
      <c r="Q159" s="17"/>
      <c r="R159" s="17"/>
      <c r="S159" s="15"/>
      <c r="T159" s="25">
        <v>45760</v>
      </c>
      <c r="U159" s="13" t="s">
        <v>148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274</v>
      </c>
      <c r="D160" s="106" t="s">
        <v>181</v>
      </c>
      <c r="E160" s="106" t="s">
        <v>60</v>
      </c>
      <c r="F160" s="16"/>
      <c r="G160" s="12" t="s">
        <v>178</v>
      </c>
      <c r="H160" s="15" t="s">
        <v>228</v>
      </c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45755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275</v>
      </c>
      <c r="D161" s="106" t="s">
        <v>200</v>
      </c>
      <c r="E161" s="106" t="s">
        <v>39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45763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276</v>
      </c>
      <c r="D162" s="106" t="s">
        <v>200</v>
      </c>
      <c r="E162" s="106" t="s">
        <v>39</v>
      </c>
      <c r="F162" s="106"/>
      <c r="G162" s="12" t="s">
        <v>178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5">
        <v>45763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277</v>
      </c>
      <c r="D163" s="106" t="s">
        <v>200</v>
      </c>
      <c r="E163" s="106" t="s">
        <v>133</v>
      </c>
      <c r="F163" s="16"/>
      <c r="G163" s="12" t="s">
        <v>178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>
        <v>1</v>
      </c>
      <c r="R163" s="17">
        <v>1</v>
      </c>
      <c r="S163" s="15"/>
      <c r="T163" s="25">
        <v>45763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278</v>
      </c>
      <c r="D164" s="106" t="s">
        <v>177</v>
      </c>
      <c r="E164" s="106" t="s">
        <v>58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>
        <v>1</v>
      </c>
      <c r="T164" s="25">
        <v>45760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279</v>
      </c>
      <c r="D165" s="106" t="s">
        <v>177</v>
      </c>
      <c r="E165" s="106" t="s">
        <v>58</v>
      </c>
      <c r="F165" s="16"/>
      <c r="G165" s="12" t="s">
        <v>178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>
        <v>1</v>
      </c>
      <c r="T165" s="25">
        <v>45760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280</v>
      </c>
      <c r="D166" s="106" t="s">
        <v>203</v>
      </c>
      <c r="E166" s="106" t="s">
        <v>37</v>
      </c>
      <c r="F166" s="16"/>
      <c r="G166" s="12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45763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/>
      <c r="D167" s="106"/>
      <c r="E167" s="106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1</v>
      </c>
      <c r="I178" s="29">
        <f>SUM(I153:I177)</f>
        <v>0</v>
      </c>
      <c r="J178" s="29">
        <f t="shared" ref="J178" si="23">SUM(J153:J177)</f>
        <v>5</v>
      </c>
      <c r="K178" s="29">
        <f t="shared" ref="K178" si="24">SUM(K153:K177)</f>
        <v>2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2</v>
      </c>
      <c r="P178" s="29">
        <f t="shared" ref="P178" si="29">SUM(P153:P177)</f>
        <v>2</v>
      </c>
      <c r="Q178" s="29">
        <f t="shared" ref="Q178" si="30">SUM(Q153:Q177)</f>
        <v>2</v>
      </c>
      <c r="R178" s="29">
        <f t="shared" ref="R178" si="31">SUM(R153:R177)</f>
        <v>1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185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20.6</v>
      </c>
      <c r="C183" s="85" t="s">
        <v>281</v>
      </c>
      <c r="D183" s="110" t="s">
        <v>198</v>
      </c>
      <c r="E183" s="18" t="s">
        <v>74</v>
      </c>
      <c r="F183" s="16"/>
      <c r="G183" s="18" t="s">
        <v>178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45750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282</v>
      </c>
      <c r="D184" s="110" t="s">
        <v>186</v>
      </c>
      <c r="E184" s="15" t="s">
        <v>36</v>
      </c>
      <c r="F184" s="16"/>
      <c r="G184" s="18" t="s">
        <v>178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/>
      <c r="R184" s="19">
        <v>1</v>
      </c>
      <c r="S184" s="15"/>
      <c r="T184" s="25">
        <v>45753</v>
      </c>
      <c r="U184" s="15" t="s">
        <v>147</v>
      </c>
      <c r="V184">
        <v>2</v>
      </c>
      <c r="X184" s="51" t="s">
        <v>107</v>
      </c>
      <c r="Y184" s="52">
        <f>COUNTIF(U183:U207,"R")</f>
        <v>8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283</v>
      </c>
      <c r="D185" s="110" t="s">
        <v>186</v>
      </c>
      <c r="E185" s="15" t="s">
        <v>36</v>
      </c>
      <c r="F185" s="16"/>
      <c r="G185" s="18" t="s">
        <v>178</v>
      </c>
      <c r="H185" s="15"/>
      <c r="I185" s="15"/>
      <c r="J185" s="15"/>
      <c r="K185" s="15"/>
      <c r="L185" s="17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45753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284</v>
      </c>
      <c r="D186" s="110" t="s">
        <v>186</v>
      </c>
      <c r="E186" s="15" t="s">
        <v>36</v>
      </c>
      <c r="F186" s="16"/>
      <c r="G186" s="18" t="s">
        <v>178</v>
      </c>
      <c r="H186" s="15"/>
      <c r="I186" s="15"/>
      <c r="J186" s="15"/>
      <c r="K186" s="15"/>
      <c r="L186" s="17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45751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285</v>
      </c>
      <c r="D187" s="106" t="s">
        <v>179</v>
      </c>
      <c r="E187" s="13" t="s">
        <v>38</v>
      </c>
      <c r="F187" s="16"/>
      <c r="G187" s="18" t="s">
        <v>178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45749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286</v>
      </c>
      <c r="D188" s="106" t="s">
        <v>179</v>
      </c>
      <c r="E188" s="13" t="s">
        <v>40</v>
      </c>
      <c r="F188" s="16"/>
      <c r="G188" s="18" t="s">
        <v>178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>
        <v>1</v>
      </c>
      <c r="R188" s="17">
        <v>1</v>
      </c>
      <c r="S188" s="15"/>
      <c r="T188" s="25">
        <v>45749</v>
      </c>
      <c r="U188" s="2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287</v>
      </c>
      <c r="D189" s="106" t="s">
        <v>187</v>
      </c>
      <c r="E189" s="13" t="s">
        <v>39</v>
      </c>
      <c r="F189" s="16"/>
      <c r="G189" s="18" t="s">
        <v>178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45755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289</v>
      </c>
      <c r="D190" s="106" t="s">
        <v>288</v>
      </c>
      <c r="E190" s="13" t="s">
        <v>37</v>
      </c>
      <c r="F190" s="16"/>
      <c r="G190" s="18" t="s">
        <v>178</v>
      </c>
      <c r="H190" s="15"/>
      <c r="I190" s="15"/>
      <c r="J190" s="15">
        <v>1</v>
      </c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45753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290</v>
      </c>
      <c r="D191" s="106" t="s">
        <v>198</v>
      </c>
      <c r="E191" s="13" t="s">
        <v>36</v>
      </c>
      <c r="F191" s="16"/>
      <c r="G191" s="18" t="s">
        <v>178</v>
      </c>
      <c r="H191" s="15"/>
      <c r="I191" s="15"/>
      <c r="J191" s="15">
        <v>1</v>
      </c>
      <c r="K191" s="15">
        <v>1</v>
      </c>
      <c r="L191" s="17"/>
      <c r="M191" s="17"/>
      <c r="N191" s="17"/>
      <c r="O191" s="17"/>
      <c r="P191" s="17"/>
      <c r="Q191" s="17"/>
      <c r="R191" s="17"/>
      <c r="S191" s="15"/>
      <c r="T191" s="25">
        <v>45752</v>
      </c>
      <c r="U191" s="2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 t="s">
        <v>291</v>
      </c>
      <c r="D192" s="106" t="s">
        <v>183</v>
      </c>
      <c r="E192" s="13" t="s">
        <v>58</v>
      </c>
      <c r="F192" s="16"/>
      <c r="G192" s="18" t="s">
        <v>178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45755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 t="s">
        <v>292</v>
      </c>
      <c r="D193" s="106" t="s">
        <v>183</v>
      </c>
      <c r="E193" s="13" t="s">
        <v>58</v>
      </c>
      <c r="F193" s="16"/>
      <c r="G193" s="18" t="s">
        <v>178</v>
      </c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>
        <v>1</v>
      </c>
      <c r="T193" s="25">
        <v>45755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 t="s">
        <v>293</v>
      </c>
      <c r="D194" s="106" t="s">
        <v>179</v>
      </c>
      <c r="E194" s="13" t="s">
        <v>36</v>
      </c>
      <c r="F194" s="16"/>
      <c r="G194" s="18" t="s">
        <v>178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45752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 t="s">
        <v>294</v>
      </c>
      <c r="D195" s="106" t="s">
        <v>180</v>
      </c>
      <c r="E195" s="15" t="s">
        <v>74</v>
      </c>
      <c r="F195" s="16"/>
      <c r="G195" s="18" t="s">
        <v>178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/>
      <c r="R195" s="17"/>
      <c r="S195" s="15"/>
      <c r="T195" s="25">
        <v>45763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 t="s">
        <v>295</v>
      </c>
      <c r="D196" s="106" t="s">
        <v>180</v>
      </c>
      <c r="E196" s="15" t="s">
        <v>37</v>
      </c>
      <c r="F196" s="16"/>
      <c r="G196" s="18" t="s">
        <v>178</v>
      </c>
      <c r="H196" s="15"/>
      <c r="I196" s="15"/>
      <c r="J196" s="15"/>
      <c r="K196" s="15"/>
      <c r="L196" s="17"/>
      <c r="M196" s="17">
        <v>1</v>
      </c>
      <c r="N196" s="17">
        <v>1</v>
      </c>
      <c r="O196" s="17"/>
      <c r="P196" s="17"/>
      <c r="Q196" s="17">
        <v>1</v>
      </c>
      <c r="R196" s="17"/>
      <c r="S196" s="15"/>
      <c r="T196" s="25">
        <v>45743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 t="s">
        <v>296</v>
      </c>
      <c r="D197" s="106" t="s">
        <v>190</v>
      </c>
      <c r="E197" s="15" t="s">
        <v>74</v>
      </c>
      <c r="F197" s="16"/>
      <c r="G197" s="15" t="s">
        <v>178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45753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 t="s">
        <v>297</v>
      </c>
      <c r="D198" s="106" t="s">
        <v>190</v>
      </c>
      <c r="E198" s="15" t="s">
        <v>36</v>
      </c>
      <c r="F198" s="16"/>
      <c r="G198" s="15" t="s">
        <v>178</v>
      </c>
      <c r="H198" s="15"/>
      <c r="I198" s="15"/>
      <c r="J198" s="15"/>
      <c r="K198" s="15"/>
      <c r="L198" s="19"/>
      <c r="M198" s="19">
        <v>1</v>
      </c>
      <c r="N198" s="19">
        <v>1</v>
      </c>
      <c r="O198" s="19"/>
      <c r="P198" s="19"/>
      <c r="Q198" s="19">
        <v>1</v>
      </c>
      <c r="R198" s="19"/>
      <c r="S198" s="15"/>
      <c r="T198" s="25">
        <v>45753</v>
      </c>
      <c r="U198" s="15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6</v>
      </c>
      <c r="K208" s="29">
        <f t="shared" ref="K208" si="34">SUM(K183:K207)</f>
        <v>6</v>
      </c>
      <c r="L208" s="29">
        <f t="shared" ref="L208" si="35">SUM(L183:L207)</f>
        <v>0</v>
      </c>
      <c r="M208" s="29">
        <f t="shared" ref="M208" si="36">SUM(M183:M207)</f>
        <v>7</v>
      </c>
      <c r="N208" s="29">
        <f t="shared" ref="N208" si="37">SUM(N183:N207)</f>
        <v>7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6</v>
      </c>
      <c r="R208" s="29">
        <f t="shared" ref="R208" si="41">SUM(R183:R207)</f>
        <v>2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37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AYG103</v>
      </c>
      <c r="B211" s="24">
        <f>B1</f>
        <v>45729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19.600000000000001</v>
      </c>
      <c r="C213" s="85" t="s">
        <v>298</v>
      </c>
      <c r="D213" s="106" t="s">
        <v>181</v>
      </c>
      <c r="E213" s="106" t="s">
        <v>60</v>
      </c>
      <c r="F213" s="14"/>
      <c r="G213" s="12" t="s">
        <v>178</v>
      </c>
      <c r="H213" s="13"/>
      <c r="I213" s="13"/>
      <c r="J213" s="13">
        <v>1</v>
      </c>
      <c r="K213" s="13"/>
      <c r="L213" s="13">
        <v>1</v>
      </c>
      <c r="M213" s="13"/>
      <c r="N213" s="13"/>
      <c r="O213" s="13"/>
      <c r="P213" s="13"/>
      <c r="Q213" s="13"/>
      <c r="R213" s="13"/>
      <c r="S213" s="13"/>
      <c r="T213" s="25">
        <v>45762</v>
      </c>
      <c r="U213" s="13" t="s">
        <v>146</v>
      </c>
      <c r="V213">
        <v>1</v>
      </c>
      <c r="X213" s="51" t="s">
        <v>106</v>
      </c>
      <c r="Y213" s="52">
        <f>COUNTIF(U213:U237,"K")</f>
        <v>6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299</v>
      </c>
      <c r="D214" s="106" t="s">
        <v>181</v>
      </c>
      <c r="E214" s="106" t="s">
        <v>60</v>
      </c>
      <c r="F214" s="16"/>
      <c r="G214" s="12" t="s">
        <v>178</v>
      </c>
      <c r="H214" s="15" t="s">
        <v>228</v>
      </c>
      <c r="I214" s="15"/>
      <c r="J214" s="13">
        <v>1</v>
      </c>
      <c r="K214" s="15"/>
      <c r="L214" s="13">
        <v>1</v>
      </c>
      <c r="M214" s="17"/>
      <c r="N214" s="17"/>
      <c r="O214" s="17"/>
      <c r="P214" s="17"/>
      <c r="Q214" s="17"/>
      <c r="R214" s="17"/>
      <c r="S214" s="15"/>
      <c r="T214" s="25">
        <v>45762</v>
      </c>
      <c r="U214" s="13" t="s">
        <v>146</v>
      </c>
      <c r="V214">
        <v>2</v>
      </c>
      <c r="X214" s="51" t="s">
        <v>107</v>
      </c>
      <c r="Y214" s="52">
        <f>COUNTIF(U213:U237,"R")</f>
        <v>6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300</v>
      </c>
      <c r="D215" s="106" t="s">
        <v>181</v>
      </c>
      <c r="E215" s="106" t="s">
        <v>60</v>
      </c>
      <c r="F215" s="16"/>
      <c r="G215" s="12" t="s">
        <v>178</v>
      </c>
      <c r="H215" s="13"/>
      <c r="I215" s="15"/>
      <c r="J215" s="13">
        <v>1</v>
      </c>
      <c r="K215" s="15"/>
      <c r="L215" s="13">
        <v>1</v>
      </c>
      <c r="M215" s="17"/>
      <c r="N215" s="17"/>
      <c r="O215" s="17"/>
      <c r="P215" s="17"/>
      <c r="Q215" s="17"/>
      <c r="R215" s="17"/>
      <c r="S215" s="15"/>
      <c r="T215" s="25">
        <v>45762</v>
      </c>
      <c r="U215" s="13" t="s">
        <v>146</v>
      </c>
      <c r="V215">
        <v>3</v>
      </c>
      <c r="X215" s="53" t="s">
        <v>108</v>
      </c>
      <c r="Y215" s="54">
        <f>COUNTIF(U213:U237,"J")</f>
        <v>4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301</v>
      </c>
      <c r="D216" s="106" t="s">
        <v>181</v>
      </c>
      <c r="E216" s="106" t="s">
        <v>60</v>
      </c>
      <c r="F216" s="16"/>
      <c r="G216" s="12" t="s">
        <v>178</v>
      </c>
      <c r="H216" s="15"/>
      <c r="I216" s="15"/>
      <c r="J216" s="13">
        <v>1</v>
      </c>
      <c r="K216" s="15"/>
      <c r="L216" s="13">
        <v>1</v>
      </c>
      <c r="M216" s="17"/>
      <c r="N216" s="17"/>
      <c r="O216" s="17"/>
      <c r="P216" s="17"/>
      <c r="Q216" s="17"/>
      <c r="R216" s="17"/>
      <c r="S216" s="15"/>
      <c r="T216" s="25">
        <v>45762</v>
      </c>
      <c r="U216" s="13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302</v>
      </c>
      <c r="D217" s="106" t="s">
        <v>184</v>
      </c>
      <c r="E217" s="106" t="s">
        <v>36</v>
      </c>
      <c r="F217" s="16"/>
      <c r="G217" s="12" t="s">
        <v>178</v>
      </c>
      <c r="H217" s="15"/>
      <c r="I217" s="15"/>
      <c r="J217" s="13"/>
      <c r="K217" s="15"/>
      <c r="L217" s="13"/>
      <c r="M217" s="17"/>
      <c r="N217" s="17">
        <v>1</v>
      </c>
      <c r="O217" s="17"/>
      <c r="P217" s="17"/>
      <c r="Q217" s="17">
        <v>1</v>
      </c>
      <c r="R217" s="17"/>
      <c r="S217" s="15"/>
      <c r="T217" s="25">
        <v>45753</v>
      </c>
      <c r="U217" s="13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303</v>
      </c>
      <c r="D218" s="106" t="s">
        <v>180</v>
      </c>
      <c r="E218" s="106" t="s">
        <v>75</v>
      </c>
      <c r="F218" s="16"/>
      <c r="G218" s="12" t="s">
        <v>178</v>
      </c>
      <c r="H218" s="13"/>
      <c r="I218" s="15"/>
      <c r="J218" s="13"/>
      <c r="K218" s="15"/>
      <c r="L218" s="13"/>
      <c r="M218" s="17"/>
      <c r="N218" s="17"/>
      <c r="O218" s="17"/>
      <c r="P218" s="17"/>
      <c r="Q218" s="17"/>
      <c r="R218" s="17"/>
      <c r="S218" s="15"/>
      <c r="T218" s="25">
        <v>45743</v>
      </c>
      <c r="U218" s="13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304</v>
      </c>
      <c r="D219" s="106" t="s">
        <v>182</v>
      </c>
      <c r="E219" s="106" t="s">
        <v>36</v>
      </c>
      <c r="F219" s="16"/>
      <c r="G219" s="12" t="s">
        <v>178</v>
      </c>
      <c r="H219" s="15"/>
      <c r="I219" s="15"/>
      <c r="J219" s="13"/>
      <c r="K219" s="15"/>
      <c r="L219" s="13"/>
      <c r="M219" s="17"/>
      <c r="N219" s="17"/>
      <c r="O219" s="17"/>
      <c r="P219" s="17"/>
      <c r="Q219" s="17"/>
      <c r="R219" s="17"/>
      <c r="S219" s="15"/>
      <c r="T219" s="25">
        <v>45768</v>
      </c>
      <c r="U219" s="13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305</v>
      </c>
      <c r="D220" s="106" t="s">
        <v>182</v>
      </c>
      <c r="E220" s="106" t="s">
        <v>40</v>
      </c>
      <c r="F220" s="16"/>
      <c r="G220" s="12" t="s">
        <v>178</v>
      </c>
      <c r="H220" s="15"/>
      <c r="I220" s="15"/>
      <c r="J220" s="13"/>
      <c r="K220" s="15"/>
      <c r="L220" s="13"/>
      <c r="M220" s="17"/>
      <c r="N220" s="17"/>
      <c r="O220" s="17">
        <v>1</v>
      </c>
      <c r="P220" s="17">
        <v>1</v>
      </c>
      <c r="Q220" s="17"/>
      <c r="R220" s="17"/>
      <c r="S220" s="15"/>
      <c r="T220" s="25">
        <v>45798</v>
      </c>
      <c r="U220" s="13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306</v>
      </c>
      <c r="D221" s="106" t="s">
        <v>182</v>
      </c>
      <c r="E221" s="106" t="s">
        <v>40</v>
      </c>
      <c r="F221" s="16"/>
      <c r="G221" s="12" t="s">
        <v>178</v>
      </c>
      <c r="H221" s="15"/>
      <c r="I221" s="15"/>
      <c r="J221" s="13"/>
      <c r="K221" s="15"/>
      <c r="L221" s="13"/>
      <c r="M221" s="17"/>
      <c r="N221" s="17"/>
      <c r="O221" s="17">
        <v>1</v>
      </c>
      <c r="P221" s="17">
        <v>1</v>
      </c>
      <c r="Q221" s="17">
        <v>1</v>
      </c>
      <c r="R221" s="17"/>
      <c r="S221" s="15"/>
      <c r="T221" s="25">
        <v>45768</v>
      </c>
      <c r="U221" s="13" t="s">
        <v>148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307</v>
      </c>
      <c r="D222" s="106" t="s">
        <v>182</v>
      </c>
      <c r="E222" s="106" t="s">
        <v>37</v>
      </c>
      <c r="F222" s="106"/>
      <c r="G222" s="12" t="s">
        <v>178</v>
      </c>
      <c r="H222" s="15"/>
      <c r="I222" s="15"/>
      <c r="J222" s="13"/>
      <c r="K222" s="15"/>
      <c r="L222" s="13"/>
      <c r="M222" s="17">
        <v>1</v>
      </c>
      <c r="N222" s="17"/>
      <c r="O222" s="17"/>
      <c r="P222" s="17"/>
      <c r="Q222" s="17">
        <v>1</v>
      </c>
      <c r="R222" s="17"/>
      <c r="S222" s="15"/>
      <c r="T222" s="25">
        <v>45798</v>
      </c>
      <c r="U222" s="13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308</v>
      </c>
      <c r="D223" s="106" t="s">
        <v>182</v>
      </c>
      <c r="E223" s="106" t="s">
        <v>40</v>
      </c>
      <c r="F223" s="16"/>
      <c r="G223" s="12" t="s">
        <v>178</v>
      </c>
      <c r="H223" s="15"/>
      <c r="I223" s="15"/>
      <c r="J223" s="15"/>
      <c r="K223" s="15"/>
      <c r="L223" s="17"/>
      <c r="M223" s="17"/>
      <c r="N223" s="17"/>
      <c r="O223" s="17">
        <v>1</v>
      </c>
      <c r="P223" s="17">
        <v>1</v>
      </c>
      <c r="Q223" s="17">
        <v>1</v>
      </c>
      <c r="R223" s="17"/>
      <c r="S223" s="15"/>
      <c r="T223" s="25">
        <v>45829</v>
      </c>
      <c r="U223" s="13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309</v>
      </c>
      <c r="D224" s="106" t="s">
        <v>182</v>
      </c>
      <c r="E224" s="106" t="s">
        <v>40</v>
      </c>
      <c r="F224" s="16"/>
      <c r="G224" s="12" t="s">
        <v>178</v>
      </c>
      <c r="H224" s="15"/>
      <c r="I224" s="15"/>
      <c r="J224" s="15"/>
      <c r="K224" s="15"/>
      <c r="L224" s="17"/>
      <c r="M224" s="17"/>
      <c r="N224" s="17"/>
      <c r="O224" s="17">
        <v>1</v>
      </c>
      <c r="P224" s="17">
        <v>1</v>
      </c>
      <c r="Q224" s="17">
        <v>1</v>
      </c>
      <c r="R224" s="17"/>
      <c r="S224" s="15"/>
      <c r="T224" s="25">
        <v>45798</v>
      </c>
      <c r="U224" s="13" t="s">
        <v>148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310</v>
      </c>
      <c r="D225" s="106" t="s">
        <v>182</v>
      </c>
      <c r="E225" s="106" t="s">
        <v>36</v>
      </c>
      <c r="F225" s="16"/>
      <c r="G225" s="12" t="s">
        <v>178</v>
      </c>
      <c r="H225" s="15"/>
      <c r="I225" s="15"/>
      <c r="J225" s="15"/>
      <c r="K225" s="15"/>
      <c r="L225" s="17"/>
      <c r="M225" s="17">
        <v>1</v>
      </c>
      <c r="N225" s="17">
        <v>1</v>
      </c>
      <c r="O225" s="17"/>
      <c r="P225" s="17"/>
      <c r="Q225" s="17">
        <v>1</v>
      </c>
      <c r="R225" s="17"/>
      <c r="S225" s="15"/>
      <c r="T225" s="25">
        <v>45793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311</v>
      </c>
      <c r="D226" s="106" t="s">
        <v>183</v>
      </c>
      <c r="E226" s="106" t="s">
        <v>36</v>
      </c>
      <c r="F226" s="16"/>
      <c r="G226" s="12" t="s">
        <v>178</v>
      </c>
      <c r="H226" s="15"/>
      <c r="I226" s="15"/>
      <c r="J226" s="15"/>
      <c r="K226" s="15"/>
      <c r="L226" s="17"/>
      <c r="M226" s="17">
        <v>1</v>
      </c>
      <c r="N226" s="17">
        <v>1</v>
      </c>
      <c r="O226" s="17"/>
      <c r="P226" s="17"/>
      <c r="Q226" s="17">
        <v>1</v>
      </c>
      <c r="R226" s="17"/>
      <c r="S226" s="15"/>
      <c r="T226" s="25">
        <v>45749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312</v>
      </c>
      <c r="D227" s="106" t="s">
        <v>198</v>
      </c>
      <c r="E227" s="106" t="s">
        <v>74</v>
      </c>
      <c r="F227" s="16"/>
      <c r="G227" s="12" t="s">
        <v>178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45755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 t="s">
        <v>314</v>
      </c>
      <c r="D228" s="106" t="s">
        <v>313</v>
      </c>
      <c r="E228" s="106" t="s">
        <v>75</v>
      </c>
      <c r="F228" s="16"/>
      <c r="G228" s="12" t="s">
        <v>178</v>
      </c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>
        <v>1</v>
      </c>
      <c r="T228" s="25">
        <v>45762</v>
      </c>
      <c r="U228" s="13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1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1</v>
      </c>
      <c r="L238" s="29">
        <f t="shared" ref="L238" si="45">SUM(L213:L237)</f>
        <v>4</v>
      </c>
      <c r="M238" s="29">
        <f t="shared" ref="M238" si="46">SUM(M213:M237)</f>
        <v>3</v>
      </c>
      <c r="N238" s="29">
        <f t="shared" ref="N238" si="47">SUM(N213:N237)</f>
        <v>3</v>
      </c>
      <c r="O238" s="29">
        <f t="shared" ref="O238" si="48">SUM(O213:O237)</f>
        <v>4</v>
      </c>
      <c r="P238" s="29">
        <f t="shared" ref="P238" si="49">SUM(P213:P237)</f>
        <v>4</v>
      </c>
      <c r="Q238" s="29">
        <f t="shared" ref="Q238" si="50">SUM(Q213:Q237)</f>
        <v>7</v>
      </c>
      <c r="R238" s="29">
        <f t="shared" ref="R238" si="51">SUM(R213:R237)</f>
        <v>0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32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AYG103</v>
      </c>
      <c r="B241" s="24">
        <f>B1</f>
        <v>45729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21.8</v>
      </c>
      <c r="C243" s="85" t="s">
        <v>315</v>
      </c>
      <c r="D243" s="109" t="s">
        <v>179</v>
      </c>
      <c r="E243" s="13" t="s">
        <v>38</v>
      </c>
      <c r="F243" s="14"/>
      <c r="G243" s="12" t="s">
        <v>178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45749</v>
      </c>
      <c r="U243" s="13" t="s">
        <v>142</v>
      </c>
      <c r="V243">
        <v>1</v>
      </c>
      <c r="X243" t="s">
        <v>106</v>
      </c>
      <c r="Y243">
        <f>COUNTIF(U243:U267,"K")</f>
        <v>5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316</v>
      </c>
      <c r="D244" s="109" t="s">
        <v>179</v>
      </c>
      <c r="E244" s="13" t="s">
        <v>40</v>
      </c>
      <c r="F244" s="16"/>
      <c r="G244" s="12" t="s">
        <v>178</v>
      </c>
      <c r="H244" s="15"/>
      <c r="I244" s="15"/>
      <c r="J244" s="15"/>
      <c r="K244" s="15"/>
      <c r="L244" s="17"/>
      <c r="M244" s="17"/>
      <c r="N244" s="17"/>
      <c r="O244" s="17">
        <v>1</v>
      </c>
      <c r="P244" s="17">
        <v>1</v>
      </c>
      <c r="Q244" s="17"/>
      <c r="R244" s="17">
        <v>1</v>
      </c>
      <c r="S244" s="15"/>
      <c r="T244" s="26">
        <v>45749</v>
      </c>
      <c r="U244" s="13" t="s">
        <v>148</v>
      </c>
      <c r="V244">
        <v>2</v>
      </c>
      <c r="X244" t="s">
        <v>107</v>
      </c>
      <c r="Y244">
        <f>COUNTIF(U243:U267,"R")</f>
        <v>7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317</v>
      </c>
      <c r="D245" s="109" t="s">
        <v>179</v>
      </c>
      <c r="E245" s="13" t="s">
        <v>37</v>
      </c>
      <c r="F245" s="16"/>
      <c r="G245" s="12" t="s">
        <v>178</v>
      </c>
      <c r="H245" s="15"/>
      <c r="I245" s="15"/>
      <c r="J245" s="15"/>
      <c r="K245" s="15"/>
      <c r="L245" s="17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6">
        <v>45748</v>
      </c>
      <c r="U245" s="13" t="s">
        <v>147</v>
      </c>
      <c r="V245">
        <v>3</v>
      </c>
      <c r="X245" t="s">
        <v>108</v>
      </c>
      <c r="Y245">
        <f>COUNTIF(U243:U267,"J")</f>
        <v>5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318</v>
      </c>
      <c r="D246" s="109" t="s">
        <v>179</v>
      </c>
      <c r="E246" s="13" t="s">
        <v>36</v>
      </c>
      <c r="F246" s="16"/>
      <c r="G246" s="12" t="s">
        <v>178</v>
      </c>
      <c r="H246" s="15"/>
      <c r="I246" s="15"/>
      <c r="J246" s="15"/>
      <c r="K246" s="15"/>
      <c r="L246" s="17"/>
      <c r="M246" s="17">
        <v>1</v>
      </c>
      <c r="N246" s="17">
        <v>1</v>
      </c>
      <c r="O246" s="17"/>
      <c r="P246" s="17"/>
      <c r="Q246" s="17">
        <v>1</v>
      </c>
      <c r="R246" s="17"/>
      <c r="S246" s="15"/>
      <c r="T246" s="26">
        <v>45749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319</v>
      </c>
      <c r="D247" s="109" t="s">
        <v>179</v>
      </c>
      <c r="E247" s="13" t="s">
        <v>37</v>
      </c>
      <c r="F247" s="16"/>
      <c r="G247" s="12" t="s">
        <v>178</v>
      </c>
      <c r="H247" s="15"/>
      <c r="I247" s="15"/>
      <c r="J247" s="15"/>
      <c r="K247" s="15"/>
      <c r="L247" s="17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6">
        <v>45752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320</v>
      </c>
      <c r="D248" s="109" t="s">
        <v>184</v>
      </c>
      <c r="E248" s="13" t="s">
        <v>37</v>
      </c>
      <c r="F248" s="16"/>
      <c r="G248" s="12" t="s">
        <v>178</v>
      </c>
      <c r="H248" s="13"/>
      <c r="I248" s="15"/>
      <c r="J248" s="15"/>
      <c r="K248" s="15"/>
      <c r="L248" s="17"/>
      <c r="M248" s="17">
        <v>1</v>
      </c>
      <c r="N248" s="17">
        <v>1</v>
      </c>
      <c r="O248" s="17"/>
      <c r="P248" s="17"/>
      <c r="Q248" s="17"/>
      <c r="R248" s="17"/>
      <c r="S248" s="15"/>
      <c r="T248" s="26">
        <v>45760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321</v>
      </c>
      <c r="D249" s="109" t="s">
        <v>187</v>
      </c>
      <c r="E249" s="13" t="s">
        <v>37</v>
      </c>
      <c r="F249" s="16"/>
      <c r="G249" s="12" t="s">
        <v>178</v>
      </c>
      <c r="H249" s="15"/>
      <c r="I249" s="15"/>
      <c r="J249" s="15"/>
      <c r="K249" s="15"/>
      <c r="L249" s="17"/>
      <c r="M249" s="17">
        <v>1</v>
      </c>
      <c r="N249" s="17">
        <v>1</v>
      </c>
      <c r="O249" s="17"/>
      <c r="P249" s="17"/>
      <c r="Q249" s="17">
        <v>1</v>
      </c>
      <c r="R249" s="17"/>
      <c r="S249" s="15"/>
      <c r="T249" s="26">
        <v>45754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322</v>
      </c>
      <c r="D250" s="109" t="s">
        <v>187</v>
      </c>
      <c r="E250" s="13" t="s">
        <v>75</v>
      </c>
      <c r="F250" s="16"/>
      <c r="G250" s="12" t="s">
        <v>178</v>
      </c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>
        <v>1</v>
      </c>
      <c r="T250" s="26">
        <v>45761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323</v>
      </c>
      <c r="D251" s="109" t="s">
        <v>187</v>
      </c>
      <c r="E251" s="13" t="s">
        <v>37</v>
      </c>
      <c r="F251" s="16"/>
      <c r="G251" s="12" t="s">
        <v>178</v>
      </c>
      <c r="H251" s="15"/>
      <c r="I251" s="15"/>
      <c r="J251" s="15">
        <v>1</v>
      </c>
      <c r="K251" s="15">
        <v>1</v>
      </c>
      <c r="L251" s="17"/>
      <c r="M251" s="17"/>
      <c r="N251" s="17"/>
      <c r="O251" s="17"/>
      <c r="P251" s="17"/>
      <c r="Q251" s="17"/>
      <c r="R251" s="17"/>
      <c r="S251" s="15"/>
      <c r="T251" s="26">
        <v>45761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324</v>
      </c>
      <c r="D252" s="109" t="s">
        <v>179</v>
      </c>
      <c r="E252" s="13" t="s">
        <v>75</v>
      </c>
      <c r="F252" s="16"/>
      <c r="G252" s="12" t="s">
        <v>178</v>
      </c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>
        <v>45759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325</v>
      </c>
      <c r="D253" s="109" t="s">
        <v>189</v>
      </c>
      <c r="E253" s="13" t="s">
        <v>37</v>
      </c>
      <c r="F253" s="16"/>
      <c r="G253" s="12" t="s">
        <v>178</v>
      </c>
      <c r="H253" s="15"/>
      <c r="I253" s="15"/>
      <c r="J253" s="15"/>
      <c r="K253" s="15"/>
      <c r="L253" s="17"/>
      <c r="M253" s="17">
        <v>1</v>
      </c>
      <c r="N253" s="17">
        <v>1</v>
      </c>
      <c r="O253" s="17"/>
      <c r="P253" s="17"/>
      <c r="Q253" s="17"/>
      <c r="R253" s="17"/>
      <c r="S253" s="15"/>
      <c r="T253" s="26">
        <v>45753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326</v>
      </c>
      <c r="D254" s="109" t="s">
        <v>189</v>
      </c>
      <c r="E254" s="13" t="s">
        <v>40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>
        <v>1</v>
      </c>
      <c r="S254" s="15"/>
      <c r="T254" s="26">
        <v>45753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 t="s">
        <v>327</v>
      </c>
      <c r="D255" s="109" t="s">
        <v>189</v>
      </c>
      <c r="E255" s="13" t="s">
        <v>36</v>
      </c>
      <c r="F255" s="16"/>
      <c r="G255" s="12" t="s">
        <v>178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6">
        <v>45753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 t="s">
        <v>328</v>
      </c>
      <c r="D256" s="109" t="s">
        <v>189</v>
      </c>
      <c r="E256" s="13" t="s">
        <v>39</v>
      </c>
      <c r="F256" s="16"/>
      <c r="G256" s="15" t="s">
        <v>178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6">
        <v>45753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 t="s">
        <v>329</v>
      </c>
      <c r="D257" s="109" t="s">
        <v>189</v>
      </c>
      <c r="E257" s="13" t="s">
        <v>133</v>
      </c>
      <c r="F257" s="16"/>
      <c r="G257" s="15" t="s">
        <v>178</v>
      </c>
      <c r="H257" s="15"/>
      <c r="I257" s="15"/>
      <c r="J257" s="15"/>
      <c r="K257" s="15"/>
      <c r="L257" s="17"/>
      <c r="M257" s="17"/>
      <c r="N257" s="17"/>
      <c r="O257" s="17">
        <v>1</v>
      </c>
      <c r="P257" s="17">
        <v>1</v>
      </c>
      <c r="Q257" s="17"/>
      <c r="R257" s="17"/>
      <c r="S257" s="15"/>
      <c r="T257" s="26">
        <v>45753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 t="s">
        <v>330</v>
      </c>
      <c r="D258" s="109" t="s">
        <v>179</v>
      </c>
      <c r="E258" s="15" t="s">
        <v>40</v>
      </c>
      <c r="F258" s="16"/>
      <c r="G258" s="15" t="s">
        <v>178</v>
      </c>
      <c r="H258" s="15"/>
      <c r="I258" s="15"/>
      <c r="J258" s="15"/>
      <c r="K258" s="15"/>
      <c r="L258" s="19"/>
      <c r="M258" s="19"/>
      <c r="N258" s="19"/>
      <c r="O258" s="19">
        <v>1</v>
      </c>
      <c r="P258" s="19"/>
      <c r="Q258" s="19">
        <v>1</v>
      </c>
      <c r="R258" s="19">
        <v>1</v>
      </c>
      <c r="S258" s="15"/>
      <c r="T258" s="26">
        <v>45755</v>
      </c>
      <c r="U258" s="13" t="s">
        <v>148</v>
      </c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 t="s">
        <v>331</v>
      </c>
      <c r="D259" s="110" t="s">
        <v>180</v>
      </c>
      <c r="E259" s="18" t="s">
        <v>40</v>
      </c>
      <c r="F259" s="16"/>
      <c r="G259" s="18" t="s">
        <v>178</v>
      </c>
      <c r="H259" s="15"/>
      <c r="I259" s="15"/>
      <c r="J259" s="18"/>
      <c r="K259" s="15"/>
      <c r="L259" s="19"/>
      <c r="M259" s="19"/>
      <c r="N259" s="19"/>
      <c r="O259" s="19">
        <v>1</v>
      </c>
      <c r="P259" s="19">
        <v>1</v>
      </c>
      <c r="Q259" s="19"/>
      <c r="R259" s="19"/>
      <c r="S259" s="15"/>
      <c r="T259" s="26">
        <v>45763</v>
      </c>
      <c r="U259" s="15" t="s">
        <v>148</v>
      </c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17</v>
      </c>
      <c r="D268" s="112"/>
      <c r="E268" s="29"/>
      <c r="F268" s="29" t="s">
        <v>34</v>
      </c>
      <c r="G268" s="29">
        <f>COUNTIF(G243:G267,"S")</f>
        <v>17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4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6</v>
      </c>
      <c r="O268" s="29">
        <f t="shared" ref="O268" si="58">SUM(O243:O267)</f>
        <v>5</v>
      </c>
      <c r="P268" s="29">
        <f t="shared" ref="P268" si="59">SUM(P243:P267)</f>
        <v>4</v>
      </c>
      <c r="Q268" s="29">
        <f t="shared" ref="Q268" si="60">SUM(Q243:Q267)</f>
        <v>5</v>
      </c>
      <c r="R268" s="29">
        <f t="shared" ref="R268" si="61">SUM(R243:R267)</f>
        <v>3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AYG103</v>
      </c>
      <c r="B271" s="24">
        <f>B1</f>
        <v>45729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>
        <v>23</v>
      </c>
      <c r="C273" s="85" t="s">
        <v>332</v>
      </c>
      <c r="D273" s="109" t="s">
        <v>193</v>
      </c>
      <c r="E273" s="13" t="s">
        <v>38</v>
      </c>
      <c r="F273" s="14"/>
      <c r="G273" s="12" t="s">
        <v>178</v>
      </c>
      <c r="H273" s="13"/>
      <c r="I273" s="13"/>
      <c r="J273" s="13"/>
      <c r="K273" s="13"/>
      <c r="L273" s="13"/>
      <c r="M273" s="13"/>
      <c r="N273" s="13">
        <v>1</v>
      </c>
      <c r="O273" s="13"/>
      <c r="P273" s="13"/>
      <c r="Q273" s="13">
        <v>1</v>
      </c>
      <c r="R273" s="13"/>
      <c r="S273" s="13"/>
      <c r="T273" s="26">
        <v>45754</v>
      </c>
      <c r="U273" s="13" t="s">
        <v>147</v>
      </c>
      <c r="V273">
        <v>1</v>
      </c>
      <c r="X273" s="51" t="s">
        <v>106</v>
      </c>
      <c r="Y273" s="52">
        <f>COUNTIF(U273:U297,"K")</f>
        <v>7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 t="s">
        <v>333</v>
      </c>
      <c r="D274" s="109" t="s">
        <v>193</v>
      </c>
      <c r="E274" s="13" t="s">
        <v>133</v>
      </c>
      <c r="F274" s="16"/>
      <c r="G274" s="12" t="s">
        <v>178</v>
      </c>
      <c r="H274" s="15"/>
      <c r="I274" s="15"/>
      <c r="J274" s="15"/>
      <c r="K274" s="15"/>
      <c r="L274" s="17"/>
      <c r="M274" s="17"/>
      <c r="N274" s="17"/>
      <c r="O274" s="17"/>
      <c r="P274" s="17">
        <v>1</v>
      </c>
      <c r="Q274" s="17"/>
      <c r="R274" s="17"/>
      <c r="S274" s="15"/>
      <c r="T274" s="26">
        <v>45762</v>
      </c>
      <c r="U274" s="13" t="s">
        <v>148</v>
      </c>
      <c r="V274">
        <v>2</v>
      </c>
      <c r="X274" s="51" t="s">
        <v>107</v>
      </c>
      <c r="Y274" s="52">
        <f>COUNTIF(U273:U297,"R")</f>
        <v>4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 t="s">
        <v>334</v>
      </c>
      <c r="D275" s="109" t="s">
        <v>193</v>
      </c>
      <c r="E275" s="13" t="s">
        <v>38</v>
      </c>
      <c r="F275" s="16"/>
      <c r="G275" s="12" t="s">
        <v>178</v>
      </c>
      <c r="H275" s="15" t="s">
        <v>228</v>
      </c>
      <c r="I275" s="15"/>
      <c r="J275" s="15"/>
      <c r="K275" s="15"/>
      <c r="L275" s="17"/>
      <c r="M275" s="17">
        <v>1</v>
      </c>
      <c r="N275" s="17"/>
      <c r="O275" s="17"/>
      <c r="P275" s="17"/>
      <c r="Q275" s="17">
        <v>1</v>
      </c>
      <c r="R275" s="17"/>
      <c r="S275" s="15"/>
      <c r="T275" s="26">
        <v>45754</v>
      </c>
      <c r="U275" s="13" t="s">
        <v>147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 t="s">
        <v>335</v>
      </c>
      <c r="D276" s="109" t="s">
        <v>193</v>
      </c>
      <c r="E276" s="13" t="s">
        <v>38</v>
      </c>
      <c r="F276" s="16"/>
      <c r="G276" s="12" t="s">
        <v>178</v>
      </c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45754</v>
      </c>
      <c r="U276" s="13" t="s">
        <v>142</v>
      </c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 t="s">
        <v>336</v>
      </c>
      <c r="D277" s="109" t="s">
        <v>193</v>
      </c>
      <c r="E277" s="13" t="s">
        <v>38</v>
      </c>
      <c r="F277" s="16"/>
      <c r="G277" s="12" t="s">
        <v>178</v>
      </c>
      <c r="H277" s="15" t="s">
        <v>228</v>
      </c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45754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 t="s">
        <v>337</v>
      </c>
      <c r="D278" s="109" t="s">
        <v>180</v>
      </c>
      <c r="E278" s="13" t="s">
        <v>36</v>
      </c>
      <c r="F278" s="16"/>
      <c r="G278" s="12" t="s">
        <v>178</v>
      </c>
      <c r="H278" s="13"/>
      <c r="I278" s="15"/>
      <c r="J278" s="15">
        <v>1</v>
      </c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45756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 t="s">
        <v>369</v>
      </c>
      <c r="D279" s="109" t="s">
        <v>179</v>
      </c>
      <c r="E279" s="13" t="s">
        <v>38</v>
      </c>
      <c r="F279" s="16"/>
      <c r="G279" s="12" t="s">
        <v>178</v>
      </c>
      <c r="H279" s="15"/>
      <c r="I279" s="15"/>
      <c r="J279" s="15">
        <v>1</v>
      </c>
      <c r="K279" s="15">
        <v>1</v>
      </c>
      <c r="L279" s="17"/>
      <c r="M279" s="17"/>
      <c r="N279" s="17"/>
      <c r="O279" s="17"/>
      <c r="P279" s="17"/>
      <c r="Q279" s="17"/>
      <c r="R279" s="17"/>
      <c r="S279" s="15"/>
      <c r="T279" s="26">
        <v>45744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 t="s">
        <v>338</v>
      </c>
      <c r="D280" s="109" t="s">
        <v>193</v>
      </c>
      <c r="E280" s="13" t="s">
        <v>38</v>
      </c>
      <c r="F280" s="16"/>
      <c r="G280" s="12" t="s">
        <v>178</v>
      </c>
      <c r="H280" s="15"/>
      <c r="I280" s="15"/>
      <c r="J280" s="15"/>
      <c r="K280" s="15"/>
      <c r="L280" s="17"/>
      <c r="M280" s="17"/>
      <c r="N280" s="17">
        <v>1</v>
      </c>
      <c r="O280" s="17"/>
      <c r="P280" s="17"/>
      <c r="Q280" s="17">
        <v>1</v>
      </c>
      <c r="R280" s="17"/>
      <c r="S280" s="15"/>
      <c r="T280" s="26">
        <v>45761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 t="s">
        <v>339</v>
      </c>
      <c r="D281" s="109" t="s">
        <v>199</v>
      </c>
      <c r="E281" s="13" t="s">
        <v>39</v>
      </c>
      <c r="F281" s="16"/>
      <c r="G281" s="12" t="s">
        <v>178</v>
      </c>
      <c r="H281" s="15"/>
      <c r="I281" s="15"/>
      <c r="J281" s="15">
        <v>1</v>
      </c>
      <c r="K281" s="15">
        <v>1</v>
      </c>
      <c r="L281" s="17"/>
      <c r="M281" s="17"/>
      <c r="N281" s="17"/>
      <c r="O281" s="17"/>
      <c r="P281" s="17"/>
      <c r="Q281" s="17"/>
      <c r="R281" s="17"/>
      <c r="S281" s="15"/>
      <c r="T281" s="26">
        <v>45763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 t="s">
        <v>340</v>
      </c>
      <c r="D282" s="109" t="s">
        <v>179</v>
      </c>
      <c r="E282" s="13" t="s">
        <v>44</v>
      </c>
      <c r="F282" s="16"/>
      <c r="G282" s="12" t="s">
        <v>178</v>
      </c>
      <c r="H282" s="15"/>
      <c r="I282" s="15"/>
      <c r="J282" s="15">
        <v>1</v>
      </c>
      <c r="K282" s="15"/>
      <c r="L282" s="17"/>
      <c r="M282" s="17"/>
      <c r="N282" s="17"/>
      <c r="O282" s="17"/>
      <c r="P282" s="17"/>
      <c r="Q282" s="17"/>
      <c r="R282" s="17"/>
      <c r="S282" s="15"/>
      <c r="T282" s="26">
        <v>45749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 t="s">
        <v>341</v>
      </c>
      <c r="D283" s="109" t="s">
        <v>179</v>
      </c>
      <c r="E283" s="13" t="s">
        <v>37</v>
      </c>
      <c r="F283" s="16"/>
      <c r="G283" s="12" t="s">
        <v>178</v>
      </c>
      <c r="H283" s="15"/>
      <c r="I283" s="15"/>
      <c r="J283" s="15"/>
      <c r="K283" s="15"/>
      <c r="L283" s="17"/>
      <c r="M283" s="17">
        <v>1</v>
      </c>
      <c r="N283" s="17">
        <v>1</v>
      </c>
      <c r="O283" s="17"/>
      <c r="P283" s="17"/>
      <c r="Q283" s="17">
        <v>1</v>
      </c>
      <c r="R283" s="17"/>
      <c r="S283" s="15"/>
      <c r="T283" s="26">
        <v>45749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 t="s">
        <v>342</v>
      </c>
      <c r="D284" s="109" t="s">
        <v>179</v>
      </c>
      <c r="E284" s="13" t="s">
        <v>36</v>
      </c>
      <c r="F284" s="16"/>
      <c r="G284" s="12" t="s">
        <v>178</v>
      </c>
      <c r="H284" s="15"/>
      <c r="I284" s="15"/>
      <c r="J284" s="15">
        <v>1</v>
      </c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45742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12</v>
      </c>
      <c r="D298" s="112"/>
      <c r="E298" s="29"/>
      <c r="F298" s="29" t="s">
        <v>34</v>
      </c>
      <c r="G298" s="29">
        <f>COUNTIF(G273:G297,"S")</f>
        <v>12</v>
      </c>
      <c r="H298" s="29">
        <f>COUNTIF(H273:H297,"E")</f>
        <v>2</v>
      </c>
      <c r="I298" s="29">
        <f>SUM(I273:I297)</f>
        <v>0</v>
      </c>
      <c r="J298" s="29">
        <f t="shared" ref="J298" si="63">SUM(J273:J297)</f>
        <v>5</v>
      </c>
      <c r="K298" s="29">
        <f t="shared" ref="K298" si="64">SUM(K273:K297)</f>
        <v>3</v>
      </c>
      <c r="L298" s="29">
        <f t="shared" ref="L298" si="65">SUM(L273:L297)</f>
        <v>0</v>
      </c>
      <c r="M298" s="29">
        <f t="shared" ref="M298" si="66">SUM(M273:M297)</f>
        <v>2</v>
      </c>
      <c r="N298" s="29">
        <f t="shared" ref="N298" si="67">SUM(N273:N297)</f>
        <v>3</v>
      </c>
      <c r="O298" s="29">
        <f t="shared" ref="O298" si="68">SUM(O273:O297)</f>
        <v>0</v>
      </c>
      <c r="P298" s="29">
        <f t="shared" ref="P298" si="69">SUM(P273:P297)</f>
        <v>1</v>
      </c>
      <c r="Q298" s="29">
        <f t="shared" ref="Q298" si="70">SUM(Q273:Q297)</f>
        <v>4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AYG103</v>
      </c>
      <c r="B301" s="24">
        <f>B1</f>
        <v>45729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>
        <v>18.3</v>
      </c>
      <c r="C303" s="85" t="s">
        <v>343</v>
      </c>
      <c r="D303" s="109" t="s">
        <v>179</v>
      </c>
      <c r="E303" s="13" t="s">
        <v>36</v>
      </c>
      <c r="F303" s="14"/>
      <c r="G303" s="12" t="s">
        <v>178</v>
      </c>
      <c r="H303" s="13"/>
      <c r="I303" s="13"/>
      <c r="J303" s="13"/>
      <c r="K303" s="13"/>
      <c r="L303" s="13"/>
      <c r="M303" s="13">
        <v>1</v>
      </c>
      <c r="N303" s="13">
        <v>1</v>
      </c>
      <c r="O303" s="13"/>
      <c r="P303" s="13"/>
      <c r="Q303" s="13">
        <v>1</v>
      </c>
      <c r="R303" s="13"/>
      <c r="S303" s="13"/>
      <c r="T303" s="26">
        <v>45750</v>
      </c>
      <c r="U303" s="13" t="s">
        <v>147</v>
      </c>
      <c r="V303">
        <v>1</v>
      </c>
      <c r="X303" s="51" t="s">
        <v>106</v>
      </c>
      <c r="Y303" s="52">
        <f>COUNTIF(U303:U327,"K")</f>
        <v>7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 t="s">
        <v>344</v>
      </c>
      <c r="D304" s="109" t="s">
        <v>187</v>
      </c>
      <c r="E304" s="13" t="s">
        <v>58</v>
      </c>
      <c r="F304" s="16"/>
      <c r="G304" s="12" t="s">
        <v>178</v>
      </c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>
        <v>1</v>
      </c>
      <c r="T304" s="26">
        <v>45754</v>
      </c>
      <c r="U304" s="13" t="s">
        <v>146</v>
      </c>
      <c r="V304">
        <v>2</v>
      </c>
      <c r="X304" s="51" t="s">
        <v>107</v>
      </c>
      <c r="Y304" s="52">
        <f>COUNTIF(U303:U327,"R")</f>
        <v>4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 t="s">
        <v>345</v>
      </c>
      <c r="D305" s="109" t="s">
        <v>187</v>
      </c>
      <c r="E305" s="13" t="s">
        <v>38</v>
      </c>
      <c r="F305" s="16"/>
      <c r="G305" s="12" t="s">
        <v>178</v>
      </c>
      <c r="H305" s="15"/>
      <c r="I305" s="15"/>
      <c r="J305" s="15"/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45754</v>
      </c>
      <c r="U305" s="13" t="s">
        <v>146</v>
      </c>
      <c r="V305">
        <v>3</v>
      </c>
      <c r="X305" s="53" t="s">
        <v>108</v>
      </c>
      <c r="Y305" s="54">
        <f>COUNTIF(U303:U327,"J")</f>
        <v>1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 t="s">
        <v>346</v>
      </c>
      <c r="D306" s="109" t="s">
        <v>198</v>
      </c>
      <c r="E306" s="13" t="s">
        <v>74</v>
      </c>
      <c r="F306" s="16"/>
      <c r="G306" s="12" t="s">
        <v>178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45755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 t="s">
        <v>347</v>
      </c>
      <c r="D307" s="109" t="s">
        <v>187</v>
      </c>
      <c r="E307" s="13" t="s">
        <v>38</v>
      </c>
      <c r="F307" s="16"/>
      <c r="G307" s="12" t="s">
        <v>178</v>
      </c>
      <c r="H307" s="15"/>
      <c r="I307" s="15"/>
      <c r="J307" s="15"/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45760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 t="s">
        <v>348</v>
      </c>
      <c r="D308" s="109" t="s">
        <v>187</v>
      </c>
      <c r="E308" s="13" t="s">
        <v>38</v>
      </c>
      <c r="F308" s="16"/>
      <c r="G308" s="12" t="s">
        <v>178</v>
      </c>
      <c r="H308" s="13"/>
      <c r="I308" s="15"/>
      <c r="J308" s="15"/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45760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 t="s">
        <v>349</v>
      </c>
      <c r="D309" s="109" t="s">
        <v>187</v>
      </c>
      <c r="E309" s="13" t="s">
        <v>38</v>
      </c>
      <c r="F309" s="16"/>
      <c r="G309" s="12" t="s">
        <v>178</v>
      </c>
      <c r="H309" s="15"/>
      <c r="I309" s="15"/>
      <c r="J309" s="15"/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45760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 t="s">
        <v>350</v>
      </c>
      <c r="D310" s="109" t="s">
        <v>189</v>
      </c>
      <c r="E310" s="13" t="s">
        <v>39</v>
      </c>
      <c r="F310" s="16"/>
      <c r="G310" s="12" t="s">
        <v>178</v>
      </c>
      <c r="H310" s="15"/>
      <c r="I310" s="15"/>
      <c r="J310" s="15">
        <v>1</v>
      </c>
      <c r="K310" s="15">
        <v>1</v>
      </c>
      <c r="L310" s="17"/>
      <c r="M310" s="13"/>
      <c r="N310" s="13"/>
      <c r="O310" s="17"/>
      <c r="P310" s="17"/>
      <c r="Q310" s="17"/>
      <c r="R310" s="17"/>
      <c r="S310" s="15"/>
      <c r="T310" s="26">
        <v>45753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 t="s">
        <v>351</v>
      </c>
      <c r="D311" s="109" t="s">
        <v>179</v>
      </c>
      <c r="E311" s="13" t="s">
        <v>36</v>
      </c>
      <c r="F311" s="16"/>
      <c r="G311" s="12" t="s">
        <v>178</v>
      </c>
      <c r="H311" s="15"/>
      <c r="I311" s="15"/>
      <c r="J311" s="15"/>
      <c r="K311" s="15"/>
      <c r="L311" s="17"/>
      <c r="M311" s="13">
        <v>1</v>
      </c>
      <c r="N311" s="13">
        <v>1</v>
      </c>
      <c r="O311" s="17"/>
      <c r="P311" s="17"/>
      <c r="Q311" s="17">
        <v>1</v>
      </c>
      <c r="R311" s="17"/>
      <c r="S311" s="15"/>
      <c r="T311" s="26">
        <v>45759</v>
      </c>
      <c r="U311" s="13" t="s">
        <v>147</v>
      </c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 t="s">
        <v>352</v>
      </c>
      <c r="D312" s="109" t="s">
        <v>179</v>
      </c>
      <c r="E312" s="13" t="s">
        <v>40</v>
      </c>
      <c r="F312" s="16"/>
      <c r="G312" s="12" t="s">
        <v>178</v>
      </c>
      <c r="H312" s="15"/>
      <c r="I312" s="15"/>
      <c r="J312" s="15"/>
      <c r="K312" s="15"/>
      <c r="L312" s="17"/>
      <c r="M312" s="13"/>
      <c r="N312" s="13"/>
      <c r="O312" s="17">
        <v>1</v>
      </c>
      <c r="P312" s="17">
        <v>1</v>
      </c>
      <c r="Q312" s="17">
        <v>1</v>
      </c>
      <c r="R312" s="17">
        <v>1</v>
      </c>
      <c r="S312" s="15"/>
      <c r="T312" s="26">
        <v>45756</v>
      </c>
      <c r="U312" s="13" t="s">
        <v>148</v>
      </c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 t="s">
        <v>353</v>
      </c>
      <c r="D313" s="109" t="s">
        <v>186</v>
      </c>
      <c r="E313" s="13" t="s">
        <v>36</v>
      </c>
      <c r="F313" s="16"/>
      <c r="G313" s="12" t="s">
        <v>178</v>
      </c>
      <c r="H313" s="15"/>
      <c r="I313" s="15"/>
      <c r="J313" s="15"/>
      <c r="K313" s="15"/>
      <c r="L313" s="17"/>
      <c r="M313" s="13">
        <v>1</v>
      </c>
      <c r="N313" s="13">
        <v>1</v>
      </c>
      <c r="O313" s="17"/>
      <c r="P313" s="17"/>
      <c r="Q313" s="17">
        <v>1</v>
      </c>
      <c r="R313" s="17"/>
      <c r="S313" s="15"/>
      <c r="T313" s="26">
        <v>45760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 t="s">
        <v>354</v>
      </c>
      <c r="D314" s="109" t="s">
        <v>179</v>
      </c>
      <c r="E314" s="13" t="s">
        <v>36</v>
      </c>
      <c r="F314" s="16"/>
      <c r="G314" s="12" t="s">
        <v>178</v>
      </c>
      <c r="H314" s="15"/>
      <c r="I314" s="15"/>
      <c r="J314" s="15"/>
      <c r="K314" s="15"/>
      <c r="L314" s="17"/>
      <c r="M314" s="13">
        <v>1</v>
      </c>
      <c r="N314" s="13">
        <v>1</v>
      </c>
      <c r="O314" s="17"/>
      <c r="P314" s="17"/>
      <c r="Q314" s="17"/>
      <c r="R314" s="17"/>
      <c r="S314" s="15"/>
      <c r="T314" s="26">
        <v>45754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12</v>
      </c>
      <c r="D328" s="112"/>
      <c r="E328" s="29"/>
      <c r="F328" s="29" t="s">
        <v>34</v>
      </c>
      <c r="G328" s="29">
        <f>COUNTIF(G303:G327,"S")</f>
        <v>12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2</v>
      </c>
      <c r="K328" s="29">
        <f t="shared" ref="K328" si="74">SUM(K303:K327)</f>
        <v>6</v>
      </c>
      <c r="L328" s="29">
        <f t="shared" ref="L328" si="75">SUM(L303:L327)</f>
        <v>0</v>
      </c>
      <c r="M328" s="29">
        <f t="shared" ref="M328" si="76">SUM(M303:M327)</f>
        <v>4</v>
      </c>
      <c r="N328" s="29">
        <f t="shared" ref="N328" si="77">SUM(N303:N327)</f>
        <v>4</v>
      </c>
      <c r="O328" s="29">
        <f t="shared" ref="O328" si="78">SUM(O303:O327)</f>
        <v>1</v>
      </c>
      <c r="P328" s="29">
        <f t="shared" ref="P328" si="79">SUM(P303:P327)</f>
        <v>1</v>
      </c>
      <c r="Q328" s="29">
        <f t="shared" ref="Q328" si="80">SUM(Q303:Q327)</f>
        <v>4</v>
      </c>
      <c r="R328" s="29">
        <f t="shared" ref="R328" si="81">SUM(R303:R327)</f>
        <v>1</v>
      </c>
      <c r="S328" s="29">
        <f t="shared" ref="S328" si="82">SUM(S303:S327)</f>
        <v>1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24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AYG103</v>
      </c>
      <c r="B331" s="24">
        <f>B151</f>
        <v>45729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B1289"/>
  <sheetViews>
    <sheetView zoomScaleNormal="100" workbookViewId="0">
      <selection sqref="A1:D2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7" width="16.625" customWidth="1"/>
    <col min="28" max="28" width="11" customWidth="1"/>
    <col min="29" max="29" width="10.5" style="121" customWidth="1"/>
    <col min="30" max="30" width="10.25" style="121" customWidth="1"/>
    <col min="31" max="31" width="10.875" style="121" customWidth="1"/>
    <col min="32" max="45" width="16.625" customWidth="1"/>
    <col min="46" max="46" width="20.5" customWidth="1"/>
    <col min="51" max="51" width="12.375" customWidth="1"/>
    <col min="52" max="52" width="11.25" customWidth="1"/>
    <col min="53" max="53" width="10.5" customWidth="1"/>
    <col min="54" max="54" width="10.25" customWidth="1"/>
  </cols>
  <sheetData>
    <row r="1" spans="1:50" x14ac:dyDescent="0.4">
      <c r="A1" s="120" t="s">
        <v>210</v>
      </c>
      <c r="B1" s="121"/>
      <c r="C1" s="121"/>
      <c r="D1" s="121"/>
      <c r="K1" t="s">
        <v>143</v>
      </c>
      <c r="L1" t="s">
        <v>144</v>
      </c>
      <c r="V1" t="s">
        <v>143</v>
      </c>
      <c r="W1" t="s">
        <v>144</v>
      </c>
      <c r="AB1" s="120"/>
      <c r="AT1" t="s">
        <v>143</v>
      </c>
      <c r="AU1" t="s">
        <v>144</v>
      </c>
    </row>
    <row r="2" spans="1:50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45742</v>
      </c>
      <c r="L2" s="13" t="s">
        <v>146</v>
      </c>
      <c r="V2" s="25">
        <v>45669</v>
      </c>
      <c r="W2" s="13" t="s">
        <v>147</v>
      </c>
      <c r="AB2" s="116"/>
      <c r="AC2" s="123"/>
      <c r="AD2" s="123"/>
      <c r="AE2" s="123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25">
        <v>45258</v>
      </c>
      <c r="AU2" s="13" t="s">
        <v>162</v>
      </c>
      <c r="AX2" s="114"/>
    </row>
    <row r="3" spans="1:50" ht="20.100000000000001" customHeight="1" x14ac:dyDescent="0.4">
      <c r="A3" s="117">
        <v>45742</v>
      </c>
      <c r="B3" s="123">
        <v>1</v>
      </c>
      <c r="C3" s="123"/>
      <c r="D3" s="123"/>
      <c r="J3" s="115" t="s">
        <v>191</v>
      </c>
      <c r="K3" s="13">
        <f>SUBTOTAL(3,K2:K2)</f>
        <v>1</v>
      </c>
      <c r="L3" s="13">
        <f>SUBTOTAL(3,L2:L2)</f>
        <v>1</v>
      </c>
      <c r="V3" s="25"/>
      <c r="W3" s="13"/>
      <c r="AB3" s="116"/>
      <c r="AC3" s="123"/>
      <c r="AD3" s="123"/>
      <c r="AE3" s="123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25"/>
      <c r="AU3" s="13"/>
      <c r="AX3" s="114"/>
    </row>
    <row r="4" spans="1:50" ht="20.100000000000001" customHeight="1" x14ac:dyDescent="0.4">
      <c r="A4" s="117">
        <v>45743</v>
      </c>
      <c r="B4" s="123">
        <v>1</v>
      </c>
      <c r="C4" s="123">
        <v>2</v>
      </c>
      <c r="D4" s="123"/>
      <c r="K4" s="25">
        <v>45743</v>
      </c>
      <c r="L4" s="13" t="s">
        <v>146</v>
      </c>
      <c r="V4" s="25"/>
      <c r="W4" s="13"/>
      <c r="AB4" s="116"/>
      <c r="AC4" s="123"/>
      <c r="AD4" s="123"/>
      <c r="AE4" s="123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25"/>
      <c r="AU4" s="13"/>
      <c r="AX4" s="114"/>
    </row>
    <row r="5" spans="1:50" ht="20.100000000000001" customHeight="1" x14ac:dyDescent="0.4">
      <c r="A5" s="117">
        <v>45744</v>
      </c>
      <c r="B5" s="123">
        <v>2</v>
      </c>
      <c r="C5" s="123"/>
      <c r="D5" s="123"/>
      <c r="K5" s="25">
        <v>45743</v>
      </c>
      <c r="L5" s="13" t="s">
        <v>147</v>
      </c>
      <c r="V5" s="25"/>
      <c r="W5" s="13"/>
      <c r="AB5" s="116"/>
      <c r="AC5" s="123"/>
      <c r="AD5" s="123"/>
      <c r="AE5" s="123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25"/>
      <c r="AU5" s="13"/>
      <c r="AX5" s="114"/>
    </row>
    <row r="6" spans="1:50" ht="20.100000000000001" customHeight="1" x14ac:dyDescent="0.4">
      <c r="A6" s="117">
        <v>45747</v>
      </c>
      <c r="B6" s="123"/>
      <c r="C6" s="123">
        <v>1</v>
      </c>
      <c r="D6" s="123"/>
      <c r="F6" s="125"/>
      <c r="K6" s="25">
        <v>45743</v>
      </c>
      <c r="L6" s="13" t="s">
        <v>147</v>
      </c>
      <c r="V6" s="25"/>
      <c r="W6" s="13"/>
      <c r="AB6" s="116"/>
      <c r="AC6" s="123"/>
      <c r="AD6" s="123"/>
      <c r="AE6" s="123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25"/>
      <c r="AU6" s="13"/>
      <c r="AX6" s="114"/>
    </row>
    <row r="7" spans="1:50" ht="20.100000000000001" customHeight="1" x14ac:dyDescent="0.4">
      <c r="A7" s="117">
        <v>45748</v>
      </c>
      <c r="B7" s="123"/>
      <c r="C7" s="123">
        <v>1</v>
      </c>
      <c r="D7" s="123"/>
      <c r="F7" s="125"/>
      <c r="J7" s="115" t="s">
        <v>192</v>
      </c>
      <c r="K7" s="13">
        <f>SUBTOTAL(3,K4:K6)</f>
        <v>3</v>
      </c>
      <c r="L7" s="13">
        <f>SUBTOTAL(3,L4:L6)</f>
        <v>3</v>
      </c>
      <c r="V7" s="25"/>
      <c r="W7" s="13"/>
      <c r="AB7" s="116"/>
      <c r="AC7" s="123"/>
      <c r="AD7" s="123"/>
      <c r="AE7" s="123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25"/>
      <c r="AU7" s="13"/>
      <c r="AX7" s="114"/>
    </row>
    <row r="8" spans="1:50" ht="20.100000000000001" customHeight="1" x14ac:dyDescent="0.4">
      <c r="A8" s="117">
        <v>45749</v>
      </c>
      <c r="B8" s="123">
        <v>3</v>
      </c>
      <c r="C8" s="123">
        <v>4</v>
      </c>
      <c r="D8" s="123">
        <v>2</v>
      </c>
      <c r="F8" s="125"/>
      <c r="H8" s="115"/>
      <c r="I8" s="115"/>
      <c r="J8" s="115"/>
      <c r="K8" s="25">
        <v>45744</v>
      </c>
      <c r="L8" s="13" t="s">
        <v>142</v>
      </c>
      <c r="V8" s="25"/>
      <c r="W8" s="13"/>
      <c r="AB8" s="116"/>
      <c r="AC8" s="123"/>
      <c r="AD8" s="123"/>
      <c r="AE8" s="123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25"/>
      <c r="AU8" s="13"/>
      <c r="AX8" s="114"/>
    </row>
    <row r="9" spans="1:50" ht="20.100000000000001" customHeight="1" x14ac:dyDescent="0.4">
      <c r="A9" s="117">
        <v>45750</v>
      </c>
      <c r="B9" s="123">
        <v>2</v>
      </c>
      <c r="C9" s="123">
        <v>1</v>
      </c>
      <c r="D9" s="123">
        <v>1</v>
      </c>
      <c r="F9" s="125"/>
      <c r="H9" s="115"/>
      <c r="I9" s="115"/>
      <c r="J9" s="115"/>
      <c r="K9" s="25">
        <v>45744</v>
      </c>
      <c r="L9" s="13" t="s">
        <v>146</v>
      </c>
      <c r="V9" s="25"/>
      <c r="W9" s="13"/>
      <c r="AB9" s="116"/>
      <c r="AC9" s="123"/>
      <c r="AD9" s="123"/>
      <c r="AE9" s="123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25"/>
      <c r="AU9" s="13"/>
      <c r="AX9" s="114"/>
    </row>
    <row r="10" spans="1:50" ht="20.100000000000001" customHeight="1" x14ac:dyDescent="0.4">
      <c r="A10" s="117">
        <v>45751</v>
      </c>
      <c r="B10" s="123"/>
      <c r="C10" s="123">
        <v>1</v>
      </c>
      <c r="D10" s="123"/>
      <c r="F10" s="125"/>
      <c r="H10" s="115"/>
      <c r="I10" s="115"/>
      <c r="J10" s="115" t="s">
        <v>194</v>
      </c>
      <c r="K10" s="13">
        <f>SUBTOTAL(3,K8:K9)</f>
        <v>2</v>
      </c>
      <c r="L10" s="13">
        <f>SUBTOTAL(3,L8:L9)</f>
        <v>2</v>
      </c>
      <c r="V10" s="25"/>
      <c r="W10" s="13"/>
      <c r="AB10" s="116"/>
      <c r="AC10" s="123"/>
      <c r="AD10" s="123"/>
      <c r="AE10" s="123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25"/>
      <c r="AU10" s="13"/>
      <c r="AX10" s="114"/>
    </row>
    <row r="11" spans="1:50" ht="20.100000000000001" customHeight="1" x14ac:dyDescent="0.4">
      <c r="A11" s="117">
        <v>45752</v>
      </c>
      <c r="B11" s="123">
        <v>10</v>
      </c>
      <c r="C11" s="123">
        <v>3</v>
      </c>
      <c r="D11" s="123"/>
      <c r="F11" s="125"/>
      <c r="H11" s="115"/>
      <c r="I11" s="115"/>
      <c r="J11" s="115"/>
      <c r="K11" s="25">
        <v>45747</v>
      </c>
      <c r="L11" s="13" t="s">
        <v>147</v>
      </c>
      <c r="V11" s="25"/>
      <c r="W11" s="13"/>
      <c r="AB11" s="116"/>
      <c r="AC11" s="123"/>
      <c r="AD11" s="123"/>
      <c r="AE11" s="123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25"/>
      <c r="AU11" s="13"/>
      <c r="AX11" s="114"/>
    </row>
    <row r="12" spans="1:50" ht="20.100000000000001" customHeight="1" x14ac:dyDescent="0.4">
      <c r="A12" s="117">
        <v>45753</v>
      </c>
      <c r="B12" s="123">
        <v>10</v>
      </c>
      <c r="C12" s="123">
        <v>6</v>
      </c>
      <c r="D12" s="123">
        <v>5</v>
      </c>
      <c r="F12" s="125"/>
      <c r="H12" s="115"/>
      <c r="I12" s="115"/>
      <c r="J12" s="115" t="s">
        <v>195</v>
      </c>
      <c r="K12" s="13">
        <f>SUBTOTAL(3,K11:K11)</f>
        <v>1</v>
      </c>
      <c r="L12" s="13">
        <f>SUBTOTAL(3,L11:L11)</f>
        <v>1</v>
      </c>
      <c r="V12" s="25"/>
      <c r="W12" s="13"/>
      <c r="AB12" s="116"/>
      <c r="AC12" s="123"/>
      <c r="AD12" s="123"/>
      <c r="AE12" s="123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25"/>
      <c r="AU12" s="13"/>
      <c r="AX12" s="114"/>
    </row>
    <row r="13" spans="1:50" ht="20.100000000000001" customHeight="1" x14ac:dyDescent="0.4">
      <c r="A13" s="117">
        <v>45754</v>
      </c>
      <c r="B13" s="123">
        <v>4</v>
      </c>
      <c r="C13" s="123">
        <v>4</v>
      </c>
      <c r="D13" s="123"/>
      <c r="F13" s="125"/>
      <c r="H13" s="115"/>
      <c r="I13" s="115"/>
      <c r="J13" s="115"/>
      <c r="K13" s="25">
        <v>45748</v>
      </c>
      <c r="L13" s="13" t="s">
        <v>147</v>
      </c>
      <c r="V13" s="25"/>
      <c r="W13" s="13"/>
      <c r="AB13" s="116"/>
      <c r="AC13" s="123"/>
      <c r="AD13" s="123"/>
      <c r="AE13" s="123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25"/>
      <c r="AU13" s="13"/>
      <c r="AX13" s="114"/>
    </row>
    <row r="14" spans="1:50" ht="20.100000000000001" customHeight="1" x14ac:dyDescent="0.4">
      <c r="A14" s="117">
        <v>45755</v>
      </c>
      <c r="B14" s="123">
        <v>10</v>
      </c>
      <c r="C14" s="123">
        <v>2</v>
      </c>
      <c r="D14" s="123">
        <v>2</v>
      </c>
      <c r="F14" s="125"/>
      <c r="H14" s="115"/>
      <c r="I14" s="115"/>
      <c r="J14" s="115" t="s">
        <v>204</v>
      </c>
      <c r="K14" s="13">
        <f>SUBTOTAL(3,K13:K13)</f>
        <v>1</v>
      </c>
      <c r="L14" s="13">
        <f>SUBTOTAL(3,L13:L13)</f>
        <v>1</v>
      </c>
      <c r="V14" s="25"/>
      <c r="W14" s="13"/>
      <c r="AB14" s="116"/>
      <c r="AC14" s="123"/>
      <c r="AD14" s="123"/>
      <c r="AE14" s="123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25"/>
      <c r="AU14" s="13"/>
      <c r="AX14" s="114"/>
    </row>
    <row r="15" spans="1:50" ht="20.100000000000001" customHeight="1" x14ac:dyDescent="0.4">
      <c r="A15" s="117">
        <v>45756</v>
      </c>
      <c r="B15" s="123">
        <v>6</v>
      </c>
      <c r="C15" s="123">
        <v>2</v>
      </c>
      <c r="D15" s="123">
        <v>1</v>
      </c>
      <c r="F15" s="125"/>
      <c r="H15" s="115"/>
      <c r="I15" s="115"/>
      <c r="J15" s="115"/>
      <c r="K15" s="25">
        <v>45749</v>
      </c>
      <c r="L15" s="13" t="s">
        <v>147</v>
      </c>
      <c r="V15" s="25"/>
      <c r="W15" s="13"/>
      <c r="AB15" s="116"/>
      <c r="AC15" s="123"/>
      <c r="AD15" s="123"/>
      <c r="AE15" s="123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25"/>
      <c r="AU15" s="13"/>
      <c r="AX15" s="114"/>
    </row>
    <row r="16" spans="1:50" ht="20.100000000000001" customHeight="1" x14ac:dyDescent="0.4">
      <c r="A16" s="117">
        <v>45759</v>
      </c>
      <c r="B16" s="123">
        <v>3</v>
      </c>
      <c r="C16" s="123">
        <v>2</v>
      </c>
      <c r="D16" s="123"/>
      <c r="F16" s="125"/>
      <c r="K16" s="25">
        <v>45749</v>
      </c>
      <c r="L16" s="25" t="s">
        <v>146</v>
      </c>
      <c r="R16" s="115"/>
      <c r="S16" s="115"/>
      <c r="T16" s="115"/>
      <c r="U16" s="115"/>
      <c r="V16" s="25">
        <v>45669</v>
      </c>
      <c r="W16" s="13" t="s">
        <v>147</v>
      </c>
      <c r="AB16" s="116"/>
      <c r="AC16" s="123"/>
      <c r="AD16" s="123"/>
      <c r="AE16" s="123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25"/>
      <c r="AU16" s="13"/>
      <c r="AX16" s="114"/>
    </row>
    <row r="17" spans="1:50" ht="20.100000000000001" customHeight="1" x14ac:dyDescent="0.4">
      <c r="A17" s="117">
        <v>45760</v>
      </c>
      <c r="B17" s="123">
        <v>8</v>
      </c>
      <c r="C17" s="123">
        <v>2</v>
      </c>
      <c r="D17" s="123">
        <v>1</v>
      </c>
      <c r="F17" s="125"/>
      <c r="K17" s="25">
        <v>45749</v>
      </c>
      <c r="L17" s="25" t="s">
        <v>148</v>
      </c>
      <c r="R17" s="115"/>
      <c r="S17" s="115"/>
      <c r="T17" s="115"/>
      <c r="U17" s="115"/>
      <c r="V17" s="25"/>
      <c r="W17" s="13"/>
      <c r="AB17" s="116"/>
      <c r="AC17" s="123"/>
      <c r="AD17" s="123"/>
      <c r="AE17" s="123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25"/>
      <c r="AU17" s="13"/>
      <c r="AX17" s="114"/>
    </row>
    <row r="18" spans="1:50" ht="20.100000000000001" customHeight="1" x14ac:dyDescent="0.4">
      <c r="A18" s="117">
        <v>45761</v>
      </c>
      <c r="B18" s="123">
        <v>2</v>
      </c>
      <c r="C18" s="123">
        <v>1</v>
      </c>
      <c r="D18" s="123"/>
      <c r="F18" s="125"/>
      <c r="I18" s="115"/>
      <c r="J18" s="115"/>
      <c r="K18" s="25">
        <v>45749</v>
      </c>
      <c r="L18" s="13" t="s">
        <v>147</v>
      </c>
      <c r="R18" s="115"/>
      <c r="S18" s="115"/>
      <c r="T18" s="115"/>
      <c r="U18" s="115"/>
      <c r="V18" s="25"/>
      <c r="W18" s="13"/>
      <c r="AB18" s="116"/>
      <c r="AC18" s="123"/>
      <c r="AD18" s="123"/>
      <c r="AE18" s="123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25"/>
      <c r="AU18" s="13"/>
      <c r="AX18" s="114"/>
    </row>
    <row r="19" spans="1:50" ht="20.100000000000001" customHeight="1" x14ac:dyDescent="0.4">
      <c r="A19" s="117">
        <v>45762</v>
      </c>
      <c r="B19" s="123">
        <v>7</v>
      </c>
      <c r="C19" s="123"/>
      <c r="D19" s="123">
        <v>3</v>
      </c>
      <c r="F19" s="125"/>
      <c r="H19" s="115"/>
      <c r="I19" s="115"/>
      <c r="J19" s="115"/>
      <c r="K19" s="25">
        <v>45749</v>
      </c>
      <c r="L19" s="13" t="s">
        <v>142</v>
      </c>
      <c r="R19" s="115"/>
      <c r="S19" s="115"/>
      <c r="T19" s="115"/>
      <c r="U19" s="115"/>
      <c r="V19" s="25"/>
      <c r="W19" s="13"/>
      <c r="AB19" s="116"/>
      <c r="AC19" s="123"/>
      <c r="AD19" s="123"/>
      <c r="AE19" s="123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25"/>
      <c r="AU19" s="13"/>
      <c r="AX19" s="114"/>
    </row>
    <row r="20" spans="1:50" ht="20.100000000000001" customHeight="1" x14ac:dyDescent="0.4">
      <c r="A20" s="117">
        <v>45763</v>
      </c>
      <c r="B20" s="123">
        <v>7</v>
      </c>
      <c r="C20" s="123">
        <v>3</v>
      </c>
      <c r="D20" s="123">
        <v>2</v>
      </c>
      <c r="F20" s="125"/>
      <c r="H20" s="115"/>
      <c r="I20" s="115"/>
      <c r="J20" s="115"/>
      <c r="K20" s="25">
        <v>45749</v>
      </c>
      <c r="L20" s="13" t="s">
        <v>148</v>
      </c>
      <c r="R20" s="115"/>
      <c r="S20" s="115"/>
      <c r="T20" s="115"/>
      <c r="U20" s="115"/>
      <c r="V20" s="25"/>
      <c r="W20" s="13"/>
      <c r="AB20" s="116"/>
      <c r="AC20" s="123"/>
      <c r="AD20" s="123"/>
      <c r="AE20" s="123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25"/>
      <c r="AU20" s="13"/>
      <c r="AX20" s="114"/>
    </row>
    <row r="21" spans="1:50" ht="20.100000000000001" customHeight="1" x14ac:dyDescent="0.4">
      <c r="A21" s="117">
        <v>45768</v>
      </c>
      <c r="B21" s="123"/>
      <c r="C21" s="123">
        <v>1</v>
      </c>
      <c r="D21" s="123">
        <v>1</v>
      </c>
      <c r="F21" s="125"/>
      <c r="H21" s="115"/>
      <c r="I21" s="115"/>
      <c r="J21" s="115"/>
      <c r="K21" s="25">
        <v>45749</v>
      </c>
      <c r="L21" s="15" t="s">
        <v>147</v>
      </c>
      <c r="R21" s="115"/>
      <c r="S21" s="115"/>
      <c r="T21" s="115"/>
      <c r="U21" s="115"/>
      <c r="V21" s="25"/>
      <c r="W21" s="13"/>
      <c r="AB21" s="116"/>
      <c r="AC21" s="123"/>
      <c r="AD21" s="123"/>
      <c r="AE21" s="123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25"/>
      <c r="AU21" s="13"/>
      <c r="AX21" s="114"/>
    </row>
    <row r="22" spans="1:50" ht="20.100000000000001" customHeight="1" x14ac:dyDescent="0.4">
      <c r="A22" s="117">
        <v>45793</v>
      </c>
      <c r="B22" s="123"/>
      <c r="C22" s="123">
        <v>1</v>
      </c>
      <c r="D22" s="123"/>
      <c r="F22" s="125"/>
      <c r="H22" s="115"/>
      <c r="I22" s="115"/>
      <c r="J22" s="115"/>
      <c r="K22" s="25">
        <v>45749</v>
      </c>
      <c r="L22" s="13" t="s">
        <v>146</v>
      </c>
      <c r="R22" s="115"/>
      <c r="S22" s="115"/>
      <c r="T22" s="115"/>
      <c r="U22" s="115"/>
      <c r="V22" s="25"/>
      <c r="W22" s="13"/>
      <c r="AB22" s="116"/>
      <c r="AC22" s="123"/>
      <c r="AD22" s="123"/>
      <c r="AE22" s="123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25"/>
      <c r="AU22" s="13"/>
      <c r="AX22" s="114"/>
    </row>
    <row r="23" spans="1:50" ht="20.100000000000001" customHeight="1" x14ac:dyDescent="0.4">
      <c r="A23" s="117">
        <v>45795</v>
      </c>
      <c r="B23" s="123"/>
      <c r="C23" s="123">
        <v>1</v>
      </c>
      <c r="D23" s="123"/>
      <c r="F23" s="125"/>
      <c r="K23" s="25">
        <v>45749</v>
      </c>
      <c r="L23" s="13" t="s">
        <v>147</v>
      </c>
      <c r="R23" s="115"/>
      <c r="S23" s="115"/>
      <c r="T23" s="115"/>
      <c r="U23" s="115"/>
      <c r="V23" s="25">
        <v>45671</v>
      </c>
      <c r="W23" s="13" t="s">
        <v>146</v>
      </c>
      <c r="AB23" s="116"/>
      <c r="AC23" s="123"/>
      <c r="AD23" s="123"/>
      <c r="AE23" s="123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25"/>
      <c r="AU23" s="13"/>
      <c r="AX23" s="114"/>
    </row>
    <row r="24" spans="1:50" ht="20.100000000000001" customHeight="1" x14ac:dyDescent="0.4">
      <c r="A24" s="117">
        <v>45798</v>
      </c>
      <c r="B24" s="123"/>
      <c r="C24" s="123">
        <v>3</v>
      </c>
      <c r="D24" s="123">
        <v>2</v>
      </c>
      <c r="F24" s="125"/>
      <c r="J24" s="115" t="s">
        <v>356</v>
      </c>
      <c r="K24" s="13">
        <f>SUBTOTAL(3,K15:K23)</f>
        <v>9</v>
      </c>
      <c r="L24" s="13">
        <f>SUBTOTAL(3,L15:L23)</f>
        <v>9</v>
      </c>
      <c r="R24" s="115"/>
      <c r="S24" s="115"/>
      <c r="T24" s="115"/>
      <c r="U24" s="115"/>
      <c r="V24" s="25"/>
      <c r="W24" s="13"/>
      <c r="AB24" s="116"/>
      <c r="AC24" s="123"/>
      <c r="AD24" s="123"/>
      <c r="AE24" s="123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25"/>
      <c r="AU24" s="13"/>
      <c r="AX24" s="114"/>
    </row>
    <row r="25" spans="1:50" ht="20.100000000000001" customHeight="1" x14ac:dyDescent="0.4">
      <c r="A25" s="117">
        <v>45800</v>
      </c>
      <c r="B25" s="123">
        <v>1</v>
      </c>
      <c r="C25" s="123"/>
      <c r="D25" s="123"/>
      <c r="F25" s="125"/>
      <c r="K25" s="25">
        <v>45750</v>
      </c>
      <c r="L25" s="13" t="s">
        <v>146</v>
      </c>
      <c r="P25" s="115"/>
      <c r="Q25" s="115"/>
      <c r="R25" s="115"/>
      <c r="S25" s="115"/>
      <c r="T25" s="115"/>
      <c r="U25" s="115"/>
      <c r="V25" s="25">
        <v>45671</v>
      </c>
      <c r="W25" s="13" t="s">
        <v>148</v>
      </c>
      <c r="AB25" s="116"/>
      <c r="AC25" s="123"/>
      <c r="AD25" s="123"/>
      <c r="AE25" s="123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25"/>
      <c r="AU25" s="13"/>
      <c r="AX25" s="114"/>
    </row>
    <row r="26" spans="1:50" ht="20.100000000000001" customHeight="1" x14ac:dyDescent="0.4">
      <c r="A26" s="117">
        <v>45829</v>
      </c>
      <c r="B26" s="123"/>
      <c r="C26" s="123"/>
      <c r="D26" s="123">
        <v>1</v>
      </c>
      <c r="K26" s="25">
        <v>45750</v>
      </c>
      <c r="L26" s="13" t="s">
        <v>148</v>
      </c>
      <c r="P26" s="115"/>
      <c r="Q26" s="115"/>
      <c r="R26" s="115"/>
      <c r="S26" s="115"/>
      <c r="T26" s="115"/>
      <c r="U26" s="115"/>
      <c r="V26" s="25"/>
      <c r="W26" s="13"/>
      <c r="AB26" s="116"/>
      <c r="AC26" s="123"/>
      <c r="AD26" s="123"/>
      <c r="AE26" s="123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25"/>
      <c r="AU26" s="13"/>
      <c r="AX26" s="114"/>
    </row>
    <row r="27" spans="1:50" ht="20.100000000000001" customHeight="1" x14ac:dyDescent="0.4">
      <c r="A27" s="117"/>
      <c r="B27" s="123">
        <f>SUM(B3:B26)</f>
        <v>77</v>
      </c>
      <c r="C27" s="123">
        <f>SUM(C3:C26)</f>
        <v>41</v>
      </c>
      <c r="D27" s="123">
        <f>SUM(D3:D26)</f>
        <v>21</v>
      </c>
      <c r="K27" s="25">
        <v>45750</v>
      </c>
      <c r="L27" s="13" t="s">
        <v>146</v>
      </c>
      <c r="P27" s="115"/>
      <c r="Q27" s="115"/>
      <c r="R27" s="115"/>
      <c r="S27" s="115"/>
      <c r="T27" s="115"/>
      <c r="U27" s="115"/>
      <c r="V27" s="25"/>
      <c r="W27" s="13"/>
      <c r="AB27" s="116"/>
      <c r="AC27" s="123"/>
      <c r="AD27" s="123"/>
      <c r="AE27" s="123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25"/>
      <c r="AU27" s="13"/>
      <c r="AX27" s="114"/>
    </row>
    <row r="28" spans="1:50" ht="20.100000000000001" customHeight="1" x14ac:dyDescent="0.4">
      <c r="A28" s="117"/>
      <c r="B28" s="123"/>
      <c r="C28" s="123"/>
      <c r="D28" s="123">
        <f>SUM(B27:D27)</f>
        <v>139</v>
      </c>
      <c r="K28" s="25">
        <v>45750</v>
      </c>
      <c r="L28" s="13" t="s">
        <v>147</v>
      </c>
      <c r="P28" s="115"/>
      <c r="Q28" s="115"/>
      <c r="R28" s="115"/>
      <c r="S28" s="115"/>
      <c r="T28" s="115"/>
      <c r="U28" s="115"/>
      <c r="V28" s="25"/>
      <c r="W28" s="13"/>
      <c r="AB28" s="116"/>
      <c r="AC28" s="123"/>
      <c r="AD28" s="123"/>
      <c r="AE28" s="123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25"/>
      <c r="AU28" s="13"/>
      <c r="AX28" s="114"/>
    </row>
    <row r="29" spans="1:50" ht="20.100000000000001" customHeight="1" x14ac:dyDescent="0.4">
      <c r="A29" s="117"/>
      <c r="B29" s="123"/>
      <c r="C29" s="123"/>
      <c r="D29" s="123"/>
      <c r="J29" s="115" t="s">
        <v>196</v>
      </c>
      <c r="K29" s="13">
        <f>SUBTOTAL(3,K25:K28)</f>
        <v>4</v>
      </c>
      <c r="L29" s="13">
        <f>SUBTOTAL(3,L25:L28)</f>
        <v>4</v>
      </c>
      <c r="P29" s="115"/>
      <c r="Q29" s="115"/>
      <c r="R29" s="115"/>
      <c r="S29" s="115"/>
      <c r="T29" s="115"/>
      <c r="U29" s="115"/>
      <c r="V29" s="25"/>
      <c r="W29" s="13"/>
      <c r="AB29" s="116"/>
      <c r="AC29" s="123"/>
      <c r="AD29" s="123"/>
      <c r="AE29" s="123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25"/>
      <c r="AU29" s="13"/>
      <c r="AX29" s="114"/>
    </row>
    <row r="30" spans="1:50" ht="20.100000000000001" customHeight="1" x14ac:dyDescent="0.4">
      <c r="A30" s="117"/>
      <c r="B30" s="123"/>
      <c r="C30" s="123"/>
      <c r="D30" s="123"/>
      <c r="I30" s="115"/>
      <c r="J30" s="115"/>
      <c r="K30" s="25">
        <v>45751</v>
      </c>
      <c r="L30" s="25" t="s">
        <v>147</v>
      </c>
      <c r="P30" s="115"/>
      <c r="Q30" s="115"/>
      <c r="R30" s="115"/>
      <c r="S30" s="115"/>
      <c r="T30" s="115"/>
      <c r="U30" s="115"/>
      <c r="V30" s="25"/>
      <c r="W30" s="13"/>
      <c r="AB30" s="116"/>
      <c r="AC30" s="123"/>
      <c r="AD30" s="123"/>
      <c r="AE30" s="123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25"/>
      <c r="AU30" s="13"/>
      <c r="AX30" s="114"/>
    </row>
    <row r="31" spans="1:50" ht="20.100000000000001" customHeight="1" x14ac:dyDescent="0.4">
      <c r="A31" s="117"/>
      <c r="B31" s="123"/>
      <c r="C31" s="123"/>
      <c r="D31" s="123"/>
      <c r="I31" s="115"/>
      <c r="J31" s="115" t="s">
        <v>357</v>
      </c>
      <c r="K31" s="13">
        <f>SUBTOTAL(3,K30:K30)</f>
        <v>1</v>
      </c>
      <c r="L31" s="13">
        <f>SUBTOTAL(3,L30:L30)</f>
        <v>1</v>
      </c>
      <c r="P31" s="115"/>
      <c r="Q31" s="115"/>
      <c r="R31" s="115"/>
      <c r="S31" s="115"/>
      <c r="T31" s="115"/>
      <c r="U31" s="115"/>
      <c r="V31" s="25"/>
      <c r="W31" s="13"/>
      <c r="AB31" s="116"/>
      <c r="AC31" s="123"/>
      <c r="AD31" s="123"/>
      <c r="AE31" s="123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25"/>
      <c r="AU31" s="13"/>
      <c r="AX31" s="114"/>
    </row>
    <row r="32" spans="1:50" ht="20.100000000000001" customHeight="1" x14ac:dyDescent="0.4">
      <c r="A32" s="117"/>
      <c r="B32" s="123"/>
      <c r="C32" s="123"/>
      <c r="D32" s="123"/>
      <c r="H32" s="115"/>
      <c r="I32" s="115"/>
      <c r="J32" s="115"/>
      <c r="K32" s="25">
        <v>45752</v>
      </c>
      <c r="L32" s="13" t="s">
        <v>146</v>
      </c>
      <c r="P32" s="115"/>
      <c r="Q32" s="115"/>
      <c r="R32" s="115"/>
      <c r="S32" s="115"/>
      <c r="T32" s="115"/>
      <c r="U32" s="115"/>
      <c r="V32" s="25"/>
      <c r="W32" s="13"/>
      <c r="AB32" s="116"/>
      <c r="AC32" s="123"/>
      <c r="AD32" s="123"/>
      <c r="AE32" s="123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25"/>
      <c r="AU32" s="13"/>
      <c r="AX32" s="114"/>
    </row>
    <row r="33" spans="1:50" ht="20.100000000000001" customHeight="1" x14ac:dyDescent="0.4">
      <c r="A33" s="117"/>
      <c r="B33" s="123"/>
      <c r="C33" s="123"/>
      <c r="D33" s="123"/>
      <c r="K33" s="25">
        <v>45752</v>
      </c>
      <c r="L33" s="13" t="s">
        <v>147</v>
      </c>
      <c r="P33" s="115"/>
      <c r="Q33" s="115"/>
      <c r="R33" s="115"/>
      <c r="S33" s="115"/>
      <c r="T33" s="115"/>
      <c r="U33" s="115"/>
      <c r="V33" s="25">
        <v>45672</v>
      </c>
      <c r="W33" s="13" t="s">
        <v>146</v>
      </c>
      <c r="AB33" s="116"/>
      <c r="AC33" s="123"/>
      <c r="AD33" s="123"/>
      <c r="AE33" s="123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25"/>
      <c r="AU33" s="13"/>
      <c r="AX33" s="114"/>
    </row>
    <row r="34" spans="1:50" ht="20.100000000000001" customHeight="1" x14ac:dyDescent="0.4">
      <c r="A34" s="117"/>
      <c r="B34" s="123"/>
      <c r="C34" s="123"/>
      <c r="D34" s="123"/>
      <c r="K34" s="25">
        <v>45752</v>
      </c>
      <c r="L34" s="13" t="s">
        <v>146</v>
      </c>
      <c r="P34" s="115"/>
      <c r="Q34" s="115"/>
      <c r="R34" s="115"/>
      <c r="S34" s="115"/>
      <c r="T34" s="115"/>
      <c r="U34" s="115"/>
      <c r="V34" s="25">
        <v>45672</v>
      </c>
      <c r="W34" s="13" t="s">
        <v>146</v>
      </c>
      <c r="AB34" s="116"/>
      <c r="AC34" s="123"/>
      <c r="AD34" s="123"/>
      <c r="AE34" s="123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25"/>
      <c r="AU34" s="13"/>
      <c r="AX34" s="114"/>
    </row>
    <row r="35" spans="1:50" ht="20.100000000000001" customHeight="1" x14ac:dyDescent="0.4">
      <c r="A35" s="117"/>
      <c r="B35" s="123"/>
      <c r="C35" s="123"/>
      <c r="D35" s="123"/>
      <c r="K35" s="25">
        <v>45752</v>
      </c>
      <c r="L35" s="13" t="s">
        <v>146</v>
      </c>
      <c r="P35" s="115"/>
      <c r="Q35" s="115"/>
      <c r="R35" s="115"/>
      <c r="S35" s="115"/>
      <c r="T35" s="115"/>
      <c r="U35" s="115"/>
      <c r="V35" s="25"/>
      <c r="W35" s="13"/>
      <c r="AB35" s="116"/>
      <c r="AC35" s="123"/>
      <c r="AD35" s="123"/>
      <c r="AE35" s="123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25"/>
      <c r="AU35" s="13"/>
      <c r="AX35" s="114"/>
    </row>
    <row r="36" spans="1:50" ht="20.100000000000001" customHeight="1" x14ac:dyDescent="0.4">
      <c r="A36" s="117"/>
      <c r="B36" s="123"/>
      <c r="C36" s="123"/>
      <c r="D36" s="123"/>
      <c r="K36" s="25">
        <v>45752</v>
      </c>
      <c r="L36" s="13" t="s">
        <v>146</v>
      </c>
      <c r="P36" s="115"/>
      <c r="Q36" s="115"/>
      <c r="R36" s="115"/>
      <c r="S36" s="115"/>
      <c r="T36" s="115"/>
      <c r="U36" s="115"/>
      <c r="V36" s="25">
        <v>45672</v>
      </c>
      <c r="W36" s="25" t="s">
        <v>147</v>
      </c>
      <c r="AB36" s="116"/>
      <c r="AC36" s="123"/>
      <c r="AD36" s="123"/>
      <c r="AE36" s="123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25"/>
      <c r="AU36" s="13"/>
      <c r="AX36" s="114"/>
    </row>
    <row r="37" spans="1:50" ht="20.100000000000001" customHeight="1" x14ac:dyDescent="0.4">
      <c r="A37" s="117"/>
      <c r="B37" s="123"/>
      <c r="C37" s="123"/>
      <c r="D37" s="123"/>
      <c r="K37" s="25">
        <v>45752</v>
      </c>
      <c r="L37" s="13" t="s">
        <v>146</v>
      </c>
      <c r="P37" s="115"/>
      <c r="Q37" s="115"/>
      <c r="R37" s="115"/>
      <c r="S37" s="115"/>
      <c r="T37" s="115"/>
      <c r="U37" s="115"/>
      <c r="V37" s="25"/>
      <c r="W37" s="25"/>
      <c r="AB37" s="116"/>
      <c r="AC37" s="123"/>
      <c r="AD37" s="123"/>
      <c r="AE37" s="123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25"/>
      <c r="AU37" s="13"/>
      <c r="AX37" s="114"/>
    </row>
    <row r="38" spans="1:50" ht="20.100000000000001" customHeight="1" x14ac:dyDescent="0.4">
      <c r="A38" s="117"/>
      <c r="B38" s="123"/>
      <c r="C38" s="123"/>
      <c r="D38" s="123"/>
      <c r="K38" s="25">
        <v>45752</v>
      </c>
      <c r="L38" s="13" t="s">
        <v>146</v>
      </c>
      <c r="P38" s="115"/>
      <c r="Q38" s="115"/>
      <c r="R38" s="115"/>
      <c r="S38" s="115"/>
      <c r="T38" s="115"/>
      <c r="U38" s="115"/>
      <c r="V38" s="25">
        <v>45673</v>
      </c>
      <c r="W38" s="13" t="s">
        <v>147</v>
      </c>
      <c r="AB38" s="116"/>
      <c r="AC38" s="123"/>
      <c r="AD38" s="123"/>
      <c r="AE38" s="123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25"/>
      <c r="AU38" s="13"/>
      <c r="AX38" s="114"/>
    </row>
    <row r="39" spans="1:50" ht="20.100000000000001" customHeight="1" x14ac:dyDescent="0.4">
      <c r="A39" s="117"/>
      <c r="B39" s="123"/>
      <c r="C39" s="123"/>
      <c r="D39" s="123"/>
      <c r="I39" s="115"/>
      <c r="J39" s="115"/>
      <c r="K39" s="25">
        <v>45752</v>
      </c>
      <c r="L39" s="15" t="s">
        <v>146</v>
      </c>
      <c r="P39" s="115"/>
      <c r="Q39" s="115"/>
      <c r="R39" s="115"/>
      <c r="S39" s="115"/>
      <c r="T39" s="115"/>
      <c r="U39" s="115"/>
      <c r="V39" s="25"/>
      <c r="W39" s="13"/>
      <c r="AB39" s="116"/>
      <c r="AC39" s="123"/>
      <c r="AD39" s="123"/>
      <c r="AE39" s="123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25"/>
      <c r="AU39" s="13"/>
      <c r="AX39" s="114"/>
    </row>
    <row r="40" spans="1:50" ht="20.100000000000001" customHeight="1" x14ac:dyDescent="0.4">
      <c r="A40" s="117"/>
      <c r="B40" s="123"/>
      <c r="C40" s="123"/>
      <c r="D40" s="123"/>
      <c r="K40" s="25">
        <v>45752</v>
      </c>
      <c r="L40" s="15" t="s">
        <v>146</v>
      </c>
      <c r="P40" s="115"/>
      <c r="Q40" s="115"/>
      <c r="R40" s="115"/>
      <c r="S40" s="115"/>
      <c r="T40" s="115"/>
      <c r="U40" s="115"/>
      <c r="V40" s="25">
        <v>45673</v>
      </c>
      <c r="W40" s="13" t="s">
        <v>147</v>
      </c>
      <c r="AB40" s="116"/>
      <c r="AC40" s="123"/>
      <c r="AD40" s="123"/>
      <c r="AE40" s="123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25"/>
      <c r="AU40" s="13"/>
      <c r="AX40" s="114"/>
    </row>
    <row r="41" spans="1:50" ht="20.100000000000001" customHeight="1" x14ac:dyDescent="0.4">
      <c r="A41" s="117"/>
      <c r="B41" s="123"/>
      <c r="C41" s="123"/>
      <c r="D41" s="123"/>
      <c r="G41" s="115"/>
      <c r="H41" s="115"/>
      <c r="I41" s="115"/>
      <c r="J41" s="115"/>
      <c r="K41" s="25">
        <v>45752</v>
      </c>
      <c r="L41" s="15" t="s">
        <v>146</v>
      </c>
      <c r="P41" s="115"/>
      <c r="Q41" s="115"/>
      <c r="R41" s="115"/>
      <c r="S41" s="115"/>
      <c r="T41" s="115"/>
      <c r="U41" s="115"/>
      <c r="V41" s="25"/>
      <c r="W41" s="13"/>
      <c r="AB41" s="116"/>
      <c r="AC41" s="123"/>
      <c r="AD41" s="123"/>
      <c r="AE41" s="123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25"/>
      <c r="AU41" s="13"/>
      <c r="AX41" s="114"/>
    </row>
    <row r="42" spans="1:50" ht="20.100000000000001" customHeight="1" x14ac:dyDescent="0.4">
      <c r="A42" s="117"/>
      <c r="B42" s="123"/>
      <c r="C42" s="123"/>
      <c r="D42" s="123"/>
      <c r="G42" s="115"/>
      <c r="H42" s="115"/>
      <c r="I42" s="115"/>
      <c r="J42" s="115"/>
      <c r="K42" s="25">
        <v>45752</v>
      </c>
      <c r="L42" s="105" t="s">
        <v>146</v>
      </c>
      <c r="P42" s="115"/>
      <c r="Q42" s="115"/>
      <c r="R42" s="115"/>
      <c r="S42" s="115"/>
      <c r="T42" s="115"/>
      <c r="U42" s="115"/>
      <c r="V42" s="25"/>
      <c r="W42" s="13"/>
      <c r="AB42" s="116"/>
      <c r="AC42" s="123"/>
      <c r="AD42" s="123"/>
      <c r="AE42" s="123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25"/>
      <c r="AU42" s="13"/>
      <c r="AX42" s="114"/>
    </row>
    <row r="43" spans="1:50" ht="20.100000000000001" customHeight="1" x14ac:dyDescent="0.4">
      <c r="A43" s="117"/>
      <c r="B43" s="123"/>
      <c r="C43" s="123"/>
      <c r="D43" s="123"/>
      <c r="G43" s="115"/>
      <c r="H43" s="115"/>
      <c r="I43" s="115"/>
      <c r="J43" s="115"/>
      <c r="K43" s="25">
        <v>45752</v>
      </c>
      <c r="L43" s="13" t="s">
        <v>147</v>
      </c>
      <c r="P43" s="115"/>
      <c r="Q43" s="115"/>
      <c r="R43" s="115"/>
      <c r="S43" s="115"/>
      <c r="T43" s="115"/>
      <c r="U43" s="115"/>
      <c r="V43" s="25"/>
      <c r="W43" s="13"/>
      <c r="AB43" s="116"/>
      <c r="AC43" s="123"/>
      <c r="AD43" s="123"/>
      <c r="AE43" s="123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25"/>
      <c r="AU43" s="13"/>
      <c r="AX43" s="114"/>
    </row>
    <row r="44" spans="1:50" ht="20.100000000000001" customHeight="1" x14ac:dyDescent="0.4">
      <c r="A44" s="117"/>
      <c r="B44" s="123"/>
      <c r="C44" s="123"/>
      <c r="D44" s="123"/>
      <c r="G44" s="115"/>
      <c r="H44" s="115"/>
      <c r="I44" s="115"/>
      <c r="J44" s="115"/>
      <c r="K44" s="25">
        <v>45752</v>
      </c>
      <c r="L44" s="13" t="s">
        <v>147</v>
      </c>
      <c r="P44" s="115"/>
      <c r="Q44" s="115"/>
      <c r="R44" s="115"/>
      <c r="S44" s="115"/>
      <c r="T44" s="115"/>
      <c r="U44" s="115"/>
      <c r="V44" s="25"/>
      <c r="W44" s="13"/>
      <c r="AB44" s="116"/>
      <c r="AC44" s="123"/>
      <c r="AD44" s="123"/>
      <c r="AE44" s="123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25"/>
      <c r="AU44" s="13"/>
      <c r="AX44" s="114"/>
    </row>
    <row r="45" spans="1:50" ht="20.100000000000001" customHeight="1" x14ac:dyDescent="0.4">
      <c r="A45" s="117"/>
      <c r="B45" s="123"/>
      <c r="C45" s="123"/>
      <c r="D45" s="123"/>
      <c r="G45" s="115"/>
      <c r="H45" s="115"/>
      <c r="I45" s="115"/>
      <c r="J45" s="115" t="s">
        <v>205</v>
      </c>
      <c r="K45" s="13">
        <f>SUBTOTAL(3,K32:K44)</f>
        <v>13</v>
      </c>
      <c r="L45" s="13">
        <f>SUBTOTAL(3,L32:L44)</f>
        <v>13</v>
      </c>
      <c r="P45" s="115"/>
      <c r="Q45" s="115"/>
      <c r="R45" s="115"/>
      <c r="S45" s="115"/>
      <c r="T45" s="115"/>
      <c r="U45" s="115"/>
      <c r="V45" s="25"/>
      <c r="W45" s="13"/>
      <c r="AB45" s="116"/>
      <c r="AC45" s="123"/>
      <c r="AD45" s="123"/>
      <c r="AE45" s="123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25"/>
      <c r="AU45" s="13"/>
      <c r="AX45" s="114"/>
    </row>
    <row r="46" spans="1:50" ht="20.100000000000001" customHeight="1" x14ac:dyDescent="0.4">
      <c r="A46" s="117"/>
      <c r="B46" s="123"/>
      <c r="C46" s="123"/>
      <c r="D46" s="123"/>
      <c r="G46" s="115"/>
      <c r="H46" s="115"/>
      <c r="I46" s="115"/>
      <c r="J46" s="115"/>
      <c r="K46" s="25">
        <v>45753</v>
      </c>
      <c r="L46" s="13" t="s">
        <v>147</v>
      </c>
      <c r="P46" s="115"/>
      <c r="Q46" s="115"/>
      <c r="R46" s="115"/>
      <c r="S46" s="115"/>
      <c r="T46" s="115"/>
      <c r="U46" s="115"/>
      <c r="V46" s="25"/>
      <c r="W46" s="13"/>
      <c r="AB46" s="116"/>
      <c r="AC46" s="123"/>
      <c r="AD46" s="123"/>
      <c r="AE46" s="123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25"/>
      <c r="AU46" s="13"/>
      <c r="AX46" s="114"/>
    </row>
    <row r="47" spans="1:50" ht="20.100000000000001" customHeight="1" x14ac:dyDescent="0.4">
      <c r="A47" s="117"/>
      <c r="B47" s="123"/>
      <c r="C47" s="123"/>
      <c r="D47" s="123"/>
      <c r="K47" s="25">
        <v>45753</v>
      </c>
      <c r="L47" s="13" t="s">
        <v>146</v>
      </c>
      <c r="N47" s="115"/>
      <c r="O47" s="115"/>
      <c r="P47" s="115"/>
      <c r="Q47" s="115"/>
      <c r="R47" s="115"/>
      <c r="S47" s="115"/>
      <c r="T47" s="115"/>
      <c r="U47" s="115"/>
      <c r="V47" s="25">
        <v>45673</v>
      </c>
      <c r="W47" s="13" t="s">
        <v>148</v>
      </c>
      <c r="AB47" s="116"/>
      <c r="AC47" s="123"/>
      <c r="AD47" s="123"/>
      <c r="AE47" s="123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25"/>
      <c r="AU47" s="13"/>
      <c r="AX47" s="114"/>
    </row>
    <row r="48" spans="1:50" ht="20.100000000000001" customHeight="1" x14ac:dyDescent="0.4">
      <c r="A48" s="117"/>
      <c r="B48" s="123"/>
      <c r="C48" s="123"/>
      <c r="D48" s="123"/>
      <c r="I48" s="115"/>
      <c r="J48" s="115"/>
      <c r="K48" s="25">
        <v>45753</v>
      </c>
      <c r="L48" s="13" t="s">
        <v>146</v>
      </c>
      <c r="N48" s="115"/>
      <c r="O48" s="115"/>
      <c r="P48" s="115"/>
      <c r="Q48" s="115"/>
      <c r="R48" s="115"/>
      <c r="S48" s="115"/>
      <c r="T48" s="115"/>
      <c r="U48" s="115"/>
      <c r="V48" s="25"/>
      <c r="W48" s="13"/>
      <c r="AB48" s="116"/>
      <c r="AC48" s="123"/>
      <c r="AD48" s="123"/>
      <c r="AE48" s="123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25"/>
      <c r="AU48" s="13"/>
      <c r="AX48" s="114"/>
    </row>
    <row r="49" spans="1:50" ht="20.100000000000001" customHeight="1" x14ac:dyDescent="0.4">
      <c r="A49" s="117"/>
      <c r="B49" s="123"/>
      <c r="C49" s="123"/>
      <c r="D49" s="123"/>
      <c r="G49" s="115"/>
      <c r="H49" s="115"/>
      <c r="I49" s="115"/>
      <c r="J49" s="115"/>
      <c r="K49" s="25">
        <v>45753</v>
      </c>
      <c r="L49" s="13" t="s">
        <v>146</v>
      </c>
      <c r="N49" s="115"/>
      <c r="O49" s="115"/>
      <c r="P49" s="115"/>
      <c r="Q49" s="115"/>
      <c r="R49" s="115"/>
      <c r="S49" s="115"/>
      <c r="T49" s="115"/>
      <c r="U49" s="115"/>
      <c r="V49" s="25"/>
      <c r="W49" s="13"/>
      <c r="AB49" s="116"/>
      <c r="AC49" s="123"/>
      <c r="AD49" s="123"/>
      <c r="AE49" s="123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25"/>
      <c r="AU49" s="13"/>
      <c r="AX49" s="114"/>
    </row>
    <row r="50" spans="1:50" ht="20.100000000000001" customHeight="1" x14ac:dyDescent="0.4">
      <c r="A50" s="117"/>
      <c r="B50" s="123"/>
      <c r="C50" s="123"/>
      <c r="D50" s="123"/>
      <c r="K50" s="25">
        <v>45753</v>
      </c>
      <c r="L50" s="13" t="s">
        <v>148</v>
      </c>
      <c r="N50" s="115"/>
      <c r="O50" s="115"/>
      <c r="P50" s="115"/>
      <c r="Q50" s="115"/>
      <c r="R50" s="115"/>
      <c r="S50" s="115"/>
      <c r="T50" s="115"/>
      <c r="U50" s="115"/>
      <c r="V50" s="25">
        <v>45673</v>
      </c>
      <c r="W50" s="13" t="s">
        <v>147</v>
      </c>
      <c r="AB50" s="116"/>
      <c r="AC50" s="123"/>
      <c r="AD50" s="123"/>
      <c r="AE50" s="123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25"/>
      <c r="AU50" s="13"/>
      <c r="AX50" s="114"/>
    </row>
    <row r="51" spans="1:50" ht="20.100000000000001" customHeight="1" x14ac:dyDescent="0.4">
      <c r="A51" s="117"/>
      <c r="B51" s="123"/>
      <c r="C51" s="123"/>
      <c r="D51" s="123"/>
      <c r="K51" s="25">
        <v>45753</v>
      </c>
      <c r="L51" s="15" t="s">
        <v>146</v>
      </c>
      <c r="N51" s="115"/>
      <c r="O51" s="115"/>
      <c r="P51" s="115"/>
      <c r="Q51" s="115"/>
      <c r="R51" s="115"/>
      <c r="S51" s="115"/>
      <c r="T51" s="115"/>
      <c r="U51" s="115"/>
      <c r="V51" s="25"/>
      <c r="W51" s="13"/>
      <c r="AB51" s="116"/>
      <c r="AC51" s="123"/>
      <c r="AD51" s="123"/>
      <c r="AE51" s="123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25"/>
      <c r="AU51" s="13"/>
      <c r="AX51" s="114"/>
    </row>
    <row r="52" spans="1:50" ht="20.100000000000001" customHeight="1" x14ac:dyDescent="0.4">
      <c r="A52" s="117"/>
      <c r="B52" s="123"/>
      <c r="C52" s="123"/>
      <c r="D52" s="123"/>
      <c r="H52" s="115"/>
      <c r="I52" s="115"/>
      <c r="J52" s="115"/>
      <c r="K52" s="25">
        <v>45753</v>
      </c>
      <c r="L52" s="15" t="s">
        <v>148</v>
      </c>
      <c r="N52" s="115"/>
      <c r="O52" s="115"/>
      <c r="P52" s="115"/>
      <c r="Q52" s="115"/>
      <c r="R52" s="115"/>
      <c r="S52" s="115"/>
      <c r="T52" s="115"/>
      <c r="U52" s="115"/>
      <c r="V52" s="25"/>
      <c r="W52" s="13"/>
      <c r="AB52" s="116"/>
      <c r="AC52" s="123"/>
      <c r="AD52" s="123"/>
      <c r="AE52" s="123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25"/>
      <c r="AU52" s="13"/>
      <c r="AX52" s="114"/>
    </row>
    <row r="53" spans="1:50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25">
        <v>45753</v>
      </c>
      <c r="L53" s="15" t="s">
        <v>146</v>
      </c>
      <c r="N53" s="115"/>
      <c r="O53" s="115"/>
      <c r="P53" s="115"/>
      <c r="Q53" s="115"/>
      <c r="R53" s="115"/>
      <c r="S53" s="115"/>
      <c r="T53" s="115"/>
      <c r="U53" s="115"/>
      <c r="V53" s="25"/>
      <c r="W53" s="13"/>
      <c r="AB53" s="116"/>
      <c r="AC53" s="123"/>
      <c r="AD53" s="123"/>
      <c r="AE53" s="123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25"/>
      <c r="AU53" s="13"/>
      <c r="AX53" s="114"/>
    </row>
    <row r="54" spans="1:50" ht="20.100000000000001" customHeight="1" x14ac:dyDescent="0.4">
      <c r="A54" s="117"/>
      <c r="B54" s="123"/>
      <c r="C54" s="123"/>
      <c r="D54" s="123"/>
      <c r="G54" s="115"/>
      <c r="H54" s="115"/>
      <c r="I54" s="115"/>
      <c r="J54" s="115"/>
      <c r="K54" s="25">
        <v>45753</v>
      </c>
      <c r="L54" s="15" t="s">
        <v>148</v>
      </c>
      <c r="N54" s="115"/>
      <c r="O54" s="115"/>
      <c r="P54" s="115"/>
      <c r="Q54" s="115"/>
      <c r="R54" s="115"/>
      <c r="S54" s="115"/>
      <c r="T54" s="115"/>
      <c r="U54" s="115"/>
      <c r="V54" s="25"/>
      <c r="W54" s="13"/>
      <c r="AB54" s="116"/>
      <c r="AC54" s="123"/>
      <c r="AD54" s="123"/>
      <c r="AE54" s="123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25"/>
      <c r="AU54" s="13"/>
      <c r="AX54" s="114"/>
    </row>
    <row r="55" spans="1:50" ht="20.100000000000001" customHeight="1" x14ac:dyDescent="0.4">
      <c r="A55" s="117"/>
      <c r="B55" s="123"/>
      <c r="C55" s="123"/>
      <c r="D55" s="123"/>
      <c r="K55" s="25">
        <v>45753</v>
      </c>
      <c r="L55" s="15" t="s">
        <v>147</v>
      </c>
      <c r="N55" s="115"/>
      <c r="O55" s="115"/>
      <c r="P55" s="115"/>
      <c r="Q55" s="115"/>
      <c r="R55" s="115"/>
      <c r="S55" s="115"/>
      <c r="T55" s="115"/>
      <c r="U55" s="115"/>
      <c r="V55" s="25">
        <v>45673</v>
      </c>
      <c r="W55" s="13" t="s">
        <v>147</v>
      </c>
      <c r="AB55" s="116"/>
      <c r="AC55" s="123"/>
      <c r="AD55" s="123"/>
      <c r="AE55" s="123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25"/>
      <c r="AU55" s="13"/>
      <c r="AX55" s="114"/>
    </row>
    <row r="56" spans="1:50" ht="20.100000000000001" customHeight="1" x14ac:dyDescent="0.4">
      <c r="A56" s="117"/>
      <c r="B56" s="123"/>
      <c r="C56" s="123"/>
      <c r="D56" s="123"/>
      <c r="K56" s="25">
        <v>45753</v>
      </c>
      <c r="L56" s="15" t="s">
        <v>147</v>
      </c>
      <c r="N56" s="115"/>
      <c r="O56" s="115"/>
      <c r="P56" s="115"/>
      <c r="Q56" s="115"/>
      <c r="R56" s="115"/>
      <c r="S56" s="115"/>
      <c r="T56" s="115"/>
      <c r="U56" s="115"/>
      <c r="V56" s="25">
        <v>45673</v>
      </c>
      <c r="W56" s="13" t="s">
        <v>147</v>
      </c>
      <c r="AB56" s="116"/>
      <c r="AC56" s="123"/>
      <c r="AD56" s="123"/>
      <c r="AE56" s="123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25"/>
      <c r="AU56" s="13"/>
      <c r="AX56" s="114"/>
    </row>
    <row r="57" spans="1:50" ht="20.100000000000001" customHeight="1" x14ac:dyDescent="0.4">
      <c r="A57" s="117"/>
      <c r="B57" s="123"/>
      <c r="C57" s="123"/>
      <c r="D57" s="123"/>
      <c r="K57" s="25">
        <v>45753</v>
      </c>
      <c r="L57" s="105" t="s">
        <v>146</v>
      </c>
      <c r="N57" s="115"/>
      <c r="O57" s="115"/>
      <c r="P57" s="115"/>
      <c r="Q57" s="115"/>
      <c r="R57" s="115"/>
      <c r="S57" s="115"/>
      <c r="T57" s="115"/>
      <c r="U57" s="115"/>
      <c r="V57" s="25">
        <v>45675</v>
      </c>
      <c r="W57" s="13" t="s">
        <v>147</v>
      </c>
      <c r="AB57" s="116"/>
      <c r="AC57" s="123"/>
      <c r="AD57" s="123"/>
      <c r="AE57" s="123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25"/>
      <c r="AU57" s="13"/>
      <c r="AX57" s="114"/>
    </row>
    <row r="58" spans="1:50" ht="20.100000000000001" customHeight="1" x14ac:dyDescent="0.4">
      <c r="A58" s="117"/>
      <c r="B58" s="123"/>
      <c r="C58" s="123"/>
      <c r="D58" s="123"/>
      <c r="K58" s="25">
        <v>45753</v>
      </c>
      <c r="L58" s="15" t="s">
        <v>146</v>
      </c>
      <c r="N58" s="115"/>
      <c r="O58" s="115"/>
      <c r="P58" s="115"/>
      <c r="Q58" s="115"/>
      <c r="R58" s="115"/>
      <c r="S58" s="115"/>
      <c r="T58" s="115"/>
      <c r="U58" s="115"/>
      <c r="V58" s="25"/>
      <c r="W58" s="13"/>
      <c r="AB58" s="116"/>
      <c r="AC58" s="123"/>
      <c r="AD58" s="123"/>
      <c r="AE58" s="123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25"/>
      <c r="AU58" s="13"/>
      <c r="AX58" s="114"/>
    </row>
    <row r="59" spans="1:50" ht="20.100000000000001" customHeight="1" x14ac:dyDescent="0.4">
      <c r="A59" s="117"/>
      <c r="B59" s="123"/>
      <c r="C59" s="123"/>
      <c r="D59" s="123"/>
      <c r="K59" s="25">
        <v>45753</v>
      </c>
      <c r="L59" s="13" t="s">
        <v>147</v>
      </c>
      <c r="N59" s="115"/>
      <c r="O59" s="115"/>
      <c r="P59" s="115"/>
      <c r="Q59" s="115"/>
      <c r="R59" s="115"/>
      <c r="S59" s="115"/>
      <c r="T59" s="115"/>
      <c r="U59" s="115"/>
      <c r="V59" s="25">
        <v>45675</v>
      </c>
      <c r="W59" s="15" t="s">
        <v>147</v>
      </c>
      <c r="AB59" s="116"/>
      <c r="AC59" s="123"/>
      <c r="AD59" s="123"/>
      <c r="AE59" s="123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25"/>
      <c r="AU59" s="13"/>
      <c r="AX59" s="114"/>
    </row>
    <row r="60" spans="1:50" ht="20.100000000000001" customHeight="1" x14ac:dyDescent="0.4">
      <c r="A60" s="117"/>
      <c r="B60" s="123"/>
      <c r="C60" s="123"/>
      <c r="D60" s="123"/>
      <c r="K60" s="25">
        <v>45753</v>
      </c>
      <c r="L60" s="13" t="s">
        <v>147</v>
      </c>
      <c r="N60" s="115"/>
      <c r="O60" s="115"/>
      <c r="P60" s="115"/>
      <c r="Q60" s="115"/>
      <c r="R60" s="115"/>
      <c r="S60" s="115"/>
      <c r="T60" s="115"/>
      <c r="U60" s="115"/>
      <c r="V60" s="25"/>
      <c r="W60" s="13"/>
      <c r="AB60" s="116"/>
      <c r="AC60" s="123"/>
      <c r="AD60" s="123"/>
      <c r="AE60" s="123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25"/>
      <c r="AU60" s="13"/>
      <c r="AX60" s="114"/>
    </row>
    <row r="61" spans="1:50" ht="20.100000000000001" customHeight="1" x14ac:dyDescent="0.4">
      <c r="A61" s="117"/>
      <c r="B61" s="123"/>
      <c r="C61" s="123"/>
      <c r="D61" s="123"/>
      <c r="K61" s="25">
        <v>45753</v>
      </c>
      <c r="L61" s="13" t="s">
        <v>147</v>
      </c>
      <c r="N61" s="115"/>
      <c r="O61" s="115"/>
      <c r="P61" s="115"/>
      <c r="Q61" s="115"/>
      <c r="R61" s="115"/>
      <c r="S61" s="115"/>
      <c r="T61" s="115"/>
      <c r="U61" s="115"/>
      <c r="V61" s="25">
        <v>45675</v>
      </c>
      <c r="W61" s="13" t="s">
        <v>147</v>
      </c>
      <c r="AB61" s="116"/>
      <c r="AC61" s="123"/>
      <c r="AD61" s="123"/>
      <c r="AE61" s="123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25"/>
      <c r="AU61" s="13"/>
      <c r="AX61" s="114"/>
    </row>
    <row r="62" spans="1:50" ht="20.100000000000001" customHeight="1" x14ac:dyDescent="0.4">
      <c r="A62" s="117"/>
      <c r="B62" s="123"/>
      <c r="C62" s="123"/>
      <c r="D62" s="123"/>
      <c r="K62" s="25">
        <v>45753</v>
      </c>
      <c r="L62" s="13" t="s">
        <v>148</v>
      </c>
      <c r="N62" s="115"/>
      <c r="O62" s="115"/>
      <c r="P62" s="115"/>
      <c r="Q62" s="115"/>
      <c r="R62" s="115"/>
      <c r="S62" s="115"/>
      <c r="T62" s="115"/>
      <c r="U62" s="115"/>
      <c r="V62" s="25"/>
      <c r="W62" s="13"/>
      <c r="AB62" s="116"/>
      <c r="AC62" s="123"/>
      <c r="AD62" s="123"/>
      <c r="AE62" s="123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25"/>
      <c r="AU62" s="13"/>
      <c r="AX62" s="114"/>
    </row>
    <row r="63" spans="1:50" ht="20.100000000000001" customHeight="1" x14ac:dyDescent="0.4">
      <c r="A63" s="117"/>
      <c r="B63" s="123"/>
      <c r="C63" s="123"/>
      <c r="D63" s="123"/>
      <c r="K63" s="25">
        <v>45753</v>
      </c>
      <c r="L63" s="13" t="s">
        <v>146</v>
      </c>
      <c r="N63" s="115"/>
      <c r="O63" s="115"/>
      <c r="P63" s="115"/>
      <c r="Q63" s="115"/>
      <c r="R63" s="115"/>
      <c r="S63" s="115"/>
      <c r="T63" s="115"/>
      <c r="U63" s="115"/>
      <c r="V63" s="25"/>
      <c r="W63" s="13"/>
      <c r="AB63" s="116"/>
      <c r="AC63" s="123"/>
      <c r="AD63" s="123"/>
      <c r="AE63" s="123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25"/>
      <c r="AU63" s="13"/>
      <c r="AX63" s="114"/>
    </row>
    <row r="64" spans="1:50" ht="20.100000000000001" customHeight="1" x14ac:dyDescent="0.4">
      <c r="A64" s="117"/>
      <c r="B64" s="123"/>
      <c r="C64" s="123"/>
      <c r="D64" s="123"/>
      <c r="G64" s="115"/>
      <c r="H64" s="115"/>
      <c r="I64" s="115"/>
      <c r="J64" s="115"/>
      <c r="K64" s="25">
        <v>45753</v>
      </c>
      <c r="L64" s="13" t="s">
        <v>146</v>
      </c>
      <c r="N64" s="115"/>
      <c r="O64" s="115"/>
      <c r="P64" s="115"/>
      <c r="Q64" s="115"/>
      <c r="R64" s="115"/>
      <c r="S64" s="115"/>
      <c r="T64" s="115"/>
      <c r="U64" s="115"/>
      <c r="V64" s="25"/>
      <c r="W64" s="13"/>
      <c r="AB64" s="116"/>
      <c r="AC64" s="123"/>
      <c r="AD64" s="123"/>
      <c r="AE64" s="123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25"/>
      <c r="AU64" s="13"/>
      <c r="AX64" s="114"/>
    </row>
    <row r="65" spans="1:50" ht="20.100000000000001" customHeight="1" x14ac:dyDescent="0.4">
      <c r="A65" s="117"/>
      <c r="B65" s="123"/>
      <c r="C65" s="123"/>
      <c r="D65" s="123"/>
      <c r="K65" s="25">
        <v>45753</v>
      </c>
      <c r="L65" s="13" t="s">
        <v>148</v>
      </c>
      <c r="M65" s="115"/>
      <c r="N65" s="115"/>
      <c r="O65" s="115"/>
      <c r="P65" s="115"/>
      <c r="Q65" s="115"/>
      <c r="R65" s="115"/>
      <c r="S65" s="115"/>
      <c r="T65" s="115"/>
      <c r="U65" s="115"/>
      <c r="V65" s="25">
        <v>45675</v>
      </c>
      <c r="W65" s="13" t="s">
        <v>146</v>
      </c>
      <c r="AB65" s="116"/>
      <c r="AC65" s="123"/>
      <c r="AD65" s="123"/>
      <c r="AE65" s="123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25"/>
      <c r="AU65" s="13"/>
      <c r="AX65" s="114"/>
    </row>
    <row r="66" spans="1:50" ht="20.100000000000001" customHeight="1" x14ac:dyDescent="0.4">
      <c r="A66" s="117"/>
      <c r="B66" s="123"/>
      <c r="C66" s="123"/>
      <c r="D66" s="123"/>
      <c r="K66" s="25">
        <v>45753</v>
      </c>
      <c r="L66" s="13" t="s">
        <v>146</v>
      </c>
      <c r="M66" s="115"/>
      <c r="N66" s="115"/>
      <c r="O66" s="115"/>
      <c r="P66" s="115"/>
      <c r="Q66" s="115"/>
      <c r="R66" s="115"/>
      <c r="S66" s="115"/>
      <c r="T66" s="115"/>
      <c r="U66" s="115"/>
      <c r="V66" s="25">
        <v>45676</v>
      </c>
      <c r="W66" s="13" t="s">
        <v>148</v>
      </c>
      <c r="AB66" s="116"/>
      <c r="AC66" s="123"/>
      <c r="AD66" s="123"/>
      <c r="AE66" s="123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25"/>
      <c r="AU66" s="13"/>
      <c r="AX66" s="114"/>
    </row>
    <row r="67" spans="1:50" ht="20.100000000000001" customHeight="1" x14ac:dyDescent="0.4">
      <c r="A67" s="117"/>
      <c r="B67" s="123"/>
      <c r="C67" s="123"/>
      <c r="D67" s="123"/>
      <c r="J67" s="115" t="s">
        <v>206</v>
      </c>
      <c r="K67" s="13">
        <f>SUBTOTAL(3,K46:K66)</f>
        <v>21</v>
      </c>
      <c r="L67" s="13">
        <f>SUBTOTAL(3,L46:L66)</f>
        <v>21</v>
      </c>
      <c r="M67" s="115"/>
      <c r="N67" s="115"/>
      <c r="O67" s="115"/>
      <c r="P67" s="115"/>
      <c r="Q67" s="115"/>
      <c r="R67" s="115"/>
      <c r="S67" s="115"/>
      <c r="T67" s="115"/>
      <c r="U67" s="115"/>
      <c r="V67" s="25"/>
      <c r="W67" s="13"/>
      <c r="AB67" s="116"/>
      <c r="AC67" s="123"/>
      <c r="AD67" s="123"/>
      <c r="AE67" s="123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25"/>
      <c r="AU67" s="13"/>
      <c r="AX67" s="114"/>
    </row>
    <row r="68" spans="1:50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25">
        <v>45754</v>
      </c>
      <c r="L68" s="13" t="s">
        <v>147</v>
      </c>
      <c r="M68" s="115"/>
      <c r="N68" s="115"/>
      <c r="O68" s="115"/>
      <c r="P68" s="115"/>
      <c r="Q68" s="115"/>
      <c r="R68" s="115"/>
      <c r="S68" s="115"/>
      <c r="T68" s="115"/>
      <c r="U68" s="115"/>
      <c r="V68" s="25"/>
      <c r="W68" s="13"/>
      <c r="AB68" s="116"/>
      <c r="AC68" s="123"/>
      <c r="AD68" s="123"/>
      <c r="AE68" s="123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25"/>
      <c r="AU68" s="13"/>
      <c r="AX68" s="114"/>
    </row>
    <row r="69" spans="1:50" ht="20.100000000000001" customHeight="1" x14ac:dyDescent="0.4">
      <c r="A69" s="117"/>
      <c r="B69" s="123"/>
      <c r="C69" s="123"/>
      <c r="D69" s="123"/>
      <c r="G69" s="115"/>
      <c r="H69" s="115"/>
      <c r="I69" s="115"/>
      <c r="J69" s="115"/>
      <c r="K69" s="25">
        <v>45754</v>
      </c>
      <c r="L69" s="13" t="s">
        <v>147</v>
      </c>
      <c r="M69" s="115"/>
      <c r="N69" s="115"/>
      <c r="O69" s="115"/>
      <c r="P69" s="115"/>
      <c r="Q69" s="115"/>
      <c r="R69" s="115"/>
      <c r="S69" s="115"/>
      <c r="T69" s="115"/>
      <c r="U69" s="115"/>
      <c r="V69" s="25"/>
      <c r="W69" s="13"/>
      <c r="AB69" s="116"/>
      <c r="AC69" s="123"/>
      <c r="AD69" s="123"/>
      <c r="AE69" s="123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25"/>
      <c r="AU69" s="13"/>
      <c r="AX69" s="114"/>
    </row>
    <row r="70" spans="1:50" ht="20.100000000000001" customHeight="1" x14ac:dyDescent="0.4">
      <c r="A70" s="117"/>
      <c r="B70" s="123"/>
      <c r="C70" s="123"/>
      <c r="D70" s="123"/>
      <c r="K70" s="25">
        <v>45754</v>
      </c>
      <c r="L70" s="13" t="s">
        <v>147</v>
      </c>
      <c r="M70" s="115"/>
      <c r="N70" s="115"/>
      <c r="O70" s="115"/>
      <c r="P70" s="115"/>
      <c r="Q70" s="115"/>
      <c r="R70" s="115"/>
      <c r="S70" s="115"/>
      <c r="T70" s="115"/>
      <c r="U70" s="115"/>
      <c r="V70" s="25">
        <v>45677</v>
      </c>
      <c r="W70" s="13" t="s">
        <v>146</v>
      </c>
      <c r="AB70" s="116"/>
      <c r="AC70" s="123"/>
      <c r="AD70" s="123"/>
      <c r="AE70" s="123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25"/>
      <c r="AU70" s="13"/>
      <c r="AX70" s="114"/>
    </row>
    <row r="71" spans="1:50" ht="20.100000000000001" customHeight="1" x14ac:dyDescent="0.4">
      <c r="A71" s="117"/>
      <c r="B71" s="123"/>
      <c r="C71" s="123"/>
      <c r="D71" s="123"/>
      <c r="I71" s="115"/>
      <c r="J71" s="115"/>
      <c r="K71" s="25">
        <v>45754</v>
      </c>
      <c r="L71" s="13" t="s">
        <v>142</v>
      </c>
      <c r="M71" s="115"/>
      <c r="N71" s="115"/>
      <c r="O71" s="115"/>
      <c r="P71" s="115"/>
      <c r="Q71" s="115"/>
      <c r="R71" s="115"/>
      <c r="S71" s="115"/>
      <c r="T71" s="115"/>
      <c r="U71" s="115"/>
      <c r="V71" s="25"/>
      <c r="W71" s="13"/>
      <c r="AB71" s="116"/>
      <c r="AC71" s="123"/>
      <c r="AD71" s="123"/>
      <c r="AE71" s="123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25"/>
      <c r="AU71" s="13"/>
      <c r="AX71" s="114"/>
    </row>
    <row r="72" spans="1:50" ht="20.100000000000001" customHeight="1" x14ac:dyDescent="0.4">
      <c r="A72" s="117"/>
      <c r="B72" s="123"/>
      <c r="C72" s="123"/>
      <c r="D72" s="123"/>
      <c r="K72" s="25">
        <v>45754</v>
      </c>
      <c r="L72" s="13" t="s">
        <v>146</v>
      </c>
      <c r="M72" s="115"/>
      <c r="N72" s="115"/>
      <c r="O72" s="115"/>
      <c r="P72" s="115"/>
      <c r="Q72" s="115"/>
      <c r="R72" s="115"/>
      <c r="S72" s="115"/>
      <c r="T72" s="115"/>
      <c r="U72" s="115"/>
      <c r="V72" s="25"/>
      <c r="W72" s="13"/>
      <c r="AB72" s="116"/>
      <c r="AC72" s="123"/>
      <c r="AD72" s="123"/>
      <c r="AE72" s="123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25"/>
      <c r="AU72" s="13"/>
      <c r="AX72" s="114"/>
    </row>
    <row r="73" spans="1:50" ht="20.100000000000001" customHeight="1" x14ac:dyDescent="0.4">
      <c r="A73" s="117"/>
      <c r="B73" s="123"/>
      <c r="C73" s="123"/>
      <c r="D73" s="123"/>
      <c r="H73" s="115"/>
      <c r="I73" s="115"/>
      <c r="J73" s="115"/>
      <c r="K73" s="25">
        <v>45754</v>
      </c>
      <c r="L73" s="13" t="s">
        <v>146</v>
      </c>
      <c r="M73" s="115"/>
      <c r="N73" s="115"/>
      <c r="O73" s="115"/>
      <c r="P73" s="115"/>
      <c r="Q73" s="115"/>
      <c r="R73" s="115"/>
      <c r="S73" s="115"/>
      <c r="T73" s="115"/>
      <c r="U73" s="115"/>
      <c r="V73" s="25"/>
      <c r="W73" s="13"/>
      <c r="AB73" s="116"/>
      <c r="AC73" s="123"/>
      <c r="AD73" s="123"/>
      <c r="AE73" s="123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25"/>
      <c r="AU73" s="13"/>
      <c r="AX73" s="114"/>
    </row>
    <row r="74" spans="1:50" ht="20.100000000000001" customHeight="1" x14ac:dyDescent="0.4">
      <c r="A74" s="117"/>
      <c r="B74" s="123"/>
      <c r="C74" s="123"/>
      <c r="D74" s="123"/>
      <c r="K74" s="25">
        <v>45754</v>
      </c>
      <c r="L74" s="13" t="s">
        <v>146</v>
      </c>
      <c r="M74" s="115"/>
      <c r="N74" s="115"/>
      <c r="O74" s="115"/>
      <c r="P74" s="115"/>
      <c r="Q74" s="115"/>
      <c r="R74" s="115"/>
      <c r="S74" s="115"/>
      <c r="T74" s="115"/>
      <c r="U74" s="115"/>
      <c r="V74" s="25">
        <v>45677</v>
      </c>
      <c r="W74" s="13" t="s">
        <v>146</v>
      </c>
      <c r="AB74" s="116"/>
      <c r="AC74" s="123"/>
      <c r="AD74" s="123"/>
      <c r="AE74" s="123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25"/>
      <c r="AU74" s="13"/>
      <c r="AX74" s="114"/>
    </row>
    <row r="75" spans="1:50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25">
        <v>45754</v>
      </c>
      <c r="L75" s="13" t="s">
        <v>147</v>
      </c>
      <c r="M75" s="115"/>
      <c r="N75" s="115"/>
      <c r="O75" s="115"/>
      <c r="P75" s="115"/>
      <c r="Q75" s="115"/>
      <c r="R75" s="115"/>
      <c r="S75" s="115"/>
      <c r="T75" s="115"/>
      <c r="U75" s="115"/>
      <c r="V75" s="25"/>
      <c r="W75" s="13"/>
      <c r="AB75" s="116"/>
      <c r="AC75" s="123"/>
      <c r="AD75" s="123"/>
      <c r="AE75" s="123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25"/>
      <c r="AU75" s="13"/>
      <c r="AX75" s="114"/>
    </row>
    <row r="76" spans="1:50" ht="20.100000000000001" customHeight="1" x14ac:dyDescent="0.4">
      <c r="A76" s="117"/>
      <c r="B76" s="123"/>
      <c r="C76" s="123"/>
      <c r="D76" s="123"/>
      <c r="G76" s="115"/>
      <c r="H76" s="115"/>
      <c r="I76" s="115"/>
      <c r="J76" s="115" t="s">
        <v>358</v>
      </c>
      <c r="K76" s="13">
        <f>SUBTOTAL(3,K68:K75)</f>
        <v>8</v>
      </c>
      <c r="L76" s="13">
        <f>SUBTOTAL(3,L68:L75)</f>
        <v>8</v>
      </c>
      <c r="M76" s="115"/>
      <c r="N76" s="115"/>
      <c r="O76" s="115"/>
      <c r="P76" s="115"/>
      <c r="Q76" s="115"/>
      <c r="R76" s="115"/>
      <c r="S76" s="115"/>
      <c r="T76" s="115"/>
      <c r="U76" s="115"/>
      <c r="V76" s="25"/>
      <c r="W76" s="13"/>
      <c r="AB76" s="116"/>
      <c r="AC76" s="123"/>
      <c r="AD76" s="123"/>
      <c r="AE76" s="123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25"/>
      <c r="AU76" s="13"/>
      <c r="AX76" s="114"/>
    </row>
    <row r="77" spans="1:50" ht="20.100000000000001" customHeight="1" x14ac:dyDescent="0.4">
      <c r="A77" s="117"/>
      <c r="B77" s="123"/>
      <c r="C77" s="123"/>
      <c r="D77" s="123"/>
      <c r="K77" s="25">
        <v>45755</v>
      </c>
      <c r="L77" s="13" t="s">
        <v>146</v>
      </c>
      <c r="M77" s="115"/>
      <c r="N77" s="115"/>
      <c r="O77" s="115"/>
      <c r="P77" s="115"/>
      <c r="Q77" s="115"/>
      <c r="R77" s="115"/>
      <c r="S77" s="115"/>
      <c r="T77" s="115"/>
      <c r="U77" s="115"/>
      <c r="V77" s="25">
        <v>45677</v>
      </c>
      <c r="W77" s="13" t="s">
        <v>148</v>
      </c>
      <c r="AB77" s="116"/>
      <c r="AC77" s="123"/>
      <c r="AD77" s="123"/>
      <c r="AE77" s="123"/>
      <c r="AJ77" s="115"/>
      <c r="AK77" s="115"/>
      <c r="AL77" s="115"/>
      <c r="AM77" s="115"/>
      <c r="AN77" s="115"/>
      <c r="AO77" s="115"/>
      <c r="AP77" s="115"/>
      <c r="AQ77" s="115"/>
      <c r="AR77" s="115"/>
      <c r="AS77" s="115"/>
      <c r="AT77" s="25"/>
      <c r="AU77" s="13"/>
      <c r="AX77" s="114"/>
    </row>
    <row r="78" spans="1:50" ht="19.5" x14ac:dyDescent="0.4">
      <c r="A78" s="117"/>
      <c r="B78" s="123"/>
      <c r="C78" s="123"/>
      <c r="D78" s="123"/>
      <c r="K78" s="25">
        <v>45755</v>
      </c>
      <c r="L78" s="13" t="s">
        <v>146</v>
      </c>
      <c r="M78" s="115"/>
      <c r="N78" s="115"/>
      <c r="O78" s="115"/>
      <c r="P78" s="115"/>
      <c r="Q78" s="115"/>
      <c r="R78" s="115"/>
      <c r="S78" s="115"/>
      <c r="T78" s="115"/>
      <c r="U78" s="115"/>
      <c r="V78" s="25"/>
      <c r="W78" s="13"/>
      <c r="AB78" s="116"/>
      <c r="AC78" s="123"/>
      <c r="AD78" s="123"/>
      <c r="AE78" s="123"/>
      <c r="AJ78" s="115"/>
      <c r="AK78" s="115"/>
      <c r="AL78" s="115"/>
      <c r="AM78" s="115"/>
      <c r="AN78" s="115"/>
      <c r="AO78" s="115"/>
      <c r="AP78" s="115"/>
      <c r="AQ78" s="115"/>
      <c r="AR78" s="115"/>
      <c r="AS78" s="115"/>
      <c r="AT78" s="25"/>
      <c r="AU78" s="13"/>
      <c r="AX78" s="114"/>
    </row>
    <row r="79" spans="1:50" ht="19.5" x14ac:dyDescent="0.4">
      <c r="A79" s="117"/>
      <c r="B79" s="123"/>
      <c r="C79" s="123"/>
      <c r="D79" s="123"/>
      <c r="G79" s="115"/>
      <c r="H79" s="115"/>
      <c r="I79" s="115"/>
      <c r="J79" s="115"/>
      <c r="K79" s="25">
        <v>45755</v>
      </c>
      <c r="L79" s="15" t="s">
        <v>146</v>
      </c>
      <c r="M79" s="115"/>
      <c r="N79" s="115"/>
      <c r="O79" s="115"/>
      <c r="P79" s="115"/>
      <c r="Q79" s="115"/>
      <c r="R79" s="115"/>
      <c r="S79" s="115"/>
      <c r="T79" s="115"/>
      <c r="U79" s="115"/>
      <c r="V79" s="25"/>
      <c r="W79" s="13"/>
      <c r="AB79" s="116"/>
      <c r="AC79" s="123"/>
      <c r="AD79" s="123"/>
      <c r="AE79" s="123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25"/>
      <c r="AU79" s="13"/>
      <c r="AX79" s="114"/>
    </row>
    <row r="80" spans="1:50" ht="19.5" x14ac:dyDescent="0.4">
      <c r="A80" s="117"/>
      <c r="B80" s="123"/>
      <c r="C80" s="123"/>
      <c r="D80" s="123"/>
      <c r="G80" s="115"/>
      <c r="H80" s="115"/>
      <c r="I80" s="115"/>
      <c r="J80" s="115"/>
      <c r="K80" s="25">
        <v>45755</v>
      </c>
      <c r="L80" s="15" t="s">
        <v>147</v>
      </c>
      <c r="M80" s="115"/>
      <c r="N80" s="115"/>
      <c r="O80" s="115"/>
      <c r="P80" s="115"/>
      <c r="Q80" s="115"/>
      <c r="R80" s="115"/>
      <c r="S80" s="115"/>
      <c r="T80" s="115"/>
      <c r="U80" s="115"/>
      <c r="V80" s="25"/>
      <c r="W80" s="13"/>
      <c r="AB80" s="116"/>
      <c r="AC80" s="123"/>
      <c r="AD80" s="123"/>
      <c r="AE80" s="123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25"/>
      <c r="AU80" s="13"/>
      <c r="AX80" s="114"/>
    </row>
    <row r="81" spans="1:50" ht="19.5" x14ac:dyDescent="0.4">
      <c r="A81" s="117"/>
      <c r="B81" s="123"/>
      <c r="C81" s="123"/>
      <c r="D81" s="123"/>
      <c r="G81" s="115"/>
      <c r="H81" s="115"/>
      <c r="I81" s="115"/>
      <c r="J81" s="115"/>
      <c r="K81" s="25">
        <v>45755</v>
      </c>
      <c r="L81" s="15" t="s">
        <v>148</v>
      </c>
      <c r="M81" s="115"/>
      <c r="N81" s="115"/>
      <c r="O81" s="115"/>
      <c r="P81" s="115"/>
      <c r="Q81" s="115"/>
      <c r="R81" s="115"/>
      <c r="S81" s="115"/>
      <c r="T81" s="115"/>
      <c r="U81" s="115"/>
      <c r="V81" s="25"/>
      <c r="W81" s="13"/>
      <c r="AB81" s="116"/>
      <c r="AC81" s="123"/>
      <c r="AD81" s="123"/>
      <c r="AE81" s="123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25"/>
      <c r="AU81" s="13"/>
      <c r="AX81" s="114"/>
    </row>
    <row r="82" spans="1:50" ht="19.5" x14ac:dyDescent="0.4">
      <c r="A82" s="117"/>
      <c r="B82" s="123"/>
      <c r="C82" s="123"/>
      <c r="D82" s="123"/>
      <c r="G82" s="115"/>
      <c r="H82" s="115"/>
      <c r="I82" s="115"/>
      <c r="J82" s="115"/>
      <c r="K82" s="25">
        <v>45755</v>
      </c>
      <c r="L82" s="13" t="s">
        <v>146</v>
      </c>
      <c r="M82" s="115"/>
      <c r="N82" s="115"/>
      <c r="O82" s="115"/>
      <c r="P82" s="115"/>
      <c r="Q82" s="115"/>
      <c r="R82" s="115"/>
      <c r="S82" s="115"/>
      <c r="T82" s="115"/>
      <c r="U82" s="115"/>
      <c r="V82" s="25"/>
      <c r="W82" s="13"/>
      <c r="AB82" s="116"/>
      <c r="AC82" s="123"/>
      <c r="AD82" s="123"/>
      <c r="AE82" s="123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25"/>
      <c r="AU82" s="13"/>
      <c r="AX82" s="114"/>
    </row>
    <row r="83" spans="1:50" ht="19.5" x14ac:dyDescent="0.4">
      <c r="A83" s="117"/>
      <c r="B83" s="123"/>
      <c r="C83" s="123"/>
      <c r="D83" s="123"/>
      <c r="K83" s="25">
        <v>45755</v>
      </c>
      <c r="L83" s="13" t="s">
        <v>146</v>
      </c>
      <c r="M83" s="115"/>
      <c r="N83" s="115"/>
      <c r="O83" s="115"/>
      <c r="P83" s="115"/>
      <c r="Q83" s="115"/>
      <c r="R83" s="115"/>
      <c r="S83" s="115"/>
      <c r="T83" s="115"/>
      <c r="U83" s="115"/>
      <c r="V83" s="25">
        <v>45677</v>
      </c>
      <c r="W83" s="13" t="s">
        <v>146</v>
      </c>
      <c r="AB83" s="116"/>
      <c r="AC83" s="123"/>
      <c r="AD83" s="123"/>
      <c r="AE83" s="123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25"/>
      <c r="AU83" s="13"/>
      <c r="AX83" s="114"/>
    </row>
    <row r="84" spans="1:50" ht="19.5" x14ac:dyDescent="0.4">
      <c r="A84" s="117"/>
      <c r="B84" s="123"/>
      <c r="C84" s="123"/>
      <c r="D84" s="123"/>
      <c r="K84" s="25">
        <v>45755</v>
      </c>
      <c r="L84" s="13" t="s">
        <v>146</v>
      </c>
      <c r="M84" s="115"/>
      <c r="N84" s="115"/>
      <c r="O84" s="115"/>
      <c r="P84" s="115"/>
      <c r="Q84" s="115"/>
      <c r="R84" s="115"/>
      <c r="S84" s="115"/>
      <c r="T84" s="115"/>
      <c r="U84" s="115"/>
      <c r="V84" s="25"/>
      <c r="W84" s="13"/>
      <c r="AB84" s="116"/>
      <c r="AC84" s="123"/>
      <c r="AD84" s="123"/>
      <c r="AE84" s="123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25"/>
      <c r="AU84" s="13"/>
      <c r="AX84" s="114"/>
    </row>
    <row r="85" spans="1:50" ht="19.5" x14ac:dyDescent="0.4">
      <c r="A85" s="117"/>
      <c r="B85" s="123"/>
      <c r="C85" s="123"/>
      <c r="D85" s="123"/>
      <c r="K85" s="25">
        <v>45755</v>
      </c>
      <c r="L85" s="25" t="s">
        <v>146</v>
      </c>
      <c r="M85" s="115"/>
      <c r="N85" s="115"/>
      <c r="O85" s="115"/>
      <c r="P85" s="115"/>
      <c r="Q85" s="115"/>
      <c r="R85" s="115"/>
      <c r="S85" s="115"/>
      <c r="T85" s="115"/>
      <c r="U85" s="115"/>
      <c r="V85" s="25"/>
      <c r="W85" s="13"/>
      <c r="AB85" s="116"/>
      <c r="AC85" s="123"/>
      <c r="AD85" s="123"/>
      <c r="AE85" s="123"/>
      <c r="AJ85" s="115"/>
      <c r="AK85" s="115"/>
      <c r="AL85" s="115"/>
      <c r="AM85" s="115"/>
      <c r="AN85" s="115"/>
      <c r="AO85" s="115"/>
      <c r="AP85" s="115"/>
      <c r="AQ85" s="115"/>
      <c r="AR85" s="115"/>
      <c r="AS85" s="115"/>
      <c r="AT85" s="25"/>
      <c r="AU85" s="13"/>
      <c r="AX85" s="114"/>
    </row>
    <row r="86" spans="1:50" ht="19.5" x14ac:dyDescent="0.4">
      <c r="A86" s="117"/>
      <c r="B86" s="123"/>
      <c r="C86" s="123"/>
      <c r="D86" s="123"/>
      <c r="H86" s="115"/>
      <c r="I86" s="115"/>
      <c r="J86" s="115"/>
      <c r="K86" s="25">
        <v>45755</v>
      </c>
      <c r="L86" s="13" t="s">
        <v>147</v>
      </c>
      <c r="M86" s="115"/>
      <c r="N86" s="115"/>
      <c r="O86" s="115"/>
      <c r="P86" s="115"/>
      <c r="Q86" s="115"/>
      <c r="R86" s="115"/>
      <c r="S86" s="115"/>
      <c r="T86" s="115"/>
      <c r="U86" s="115"/>
      <c r="V86" s="25"/>
      <c r="W86" s="13"/>
      <c r="AB86" s="116"/>
      <c r="AC86" s="123"/>
      <c r="AD86" s="123"/>
      <c r="AE86" s="123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25"/>
      <c r="AU86" s="13"/>
      <c r="AX86" s="114"/>
    </row>
    <row r="87" spans="1:50" ht="19.5" x14ac:dyDescent="0.4">
      <c r="A87" s="117"/>
      <c r="B87" s="123"/>
      <c r="C87" s="123"/>
      <c r="D87" s="123"/>
      <c r="K87" s="25">
        <v>45755</v>
      </c>
      <c r="L87" s="13" t="s">
        <v>146</v>
      </c>
      <c r="M87" s="115"/>
      <c r="N87" s="115"/>
      <c r="O87" s="115"/>
      <c r="P87" s="115"/>
      <c r="Q87" s="115"/>
      <c r="R87" s="115"/>
      <c r="S87" s="115"/>
      <c r="T87" s="115"/>
      <c r="U87" s="115"/>
      <c r="V87" s="25">
        <v>45677</v>
      </c>
      <c r="W87" s="13" t="s">
        <v>147</v>
      </c>
      <c r="AB87" s="116"/>
      <c r="AC87" s="123"/>
      <c r="AD87" s="123"/>
      <c r="AE87" s="123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25"/>
      <c r="AU87" s="13"/>
      <c r="AX87" s="114"/>
    </row>
    <row r="88" spans="1:50" ht="19.5" x14ac:dyDescent="0.4">
      <c r="A88" s="117"/>
      <c r="B88" s="123"/>
      <c r="C88" s="123"/>
      <c r="D88" s="123"/>
      <c r="K88" s="25">
        <v>45755</v>
      </c>
      <c r="L88" s="15" t="s">
        <v>146</v>
      </c>
      <c r="M88" s="115"/>
      <c r="N88" s="115"/>
      <c r="O88" s="115"/>
      <c r="P88" s="115"/>
      <c r="Q88" s="115"/>
      <c r="R88" s="115"/>
      <c r="S88" s="115"/>
      <c r="T88" s="115"/>
      <c r="U88" s="115"/>
      <c r="V88" s="25">
        <v>45677</v>
      </c>
      <c r="W88" s="25" t="s">
        <v>147</v>
      </c>
      <c r="AB88" s="116"/>
      <c r="AC88" s="123"/>
      <c r="AD88" s="123"/>
      <c r="AE88" s="123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25"/>
      <c r="AU88" s="13"/>
      <c r="AX88" s="114"/>
    </row>
    <row r="89" spans="1:50" ht="19.5" x14ac:dyDescent="0.4">
      <c r="A89" s="117"/>
      <c r="B89" s="123"/>
      <c r="C89" s="123"/>
      <c r="D89" s="123"/>
      <c r="K89" s="25">
        <v>45755</v>
      </c>
      <c r="L89" s="15" t="s">
        <v>148</v>
      </c>
      <c r="M89" s="115"/>
      <c r="N89" s="115"/>
      <c r="O89" s="115"/>
      <c r="P89" s="115"/>
      <c r="Q89" s="115"/>
      <c r="R89" s="115"/>
      <c r="S89" s="115"/>
      <c r="T89" s="115"/>
      <c r="U89" s="115"/>
      <c r="V89" s="25"/>
      <c r="W89" s="25"/>
      <c r="AB89" s="116"/>
      <c r="AC89" s="123"/>
      <c r="AD89" s="123"/>
      <c r="AE89" s="123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25"/>
      <c r="AU89" s="13"/>
      <c r="AX89" s="114"/>
    </row>
    <row r="90" spans="1:50" ht="19.5" x14ac:dyDescent="0.4">
      <c r="A90" s="117"/>
      <c r="B90" s="123"/>
      <c r="C90" s="123"/>
      <c r="D90" s="123"/>
      <c r="G90" s="115"/>
      <c r="H90" s="115"/>
      <c r="I90" s="115"/>
      <c r="J90" s="115"/>
      <c r="K90" s="25">
        <v>45755</v>
      </c>
      <c r="L90" s="15" t="s">
        <v>146</v>
      </c>
      <c r="M90" s="115"/>
      <c r="N90" s="115"/>
      <c r="O90" s="115"/>
      <c r="P90" s="115"/>
      <c r="Q90" s="115"/>
      <c r="R90" s="115"/>
      <c r="S90" s="115"/>
      <c r="T90" s="115"/>
      <c r="U90" s="115"/>
      <c r="V90" s="25"/>
      <c r="W90" s="25"/>
      <c r="AB90" s="116"/>
      <c r="AC90" s="123"/>
      <c r="AD90" s="123"/>
      <c r="AE90" s="123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25"/>
      <c r="AU90" s="13"/>
      <c r="AX90" s="114"/>
    </row>
    <row r="91" spans="1:50" ht="19.5" x14ac:dyDescent="0.4">
      <c r="A91" s="117"/>
      <c r="B91" s="123"/>
      <c r="C91" s="123"/>
      <c r="D91" s="123"/>
      <c r="G91" s="115"/>
      <c r="H91" s="115"/>
      <c r="I91" s="115"/>
      <c r="J91" s="115" t="s">
        <v>207</v>
      </c>
      <c r="K91" s="13">
        <f>SUBTOTAL(3,K77:K90)</f>
        <v>14</v>
      </c>
      <c r="L91" s="15">
        <f>SUBTOTAL(3,L77:L90)</f>
        <v>14</v>
      </c>
      <c r="M91" s="115"/>
      <c r="N91" s="115"/>
      <c r="O91" s="115"/>
      <c r="P91" s="115"/>
      <c r="Q91" s="115"/>
      <c r="R91" s="115"/>
      <c r="S91" s="115"/>
      <c r="T91" s="115"/>
      <c r="U91" s="115"/>
      <c r="V91" s="25"/>
      <c r="W91" s="25"/>
      <c r="AB91" s="116"/>
      <c r="AC91" s="123"/>
      <c r="AD91" s="123"/>
      <c r="AE91" s="123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25"/>
      <c r="AU91" s="13"/>
      <c r="AX91" s="114"/>
    </row>
    <row r="92" spans="1:50" ht="19.5" x14ac:dyDescent="0.4">
      <c r="A92" s="117"/>
      <c r="B92" s="123"/>
      <c r="C92" s="123"/>
      <c r="D92" s="123"/>
      <c r="K92" s="25">
        <v>45756</v>
      </c>
      <c r="L92" s="15" t="s">
        <v>147</v>
      </c>
      <c r="M92" s="115"/>
      <c r="N92" s="115"/>
      <c r="O92" s="115"/>
      <c r="P92" s="115"/>
      <c r="Q92" s="115"/>
      <c r="R92" s="115"/>
      <c r="S92" s="115"/>
      <c r="T92" s="115"/>
      <c r="U92" s="115"/>
      <c r="V92" s="25">
        <v>45678</v>
      </c>
      <c r="W92" s="13" t="s">
        <v>147</v>
      </c>
      <c r="AB92" s="116"/>
      <c r="AC92" s="123"/>
      <c r="AD92" s="123"/>
      <c r="AE92" s="123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25"/>
      <c r="AU92" s="13"/>
      <c r="AX92" s="114"/>
    </row>
    <row r="93" spans="1:50" ht="19.5" x14ac:dyDescent="0.4">
      <c r="A93" s="117"/>
      <c r="B93" s="123"/>
      <c r="C93" s="123"/>
      <c r="D93" s="123"/>
      <c r="H93" s="115"/>
      <c r="I93" s="115"/>
      <c r="J93" s="115"/>
      <c r="K93" s="25">
        <v>45756</v>
      </c>
      <c r="L93" s="15" t="s">
        <v>146</v>
      </c>
      <c r="M93" s="115"/>
      <c r="N93" s="115"/>
      <c r="O93" s="115"/>
      <c r="P93" s="115"/>
      <c r="Q93" s="115"/>
      <c r="R93" s="115"/>
      <c r="S93" s="115"/>
      <c r="T93" s="115"/>
      <c r="U93" s="115"/>
      <c r="V93" s="25"/>
      <c r="W93" s="13"/>
      <c r="AB93" s="116"/>
      <c r="AC93" s="123"/>
      <c r="AD93" s="123"/>
      <c r="AE93" s="123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25"/>
      <c r="AU93" s="13"/>
      <c r="AX93" s="114"/>
    </row>
    <row r="94" spans="1:50" ht="19.5" x14ac:dyDescent="0.4">
      <c r="A94" s="117"/>
      <c r="B94" s="123"/>
      <c r="C94" s="123"/>
      <c r="D94" s="123"/>
      <c r="K94" s="25">
        <v>45756</v>
      </c>
      <c r="L94" s="15" t="s">
        <v>147</v>
      </c>
      <c r="M94" s="115"/>
      <c r="N94" s="115"/>
      <c r="O94" s="115"/>
      <c r="P94" s="115"/>
      <c r="Q94" s="115"/>
      <c r="R94" s="115"/>
      <c r="S94" s="115"/>
      <c r="T94" s="115"/>
      <c r="U94" s="115"/>
      <c r="V94" s="25">
        <v>45678</v>
      </c>
      <c r="W94" s="13" t="s">
        <v>146</v>
      </c>
      <c r="AB94" s="116"/>
      <c r="AC94" s="123"/>
      <c r="AD94" s="123"/>
      <c r="AE94" s="123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25"/>
      <c r="AU94" s="13"/>
      <c r="AX94" s="114"/>
    </row>
    <row r="95" spans="1:50" ht="19.5" x14ac:dyDescent="0.4">
      <c r="A95" s="117"/>
      <c r="B95" s="123"/>
      <c r="C95" s="123"/>
      <c r="D95" s="123"/>
      <c r="I95" s="115"/>
      <c r="J95" s="115"/>
      <c r="K95" s="25">
        <v>45756</v>
      </c>
      <c r="L95" s="15" t="s">
        <v>146</v>
      </c>
      <c r="M95" s="115"/>
      <c r="N95" s="115"/>
      <c r="O95" s="115"/>
      <c r="P95" s="115"/>
      <c r="Q95" s="115"/>
      <c r="R95" s="115"/>
      <c r="S95" s="115"/>
      <c r="T95" s="115"/>
      <c r="U95" s="115"/>
      <c r="V95" s="25"/>
      <c r="W95" s="13"/>
      <c r="AB95" s="116"/>
      <c r="AC95" s="123"/>
      <c r="AD95" s="123"/>
      <c r="AE95" s="123"/>
      <c r="AJ95" s="115"/>
      <c r="AK95" s="115"/>
      <c r="AL95" s="115"/>
      <c r="AM95" s="115"/>
      <c r="AN95" s="115"/>
      <c r="AO95" s="115"/>
      <c r="AP95" s="115"/>
      <c r="AQ95" s="115"/>
      <c r="AR95" s="115"/>
      <c r="AS95" s="115"/>
      <c r="AT95" s="25"/>
      <c r="AU95" s="13"/>
      <c r="AX95" s="114"/>
    </row>
    <row r="96" spans="1:50" ht="19.5" x14ac:dyDescent="0.4">
      <c r="A96" s="117"/>
      <c r="B96" s="123"/>
      <c r="C96" s="123"/>
      <c r="D96" s="123"/>
      <c r="I96" s="115"/>
      <c r="J96" s="115"/>
      <c r="K96" s="25">
        <v>45756</v>
      </c>
      <c r="L96" s="13" t="s">
        <v>146</v>
      </c>
      <c r="M96" s="115"/>
      <c r="N96" s="115"/>
      <c r="O96" s="115"/>
      <c r="P96" s="115"/>
      <c r="Q96" s="115"/>
      <c r="R96" s="115"/>
      <c r="S96" s="115"/>
      <c r="T96" s="115"/>
      <c r="U96" s="115"/>
      <c r="V96" s="25"/>
      <c r="W96" s="13"/>
      <c r="AB96" s="116"/>
      <c r="AC96" s="123"/>
      <c r="AD96" s="123"/>
      <c r="AE96" s="123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25"/>
      <c r="AU96" s="13"/>
      <c r="AX96" s="114"/>
    </row>
    <row r="97" spans="1:50" ht="19.5" x14ac:dyDescent="0.4">
      <c r="A97" s="117"/>
      <c r="B97" s="123"/>
      <c r="C97" s="123"/>
      <c r="D97" s="123"/>
      <c r="K97" s="25">
        <v>45756</v>
      </c>
      <c r="L97" s="13" t="s">
        <v>146</v>
      </c>
      <c r="M97" s="115"/>
      <c r="N97" s="115"/>
      <c r="O97" s="115"/>
      <c r="P97" s="115"/>
      <c r="Q97" s="115"/>
      <c r="R97" s="115"/>
      <c r="S97" s="115"/>
      <c r="T97" s="115"/>
      <c r="U97" s="115"/>
      <c r="V97" s="25">
        <v>45678</v>
      </c>
      <c r="W97" s="13" t="s">
        <v>148</v>
      </c>
      <c r="AB97" s="116"/>
      <c r="AC97" s="123"/>
      <c r="AD97" s="123"/>
      <c r="AE97" s="123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25"/>
      <c r="AU97" s="13"/>
      <c r="AX97" s="114"/>
    </row>
    <row r="98" spans="1:50" ht="19.5" x14ac:dyDescent="0.4">
      <c r="A98" s="117"/>
      <c r="B98" s="123"/>
      <c r="C98" s="123"/>
      <c r="D98" s="123"/>
      <c r="G98" s="115"/>
      <c r="H98" s="115"/>
      <c r="I98" s="115"/>
      <c r="J98" s="115"/>
      <c r="K98" s="25">
        <v>45756</v>
      </c>
      <c r="L98" s="134" t="s">
        <v>146</v>
      </c>
      <c r="M98" s="115"/>
      <c r="N98" s="115"/>
      <c r="O98" s="115"/>
      <c r="P98" s="115"/>
      <c r="Q98" s="115"/>
      <c r="R98" s="115"/>
      <c r="S98" s="115"/>
      <c r="T98" s="115"/>
      <c r="U98" s="115"/>
      <c r="V98" s="25"/>
      <c r="W98" s="13"/>
      <c r="AB98" s="116"/>
      <c r="AC98" s="123"/>
      <c r="AD98" s="123"/>
      <c r="AE98" s="123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25"/>
      <c r="AU98" s="13"/>
      <c r="AX98" s="114"/>
    </row>
    <row r="99" spans="1:50" ht="19.5" x14ac:dyDescent="0.4">
      <c r="A99" s="117"/>
      <c r="B99" s="123"/>
      <c r="C99" s="123"/>
      <c r="D99" s="123"/>
      <c r="K99" s="25">
        <v>45756</v>
      </c>
      <c r="L99" s="13" t="s">
        <v>146</v>
      </c>
      <c r="M99" s="115"/>
      <c r="N99" s="115"/>
      <c r="O99" s="115"/>
      <c r="P99" s="115"/>
      <c r="Q99" s="115"/>
      <c r="R99" s="115"/>
      <c r="S99" s="115"/>
      <c r="T99" s="115"/>
      <c r="U99" s="115"/>
      <c r="V99" s="25">
        <v>45678</v>
      </c>
      <c r="W99" s="13" t="s">
        <v>148</v>
      </c>
      <c r="AB99" s="116"/>
      <c r="AC99" s="123"/>
      <c r="AD99" s="123"/>
      <c r="AE99" s="123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25"/>
      <c r="AU99" s="13"/>
      <c r="AX99" s="114"/>
    </row>
    <row r="100" spans="1:50" ht="19.5" x14ac:dyDescent="0.4">
      <c r="A100" s="117"/>
      <c r="B100" s="123"/>
      <c r="C100" s="123"/>
      <c r="D100" s="123"/>
      <c r="K100" s="25">
        <v>45756</v>
      </c>
      <c r="L100" s="13" t="s">
        <v>148</v>
      </c>
      <c r="M100" s="115"/>
      <c r="N100" s="115"/>
      <c r="O100" s="115"/>
      <c r="P100" s="115"/>
      <c r="Q100" s="115"/>
      <c r="R100" s="115"/>
      <c r="S100" s="115"/>
      <c r="T100" s="115"/>
      <c r="U100" s="115"/>
      <c r="V100" s="25">
        <v>45678</v>
      </c>
      <c r="W100" s="13" t="s">
        <v>148</v>
      </c>
      <c r="AB100" s="116"/>
      <c r="AC100" s="123"/>
      <c r="AD100" s="123"/>
      <c r="AE100" s="123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25"/>
      <c r="AU100" s="13"/>
      <c r="AX100" s="114"/>
    </row>
    <row r="101" spans="1:50" ht="19.5" x14ac:dyDescent="0.4">
      <c r="A101" s="117"/>
      <c r="B101" s="123"/>
      <c r="C101" s="123"/>
      <c r="D101" s="123"/>
      <c r="J101" s="115" t="s">
        <v>359</v>
      </c>
      <c r="K101" s="13">
        <f>SUBTOTAL(3,K92:K100)</f>
        <v>9</v>
      </c>
      <c r="L101" s="13">
        <f>SUBTOTAL(3,L92:L100)</f>
        <v>9</v>
      </c>
      <c r="M101" s="115"/>
      <c r="N101" s="115"/>
      <c r="O101" s="115"/>
      <c r="P101" s="115"/>
      <c r="Q101" s="115"/>
      <c r="R101" s="115"/>
      <c r="S101" s="115"/>
      <c r="T101" s="115"/>
      <c r="U101" s="115"/>
      <c r="V101" s="25"/>
      <c r="W101" s="13"/>
      <c r="AB101" s="116"/>
      <c r="AC101" s="123"/>
      <c r="AD101" s="123"/>
      <c r="AE101" s="123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25"/>
      <c r="AU101" s="13"/>
      <c r="AX101" s="114"/>
    </row>
    <row r="102" spans="1:50" ht="19.5" x14ac:dyDescent="0.4">
      <c r="A102" s="117"/>
      <c r="B102" s="123"/>
      <c r="C102" s="123"/>
      <c r="D102" s="123"/>
      <c r="K102" s="25">
        <v>45759</v>
      </c>
      <c r="L102" s="13" t="s">
        <v>146</v>
      </c>
      <c r="M102" s="115"/>
      <c r="N102" s="115"/>
      <c r="O102" s="115"/>
      <c r="P102" s="115"/>
      <c r="Q102" s="115"/>
      <c r="R102" s="115"/>
      <c r="S102" s="115"/>
      <c r="T102" s="115"/>
      <c r="U102" s="115"/>
      <c r="V102" s="25">
        <v>45679</v>
      </c>
      <c r="W102" s="15" t="s">
        <v>146</v>
      </c>
      <c r="AB102" s="116"/>
      <c r="AC102" s="123"/>
      <c r="AD102" s="123"/>
      <c r="AE102" s="123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25"/>
      <c r="AU102" s="13"/>
      <c r="AX102" s="114"/>
    </row>
    <row r="103" spans="1:50" ht="19.5" x14ac:dyDescent="0.4">
      <c r="A103" s="117"/>
      <c r="B103" s="123"/>
      <c r="C103" s="123"/>
      <c r="D103" s="123"/>
      <c r="K103" s="25">
        <v>45759</v>
      </c>
      <c r="L103" s="13" t="s">
        <v>146</v>
      </c>
      <c r="M103" s="115"/>
      <c r="N103" s="115"/>
      <c r="O103" s="115"/>
      <c r="P103" s="115"/>
      <c r="Q103" s="115"/>
      <c r="R103" s="115"/>
      <c r="S103" s="115"/>
      <c r="T103" s="115"/>
      <c r="U103" s="115"/>
      <c r="V103" s="25"/>
      <c r="W103" s="15"/>
      <c r="AB103" s="116"/>
      <c r="AC103" s="123"/>
      <c r="AD103" s="123"/>
      <c r="AE103" s="123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25"/>
      <c r="AU103" s="13"/>
      <c r="AX103" s="114"/>
    </row>
    <row r="104" spans="1:50" ht="19.5" x14ac:dyDescent="0.4">
      <c r="A104" s="117"/>
      <c r="B104" s="123"/>
      <c r="C104" s="123"/>
      <c r="D104" s="123"/>
      <c r="H104" s="115"/>
      <c r="I104" s="115"/>
      <c r="J104" s="115"/>
      <c r="K104" s="25">
        <v>45759</v>
      </c>
      <c r="L104" s="13" t="s">
        <v>146</v>
      </c>
      <c r="M104" s="115"/>
      <c r="N104" s="115"/>
      <c r="O104" s="115"/>
      <c r="P104" s="115"/>
      <c r="Q104" s="115"/>
      <c r="R104" s="115"/>
      <c r="S104" s="115"/>
      <c r="T104" s="115"/>
      <c r="U104" s="115"/>
      <c r="V104" s="25"/>
      <c r="W104" s="15"/>
      <c r="AB104" s="116"/>
      <c r="AC104" s="123"/>
      <c r="AD104" s="123"/>
      <c r="AE104" s="123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25"/>
      <c r="AU104" s="13"/>
      <c r="AX104" s="114"/>
    </row>
    <row r="105" spans="1:50" ht="19.5" x14ac:dyDescent="0.4">
      <c r="A105" s="117"/>
      <c r="B105" s="123"/>
      <c r="C105" s="123"/>
      <c r="D105" s="123"/>
      <c r="K105" s="25">
        <v>45759</v>
      </c>
      <c r="L105" s="13" t="s">
        <v>147</v>
      </c>
      <c r="M105" s="115"/>
      <c r="N105" s="115"/>
      <c r="O105" s="115"/>
      <c r="P105" s="115"/>
      <c r="Q105" s="115"/>
      <c r="R105" s="115"/>
      <c r="S105" s="115"/>
      <c r="T105" s="115"/>
      <c r="U105" s="115"/>
      <c r="V105" s="25">
        <v>45679</v>
      </c>
      <c r="W105" s="15" t="s">
        <v>148</v>
      </c>
      <c r="AB105" s="116"/>
      <c r="AC105" s="123"/>
      <c r="AD105" s="123"/>
      <c r="AE105" s="123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25"/>
      <c r="AU105" s="13"/>
      <c r="AX105" s="114"/>
    </row>
    <row r="106" spans="1:50" ht="19.5" x14ac:dyDescent="0.4">
      <c r="A106" s="117"/>
      <c r="B106" s="123"/>
      <c r="C106" s="123"/>
      <c r="D106" s="123"/>
      <c r="K106" s="25">
        <v>45759</v>
      </c>
      <c r="L106" s="13" t="s">
        <v>147</v>
      </c>
      <c r="M106" s="115"/>
      <c r="N106" s="115"/>
      <c r="O106" s="115"/>
      <c r="P106" s="115"/>
      <c r="Q106" s="115"/>
      <c r="R106" s="115"/>
      <c r="S106" s="115"/>
      <c r="T106" s="115"/>
      <c r="U106" s="115"/>
      <c r="V106" s="25">
        <v>45679</v>
      </c>
      <c r="W106" s="13" t="s">
        <v>147</v>
      </c>
      <c r="AB106" s="116"/>
      <c r="AC106" s="123"/>
      <c r="AD106" s="123"/>
      <c r="AE106" s="123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25"/>
      <c r="AU106" s="13"/>
      <c r="AX106" s="114"/>
    </row>
    <row r="107" spans="1:50" ht="19.5" x14ac:dyDescent="0.4">
      <c r="A107" s="117"/>
      <c r="B107" s="123"/>
      <c r="C107" s="123"/>
      <c r="D107" s="123"/>
      <c r="J107" s="115" t="s">
        <v>360</v>
      </c>
      <c r="K107" s="13">
        <f>SUBTOTAL(3,K102:K106)</f>
        <v>5</v>
      </c>
      <c r="L107" s="13">
        <f>SUBTOTAL(3,L102:L106)</f>
        <v>5</v>
      </c>
      <c r="M107" s="115"/>
      <c r="N107" s="115"/>
      <c r="O107" s="115"/>
      <c r="P107" s="115"/>
      <c r="Q107" s="115"/>
      <c r="R107" s="115"/>
      <c r="S107" s="115"/>
      <c r="T107" s="115"/>
      <c r="U107" s="115"/>
      <c r="V107" s="25"/>
      <c r="W107" s="13"/>
      <c r="AB107" s="116"/>
      <c r="AC107" s="123"/>
      <c r="AD107" s="123"/>
      <c r="AE107" s="123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25"/>
      <c r="AU107" s="13"/>
      <c r="AX107" s="114"/>
    </row>
    <row r="108" spans="1:50" ht="19.5" x14ac:dyDescent="0.4">
      <c r="A108" s="117"/>
      <c r="B108" s="123"/>
      <c r="C108" s="123"/>
      <c r="D108" s="123"/>
      <c r="G108" s="115"/>
      <c r="H108" s="115"/>
      <c r="I108" s="115"/>
      <c r="J108" s="115"/>
      <c r="K108" s="25">
        <v>45760</v>
      </c>
      <c r="L108" s="13" t="s">
        <v>146</v>
      </c>
      <c r="M108" s="115"/>
      <c r="N108" s="115"/>
      <c r="O108" s="115"/>
      <c r="P108" s="115"/>
      <c r="Q108" s="115"/>
      <c r="R108" s="115"/>
      <c r="S108" s="115"/>
      <c r="T108" s="115"/>
      <c r="U108" s="115"/>
      <c r="V108" s="25"/>
      <c r="W108" s="13"/>
      <c r="AB108" s="116"/>
      <c r="AC108" s="123"/>
      <c r="AD108" s="123"/>
      <c r="AE108" s="123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25"/>
      <c r="AU108" s="13"/>
      <c r="AX108" s="114"/>
    </row>
    <row r="109" spans="1:50" ht="19.5" x14ac:dyDescent="0.4">
      <c r="A109" s="117"/>
      <c r="B109" s="123"/>
      <c r="C109" s="123"/>
      <c r="D109" s="123"/>
      <c r="G109" s="115"/>
      <c r="H109" s="115"/>
      <c r="I109" s="115"/>
      <c r="J109" s="115"/>
      <c r="K109" s="25">
        <v>45760</v>
      </c>
      <c r="L109" s="13" t="s">
        <v>146</v>
      </c>
      <c r="M109" s="115"/>
      <c r="N109" s="115"/>
      <c r="O109" s="115"/>
      <c r="P109" s="115"/>
      <c r="Q109" s="115"/>
      <c r="R109" s="115"/>
      <c r="S109" s="115"/>
      <c r="T109" s="115"/>
      <c r="U109" s="115"/>
      <c r="V109" s="25"/>
      <c r="W109" s="13"/>
      <c r="AB109" s="116"/>
      <c r="AC109" s="123"/>
      <c r="AD109" s="123"/>
      <c r="AE109" s="123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25"/>
      <c r="AU109" s="13"/>
      <c r="AX109" s="114"/>
    </row>
    <row r="110" spans="1:50" ht="19.5" x14ac:dyDescent="0.4">
      <c r="A110" s="117"/>
      <c r="B110" s="123"/>
      <c r="C110" s="123"/>
      <c r="D110" s="123"/>
      <c r="K110" s="25">
        <v>45760</v>
      </c>
      <c r="L110" s="13" t="s">
        <v>146</v>
      </c>
      <c r="V110" s="25">
        <v>45679</v>
      </c>
      <c r="W110" s="13" t="s">
        <v>147</v>
      </c>
      <c r="AB110" s="116"/>
      <c r="AC110" s="123"/>
      <c r="AD110" s="123"/>
      <c r="AE110" s="123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115"/>
      <c r="AT110" s="25"/>
      <c r="AU110" s="13"/>
      <c r="AX110" s="114"/>
    </row>
    <row r="111" spans="1:50" ht="19.5" x14ac:dyDescent="0.4">
      <c r="A111" s="117"/>
      <c r="B111" s="123"/>
      <c r="C111" s="123"/>
      <c r="D111" s="123"/>
      <c r="K111" s="25">
        <v>45760</v>
      </c>
      <c r="L111" s="13" t="s">
        <v>148</v>
      </c>
      <c r="V111" s="25"/>
      <c r="W111" s="13"/>
      <c r="AB111" s="116"/>
      <c r="AC111" s="123"/>
      <c r="AD111" s="123"/>
      <c r="AE111" s="123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25"/>
      <c r="AU111" s="13"/>
      <c r="AX111" s="114"/>
    </row>
    <row r="112" spans="1:50" ht="19.5" x14ac:dyDescent="0.4">
      <c r="A112" s="117"/>
      <c r="B112" s="123"/>
      <c r="C112" s="123"/>
      <c r="D112" s="123"/>
      <c r="K112" s="25">
        <v>45760</v>
      </c>
      <c r="L112" s="13" t="s">
        <v>146</v>
      </c>
      <c r="M112" s="115"/>
      <c r="N112" s="115"/>
      <c r="O112" s="115"/>
      <c r="P112" s="115"/>
      <c r="Q112" s="115"/>
      <c r="R112" s="115"/>
      <c r="S112" s="115"/>
      <c r="T112" s="115"/>
      <c r="U112" s="115"/>
      <c r="V112" s="25">
        <v>45679</v>
      </c>
      <c r="W112" s="13" t="s">
        <v>146</v>
      </c>
      <c r="AB112" s="116"/>
      <c r="AC112" s="123"/>
      <c r="AD112" s="123"/>
      <c r="AE112" s="123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25"/>
      <c r="AU112" s="13"/>
      <c r="AX112" s="114"/>
    </row>
    <row r="113" spans="1:50" ht="19.5" x14ac:dyDescent="0.4">
      <c r="A113" s="117"/>
      <c r="B113" s="123"/>
      <c r="C113" s="123"/>
      <c r="D113" s="123"/>
      <c r="K113" s="25">
        <v>45760</v>
      </c>
      <c r="L113" s="13" t="s">
        <v>146</v>
      </c>
      <c r="M113" s="115"/>
      <c r="N113" s="115"/>
      <c r="O113" s="115"/>
      <c r="P113" s="115"/>
      <c r="Q113" s="115"/>
      <c r="R113" s="115"/>
      <c r="S113" s="115"/>
      <c r="T113" s="115"/>
      <c r="U113" s="115"/>
      <c r="V113" s="25"/>
      <c r="W113" s="13"/>
      <c r="AB113" s="116"/>
      <c r="AC113" s="123"/>
      <c r="AD113" s="123"/>
      <c r="AE113" s="123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25"/>
      <c r="AU113" s="13"/>
      <c r="AX113" s="114"/>
    </row>
    <row r="114" spans="1:50" ht="19.5" x14ac:dyDescent="0.4">
      <c r="A114" s="117"/>
      <c r="B114" s="123"/>
      <c r="C114" s="123"/>
      <c r="D114" s="123"/>
      <c r="K114" s="26">
        <v>45760</v>
      </c>
      <c r="L114" s="13" t="s">
        <v>147</v>
      </c>
      <c r="M114" s="115"/>
      <c r="N114" s="115"/>
      <c r="O114" s="115"/>
      <c r="P114" s="115"/>
      <c r="Q114" s="115"/>
      <c r="R114" s="115"/>
      <c r="S114" s="115"/>
      <c r="T114" s="115"/>
      <c r="U114" s="115"/>
      <c r="V114" s="25">
        <v>45679</v>
      </c>
      <c r="W114" s="13" t="s">
        <v>147</v>
      </c>
      <c r="AB114" s="116"/>
      <c r="AC114" s="123"/>
      <c r="AD114" s="123"/>
      <c r="AE114" s="123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25"/>
      <c r="AU114" s="13"/>
      <c r="AX114" s="114"/>
    </row>
    <row r="115" spans="1:50" ht="19.5" x14ac:dyDescent="0.4">
      <c r="A115" s="117"/>
      <c r="B115" s="123"/>
      <c r="C115" s="123"/>
      <c r="D115" s="123"/>
      <c r="K115" s="26">
        <v>45760</v>
      </c>
      <c r="L115" s="13" t="s">
        <v>146</v>
      </c>
      <c r="M115" s="115"/>
      <c r="N115" s="115"/>
      <c r="O115" s="115"/>
      <c r="P115" s="115"/>
      <c r="Q115" s="115"/>
      <c r="R115" s="115"/>
      <c r="S115" s="115"/>
      <c r="T115" s="115"/>
      <c r="U115" s="115"/>
      <c r="V115" s="25">
        <v>45680</v>
      </c>
      <c r="W115" s="13" t="s">
        <v>148</v>
      </c>
      <c r="AB115" s="116"/>
      <c r="AC115" s="123"/>
      <c r="AD115" s="123"/>
      <c r="AE115" s="123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25"/>
      <c r="AU115" s="13"/>
      <c r="AX115" s="114"/>
    </row>
    <row r="116" spans="1:50" ht="19.5" x14ac:dyDescent="0.4">
      <c r="A116" s="117"/>
      <c r="B116" s="123"/>
      <c r="C116" s="123"/>
      <c r="D116" s="123"/>
      <c r="I116" s="115"/>
      <c r="J116" s="115"/>
      <c r="K116" s="26">
        <v>45760</v>
      </c>
      <c r="L116" s="13" t="s">
        <v>146</v>
      </c>
      <c r="M116" s="115"/>
      <c r="N116" s="115"/>
      <c r="O116" s="115"/>
      <c r="P116" s="115"/>
      <c r="Q116" s="115"/>
      <c r="R116" s="115"/>
      <c r="S116" s="115"/>
      <c r="T116" s="115"/>
      <c r="U116" s="115"/>
      <c r="V116" s="25"/>
      <c r="W116" s="13"/>
      <c r="AB116" s="116"/>
      <c r="AC116" s="123"/>
      <c r="AD116" s="123"/>
      <c r="AE116" s="123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25"/>
      <c r="AU116" s="13"/>
      <c r="AX116" s="114"/>
    </row>
    <row r="117" spans="1:50" ht="19.5" x14ac:dyDescent="0.4">
      <c r="A117" s="117"/>
      <c r="B117" s="123"/>
      <c r="C117" s="123"/>
      <c r="D117" s="123"/>
      <c r="K117" s="26">
        <v>45760</v>
      </c>
      <c r="L117" s="13" t="s">
        <v>146</v>
      </c>
      <c r="M117" s="115"/>
      <c r="N117" s="115"/>
      <c r="O117" s="115"/>
      <c r="P117" s="115"/>
      <c r="Q117" s="115"/>
      <c r="R117" s="115"/>
      <c r="S117" s="115"/>
      <c r="T117" s="115"/>
      <c r="U117" s="115"/>
      <c r="V117" s="25">
        <v>45680</v>
      </c>
      <c r="W117" s="13" t="s">
        <v>147</v>
      </c>
      <c r="AB117" s="116"/>
      <c r="AC117" s="123"/>
      <c r="AD117" s="123"/>
      <c r="AE117" s="123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25"/>
      <c r="AU117" s="13"/>
      <c r="AX117" s="114"/>
    </row>
    <row r="118" spans="1:50" ht="19.5" x14ac:dyDescent="0.4">
      <c r="A118" s="117"/>
      <c r="B118" s="123"/>
      <c r="C118" s="123"/>
      <c r="D118" s="123"/>
      <c r="I118" s="115"/>
      <c r="J118" s="115"/>
      <c r="K118" s="26">
        <v>45760</v>
      </c>
      <c r="L118" s="13" t="s">
        <v>147</v>
      </c>
      <c r="M118" s="115"/>
      <c r="N118" s="115"/>
      <c r="O118" s="115"/>
      <c r="P118" s="115"/>
      <c r="Q118" s="115"/>
      <c r="R118" s="115"/>
      <c r="S118" s="115"/>
      <c r="T118" s="115"/>
      <c r="U118" s="115"/>
      <c r="V118" s="25"/>
      <c r="W118" s="13"/>
      <c r="AB118" s="116"/>
      <c r="AC118" s="123"/>
      <c r="AD118" s="123"/>
      <c r="AE118" s="123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25"/>
      <c r="AU118" s="13"/>
      <c r="AX118" s="114"/>
    </row>
    <row r="119" spans="1:50" ht="19.5" x14ac:dyDescent="0.4">
      <c r="A119" s="117"/>
      <c r="B119" s="123"/>
      <c r="C119" s="123"/>
      <c r="D119" s="123"/>
      <c r="I119" s="115"/>
      <c r="J119" s="115" t="s">
        <v>208</v>
      </c>
      <c r="K119" s="17">
        <f>SUBTOTAL(3,K108:K118)</f>
        <v>11</v>
      </c>
      <c r="L119" s="13">
        <f>SUBTOTAL(3,L108:L118)</f>
        <v>11</v>
      </c>
      <c r="M119" s="115"/>
      <c r="N119" s="115"/>
      <c r="O119" s="115"/>
      <c r="P119" s="115"/>
      <c r="Q119" s="115"/>
      <c r="R119" s="115"/>
      <c r="S119" s="115"/>
      <c r="T119" s="115"/>
      <c r="U119" s="115"/>
      <c r="V119" s="25"/>
      <c r="W119" s="13"/>
      <c r="AB119" s="116"/>
      <c r="AC119" s="123"/>
      <c r="AD119" s="123"/>
      <c r="AE119" s="123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25"/>
      <c r="AU119" s="13"/>
      <c r="AX119" s="114"/>
    </row>
    <row r="120" spans="1:50" ht="19.5" x14ac:dyDescent="0.4">
      <c r="A120" s="117"/>
      <c r="B120" s="123"/>
      <c r="C120" s="123"/>
      <c r="D120" s="123"/>
      <c r="K120" s="26">
        <v>45761</v>
      </c>
      <c r="L120" s="13" t="s">
        <v>146</v>
      </c>
      <c r="M120" s="115"/>
      <c r="N120" s="115"/>
      <c r="O120" s="115"/>
      <c r="P120" s="115"/>
      <c r="Q120" s="115"/>
      <c r="R120" s="115"/>
      <c r="S120" s="115"/>
      <c r="T120" s="115"/>
      <c r="U120" s="115"/>
      <c r="V120" s="25">
        <v>45680</v>
      </c>
      <c r="W120" s="13" t="s">
        <v>147</v>
      </c>
      <c r="AB120" s="116"/>
      <c r="AC120" s="123"/>
      <c r="AD120" s="123"/>
      <c r="AE120" s="123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25"/>
      <c r="AU120" s="13"/>
      <c r="AX120" s="114"/>
    </row>
    <row r="121" spans="1:50" ht="19.5" x14ac:dyDescent="0.4">
      <c r="A121" s="117"/>
      <c r="B121" s="123"/>
      <c r="C121" s="123"/>
      <c r="D121" s="123"/>
      <c r="K121" s="26">
        <v>45761</v>
      </c>
      <c r="L121" s="13" t="s">
        <v>146</v>
      </c>
      <c r="M121" s="115"/>
      <c r="N121" s="115"/>
      <c r="O121" s="115"/>
      <c r="P121" s="115"/>
      <c r="Q121" s="115"/>
      <c r="R121" s="115"/>
      <c r="S121" s="115"/>
      <c r="T121" s="115"/>
      <c r="U121" s="115"/>
      <c r="V121" s="25"/>
      <c r="W121" s="13"/>
      <c r="AB121" s="116"/>
      <c r="AC121" s="123"/>
      <c r="AD121" s="123"/>
      <c r="AE121" s="123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115"/>
      <c r="AT121" s="25"/>
      <c r="AU121" s="13"/>
      <c r="AX121" s="114"/>
    </row>
    <row r="122" spans="1:50" ht="19.5" x14ac:dyDescent="0.4">
      <c r="A122" s="117"/>
      <c r="B122" s="123"/>
      <c r="C122" s="123"/>
      <c r="D122" s="123"/>
      <c r="H122" s="115"/>
      <c r="I122" s="115"/>
      <c r="J122" s="115"/>
      <c r="K122" s="26">
        <v>45761</v>
      </c>
      <c r="L122" s="13" t="s">
        <v>147</v>
      </c>
      <c r="M122" s="115"/>
      <c r="N122" s="115"/>
      <c r="O122" s="115"/>
      <c r="P122" s="115"/>
      <c r="Q122" s="115"/>
      <c r="R122" s="115"/>
      <c r="S122" s="115"/>
      <c r="T122" s="115"/>
      <c r="U122" s="115"/>
      <c r="V122" s="25"/>
      <c r="W122" s="13"/>
      <c r="AB122" s="116"/>
      <c r="AC122" s="123"/>
      <c r="AD122" s="123"/>
      <c r="AE122" s="123"/>
      <c r="AJ122" s="115"/>
      <c r="AK122" s="115"/>
      <c r="AL122" s="115"/>
      <c r="AM122" s="115"/>
      <c r="AN122" s="115"/>
      <c r="AO122" s="115"/>
      <c r="AP122" s="115"/>
      <c r="AQ122" s="115"/>
      <c r="AR122" s="115"/>
      <c r="AS122" s="115"/>
      <c r="AT122" s="25"/>
      <c r="AU122" s="13"/>
      <c r="AX122" s="114"/>
    </row>
    <row r="123" spans="1:50" ht="19.5" x14ac:dyDescent="0.4">
      <c r="A123" s="117"/>
      <c r="B123" s="123"/>
      <c r="C123" s="123"/>
      <c r="D123" s="123"/>
      <c r="H123" s="115"/>
      <c r="I123" s="115"/>
      <c r="J123" s="115" t="s">
        <v>361</v>
      </c>
      <c r="K123" s="17">
        <f>SUBTOTAL(3,K120:K122)</f>
        <v>3</v>
      </c>
      <c r="L123" s="13">
        <f>SUBTOTAL(3,L120:L122)</f>
        <v>3</v>
      </c>
      <c r="M123" s="115"/>
      <c r="N123" s="115"/>
      <c r="O123" s="115"/>
      <c r="P123" s="115"/>
      <c r="Q123" s="115"/>
      <c r="R123" s="115"/>
      <c r="S123" s="115"/>
      <c r="T123" s="115"/>
      <c r="U123" s="115"/>
      <c r="V123" s="25"/>
      <c r="W123" s="13"/>
      <c r="AB123" s="116"/>
      <c r="AC123" s="123"/>
      <c r="AD123" s="123"/>
      <c r="AE123" s="123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25"/>
      <c r="AU123" s="13"/>
      <c r="AX123" s="114"/>
    </row>
    <row r="124" spans="1:50" ht="19.5" x14ac:dyDescent="0.4">
      <c r="A124" s="117"/>
      <c r="B124" s="123"/>
      <c r="C124" s="123"/>
      <c r="D124" s="123"/>
      <c r="K124" s="26">
        <v>45762</v>
      </c>
      <c r="L124" s="13" t="s">
        <v>146</v>
      </c>
      <c r="M124" s="115"/>
      <c r="N124" s="115"/>
      <c r="O124" s="115"/>
      <c r="P124" s="115"/>
      <c r="Q124" s="115"/>
      <c r="R124" s="115"/>
      <c r="S124" s="115"/>
      <c r="T124" s="115"/>
      <c r="U124" s="115"/>
      <c r="V124" s="25">
        <v>45680</v>
      </c>
      <c r="W124" s="13" t="s">
        <v>146</v>
      </c>
      <c r="AB124" s="116"/>
      <c r="AC124" s="123"/>
      <c r="AD124" s="123"/>
      <c r="AE124" s="123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115"/>
      <c r="AT124" s="25"/>
      <c r="AU124" s="13"/>
      <c r="AX124" s="114"/>
    </row>
    <row r="125" spans="1:50" ht="19.5" x14ac:dyDescent="0.4">
      <c r="A125" s="117"/>
      <c r="B125" s="123"/>
      <c r="C125" s="123"/>
      <c r="D125" s="123"/>
      <c r="K125" s="26">
        <v>45762</v>
      </c>
      <c r="L125" s="13" t="s">
        <v>146</v>
      </c>
      <c r="M125" s="115"/>
      <c r="N125" s="115"/>
      <c r="O125" s="115"/>
      <c r="P125" s="115"/>
      <c r="Q125" s="115"/>
      <c r="R125" s="115"/>
      <c r="S125" s="115"/>
      <c r="T125" s="115"/>
      <c r="U125" s="115"/>
      <c r="V125" s="25">
        <v>45680</v>
      </c>
      <c r="W125" s="13" t="s">
        <v>146</v>
      </c>
      <c r="AB125" s="116"/>
      <c r="AC125" s="123"/>
      <c r="AD125" s="123"/>
      <c r="AE125" s="123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25"/>
      <c r="AU125" s="13"/>
      <c r="AX125" s="114"/>
    </row>
    <row r="126" spans="1:50" ht="19.5" x14ac:dyDescent="0.4">
      <c r="A126" s="117"/>
      <c r="B126" s="123"/>
      <c r="C126" s="123"/>
      <c r="D126" s="123"/>
      <c r="F126" s="115"/>
      <c r="G126" s="115"/>
      <c r="H126" s="115"/>
      <c r="I126" s="115"/>
      <c r="J126" s="115"/>
      <c r="K126" s="26">
        <v>45762</v>
      </c>
      <c r="L126" s="13" t="s">
        <v>148</v>
      </c>
      <c r="M126" s="115"/>
      <c r="N126" s="115"/>
      <c r="O126" s="115"/>
      <c r="P126" s="115"/>
      <c r="Q126" s="115"/>
      <c r="R126" s="115"/>
      <c r="S126" s="115"/>
      <c r="T126" s="115"/>
      <c r="U126" s="115"/>
      <c r="V126" s="25">
        <v>45680</v>
      </c>
      <c r="W126" s="13" t="s">
        <v>147</v>
      </c>
      <c r="AB126" s="116"/>
      <c r="AC126" s="123"/>
      <c r="AD126" s="123"/>
      <c r="AE126" s="123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25"/>
      <c r="AU126" s="13"/>
      <c r="AX126" s="114"/>
    </row>
    <row r="127" spans="1:50" ht="19.5" x14ac:dyDescent="0.4">
      <c r="A127" s="117"/>
      <c r="B127" s="123"/>
      <c r="C127" s="123"/>
      <c r="D127" s="123"/>
      <c r="F127" s="115"/>
      <c r="G127" s="115"/>
      <c r="H127" s="115"/>
      <c r="I127" s="115"/>
      <c r="J127" s="115"/>
      <c r="K127" s="26">
        <v>45762</v>
      </c>
      <c r="L127" s="13" t="s">
        <v>148</v>
      </c>
      <c r="M127" s="115"/>
      <c r="N127" s="115"/>
      <c r="O127" s="115"/>
      <c r="P127" s="115"/>
      <c r="Q127" s="115"/>
      <c r="R127" s="115"/>
      <c r="S127" s="115"/>
      <c r="T127" s="115"/>
      <c r="U127" s="115"/>
      <c r="V127" s="25"/>
      <c r="W127" s="13"/>
      <c r="AB127" s="116"/>
      <c r="AC127" s="123"/>
      <c r="AD127" s="123"/>
      <c r="AE127" s="123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25"/>
      <c r="AU127" s="13"/>
      <c r="AX127" s="114"/>
    </row>
    <row r="128" spans="1:50" ht="19.5" x14ac:dyDescent="0.4">
      <c r="A128" s="117"/>
      <c r="B128" s="123"/>
      <c r="C128" s="123"/>
      <c r="D128" s="123"/>
      <c r="F128" s="115"/>
      <c r="G128" s="115"/>
      <c r="H128" s="115"/>
      <c r="I128" s="115"/>
      <c r="J128" s="115"/>
      <c r="K128" s="26">
        <v>45762</v>
      </c>
      <c r="L128" s="13" t="s">
        <v>146</v>
      </c>
      <c r="M128" s="115"/>
      <c r="N128" s="115"/>
      <c r="O128" s="115"/>
      <c r="P128" s="115"/>
      <c r="Q128" s="115"/>
      <c r="R128" s="115"/>
      <c r="S128" s="115"/>
      <c r="T128" s="115"/>
      <c r="U128" s="115"/>
      <c r="V128" s="25"/>
      <c r="W128" s="13"/>
      <c r="AB128" s="116"/>
      <c r="AC128" s="123"/>
      <c r="AD128" s="123"/>
      <c r="AE128" s="123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25"/>
      <c r="AU128" s="13"/>
      <c r="AX128" s="114"/>
    </row>
    <row r="129" spans="1:50" ht="19.5" x14ac:dyDescent="0.4">
      <c r="A129" s="117"/>
      <c r="B129" s="123"/>
      <c r="C129" s="123"/>
      <c r="D129" s="123"/>
      <c r="F129" s="115"/>
      <c r="G129" s="115"/>
      <c r="H129" s="115"/>
      <c r="I129" s="115"/>
      <c r="J129" s="115"/>
      <c r="K129" s="26">
        <v>45762</v>
      </c>
      <c r="L129" s="13" t="s">
        <v>146</v>
      </c>
      <c r="M129" s="115"/>
      <c r="N129" s="115"/>
      <c r="O129" s="115"/>
      <c r="P129" s="115"/>
      <c r="Q129" s="115"/>
      <c r="R129" s="115"/>
      <c r="S129" s="115"/>
      <c r="T129" s="115"/>
      <c r="U129" s="115"/>
      <c r="V129" s="25">
        <v>45680</v>
      </c>
      <c r="W129" s="15" t="s">
        <v>142</v>
      </c>
      <c r="AB129" s="116"/>
      <c r="AC129" s="123"/>
      <c r="AD129" s="123"/>
      <c r="AE129" s="123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25"/>
      <c r="AU129" s="13"/>
      <c r="AX129" s="114"/>
    </row>
    <row r="130" spans="1:50" ht="19.5" x14ac:dyDescent="0.4">
      <c r="A130" s="117"/>
      <c r="B130" s="123"/>
      <c r="C130" s="123"/>
      <c r="D130" s="123"/>
      <c r="F130" s="115"/>
      <c r="G130" s="115"/>
      <c r="H130" s="115"/>
      <c r="I130" s="115"/>
      <c r="J130" s="115"/>
      <c r="K130" s="26">
        <v>45762</v>
      </c>
      <c r="L130" s="13" t="s">
        <v>146</v>
      </c>
      <c r="M130" s="115"/>
      <c r="N130" s="115"/>
      <c r="O130" s="115"/>
      <c r="P130" s="115"/>
      <c r="Q130" s="115"/>
      <c r="R130" s="115"/>
      <c r="S130" s="115"/>
      <c r="T130" s="115"/>
      <c r="U130" s="115"/>
      <c r="V130" s="25"/>
      <c r="W130" s="15"/>
      <c r="AB130" s="116"/>
      <c r="AC130" s="123"/>
      <c r="AD130" s="123"/>
      <c r="AE130" s="123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25"/>
      <c r="AU130" s="13"/>
      <c r="AX130" s="114"/>
    </row>
    <row r="131" spans="1:50" ht="19.5" x14ac:dyDescent="0.4">
      <c r="A131" s="117"/>
      <c r="B131" s="123"/>
      <c r="C131" s="123"/>
      <c r="D131" s="123"/>
      <c r="F131" s="115"/>
      <c r="G131" s="115"/>
      <c r="H131" s="115"/>
      <c r="I131" s="115"/>
      <c r="J131" s="115"/>
      <c r="K131" s="26">
        <v>45762</v>
      </c>
      <c r="L131" s="13" t="s">
        <v>146</v>
      </c>
      <c r="M131" s="115"/>
      <c r="N131" s="115"/>
      <c r="O131" s="115"/>
      <c r="P131" s="115"/>
      <c r="Q131" s="115"/>
      <c r="R131" s="115"/>
      <c r="S131" s="115"/>
      <c r="T131" s="115"/>
      <c r="U131" s="115"/>
      <c r="V131" s="25">
        <v>45680</v>
      </c>
      <c r="W131" s="15" t="s">
        <v>146</v>
      </c>
      <c r="AB131" s="116"/>
      <c r="AC131" s="123"/>
      <c r="AD131" s="123"/>
      <c r="AE131" s="123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25"/>
      <c r="AU131" s="13"/>
      <c r="AX131" s="114"/>
    </row>
    <row r="132" spans="1:50" ht="19.5" x14ac:dyDescent="0.4">
      <c r="A132" s="117"/>
      <c r="B132" s="123"/>
      <c r="C132" s="123"/>
      <c r="D132" s="123"/>
      <c r="F132" s="115"/>
      <c r="G132" s="115"/>
      <c r="H132" s="115"/>
      <c r="I132" s="115"/>
      <c r="J132" s="115"/>
      <c r="K132" s="26">
        <v>45762</v>
      </c>
      <c r="L132" s="15" t="s">
        <v>146</v>
      </c>
      <c r="M132" s="115"/>
      <c r="N132" s="115"/>
      <c r="O132" s="115"/>
      <c r="P132" s="115"/>
      <c r="Q132" s="115"/>
      <c r="R132" s="115"/>
      <c r="S132" s="115"/>
      <c r="T132" s="115"/>
      <c r="U132" s="115"/>
      <c r="V132" s="25"/>
      <c r="W132" s="15"/>
      <c r="AB132" s="116"/>
      <c r="AC132" s="123"/>
      <c r="AD132" s="123"/>
      <c r="AE132" s="123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25"/>
      <c r="AU132" s="13"/>
      <c r="AX132" s="114"/>
    </row>
    <row r="133" spans="1:50" ht="19.5" x14ac:dyDescent="0.4">
      <c r="A133" s="117"/>
      <c r="B133" s="123"/>
      <c r="C133" s="123"/>
      <c r="D133" s="123"/>
      <c r="F133" s="115"/>
      <c r="G133" s="115"/>
      <c r="H133" s="115"/>
      <c r="I133" s="115"/>
      <c r="J133" s="115"/>
      <c r="K133" s="26">
        <v>45762</v>
      </c>
      <c r="L133" s="13" t="s">
        <v>148</v>
      </c>
      <c r="M133" s="115"/>
      <c r="N133" s="115"/>
      <c r="O133" s="115"/>
      <c r="P133" s="115"/>
      <c r="Q133" s="115"/>
      <c r="R133" s="115"/>
      <c r="S133" s="115"/>
      <c r="T133" s="115"/>
      <c r="U133" s="115"/>
      <c r="V133" s="25">
        <v>45680</v>
      </c>
      <c r="W133" s="15" t="s">
        <v>146</v>
      </c>
      <c r="AB133" s="116"/>
      <c r="AC133" s="123"/>
      <c r="AD133" s="123"/>
      <c r="AE133" s="123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25"/>
      <c r="AU133" s="13"/>
      <c r="AX133" s="114"/>
    </row>
    <row r="134" spans="1:50" ht="19.5" x14ac:dyDescent="0.4">
      <c r="A134" s="117"/>
      <c r="B134" s="123"/>
      <c r="C134" s="123"/>
      <c r="D134" s="123"/>
      <c r="F134" s="115"/>
      <c r="G134" s="115"/>
      <c r="H134" s="115"/>
      <c r="I134" s="115"/>
      <c r="J134" s="115" t="s">
        <v>362</v>
      </c>
      <c r="K134" s="17">
        <f>SUBTOTAL(3,K124:K133)</f>
        <v>10</v>
      </c>
      <c r="L134" s="13">
        <f>SUBTOTAL(3,L124:L133)</f>
        <v>10</v>
      </c>
      <c r="M134" s="115"/>
      <c r="N134" s="115"/>
      <c r="O134" s="115"/>
      <c r="P134" s="115"/>
      <c r="Q134" s="115"/>
      <c r="R134" s="115"/>
      <c r="S134" s="115"/>
      <c r="T134" s="115"/>
      <c r="U134" s="115"/>
      <c r="V134" s="25"/>
      <c r="W134" s="15"/>
      <c r="AB134" s="116"/>
      <c r="AC134" s="123"/>
      <c r="AD134" s="123"/>
      <c r="AE134" s="123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25"/>
      <c r="AU134" s="13"/>
      <c r="AX134" s="114"/>
    </row>
    <row r="135" spans="1:50" ht="19.5" x14ac:dyDescent="0.4">
      <c r="A135" s="117"/>
      <c r="B135" s="123"/>
      <c r="C135" s="123"/>
      <c r="D135" s="123"/>
      <c r="F135" s="115"/>
      <c r="G135" s="115"/>
      <c r="H135" s="115"/>
      <c r="I135" s="115"/>
      <c r="J135" s="115"/>
      <c r="K135" s="26">
        <v>45763</v>
      </c>
      <c r="L135" s="13" t="s">
        <v>146</v>
      </c>
      <c r="M135" s="115"/>
      <c r="N135" s="115"/>
      <c r="O135" s="115"/>
      <c r="P135" s="115"/>
      <c r="Q135" s="115"/>
      <c r="R135" s="115"/>
      <c r="S135" s="115"/>
      <c r="T135" s="115"/>
      <c r="U135" s="115"/>
      <c r="V135" s="25"/>
      <c r="W135" s="15"/>
      <c r="AB135" s="116"/>
      <c r="AC135" s="123"/>
      <c r="AD135" s="123"/>
      <c r="AE135" s="123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15"/>
      <c r="AT135" s="25"/>
      <c r="AU135" s="13"/>
      <c r="AX135" s="114"/>
    </row>
    <row r="136" spans="1:50" ht="19.5" x14ac:dyDescent="0.4">
      <c r="A136" s="117"/>
      <c r="B136" s="123"/>
      <c r="C136" s="123"/>
      <c r="D136" s="123"/>
      <c r="F136" s="115"/>
      <c r="G136" s="115"/>
      <c r="H136" s="115"/>
      <c r="I136" s="115"/>
      <c r="J136" s="115"/>
      <c r="K136" s="26">
        <v>45763</v>
      </c>
      <c r="L136" s="13" t="s">
        <v>146</v>
      </c>
      <c r="M136" s="115"/>
      <c r="N136" s="115"/>
      <c r="O136" s="115"/>
      <c r="P136" s="115"/>
      <c r="Q136" s="115"/>
      <c r="R136" s="115"/>
      <c r="S136" s="115"/>
      <c r="T136" s="115"/>
      <c r="U136" s="115"/>
      <c r="V136" s="25"/>
      <c r="W136" s="15"/>
      <c r="AB136" s="116"/>
      <c r="AC136" s="123"/>
      <c r="AD136" s="123"/>
      <c r="AE136" s="123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25"/>
      <c r="AU136" s="13"/>
      <c r="AX136" s="114"/>
    </row>
    <row r="137" spans="1:50" ht="19.5" x14ac:dyDescent="0.4">
      <c r="A137" s="117"/>
      <c r="B137" s="123"/>
      <c r="C137" s="123"/>
      <c r="D137" s="123"/>
      <c r="F137" s="115"/>
      <c r="G137" s="115"/>
      <c r="H137" s="115"/>
      <c r="I137" s="115"/>
      <c r="J137" s="115"/>
      <c r="K137" s="26">
        <v>45763</v>
      </c>
      <c r="L137" s="13" t="s">
        <v>146</v>
      </c>
      <c r="M137" s="115"/>
      <c r="N137" s="115"/>
      <c r="O137" s="115"/>
      <c r="P137" s="115"/>
      <c r="Q137" s="115"/>
      <c r="R137" s="115"/>
      <c r="S137" s="115"/>
      <c r="T137" s="115"/>
      <c r="U137" s="115"/>
      <c r="V137" s="25">
        <v>45680</v>
      </c>
      <c r="W137" s="15" t="s">
        <v>146</v>
      </c>
      <c r="AB137" s="116"/>
      <c r="AC137" s="123"/>
      <c r="AD137" s="123"/>
      <c r="AE137" s="123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25"/>
      <c r="AU137" s="13"/>
      <c r="AX137" s="114"/>
    </row>
    <row r="138" spans="1:50" ht="19.5" x14ac:dyDescent="0.4">
      <c r="A138" s="117"/>
      <c r="B138" s="123"/>
      <c r="C138" s="123"/>
      <c r="D138" s="123"/>
      <c r="F138" s="115"/>
      <c r="G138" s="115"/>
      <c r="H138" s="115"/>
      <c r="I138" s="115"/>
      <c r="J138" s="115"/>
      <c r="K138" s="26">
        <v>45763</v>
      </c>
      <c r="L138" s="13" t="s">
        <v>146</v>
      </c>
      <c r="M138" s="115"/>
      <c r="N138" s="115"/>
      <c r="O138" s="115"/>
      <c r="P138" s="115"/>
      <c r="Q138" s="115"/>
      <c r="R138" s="115"/>
      <c r="S138" s="115"/>
      <c r="T138" s="115"/>
      <c r="U138" s="115"/>
      <c r="V138" s="25"/>
      <c r="W138" s="15"/>
      <c r="AB138" s="116"/>
      <c r="AC138" s="123"/>
      <c r="AD138" s="123"/>
      <c r="AE138" s="123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25"/>
      <c r="AU138" s="13"/>
      <c r="AX138" s="114"/>
    </row>
    <row r="139" spans="1:50" ht="19.5" x14ac:dyDescent="0.4">
      <c r="A139" s="117"/>
      <c r="B139" s="123"/>
      <c r="C139" s="123"/>
      <c r="D139" s="123"/>
      <c r="F139" s="115"/>
      <c r="G139" s="115"/>
      <c r="H139" s="115"/>
      <c r="I139" s="115"/>
      <c r="J139" s="115"/>
      <c r="K139" s="26">
        <v>45763</v>
      </c>
      <c r="L139" s="13" t="s">
        <v>146</v>
      </c>
      <c r="M139" s="115"/>
      <c r="N139" s="115"/>
      <c r="O139" s="115"/>
      <c r="P139" s="115"/>
      <c r="Q139" s="115"/>
      <c r="R139" s="115"/>
      <c r="S139" s="115"/>
      <c r="T139" s="115"/>
      <c r="U139" s="115"/>
      <c r="V139" s="25">
        <v>45680</v>
      </c>
      <c r="W139" s="15" t="s">
        <v>147</v>
      </c>
      <c r="AB139" s="116"/>
      <c r="AC139" s="123"/>
      <c r="AD139" s="123"/>
      <c r="AE139" s="123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25"/>
      <c r="AU139" s="13"/>
      <c r="AX139" s="114"/>
    </row>
    <row r="140" spans="1:50" ht="19.5" x14ac:dyDescent="0.4">
      <c r="A140" s="117"/>
      <c r="B140" s="123"/>
      <c r="C140" s="123"/>
      <c r="D140" s="123"/>
      <c r="F140" s="115"/>
      <c r="G140" s="115"/>
      <c r="H140" s="115"/>
      <c r="I140" s="115"/>
      <c r="J140" s="115"/>
      <c r="K140" s="26">
        <v>45763</v>
      </c>
      <c r="L140" s="13" t="s">
        <v>146</v>
      </c>
      <c r="M140" s="115"/>
      <c r="N140" s="115"/>
      <c r="O140" s="115"/>
      <c r="P140" s="115"/>
      <c r="Q140" s="115"/>
      <c r="R140" s="115"/>
      <c r="S140" s="115"/>
      <c r="T140" s="115"/>
      <c r="U140" s="115"/>
      <c r="V140" s="25"/>
      <c r="W140" s="13"/>
      <c r="AB140" s="116"/>
      <c r="AC140" s="123"/>
      <c r="AD140" s="123"/>
      <c r="AE140" s="123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25"/>
      <c r="AU140" s="13"/>
      <c r="AX140" s="114"/>
    </row>
    <row r="141" spans="1:50" ht="19.5" x14ac:dyDescent="0.4">
      <c r="A141" s="117"/>
      <c r="B141" s="123"/>
      <c r="C141" s="123"/>
      <c r="D141" s="123"/>
      <c r="F141" s="115"/>
      <c r="G141" s="115"/>
      <c r="H141" s="115"/>
      <c r="I141" s="115"/>
      <c r="J141" s="115"/>
      <c r="K141" s="26">
        <v>45763</v>
      </c>
      <c r="L141" s="13" t="s">
        <v>146</v>
      </c>
      <c r="M141" s="115"/>
      <c r="N141" s="115"/>
      <c r="O141" s="115"/>
      <c r="P141" s="115"/>
      <c r="Q141" s="115"/>
      <c r="R141" s="115"/>
      <c r="S141" s="115"/>
      <c r="T141" s="115"/>
      <c r="U141" s="115"/>
      <c r="V141" s="25"/>
      <c r="W141" s="13"/>
      <c r="AB141" s="116"/>
      <c r="AC141" s="123"/>
      <c r="AD141" s="123"/>
      <c r="AE141" s="123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25"/>
      <c r="AU141" s="13"/>
      <c r="AX141" s="114"/>
    </row>
    <row r="142" spans="1:50" ht="19.5" x14ac:dyDescent="0.4">
      <c r="A142" s="117"/>
      <c r="B142" s="123"/>
      <c r="C142" s="123"/>
      <c r="D142" s="123"/>
      <c r="F142" s="115"/>
      <c r="G142" s="115"/>
      <c r="H142" s="115"/>
      <c r="I142" s="115"/>
      <c r="J142" s="115"/>
      <c r="K142" s="26">
        <v>45763</v>
      </c>
      <c r="L142" s="13" t="s">
        <v>148</v>
      </c>
      <c r="M142" s="115"/>
      <c r="N142" s="115"/>
      <c r="O142" s="115"/>
      <c r="P142" s="115"/>
      <c r="Q142" s="115"/>
      <c r="R142" s="115"/>
      <c r="S142" s="115"/>
      <c r="T142" s="115"/>
      <c r="U142" s="115"/>
      <c r="V142" s="25"/>
      <c r="W142" s="13"/>
      <c r="AB142" s="116"/>
      <c r="AC142" s="123"/>
      <c r="AD142" s="123"/>
      <c r="AE142" s="123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25"/>
      <c r="AU142" s="13"/>
      <c r="AX142" s="114"/>
    </row>
    <row r="143" spans="1:50" ht="19.5" x14ac:dyDescent="0.4">
      <c r="A143" s="117"/>
      <c r="B143" s="123"/>
      <c r="C143" s="123"/>
      <c r="D143" s="123"/>
      <c r="F143" s="115"/>
      <c r="G143" s="115"/>
      <c r="H143" s="115"/>
      <c r="I143" s="115"/>
      <c r="J143" s="115"/>
      <c r="K143" s="26">
        <v>45763</v>
      </c>
      <c r="L143" s="13" t="s">
        <v>147</v>
      </c>
      <c r="M143" s="115"/>
      <c r="N143" s="115"/>
      <c r="O143" s="115"/>
      <c r="P143" s="115"/>
      <c r="Q143" s="115"/>
      <c r="R143" s="115"/>
      <c r="S143" s="115"/>
      <c r="T143" s="115"/>
      <c r="U143" s="115"/>
      <c r="V143" s="25"/>
      <c r="W143" s="13"/>
      <c r="AB143" s="116"/>
      <c r="AC143" s="123"/>
      <c r="AD143" s="123"/>
      <c r="AE143" s="123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25"/>
      <c r="AU143" s="13"/>
      <c r="AX143" s="114"/>
    </row>
    <row r="144" spans="1:50" ht="19.5" x14ac:dyDescent="0.4">
      <c r="A144" s="117"/>
      <c r="B144" s="123"/>
      <c r="C144" s="123"/>
      <c r="D144" s="123"/>
      <c r="F144" s="115"/>
      <c r="G144" s="115"/>
      <c r="H144" s="115"/>
      <c r="I144" s="115"/>
      <c r="J144" s="115"/>
      <c r="K144" s="26">
        <v>45763</v>
      </c>
      <c r="L144" s="13" t="s">
        <v>147</v>
      </c>
      <c r="M144" s="115"/>
      <c r="N144" s="115"/>
      <c r="O144" s="115"/>
      <c r="P144" s="115"/>
      <c r="Q144" s="115"/>
      <c r="R144" s="115"/>
      <c r="S144" s="115"/>
      <c r="T144" s="115"/>
      <c r="U144" s="115"/>
      <c r="V144" s="25"/>
      <c r="W144" s="13"/>
      <c r="AB144" s="116"/>
      <c r="AC144" s="123"/>
      <c r="AD144" s="123"/>
      <c r="AE144" s="123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25"/>
      <c r="AU144" s="13"/>
      <c r="AX144" s="114"/>
    </row>
    <row r="145" spans="1:50" ht="19.5" x14ac:dyDescent="0.4">
      <c r="A145" s="117"/>
      <c r="B145" s="123"/>
      <c r="C145" s="123"/>
      <c r="D145" s="123"/>
      <c r="F145" s="115"/>
      <c r="G145" s="115"/>
      <c r="H145" s="115"/>
      <c r="I145" s="115"/>
      <c r="J145" s="115"/>
      <c r="K145" s="26">
        <v>45763</v>
      </c>
      <c r="L145" s="13" t="s">
        <v>148</v>
      </c>
      <c r="M145" s="115"/>
      <c r="N145" s="115"/>
      <c r="O145" s="115"/>
      <c r="P145" s="115"/>
      <c r="Q145" s="115"/>
      <c r="R145" s="115"/>
      <c r="S145" s="115"/>
      <c r="T145" s="115"/>
      <c r="U145" s="115"/>
      <c r="V145" s="25"/>
      <c r="W145" s="13"/>
      <c r="AB145" s="116"/>
      <c r="AC145" s="123"/>
      <c r="AD145" s="123"/>
      <c r="AE145" s="123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25"/>
      <c r="AU145" s="13"/>
      <c r="AX145" s="114"/>
    </row>
    <row r="146" spans="1:50" ht="19.5" x14ac:dyDescent="0.4">
      <c r="A146" s="117"/>
      <c r="B146" s="123"/>
      <c r="C146" s="123"/>
      <c r="D146" s="123"/>
      <c r="F146" s="115"/>
      <c r="G146" s="115"/>
      <c r="H146" s="115"/>
      <c r="I146" s="115"/>
      <c r="J146" s="115"/>
      <c r="K146" s="26">
        <v>45763</v>
      </c>
      <c r="L146" s="13" t="s">
        <v>146</v>
      </c>
      <c r="M146" s="115"/>
      <c r="N146" s="115"/>
      <c r="O146" s="115"/>
      <c r="P146" s="115"/>
      <c r="Q146" s="115"/>
      <c r="R146" s="115"/>
      <c r="S146" s="115"/>
      <c r="T146" s="115"/>
      <c r="U146" s="115"/>
      <c r="V146" s="25">
        <v>45680</v>
      </c>
      <c r="W146" s="13" t="s">
        <v>146</v>
      </c>
      <c r="AB146" s="116"/>
      <c r="AC146" s="123"/>
      <c r="AD146" s="123"/>
      <c r="AE146" s="123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25"/>
      <c r="AU146" s="13"/>
      <c r="AX146" s="114"/>
    </row>
    <row r="147" spans="1:50" ht="19.5" x14ac:dyDescent="0.4">
      <c r="A147" s="117"/>
      <c r="B147" s="123"/>
      <c r="C147" s="123"/>
      <c r="D147" s="123"/>
      <c r="F147" s="115"/>
      <c r="G147" s="115"/>
      <c r="H147" s="115"/>
      <c r="I147" s="115"/>
      <c r="J147" s="115" t="s">
        <v>363</v>
      </c>
      <c r="K147" s="17">
        <f>SUBTOTAL(3,K135:K146)</f>
        <v>12</v>
      </c>
      <c r="L147" s="13">
        <f>SUBTOTAL(3,L135:L146)</f>
        <v>12</v>
      </c>
      <c r="M147" s="115"/>
      <c r="N147" s="115"/>
      <c r="O147" s="115"/>
      <c r="P147" s="115"/>
      <c r="Q147" s="115"/>
      <c r="R147" s="115"/>
      <c r="S147" s="115"/>
      <c r="T147" s="115"/>
      <c r="U147" s="115"/>
      <c r="V147" s="25"/>
      <c r="W147" s="13"/>
      <c r="AB147" s="116"/>
      <c r="AC147" s="123"/>
      <c r="AD147" s="123"/>
      <c r="AE147" s="123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25"/>
      <c r="AU147" s="13"/>
      <c r="AX147" s="114"/>
    </row>
    <row r="148" spans="1:50" ht="19.5" x14ac:dyDescent="0.4">
      <c r="A148" s="117"/>
      <c r="B148" s="123"/>
      <c r="C148" s="123"/>
      <c r="D148" s="123"/>
      <c r="F148" s="115"/>
      <c r="G148" s="115"/>
      <c r="H148" s="115"/>
      <c r="I148" s="115"/>
      <c r="J148" s="115"/>
      <c r="K148" s="26">
        <v>45768</v>
      </c>
      <c r="L148" s="13" t="s">
        <v>147</v>
      </c>
      <c r="M148" s="115"/>
      <c r="N148" s="115"/>
      <c r="O148" s="115"/>
      <c r="P148" s="115"/>
      <c r="Q148" s="115"/>
      <c r="R148" s="115"/>
      <c r="S148" s="115"/>
      <c r="T148" s="115"/>
      <c r="U148" s="115"/>
      <c r="V148" s="25">
        <v>45680</v>
      </c>
      <c r="W148" s="13" t="s">
        <v>147</v>
      </c>
      <c r="AB148" s="116"/>
      <c r="AC148" s="123"/>
      <c r="AD148" s="123"/>
      <c r="AE148" s="123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25"/>
      <c r="AU148" s="13"/>
      <c r="AX148" s="114"/>
    </row>
    <row r="149" spans="1:50" ht="19.5" x14ac:dyDescent="0.4">
      <c r="A149" s="117"/>
      <c r="B149" s="123"/>
      <c r="C149" s="123"/>
      <c r="D149" s="123"/>
      <c r="F149" s="115"/>
      <c r="G149" s="115"/>
      <c r="H149" s="115"/>
      <c r="I149" s="115"/>
      <c r="J149" s="115"/>
      <c r="K149" s="26">
        <v>45768</v>
      </c>
      <c r="L149" s="13" t="s">
        <v>148</v>
      </c>
      <c r="M149" s="115"/>
      <c r="N149" s="115"/>
      <c r="O149" s="115"/>
      <c r="P149" s="115"/>
      <c r="Q149" s="115"/>
      <c r="R149" s="115"/>
      <c r="S149" s="115"/>
      <c r="T149" s="115"/>
      <c r="U149" s="115"/>
      <c r="V149" s="25">
        <v>45680</v>
      </c>
      <c r="W149" s="13" t="s">
        <v>146</v>
      </c>
      <c r="AB149" s="116"/>
      <c r="AC149" s="123"/>
      <c r="AD149" s="123"/>
      <c r="AE149" s="123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25"/>
      <c r="AU149" s="13"/>
      <c r="AX149" s="114"/>
    </row>
    <row r="150" spans="1:50" ht="19.5" x14ac:dyDescent="0.4">
      <c r="A150" s="117"/>
      <c r="B150" s="123"/>
      <c r="C150" s="123"/>
      <c r="D150" s="123"/>
      <c r="F150" s="115"/>
      <c r="G150" s="115"/>
      <c r="H150" s="115"/>
      <c r="I150" s="115"/>
      <c r="J150" s="115" t="s">
        <v>364</v>
      </c>
      <c r="K150" s="17">
        <f>SUBTOTAL(3,K148:K149)</f>
        <v>2</v>
      </c>
      <c r="L150" s="13">
        <f>SUBTOTAL(3,L148:L149)</f>
        <v>2</v>
      </c>
      <c r="M150" s="115"/>
      <c r="N150" s="115"/>
      <c r="O150" s="115"/>
      <c r="P150" s="115"/>
      <c r="Q150" s="115"/>
      <c r="R150" s="115"/>
      <c r="S150" s="115"/>
      <c r="T150" s="115"/>
      <c r="U150" s="115"/>
      <c r="V150" s="25"/>
      <c r="W150" s="13"/>
      <c r="AB150" s="116"/>
      <c r="AC150" s="123"/>
      <c r="AD150" s="123"/>
      <c r="AE150" s="123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15"/>
      <c r="AT150" s="25"/>
      <c r="AU150" s="13"/>
      <c r="AX150" s="114"/>
    </row>
    <row r="151" spans="1:50" ht="19.5" x14ac:dyDescent="0.4">
      <c r="A151" s="117"/>
      <c r="B151" s="123"/>
      <c r="C151" s="123"/>
      <c r="D151" s="123"/>
      <c r="F151" s="115"/>
      <c r="G151" s="115"/>
      <c r="H151" s="115"/>
      <c r="I151" s="115"/>
      <c r="J151" s="115"/>
      <c r="K151" s="26">
        <v>45793</v>
      </c>
      <c r="L151" s="13" t="s">
        <v>147</v>
      </c>
      <c r="M151" s="115"/>
      <c r="N151" s="115"/>
      <c r="O151" s="115"/>
      <c r="P151" s="115"/>
      <c r="Q151" s="115"/>
      <c r="R151" s="115"/>
      <c r="S151" s="115"/>
      <c r="T151" s="115"/>
      <c r="U151" s="115"/>
      <c r="V151" s="25"/>
      <c r="W151" s="13"/>
      <c r="AB151" s="116"/>
      <c r="AC151" s="123"/>
      <c r="AD151" s="123"/>
      <c r="AE151" s="123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25"/>
      <c r="AU151" s="13"/>
      <c r="AX151" s="114"/>
    </row>
    <row r="152" spans="1:50" ht="19.5" x14ac:dyDescent="0.4">
      <c r="A152" s="117"/>
      <c r="B152" s="123"/>
      <c r="C152" s="123"/>
      <c r="D152" s="123"/>
      <c r="F152" s="115"/>
      <c r="G152" s="115"/>
      <c r="H152" s="115"/>
      <c r="I152" s="115"/>
      <c r="J152" s="115" t="s">
        <v>365</v>
      </c>
      <c r="K152" s="17">
        <f>SUBTOTAL(3,K151:K151)</f>
        <v>1</v>
      </c>
      <c r="L152" s="13">
        <f>SUBTOTAL(3,L151:L151)</f>
        <v>1</v>
      </c>
      <c r="M152" s="115"/>
      <c r="N152" s="115"/>
      <c r="O152" s="115"/>
      <c r="P152" s="115"/>
      <c r="Q152" s="115"/>
      <c r="R152" s="115"/>
      <c r="S152" s="115"/>
      <c r="T152" s="115"/>
      <c r="U152" s="115"/>
      <c r="V152" s="25"/>
      <c r="W152" s="13"/>
      <c r="AB152" s="116"/>
      <c r="AC152" s="123"/>
      <c r="AD152" s="123"/>
      <c r="AE152" s="123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25"/>
      <c r="AU152" s="13"/>
      <c r="AX152" s="114"/>
    </row>
    <row r="153" spans="1:50" ht="19.5" x14ac:dyDescent="0.4">
      <c r="A153" s="117"/>
      <c r="B153" s="123"/>
      <c r="C153" s="123"/>
      <c r="D153" s="123"/>
      <c r="K153" s="26">
        <v>45795</v>
      </c>
      <c r="L153" s="13" t="s">
        <v>147</v>
      </c>
      <c r="V153" s="25">
        <v>45680</v>
      </c>
      <c r="W153" s="13" t="s">
        <v>146</v>
      </c>
      <c r="AB153" s="117"/>
      <c r="AC153" s="123"/>
      <c r="AD153" s="123"/>
      <c r="AE153" s="123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 t="s">
        <v>149</v>
      </c>
      <c r="AT153" s="13">
        <f>SUBTOTAL(3,AT2:AT2)</f>
        <v>1</v>
      </c>
      <c r="AU153" s="13">
        <f>SUBTOTAL(3,AU2:AU2)</f>
        <v>1</v>
      </c>
      <c r="AX153" s="114"/>
    </row>
    <row r="154" spans="1:50" ht="19.5" x14ac:dyDescent="0.4">
      <c r="A154" s="117"/>
      <c r="B154" s="123"/>
      <c r="C154" s="123"/>
      <c r="D154" s="123"/>
      <c r="J154" s="115" t="s">
        <v>366</v>
      </c>
      <c r="K154" s="17">
        <f>SUBTOTAL(3,K153:K153)</f>
        <v>1</v>
      </c>
      <c r="L154" s="13">
        <f>SUBTOTAL(3,L153:L153)</f>
        <v>1</v>
      </c>
      <c r="V154" s="25"/>
      <c r="W154" s="13"/>
      <c r="AB154" s="117"/>
      <c r="AC154" s="123"/>
      <c r="AD154" s="123"/>
      <c r="AE154" s="123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3"/>
      <c r="AU154" s="13"/>
      <c r="AX154" s="114"/>
    </row>
    <row r="155" spans="1:50" ht="19.5" x14ac:dyDescent="0.4">
      <c r="A155" s="117"/>
      <c r="B155" s="123"/>
      <c r="C155" s="123"/>
      <c r="D155" s="123"/>
      <c r="K155" s="26">
        <v>45798</v>
      </c>
      <c r="L155" s="13" t="s">
        <v>147</v>
      </c>
      <c r="V155" s="25"/>
      <c r="W155" s="13"/>
      <c r="AB155" s="117"/>
      <c r="AC155" s="123"/>
      <c r="AD155" s="123"/>
      <c r="AE155" s="123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3"/>
      <c r="AU155" s="13"/>
      <c r="AX155" s="114"/>
    </row>
    <row r="156" spans="1:50" ht="19.5" x14ac:dyDescent="0.4">
      <c r="A156" s="117"/>
      <c r="B156" s="123"/>
      <c r="C156" s="123"/>
      <c r="D156" s="123"/>
      <c r="K156" s="26">
        <v>45798</v>
      </c>
      <c r="L156" s="13" t="s">
        <v>147</v>
      </c>
      <c r="M156" s="115"/>
      <c r="N156" s="115"/>
      <c r="O156" s="115"/>
      <c r="P156" s="115"/>
      <c r="Q156" s="115"/>
      <c r="R156" s="115"/>
      <c r="S156" s="115"/>
      <c r="T156" s="115"/>
      <c r="U156" s="115"/>
      <c r="V156" s="25">
        <v>45682</v>
      </c>
      <c r="W156" s="13" t="s">
        <v>147</v>
      </c>
      <c r="AB156" s="117"/>
      <c r="AC156" s="123"/>
      <c r="AD156" s="123"/>
      <c r="AE156" s="123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3"/>
      <c r="AU156" s="13"/>
      <c r="AX156" s="114"/>
    </row>
    <row r="157" spans="1:50" ht="19.5" x14ac:dyDescent="0.4">
      <c r="A157" s="117"/>
      <c r="B157" s="123"/>
      <c r="C157" s="123"/>
      <c r="D157" s="123"/>
      <c r="K157" s="26">
        <v>45798</v>
      </c>
      <c r="L157" s="13" t="s">
        <v>148</v>
      </c>
      <c r="M157" s="115"/>
      <c r="N157" s="115"/>
      <c r="O157" s="115"/>
      <c r="P157" s="115"/>
      <c r="Q157" s="115"/>
      <c r="R157" s="115"/>
      <c r="S157" s="115"/>
      <c r="T157" s="115"/>
      <c r="U157" s="115"/>
      <c r="V157" s="25">
        <v>45682</v>
      </c>
      <c r="W157" s="13" t="s">
        <v>146</v>
      </c>
      <c r="AB157" s="117"/>
      <c r="AC157" s="123"/>
      <c r="AD157" s="123"/>
      <c r="AE157" s="123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3"/>
      <c r="AU157" s="13"/>
      <c r="AX157" s="114"/>
    </row>
    <row r="158" spans="1:50" ht="19.5" x14ac:dyDescent="0.4">
      <c r="A158" s="117"/>
      <c r="B158" s="123"/>
      <c r="C158" s="123"/>
      <c r="D158" s="123"/>
      <c r="G158" s="115"/>
      <c r="H158" s="115"/>
      <c r="I158" s="115"/>
      <c r="J158" s="115"/>
      <c r="K158" s="26">
        <v>45798</v>
      </c>
      <c r="L158" s="13" t="s">
        <v>147</v>
      </c>
      <c r="M158" s="115"/>
      <c r="N158" s="115"/>
      <c r="O158" s="115"/>
      <c r="P158" s="115"/>
      <c r="Q158" s="115"/>
      <c r="R158" s="115"/>
      <c r="S158" s="115"/>
      <c r="T158" s="115"/>
      <c r="U158" s="115"/>
      <c r="V158" s="25"/>
      <c r="W158" s="13"/>
      <c r="AB158" s="117"/>
      <c r="AC158" s="123"/>
      <c r="AD158" s="123"/>
      <c r="AE158" s="123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3"/>
      <c r="AU158" s="13"/>
      <c r="AX158" s="114"/>
    </row>
    <row r="159" spans="1:50" ht="19.5" x14ac:dyDescent="0.4">
      <c r="A159" s="117"/>
      <c r="B159" s="123"/>
      <c r="C159" s="123"/>
      <c r="D159" s="123"/>
      <c r="G159" s="115"/>
      <c r="H159" s="115"/>
      <c r="I159" s="115"/>
      <c r="J159" s="115"/>
      <c r="K159" s="26">
        <v>45798</v>
      </c>
      <c r="L159" s="13" t="s">
        <v>148</v>
      </c>
      <c r="M159" s="115"/>
      <c r="N159" s="115"/>
      <c r="O159" s="115"/>
      <c r="P159" s="115"/>
      <c r="Q159" s="115"/>
      <c r="R159" s="115"/>
      <c r="S159" s="115"/>
      <c r="T159" s="115"/>
      <c r="U159" s="115"/>
      <c r="V159" s="25"/>
      <c r="W159" s="13"/>
      <c r="AB159" s="117"/>
      <c r="AC159" s="123"/>
      <c r="AD159" s="123"/>
      <c r="AE159" s="123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3"/>
      <c r="AU159" s="13"/>
      <c r="AX159" s="114"/>
    </row>
    <row r="160" spans="1:50" ht="19.5" x14ac:dyDescent="0.4">
      <c r="A160" s="117"/>
      <c r="B160" s="123"/>
      <c r="C160" s="123"/>
      <c r="D160" s="123"/>
      <c r="G160" s="115"/>
      <c r="H160" s="115"/>
      <c r="I160" s="115"/>
      <c r="J160" s="115" t="s">
        <v>209</v>
      </c>
      <c r="K160" s="17">
        <f>SUBTOTAL(3,K155:K159)</f>
        <v>5</v>
      </c>
      <c r="L160" s="13">
        <f>SUBTOTAL(3,L155:L159)</f>
        <v>5</v>
      </c>
      <c r="M160" s="115"/>
      <c r="N160" s="115"/>
      <c r="O160" s="115"/>
      <c r="P160" s="115"/>
      <c r="Q160" s="115"/>
      <c r="R160" s="115"/>
      <c r="S160" s="115"/>
      <c r="T160" s="115"/>
      <c r="U160" s="115"/>
      <c r="V160" s="25"/>
      <c r="W160" s="13"/>
      <c r="AB160" s="117"/>
      <c r="AC160" s="123"/>
      <c r="AD160" s="123"/>
      <c r="AE160" s="123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3"/>
      <c r="AU160" s="13"/>
      <c r="AX160" s="114"/>
    </row>
    <row r="161" spans="1:50" ht="19.5" x14ac:dyDescent="0.4">
      <c r="A161" s="117"/>
      <c r="B161" s="123"/>
      <c r="C161" s="123"/>
      <c r="D161" s="123"/>
      <c r="G161" s="115"/>
      <c r="H161" s="115"/>
      <c r="I161" s="115"/>
      <c r="J161" s="115"/>
      <c r="K161" s="26">
        <v>45800</v>
      </c>
      <c r="L161" s="13" t="s">
        <v>146</v>
      </c>
      <c r="M161" s="115"/>
      <c r="N161" s="115"/>
      <c r="O161" s="115"/>
      <c r="P161" s="115"/>
      <c r="Q161" s="115"/>
      <c r="R161" s="115"/>
      <c r="S161" s="115"/>
      <c r="T161" s="115"/>
      <c r="U161" s="115"/>
      <c r="V161" s="25"/>
      <c r="W161" s="13"/>
      <c r="AB161" s="117"/>
      <c r="AC161" s="123"/>
      <c r="AD161" s="123"/>
      <c r="AE161" s="123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3"/>
      <c r="AU161" s="13"/>
      <c r="AX161" s="114"/>
    </row>
    <row r="162" spans="1:50" ht="19.5" x14ac:dyDescent="0.4">
      <c r="A162" s="117"/>
      <c r="B162" s="123"/>
      <c r="C162" s="123"/>
      <c r="D162" s="123"/>
      <c r="G162" s="115"/>
      <c r="H162" s="115"/>
      <c r="I162" s="115"/>
      <c r="J162" s="115" t="s">
        <v>367</v>
      </c>
      <c r="K162" s="17">
        <f>SUBTOTAL(3,K161:K161)</f>
        <v>1</v>
      </c>
      <c r="L162" s="13">
        <f>SUBTOTAL(3,L161:L161)</f>
        <v>1</v>
      </c>
      <c r="M162" s="115"/>
      <c r="N162" s="115"/>
      <c r="O162" s="115"/>
      <c r="P162" s="115"/>
      <c r="Q162" s="115"/>
      <c r="R162" s="115"/>
      <c r="S162" s="115"/>
      <c r="T162" s="115"/>
      <c r="U162" s="115"/>
      <c r="V162" s="25"/>
      <c r="W162" s="13"/>
      <c r="AB162" s="117"/>
      <c r="AC162" s="123"/>
      <c r="AD162" s="123"/>
      <c r="AE162" s="123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3"/>
      <c r="AU162" s="13"/>
      <c r="AX162" s="114"/>
    </row>
    <row r="163" spans="1:50" ht="19.5" x14ac:dyDescent="0.4">
      <c r="A163" s="117"/>
      <c r="B163" s="123"/>
      <c r="C163" s="123"/>
      <c r="D163" s="123"/>
      <c r="K163" s="26">
        <v>45829</v>
      </c>
      <c r="L163" s="13" t="s">
        <v>148</v>
      </c>
      <c r="M163" s="115"/>
      <c r="N163" s="115"/>
      <c r="O163" s="115"/>
      <c r="P163" s="115"/>
      <c r="Q163" s="115"/>
      <c r="R163" s="115"/>
      <c r="S163" s="115"/>
      <c r="T163" s="115"/>
      <c r="U163" s="115"/>
      <c r="V163" s="25">
        <v>45682</v>
      </c>
      <c r="W163" s="13" t="s">
        <v>147</v>
      </c>
      <c r="AB163" s="117"/>
      <c r="AC163" s="123"/>
      <c r="AD163" s="123"/>
      <c r="AE163" s="123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3"/>
      <c r="AU163" s="13"/>
      <c r="AX163" s="114"/>
    </row>
    <row r="164" spans="1:50" ht="19.5" x14ac:dyDescent="0.4">
      <c r="A164" s="117"/>
      <c r="B164" s="123"/>
      <c r="C164" s="123"/>
      <c r="D164" s="123"/>
      <c r="J164" s="115" t="s">
        <v>368</v>
      </c>
      <c r="K164" s="17">
        <f>SUBTOTAL(3,K163:K163)</f>
        <v>1</v>
      </c>
      <c r="L164" s="13">
        <f>SUBTOTAL(3,L163:L163)</f>
        <v>1</v>
      </c>
      <c r="M164" s="115"/>
      <c r="N164" s="115"/>
      <c r="O164" s="115"/>
      <c r="P164" s="115"/>
      <c r="Q164" s="115"/>
      <c r="R164" s="115"/>
      <c r="S164" s="115"/>
      <c r="T164" s="115"/>
      <c r="U164" s="115"/>
      <c r="V164" s="25"/>
      <c r="W164" s="13"/>
      <c r="AB164" s="117"/>
      <c r="AC164" s="123"/>
      <c r="AD164" s="123"/>
      <c r="AE164" s="123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3"/>
      <c r="AU164" s="13"/>
      <c r="AX164" s="114"/>
    </row>
    <row r="165" spans="1:50" ht="19.5" x14ac:dyDescent="0.4">
      <c r="A165" s="117"/>
      <c r="B165" s="123"/>
      <c r="C165" s="123"/>
      <c r="D165" s="123"/>
      <c r="J165" s="115" t="s">
        <v>145</v>
      </c>
      <c r="K165" s="17">
        <f>SUBTOTAL(3,K2:K163)</f>
        <v>139</v>
      </c>
      <c r="L165" s="13">
        <f>SUBTOTAL(3,L2:L163)</f>
        <v>139</v>
      </c>
      <c r="M165" s="115"/>
      <c r="N165" s="115"/>
      <c r="O165" s="115"/>
      <c r="P165" s="115"/>
      <c r="Q165" s="115"/>
      <c r="R165" s="115"/>
      <c r="S165" s="115"/>
      <c r="T165" s="115"/>
      <c r="U165" s="115"/>
      <c r="V165" s="25"/>
      <c r="W165" s="13"/>
      <c r="AB165" s="117"/>
      <c r="AC165" s="123"/>
      <c r="AD165" s="123"/>
      <c r="AE165" s="123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3"/>
      <c r="AU165" s="13"/>
      <c r="AX165" s="114"/>
    </row>
    <row r="166" spans="1:50" ht="19.5" x14ac:dyDescent="0.4">
      <c r="A166" s="117"/>
      <c r="B166" s="123"/>
      <c r="C166" s="123"/>
      <c r="D166" s="123"/>
      <c r="K166" s="129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25"/>
      <c r="W166" s="13"/>
      <c r="AB166" s="117"/>
      <c r="AC166" s="123"/>
      <c r="AD166" s="123"/>
      <c r="AE166" s="123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3"/>
      <c r="AU166" s="13"/>
      <c r="AX166" s="114"/>
    </row>
    <row r="167" spans="1:50" ht="19.5" x14ac:dyDescent="0.4">
      <c r="A167" s="117"/>
      <c r="B167" s="123"/>
      <c r="C167" s="123"/>
      <c r="D167" s="123"/>
      <c r="K167" s="26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25"/>
      <c r="W167" s="13"/>
      <c r="AB167" s="117"/>
      <c r="AC167" s="123"/>
      <c r="AD167" s="123"/>
      <c r="AE167" s="123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3"/>
      <c r="AU167" s="13"/>
      <c r="AX167" s="114"/>
    </row>
    <row r="168" spans="1:50" ht="19.5" x14ac:dyDescent="0.4">
      <c r="A168" s="117"/>
      <c r="B168" s="123"/>
      <c r="C168" s="123"/>
      <c r="D168" s="123"/>
      <c r="K168" s="26"/>
      <c r="L168" s="13"/>
      <c r="V168" s="25">
        <v>45682</v>
      </c>
      <c r="W168" s="15" t="s">
        <v>146</v>
      </c>
      <c r="AB168" s="117"/>
      <c r="AC168" s="123"/>
      <c r="AD168" s="123"/>
      <c r="AE168" s="123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3"/>
      <c r="AU168" s="13"/>
      <c r="AX168" s="114"/>
    </row>
    <row r="169" spans="1:50" ht="19.5" x14ac:dyDescent="0.4">
      <c r="A169" s="117"/>
      <c r="B169" s="123"/>
      <c r="C169" s="123"/>
      <c r="D169" s="123"/>
      <c r="K169" s="129"/>
      <c r="L169" s="13"/>
      <c r="V169" s="25"/>
      <c r="W169" s="15"/>
      <c r="AB169" s="117"/>
      <c r="AC169" s="123"/>
      <c r="AD169" s="123"/>
      <c r="AE169" s="123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3"/>
      <c r="AU169" s="13"/>
      <c r="AX169" s="114"/>
    </row>
    <row r="170" spans="1:50" ht="19.5" x14ac:dyDescent="0.4">
      <c r="A170" s="117"/>
      <c r="B170" s="123"/>
      <c r="C170" s="123"/>
      <c r="D170" s="123"/>
      <c r="K170" s="26"/>
      <c r="L170" s="13"/>
      <c r="V170" s="25"/>
      <c r="W170" s="15"/>
      <c r="AB170" s="117"/>
      <c r="AC170" s="123"/>
      <c r="AD170" s="123"/>
      <c r="AE170" s="123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3"/>
      <c r="AU170" s="13"/>
      <c r="AX170" s="114"/>
    </row>
    <row r="171" spans="1:50" ht="19.5" x14ac:dyDescent="0.4">
      <c r="A171" s="117"/>
      <c r="B171" s="123"/>
      <c r="C171" s="123"/>
      <c r="D171" s="123"/>
      <c r="I171" s="115"/>
      <c r="J171" s="115"/>
      <c r="K171" s="26"/>
      <c r="L171" s="13"/>
      <c r="V171" s="25"/>
      <c r="W171" s="15"/>
      <c r="AB171" s="117"/>
      <c r="AC171" s="123"/>
      <c r="AD171" s="123"/>
      <c r="AE171" s="123"/>
      <c r="AJ171" s="115"/>
      <c r="AK171" s="115"/>
      <c r="AL171" s="115"/>
      <c r="AM171" s="115"/>
      <c r="AN171" s="115"/>
      <c r="AO171" s="115"/>
      <c r="AP171" s="115"/>
      <c r="AQ171" s="115"/>
      <c r="AR171" s="115"/>
      <c r="AS171" s="115"/>
      <c r="AT171" s="13"/>
      <c r="AU171" s="13"/>
      <c r="AX171" s="114"/>
    </row>
    <row r="172" spans="1:50" ht="19.5" x14ac:dyDescent="0.4">
      <c r="A172" s="117"/>
      <c r="B172" s="123"/>
      <c r="C172" s="123"/>
      <c r="D172" s="123"/>
      <c r="K172" s="26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25">
        <v>45682</v>
      </c>
      <c r="W172" s="15" t="s">
        <v>146</v>
      </c>
      <c r="AB172" s="117"/>
      <c r="AC172" s="123"/>
      <c r="AD172" s="123"/>
      <c r="AE172" s="123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3"/>
      <c r="AU172" s="13"/>
      <c r="AX172" s="114"/>
    </row>
    <row r="173" spans="1:50" ht="19.5" x14ac:dyDescent="0.4">
      <c r="A173" s="117"/>
      <c r="B173" s="123"/>
      <c r="C173" s="123"/>
      <c r="D173" s="123"/>
      <c r="K173" s="129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25"/>
      <c r="W173" s="15"/>
      <c r="AB173" s="117"/>
      <c r="AC173" s="123"/>
      <c r="AD173" s="123"/>
      <c r="AE173" s="123"/>
      <c r="AJ173" s="115"/>
      <c r="AK173" s="115"/>
      <c r="AL173" s="115"/>
      <c r="AM173" s="115"/>
      <c r="AN173" s="115"/>
      <c r="AO173" s="115"/>
      <c r="AP173" s="115"/>
      <c r="AQ173" s="115"/>
      <c r="AR173" s="115"/>
      <c r="AS173" s="115"/>
      <c r="AT173" s="13"/>
      <c r="AU173" s="13"/>
      <c r="AX173" s="114"/>
    </row>
    <row r="174" spans="1:50" ht="19.5" x14ac:dyDescent="0.4">
      <c r="A174" s="117"/>
      <c r="B174" s="123"/>
      <c r="C174" s="123"/>
      <c r="D174" s="123"/>
      <c r="K174" s="26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25">
        <v>45682</v>
      </c>
      <c r="W174" s="15" t="s">
        <v>148</v>
      </c>
      <c r="AB174" s="117"/>
      <c r="AC174" s="123"/>
      <c r="AD174" s="123"/>
      <c r="AE174" s="123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3"/>
      <c r="AU174" s="13"/>
      <c r="AX174" s="114"/>
    </row>
    <row r="175" spans="1:50" ht="19.5" x14ac:dyDescent="0.4">
      <c r="A175" s="117"/>
      <c r="B175" s="123"/>
      <c r="C175" s="123"/>
      <c r="D175" s="123"/>
      <c r="K175" s="26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25">
        <v>45682</v>
      </c>
      <c r="W175" s="15" t="s">
        <v>146</v>
      </c>
      <c r="AB175" s="117"/>
      <c r="AC175" s="123"/>
      <c r="AD175" s="123"/>
      <c r="AE175" s="123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115"/>
      <c r="AT175" s="13"/>
      <c r="AU175" s="13"/>
      <c r="AX175" s="114"/>
    </row>
    <row r="176" spans="1:50" ht="19.5" x14ac:dyDescent="0.4">
      <c r="A176" s="117"/>
      <c r="B176" s="123"/>
      <c r="C176" s="123"/>
      <c r="D176" s="123"/>
      <c r="K176" s="26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25">
        <v>45682</v>
      </c>
      <c r="W176" s="15" t="s">
        <v>148</v>
      </c>
      <c r="AB176" s="117"/>
      <c r="AC176" s="123"/>
      <c r="AD176" s="123"/>
      <c r="AE176" s="123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15"/>
      <c r="AT176" s="13"/>
      <c r="AU176" s="13"/>
      <c r="AX176" s="114"/>
    </row>
    <row r="177" spans="1:50" ht="19.5" x14ac:dyDescent="0.4">
      <c r="A177" s="117"/>
      <c r="B177" s="123"/>
      <c r="C177" s="123"/>
      <c r="D177" s="123"/>
      <c r="I177" s="115"/>
      <c r="J177" s="115"/>
      <c r="K177" s="26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25"/>
      <c r="W177" s="15"/>
      <c r="AB177" s="117"/>
      <c r="AC177" s="123"/>
      <c r="AD177" s="123"/>
      <c r="AE177" s="123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115"/>
      <c r="AT177" s="13"/>
      <c r="AU177" s="13"/>
      <c r="AX177" s="114"/>
    </row>
    <row r="178" spans="1:50" ht="19.5" x14ac:dyDescent="0.4">
      <c r="A178" s="117"/>
      <c r="B178" s="123"/>
      <c r="C178" s="123"/>
      <c r="D178" s="123"/>
      <c r="K178" s="26"/>
      <c r="L178" s="15"/>
      <c r="M178" s="115"/>
      <c r="N178" s="115"/>
      <c r="O178" s="115"/>
      <c r="P178" s="115"/>
      <c r="Q178" s="115"/>
      <c r="R178" s="115"/>
      <c r="S178" s="115"/>
      <c r="T178" s="115"/>
      <c r="U178" s="115"/>
      <c r="V178" s="25">
        <v>45682</v>
      </c>
      <c r="W178" s="15" t="s">
        <v>148</v>
      </c>
      <c r="AB178" s="117"/>
      <c r="AC178" s="123"/>
      <c r="AD178" s="123"/>
      <c r="AE178" s="123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3"/>
      <c r="AU178" s="13"/>
      <c r="AX178" s="114"/>
    </row>
    <row r="179" spans="1:50" ht="19.5" x14ac:dyDescent="0.4">
      <c r="A179" s="117"/>
      <c r="B179" s="123"/>
      <c r="C179" s="123"/>
      <c r="D179" s="123"/>
      <c r="K179" s="26"/>
      <c r="L179" s="15"/>
      <c r="M179" s="115"/>
      <c r="N179" s="115"/>
      <c r="O179" s="115"/>
      <c r="P179" s="115"/>
      <c r="Q179" s="115"/>
      <c r="R179" s="115"/>
      <c r="S179" s="115"/>
      <c r="T179" s="115"/>
      <c r="U179" s="115"/>
      <c r="V179" s="25">
        <v>45682</v>
      </c>
      <c r="W179" s="105" t="s">
        <v>148</v>
      </c>
      <c r="AB179" s="117"/>
      <c r="AC179" s="123"/>
      <c r="AD179" s="123"/>
      <c r="AE179" s="123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3"/>
      <c r="AU179" s="13"/>
      <c r="AX179" s="114"/>
    </row>
    <row r="180" spans="1:50" ht="19.5" x14ac:dyDescent="0.4">
      <c r="A180" s="117"/>
      <c r="B180" s="123"/>
      <c r="C180" s="123"/>
      <c r="D180" s="123"/>
      <c r="K180" s="26"/>
      <c r="L180" s="15"/>
      <c r="M180" s="115"/>
      <c r="N180" s="115"/>
      <c r="O180" s="115"/>
      <c r="P180" s="115"/>
      <c r="Q180" s="115"/>
      <c r="R180" s="115"/>
      <c r="S180" s="115"/>
      <c r="T180" s="115"/>
      <c r="U180" s="115"/>
      <c r="V180" s="25">
        <v>45682</v>
      </c>
      <c r="W180" s="105" t="s">
        <v>146</v>
      </c>
      <c r="AB180" s="117"/>
      <c r="AC180" s="123"/>
      <c r="AD180" s="123"/>
      <c r="AE180" s="123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15"/>
      <c r="AT180" s="13"/>
      <c r="AU180" s="13"/>
      <c r="AX180" s="114"/>
    </row>
    <row r="181" spans="1:50" ht="19.5" x14ac:dyDescent="0.4">
      <c r="A181" s="117"/>
      <c r="B181" s="123"/>
      <c r="C181" s="123"/>
      <c r="D181" s="123"/>
      <c r="K181" s="129"/>
      <c r="L181" s="15"/>
      <c r="M181" s="115"/>
      <c r="N181" s="115"/>
      <c r="O181" s="115"/>
      <c r="P181" s="115"/>
      <c r="Q181" s="115"/>
      <c r="R181" s="115"/>
      <c r="S181" s="115"/>
      <c r="T181" s="115"/>
      <c r="U181" s="115"/>
      <c r="V181" s="25"/>
      <c r="W181" s="105"/>
      <c r="AB181" s="117"/>
      <c r="AC181" s="123"/>
      <c r="AD181" s="123"/>
      <c r="AE181" s="123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15"/>
      <c r="AT181" s="13"/>
      <c r="AU181" s="13"/>
      <c r="AX181" s="114"/>
    </row>
    <row r="182" spans="1:50" ht="19.5" x14ac:dyDescent="0.4">
      <c r="A182" s="117"/>
      <c r="B182" s="123"/>
      <c r="C182" s="123"/>
      <c r="D182" s="123"/>
      <c r="F182" s="115"/>
      <c r="G182" s="115"/>
      <c r="H182" s="115"/>
      <c r="I182" s="115"/>
      <c r="J182" s="115"/>
      <c r="K182" s="26"/>
      <c r="L182" s="15"/>
      <c r="M182" s="115"/>
      <c r="N182" s="115"/>
      <c r="O182" s="115"/>
      <c r="P182" s="115"/>
      <c r="Q182" s="115"/>
      <c r="R182" s="115"/>
      <c r="S182" s="115"/>
      <c r="T182" s="115"/>
      <c r="U182" s="115"/>
      <c r="V182" s="25">
        <v>45682</v>
      </c>
      <c r="W182" s="15" t="s">
        <v>146</v>
      </c>
      <c r="AB182" s="117"/>
      <c r="AC182" s="123"/>
      <c r="AD182" s="123"/>
      <c r="AE182" s="123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15"/>
      <c r="AT182" s="13"/>
      <c r="AU182" s="13"/>
      <c r="AX182" s="114"/>
    </row>
    <row r="183" spans="1:50" ht="19.5" x14ac:dyDescent="0.4">
      <c r="A183" s="117"/>
      <c r="B183" s="123"/>
      <c r="C183" s="123"/>
      <c r="D183" s="123"/>
      <c r="F183" s="115"/>
      <c r="G183" s="115"/>
      <c r="H183" s="115"/>
      <c r="I183" s="115"/>
      <c r="J183" s="115"/>
      <c r="K183" s="26"/>
      <c r="L183" s="15"/>
      <c r="M183" s="115"/>
      <c r="N183" s="115"/>
      <c r="O183" s="115"/>
      <c r="P183" s="115"/>
      <c r="Q183" s="115"/>
      <c r="R183" s="115"/>
      <c r="S183" s="115"/>
      <c r="T183" s="115"/>
      <c r="U183" s="115"/>
      <c r="V183" s="25">
        <v>45683</v>
      </c>
      <c r="W183" s="13" t="s">
        <v>147</v>
      </c>
      <c r="AB183" s="117"/>
      <c r="AC183" s="123"/>
      <c r="AD183" s="123"/>
      <c r="AE183" s="123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115"/>
      <c r="AT183" s="13"/>
      <c r="AU183" s="13"/>
      <c r="AX183" s="114"/>
    </row>
    <row r="184" spans="1:50" ht="19.5" x14ac:dyDescent="0.4">
      <c r="A184" s="117"/>
      <c r="B184" s="123"/>
      <c r="C184" s="123"/>
      <c r="D184" s="123"/>
      <c r="F184" s="115"/>
      <c r="G184" s="115"/>
      <c r="H184" s="115"/>
      <c r="I184" s="115"/>
      <c r="J184" s="115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25">
        <v>45683</v>
      </c>
      <c r="W184" s="13" t="s">
        <v>147</v>
      </c>
      <c r="AB184" s="117"/>
      <c r="AC184" s="123"/>
      <c r="AD184" s="123"/>
      <c r="AE184" s="123"/>
      <c r="AJ184" s="115"/>
      <c r="AK184" s="115"/>
      <c r="AL184" s="115"/>
      <c r="AM184" s="115"/>
      <c r="AN184" s="115"/>
      <c r="AO184" s="115"/>
      <c r="AP184" s="115"/>
      <c r="AQ184" s="115"/>
      <c r="AR184" s="115"/>
      <c r="AS184" s="115"/>
      <c r="AT184" s="13"/>
      <c r="AU184" s="13"/>
      <c r="AX184" s="114"/>
    </row>
    <row r="185" spans="1:50" ht="19.5" x14ac:dyDescent="0.4">
      <c r="A185" s="117"/>
      <c r="B185" s="123"/>
      <c r="C185" s="123"/>
      <c r="D185" s="123"/>
      <c r="F185" s="115"/>
      <c r="G185" s="115"/>
      <c r="H185" s="115"/>
      <c r="I185" s="115"/>
      <c r="J185" s="115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25"/>
      <c r="W185" s="13"/>
      <c r="AB185" s="117"/>
      <c r="AC185" s="123"/>
      <c r="AD185" s="123"/>
      <c r="AE185" s="123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3"/>
      <c r="AU185" s="13"/>
      <c r="AX185" s="114"/>
    </row>
    <row r="186" spans="1:50" ht="19.5" x14ac:dyDescent="0.4">
      <c r="A186" s="117"/>
      <c r="B186" s="123"/>
      <c r="C186" s="123"/>
      <c r="D186" s="123"/>
      <c r="F186" s="115"/>
      <c r="G186" s="115"/>
      <c r="H186" s="115"/>
      <c r="I186" s="115"/>
      <c r="J186" s="115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25">
        <v>45684</v>
      </c>
      <c r="W186" s="13" t="s">
        <v>146</v>
      </c>
      <c r="AB186" s="117"/>
      <c r="AC186" s="123"/>
      <c r="AD186" s="123"/>
      <c r="AE186" s="123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15"/>
      <c r="AT186" s="13"/>
      <c r="AU186" s="13"/>
      <c r="AX186" s="114"/>
    </row>
    <row r="187" spans="1:50" ht="19.5" x14ac:dyDescent="0.4">
      <c r="A187" s="117"/>
      <c r="B187" s="123"/>
      <c r="C187" s="123"/>
      <c r="D187" s="123"/>
      <c r="F187" s="115"/>
      <c r="G187" s="115"/>
      <c r="H187" s="115"/>
      <c r="I187" s="115"/>
      <c r="J187" s="115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25"/>
      <c r="W187" s="13"/>
      <c r="AB187" s="117"/>
      <c r="AC187" s="123"/>
      <c r="AD187" s="123"/>
      <c r="AE187" s="123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15"/>
      <c r="AT187" s="13"/>
      <c r="AU187" s="13"/>
      <c r="AX187" s="114"/>
    </row>
    <row r="188" spans="1:50" ht="19.5" x14ac:dyDescent="0.4">
      <c r="A188" s="117"/>
      <c r="B188" s="123"/>
      <c r="C188" s="123"/>
      <c r="D188" s="123"/>
      <c r="F188" s="115"/>
      <c r="G188" s="115"/>
      <c r="H188" s="115"/>
      <c r="I188" s="115"/>
      <c r="J188" s="115"/>
      <c r="K188" s="129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25"/>
      <c r="W188" s="13"/>
      <c r="AB188" s="117"/>
      <c r="AC188" s="123"/>
      <c r="AD188" s="123"/>
      <c r="AE188" s="123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15"/>
      <c r="AT188" s="13"/>
      <c r="AU188" s="13"/>
      <c r="AX188" s="114"/>
    </row>
    <row r="189" spans="1:50" ht="19.5" x14ac:dyDescent="0.4">
      <c r="A189" s="117"/>
      <c r="B189" s="123"/>
      <c r="C189" s="123"/>
      <c r="D189" s="123"/>
      <c r="F189" s="115"/>
      <c r="G189" s="115"/>
      <c r="H189" s="115"/>
      <c r="I189" s="115"/>
      <c r="J189" s="115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25">
        <v>45684</v>
      </c>
      <c r="W189" s="13" t="s">
        <v>148</v>
      </c>
      <c r="AB189" s="117"/>
      <c r="AC189" s="123"/>
      <c r="AD189" s="123"/>
      <c r="AE189" s="123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15"/>
      <c r="AT189" s="13"/>
      <c r="AU189" s="13"/>
      <c r="AX189" s="114"/>
    </row>
    <row r="190" spans="1:50" ht="19.5" x14ac:dyDescent="0.4">
      <c r="A190" s="117"/>
      <c r="B190" s="123"/>
      <c r="C190" s="123"/>
      <c r="D190" s="123"/>
      <c r="F190" s="115"/>
      <c r="G190" s="115"/>
      <c r="H190" s="115"/>
      <c r="I190" s="115"/>
      <c r="J190" s="115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25"/>
      <c r="W190" s="13"/>
      <c r="AB190" s="117"/>
      <c r="AC190" s="123"/>
      <c r="AD190" s="123"/>
      <c r="AE190" s="123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115"/>
      <c r="AT190" s="13"/>
      <c r="AU190" s="13"/>
      <c r="AX190" s="114"/>
    </row>
    <row r="191" spans="1:50" ht="19.5" x14ac:dyDescent="0.4">
      <c r="A191" s="117"/>
      <c r="B191" s="123"/>
      <c r="C191" s="123"/>
      <c r="D191" s="123"/>
      <c r="F191" s="115"/>
      <c r="G191" s="115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25"/>
      <c r="W191" s="13"/>
      <c r="AB191" s="117"/>
      <c r="AC191" s="123"/>
      <c r="AD191" s="123"/>
      <c r="AE191" s="123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115"/>
      <c r="AT191" s="13"/>
      <c r="AU191" s="13"/>
      <c r="AX191" s="114"/>
    </row>
    <row r="192" spans="1:50" ht="19.5" x14ac:dyDescent="0.4">
      <c r="A192" s="117"/>
      <c r="B192" s="123"/>
      <c r="C192" s="123"/>
      <c r="D192" s="123"/>
      <c r="F192" s="115"/>
      <c r="G192" s="115"/>
      <c r="H192" s="115"/>
      <c r="I192" s="115"/>
      <c r="J192" s="115"/>
      <c r="K192" s="129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25"/>
      <c r="W192" s="13"/>
      <c r="AB192" s="117"/>
      <c r="AC192" s="123"/>
      <c r="AD192" s="123"/>
      <c r="AE192" s="123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115"/>
      <c r="AT192" s="13"/>
      <c r="AU192" s="13"/>
      <c r="AX192" s="114"/>
    </row>
    <row r="193" spans="1:50" ht="19.5" x14ac:dyDescent="0.4">
      <c r="A193" s="117"/>
      <c r="B193" s="123"/>
      <c r="C193" s="123"/>
      <c r="D193" s="123"/>
      <c r="F193" s="115"/>
      <c r="G193" s="115"/>
      <c r="H193" s="115"/>
      <c r="I193" s="115"/>
      <c r="J193" s="115"/>
      <c r="K193" s="26"/>
      <c r="L193" s="25"/>
      <c r="M193" s="115"/>
      <c r="N193" s="115"/>
      <c r="O193" s="115"/>
      <c r="P193" s="115"/>
      <c r="Q193" s="115"/>
      <c r="R193" s="115"/>
      <c r="S193" s="115"/>
      <c r="T193" s="115"/>
      <c r="U193" s="115"/>
      <c r="V193" s="25"/>
      <c r="W193" s="13"/>
      <c r="AB193" s="117"/>
      <c r="AC193" s="123"/>
      <c r="AD193" s="123"/>
      <c r="AE193" s="123"/>
      <c r="AJ193" s="115"/>
      <c r="AK193" s="115"/>
      <c r="AL193" s="115"/>
      <c r="AM193" s="115"/>
      <c r="AN193" s="115"/>
      <c r="AO193" s="115"/>
      <c r="AP193" s="115"/>
      <c r="AQ193" s="115"/>
      <c r="AR193" s="115"/>
      <c r="AS193" s="115"/>
      <c r="AT193" s="13"/>
      <c r="AU193" s="13"/>
      <c r="AX193" s="114"/>
    </row>
    <row r="194" spans="1:50" ht="19.5" x14ac:dyDescent="0.4">
      <c r="A194" s="117"/>
      <c r="B194" s="123"/>
      <c r="C194" s="123"/>
      <c r="D194" s="123"/>
      <c r="F194" s="115"/>
      <c r="G194" s="115"/>
      <c r="H194" s="115"/>
      <c r="I194" s="115"/>
      <c r="J194" s="115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25"/>
      <c r="W194" s="13"/>
      <c r="AB194" s="117"/>
      <c r="AC194" s="123"/>
      <c r="AD194" s="123"/>
      <c r="AE194" s="123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115"/>
      <c r="AT194" s="13"/>
      <c r="AU194" s="13"/>
      <c r="AX194" s="114"/>
    </row>
    <row r="195" spans="1:50" ht="19.5" x14ac:dyDescent="0.4">
      <c r="A195" s="117"/>
      <c r="B195" s="123"/>
      <c r="C195" s="123"/>
      <c r="D195" s="123"/>
      <c r="F195" s="115"/>
      <c r="G195" s="115"/>
      <c r="H195" s="115"/>
      <c r="I195" s="115"/>
      <c r="J195" s="115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25"/>
      <c r="W195" s="13"/>
      <c r="AB195" s="117"/>
      <c r="AC195" s="123"/>
      <c r="AD195" s="123"/>
      <c r="AE195" s="123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115"/>
      <c r="AT195" s="13"/>
      <c r="AU195" s="13"/>
      <c r="AX195" s="114"/>
    </row>
    <row r="196" spans="1:50" ht="19.5" x14ac:dyDescent="0.4">
      <c r="A196" s="117"/>
      <c r="B196" s="123"/>
      <c r="C196" s="123"/>
      <c r="D196" s="123"/>
      <c r="F196" s="115"/>
      <c r="G196" s="115"/>
      <c r="H196" s="115"/>
      <c r="I196" s="115"/>
      <c r="J196" s="115"/>
      <c r="K196" s="129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25"/>
      <c r="W196" s="13"/>
      <c r="AB196" s="117"/>
      <c r="AC196" s="123"/>
      <c r="AD196" s="123"/>
      <c r="AE196" s="123"/>
      <c r="AJ196" s="115"/>
      <c r="AK196" s="115"/>
      <c r="AL196" s="115"/>
      <c r="AM196" s="115"/>
      <c r="AN196" s="115"/>
      <c r="AO196" s="115"/>
      <c r="AP196" s="115"/>
      <c r="AQ196" s="115"/>
      <c r="AR196" s="115"/>
      <c r="AS196" s="115"/>
      <c r="AT196" s="13"/>
      <c r="AU196" s="13"/>
      <c r="AX196" s="114"/>
    </row>
    <row r="197" spans="1:50" ht="19.5" x14ac:dyDescent="0.4">
      <c r="A197" s="117"/>
      <c r="B197" s="123"/>
      <c r="C197" s="123"/>
      <c r="D197" s="123"/>
      <c r="F197" s="115"/>
      <c r="G197" s="115"/>
      <c r="H197" s="115"/>
      <c r="I197" s="115"/>
      <c r="J197" s="115"/>
      <c r="K197" s="26"/>
      <c r="L197" s="134"/>
      <c r="M197" s="115"/>
      <c r="N197" s="115"/>
      <c r="O197" s="115"/>
      <c r="P197" s="115"/>
      <c r="Q197" s="115"/>
      <c r="R197" s="115"/>
      <c r="S197" s="115"/>
      <c r="T197" s="115"/>
      <c r="U197" s="115"/>
      <c r="V197" s="25"/>
      <c r="W197" s="13"/>
      <c r="AB197" s="117"/>
      <c r="AC197" s="123"/>
      <c r="AD197" s="123"/>
      <c r="AE197" s="123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115"/>
      <c r="AT197" s="13"/>
      <c r="AU197" s="13"/>
      <c r="AX197" s="114"/>
    </row>
    <row r="198" spans="1:50" ht="19.5" x14ac:dyDescent="0.4">
      <c r="A198" s="117"/>
      <c r="B198" s="123"/>
      <c r="C198" s="123"/>
      <c r="D198" s="123"/>
      <c r="F198" s="115"/>
      <c r="G198" s="115"/>
      <c r="H198" s="115"/>
      <c r="I198" s="115"/>
      <c r="J198" s="115"/>
      <c r="K198" s="26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25">
        <v>45684</v>
      </c>
      <c r="W198" s="13" t="s">
        <v>147</v>
      </c>
      <c r="AB198" s="117"/>
      <c r="AC198" s="123"/>
      <c r="AD198" s="123"/>
      <c r="AE198" s="123"/>
      <c r="AJ198" s="115"/>
      <c r="AK198" s="115"/>
      <c r="AL198" s="115"/>
      <c r="AM198" s="115"/>
      <c r="AN198" s="115"/>
      <c r="AO198" s="115"/>
      <c r="AP198" s="115"/>
      <c r="AQ198" s="115"/>
      <c r="AR198" s="115"/>
      <c r="AS198" s="115"/>
      <c r="AT198" s="13"/>
      <c r="AU198" s="13"/>
      <c r="AX198" s="114"/>
    </row>
    <row r="199" spans="1:50" ht="19.5" x14ac:dyDescent="0.4">
      <c r="A199" s="117"/>
      <c r="B199" s="123"/>
      <c r="C199" s="123"/>
      <c r="D199" s="123"/>
      <c r="F199" s="115"/>
      <c r="G199" s="115"/>
      <c r="H199" s="115"/>
      <c r="I199" s="115"/>
      <c r="J199" s="115"/>
      <c r="K199" s="129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25"/>
      <c r="W199" s="13"/>
      <c r="AB199" s="117"/>
      <c r="AC199" s="123"/>
      <c r="AD199" s="123"/>
      <c r="AE199" s="123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3"/>
      <c r="AU199" s="13"/>
      <c r="AX199" s="114"/>
    </row>
    <row r="200" spans="1:50" ht="19.5" x14ac:dyDescent="0.4">
      <c r="A200" s="117"/>
      <c r="B200" s="123"/>
      <c r="C200" s="123"/>
      <c r="D200" s="123"/>
      <c r="F200" s="115"/>
      <c r="G200" s="115"/>
      <c r="H200" s="115"/>
      <c r="I200" s="115"/>
      <c r="J200" s="115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25"/>
      <c r="W200" s="13"/>
      <c r="AB200" s="117"/>
      <c r="AC200" s="123"/>
      <c r="AD200" s="123"/>
      <c r="AE200" s="123"/>
      <c r="AJ200" s="115"/>
      <c r="AK200" s="115"/>
      <c r="AL200" s="115"/>
      <c r="AM200" s="115"/>
      <c r="AN200" s="115"/>
      <c r="AO200" s="115"/>
      <c r="AP200" s="115"/>
      <c r="AQ200" s="115"/>
      <c r="AR200" s="115"/>
      <c r="AS200" s="115"/>
      <c r="AT200" s="13"/>
      <c r="AU200" s="13"/>
      <c r="AX200" s="114"/>
    </row>
    <row r="201" spans="1:50" ht="19.5" x14ac:dyDescent="0.4">
      <c r="A201" s="117"/>
      <c r="B201" s="123"/>
      <c r="C201" s="123"/>
      <c r="D201" s="123"/>
      <c r="F201" s="115"/>
      <c r="G201" s="115"/>
      <c r="H201" s="115"/>
      <c r="I201" s="115"/>
      <c r="J201" s="115"/>
      <c r="K201" s="26"/>
      <c r="L201" s="15"/>
      <c r="M201" s="115"/>
      <c r="N201" s="115"/>
      <c r="O201" s="115"/>
      <c r="P201" s="115"/>
      <c r="Q201" s="115"/>
      <c r="R201" s="115"/>
      <c r="S201" s="115"/>
      <c r="T201" s="115"/>
      <c r="U201" s="115"/>
      <c r="V201" s="25">
        <v>45684</v>
      </c>
      <c r="W201" s="13" t="s">
        <v>146</v>
      </c>
      <c r="AB201" s="117"/>
      <c r="AC201" s="123"/>
      <c r="AD201" s="123"/>
      <c r="AE201" s="123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15"/>
      <c r="AT201" s="13"/>
      <c r="AU201" s="13"/>
      <c r="AX201" s="114"/>
    </row>
    <row r="202" spans="1:50" ht="19.5" x14ac:dyDescent="0.4">
      <c r="A202" s="117"/>
      <c r="B202" s="123"/>
      <c r="C202" s="123"/>
      <c r="D202" s="123"/>
      <c r="F202" s="115"/>
      <c r="G202" s="115"/>
      <c r="H202" s="115"/>
      <c r="I202" s="115"/>
      <c r="J202" s="115"/>
      <c r="K202" s="129"/>
      <c r="L202" s="15"/>
      <c r="M202" s="115"/>
      <c r="N202" s="115"/>
      <c r="O202" s="115"/>
      <c r="P202" s="115"/>
      <c r="Q202" s="115"/>
      <c r="R202" s="115"/>
      <c r="S202" s="115"/>
      <c r="T202" s="115"/>
      <c r="U202" s="115"/>
      <c r="V202" s="25"/>
      <c r="W202" s="13"/>
      <c r="AB202" s="117"/>
      <c r="AC202" s="123"/>
      <c r="AD202" s="123"/>
      <c r="AE202" s="123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3"/>
      <c r="AU202" s="13"/>
      <c r="AX202" s="114"/>
    </row>
    <row r="203" spans="1:50" ht="19.5" x14ac:dyDescent="0.4">
      <c r="A203" s="117"/>
      <c r="B203" s="123"/>
      <c r="C203" s="123"/>
      <c r="D203" s="123"/>
      <c r="F203" s="115"/>
      <c r="G203" s="115"/>
      <c r="H203" s="115"/>
      <c r="I203" s="115"/>
      <c r="J203" s="115"/>
      <c r="K203" s="26"/>
      <c r="L203" s="15"/>
      <c r="M203" s="115"/>
      <c r="N203" s="115"/>
      <c r="O203" s="115"/>
      <c r="P203" s="115"/>
      <c r="Q203" s="115"/>
      <c r="R203" s="115"/>
      <c r="S203" s="115"/>
      <c r="T203" s="115"/>
      <c r="U203" s="115"/>
      <c r="V203" s="25"/>
      <c r="W203" s="13"/>
      <c r="AB203" s="117"/>
      <c r="AC203" s="123"/>
      <c r="AD203" s="123"/>
      <c r="AE203" s="123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3"/>
      <c r="AU203" s="13"/>
      <c r="AX203" s="114"/>
    </row>
    <row r="204" spans="1:50" ht="19.5" x14ac:dyDescent="0.4">
      <c r="A204" s="117"/>
      <c r="B204" s="123"/>
      <c r="C204" s="123"/>
      <c r="D204" s="123"/>
      <c r="F204" s="115"/>
      <c r="G204" s="115"/>
      <c r="H204" s="115"/>
      <c r="I204" s="115"/>
      <c r="J204" s="115"/>
      <c r="K204" s="129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25"/>
      <c r="W204" s="13"/>
      <c r="AB204" s="117"/>
      <c r="AC204" s="123"/>
      <c r="AD204" s="123"/>
      <c r="AE204" s="123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15"/>
      <c r="AT204" s="13"/>
      <c r="AU204" s="13"/>
      <c r="AX204" s="114"/>
    </row>
    <row r="205" spans="1:50" ht="19.5" x14ac:dyDescent="0.4">
      <c r="A205" s="117"/>
      <c r="B205" s="123"/>
      <c r="C205" s="123"/>
      <c r="D205" s="123"/>
      <c r="F205" s="115"/>
      <c r="G205" s="115"/>
      <c r="H205" s="115"/>
      <c r="I205" s="115"/>
      <c r="J205" s="115"/>
      <c r="K205" s="26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25"/>
      <c r="W205" s="13"/>
      <c r="AB205" s="117"/>
      <c r="AC205" s="123"/>
      <c r="AD205" s="123"/>
      <c r="AE205" s="123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115"/>
      <c r="AT205" s="13"/>
      <c r="AU205" s="13"/>
      <c r="AX205" s="114"/>
    </row>
    <row r="206" spans="1:50" ht="19.5" x14ac:dyDescent="0.4">
      <c r="A206" s="117"/>
      <c r="B206" s="123"/>
      <c r="C206" s="123"/>
      <c r="D206" s="123"/>
      <c r="F206" s="115"/>
      <c r="G206" s="115"/>
      <c r="H206" s="115"/>
      <c r="I206" s="115"/>
      <c r="J206" s="115"/>
      <c r="K206" s="129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25"/>
      <c r="W206" s="13"/>
      <c r="AB206" s="117"/>
      <c r="AC206" s="123"/>
      <c r="AD206" s="123"/>
      <c r="AE206" s="123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15"/>
      <c r="AT206" s="13"/>
      <c r="AU206" s="13"/>
      <c r="AX206" s="114"/>
    </row>
    <row r="207" spans="1:50" ht="19.5" x14ac:dyDescent="0.4">
      <c r="A207" s="117"/>
      <c r="B207" s="123"/>
      <c r="C207" s="123"/>
      <c r="D207" s="123"/>
      <c r="F207" s="115"/>
      <c r="G207" s="115"/>
      <c r="H207" s="115"/>
      <c r="I207" s="115"/>
      <c r="J207" s="115"/>
      <c r="K207" s="129"/>
      <c r="L207" s="15"/>
      <c r="M207" s="115"/>
      <c r="N207" s="115"/>
      <c r="O207" s="115"/>
      <c r="P207" s="115"/>
      <c r="Q207" s="115"/>
      <c r="R207" s="115"/>
      <c r="S207" s="115"/>
      <c r="T207" s="115"/>
      <c r="U207" s="115"/>
      <c r="V207" s="25"/>
      <c r="W207" s="13"/>
      <c r="AB207" s="117"/>
      <c r="AC207" s="123"/>
      <c r="AD207" s="123"/>
      <c r="AE207" s="123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3"/>
      <c r="AU207" s="13"/>
      <c r="AX207" s="114"/>
    </row>
    <row r="208" spans="1:50" ht="19.5" x14ac:dyDescent="0.4">
      <c r="A208" s="117"/>
      <c r="B208" s="123"/>
      <c r="C208" s="123"/>
      <c r="D208" s="123"/>
      <c r="F208" s="115"/>
      <c r="G208" s="115"/>
      <c r="H208" s="115"/>
      <c r="I208" s="115"/>
      <c r="J208" s="115"/>
      <c r="K208" s="26"/>
      <c r="L208" s="15"/>
      <c r="M208" s="115"/>
      <c r="N208" s="115"/>
      <c r="O208" s="115"/>
      <c r="P208" s="115"/>
      <c r="Q208" s="115"/>
      <c r="R208" s="115"/>
      <c r="S208" s="115"/>
      <c r="T208" s="115"/>
      <c r="U208" s="115"/>
      <c r="V208" s="25">
        <v>45684</v>
      </c>
      <c r="W208" s="13" t="s">
        <v>147</v>
      </c>
      <c r="AB208" s="117"/>
      <c r="AC208" s="123"/>
      <c r="AD208" s="123"/>
      <c r="AE208" s="123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15"/>
      <c r="AT208" s="13"/>
      <c r="AU208" s="13"/>
      <c r="AX208" s="114"/>
    </row>
    <row r="209" spans="1:50" ht="19.5" x14ac:dyDescent="0.4">
      <c r="A209" s="117"/>
      <c r="B209" s="123"/>
      <c r="C209" s="123"/>
      <c r="D209" s="123"/>
      <c r="F209" s="115"/>
      <c r="G209" s="115"/>
      <c r="H209" s="115"/>
      <c r="I209" s="115"/>
      <c r="J209" s="115"/>
      <c r="K209" s="26"/>
      <c r="L209" s="15"/>
      <c r="M209" s="115"/>
      <c r="N209" s="115"/>
      <c r="O209" s="115"/>
      <c r="P209" s="115"/>
      <c r="Q209" s="115"/>
      <c r="R209" s="115"/>
      <c r="S209" s="115"/>
      <c r="T209" s="115"/>
      <c r="U209" s="115"/>
      <c r="V209" s="25">
        <v>45684</v>
      </c>
      <c r="W209" s="13" t="s">
        <v>146</v>
      </c>
      <c r="AB209" s="117"/>
      <c r="AC209" s="123"/>
      <c r="AD209" s="123"/>
      <c r="AE209" s="123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15"/>
      <c r="AT209" s="13"/>
      <c r="AU209" s="13"/>
      <c r="AX209" s="114"/>
    </row>
    <row r="210" spans="1:50" ht="19.5" x14ac:dyDescent="0.4">
      <c r="A210" s="117"/>
      <c r="B210" s="123"/>
      <c r="C210" s="123"/>
      <c r="D210" s="123"/>
      <c r="F210" s="115"/>
      <c r="G210" s="115"/>
      <c r="H210" s="115"/>
      <c r="I210" s="115"/>
      <c r="J210" s="115"/>
      <c r="K210" s="26"/>
      <c r="L210" s="15"/>
      <c r="M210" s="115"/>
      <c r="N210" s="115"/>
      <c r="O210" s="115"/>
      <c r="P210" s="115"/>
      <c r="Q210" s="115"/>
      <c r="R210" s="115"/>
      <c r="S210" s="115"/>
      <c r="T210" s="115"/>
      <c r="U210" s="115"/>
      <c r="V210" s="25">
        <v>45684</v>
      </c>
      <c r="W210" s="13" t="s">
        <v>146</v>
      </c>
      <c r="AB210" s="117"/>
      <c r="AC210" s="123"/>
      <c r="AD210" s="123"/>
      <c r="AE210" s="123"/>
      <c r="AJ210" s="115"/>
      <c r="AK210" s="115"/>
      <c r="AL210" s="115"/>
      <c r="AM210" s="115"/>
      <c r="AN210" s="115"/>
      <c r="AO210" s="115"/>
      <c r="AP210" s="115"/>
      <c r="AQ210" s="115"/>
      <c r="AR210" s="115"/>
      <c r="AS210" s="115"/>
      <c r="AT210" s="13"/>
      <c r="AU210" s="13"/>
      <c r="AX210" s="114"/>
    </row>
    <row r="211" spans="1:50" ht="19.5" x14ac:dyDescent="0.4">
      <c r="A211" s="117"/>
      <c r="B211" s="123"/>
      <c r="C211" s="123"/>
      <c r="D211" s="123"/>
      <c r="F211" s="115"/>
      <c r="G211" s="115"/>
      <c r="H211" s="115"/>
      <c r="I211" s="115"/>
      <c r="J211" s="115"/>
      <c r="K211" s="20"/>
      <c r="L211" s="15"/>
      <c r="M211" s="115"/>
      <c r="N211" s="115"/>
      <c r="O211" s="115"/>
      <c r="P211" s="115"/>
      <c r="Q211" s="115"/>
      <c r="R211" s="115"/>
      <c r="S211" s="115"/>
      <c r="T211" s="115"/>
      <c r="U211" s="115"/>
      <c r="V211" s="25"/>
      <c r="W211" s="13"/>
      <c r="AB211" s="117"/>
      <c r="AC211" s="123"/>
      <c r="AD211" s="123"/>
      <c r="AE211" s="123"/>
      <c r="AJ211" s="115"/>
      <c r="AK211" s="115"/>
      <c r="AL211" s="115"/>
      <c r="AM211" s="115"/>
      <c r="AN211" s="115"/>
      <c r="AO211" s="115"/>
      <c r="AP211" s="115"/>
      <c r="AQ211" s="115"/>
      <c r="AR211" s="115"/>
      <c r="AS211" s="115"/>
      <c r="AT211" s="13"/>
      <c r="AU211" s="13"/>
      <c r="AX211" s="114"/>
    </row>
    <row r="212" spans="1:50" ht="19.5" x14ac:dyDescent="0.4">
      <c r="A212" s="117"/>
      <c r="B212" s="123"/>
      <c r="C212" s="123"/>
      <c r="D212" s="123"/>
      <c r="F212" s="115"/>
      <c r="G212" s="115"/>
      <c r="H212" s="115"/>
      <c r="I212" s="115"/>
      <c r="J212" s="115"/>
      <c r="K212" s="20"/>
      <c r="L212" s="15"/>
      <c r="M212" s="115"/>
      <c r="N212" s="115"/>
      <c r="O212" s="115"/>
      <c r="P212" s="115"/>
      <c r="Q212" s="115"/>
      <c r="R212" s="115"/>
      <c r="S212" s="115"/>
      <c r="T212" s="115"/>
      <c r="U212" s="115"/>
      <c r="V212" s="25"/>
      <c r="W212" s="13"/>
      <c r="AB212" s="117"/>
      <c r="AC212" s="123"/>
      <c r="AD212" s="123"/>
      <c r="AE212" s="123"/>
      <c r="AJ212" s="115"/>
      <c r="AK212" s="115"/>
      <c r="AL212" s="115"/>
      <c r="AM212" s="115"/>
      <c r="AN212" s="115"/>
      <c r="AO212" s="115"/>
      <c r="AP212" s="115"/>
      <c r="AQ212" s="115"/>
      <c r="AR212" s="115"/>
      <c r="AS212" s="115"/>
      <c r="AT212" s="13"/>
      <c r="AU212" s="13"/>
      <c r="AX212" s="114"/>
    </row>
    <row r="213" spans="1:50" ht="19.5" x14ac:dyDescent="0.4">
      <c r="A213" s="117"/>
      <c r="B213" s="123"/>
      <c r="C213" s="123"/>
      <c r="D213" s="123"/>
      <c r="F213" s="115"/>
      <c r="G213" s="115"/>
      <c r="H213" s="115"/>
      <c r="I213" s="115"/>
      <c r="J213" s="115"/>
      <c r="K213" s="25"/>
      <c r="L213" s="15"/>
      <c r="M213" s="115"/>
      <c r="N213" s="115"/>
      <c r="O213" s="115"/>
      <c r="P213" s="115"/>
      <c r="Q213" s="115"/>
      <c r="R213" s="115"/>
      <c r="S213" s="115"/>
      <c r="T213" s="115"/>
      <c r="U213" s="115"/>
      <c r="V213" s="25">
        <v>45684</v>
      </c>
      <c r="W213" s="13" t="s">
        <v>147</v>
      </c>
      <c r="AB213" s="117"/>
      <c r="AC213" s="123"/>
      <c r="AD213" s="123"/>
      <c r="AE213" s="123"/>
      <c r="AJ213" s="115"/>
      <c r="AK213" s="115"/>
      <c r="AL213" s="115"/>
      <c r="AM213" s="115"/>
      <c r="AN213" s="115"/>
      <c r="AO213" s="115"/>
      <c r="AP213" s="115"/>
      <c r="AQ213" s="115"/>
      <c r="AR213" s="115"/>
      <c r="AS213" s="115"/>
      <c r="AT213" s="13"/>
      <c r="AU213" s="13"/>
      <c r="AX213" s="114"/>
    </row>
    <row r="214" spans="1:50" ht="19.5" x14ac:dyDescent="0.4">
      <c r="A214" s="117"/>
      <c r="B214" s="123"/>
      <c r="C214" s="123"/>
      <c r="D214" s="123"/>
      <c r="K214" s="25"/>
      <c r="L214" s="15"/>
      <c r="V214" s="25">
        <v>45685</v>
      </c>
      <c r="W214" s="13" t="s">
        <v>146</v>
      </c>
      <c r="AB214" s="117"/>
      <c r="AC214" s="123"/>
      <c r="AD214" s="123"/>
      <c r="AE214" s="123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115"/>
      <c r="AT214" s="25">
        <v>45263</v>
      </c>
      <c r="AU214" s="13" t="s">
        <v>162</v>
      </c>
      <c r="AX214" s="114"/>
    </row>
    <row r="215" spans="1:50" ht="19.5" x14ac:dyDescent="0.4">
      <c r="A215" s="117"/>
      <c r="B215" s="123"/>
      <c r="C215" s="123"/>
      <c r="D215" s="123"/>
      <c r="K215" s="25"/>
      <c r="L215" s="15"/>
      <c r="S215" s="115"/>
      <c r="T215" s="115"/>
      <c r="U215" s="115"/>
      <c r="V215" s="25">
        <v>45685</v>
      </c>
      <c r="W215" s="13" t="s">
        <v>147</v>
      </c>
      <c r="AB215" s="117"/>
      <c r="AC215" s="123"/>
      <c r="AD215" s="123"/>
      <c r="AE215" s="123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115"/>
      <c r="AT215" s="25"/>
      <c r="AU215" s="13"/>
      <c r="AX215" s="114"/>
    </row>
    <row r="216" spans="1:50" ht="19.5" x14ac:dyDescent="0.4">
      <c r="A216" s="117"/>
      <c r="B216" s="123"/>
      <c r="C216" s="123"/>
      <c r="D216" s="123"/>
      <c r="K216" s="133"/>
      <c r="L216" s="15"/>
      <c r="S216" s="115"/>
      <c r="T216" s="115"/>
      <c r="U216" s="115"/>
      <c r="V216" s="25"/>
      <c r="W216" s="13"/>
      <c r="AB216" s="117"/>
      <c r="AC216" s="123"/>
      <c r="AD216" s="123"/>
      <c r="AE216" s="123"/>
      <c r="AJ216" s="115"/>
      <c r="AK216" s="115"/>
      <c r="AL216" s="115"/>
      <c r="AM216" s="115"/>
      <c r="AN216" s="115"/>
      <c r="AO216" s="115"/>
      <c r="AP216" s="115"/>
      <c r="AQ216" s="115"/>
      <c r="AR216" s="115"/>
      <c r="AS216" s="115"/>
      <c r="AT216" s="25"/>
      <c r="AU216" s="13"/>
      <c r="AX216" s="114"/>
    </row>
    <row r="217" spans="1:50" ht="19.5" x14ac:dyDescent="0.4">
      <c r="A217" s="117"/>
      <c r="B217" s="123"/>
      <c r="C217" s="123"/>
      <c r="D217" s="123"/>
      <c r="K217" s="25"/>
      <c r="L217" s="15"/>
      <c r="M217" s="115"/>
      <c r="N217" s="115"/>
      <c r="O217" s="115"/>
      <c r="P217" s="115"/>
      <c r="Q217" s="115"/>
      <c r="R217" s="115"/>
      <c r="S217" s="115"/>
      <c r="T217" s="115"/>
      <c r="U217" s="115"/>
      <c r="V217" s="25">
        <v>45685</v>
      </c>
      <c r="W217" s="13" t="s">
        <v>147</v>
      </c>
      <c r="AB217" s="117"/>
      <c r="AC217" s="123"/>
      <c r="AD217" s="123"/>
      <c r="AE217" s="123"/>
      <c r="AJ217" s="115"/>
      <c r="AK217" s="115"/>
      <c r="AL217" s="115"/>
      <c r="AM217" s="115"/>
      <c r="AN217" s="115"/>
      <c r="AO217" s="115"/>
      <c r="AP217" s="115"/>
      <c r="AQ217" s="115"/>
      <c r="AR217" s="115"/>
      <c r="AS217" s="115"/>
      <c r="AT217" s="25"/>
      <c r="AU217" s="13"/>
      <c r="AX217" s="114"/>
    </row>
    <row r="218" spans="1:50" ht="19.5" x14ac:dyDescent="0.4">
      <c r="A218" s="117"/>
      <c r="B218" s="123"/>
      <c r="C218" s="123"/>
      <c r="D218" s="123"/>
      <c r="K218" s="25"/>
      <c r="L218" s="15"/>
      <c r="M218" s="115"/>
      <c r="N218" s="115"/>
      <c r="O218" s="115"/>
      <c r="P218" s="115"/>
      <c r="Q218" s="115"/>
      <c r="R218" s="115"/>
      <c r="S218" s="115"/>
      <c r="T218" s="115"/>
      <c r="U218" s="115"/>
      <c r="V218" s="25">
        <v>45685</v>
      </c>
      <c r="W218" s="13" t="s">
        <v>148</v>
      </c>
      <c r="AB218" s="117"/>
      <c r="AC218" s="123"/>
      <c r="AD218" s="123"/>
      <c r="AE218" s="123"/>
      <c r="AJ218" s="115"/>
      <c r="AK218" s="115"/>
      <c r="AL218" s="115"/>
      <c r="AM218" s="115"/>
      <c r="AN218" s="115"/>
      <c r="AO218" s="115"/>
      <c r="AP218" s="115"/>
      <c r="AQ218" s="115"/>
      <c r="AR218" s="115"/>
      <c r="AS218" s="115"/>
      <c r="AT218" s="25"/>
      <c r="AU218" s="13"/>
      <c r="AX218" s="114"/>
    </row>
    <row r="219" spans="1:50" ht="19.5" x14ac:dyDescent="0.4">
      <c r="A219" s="117"/>
      <c r="B219" s="123"/>
      <c r="C219" s="123"/>
      <c r="D219" s="123"/>
      <c r="K219" s="25"/>
      <c r="L219" s="15"/>
      <c r="M219" s="115"/>
      <c r="N219" s="115"/>
      <c r="O219" s="115"/>
      <c r="P219" s="115"/>
      <c r="Q219" s="115"/>
      <c r="R219" s="115"/>
      <c r="S219" s="115"/>
      <c r="T219" s="115"/>
      <c r="U219" s="115"/>
      <c r="V219" s="25">
        <v>45685</v>
      </c>
      <c r="W219" s="13" t="s">
        <v>148</v>
      </c>
      <c r="AB219" s="117"/>
      <c r="AC219" s="123"/>
      <c r="AD219" s="123"/>
      <c r="AE219" s="123"/>
      <c r="AJ219" s="115"/>
      <c r="AK219" s="115"/>
      <c r="AL219" s="115"/>
      <c r="AM219" s="115"/>
      <c r="AN219" s="115"/>
      <c r="AO219" s="115"/>
      <c r="AP219" s="115"/>
      <c r="AQ219" s="115"/>
      <c r="AR219" s="115"/>
      <c r="AS219" s="115"/>
      <c r="AT219" s="25"/>
      <c r="AU219" s="13"/>
      <c r="AX219" s="114"/>
    </row>
    <row r="220" spans="1:50" ht="19.5" x14ac:dyDescent="0.4">
      <c r="A220" s="117"/>
      <c r="B220" s="123"/>
      <c r="C220" s="123"/>
      <c r="D220" s="123"/>
      <c r="K220" s="133"/>
      <c r="L220" s="15"/>
      <c r="M220" s="115"/>
      <c r="N220" s="115"/>
      <c r="O220" s="115"/>
      <c r="P220" s="115"/>
      <c r="Q220" s="115"/>
      <c r="R220" s="115"/>
      <c r="S220" s="115"/>
      <c r="T220" s="115"/>
      <c r="U220" s="115"/>
      <c r="V220" s="25"/>
      <c r="W220" s="13"/>
      <c r="AB220" s="117"/>
      <c r="AC220" s="123"/>
      <c r="AD220" s="123"/>
      <c r="AE220" s="123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115"/>
      <c r="AT220" s="25"/>
      <c r="AU220" s="13"/>
      <c r="AX220" s="114"/>
    </row>
    <row r="221" spans="1:50" ht="19.5" x14ac:dyDescent="0.4">
      <c r="A221" s="117"/>
      <c r="B221" s="123"/>
      <c r="C221" s="123"/>
      <c r="D221" s="123"/>
      <c r="H221" s="115"/>
      <c r="I221" s="115"/>
      <c r="J221" s="115"/>
      <c r="K221" s="25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25"/>
      <c r="W221" s="13"/>
      <c r="AB221" s="117"/>
      <c r="AC221" s="123"/>
      <c r="AD221" s="123"/>
      <c r="AE221" s="123"/>
      <c r="AJ221" s="115"/>
      <c r="AK221" s="115"/>
      <c r="AL221" s="115"/>
      <c r="AM221" s="115"/>
      <c r="AN221" s="115"/>
      <c r="AO221" s="115"/>
      <c r="AP221" s="115"/>
      <c r="AQ221" s="115"/>
      <c r="AR221" s="115"/>
      <c r="AS221" s="115"/>
      <c r="AT221" s="25"/>
      <c r="AU221" s="13"/>
      <c r="AX221" s="114"/>
    </row>
    <row r="222" spans="1:50" ht="19.5" x14ac:dyDescent="0.4">
      <c r="A222" s="117"/>
      <c r="B222" s="123"/>
      <c r="C222" s="123"/>
      <c r="D222" s="123"/>
      <c r="H222" s="115"/>
      <c r="I222" s="115"/>
      <c r="J222" s="115"/>
      <c r="K222" s="133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25"/>
      <c r="W222" s="13"/>
      <c r="AB222" s="117"/>
      <c r="AC222" s="123"/>
      <c r="AD222" s="123"/>
      <c r="AE222" s="123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115"/>
      <c r="AT222" s="25"/>
      <c r="AU222" s="13"/>
      <c r="AX222" s="114"/>
    </row>
    <row r="223" spans="1:50" ht="19.5" x14ac:dyDescent="0.4">
      <c r="A223" s="117"/>
      <c r="B223" s="123"/>
      <c r="C223" s="123"/>
      <c r="D223" s="123"/>
      <c r="K223" s="25"/>
      <c r="L223" s="15"/>
      <c r="M223" s="115"/>
      <c r="N223" s="115"/>
      <c r="O223" s="115"/>
      <c r="P223" s="115"/>
      <c r="Q223" s="115"/>
      <c r="R223" s="115"/>
      <c r="S223" s="115"/>
      <c r="T223" s="115"/>
      <c r="U223" s="115"/>
      <c r="V223" s="25">
        <v>45685</v>
      </c>
      <c r="W223" s="13" t="s">
        <v>148</v>
      </c>
      <c r="AB223" s="117"/>
      <c r="AC223" s="123"/>
      <c r="AD223" s="123"/>
      <c r="AE223" s="123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115"/>
      <c r="AT223" s="25"/>
      <c r="AU223" s="13"/>
      <c r="AX223" s="114"/>
    </row>
    <row r="224" spans="1:50" ht="19.5" x14ac:dyDescent="0.4">
      <c r="A224" s="117"/>
      <c r="B224" s="123"/>
      <c r="C224" s="123"/>
      <c r="D224" s="123"/>
      <c r="K224" s="25"/>
      <c r="L224" s="15"/>
      <c r="M224" s="115"/>
      <c r="N224" s="115"/>
      <c r="O224" s="115"/>
      <c r="P224" s="115"/>
      <c r="Q224" s="115"/>
      <c r="R224" s="115"/>
      <c r="S224" s="115"/>
      <c r="T224" s="115"/>
      <c r="U224" s="115"/>
      <c r="V224" s="25">
        <v>45685</v>
      </c>
      <c r="W224" s="13" t="s">
        <v>148</v>
      </c>
      <c r="AB224" s="117"/>
      <c r="AC224" s="123"/>
      <c r="AD224" s="123"/>
      <c r="AE224" s="123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115"/>
      <c r="AT224" s="25"/>
      <c r="AU224" s="13"/>
      <c r="AX224" s="114"/>
    </row>
    <row r="225" spans="1:50" ht="19.5" x14ac:dyDescent="0.4">
      <c r="A225" s="117"/>
      <c r="B225" s="123"/>
      <c r="C225" s="123"/>
      <c r="D225" s="123"/>
      <c r="K225" s="25"/>
      <c r="L225" s="15"/>
      <c r="M225" s="115"/>
      <c r="N225" s="115"/>
      <c r="O225" s="115"/>
      <c r="P225" s="115"/>
      <c r="Q225" s="115"/>
      <c r="R225" s="115"/>
      <c r="S225" s="115"/>
      <c r="T225" s="115"/>
      <c r="U225" s="115"/>
      <c r="V225" s="25">
        <v>45685</v>
      </c>
      <c r="W225" s="13" t="s">
        <v>146</v>
      </c>
      <c r="AB225" s="117"/>
      <c r="AC225" s="123"/>
      <c r="AD225" s="123"/>
      <c r="AE225" s="123"/>
      <c r="AJ225" s="115"/>
      <c r="AK225" s="115"/>
      <c r="AL225" s="115"/>
      <c r="AM225" s="115"/>
      <c r="AN225" s="115"/>
      <c r="AO225" s="115"/>
      <c r="AP225" s="115"/>
      <c r="AQ225" s="115"/>
      <c r="AR225" s="115"/>
      <c r="AS225" s="115"/>
      <c r="AT225" s="25"/>
      <c r="AU225" s="13"/>
      <c r="AX225" s="114"/>
    </row>
    <row r="226" spans="1:50" ht="19.5" x14ac:dyDescent="0.4">
      <c r="A226" s="117"/>
      <c r="B226" s="123"/>
      <c r="C226" s="123"/>
      <c r="D226" s="123"/>
      <c r="H226" s="115"/>
      <c r="I226" s="115"/>
      <c r="J226" s="115"/>
      <c r="K226" s="25"/>
      <c r="L226" s="15"/>
      <c r="M226" s="115"/>
      <c r="N226" s="115"/>
      <c r="O226" s="115"/>
      <c r="P226" s="115"/>
      <c r="Q226" s="115"/>
      <c r="R226" s="115"/>
      <c r="S226" s="115"/>
      <c r="T226" s="115"/>
      <c r="U226" s="115"/>
      <c r="V226" s="25"/>
      <c r="W226" s="13"/>
      <c r="AB226" s="117"/>
      <c r="AC226" s="123"/>
      <c r="AD226" s="123"/>
      <c r="AE226" s="123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15"/>
      <c r="AT226" s="25"/>
      <c r="AU226" s="13"/>
      <c r="AX226" s="114"/>
    </row>
    <row r="227" spans="1:50" ht="19.5" x14ac:dyDescent="0.4">
      <c r="A227" s="117"/>
      <c r="B227" s="123"/>
      <c r="C227" s="123"/>
      <c r="D227" s="123"/>
      <c r="K227" s="25"/>
      <c r="L227" s="15"/>
      <c r="V227" s="25">
        <v>45685</v>
      </c>
      <c r="W227" s="13" t="s">
        <v>148</v>
      </c>
      <c r="AB227" s="117"/>
      <c r="AC227" s="123"/>
      <c r="AD227" s="123"/>
      <c r="AE227" s="123"/>
      <c r="AJ227" s="115"/>
      <c r="AK227" s="115"/>
      <c r="AL227" s="115"/>
      <c r="AM227" s="115"/>
      <c r="AN227" s="115"/>
      <c r="AO227" s="115"/>
      <c r="AP227" s="115"/>
      <c r="AQ227" s="115"/>
      <c r="AR227" s="115"/>
      <c r="AS227" s="115" t="s">
        <v>150</v>
      </c>
      <c r="AT227" s="13">
        <f>SUBTOTAL(3,AT214:AT214)</f>
        <v>1</v>
      </c>
      <c r="AU227" s="13">
        <f>SUBTOTAL(3,AU214:AU214)</f>
        <v>1</v>
      </c>
      <c r="AX227" s="114"/>
    </row>
    <row r="228" spans="1:50" ht="19.5" x14ac:dyDescent="0.4">
      <c r="A228" s="117"/>
      <c r="B228" s="123"/>
      <c r="C228" s="123"/>
      <c r="D228" s="123"/>
      <c r="G228" s="115"/>
      <c r="H228" s="115"/>
      <c r="I228" s="115"/>
      <c r="J228" s="115"/>
      <c r="K228" s="25"/>
      <c r="L228" s="15"/>
      <c r="V228" s="25"/>
      <c r="W228" s="13"/>
      <c r="AB228" s="117"/>
      <c r="AC228" s="123"/>
      <c r="AD228" s="123"/>
      <c r="AE228" s="123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115"/>
      <c r="AT228" s="13"/>
      <c r="AU228" s="13"/>
      <c r="AX228" s="114"/>
    </row>
    <row r="229" spans="1:50" ht="19.5" x14ac:dyDescent="0.4">
      <c r="A229" s="117"/>
      <c r="B229" s="123"/>
      <c r="C229" s="123"/>
      <c r="D229" s="123"/>
      <c r="K229" s="25"/>
      <c r="L229" s="15"/>
      <c r="M229" s="115"/>
      <c r="N229" s="115"/>
      <c r="O229" s="115"/>
      <c r="P229" s="115"/>
      <c r="Q229" s="115"/>
      <c r="R229" s="115"/>
      <c r="S229" s="115"/>
      <c r="T229" s="115"/>
      <c r="U229" s="115"/>
      <c r="V229" s="25">
        <v>45685</v>
      </c>
      <c r="W229" s="15" t="s">
        <v>146</v>
      </c>
      <c r="AB229" s="117"/>
      <c r="AC229" s="123"/>
      <c r="AD229" s="123"/>
      <c r="AE229" s="123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115"/>
      <c r="AT229" s="13"/>
      <c r="AU229" s="13"/>
      <c r="AX229" s="114"/>
    </row>
    <row r="230" spans="1:50" ht="19.5" x14ac:dyDescent="0.4">
      <c r="A230" s="117"/>
      <c r="B230" s="123"/>
      <c r="C230" s="123"/>
      <c r="D230" s="123"/>
      <c r="K230" s="25"/>
      <c r="L230" s="15"/>
      <c r="V230" s="25">
        <v>45685</v>
      </c>
      <c r="W230" s="15" t="s">
        <v>146</v>
      </c>
      <c r="AB230" s="117"/>
      <c r="AC230" s="123"/>
      <c r="AD230" s="123"/>
      <c r="AE230" s="123"/>
      <c r="AJ230" s="115"/>
      <c r="AK230" s="115"/>
      <c r="AL230" s="115"/>
      <c r="AM230" s="115"/>
      <c r="AN230" s="115"/>
      <c r="AO230" s="115"/>
      <c r="AP230" s="115"/>
      <c r="AQ230" s="115"/>
      <c r="AR230" s="115"/>
      <c r="AS230" s="115"/>
      <c r="AT230" s="25">
        <v>45264</v>
      </c>
      <c r="AU230" s="13" t="s">
        <v>162</v>
      </c>
      <c r="AX230" s="114"/>
    </row>
    <row r="231" spans="1:50" ht="19.5" x14ac:dyDescent="0.4">
      <c r="A231" s="117"/>
      <c r="B231" s="123"/>
      <c r="C231" s="123"/>
      <c r="D231" s="123"/>
      <c r="K231" s="25"/>
      <c r="L231" s="15"/>
      <c r="R231" s="115"/>
      <c r="S231" s="115"/>
      <c r="T231" s="115"/>
      <c r="U231" s="115"/>
      <c r="V231" s="25">
        <v>45686</v>
      </c>
      <c r="W231" s="15" t="s">
        <v>148</v>
      </c>
      <c r="AB231" s="117"/>
      <c r="AC231" s="123"/>
      <c r="AD231" s="123"/>
      <c r="AE231" s="123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25"/>
      <c r="AU231" s="13"/>
      <c r="AX231" s="114"/>
    </row>
    <row r="232" spans="1:50" ht="19.5" x14ac:dyDescent="0.4">
      <c r="A232" s="117"/>
      <c r="B232" s="123"/>
      <c r="C232" s="123"/>
      <c r="D232" s="123"/>
      <c r="K232" s="25"/>
      <c r="L232" s="15"/>
      <c r="P232" s="115"/>
      <c r="Q232" s="115"/>
      <c r="R232" s="115"/>
      <c r="S232" s="115"/>
      <c r="T232" s="115"/>
      <c r="U232" s="115"/>
      <c r="V232" s="25">
        <v>45686</v>
      </c>
      <c r="W232" s="15" t="s">
        <v>146</v>
      </c>
      <c r="AB232" s="117"/>
      <c r="AC232" s="123"/>
      <c r="AD232" s="123"/>
      <c r="AE232" s="123"/>
      <c r="AJ232" s="115"/>
      <c r="AK232" s="115"/>
      <c r="AL232" s="115"/>
      <c r="AM232" s="115"/>
      <c r="AN232" s="115"/>
      <c r="AO232" s="115"/>
      <c r="AP232" s="115"/>
      <c r="AQ232" s="115"/>
      <c r="AR232" s="115"/>
      <c r="AS232" s="115"/>
      <c r="AT232" s="25"/>
      <c r="AU232" s="13"/>
      <c r="AX232" s="114"/>
    </row>
    <row r="233" spans="1:50" ht="19.5" x14ac:dyDescent="0.4">
      <c r="A233" s="117"/>
      <c r="B233" s="123"/>
      <c r="C233" s="123"/>
      <c r="D233" s="123"/>
      <c r="H233" s="115"/>
      <c r="I233" s="115"/>
      <c r="J233" s="115"/>
      <c r="K233" s="25"/>
      <c r="L233" s="15"/>
      <c r="P233" s="115"/>
      <c r="Q233" s="115"/>
      <c r="R233" s="115"/>
      <c r="S233" s="115"/>
      <c r="T233" s="115"/>
      <c r="U233" s="115"/>
      <c r="V233" s="25"/>
      <c r="W233" s="15"/>
      <c r="AB233" s="117"/>
      <c r="AC233" s="123"/>
      <c r="AD233" s="123"/>
      <c r="AE233" s="123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115"/>
      <c r="AT233" s="25"/>
      <c r="AU233" s="13"/>
      <c r="AX233" s="114"/>
    </row>
    <row r="234" spans="1:50" ht="19.5" x14ac:dyDescent="0.4">
      <c r="A234" s="117"/>
      <c r="B234" s="123"/>
      <c r="C234" s="123"/>
      <c r="D234" s="123"/>
      <c r="K234" s="26"/>
      <c r="L234" s="15"/>
      <c r="P234" s="115"/>
      <c r="Q234" s="115"/>
      <c r="R234" s="115"/>
      <c r="S234" s="115"/>
      <c r="T234" s="115"/>
      <c r="U234" s="115"/>
      <c r="V234" s="25">
        <v>45686</v>
      </c>
      <c r="W234" s="15" t="s">
        <v>148</v>
      </c>
      <c r="AB234" s="117"/>
      <c r="AC234" s="123"/>
      <c r="AD234" s="123"/>
      <c r="AE234" s="123"/>
      <c r="AJ234" s="115"/>
      <c r="AK234" s="115"/>
      <c r="AL234" s="115"/>
      <c r="AM234" s="115"/>
      <c r="AN234" s="115"/>
      <c r="AO234" s="115"/>
      <c r="AP234" s="115"/>
      <c r="AQ234" s="115"/>
      <c r="AR234" s="115"/>
      <c r="AS234" s="115"/>
      <c r="AT234" s="25"/>
      <c r="AU234" s="13"/>
      <c r="AX234" s="114"/>
    </row>
    <row r="235" spans="1:50" ht="19.5" x14ac:dyDescent="0.4">
      <c r="A235" s="117"/>
      <c r="B235" s="123"/>
      <c r="C235" s="123"/>
      <c r="D235" s="123"/>
      <c r="H235" s="115"/>
      <c r="I235" s="115"/>
      <c r="J235" s="115"/>
      <c r="K235" s="26"/>
      <c r="L235" s="13"/>
      <c r="P235" s="115"/>
      <c r="Q235" s="115"/>
      <c r="R235" s="115"/>
      <c r="S235" s="115"/>
      <c r="T235" s="115"/>
      <c r="U235" s="115"/>
      <c r="V235" s="25"/>
      <c r="W235" s="15"/>
      <c r="AB235" s="117"/>
      <c r="AC235" s="123"/>
      <c r="AD235" s="123"/>
      <c r="AE235" s="123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115"/>
      <c r="AT235" s="25"/>
      <c r="AU235" s="13"/>
      <c r="AX235" s="114"/>
    </row>
    <row r="236" spans="1:50" ht="19.5" x14ac:dyDescent="0.4">
      <c r="A236" s="117"/>
      <c r="B236" s="123"/>
      <c r="C236" s="123"/>
      <c r="D236" s="123"/>
      <c r="K236" s="26"/>
      <c r="L236" s="13"/>
      <c r="V236" s="25">
        <v>45686</v>
      </c>
      <c r="W236" s="15" t="s">
        <v>146</v>
      </c>
      <c r="AB236" s="117"/>
      <c r="AC236" s="123"/>
      <c r="AD236" s="123"/>
      <c r="AE236" s="123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115" t="s">
        <v>154</v>
      </c>
      <c r="AT236" s="13">
        <f>SUBTOTAL(3,AT230:AT230)</f>
        <v>1</v>
      </c>
      <c r="AU236" s="13">
        <f>SUBTOTAL(3,AU230:AU230)</f>
        <v>1</v>
      </c>
      <c r="AX236" s="114"/>
    </row>
    <row r="237" spans="1:50" ht="19.5" x14ac:dyDescent="0.4">
      <c r="A237" s="117"/>
      <c r="B237" s="123"/>
      <c r="C237" s="123"/>
      <c r="D237" s="123"/>
      <c r="H237" s="115"/>
      <c r="I237" s="115"/>
      <c r="J237" s="115"/>
      <c r="K237" s="26"/>
      <c r="L237" s="13"/>
      <c r="V237" s="25"/>
      <c r="W237" s="15"/>
      <c r="AB237" s="117"/>
      <c r="AC237" s="123"/>
      <c r="AD237" s="123"/>
      <c r="AE237" s="123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115"/>
      <c r="AT237" s="13"/>
      <c r="AU237" s="13"/>
      <c r="AX237" s="114"/>
    </row>
    <row r="238" spans="1:50" ht="19.5" x14ac:dyDescent="0.4">
      <c r="A238" s="117"/>
      <c r="B238" s="123"/>
      <c r="C238" s="123"/>
      <c r="D238" s="123"/>
      <c r="G238" s="115"/>
      <c r="H238" s="115"/>
      <c r="I238" s="115"/>
      <c r="J238" s="115"/>
      <c r="K238" s="26"/>
      <c r="L238" s="13"/>
      <c r="V238" s="25"/>
      <c r="W238" s="15"/>
      <c r="AB238" s="117"/>
      <c r="AC238" s="123"/>
      <c r="AD238" s="123"/>
      <c r="AE238" s="123"/>
      <c r="AJ238" s="115"/>
      <c r="AK238" s="115"/>
      <c r="AL238" s="115"/>
      <c r="AM238" s="115"/>
      <c r="AN238" s="115"/>
      <c r="AO238" s="115"/>
      <c r="AP238" s="115"/>
      <c r="AQ238" s="115"/>
      <c r="AR238" s="115"/>
      <c r="AS238" s="115"/>
      <c r="AT238" s="13"/>
      <c r="AU238" s="13"/>
      <c r="AX238" s="114"/>
    </row>
    <row r="239" spans="1:50" ht="19.5" x14ac:dyDescent="0.4">
      <c r="A239" s="117"/>
      <c r="B239" s="123"/>
      <c r="C239" s="123"/>
      <c r="D239" s="123"/>
      <c r="K239" s="26"/>
      <c r="L239" s="13"/>
      <c r="V239" s="25">
        <v>45686</v>
      </c>
      <c r="W239" s="15" t="s">
        <v>146</v>
      </c>
      <c r="AB239" s="117"/>
      <c r="AC239" s="123"/>
      <c r="AD239" s="123"/>
      <c r="AE239" s="123"/>
      <c r="AJ239" s="115"/>
      <c r="AK239" s="115"/>
      <c r="AL239" s="115"/>
      <c r="AM239" s="115"/>
      <c r="AN239" s="115"/>
      <c r="AO239" s="115"/>
      <c r="AP239" s="115"/>
      <c r="AQ239" s="115"/>
      <c r="AR239" s="115"/>
      <c r="AS239" s="115"/>
      <c r="AT239" s="25">
        <v>45265</v>
      </c>
      <c r="AU239" s="13" t="s">
        <v>162</v>
      </c>
      <c r="AX239" s="114"/>
    </row>
    <row r="240" spans="1:50" ht="19.5" x14ac:dyDescent="0.4">
      <c r="A240" s="117"/>
      <c r="B240" s="123"/>
      <c r="C240" s="123"/>
      <c r="D240" s="123"/>
      <c r="K240" s="26"/>
      <c r="L240" s="13"/>
      <c r="V240" s="25">
        <v>45686</v>
      </c>
      <c r="W240" s="15" t="s">
        <v>146</v>
      </c>
      <c r="AB240" s="117"/>
      <c r="AC240" s="123"/>
      <c r="AD240" s="123"/>
      <c r="AE240" s="123"/>
      <c r="AJ240" s="115"/>
      <c r="AK240" s="115"/>
      <c r="AL240" s="115"/>
      <c r="AM240" s="115"/>
      <c r="AN240" s="115"/>
      <c r="AO240" s="115"/>
      <c r="AP240" s="115"/>
      <c r="AQ240" s="115"/>
      <c r="AR240" s="115"/>
      <c r="AS240" s="115"/>
      <c r="AT240" s="25">
        <v>45265</v>
      </c>
      <c r="AU240" s="25" t="s">
        <v>162</v>
      </c>
      <c r="AX240" s="114"/>
    </row>
    <row r="241" spans="1:50" ht="19.5" x14ac:dyDescent="0.4">
      <c r="A241" s="117"/>
      <c r="B241" s="123"/>
      <c r="C241" s="123"/>
      <c r="D241" s="123"/>
      <c r="K241" s="26"/>
      <c r="L241" s="13"/>
      <c r="M241" s="115"/>
      <c r="N241" s="115"/>
      <c r="O241" s="115"/>
      <c r="P241" s="115"/>
      <c r="Q241" s="115"/>
      <c r="R241" s="115"/>
      <c r="S241" s="115"/>
      <c r="T241" s="115"/>
      <c r="U241" s="115"/>
      <c r="V241" s="25">
        <v>45686</v>
      </c>
      <c r="W241" s="15" t="s">
        <v>146</v>
      </c>
      <c r="AB241" s="117"/>
      <c r="AC241" s="123"/>
      <c r="AD241" s="123"/>
      <c r="AE241" s="123"/>
      <c r="AJ241" s="115"/>
      <c r="AK241" s="115"/>
      <c r="AL241" s="115"/>
      <c r="AM241" s="115"/>
      <c r="AN241" s="115"/>
      <c r="AO241" s="115"/>
      <c r="AP241" s="115"/>
      <c r="AQ241" s="115"/>
      <c r="AR241" s="115"/>
      <c r="AS241" s="115"/>
      <c r="AT241" s="25"/>
      <c r="AU241" s="25"/>
      <c r="AX241" s="114"/>
    </row>
    <row r="242" spans="1:50" ht="19.5" x14ac:dyDescent="0.4">
      <c r="A242" s="117"/>
      <c r="B242" s="123"/>
      <c r="C242" s="123"/>
      <c r="D242" s="123"/>
      <c r="K242" s="129"/>
      <c r="L242" s="13"/>
      <c r="M242" s="115"/>
      <c r="N242" s="115"/>
      <c r="O242" s="115"/>
      <c r="P242" s="115"/>
      <c r="Q242" s="115"/>
      <c r="R242" s="115"/>
      <c r="S242" s="115"/>
      <c r="T242" s="115"/>
      <c r="U242" s="115"/>
      <c r="V242" s="25"/>
      <c r="W242" s="13"/>
      <c r="AB242" s="117"/>
      <c r="AC242" s="123"/>
      <c r="AD242" s="123"/>
      <c r="AE242" s="123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115"/>
      <c r="AT242" s="25"/>
      <c r="AU242" s="25"/>
      <c r="AX242" s="114"/>
    </row>
    <row r="243" spans="1:50" ht="19.5" x14ac:dyDescent="0.4">
      <c r="A243" s="117"/>
      <c r="B243" s="123"/>
      <c r="C243" s="123"/>
      <c r="D243" s="123"/>
      <c r="K243" s="26"/>
      <c r="L243" s="13"/>
      <c r="V243" s="25">
        <v>45686</v>
      </c>
      <c r="W243" s="13" t="s">
        <v>146</v>
      </c>
      <c r="AB243" s="117"/>
      <c r="AC243" s="123"/>
      <c r="AD243" s="123"/>
      <c r="AE243" s="123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15"/>
      <c r="AT243" s="25">
        <v>45265</v>
      </c>
      <c r="AU243" s="13" t="s">
        <v>162</v>
      </c>
      <c r="AX243" s="114"/>
    </row>
    <row r="244" spans="1:50" ht="19.5" x14ac:dyDescent="0.4">
      <c r="A244" s="117"/>
      <c r="B244" s="123"/>
      <c r="C244" s="123"/>
      <c r="D244" s="123"/>
      <c r="H244" s="115"/>
      <c r="I244" s="115"/>
      <c r="J244" s="115"/>
      <c r="K244" s="26"/>
      <c r="L244" s="13"/>
      <c r="V244" s="25"/>
      <c r="W244" s="13"/>
      <c r="AB244" s="117"/>
      <c r="AC244" s="123"/>
      <c r="AD244" s="123"/>
      <c r="AE244" s="123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115"/>
      <c r="AT244" s="25"/>
      <c r="AU244" s="13"/>
      <c r="AX244" s="114"/>
    </row>
    <row r="245" spans="1:50" ht="19.5" x14ac:dyDescent="0.4">
      <c r="A245" s="117"/>
      <c r="B245" s="123"/>
      <c r="C245" s="123"/>
      <c r="D245" s="123"/>
      <c r="K245" s="26"/>
      <c r="L245" s="13"/>
      <c r="R245" s="115"/>
      <c r="S245" s="115"/>
      <c r="T245" s="115"/>
      <c r="U245" s="115"/>
      <c r="V245" s="25">
        <v>45686</v>
      </c>
      <c r="W245" s="15" t="s">
        <v>146</v>
      </c>
      <c r="AB245" s="117"/>
      <c r="AC245" s="123"/>
      <c r="AD245" s="123"/>
      <c r="AE245" s="123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25"/>
      <c r="AU245" s="13"/>
      <c r="AX245" s="114"/>
    </row>
    <row r="246" spans="1:50" ht="19.5" x14ac:dyDescent="0.4">
      <c r="A246" s="117"/>
      <c r="B246" s="123"/>
      <c r="C246" s="123"/>
      <c r="D246" s="123"/>
      <c r="K246" s="26"/>
      <c r="L246" s="13"/>
      <c r="V246" s="25">
        <v>45686</v>
      </c>
      <c r="W246" s="15" t="s">
        <v>147</v>
      </c>
      <c r="AB246" s="117"/>
      <c r="AC246" s="123"/>
      <c r="AD246" s="123"/>
      <c r="AE246" s="123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115"/>
      <c r="AT246" s="25">
        <v>45265</v>
      </c>
      <c r="AU246" s="13" t="s">
        <v>162</v>
      </c>
      <c r="AX246" s="114"/>
    </row>
    <row r="247" spans="1:50" ht="19.5" x14ac:dyDescent="0.4">
      <c r="A247" s="117"/>
      <c r="B247" s="123"/>
      <c r="C247" s="123"/>
      <c r="D247" s="123"/>
      <c r="K247" s="26"/>
      <c r="L247" s="13"/>
      <c r="S247" s="115"/>
      <c r="T247" s="115"/>
      <c r="U247" s="115"/>
      <c r="V247" s="25">
        <v>45686</v>
      </c>
      <c r="W247" s="15" t="s">
        <v>147</v>
      </c>
      <c r="AB247" s="117"/>
      <c r="AC247" s="123"/>
      <c r="AD247" s="123"/>
      <c r="AE247" s="123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115"/>
      <c r="AT247" s="25"/>
      <c r="AU247" s="13"/>
      <c r="AX247" s="114"/>
    </row>
    <row r="248" spans="1:50" ht="19.5" x14ac:dyDescent="0.4">
      <c r="A248" s="117"/>
      <c r="B248" s="123"/>
      <c r="C248" s="123"/>
      <c r="D248" s="123"/>
      <c r="K248" s="26"/>
      <c r="L248" s="13"/>
      <c r="M248" s="115"/>
      <c r="N248" s="115"/>
      <c r="O248" s="115"/>
      <c r="P248" s="115"/>
      <c r="Q248" s="115"/>
      <c r="R248" s="115"/>
      <c r="S248" s="115"/>
      <c r="T248" s="115"/>
      <c r="U248" s="115"/>
      <c r="V248" s="25">
        <v>45686</v>
      </c>
      <c r="W248" s="13" t="s">
        <v>146</v>
      </c>
      <c r="AB248" s="117"/>
      <c r="AC248" s="123"/>
      <c r="AD248" s="123"/>
      <c r="AE248" s="123"/>
      <c r="AJ248" s="115"/>
      <c r="AK248" s="115"/>
      <c r="AL248" s="115"/>
      <c r="AM248" s="115"/>
      <c r="AN248" s="115"/>
      <c r="AO248" s="115"/>
      <c r="AP248" s="115"/>
      <c r="AQ248" s="115"/>
      <c r="AR248" s="115"/>
      <c r="AS248" s="115"/>
      <c r="AT248" s="25"/>
      <c r="AU248" s="13"/>
      <c r="AX248" s="114"/>
    </row>
    <row r="249" spans="1:50" ht="19.5" x14ac:dyDescent="0.4">
      <c r="A249" s="117"/>
      <c r="B249" s="123"/>
      <c r="C249" s="123"/>
      <c r="D249" s="123"/>
      <c r="K249" s="26"/>
      <c r="L249" s="13"/>
      <c r="V249" s="25">
        <v>45686</v>
      </c>
      <c r="W249" s="25" t="s">
        <v>146</v>
      </c>
      <c r="AB249" s="117"/>
      <c r="AC249" s="123"/>
      <c r="AD249" s="123"/>
      <c r="AE249" s="123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15"/>
      <c r="AT249" s="25">
        <v>45265</v>
      </c>
      <c r="AU249" s="13" t="s">
        <v>163</v>
      </c>
      <c r="AX249" s="114"/>
    </row>
    <row r="250" spans="1:50" ht="19.5" x14ac:dyDescent="0.4">
      <c r="A250" s="117"/>
      <c r="B250" s="123"/>
      <c r="C250" s="123"/>
      <c r="D250" s="123"/>
      <c r="K250" s="26"/>
      <c r="L250" s="13"/>
      <c r="V250" s="25">
        <v>45686</v>
      </c>
      <c r="W250" s="25" t="s">
        <v>147</v>
      </c>
      <c r="AB250" s="117"/>
      <c r="AC250" s="123"/>
      <c r="AD250" s="123"/>
      <c r="AE250" s="123"/>
      <c r="AJ250" s="115"/>
      <c r="AK250" s="115"/>
      <c r="AL250" s="115"/>
      <c r="AM250" s="115"/>
      <c r="AN250" s="115"/>
      <c r="AO250" s="115"/>
      <c r="AP250" s="115"/>
      <c r="AQ250" s="115"/>
      <c r="AR250" s="115"/>
      <c r="AS250" s="115" t="s">
        <v>155</v>
      </c>
      <c r="AT250" s="13">
        <f>SUBTOTAL(3,AT239:AT249)</f>
        <v>5</v>
      </c>
      <c r="AU250" s="13">
        <f>SUBTOTAL(3,AU239:AU249)</f>
        <v>5</v>
      </c>
      <c r="AX250" s="114"/>
    </row>
    <row r="251" spans="1:50" ht="19.5" x14ac:dyDescent="0.4">
      <c r="A251" s="117"/>
      <c r="B251" s="123"/>
      <c r="C251" s="123"/>
      <c r="D251" s="123"/>
      <c r="K251" s="26"/>
      <c r="L251" s="13"/>
      <c r="M251" s="115"/>
      <c r="N251" s="115"/>
      <c r="O251" s="115"/>
      <c r="P251" s="115"/>
      <c r="Q251" s="115"/>
      <c r="R251" s="115"/>
      <c r="S251" s="115"/>
      <c r="T251" s="115"/>
      <c r="U251" s="115"/>
      <c r="V251" s="25">
        <v>45686</v>
      </c>
      <c r="W251" s="25" t="s">
        <v>148</v>
      </c>
      <c r="AB251" s="117"/>
      <c r="AC251" s="123"/>
      <c r="AD251" s="123"/>
      <c r="AE251" s="123"/>
      <c r="AJ251" s="115"/>
      <c r="AK251" s="115"/>
      <c r="AL251" s="115"/>
      <c r="AM251" s="115"/>
      <c r="AN251" s="115"/>
      <c r="AO251" s="115"/>
      <c r="AP251" s="115"/>
      <c r="AQ251" s="115"/>
      <c r="AR251" s="115"/>
      <c r="AS251" s="115"/>
      <c r="AT251" s="13"/>
      <c r="AU251" s="13"/>
      <c r="AX251" s="114"/>
    </row>
    <row r="252" spans="1:50" ht="19.5" x14ac:dyDescent="0.4">
      <c r="A252" s="117"/>
      <c r="B252" s="123"/>
      <c r="C252" s="123"/>
      <c r="D252" s="123"/>
      <c r="K252" s="26"/>
      <c r="L252" s="13"/>
      <c r="M252" s="115"/>
      <c r="N252" s="115"/>
      <c r="O252" s="115"/>
      <c r="P252" s="115"/>
      <c r="Q252" s="115"/>
      <c r="R252" s="115"/>
      <c r="S252" s="115"/>
      <c r="T252" s="115"/>
      <c r="U252" s="115"/>
      <c r="V252" s="25">
        <v>45686</v>
      </c>
      <c r="W252" s="13" t="s">
        <v>146</v>
      </c>
      <c r="AB252" s="117"/>
      <c r="AC252" s="123"/>
      <c r="AD252" s="123"/>
      <c r="AE252" s="123"/>
      <c r="AJ252" s="115"/>
      <c r="AK252" s="115"/>
      <c r="AL252" s="115"/>
      <c r="AM252" s="115"/>
      <c r="AN252" s="115"/>
      <c r="AO252" s="115"/>
      <c r="AP252" s="115"/>
      <c r="AQ252" s="115"/>
      <c r="AR252" s="115"/>
      <c r="AS252" s="115"/>
      <c r="AT252" s="13"/>
      <c r="AU252" s="13"/>
      <c r="AX252" s="114"/>
    </row>
    <row r="253" spans="1:50" ht="19.5" x14ac:dyDescent="0.4">
      <c r="A253" s="117"/>
      <c r="B253" s="123"/>
      <c r="C253" s="123"/>
      <c r="D253" s="123"/>
      <c r="F253" s="115"/>
      <c r="G253" s="115"/>
      <c r="H253" s="115"/>
      <c r="I253" s="115"/>
      <c r="J253" s="115"/>
      <c r="K253" s="26"/>
      <c r="L253" s="13"/>
      <c r="M253" s="115"/>
      <c r="N253" s="115"/>
      <c r="O253" s="115"/>
      <c r="P253" s="115"/>
      <c r="Q253" s="115"/>
      <c r="R253" s="115"/>
      <c r="S253" s="115"/>
      <c r="T253" s="115"/>
      <c r="U253" s="115"/>
      <c r="V253" s="25">
        <v>45686</v>
      </c>
      <c r="W253" s="13" t="s">
        <v>146</v>
      </c>
      <c r="AB253" s="117"/>
      <c r="AC253" s="123"/>
      <c r="AD253" s="123"/>
      <c r="AE253" s="123"/>
      <c r="AJ253" s="115"/>
      <c r="AK253" s="115"/>
      <c r="AL253" s="115"/>
      <c r="AM253" s="115"/>
      <c r="AN253" s="115"/>
      <c r="AO253" s="115"/>
      <c r="AP253" s="115"/>
      <c r="AQ253" s="115"/>
      <c r="AR253" s="115"/>
      <c r="AS253" s="115"/>
      <c r="AT253" s="13"/>
      <c r="AU253" s="13"/>
      <c r="AX253" s="114"/>
    </row>
    <row r="254" spans="1:50" ht="19.5" x14ac:dyDescent="0.4">
      <c r="A254" s="117"/>
      <c r="B254" s="123"/>
      <c r="C254" s="123"/>
      <c r="D254" s="123"/>
      <c r="F254" s="115"/>
      <c r="G254" s="115"/>
      <c r="H254" s="115"/>
      <c r="I254" s="115"/>
      <c r="J254" s="115"/>
      <c r="K254" s="26"/>
      <c r="L254" s="13"/>
      <c r="M254" s="115"/>
      <c r="N254" s="115"/>
      <c r="O254" s="115"/>
      <c r="P254" s="115"/>
      <c r="Q254" s="115"/>
      <c r="R254" s="115"/>
      <c r="S254" s="115"/>
      <c r="T254" s="115"/>
      <c r="U254" s="115"/>
      <c r="V254" s="25">
        <v>45686</v>
      </c>
      <c r="W254" s="15" t="s">
        <v>148</v>
      </c>
      <c r="AB254" s="117"/>
      <c r="AC254" s="123"/>
      <c r="AD254" s="123"/>
      <c r="AE254" s="123"/>
      <c r="AJ254" s="115"/>
      <c r="AK254" s="115"/>
      <c r="AL254" s="115"/>
      <c r="AM254" s="115"/>
      <c r="AN254" s="115"/>
      <c r="AO254" s="115"/>
      <c r="AP254" s="115"/>
      <c r="AQ254" s="115"/>
      <c r="AR254" s="115"/>
      <c r="AS254" s="115"/>
      <c r="AT254" s="13"/>
      <c r="AU254" s="13"/>
      <c r="AX254" s="114"/>
    </row>
    <row r="255" spans="1:50" ht="19.5" x14ac:dyDescent="0.4">
      <c r="A255" s="117"/>
      <c r="B255" s="123"/>
      <c r="C255" s="123"/>
      <c r="D255" s="123"/>
      <c r="F255" s="115"/>
      <c r="G255" s="115"/>
      <c r="H255" s="115"/>
      <c r="I255" s="115"/>
      <c r="J255" s="115"/>
      <c r="K255" s="26"/>
      <c r="L255" s="13"/>
      <c r="M255" s="115"/>
      <c r="N255" s="115"/>
      <c r="O255" s="115"/>
      <c r="P255" s="115"/>
      <c r="Q255" s="115"/>
      <c r="R255" s="115"/>
      <c r="S255" s="115"/>
      <c r="T255" s="115"/>
      <c r="U255" s="115"/>
      <c r="V255" s="25">
        <v>45686</v>
      </c>
      <c r="W255" s="15" t="s">
        <v>148</v>
      </c>
      <c r="AB255" s="117"/>
      <c r="AC255" s="123"/>
      <c r="AD255" s="123"/>
      <c r="AE255" s="123"/>
      <c r="AJ255" s="115"/>
      <c r="AK255" s="115"/>
      <c r="AL255" s="115"/>
      <c r="AM255" s="115"/>
      <c r="AN255" s="115"/>
      <c r="AO255" s="115"/>
      <c r="AP255" s="115"/>
      <c r="AQ255" s="115"/>
      <c r="AR255" s="115"/>
      <c r="AS255" s="115"/>
      <c r="AT255" s="13"/>
      <c r="AU255" s="13"/>
      <c r="AX255" s="114"/>
    </row>
    <row r="256" spans="1:50" ht="19.5" x14ac:dyDescent="0.4">
      <c r="A256" s="117"/>
      <c r="B256" s="123"/>
      <c r="C256" s="123"/>
      <c r="D256" s="123"/>
      <c r="F256" s="115"/>
      <c r="G256" s="115"/>
      <c r="H256" s="115"/>
      <c r="I256" s="115"/>
      <c r="J256" s="115"/>
      <c r="K256" s="26"/>
      <c r="L256" s="13"/>
      <c r="M256" s="115"/>
      <c r="N256" s="115"/>
      <c r="O256" s="115"/>
      <c r="P256" s="115"/>
      <c r="Q256" s="115"/>
      <c r="R256" s="115"/>
      <c r="S256" s="115"/>
      <c r="T256" s="115"/>
      <c r="U256" s="115"/>
      <c r="V256" s="25">
        <v>45686</v>
      </c>
      <c r="W256" s="15" t="s">
        <v>148</v>
      </c>
      <c r="AB256" s="117"/>
      <c r="AC256" s="123"/>
      <c r="AD256" s="123"/>
      <c r="AE256" s="123"/>
      <c r="AJ256" s="115"/>
      <c r="AK256" s="115"/>
      <c r="AL256" s="115"/>
      <c r="AM256" s="115"/>
      <c r="AN256" s="115"/>
      <c r="AO256" s="115"/>
      <c r="AP256" s="115"/>
      <c r="AQ256" s="115"/>
      <c r="AR256" s="115"/>
      <c r="AS256" s="115"/>
      <c r="AT256" s="13"/>
      <c r="AU256" s="13"/>
      <c r="AX256" s="114"/>
    </row>
    <row r="257" spans="1:50" ht="19.5" x14ac:dyDescent="0.4">
      <c r="A257" s="117"/>
      <c r="B257" s="123"/>
      <c r="C257" s="123"/>
      <c r="D257" s="123"/>
      <c r="F257" s="115"/>
      <c r="G257" s="115"/>
      <c r="H257" s="115"/>
      <c r="I257" s="115"/>
      <c r="J257" s="115"/>
      <c r="K257" s="26"/>
      <c r="L257" s="13"/>
      <c r="M257" s="115"/>
      <c r="N257" s="115"/>
      <c r="O257" s="115"/>
      <c r="P257" s="115"/>
      <c r="Q257" s="115"/>
      <c r="R257" s="115"/>
      <c r="S257" s="115"/>
      <c r="T257" s="115"/>
      <c r="U257" s="115"/>
      <c r="V257" s="25">
        <v>45686</v>
      </c>
      <c r="W257" s="15" t="s">
        <v>146</v>
      </c>
      <c r="AB257" s="117"/>
      <c r="AC257" s="123"/>
      <c r="AD257" s="123"/>
      <c r="AE257" s="123"/>
      <c r="AJ257" s="115"/>
      <c r="AK257" s="115"/>
      <c r="AL257" s="115"/>
      <c r="AM257" s="115"/>
      <c r="AN257" s="115"/>
      <c r="AO257" s="115"/>
      <c r="AP257" s="115"/>
      <c r="AQ257" s="115"/>
      <c r="AR257" s="115"/>
      <c r="AS257" s="115"/>
      <c r="AT257" s="13"/>
      <c r="AU257" s="13"/>
      <c r="AX257" s="114"/>
    </row>
    <row r="258" spans="1:50" ht="19.5" x14ac:dyDescent="0.4">
      <c r="A258" s="117"/>
      <c r="B258" s="123"/>
      <c r="C258" s="123"/>
      <c r="D258" s="123"/>
      <c r="F258" s="115"/>
      <c r="G258" s="115"/>
      <c r="H258" s="115"/>
      <c r="I258" s="115"/>
      <c r="J258" s="115"/>
      <c r="K258" s="26"/>
      <c r="L258" s="13"/>
      <c r="M258" s="115"/>
      <c r="N258" s="115"/>
      <c r="O258" s="115"/>
      <c r="P258" s="115"/>
      <c r="Q258" s="115"/>
      <c r="R258" s="115"/>
      <c r="S258" s="115"/>
      <c r="T258" s="115"/>
      <c r="U258" s="115"/>
      <c r="V258" s="25">
        <v>45686</v>
      </c>
      <c r="W258" s="15" t="s">
        <v>148</v>
      </c>
      <c r="AB258" s="117"/>
      <c r="AC258" s="123"/>
      <c r="AD258" s="123"/>
      <c r="AE258" s="123"/>
      <c r="AJ258" s="115"/>
      <c r="AK258" s="115"/>
      <c r="AL258" s="115"/>
      <c r="AM258" s="115"/>
      <c r="AN258" s="115"/>
      <c r="AO258" s="115"/>
      <c r="AP258" s="115"/>
      <c r="AQ258" s="115"/>
      <c r="AR258" s="115"/>
      <c r="AS258" s="115"/>
      <c r="AT258" s="13"/>
      <c r="AU258" s="13"/>
      <c r="AX258" s="114"/>
    </row>
    <row r="259" spans="1:50" ht="19.5" x14ac:dyDescent="0.4">
      <c r="A259" s="117"/>
      <c r="B259" s="123"/>
      <c r="C259" s="123"/>
      <c r="D259" s="123"/>
      <c r="F259" s="115"/>
      <c r="G259" s="115"/>
      <c r="H259" s="115"/>
      <c r="I259" s="115"/>
      <c r="J259" s="115"/>
      <c r="K259" s="26"/>
      <c r="L259" s="13"/>
      <c r="M259" s="115"/>
      <c r="N259" s="115"/>
      <c r="O259" s="115"/>
      <c r="P259" s="115"/>
      <c r="Q259" s="115"/>
      <c r="R259" s="115"/>
      <c r="S259" s="115"/>
      <c r="T259" s="115"/>
      <c r="U259" s="115"/>
      <c r="V259" s="25">
        <v>45689</v>
      </c>
      <c r="W259" s="15" t="s">
        <v>147</v>
      </c>
      <c r="AB259" s="117"/>
      <c r="AC259" s="123"/>
      <c r="AD259" s="123"/>
      <c r="AE259" s="123"/>
      <c r="AJ259" s="115"/>
      <c r="AK259" s="115"/>
      <c r="AL259" s="115"/>
      <c r="AM259" s="115"/>
      <c r="AN259" s="115"/>
      <c r="AO259" s="115"/>
      <c r="AP259" s="115"/>
      <c r="AQ259" s="115"/>
      <c r="AR259" s="115"/>
      <c r="AS259" s="115"/>
      <c r="AT259" s="13"/>
      <c r="AU259" s="13"/>
      <c r="AX259" s="114"/>
    </row>
    <row r="260" spans="1:50" ht="19.5" x14ac:dyDescent="0.4">
      <c r="A260" s="117"/>
      <c r="B260" s="123"/>
      <c r="C260" s="123"/>
      <c r="D260" s="123"/>
      <c r="F260" s="115"/>
      <c r="G260" s="115"/>
      <c r="H260" s="115"/>
      <c r="I260" s="115"/>
      <c r="J260" s="115"/>
      <c r="K260" s="26"/>
      <c r="L260" s="13"/>
      <c r="M260" s="115"/>
      <c r="N260" s="115"/>
      <c r="O260" s="115"/>
      <c r="P260" s="115"/>
      <c r="Q260" s="115"/>
      <c r="R260" s="115"/>
      <c r="S260" s="115"/>
      <c r="T260" s="115"/>
      <c r="U260" s="115"/>
      <c r="V260" s="25"/>
      <c r="W260" s="15"/>
      <c r="AB260" s="117"/>
      <c r="AC260" s="123"/>
      <c r="AD260" s="123"/>
      <c r="AE260" s="123"/>
      <c r="AJ260" s="115"/>
      <c r="AK260" s="115"/>
      <c r="AL260" s="115"/>
      <c r="AM260" s="115"/>
      <c r="AN260" s="115"/>
      <c r="AO260" s="115"/>
      <c r="AP260" s="115"/>
      <c r="AQ260" s="115"/>
      <c r="AR260" s="115"/>
      <c r="AS260" s="115"/>
      <c r="AT260" s="13"/>
      <c r="AU260" s="13"/>
      <c r="AX260" s="114"/>
    </row>
    <row r="261" spans="1:50" ht="19.5" x14ac:dyDescent="0.4">
      <c r="A261" s="117"/>
      <c r="B261" s="123"/>
      <c r="C261" s="123"/>
      <c r="D261" s="123"/>
      <c r="F261" s="115"/>
      <c r="G261" s="115"/>
      <c r="H261" s="115"/>
      <c r="I261" s="115"/>
      <c r="J261" s="115"/>
      <c r="K261" s="26"/>
      <c r="L261" s="13"/>
      <c r="M261" s="115"/>
      <c r="N261" s="115"/>
      <c r="O261" s="115"/>
      <c r="P261" s="115"/>
      <c r="Q261" s="115"/>
      <c r="R261" s="115"/>
      <c r="S261" s="115"/>
      <c r="T261" s="115"/>
      <c r="U261" s="115"/>
      <c r="V261" s="25">
        <v>45689</v>
      </c>
      <c r="W261" s="15" t="s">
        <v>147</v>
      </c>
      <c r="AB261" s="117"/>
      <c r="AC261" s="123"/>
      <c r="AD261" s="123"/>
      <c r="AE261" s="123"/>
      <c r="AJ261" s="115"/>
      <c r="AK261" s="115"/>
      <c r="AL261" s="115"/>
      <c r="AM261" s="115"/>
      <c r="AN261" s="115"/>
      <c r="AO261" s="115"/>
      <c r="AP261" s="115"/>
      <c r="AQ261" s="115"/>
      <c r="AR261" s="115"/>
      <c r="AS261" s="115"/>
      <c r="AT261" s="13"/>
      <c r="AU261" s="13"/>
      <c r="AX261" s="114"/>
    </row>
    <row r="262" spans="1:50" ht="19.5" x14ac:dyDescent="0.4">
      <c r="A262" s="117"/>
      <c r="B262" s="123"/>
      <c r="C262" s="123"/>
      <c r="D262" s="123"/>
      <c r="K262" s="26"/>
      <c r="L262" s="13"/>
      <c r="V262" s="25">
        <v>45689</v>
      </c>
      <c r="W262" s="15" t="s">
        <v>146</v>
      </c>
      <c r="AB262" s="117"/>
      <c r="AC262" s="123"/>
      <c r="AD262" s="123"/>
      <c r="AE262" s="123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5"/>
      <c r="AS262" s="115"/>
      <c r="AT262" s="25">
        <v>45266</v>
      </c>
      <c r="AU262" s="25" t="s">
        <v>162</v>
      </c>
      <c r="AX262" s="114"/>
    </row>
    <row r="263" spans="1:50" ht="19.5" x14ac:dyDescent="0.4">
      <c r="A263" s="117"/>
      <c r="B263" s="123"/>
      <c r="C263" s="123"/>
      <c r="D263" s="123"/>
      <c r="K263" s="129"/>
      <c r="L263" s="13"/>
      <c r="V263" s="25"/>
      <c r="W263" s="15"/>
      <c r="AB263" s="117"/>
      <c r="AC263" s="123"/>
      <c r="AD263" s="123"/>
      <c r="AE263" s="123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115"/>
      <c r="AR263" s="115"/>
      <c r="AS263" s="115"/>
      <c r="AT263" s="25"/>
      <c r="AU263" s="25"/>
      <c r="AX263" s="114"/>
    </row>
    <row r="264" spans="1:50" ht="19.5" x14ac:dyDescent="0.4">
      <c r="A264" s="117"/>
      <c r="B264" s="123"/>
      <c r="C264" s="123"/>
      <c r="D264" s="123"/>
      <c r="K264" s="26"/>
      <c r="L264" s="13"/>
      <c r="M264" s="115"/>
      <c r="N264" s="115"/>
      <c r="O264" s="115"/>
      <c r="P264" s="115"/>
      <c r="Q264" s="115"/>
      <c r="R264" s="115"/>
      <c r="S264" s="115"/>
      <c r="T264" s="115"/>
      <c r="U264" s="115"/>
      <c r="V264" s="25">
        <v>45689</v>
      </c>
      <c r="W264" s="15" t="s">
        <v>146</v>
      </c>
      <c r="AB264" s="117"/>
      <c r="AC264" s="123"/>
      <c r="AD264" s="123"/>
      <c r="AE264" s="123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115"/>
      <c r="AR264" s="115"/>
      <c r="AS264" s="115"/>
      <c r="AT264" s="25"/>
      <c r="AU264" s="25"/>
      <c r="AX264" s="114"/>
    </row>
    <row r="265" spans="1:50" ht="19.5" x14ac:dyDescent="0.4">
      <c r="A265" s="117"/>
      <c r="B265" s="123"/>
      <c r="C265" s="123"/>
      <c r="D265" s="123"/>
      <c r="G265" s="115"/>
      <c r="H265" s="115"/>
      <c r="I265" s="115"/>
      <c r="J265" s="115"/>
      <c r="K265" s="26"/>
      <c r="L265" s="13"/>
      <c r="M265" s="115"/>
      <c r="N265" s="115"/>
      <c r="O265" s="115"/>
      <c r="P265" s="115"/>
      <c r="Q265" s="115"/>
      <c r="R265" s="115"/>
      <c r="S265" s="115"/>
      <c r="T265" s="115"/>
      <c r="U265" s="115"/>
      <c r="V265" s="25"/>
      <c r="W265" s="15"/>
      <c r="AB265" s="117"/>
      <c r="AC265" s="123"/>
      <c r="AD265" s="123"/>
      <c r="AE265" s="123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/>
      <c r="AQ265" s="115"/>
      <c r="AR265" s="115"/>
      <c r="AS265" s="115"/>
      <c r="AT265" s="25"/>
      <c r="AU265" s="25"/>
      <c r="AX265" s="114"/>
    </row>
    <row r="266" spans="1:50" ht="19.5" x14ac:dyDescent="0.4">
      <c r="A266" s="117"/>
      <c r="B266" s="123"/>
      <c r="C266" s="123"/>
      <c r="D266" s="123"/>
      <c r="G266" s="115"/>
      <c r="H266" s="115"/>
      <c r="I266" s="115"/>
      <c r="J266" s="115"/>
      <c r="K266" s="26"/>
      <c r="L266" s="13"/>
      <c r="M266" s="115"/>
      <c r="N266" s="115"/>
      <c r="O266" s="115"/>
      <c r="P266" s="115"/>
      <c r="Q266" s="115"/>
      <c r="R266" s="115"/>
      <c r="S266" s="115"/>
      <c r="T266" s="115"/>
      <c r="U266" s="115"/>
      <c r="V266" s="25"/>
      <c r="W266" s="15"/>
      <c r="AB266" s="117"/>
      <c r="AC266" s="123"/>
      <c r="AD266" s="123"/>
      <c r="AE266" s="123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5"/>
      <c r="AR266" s="115"/>
      <c r="AS266" s="115"/>
      <c r="AT266" s="25"/>
      <c r="AU266" s="25"/>
      <c r="AX266" s="114"/>
    </row>
    <row r="267" spans="1:50" ht="19.5" x14ac:dyDescent="0.4">
      <c r="A267" s="117"/>
      <c r="B267" s="123"/>
      <c r="C267" s="123"/>
      <c r="D267" s="123"/>
      <c r="K267" s="26"/>
      <c r="L267" s="13"/>
      <c r="M267" s="115"/>
      <c r="N267" s="115"/>
      <c r="O267" s="115"/>
      <c r="P267" s="115"/>
      <c r="Q267" s="115"/>
      <c r="R267" s="115"/>
      <c r="S267" s="115"/>
      <c r="T267" s="115"/>
      <c r="U267" s="115"/>
      <c r="V267" s="25">
        <v>45690</v>
      </c>
      <c r="W267" s="15" t="s">
        <v>146</v>
      </c>
      <c r="AB267" s="117"/>
      <c r="AC267" s="123"/>
      <c r="AD267" s="123"/>
      <c r="AE267" s="123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115"/>
      <c r="AR267" s="115"/>
      <c r="AS267" s="115"/>
      <c r="AT267" s="25"/>
      <c r="AU267" s="25"/>
      <c r="AX267" s="114"/>
    </row>
    <row r="268" spans="1:50" ht="19.5" x14ac:dyDescent="0.4">
      <c r="A268" s="117"/>
      <c r="B268" s="123"/>
      <c r="C268" s="123"/>
      <c r="D268" s="123"/>
      <c r="G268" s="115"/>
      <c r="H268" s="115"/>
      <c r="I268" s="115"/>
      <c r="J268" s="115"/>
      <c r="K268" s="26"/>
      <c r="L268" s="13"/>
      <c r="M268" s="115"/>
      <c r="N268" s="115"/>
      <c r="O268" s="115"/>
      <c r="P268" s="115"/>
      <c r="Q268" s="115"/>
      <c r="R268" s="115"/>
      <c r="S268" s="115"/>
      <c r="T268" s="115"/>
      <c r="U268" s="115"/>
      <c r="V268" s="25"/>
      <c r="W268" s="15"/>
      <c r="AB268" s="117"/>
      <c r="AC268" s="123"/>
      <c r="AD268" s="123"/>
      <c r="AE268" s="123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5"/>
      <c r="AR268" s="115"/>
      <c r="AS268" s="115"/>
      <c r="AT268" s="25"/>
      <c r="AU268" s="25"/>
      <c r="AX268" s="114"/>
    </row>
    <row r="269" spans="1:50" ht="19.5" x14ac:dyDescent="0.4">
      <c r="A269" s="117"/>
      <c r="B269" s="123"/>
      <c r="C269" s="123"/>
      <c r="D269" s="123"/>
      <c r="K269" s="26"/>
      <c r="L269" s="13"/>
      <c r="M269" s="115"/>
      <c r="N269" s="115"/>
      <c r="O269" s="115"/>
      <c r="P269" s="115"/>
      <c r="Q269" s="115"/>
      <c r="R269" s="115"/>
      <c r="S269" s="115"/>
      <c r="T269" s="115"/>
      <c r="U269" s="115"/>
      <c r="V269" s="25">
        <v>45691</v>
      </c>
      <c r="W269" s="15" t="s">
        <v>146</v>
      </c>
      <c r="AB269" s="117"/>
      <c r="AC269" s="123"/>
      <c r="AD269" s="123"/>
      <c r="AE269" s="123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115"/>
      <c r="AS269" s="115"/>
      <c r="AT269" s="25"/>
      <c r="AU269" s="25"/>
      <c r="AX269" s="114"/>
    </row>
    <row r="270" spans="1:50" ht="19.5" x14ac:dyDescent="0.4">
      <c r="A270" s="117"/>
      <c r="B270" s="123"/>
      <c r="C270" s="123"/>
      <c r="D270" s="123"/>
      <c r="K270" s="26"/>
      <c r="L270" s="13"/>
      <c r="V270" s="25">
        <v>45691</v>
      </c>
      <c r="W270" s="15" t="s">
        <v>146</v>
      </c>
      <c r="AB270" s="117"/>
      <c r="AC270" s="123"/>
      <c r="AD270" s="123"/>
      <c r="AE270" s="123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115"/>
      <c r="AS270" s="115" t="s">
        <v>156</v>
      </c>
      <c r="AT270" s="13">
        <f>SUBTOTAL(3,AT262:AT262)</f>
        <v>1</v>
      </c>
      <c r="AU270" s="13">
        <f>SUBTOTAL(3,AU262:AU262)</f>
        <v>1</v>
      </c>
      <c r="AX270" s="114"/>
    </row>
    <row r="271" spans="1:50" ht="19.5" x14ac:dyDescent="0.4">
      <c r="A271" s="117"/>
      <c r="B271" s="123"/>
      <c r="C271" s="123"/>
      <c r="D271" s="123"/>
      <c r="K271" s="26"/>
      <c r="L271" s="13"/>
      <c r="R271" s="115"/>
      <c r="S271" s="115"/>
      <c r="T271" s="115"/>
      <c r="U271" s="115"/>
      <c r="V271" s="25">
        <v>45691</v>
      </c>
      <c r="W271" s="15" t="s">
        <v>146</v>
      </c>
      <c r="AB271" s="117"/>
      <c r="AC271" s="123"/>
      <c r="AD271" s="123"/>
      <c r="AE271" s="123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115"/>
      <c r="AR271" s="115"/>
      <c r="AS271" s="115"/>
      <c r="AT271" s="13"/>
      <c r="AU271" s="13"/>
      <c r="AX271" s="114"/>
    </row>
    <row r="272" spans="1:50" ht="19.5" x14ac:dyDescent="0.4">
      <c r="A272" s="117"/>
      <c r="B272" s="123"/>
      <c r="C272" s="123"/>
      <c r="D272" s="123"/>
      <c r="G272" s="115"/>
      <c r="H272" s="115"/>
      <c r="I272" s="115"/>
      <c r="J272" s="115"/>
      <c r="K272" s="26"/>
      <c r="L272" s="13"/>
      <c r="R272" s="115"/>
      <c r="S272" s="115"/>
      <c r="T272" s="115"/>
      <c r="U272" s="115"/>
      <c r="V272" s="25"/>
      <c r="W272" s="15"/>
      <c r="AB272" s="117"/>
      <c r="AC272" s="123"/>
      <c r="AD272" s="123"/>
      <c r="AE272" s="123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115"/>
      <c r="AR272" s="115"/>
      <c r="AS272" s="115"/>
      <c r="AT272" s="13"/>
      <c r="AU272" s="13"/>
      <c r="AX272" s="114"/>
    </row>
    <row r="273" spans="1:50" ht="19.5" x14ac:dyDescent="0.4">
      <c r="A273" s="117"/>
      <c r="B273" s="123"/>
      <c r="C273" s="123"/>
      <c r="D273" s="123"/>
      <c r="K273" s="26"/>
      <c r="L273" s="13"/>
      <c r="M273" s="115"/>
      <c r="N273" s="115"/>
      <c r="O273" s="115"/>
      <c r="P273" s="115"/>
      <c r="Q273" s="115"/>
      <c r="R273" s="115"/>
      <c r="S273" s="115"/>
      <c r="T273" s="115"/>
      <c r="U273" s="115"/>
      <c r="V273" s="25">
        <v>45691</v>
      </c>
      <c r="W273" s="15" t="s">
        <v>146</v>
      </c>
      <c r="AB273" s="117"/>
      <c r="AC273" s="123"/>
      <c r="AD273" s="123"/>
      <c r="AE273" s="123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5"/>
      <c r="AR273" s="115"/>
      <c r="AS273" s="115"/>
      <c r="AT273" s="13"/>
      <c r="AU273" s="13"/>
      <c r="AX273" s="114"/>
    </row>
    <row r="274" spans="1:50" ht="19.5" x14ac:dyDescent="0.4">
      <c r="A274" s="117"/>
      <c r="B274" s="123"/>
      <c r="C274" s="123"/>
      <c r="D274" s="123"/>
      <c r="H274" s="115"/>
      <c r="I274" s="115"/>
      <c r="J274" s="115"/>
      <c r="K274" s="26"/>
      <c r="L274" s="13"/>
      <c r="M274" s="115"/>
      <c r="N274" s="115"/>
      <c r="O274" s="115"/>
      <c r="P274" s="115"/>
      <c r="Q274" s="115"/>
      <c r="R274" s="115"/>
      <c r="S274" s="115"/>
      <c r="T274" s="115"/>
      <c r="U274" s="115"/>
      <c r="V274" s="25"/>
      <c r="W274" s="15"/>
      <c r="AB274" s="117"/>
      <c r="AC274" s="123"/>
      <c r="AD274" s="123"/>
      <c r="AE274" s="123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115"/>
      <c r="AR274" s="115"/>
      <c r="AS274" s="115"/>
      <c r="AT274" s="13"/>
      <c r="AU274" s="13"/>
      <c r="AX274" s="114"/>
    </row>
    <row r="275" spans="1:50" ht="19.5" x14ac:dyDescent="0.4">
      <c r="A275" s="117"/>
      <c r="B275" s="123"/>
      <c r="C275" s="123"/>
      <c r="D275" s="123"/>
      <c r="G275" s="115"/>
      <c r="H275" s="115"/>
      <c r="I275" s="115"/>
      <c r="J275" s="115"/>
      <c r="K275" s="26"/>
      <c r="L275" s="13"/>
      <c r="M275" s="115"/>
      <c r="N275" s="115"/>
      <c r="O275" s="115"/>
      <c r="P275" s="115"/>
      <c r="Q275" s="115"/>
      <c r="R275" s="115"/>
      <c r="S275" s="115"/>
      <c r="T275" s="115"/>
      <c r="U275" s="115"/>
      <c r="V275" s="25"/>
      <c r="W275" s="15"/>
      <c r="AB275" s="117"/>
      <c r="AC275" s="123"/>
      <c r="AD275" s="123"/>
      <c r="AE275" s="123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5"/>
      <c r="AR275" s="115"/>
      <c r="AS275" s="115"/>
      <c r="AT275" s="13"/>
      <c r="AU275" s="13"/>
      <c r="AX275" s="114"/>
    </row>
    <row r="276" spans="1:50" ht="19.5" x14ac:dyDescent="0.4">
      <c r="A276" s="117"/>
      <c r="B276" s="123"/>
      <c r="C276" s="123"/>
      <c r="D276" s="123"/>
      <c r="G276" s="115"/>
      <c r="H276" s="115"/>
      <c r="I276" s="115"/>
      <c r="J276" s="115"/>
      <c r="K276" s="26"/>
      <c r="L276" s="13"/>
      <c r="M276" s="115"/>
      <c r="N276" s="115"/>
      <c r="O276" s="115"/>
      <c r="P276" s="115"/>
      <c r="Q276" s="115"/>
      <c r="R276" s="115"/>
      <c r="S276" s="115"/>
      <c r="T276" s="115"/>
      <c r="U276" s="115"/>
      <c r="V276" s="25"/>
      <c r="W276" s="15"/>
      <c r="AB276" s="117"/>
      <c r="AC276" s="123"/>
      <c r="AD276" s="123"/>
      <c r="AE276" s="123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115"/>
      <c r="AR276" s="115"/>
      <c r="AS276" s="115"/>
      <c r="AT276" s="13"/>
      <c r="AU276" s="13"/>
      <c r="AX276" s="114"/>
    </row>
    <row r="277" spans="1:50" ht="19.5" x14ac:dyDescent="0.4">
      <c r="A277" s="117"/>
      <c r="B277" s="123"/>
      <c r="C277" s="123"/>
      <c r="D277" s="123"/>
      <c r="G277" s="115"/>
      <c r="H277" s="115"/>
      <c r="I277" s="115"/>
      <c r="J277" s="115"/>
      <c r="K277" s="129"/>
      <c r="L277" s="13"/>
      <c r="M277" s="115"/>
      <c r="N277" s="115"/>
      <c r="O277" s="115"/>
      <c r="P277" s="115"/>
      <c r="Q277" s="115"/>
      <c r="R277" s="115"/>
      <c r="S277" s="115"/>
      <c r="T277" s="115"/>
      <c r="U277" s="115"/>
      <c r="V277" s="25"/>
      <c r="W277" s="15"/>
      <c r="AB277" s="117"/>
      <c r="AC277" s="123"/>
      <c r="AD277" s="123"/>
      <c r="AE277" s="123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3"/>
      <c r="AU277" s="13"/>
      <c r="AX277" s="114"/>
    </row>
    <row r="278" spans="1:50" ht="19.5" x14ac:dyDescent="0.4">
      <c r="A278" s="117"/>
      <c r="B278" s="123"/>
      <c r="C278" s="123"/>
      <c r="D278" s="123"/>
      <c r="K278" s="26"/>
      <c r="L278" s="13"/>
      <c r="M278" s="115"/>
      <c r="N278" s="115"/>
      <c r="O278" s="115"/>
      <c r="P278" s="115"/>
      <c r="Q278" s="115"/>
      <c r="R278" s="115"/>
      <c r="S278" s="115"/>
      <c r="T278" s="115"/>
      <c r="U278" s="115"/>
      <c r="V278" s="25">
        <v>45692</v>
      </c>
      <c r="W278" s="15" t="s">
        <v>146</v>
      </c>
      <c r="AB278" s="117"/>
      <c r="AC278" s="123"/>
      <c r="AD278" s="123"/>
      <c r="AE278" s="123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5"/>
      <c r="AR278" s="115"/>
      <c r="AS278" s="115"/>
      <c r="AT278" s="13"/>
      <c r="AU278" s="13"/>
      <c r="AX278" s="114"/>
    </row>
    <row r="279" spans="1:50" ht="19.5" x14ac:dyDescent="0.4">
      <c r="A279" s="117"/>
      <c r="B279" s="123"/>
      <c r="C279" s="123"/>
      <c r="D279" s="123"/>
      <c r="K279" s="129"/>
      <c r="L279" s="13"/>
      <c r="M279" s="115"/>
      <c r="N279" s="115"/>
      <c r="O279" s="115"/>
      <c r="P279" s="115"/>
      <c r="Q279" s="115"/>
      <c r="R279" s="115"/>
      <c r="S279" s="115"/>
      <c r="T279" s="115"/>
      <c r="U279" s="115"/>
      <c r="V279" s="25"/>
      <c r="W279" s="15"/>
      <c r="AB279" s="117"/>
      <c r="AC279" s="123"/>
      <c r="AD279" s="123"/>
      <c r="AE279" s="123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115"/>
      <c r="AS279" s="115"/>
      <c r="AT279" s="13"/>
      <c r="AU279" s="13"/>
      <c r="AX279" s="114"/>
    </row>
    <row r="280" spans="1:50" ht="19.5" x14ac:dyDescent="0.4">
      <c r="A280" s="117"/>
      <c r="B280" s="123"/>
      <c r="C280" s="123"/>
      <c r="D280" s="123"/>
      <c r="K280" s="26"/>
      <c r="L280" s="13"/>
      <c r="V280" s="25">
        <v>45692</v>
      </c>
      <c r="W280" s="15" t="s">
        <v>146</v>
      </c>
      <c r="AB280" s="117"/>
      <c r="AC280" s="123"/>
      <c r="AD280" s="123"/>
      <c r="AE280" s="123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115"/>
      <c r="AQ280" s="115"/>
      <c r="AR280" s="115"/>
      <c r="AS280" s="115"/>
      <c r="AT280" s="25">
        <v>45267</v>
      </c>
      <c r="AU280" s="13" t="s">
        <v>142</v>
      </c>
      <c r="AX280" s="114"/>
    </row>
    <row r="281" spans="1:50" ht="19.5" x14ac:dyDescent="0.4">
      <c r="A281" s="117"/>
      <c r="B281" s="123"/>
      <c r="C281" s="123"/>
      <c r="D281" s="123"/>
      <c r="K281" s="26"/>
      <c r="L281" s="13"/>
      <c r="R281" s="115"/>
      <c r="S281" s="115"/>
      <c r="T281" s="115"/>
      <c r="U281" s="115"/>
      <c r="V281" s="25">
        <v>45692</v>
      </c>
      <c r="W281" s="15" t="s">
        <v>146</v>
      </c>
      <c r="AB281" s="117"/>
      <c r="AC281" s="123"/>
      <c r="AD281" s="123"/>
      <c r="AE281" s="123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5"/>
      <c r="AR281" s="115"/>
      <c r="AS281" s="115"/>
      <c r="AT281" s="25"/>
      <c r="AU281" s="13"/>
      <c r="AX281" s="114"/>
    </row>
    <row r="282" spans="1:50" ht="19.5" x14ac:dyDescent="0.4">
      <c r="A282" s="117"/>
      <c r="B282" s="123"/>
      <c r="C282" s="123"/>
      <c r="D282" s="123"/>
      <c r="K282" s="26"/>
      <c r="L282" s="13"/>
      <c r="N282" s="115"/>
      <c r="O282" s="115"/>
      <c r="P282" s="115"/>
      <c r="Q282" s="115"/>
      <c r="R282" s="115"/>
      <c r="S282" s="115"/>
      <c r="T282" s="115"/>
      <c r="U282" s="115"/>
      <c r="V282" s="25">
        <v>45692</v>
      </c>
      <c r="W282" s="15" t="s">
        <v>146</v>
      </c>
      <c r="AB282" s="117"/>
      <c r="AC282" s="123"/>
      <c r="AD282" s="123"/>
      <c r="AE282" s="123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15"/>
      <c r="AQ282" s="115"/>
      <c r="AR282" s="115"/>
      <c r="AS282" s="115"/>
      <c r="AT282" s="25"/>
      <c r="AU282" s="13"/>
      <c r="AX282" s="114"/>
    </row>
    <row r="283" spans="1:50" ht="19.5" x14ac:dyDescent="0.4">
      <c r="A283" s="117"/>
      <c r="B283" s="123"/>
      <c r="C283" s="123"/>
      <c r="D283" s="123"/>
      <c r="H283" s="115"/>
      <c r="I283" s="115"/>
      <c r="J283" s="115"/>
      <c r="K283" s="26"/>
      <c r="L283" s="13"/>
      <c r="N283" s="115"/>
      <c r="O283" s="115"/>
      <c r="P283" s="115"/>
      <c r="Q283" s="115"/>
      <c r="R283" s="115"/>
      <c r="S283" s="115"/>
      <c r="T283" s="115"/>
      <c r="U283" s="115"/>
      <c r="V283" s="25"/>
      <c r="W283" s="15"/>
      <c r="AB283" s="117"/>
      <c r="AC283" s="123"/>
      <c r="AD283" s="123"/>
      <c r="AE283" s="123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5"/>
      <c r="AR283" s="115"/>
      <c r="AS283" s="115"/>
      <c r="AT283" s="25"/>
      <c r="AU283" s="13"/>
      <c r="AX283" s="114"/>
    </row>
    <row r="284" spans="1:50" ht="19.5" x14ac:dyDescent="0.4">
      <c r="A284" s="117"/>
      <c r="B284" s="123"/>
      <c r="C284" s="123"/>
      <c r="D284" s="123"/>
      <c r="H284" s="115"/>
      <c r="I284" s="115"/>
      <c r="J284" s="115"/>
      <c r="K284" s="129"/>
      <c r="L284" s="13"/>
      <c r="N284" s="115"/>
      <c r="O284" s="115"/>
      <c r="P284" s="115"/>
      <c r="Q284" s="115"/>
      <c r="R284" s="115"/>
      <c r="S284" s="115"/>
      <c r="T284" s="115"/>
      <c r="U284" s="115"/>
      <c r="V284" s="25"/>
      <c r="W284" s="15"/>
      <c r="AB284" s="117"/>
      <c r="AC284" s="123"/>
      <c r="AD284" s="123"/>
      <c r="AE284" s="123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5"/>
      <c r="AR284" s="115"/>
      <c r="AS284" s="115"/>
      <c r="AT284" s="25"/>
      <c r="AU284" s="13"/>
      <c r="AX284" s="114"/>
    </row>
    <row r="285" spans="1:50" ht="19.5" x14ac:dyDescent="0.4">
      <c r="A285" s="117"/>
      <c r="B285" s="123"/>
      <c r="C285" s="123"/>
      <c r="D285" s="123"/>
      <c r="K285" s="26"/>
      <c r="L285" s="13"/>
      <c r="M285" s="115"/>
      <c r="N285" s="115"/>
      <c r="O285" s="115"/>
      <c r="P285" s="115"/>
      <c r="Q285" s="115"/>
      <c r="R285" s="115"/>
      <c r="S285" s="115"/>
      <c r="T285" s="115"/>
      <c r="U285" s="115"/>
      <c r="V285" s="25">
        <v>45693</v>
      </c>
      <c r="W285" s="15" t="s">
        <v>146</v>
      </c>
      <c r="AB285" s="117"/>
      <c r="AC285" s="123"/>
      <c r="AD285" s="123"/>
      <c r="AE285" s="123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5"/>
      <c r="AR285" s="115"/>
      <c r="AS285" s="115"/>
      <c r="AT285" s="25"/>
      <c r="AU285" s="13"/>
      <c r="AX285" s="114"/>
    </row>
    <row r="286" spans="1:50" ht="19.5" x14ac:dyDescent="0.4">
      <c r="A286" s="117"/>
      <c r="B286" s="123"/>
      <c r="C286" s="123"/>
      <c r="D286" s="123"/>
      <c r="K286" s="129"/>
      <c r="L286" s="13"/>
      <c r="M286" s="115"/>
      <c r="N286" s="115"/>
      <c r="O286" s="115"/>
      <c r="P286" s="115"/>
      <c r="Q286" s="115"/>
      <c r="R286" s="115"/>
      <c r="S286" s="115"/>
      <c r="T286" s="115"/>
      <c r="U286" s="115"/>
      <c r="V286" s="25"/>
      <c r="W286" s="15"/>
      <c r="AB286" s="117"/>
      <c r="AC286" s="123"/>
      <c r="AD286" s="123"/>
      <c r="AE286" s="123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5"/>
      <c r="AR286" s="115"/>
      <c r="AS286" s="115"/>
      <c r="AT286" s="25"/>
      <c r="AU286" s="13"/>
      <c r="AX286" s="114"/>
    </row>
    <row r="287" spans="1:50" ht="19.5" x14ac:dyDescent="0.4">
      <c r="A287" s="117"/>
      <c r="B287" s="123"/>
      <c r="C287" s="123"/>
      <c r="D287" s="123"/>
      <c r="H287" s="115"/>
      <c r="I287" s="115"/>
      <c r="J287" s="115"/>
      <c r="K287" s="26"/>
      <c r="L287" s="13"/>
      <c r="M287" s="115"/>
      <c r="N287" s="115"/>
      <c r="O287" s="115"/>
      <c r="P287" s="115"/>
      <c r="Q287" s="115"/>
      <c r="R287" s="115"/>
      <c r="S287" s="115"/>
      <c r="T287" s="115"/>
      <c r="U287" s="115"/>
      <c r="V287" s="25"/>
      <c r="W287" s="15"/>
      <c r="AB287" s="117"/>
      <c r="AC287" s="123"/>
      <c r="AD287" s="123"/>
      <c r="AE287" s="123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5"/>
      <c r="AR287" s="115"/>
      <c r="AS287" s="115"/>
      <c r="AT287" s="25"/>
      <c r="AU287" s="13"/>
      <c r="AX287" s="114"/>
    </row>
    <row r="288" spans="1:50" ht="19.5" x14ac:dyDescent="0.4">
      <c r="A288" s="117"/>
      <c r="B288" s="123"/>
      <c r="C288" s="123"/>
      <c r="D288" s="123"/>
      <c r="K288" s="26"/>
      <c r="L288" s="13"/>
      <c r="V288" s="25">
        <v>45693</v>
      </c>
      <c r="W288" s="15" t="s">
        <v>146</v>
      </c>
      <c r="AB288" s="117"/>
      <c r="AC288" s="123"/>
      <c r="AD288" s="123"/>
      <c r="AE288" s="123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5"/>
      <c r="AR288" s="115"/>
      <c r="AS288" s="115" t="s">
        <v>157</v>
      </c>
      <c r="AT288" s="13">
        <f>SUBTOTAL(3,AT280:AT280)</f>
        <v>1</v>
      </c>
      <c r="AU288" s="13">
        <f>SUBTOTAL(3,AU280:AU280)</f>
        <v>1</v>
      </c>
      <c r="AX288" s="114"/>
    </row>
    <row r="289" spans="1:50" ht="19.5" x14ac:dyDescent="0.4">
      <c r="A289" s="117"/>
      <c r="B289" s="123"/>
      <c r="C289" s="123"/>
      <c r="D289" s="123"/>
      <c r="K289" s="26"/>
      <c r="L289" s="13"/>
      <c r="N289" s="115"/>
      <c r="O289" s="115"/>
      <c r="P289" s="115"/>
      <c r="Q289" s="115"/>
      <c r="R289" s="115"/>
      <c r="S289" s="115"/>
      <c r="T289" s="115"/>
      <c r="U289" s="115"/>
      <c r="V289" s="25">
        <v>45693</v>
      </c>
      <c r="W289" s="15" t="s">
        <v>146</v>
      </c>
      <c r="AB289" s="117"/>
      <c r="AC289" s="123"/>
      <c r="AD289" s="123"/>
      <c r="AE289" s="123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5"/>
      <c r="AR289" s="115"/>
      <c r="AS289" s="115"/>
      <c r="AT289" s="13"/>
      <c r="AU289" s="13"/>
      <c r="AX289" s="114"/>
    </row>
    <row r="290" spans="1:50" ht="19.5" x14ac:dyDescent="0.4">
      <c r="A290" s="117"/>
      <c r="B290" s="123"/>
      <c r="C290" s="123"/>
      <c r="D290" s="123"/>
      <c r="K290" s="129"/>
      <c r="L290" s="13"/>
      <c r="N290" s="115"/>
      <c r="O290" s="115"/>
      <c r="P290" s="115"/>
      <c r="Q290" s="115"/>
      <c r="R290" s="115"/>
      <c r="S290" s="115"/>
      <c r="T290" s="115"/>
      <c r="U290" s="115"/>
      <c r="V290" s="25"/>
      <c r="W290" s="15"/>
      <c r="AB290" s="117"/>
      <c r="AC290" s="123"/>
      <c r="AD290" s="123"/>
      <c r="AE290" s="123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115"/>
      <c r="AS290" s="115"/>
      <c r="AT290" s="13"/>
      <c r="AU290" s="13"/>
      <c r="AX290" s="114"/>
    </row>
    <row r="291" spans="1:50" ht="19.5" x14ac:dyDescent="0.4">
      <c r="A291" s="117"/>
      <c r="B291" s="123"/>
      <c r="C291" s="123"/>
      <c r="D291" s="123"/>
      <c r="K291" s="129"/>
      <c r="L291" s="13"/>
      <c r="N291" s="115"/>
      <c r="O291" s="115"/>
      <c r="P291" s="115"/>
      <c r="Q291" s="115"/>
      <c r="R291" s="115"/>
      <c r="S291" s="115"/>
      <c r="T291" s="115"/>
      <c r="U291" s="115"/>
      <c r="V291" s="25"/>
      <c r="W291" s="15"/>
      <c r="AB291" s="117"/>
      <c r="AC291" s="123"/>
      <c r="AD291" s="123"/>
      <c r="AE291" s="123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5"/>
      <c r="AR291" s="115"/>
      <c r="AS291" s="115"/>
      <c r="AT291" s="13"/>
      <c r="AU291" s="13"/>
      <c r="AX291" s="114"/>
    </row>
    <row r="292" spans="1:50" ht="19.5" x14ac:dyDescent="0.4">
      <c r="A292" s="117"/>
      <c r="B292" s="123"/>
      <c r="C292" s="123"/>
      <c r="D292" s="123"/>
      <c r="K292" s="26"/>
      <c r="L292" s="13"/>
      <c r="N292" s="115"/>
      <c r="O292" s="115"/>
      <c r="P292" s="115"/>
      <c r="Q292" s="115"/>
      <c r="R292" s="115"/>
      <c r="S292" s="115"/>
      <c r="T292" s="115"/>
      <c r="U292" s="115"/>
      <c r="V292" s="25">
        <v>45694</v>
      </c>
      <c r="W292" s="15" t="s">
        <v>147</v>
      </c>
      <c r="AB292" s="117"/>
      <c r="AC292" s="123"/>
      <c r="AD292" s="123"/>
      <c r="AE292" s="123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115"/>
      <c r="AS292" s="115"/>
      <c r="AT292" s="13"/>
      <c r="AU292" s="13"/>
      <c r="AX292" s="114"/>
    </row>
    <row r="293" spans="1:50" ht="19.5" x14ac:dyDescent="0.4">
      <c r="A293" s="117"/>
      <c r="B293" s="123"/>
      <c r="C293" s="123"/>
      <c r="D293" s="123"/>
      <c r="H293" s="115"/>
      <c r="I293" s="115"/>
      <c r="J293" s="115"/>
      <c r="K293" s="17"/>
      <c r="L293" s="13"/>
      <c r="N293" s="115"/>
      <c r="O293" s="115"/>
      <c r="P293" s="115"/>
      <c r="Q293" s="115"/>
      <c r="R293" s="115"/>
      <c r="S293" s="115"/>
      <c r="T293" s="115"/>
      <c r="U293" s="115"/>
      <c r="V293" s="25"/>
      <c r="W293" s="15"/>
      <c r="AB293" s="117"/>
      <c r="AC293" s="123"/>
      <c r="AD293" s="123"/>
      <c r="AE293" s="123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115"/>
      <c r="AS293" s="115"/>
      <c r="AT293" s="13"/>
      <c r="AU293" s="13"/>
      <c r="AX293" s="114"/>
    </row>
    <row r="294" spans="1:50" ht="19.5" x14ac:dyDescent="0.4">
      <c r="A294" s="117"/>
      <c r="B294" s="123"/>
      <c r="C294" s="123"/>
      <c r="D294" s="123"/>
      <c r="H294" s="115"/>
      <c r="I294" s="115"/>
      <c r="J294" s="115"/>
      <c r="K294" s="17"/>
      <c r="L294" s="13"/>
      <c r="N294" s="115"/>
      <c r="O294" s="115"/>
      <c r="P294" s="115"/>
      <c r="Q294" s="115"/>
      <c r="R294" s="115"/>
      <c r="S294" s="115"/>
      <c r="T294" s="115"/>
      <c r="U294" s="115"/>
      <c r="V294" s="25"/>
      <c r="W294" s="15"/>
      <c r="AB294" s="117"/>
      <c r="AC294" s="123"/>
      <c r="AD294" s="123"/>
      <c r="AE294" s="123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115"/>
      <c r="AS294" s="115"/>
      <c r="AT294" s="13"/>
      <c r="AU294" s="13"/>
      <c r="AX294" s="114"/>
    </row>
    <row r="295" spans="1:50" ht="19.5" x14ac:dyDescent="0.4">
      <c r="A295" s="117"/>
      <c r="B295" s="123"/>
      <c r="C295" s="123"/>
      <c r="D295" s="123"/>
      <c r="K295" s="26"/>
      <c r="L295" s="13"/>
      <c r="N295" s="115"/>
      <c r="O295" s="115"/>
      <c r="P295" s="115"/>
      <c r="Q295" s="115"/>
      <c r="R295" s="115"/>
      <c r="S295" s="115"/>
      <c r="T295" s="115"/>
      <c r="U295" s="115"/>
      <c r="V295" s="25">
        <v>45694</v>
      </c>
      <c r="W295" s="105" t="s">
        <v>147</v>
      </c>
      <c r="AB295" s="117"/>
      <c r="AC295" s="123"/>
      <c r="AD295" s="123"/>
      <c r="AE295" s="123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115"/>
      <c r="AS295" s="115"/>
      <c r="AT295" s="13"/>
      <c r="AU295" s="13"/>
      <c r="AX295" s="114"/>
    </row>
    <row r="296" spans="1:50" ht="19.5" x14ac:dyDescent="0.4">
      <c r="A296" s="117"/>
      <c r="B296" s="123"/>
      <c r="C296" s="123"/>
      <c r="D296" s="123"/>
      <c r="K296" s="26"/>
      <c r="L296" s="13"/>
      <c r="M296" s="115"/>
      <c r="N296" s="115"/>
      <c r="O296" s="115"/>
      <c r="P296" s="115"/>
      <c r="Q296" s="115"/>
      <c r="R296" s="115"/>
      <c r="S296" s="115"/>
      <c r="T296" s="115"/>
      <c r="U296" s="115"/>
      <c r="V296" s="25">
        <v>45694</v>
      </c>
      <c r="W296" s="15" t="s">
        <v>147</v>
      </c>
      <c r="AB296" s="117"/>
      <c r="AC296" s="123"/>
      <c r="AD296" s="123"/>
      <c r="AE296" s="123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115"/>
      <c r="AS296" s="115"/>
      <c r="AT296" s="13"/>
      <c r="AU296" s="13"/>
      <c r="AX296" s="114"/>
    </row>
    <row r="297" spans="1:50" ht="19.5" x14ac:dyDescent="0.4">
      <c r="A297" s="117"/>
      <c r="B297" s="123"/>
      <c r="C297" s="123"/>
      <c r="D297" s="123"/>
      <c r="K297" s="26"/>
      <c r="L297" s="13"/>
      <c r="M297" s="115"/>
      <c r="N297" s="115"/>
      <c r="O297" s="115"/>
      <c r="P297" s="115"/>
      <c r="Q297" s="115"/>
      <c r="R297" s="115"/>
      <c r="S297" s="115"/>
      <c r="T297" s="115"/>
      <c r="U297" s="115"/>
      <c r="V297" s="26">
        <v>45694</v>
      </c>
      <c r="W297" s="15" t="s">
        <v>148</v>
      </c>
      <c r="AB297" s="117"/>
      <c r="AC297" s="123"/>
      <c r="AD297" s="123"/>
      <c r="AE297" s="123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5"/>
      <c r="AR297" s="115"/>
      <c r="AS297" s="115"/>
      <c r="AT297" s="13"/>
      <c r="AU297" s="13"/>
      <c r="AX297" s="114"/>
    </row>
    <row r="298" spans="1:50" ht="19.5" x14ac:dyDescent="0.4">
      <c r="A298" s="117"/>
      <c r="B298" s="123"/>
      <c r="C298" s="123"/>
      <c r="D298" s="123"/>
      <c r="K298" s="26"/>
      <c r="L298" s="13"/>
      <c r="V298" s="26">
        <v>45694</v>
      </c>
      <c r="W298" s="13" t="s">
        <v>147</v>
      </c>
      <c r="AB298" s="117"/>
      <c r="AC298" s="123"/>
      <c r="AD298" s="123"/>
      <c r="AE298" s="123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115"/>
      <c r="AS298" s="115"/>
      <c r="AT298" s="25">
        <v>45268</v>
      </c>
      <c r="AU298" s="13" t="s">
        <v>162</v>
      </c>
      <c r="AX298" s="114"/>
    </row>
    <row r="299" spans="1:50" ht="19.5" x14ac:dyDescent="0.4">
      <c r="A299" s="117"/>
      <c r="B299" s="123"/>
      <c r="C299" s="123"/>
      <c r="D299" s="123"/>
      <c r="K299" s="26"/>
      <c r="L299" s="13"/>
      <c r="N299" s="115"/>
      <c r="O299" s="115"/>
      <c r="P299" s="115"/>
      <c r="Q299" s="115"/>
      <c r="R299" s="115"/>
      <c r="S299" s="115"/>
      <c r="T299" s="115"/>
      <c r="U299" s="115"/>
      <c r="V299" s="26">
        <v>45694</v>
      </c>
      <c r="W299" s="13" t="s">
        <v>147</v>
      </c>
      <c r="AB299" s="117"/>
      <c r="AC299" s="123"/>
      <c r="AD299" s="123"/>
      <c r="AE299" s="123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115"/>
      <c r="AS299" s="115"/>
      <c r="AT299" s="25"/>
      <c r="AU299" s="13"/>
      <c r="AX299" s="114"/>
    </row>
    <row r="300" spans="1:50" ht="19.5" x14ac:dyDescent="0.4">
      <c r="A300" s="117"/>
      <c r="B300" s="123"/>
      <c r="C300" s="123"/>
      <c r="D300" s="123"/>
      <c r="K300" s="26"/>
      <c r="L300" s="13"/>
      <c r="V300" s="26">
        <v>45694</v>
      </c>
      <c r="W300" s="13" t="s">
        <v>147</v>
      </c>
      <c r="AB300" s="117"/>
      <c r="AC300" s="123"/>
      <c r="AD300" s="123"/>
      <c r="AE300" s="123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115"/>
      <c r="AS300" s="115"/>
      <c r="AT300" s="25">
        <v>45268</v>
      </c>
      <c r="AU300" s="13" t="s">
        <v>162</v>
      </c>
      <c r="AX300" s="114"/>
    </row>
    <row r="301" spans="1:50" ht="19.5" x14ac:dyDescent="0.4">
      <c r="A301" s="117"/>
      <c r="B301" s="123"/>
      <c r="C301" s="123"/>
      <c r="D301" s="123"/>
      <c r="K301" s="26"/>
      <c r="L301" s="13"/>
      <c r="S301" s="115"/>
      <c r="T301" s="115"/>
      <c r="U301" s="115"/>
      <c r="V301" s="26">
        <v>45696</v>
      </c>
      <c r="W301" s="13" t="s">
        <v>147</v>
      </c>
      <c r="AB301" s="117"/>
      <c r="AC301" s="123"/>
      <c r="AD301" s="123"/>
      <c r="AE301" s="123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115"/>
      <c r="AS301" s="115"/>
      <c r="AT301" s="25"/>
      <c r="AU301" s="13"/>
      <c r="AX301" s="114"/>
    </row>
    <row r="302" spans="1:50" ht="19.5" x14ac:dyDescent="0.4">
      <c r="A302" s="117"/>
      <c r="B302" s="123"/>
      <c r="C302" s="123"/>
      <c r="D302" s="123"/>
      <c r="K302" s="26"/>
      <c r="L302" s="13"/>
      <c r="V302" s="26">
        <v>45698</v>
      </c>
      <c r="W302" s="13" t="s">
        <v>147</v>
      </c>
      <c r="AB302" s="117"/>
      <c r="AC302" s="123"/>
      <c r="AD302" s="123"/>
      <c r="AE302" s="123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5"/>
      <c r="AR302" s="115"/>
      <c r="AS302" s="115"/>
      <c r="AT302" s="25">
        <v>45268</v>
      </c>
      <c r="AU302" s="13" t="s">
        <v>163</v>
      </c>
      <c r="AX302" s="114"/>
    </row>
    <row r="303" spans="1:50" ht="19.5" x14ac:dyDescent="0.4">
      <c r="A303" s="117"/>
      <c r="B303" s="123"/>
      <c r="C303" s="123"/>
      <c r="D303" s="123"/>
      <c r="G303" s="115"/>
      <c r="H303" s="115"/>
      <c r="I303" s="115"/>
      <c r="J303" s="115"/>
      <c r="K303" s="17"/>
      <c r="L303" s="13"/>
      <c r="V303" s="26"/>
      <c r="W303" s="13"/>
      <c r="AB303" s="117"/>
      <c r="AC303" s="123"/>
      <c r="AD303" s="123"/>
      <c r="AE303" s="123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115"/>
      <c r="AT303" s="25"/>
      <c r="AU303" s="13"/>
      <c r="AX303" s="114"/>
    </row>
    <row r="304" spans="1:50" ht="19.5" x14ac:dyDescent="0.4">
      <c r="A304" s="117"/>
      <c r="B304" s="123"/>
      <c r="C304" s="123"/>
      <c r="D304" s="123"/>
      <c r="K304" s="26"/>
      <c r="L304" s="13"/>
      <c r="S304" s="115"/>
      <c r="T304" s="115"/>
      <c r="U304" s="115"/>
      <c r="V304" s="26">
        <v>45698</v>
      </c>
      <c r="W304" s="13" t="s">
        <v>147</v>
      </c>
      <c r="AB304" s="117"/>
      <c r="AC304" s="123"/>
      <c r="AD304" s="123"/>
      <c r="AE304" s="123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115"/>
      <c r="AS304" s="115"/>
      <c r="AT304" s="25"/>
      <c r="AU304" s="13"/>
      <c r="AX304" s="114"/>
    </row>
    <row r="305" spans="1:50" ht="19.5" x14ac:dyDescent="0.4">
      <c r="A305" s="117"/>
      <c r="B305" s="123"/>
      <c r="C305" s="123"/>
      <c r="D305" s="123"/>
      <c r="K305" s="26"/>
      <c r="L305" s="13"/>
      <c r="M305" s="115"/>
      <c r="N305" s="115"/>
      <c r="O305" s="115"/>
      <c r="P305" s="115"/>
      <c r="Q305" s="115"/>
      <c r="R305" s="115"/>
      <c r="S305" s="115"/>
      <c r="T305" s="115"/>
      <c r="U305" s="115"/>
      <c r="V305" s="26">
        <v>45699</v>
      </c>
      <c r="W305" s="13" t="s">
        <v>148</v>
      </c>
      <c r="AB305" s="117"/>
      <c r="AC305" s="123"/>
      <c r="AD305" s="123"/>
      <c r="AE305" s="123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115"/>
      <c r="AS305" s="115"/>
      <c r="AT305" s="25"/>
      <c r="AU305" s="13"/>
      <c r="AX305" s="114"/>
    </row>
    <row r="306" spans="1:50" ht="19.5" x14ac:dyDescent="0.4">
      <c r="A306" s="117"/>
      <c r="B306" s="123"/>
      <c r="C306" s="123"/>
      <c r="D306" s="123"/>
      <c r="G306" s="115"/>
      <c r="H306" s="115"/>
      <c r="I306" s="115"/>
      <c r="J306" s="115"/>
      <c r="K306" s="17"/>
      <c r="L306" s="13"/>
      <c r="M306" s="115"/>
      <c r="N306" s="115"/>
      <c r="O306" s="115"/>
      <c r="P306" s="115"/>
      <c r="Q306" s="115"/>
      <c r="R306" s="115"/>
      <c r="S306" s="115"/>
      <c r="T306" s="115"/>
      <c r="U306" s="115"/>
      <c r="V306" s="26"/>
      <c r="W306" s="13"/>
      <c r="AB306" s="117"/>
      <c r="AC306" s="123"/>
      <c r="AD306" s="123"/>
      <c r="AE306" s="123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115"/>
      <c r="AT306" s="25"/>
      <c r="AU306" s="13"/>
      <c r="AX306" s="114"/>
    </row>
    <row r="307" spans="1:50" ht="19.5" x14ac:dyDescent="0.4">
      <c r="A307" s="117"/>
      <c r="B307" s="123"/>
      <c r="C307" s="123"/>
      <c r="D307" s="123"/>
      <c r="K307" s="26"/>
      <c r="L307" s="13"/>
      <c r="V307" s="26">
        <v>45699</v>
      </c>
      <c r="W307" s="13" t="s">
        <v>148</v>
      </c>
      <c r="AB307" s="117"/>
      <c r="AC307" s="123"/>
      <c r="AD307" s="123"/>
      <c r="AE307" s="123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115"/>
      <c r="AT307" s="25">
        <v>45268</v>
      </c>
      <c r="AU307" s="13" t="s">
        <v>163</v>
      </c>
      <c r="AX307" s="114"/>
    </row>
    <row r="308" spans="1:50" ht="19.5" x14ac:dyDescent="0.4">
      <c r="A308" s="117"/>
      <c r="B308" s="123"/>
      <c r="C308" s="123"/>
      <c r="D308" s="123"/>
      <c r="G308" s="115"/>
      <c r="H308" s="115"/>
      <c r="I308" s="115"/>
      <c r="J308" s="115"/>
      <c r="K308" s="17"/>
      <c r="L308" s="13"/>
      <c r="V308" s="26"/>
      <c r="W308" s="13"/>
      <c r="AB308" s="117"/>
      <c r="AC308" s="123"/>
      <c r="AD308" s="123"/>
      <c r="AE308" s="123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115"/>
      <c r="AT308" s="25"/>
      <c r="AU308" s="13"/>
      <c r="AX308" s="114"/>
    </row>
    <row r="309" spans="1:50" ht="19.5" x14ac:dyDescent="0.4">
      <c r="A309" s="117"/>
      <c r="B309" s="123"/>
      <c r="C309" s="123"/>
      <c r="D309" s="123"/>
      <c r="K309" s="26"/>
      <c r="L309" s="13"/>
      <c r="O309" s="115"/>
      <c r="P309" s="115"/>
      <c r="Q309" s="115"/>
      <c r="R309" s="115"/>
      <c r="S309" s="115"/>
      <c r="T309" s="115"/>
      <c r="U309" s="115"/>
      <c r="V309" s="26">
        <v>45699</v>
      </c>
      <c r="W309" s="13" t="s">
        <v>148</v>
      </c>
      <c r="AB309" s="117"/>
      <c r="AC309" s="123"/>
      <c r="AD309" s="123"/>
      <c r="AE309" s="123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115"/>
      <c r="AS309" s="115"/>
      <c r="AT309" s="25"/>
      <c r="AU309" s="13"/>
      <c r="AX309" s="114"/>
    </row>
    <row r="310" spans="1:50" ht="19.5" x14ac:dyDescent="0.4">
      <c r="A310" s="117"/>
      <c r="B310" s="123"/>
      <c r="C310" s="123"/>
      <c r="D310" s="123"/>
      <c r="K310" s="26"/>
      <c r="L310" s="13"/>
      <c r="O310" s="115"/>
      <c r="P310" s="115"/>
      <c r="Q310" s="115"/>
      <c r="R310" s="115"/>
      <c r="S310" s="115"/>
      <c r="T310" s="115"/>
      <c r="U310" s="115"/>
      <c r="V310" s="26">
        <v>45699</v>
      </c>
      <c r="W310" s="13" t="s">
        <v>148</v>
      </c>
      <c r="AB310" s="117"/>
      <c r="AC310" s="123"/>
      <c r="AD310" s="123"/>
      <c r="AE310" s="123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115"/>
      <c r="AS310" s="115"/>
      <c r="AT310" s="25"/>
      <c r="AU310" s="13"/>
      <c r="AX310" s="114"/>
    </row>
    <row r="311" spans="1:50" ht="19.5" x14ac:dyDescent="0.4">
      <c r="A311" s="117"/>
      <c r="B311" s="123"/>
      <c r="C311" s="123"/>
      <c r="D311" s="123"/>
      <c r="K311" s="26"/>
      <c r="L311" s="13"/>
      <c r="O311" s="115"/>
      <c r="P311" s="115"/>
      <c r="Q311" s="115"/>
      <c r="R311" s="115"/>
      <c r="S311" s="115"/>
      <c r="T311" s="115"/>
      <c r="U311" s="115"/>
      <c r="V311" s="26">
        <v>45699</v>
      </c>
      <c r="W311" s="13" t="s">
        <v>148</v>
      </c>
      <c r="AB311" s="117"/>
      <c r="AC311" s="123"/>
      <c r="AD311" s="123"/>
      <c r="AE311" s="123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115"/>
      <c r="AS311" s="115"/>
      <c r="AT311" s="25"/>
      <c r="AU311" s="13"/>
      <c r="AX311" s="114"/>
    </row>
    <row r="312" spans="1:50" ht="19.5" x14ac:dyDescent="0.4">
      <c r="A312" s="117"/>
      <c r="B312" s="123"/>
      <c r="C312" s="123"/>
      <c r="D312" s="123"/>
      <c r="K312" s="26"/>
      <c r="L312" s="13"/>
      <c r="V312" s="26">
        <v>45699</v>
      </c>
      <c r="W312" s="13" t="s">
        <v>148</v>
      </c>
      <c r="AB312" s="117"/>
      <c r="AC312" s="123"/>
      <c r="AD312" s="123"/>
      <c r="AE312" s="123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5"/>
      <c r="AR312" s="115"/>
      <c r="AS312" s="115" t="s">
        <v>158</v>
      </c>
      <c r="AT312" s="13">
        <f>SUBTOTAL(3,AT298:AT307)</f>
        <v>4</v>
      </c>
      <c r="AU312" s="13">
        <f>SUBTOTAL(3,AU298:AU307)</f>
        <v>4</v>
      </c>
      <c r="AX312" s="114"/>
    </row>
    <row r="313" spans="1:50" ht="19.5" x14ac:dyDescent="0.4">
      <c r="A313" s="117"/>
      <c r="B313" s="123"/>
      <c r="C313" s="123"/>
      <c r="D313" s="123"/>
      <c r="K313" s="26"/>
      <c r="L313" s="15"/>
      <c r="S313" s="115"/>
      <c r="T313" s="115"/>
      <c r="U313" s="115"/>
      <c r="V313" s="26">
        <v>45706</v>
      </c>
      <c r="W313" s="13" t="s">
        <v>146</v>
      </c>
      <c r="AB313" s="117"/>
      <c r="AC313" s="123"/>
      <c r="AD313" s="123"/>
      <c r="AE313" s="123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5"/>
      <c r="AR313" s="115"/>
      <c r="AS313" s="115"/>
      <c r="AT313" s="13"/>
      <c r="AU313" s="13"/>
      <c r="AX313" s="114"/>
    </row>
    <row r="314" spans="1:50" ht="19.5" x14ac:dyDescent="0.4">
      <c r="A314" s="117"/>
      <c r="B314" s="123"/>
      <c r="C314" s="123"/>
      <c r="D314" s="123"/>
      <c r="K314" s="26"/>
      <c r="L314" s="13"/>
      <c r="R314" s="115"/>
      <c r="S314" s="115"/>
      <c r="T314" s="115"/>
      <c r="U314" s="115"/>
      <c r="V314" s="26">
        <v>45709</v>
      </c>
      <c r="W314" s="13" t="s">
        <v>148</v>
      </c>
      <c r="AB314" s="117"/>
      <c r="AC314" s="123"/>
      <c r="AD314" s="123"/>
      <c r="AE314" s="123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5"/>
      <c r="AR314" s="115"/>
      <c r="AS314" s="115"/>
      <c r="AT314" s="13"/>
      <c r="AU314" s="13"/>
      <c r="AX314" s="114"/>
    </row>
    <row r="315" spans="1:50" ht="19.5" x14ac:dyDescent="0.4">
      <c r="A315" s="117"/>
      <c r="B315" s="123"/>
      <c r="C315" s="123"/>
      <c r="D315" s="123"/>
      <c r="G315" s="115"/>
      <c r="H315" s="115"/>
      <c r="I315" s="115"/>
      <c r="J315" s="115"/>
      <c r="K315" s="17"/>
      <c r="L315" s="13"/>
      <c r="R315" s="115"/>
      <c r="S315" s="115"/>
      <c r="T315" s="115"/>
      <c r="U315" s="115"/>
      <c r="V315" s="26"/>
      <c r="W315" s="13"/>
      <c r="AB315" s="117"/>
      <c r="AC315" s="123"/>
      <c r="AD315" s="123"/>
      <c r="AE315" s="123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115"/>
      <c r="AS315" s="115"/>
      <c r="AT315" s="13"/>
      <c r="AU315" s="13"/>
      <c r="AX315" s="114"/>
    </row>
    <row r="316" spans="1:50" ht="19.5" x14ac:dyDescent="0.4">
      <c r="A316" s="117"/>
      <c r="B316" s="123"/>
      <c r="C316" s="123"/>
      <c r="D316" s="123"/>
      <c r="K316" s="26"/>
      <c r="L316" s="13"/>
      <c r="R316" s="115"/>
      <c r="S316" s="115"/>
      <c r="T316" s="115"/>
      <c r="U316" s="115"/>
      <c r="V316" s="26">
        <v>45709</v>
      </c>
      <c r="W316" s="13" t="s">
        <v>147</v>
      </c>
      <c r="AB316" s="117"/>
      <c r="AC316" s="123"/>
      <c r="AD316" s="123"/>
      <c r="AE316" s="123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115"/>
      <c r="AS316" s="115"/>
      <c r="AT316" s="13"/>
      <c r="AU316" s="13"/>
      <c r="AX316" s="114"/>
    </row>
    <row r="317" spans="1:50" ht="19.5" x14ac:dyDescent="0.4">
      <c r="A317" s="117"/>
      <c r="B317" s="123"/>
      <c r="C317" s="123"/>
      <c r="D317" s="123"/>
      <c r="G317" s="115"/>
      <c r="H317" s="115"/>
      <c r="I317" s="115"/>
      <c r="J317" s="115"/>
      <c r="K317" s="17"/>
      <c r="L317" s="13"/>
      <c r="R317" s="115"/>
      <c r="S317" s="115"/>
      <c r="T317" s="115"/>
      <c r="U317" s="115"/>
      <c r="V317" s="26"/>
      <c r="W317" s="13"/>
      <c r="AB317" s="117"/>
      <c r="AC317" s="123"/>
      <c r="AD317" s="123"/>
      <c r="AE317" s="123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115"/>
      <c r="AT317" s="13"/>
      <c r="AU317" s="13"/>
      <c r="AX317" s="114"/>
    </row>
    <row r="318" spans="1:50" ht="19.5" x14ac:dyDescent="0.4">
      <c r="A318" s="117"/>
      <c r="B318" s="123"/>
      <c r="C318" s="123"/>
      <c r="D318" s="123"/>
      <c r="K318" s="26"/>
      <c r="L318" s="13"/>
      <c r="R318" s="115"/>
      <c r="S318" s="115"/>
      <c r="T318" s="115"/>
      <c r="U318" s="115"/>
      <c r="V318" s="26">
        <v>45712</v>
      </c>
      <c r="W318" s="13" t="s">
        <v>146</v>
      </c>
      <c r="AB318" s="117"/>
      <c r="AC318" s="123"/>
      <c r="AD318" s="123"/>
      <c r="AE318" s="123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5"/>
      <c r="AR318" s="115"/>
      <c r="AS318" s="115"/>
      <c r="AT318" s="13"/>
      <c r="AU318" s="13"/>
      <c r="AX318" s="114"/>
    </row>
    <row r="319" spans="1:50" ht="19.5" x14ac:dyDescent="0.4">
      <c r="A319" s="117"/>
      <c r="B319" s="123"/>
      <c r="C319" s="123"/>
      <c r="D319" s="123"/>
      <c r="K319" s="26"/>
      <c r="L319" s="13"/>
      <c r="R319" s="115"/>
      <c r="S319" s="115"/>
      <c r="T319" s="115"/>
      <c r="U319" s="115"/>
      <c r="V319" s="26">
        <v>45712</v>
      </c>
      <c r="W319" s="13" t="s">
        <v>148</v>
      </c>
      <c r="AB319" s="117"/>
      <c r="AC319" s="123"/>
      <c r="AD319" s="123"/>
      <c r="AE319" s="123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115"/>
      <c r="AT319" s="13"/>
      <c r="AU319" s="13"/>
      <c r="AX319" s="114"/>
    </row>
    <row r="320" spans="1:50" ht="19.5" x14ac:dyDescent="0.4">
      <c r="A320" s="117"/>
      <c r="B320" s="123"/>
      <c r="C320" s="123"/>
      <c r="D320" s="123"/>
      <c r="G320" s="115"/>
      <c r="H320" s="115"/>
      <c r="I320" s="115"/>
      <c r="J320" s="115"/>
      <c r="K320" s="17"/>
      <c r="L320" s="13"/>
      <c r="R320" s="115"/>
      <c r="S320" s="115"/>
      <c r="T320" s="115"/>
      <c r="U320" s="115"/>
      <c r="V320" s="26"/>
      <c r="W320" s="13"/>
      <c r="AB320" s="117"/>
      <c r="AC320" s="123"/>
      <c r="AD320" s="123"/>
      <c r="AE320" s="123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115"/>
      <c r="AT320" s="13"/>
      <c r="AU320" s="13"/>
      <c r="AX320" s="114"/>
    </row>
    <row r="321" spans="1:50" ht="19.5" x14ac:dyDescent="0.4">
      <c r="A321" s="117"/>
      <c r="B321" s="123"/>
      <c r="C321" s="123"/>
      <c r="D321" s="123"/>
      <c r="K321" s="26"/>
      <c r="L321" s="13"/>
      <c r="P321" s="115"/>
      <c r="Q321" s="115"/>
      <c r="R321" s="115"/>
      <c r="S321" s="115"/>
      <c r="T321" s="115"/>
      <c r="U321" s="115"/>
      <c r="V321" s="26">
        <v>45714</v>
      </c>
      <c r="W321" s="13" t="s">
        <v>147</v>
      </c>
      <c r="AB321" s="117"/>
      <c r="AC321" s="123"/>
      <c r="AD321" s="123"/>
      <c r="AE321" s="123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115"/>
      <c r="AT321" s="13"/>
      <c r="AU321" s="13"/>
      <c r="AX321" s="114"/>
    </row>
    <row r="322" spans="1:50" ht="19.5" x14ac:dyDescent="0.4">
      <c r="A322" s="117"/>
      <c r="B322" s="123"/>
      <c r="C322" s="123"/>
      <c r="D322" s="123"/>
      <c r="K322" s="26"/>
      <c r="L322" s="13"/>
      <c r="V322" s="26">
        <v>45714</v>
      </c>
      <c r="W322" s="13" t="s">
        <v>147</v>
      </c>
      <c r="AB322" s="117"/>
      <c r="AC322" s="123"/>
      <c r="AD322" s="123"/>
      <c r="AE322" s="123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115"/>
      <c r="AT322" s="25">
        <v>45269</v>
      </c>
      <c r="AU322" s="13" t="s">
        <v>163</v>
      </c>
      <c r="AX322" s="114"/>
    </row>
    <row r="323" spans="1:50" ht="19.5" x14ac:dyDescent="0.4">
      <c r="A323" s="117"/>
      <c r="B323" s="123"/>
      <c r="C323" s="123"/>
      <c r="D323" s="123"/>
      <c r="K323" s="26"/>
      <c r="L323" s="13"/>
      <c r="M323" s="115"/>
      <c r="N323" s="115"/>
      <c r="O323" s="115"/>
      <c r="P323" s="115"/>
      <c r="Q323" s="115"/>
      <c r="R323" s="115"/>
      <c r="S323" s="115"/>
      <c r="T323" s="115"/>
      <c r="U323" s="115"/>
      <c r="V323" s="26">
        <v>45714</v>
      </c>
      <c r="W323" s="13" t="s">
        <v>147</v>
      </c>
      <c r="AB323" s="117"/>
      <c r="AC323" s="123"/>
      <c r="AD323" s="123"/>
      <c r="AE323" s="123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25"/>
      <c r="AU323" s="13"/>
      <c r="AX323" s="114"/>
    </row>
    <row r="324" spans="1:50" ht="19.5" x14ac:dyDescent="0.4">
      <c r="A324" s="117"/>
      <c r="B324" s="123"/>
      <c r="C324" s="123"/>
      <c r="D324" s="123"/>
      <c r="K324" s="26"/>
      <c r="L324" s="13"/>
      <c r="M324" s="115"/>
      <c r="N324" s="115"/>
      <c r="O324" s="115"/>
      <c r="P324" s="115"/>
      <c r="Q324" s="115"/>
      <c r="R324" s="115"/>
      <c r="S324" s="115"/>
      <c r="T324" s="115" t="s">
        <v>145</v>
      </c>
      <c r="U324" s="115">
        <f>SUBTOTAL(3,U2:U323)</f>
        <v>0</v>
      </c>
      <c r="V324" s="26"/>
      <c r="W324" s="13">
        <f>SUBTOTAL(3,W2:W323)</f>
        <v>145</v>
      </c>
      <c r="AB324" s="117"/>
      <c r="AC324" s="123"/>
      <c r="AD324" s="123"/>
      <c r="AE324" s="123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115"/>
      <c r="AT324" s="25"/>
      <c r="AU324" s="13"/>
      <c r="AX324" s="114"/>
    </row>
    <row r="325" spans="1:50" ht="19.5" x14ac:dyDescent="0.4">
      <c r="A325" s="117"/>
      <c r="B325" s="123"/>
      <c r="C325" s="123"/>
      <c r="D325" s="123"/>
      <c r="K325" s="26"/>
      <c r="L325" s="13"/>
      <c r="V325" s="26"/>
      <c r="W325" s="13"/>
      <c r="AB325" s="117"/>
      <c r="AC325" s="123"/>
      <c r="AD325" s="123"/>
      <c r="AE325" s="123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115"/>
      <c r="AT325" s="25">
        <v>45269</v>
      </c>
      <c r="AU325" s="13" t="s">
        <v>163</v>
      </c>
      <c r="AX325" s="114"/>
    </row>
    <row r="326" spans="1:50" ht="19.5" x14ac:dyDescent="0.4">
      <c r="A326" s="117"/>
      <c r="B326" s="123"/>
      <c r="C326" s="123"/>
      <c r="D326" s="123"/>
      <c r="K326" s="26"/>
      <c r="L326" s="13"/>
      <c r="O326" s="115"/>
      <c r="P326" s="115"/>
      <c r="Q326" s="115"/>
      <c r="R326" s="115"/>
      <c r="S326" s="115"/>
      <c r="T326" s="115"/>
      <c r="U326" s="115"/>
      <c r="V326" s="26"/>
      <c r="W326" s="13"/>
      <c r="AB326" s="117"/>
      <c r="AC326" s="123"/>
      <c r="AD326" s="123"/>
      <c r="AE326" s="123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115"/>
      <c r="AS326" s="115"/>
      <c r="AT326" s="25"/>
      <c r="AU326" s="13"/>
      <c r="AX326" s="114"/>
    </row>
    <row r="327" spans="1:50" ht="19.5" x14ac:dyDescent="0.4">
      <c r="A327" s="117"/>
      <c r="B327" s="123"/>
      <c r="C327" s="123"/>
      <c r="D327" s="123"/>
      <c r="K327" s="26"/>
      <c r="L327" s="13"/>
      <c r="V327" s="26"/>
      <c r="W327" s="13"/>
      <c r="AB327" s="117"/>
      <c r="AC327" s="123"/>
      <c r="AD327" s="123"/>
      <c r="AE327" s="123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115"/>
      <c r="AS327" s="115" t="s">
        <v>159</v>
      </c>
      <c r="AT327" s="13">
        <f>SUBTOTAL(3,AT322:AT325)</f>
        <v>2</v>
      </c>
      <c r="AU327" s="13">
        <f>SUBTOTAL(3,AU322:AU325)</f>
        <v>2</v>
      </c>
      <c r="AX327" s="114"/>
    </row>
    <row r="328" spans="1:50" ht="19.5" x14ac:dyDescent="0.4">
      <c r="A328" s="117"/>
      <c r="B328" s="123"/>
      <c r="C328" s="123"/>
      <c r="D328" s="123"/>
      <c r="K328" s="26"/>
      <c r="L328" s="13"/>
      <c r="M328" s="115"/>
      <c r="N328" s="115"/>
      <c r="O328" s="115"/>
      <c r="P328" s="115"/>
      <c r="Q328" s="115"/>
      <c r="R328" s="115"/>
      <c r="S328" s="115"/>
      <c r="T328" s="115"/>
      <c r="U328" s="115"/>
      <c r="V328" s="26"/>
      <c r="W328" s="13"/>
      <c r="AB328" s="117"/>
      <c r="AC328" s="123"/>
      <c r="AD328" s="123"/>
      <c r="AE328" s="123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115"/>
      <c r="AT328" s="13"/>
      <c r="AU328" s="13"/>
      <c r="AX328" s="114"/>
    </row>
    <row r="329" spans="1:50" ht="19.5" x14ac:dyDescent="0.4">
      <c r="A329" s="117"/>
      <c r="B329" s="123"/>
      <c r="C329" s="123"/>
      <c r="D329" s="123"/>
      <c r="K329" s="26"/>
      <c r="L329" s="13"/>
      <c r="M329" s="115"/>
      <c r="N329" s="115"/>
      <c r="O329" s="115"/>
      <c r="P329" s="115"/>
      <c r="Q329" s="115"/>
      <c r="R329" s="115"/>
      <c r="S329" s="115"/>
      <c r="T329" s="115"/>
      <c r="U329" s="115"/>
      <c r="V329" s="26"/>
      <c r="W329" s="13"/>
      <c r="AB329" s="117"/>
      <c r="AC329" s="123"/>
      <c r="AD329" s="123"/>
      <c r="AE329" s="123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115"/>
      <c r="AS329" s="115"/>
      <c r="AT329" s="13"/>
      <c r="AU329" s="13"/>
      <c r="AX329" s="114"/>
    </row>
    <row r="330" spans="1:50" ht="19.5" x14ac:dyDescent="0.4">
      <c r="A330" s="117"/>
      <c r="B330" s="123"/>
      <c r="C330" s="123"/>
      <c r="D330" s="123"/>
      <c r="F330" s="115"/>
      <c r="G330" s="115"/>
      <c r="H330" s="115"/>
      <c r="I330" s="115"/>
      <c r="J330" s="115"/>
      <c r="K330" s="26"/>
      <c r="L330" s="13"/>
      <c r="M330" s="115"/>
      <c r="N330" s="115"/>
      <c r="O330" s="115"/>
      <c r="P330" s="115"/>
      <c r="Q330" s="115"/>
      <c r="R330" s="115"/>
      <c r="S330" s="115"/>
      <c r="T330" s="115"/>
      <c r="U330" s="115"/>
      <c r="V330" s="26"/>
      <c r="W330" s="13"/>
      <c r="AB330" s="117"/>
      <c r="AC330" s="123"/>
      <c r="AD330" s="123"/>
      <c r="AE330" s="123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115"/>
      <c r="AS330" s="115"/>
      <c r="AT330" s="13"/>
      <c r="AU330" s="13"/>
      <c r="AX330" s="114"/>
    </row>
    <row r="331" spans="1:50" ht="19.5" x14ac:dyDescent="0.4">
      <c r="A331" s="117"/>
      <c r="B331" s="123"/>
      <c r="C331" s="123"/>
      <c r="D331" s="123"/>
      <c r="K331" s="26"/>
      <c r="L331" s="13"/>
      <c r="V331" s="26"/>
      <c r="W331" s="13"/>
      <c r="AB331" s="117"/>
      <c r="AC331" s="123"/>
      <c r="AD331" s="123"/>
      <c r="AE331" s="123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115"/>
      <c r="AS331" s="115"/>
      <c r="AT331" s="25">
        <v>45270</v>
      </c>
      <c r="AU331" s="13" t="s">
        <v>164</v>
      </c>
      <c r="AX331" s="114"/>
    </row>
    <row r="332" spans="1:50" ht="19.5" x14ac:dyDescent="0.4">
      <c r="A332" s="117"/>
      <c r="B332" s="123"/>
      <c r="C332" s="123"/>
      <c r="D332" s="123"/>
      <c r="K332" s="26"/>
      <c r="L332" s="13"/>
      <c r="Q332" s="115"/>
      <c r="R332" s="115"/>
      <c r="S332" s="115"/>
      <c r="T332" s="115"/>
      <c r="U332" s="115"/>
      <c r="V332" s="17"/>
      <c r="W332" s="13"/>
      <c r="AB332" s="117"/>
      <c r="AC332" s="123"/>
      <c r="AD332" s="123"/>
      <c r="AE332" s="123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115"/>
      <c r="AT332" s="25"/>
      <c r="AU332" s="13"/>
      <c r="AX332" s="114"/>
    </row>
    <row r="333" spans="1:50" ht="19.5" x14ac:dyDescent="0.4">
      <c r="A333" s="117"/>
      <c r="B333" s="123"/>
      <c r="C333" s="123"/>
      <c r="D333" s="123"/>
      <c r="K333" s="26"/>
      <c r="L333" s="13"/>
      <c r="V333" s="26"/>
      <c r="W333" s="13"/>
      <c r="AB333" s="117"/>
      <c r="AC333" s="123"/>
      <c r="AD333" s="123"/>
      <c r="AE333" s="123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115"/>
      <c r="AS333" s="115"/>
      <c r="AT333" s="25"/>
      <c r="AU333" s="13"/>
      <c r="AX333" s="114"/>
    </row>
    <row r="334" spans="1:50" ht="19.5" x14ac:dyDescent="0.4">
      <c r="A334" s="117"/>
      <c r="B334" s="123"/>
      <c r="C334" s="123"/>
      <c r="D334" s="123"/>
      <c r="K334" s="26"/>
      <c r="L334" s="13"/>
      <c r="N334" s="115"/>
      <c r="O334" s="115"/>
      <c r="P334" s="115"/>
      <c r="Q334" s="115"/>
      <c r="R334" s="115"/>
      <c r="S334" s="115"/>
      <c r="T334" s="115"/>
      <c r="U334" s="115"/>
      <c r="V334" s="26"/>
      <c r="W334" s="13"/>
      <c r="AB334" s="117"/>
      <c r="AC334" s="123"/>
      <c r="AD334" s="123"/>
      <c r="AE334" s="123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115"/>
      <c r="AS334" s="115"/>
      <c r="AT334" s="25"/>
      <c r="AU334" s="13"/>
      <c r="AX334" s="114"/>
    </row>
    <row r="335" spans="1:50" ht="19.5" x14ac:dyDescent="0.4">
      <c r="A335" s="117"/>
      <c r="B335" s="123"/>
      <c r="C335" s="123"/>
      <c r="D335" s="123"/>
      <c r="K335" s="26"/>
      <c r="L335" s="13"/>
      <c r="V335" s="26"/>
      <c r="W335" s="13"/>
      <c r="AB335" s="117"/>
      <c r="AC335" s="123"/>
      <c r="AD335" s="123"/>
      <c r="AE335" s="123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115"/>
      <c r="AS335" s="115"/>
      <c r="AT335" s="25">
        <v>45270</v>
      </c>
      <c r="AU335" s="13" t="s">
        <v>164</v>
      </c>
      <c r="AX335" s="114"/>
    </row>
    <row r="336" spans="1:50" ht="19.5" x14ac:dyDescent="0.4">
      <c r="A336" s="117"/>
      <c r="B336" s="123"/>
      <c r="C336" s="123"/>
      <c r="D336" s="123"/>
      <c r="K336" s="26"/>
      <c r="L336" s="13"/>
      <c r="P336" s="115"/>
      <c r="Q336" s="115"/>
      <c r="R336" s="115"/>
      <c r="S336" s="115"/>
      <c r="T336" s="115"/>
      <c r="U336" s="115"/>
      <c r="V336" s="26"/>
      <c r="W336" s="13"/>
      <c r="AB336" s="117"/>
      <c r="AC336" s="123"/>
      <c r="AD336" s="123"/>
      <c r="AE336" s="123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115"/>
      <c r="AR336" s="115"/>
      <c r="AS336" s="115"/>
      <c r="AT336" s="25"/>
      <c r="AU336" s="13"/>
      <c r="AX336" s="114"/>
    </row>
    <row r="337" spans="1:50" ht="19.5" x14ac:dyDescent="0.4">
      <c r="A337" s="117"/>
      <c r="B337" s="123"/>
      <c r="C337" s="123"/>
      <c r="D337" s="123"/>
      <c r="F337" s="115"/>
      <c r="G337" s="115"/>
      <c r="H337" s="115"/>
      <c r="I337" s="115"/>
      <c r="J337" s="115"/>
      <c r="K337" s="26"/>
      <c r="L337" s="13"/>
      <c r="M337" s="115"/>
      <c r="N337" s="115"/>
      <c r="O337" s="115"/>
      <c r="P337" s="115"/>
      <c r="Q337" s="115"/>
      <c r="R337" s="115"/>
      <c r="S337" s="115"/>
      <c r="T337" s="115"/>
      <c r="U337" s="115"/>
      <c r="V337" s="26"/>
      <c r="W337" s="13"/>
      <c r="AB337" s="117"/>
      <c r="AC337" s="123"/>
      <c r="AD337" s="123"/>
      <c r="AE337" s="123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/>
      <c r="AS337" s="115"/>
      <c r="AT337" s="25"/>
      <c r="AU337" s="13"/>
      <c r="AX337" s="114"/>
    </row>
    <row r="338" spans="1:50" ht="19.5" x14ac:dyDescent="0.4">
      <c r="A338" s="117"/>
      <c r="B338" s="123"/>
      <c r="C338" s="123"/>
      <c r="D338" s="123"/>
      <c r="K338" s="26"/>
      <c r="L338" s="15"/>
      <c r="V338" s="26"/>
      <c r="W338" s="13"/>
      <c r="AB338" s="117"/>
      <c r="AC338" s="123"/>
      <c r="AD338" s="123"/>
      <c r="AE338" s="123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115"/>
      <c r="AR338" s="115"/>
      <c r="AS338" s="115"/>
      <c r="AT338" s="25">
        <v>45270</v>
      </c>
      <c r="AU338" s="13" t="s">
        <v>162</v>
      </c>
      <c r="AX338" s="114"/>
    </row>
    <row r="339" spans="1:50" ht="19.5" x14ac:dyDescent="0.4">
      <c r="A339" s="117"/>
      <c r="B339" s="123"/>
      <c r="C339" s="123"/>
      <c r="D339" s="123"/>
      <c r="K339" s="26"/>
      <c r="L339" s="15"/>
      <c r="O339" s="115"/>
      <c r="P339" s="115"/>
      <c r="Q339" s="115"/>
      <c r="R339" s="115"/>
      <c r="S339" s="115"/>
      <c r="T339" s="115"/>
      <c r="U339" s="115"/>
      <c r="V339" s="26"/>
      <c r="W339" s="15"/>
      <c r="AB339" s="117"/>
      <c r="AC339" s="123"/>
      <c r="AD339" s="123"/>
      <c r="AE339" s="123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115"/>
      <c r="AT339" s="25"/>
      <c r="AU339" s="13"/>
      <c r="AX339" s="114"/>
    </row>
    <row r="340" spans="1:50" ht="19.5" x14ac:dyDescent="0.4">
      <c r="A340" s="117"/>
      <c r="B340" s="123"/>
      <c r="C340" s="123"/>
      <c r="D340" s="123"/>
      <c r="G340" s="115"/>
      <c r="H340" s="115"/>
      <c r="I340" s="115"/>
      <c r="J340" s="115"/>
      <c r="K340" s="17"/>
      <c r="L340" s="15"/>
      <c r="O340" s="115"/>
      <c r="P340" s="115"/>
      <c r="Q340" s="115"/>
      <c r="R340" s="115"/>
      <c r="S340" s="115"/>
      <c r="T340" s="115"/>
      <c r="U340" s="115"/>
      <c r="V340" s="26"/>
      <c r="W340" s="13"/>
      <c r="AB340" s="117"/>
      <c r="AC340" s="123"/>
      <c r="AD340" s="123"/>
      <c r="AE340" s="123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115"/>
      <c r="AR340" s="115"/>
      <c r="AS340" s="115"/>
      <c r="AT340" s="25"/>
      <c r="AU340" s="13"/>
      <c r="AX340" s="114"/>
    </row>
    <row r="341" spans="1:50" ht="19.5" x14ac:dyDescent="0.4">
      <c r="A341" s="117"/>
      <c r="B341" s="123"/>
      <c r="C341" s="123"/>
      <c r="D341" s="123"/>
      <c r="K341" s="26"/>
      <c r="L341" s="15"/>
      <c r="V341" s="26"/>
      <c r="W341" s="13"/>
      <c r="AB341" s="117"/>
      <c r="AC341" s="123"/>
      <c r="AD341" s="123"/>
      <c r="AE341" s="123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115"/>
      <c r="AT341" s="25">
        <v>45270</v>
      </c>
      <c r="AU341" s="13" t="s">
        <v>162</v>
      </c>
      <c r="AX341" s="114"/>
    </row>
    <row r="342" spans="1:50" ht="19.5" x14ac:dyDescent="0.4">
      <c r="A342" s="117"/>
      <c r="B342" s="123"/>
      <c r="C342" s="123"/>
      <c r="D342" s="123"/>
      <c r="G342" s="115"/>
      <c r="H342" s="115"/>
      <c r="I342" s="115"/>
      <c r="J342" s="115"/>
      <c r="K342" s="17"/>
      <c r="L342" s="15"/>
      <c r="V342" s="26"/>
      <c r="W342" s="13"/>
      <c r="AB342" s="117"/>
      <c r="AC342" s="123"/>
      <c r="AD342" s="123"/>
      <c r="AE342" s="123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115"/>
      <c r="AS342" s="115"/>
      <c r="AT342" s="25"/>
      <c r="AU342" s="13"/>
      <c r="AX342" s="114"/>
    </row>
    <row r="343" spans="1:50" ht="19.5" x14ac:dyDescent="0.4">
      <c r="A343" s="117"/>
      <c r="B343" s="123"/>
      <c r="C343" s="123"/>
      <c r="D343" s="123"/>
      <c r="K343" s="26"/>
      <c r="L343" s="15"/>
      <c r="Q343" s="115"/>
      <c r="R343" s="115"/>
      <c r="S343" s="115"/>
      <c r="T343" s="115"/>
      <c r="U343" s="115"/>
      <c r="V343" s="17"/>
      <c r="W343" s="13"/>
      <c r="AB343" s="117"/>
      <c r="AC343" s="123"/>
      <c r="AD343" s="123"/>
      <c r="AE343" s="123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115"/>
      <c r="AS343" s="115"/>
      <c r="AT343" s="25"/>
      <c r="AU343" s="13"/>
      <c r="AX343" s="114"/>
    </row>
    <row r="344" spans="1:50" ht="19.5" x14ac:dyDescent="0.4">
      <c r="A344" s="117"/>
      <c r="B344" s="123"/>
      <c r="C344" s="123"/>
      <c r="D344" s="123"/>
      <c r="G344" s="115"/>
      <c r="H344" s="115"/>
      <c r="I344" s="115"/>
      <c r="J344" s="115"/>
      <c r="K344" s="119"/>
      <c r="L344" s="119"/>
      <c r="Q344" s="115"/>
      <c r="R344" s="115"/>
      <c r="S344" s="115"/>
      <c r="T344" s="115"/>
      <c r="U344" s="115"/>
      <c r="V344" s="17"/>
      <c r="W344" s="13"/>
      <c r="AB344" s="117"/>
      <c r="AC344" s="123"/>
      <c r="AD344" s="123"/>
      <c r="AE344" s="123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115"/>
      <c r="AS344" s="115"/>
      <c r="AT344" s="25"/>
      <c r="AU344" s="13"/>
      <c r="AX344" s="114"/>
    </row>
    <row r="345" spans="1:50" ht="19.5" x14ac:dyDescent="0.4">
      <c r="A345" s="117"/>
      <c r="B345" s="123"/>
      <c r="C345" s="123"/>
      <c r="D345" s="123"/>
      <c r="G345" s="115"/>
      <c r="H345" s="115"/>
      <c r="I345" s="115"/>
      <c r="J345" s="115"/>
      <c r="K345" s="119"/>
      <c r="L345" s="119"/>
      <c r="Q345" s="115"/>
      <c r="R345" s="115"/>
      <c r="S345" s="115"/>
      <c r="T345" s="115"/>
      <c r="U345" s="115"/>
      <c r="V345" s="17"/>
      <c r="W345" s="13"/>
      <c r="AB345" s="117"/>
      <c r="AC345" s="123"/>
      <c r="AD345" s="123"/>
      <c r="AE345" s="123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115"/>
      <c r="AS345" s="115"/>
      <c r="AT345" s="25"/>
      <c r="AU345" s="13"/>
      <c r="AX345" s="114"/>
    </row>
    <row r="346" spans="1:50" ht="19.5" x14ac:dyDescent="0.4">
      <c r="A346" s="117"/>
      <c r="B346" s="123"/>
      <c r="C346" s="123"/>
      <c r="D346" s="123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26"/>
      <c r="W346" s="13"/>
      <c r="AB346" s="117"/>
      <c r="AC346" s="123"/>
      <c r="AD346" s="123"/>
      <c r="AE346" s="123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115"/>
      <c r="AS346" s="115"/>
      <c r="AT346" s="25"/>
      <c r="AU346" s="13"/>
      <c r="AX346" s="114"/>
    </row>
    <row r="347" spans="1:50" ht="19.5" x14ac:dyDescent="0.4">
      <c r="A347" s="117"/>
      <c r="B347" s="123"/>
      <c r="C347" s="123"/>
      <c r="D347" s="123"/>
      <c r="V347" s="26"/>
      <c r="W347" s="13"/>
      <c r="AB347" s="117"/>
      <c r="AC347" s="123"/>
      <c r="AD347" s="123"/>
      <c r="AE347" s="123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115"/>
      <c r="AT347" s="25"/>
      <c r="AU347" s="13"/>
      <c r="AX347" s="114"/>
    </row>
    <row r="348" spans="1:50" ht="19.5" x14ac:dyDescent="0.4">
      <c r="A348" s="117"/>
      <c r="B348" s="123"/>
      <c r="C348" s="123"/>
      <c r="D348" s="123"/>
      <c r="V348" s="26"/>
      <c r="W348" s="13"/>
      <c r="AB348" s="117"/>
      <c r="AC348" s="123"/>
      <c r="AD348" s="123"/>
      <c r="AE348" s="123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115"/>
      <c r="AT348" s="25">
        <v>45270</v>
      </c>
      <c r="AU348" s="13" t="s">
        <v>163</v>
      </c>
      <c r="AX348" s="114"/>
    </row>
    <row r="349" spans="1:50" ht="19.5" x14ac:dyDescent="0.4">
      <c r="A349" s="117"/>
      <c r="B349" s="123"/>
      <c r="C349" s="123"/>
      <c r="D349" s="123"/>
      <c r="Q349" s="115"/>
      <c r="R349" s="115"/>
      <c r="S349" s="115"/>
      <c r="T349" s="115"/>
      <c r="U349" s="115"/>
      <c r="V349" s="17"/>
      <c r="W349" s="13"/>
      <c r="AB349" s="117"/>
      <c r="AC349" s="123"/>
      <c r="AD349" s="123"/>
      <c r="AE349" s="123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115"/>
      <c r="AT349" s="25"/>
      <c r="AU349" s="13"/>
      <c r="AX349" s="114"/>
    </row>
    <row r="350" spans="1:50" ht="19.5" x14ac:dyDescent="0.4">
      <c r="A350" s="117"/>
      <c r="B350" s="123"/>
      <c r="C350" s="123"/>
      <c r="D350" s="123"/>
      <c r="V350" s="26"/>
      <c r="W350" s="13"/>
      <c r="AB350" s="117"/>
      <c r="AC350" s="123"/>
      <c r="AD350" s="123"/>
      <c r="AE350" s="123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115" t="s">
        <v>151</v>
      </c>
      <c r="AT350" s="13">
        <f>SUBTOTAL(3,AT331:AT348)</f>
        <v>5</v>
      </c>
      <c r="AU350" s="13">
        <f>SUBTOTAL(3,AU331:AU348)</f>
        <v>5</v>
      </c>
      <c r="AX350" s="114"/>
    </row>
    <row r="351" spans="1:50" ht="19.5" x14ac:dyDescent="0.4">
      <c r="A351" s="117"/>
      <c r="B351" s="123"/>
      <c r="C351" s="123"/>
      <c r="D351" s="123"/>
      <c r="P351" s="115"/>
      <c r="Q351" s="115"/>
      <c r="R351" s="115"/>
      <c r="S351" s="115"/>
      <c r="T351" s="115"/>
      <c r="U351" s="115"/>
      <c r="V351" s="26"/>
      <c r="W351" s="13"/>
      <c r="AB351" s="117"/>
      <c r="AC351" s="123"/>
      <c r="AD351" s="123"/>
      <c r="AE351" s="123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115"/>
      <c r="AT351" s="13"/>
      <c r="AU351" s="13"/>
      <c r="AX351" s="114"/>
    </row>
    <row r="352" spans="1:50" ht="19.5" x14ac:dyDescent="0.4">
      <c r="A352" s="117"/>
      <c r="B352" s="123"/>
      <c r="C352" s="123"/>
      <c r="D352" s="123"/>
      <c r="V352" s="26"/>
      <c r="W352" s="13"/>
      <c r="AB352" s="117"/>
      <c r="AC352" s="123"/>
      <c r="AD352" s="123"/>
      <c r="AE352" s="123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115"/>
      <c r="AT352" s="25">
        <v>45271</v>
      </c>
      <c r="AU352" s="13" t="s">
        <v>162</v>
      </c>
      <c r="AX352" s="114"/>
    </row>
    <row r="353" spans="1:50" ht="19.5" x14ac:dyDescent="0.4">
      <c r="A353" s="117"/>
      <c r="B353" s="123"/>
      <c r="C353" s="123"/>
      <c r="D353" s="123"/>
      <c r="V353" s="26"/>
      <c r="W353" s="13"/>
      <c r="AB353" s="117"/>
      <c r="AC353" s="123"/>
      <c r="AD353" s="123"/>
      <c r="AE353" s="123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115"/>
      <c r="AT353" s="25">
        <v>45271</v>
      </c>
      <c r="AU353" s="13" t="s">
        <v>163</v>
      </c>
      <c r="AX353" s="114"/>
    </row>
    <row r="354" spans="1:50" ht="19.5" x14ac:dyDescent="0.4">
      <c r="A354" s="117"/>
      <c r="B354" s="123"/>
      <c r="C354" s="123"/>
      <c r="D354" s="123"/>
      <c r="P354" s="115"/>
      <c r="Q354" s="115"/>
      <c r="R354" s="115"/>
      <c r="S354" s="115"/>
      <c r="T354" s="115"/>
      <c r="U354" s="115"/>
      <c r="V354" s="26"/>
      <c r="W354" s="13"/>
      <c r="AB354" s="117"/>
      <c r="AC354" s="123"/>
      <c r="AD354" s="123"/>
      <c r="AE354" s="123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115"/>
      <c r="AT354" s="25"/>
      <c r="AU354" s="13"/>
      <c r="AX354" s="114"/>
    </row>
    <row r="355" spans="1:50" ht="19.5" x14ac:dyDescent="0.4">
      <c r="A355" s="117"/>
      <c r="B355" s="123"/>
      <c r="C355" s="123"/>
      <c r="D355" s="123"/>
      <c r="O355" s="115"/>
      <c r="P355" s="115"/>
      <c r="Q355" s="115"/>
      <c r="R355" s="115"/>
      <c r="S355" s="115"/>
      <c r="T355" s="115"/>
      <c r="U355" s="115"/>
      <c r="V355" s="26"/>
      <c r="W355" s="13"/>
      <c r="AB355" s="117"/>
      <c r="AC355" s="123"/>
      <c r="AD355" s="123"/>
      <c r="AE355" s="123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115"/>
      <c r="AT355" s="25"/>
      <c r="AU355" s="13"/>
      <c r="AX355" s="114"/>
    </row>
    <row r="356" spans="1:50" ht="19.5" x14ac:dyDescent="0.4">
      <c r="A356" s="117"/>
      <c r="B356" s="123"/>
      <c r="C356" s="123"/>
      <c r="D356" s="123"/>
      <c r="O356" s="115"/>
      <c r="P356" s="115"/>
      <c r="Q356" s="115"/>
      <c r="R356" s="115"/>
      <c r="S356" s="115"/>
      <c r="T356" s="115"/>
      <c r="U356" s="115"/>
      <c r="V356" s="17"/>
      <c r="W356" s="13"/>
      <c r="AB356" s="117"/>
      <c r="AC356" s="123"/>
      <c r="AD356" s="123"/>
      <c r="AE356" s="123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115"/>
      <c r="AT356" s="25"/>
      <c r="AU356" s="13"/>
      <c r="AX356" s="114"/>
    </row>
    <row r="357" spans="1:50" ht="19.5" x14ac:dyDescent="0.4">
      <c r="A357" s="117"/>
      <c r="B357" s="123"/>
      <c r="C357" s="123"/>
      <c r="D357" s="123"/>
      <c r="M357" s="115"/>
      <c r="N357" s="115"/>
      <c r="O357" s="115"/>
      <c r="P357" s="115"/>
      <c r="Q357" s="115"/>
      <c r="R357" s="115"/>
      <c r="S357" s="115"/>
      <c r="T357" s="115"/>
      <c r="U357" s="115"/>
      <c r="V357" s="26"/>
      <c r="W357" s="13"/>
      <c r="AB357" s="117"/>
      <c r="AC357" s="123"/>
      <c r="AD357" s="123"/>
      <c r="AE357" s="123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115"/>
      <c r="AT357" s="25"/>
      <c r="AU357" s="13"/>
      <c r="AX357" s="114"/>
    </row>
    <row r="358" spans="1:50" ht="19.5" x14ac:dyDescent="0.4">
      <c r="A358" s="117"/>
      <c r="B358" s="123"/>
      <c r="C358" s="123"/>
      <c r="D358" s="123"/>
      <c r="V358" s="26"/>
      <c r="W358" s="13"/>
      <c r="AB358" s="117"/>
      <c r="AC358" s="123"/>
      <c r="AD358" s="123"/>
      <c r="AE358" s="123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115"/>
      <c r="AT358" s="25">
        <v>45271</v>
      </c>
      <c r="AU358" s="13" t="s">
        <v>163</v>
      </c>
      <c r="AX358" s="114"/>
    </row>
    <row r="359" spans="1:50" ht="19.5" x14ac:dyDescent="0.4">
      <c r="A359" s="117"/>
      <c r="B359" s="123"/>
      <c r="C359" s="123"/>
      <c r="D359" s="123"/>
      <c r="P359" s="115"/>
      <c r="Q359" s="115"/>
      <c r="R359" s="115"/>
      <c r="S359" s="115"/>
      <c r="T359" s="115"/>
      <c r="U359" s="115"/>
      <c r="V359" s="26"/>
      <c r="W359" s="13"/>
      <c r="AB359" s="117"/>
      <c r="AC359" s="123"/>
      <c r="AD359" s="123"/>
      <c r="AE359" s="123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115"/>
      <c r="AT359" s="25"/>
      <c r="AU359" s="13"/>
      <c r="AX359" s="114"/>
    </row>
    <row r="360" spans="1:50" ht="19.5" x14ac:dyDescent="0.4">
      <c r="A360" s="117"/>
      <c r="B360" s="123"/>
      <c r="C360" s="123"/>
      <c r="D360" s="123"/>
      <c r="N360" s="115"/>
      <c r="O360" s="115"/>
      <c r="P360" s="115"/>
      <c r="Q360" s="115"/>
      <c r="R360" s="115"/>
      <c r="S360" s="115"/>
      <c r="T360" s="115"/>
      <c r="U360" s="115"/>
      <c r="V360" s="26"/>
      <c r="W360" s="13"/>
      <c r="AB360" s="117"/>
      <c r="AC360" s="123"/>
      <c r="AD360" s="123"/>
      <c r="AE360" s="123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15"/>
      <c r="AR360" s="115"/>
      <c r="AS360" s="115"/>
      <c r="AT360" s="25"/>
      <c r="AU360" s="13"/>
      <c r="AX360" s="114"/>
    </row>
    <row r="361" spans="1:50" ht="19.5" x14ac:dyDescent="0.4">
      <c r="A361" s="117"/>
      <c r="B361" s="123"/>
      <c r="C361" s="123"/>
      <c r="D361" s="123"/>
      <c r="N361" s="115"/>
      <c r="O361" s="115"/>
      <c r="P361" s="115"/>
      <c r="Q361" s="115"/>
      <c r="R361" s="115"/>
      <c r="S361" s="115"/>
      <c r="T361" s="115"/>
      <c r="U361" s="115"/>
      <c r="V361" s="17"/>
      <c r="W361" s="13"/>
      <c r="AB361" s="117"/>
      <c r="AC361" s="123"/>
      <c r="AD361" s="123"/>
      <c r="AE361" s="123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15"/>
      <c r="AR361" s="115"/>
      <c r="AS361" s="115"/>
      <c r="AT361" s="25"/>
      <c r="AU361" s="13"/>
      <c r="AX361" s="114"/>
    </row>
    <row r="362" spans="1:50" ht="19.5" x14ac:dyDescent="0.4">
      <c r="A362" s="117"/>
      <c r="B362" s="123"/>
      <c r="C362" s="123"/>
      <c r="D362" s="123"/>
      <c r="V362" s="26"/>
      <c r="W362" s="13"/>
      <c r="AB362" s="117"/>
      <c r="AC362" s="123"/>
      <c r="AD362" s="123"/>
      <c r="AE362" s="123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15"/>
      <c r="AR362" s="115"/>
      <c r="AS362" s="115" t="s">
        <v>165</v>
      </c>
      <c r="AT362" s="13">
        <f>SUBTOTAL(3,AT352:AT358)</f>
        <v>3</v>
      </c>
      <c r="AU362" s="13">
        <f>SUBTOTAL(3,AU352:AU358)</f>
        <v>3</v>
      </c>
      <c r="AX362" s="114"/>
    </row>
    <row r="363" spans="1:50" ht="19.5" x14ac:dyDescent="0.4">
      <c r="A363" s="117"/>
      <c r="B363" s="123"/>
      <c r="C363" s="123"/>
      <c r="D363" s="123"/>
      <c r="V363" s="26"/>
      <c r="W363" s="13"/>
      <c r="AB363" s="117"/>
      <c r="AC363" s="123"/>
      <c r="AD363" s="123"/>
      <c r="AE363" s="123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115"/>
      <c r="AT363" s="25">
        <v>45272</v>
      </c>
      <c r="AU363" s="13" t="s">
        <v>162</v>
      </c>
      <c r="AX363" s="114"/>
    </row>
    <row r="364" spans="1:50" ht="19.5" x14ac:dyDescent="0.4">
      <c r="A364" s="117"/>
      <c r="B364" s="123"/>
      <c r="C364" s="123"/>
      <c r="D364" s="123"/>
      <c r="Q364" s="115"/>
      <c r="R364" s="115"/>
      <c r="S364" s="115"/>
      <c r="T364" s="115"/>
      <c r="U364" s="115"/>
      <c r="V364" s="17"/>
      <c r="W364" s="13"/>
      <c r="AB364" s="117"/>
      <c r="AC364" s="123"/>
      <c r="AD364" s="123"/>
      <c r="AE364" s="123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5"/>
      <c r="AR364" s="115"/>
      <c r="AS364" s="115"/>
      <c r="AT364" s="25"/>
      <c r="AU364" s="13"/>
      <c r="AX364" s="114"/>
    </row>
    <row r="365" spans="1:50" ht="19.5" x14ac:dyDescent="0.4">
      <c r="A365" s="117"/>
      <c r="B365" s="123"/>
      <c r="C365" s="123"/>
      <c r="D365" s="123"/>
      <c r="V365" s="26"/>
      <c r="W365" s="15"/>
      <c r="AB365" s="117"/>
      <c r="AC365" s="123"/>
      <c r="AD365" s="123"/>
      <c r="AE365" s="123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115"/>
      <c r="AT365" s="25">
        <v>45272</v>
      </c>
      <c r="AU365" s="13" t="s">
        <v>162</v>
      </c>
      <c r="AX365" s="114"/>
    </row>
    <row r="366" spans="1:50" ht="19.5" x14ac:dyDescent="0.4">
      <c r="A366" s="117"/>
      <c r="B366" s="123"/>
      <c r="C366" s="123"/>
      <c r="D366" s="123"/>
      <c r="Q366" s="115"/>
      <c r="R366" s="115"/>
      <c r="S366" s="115"/>
      <c r="T366" s="115"/>
      <c r="U366" s="115"/>
      <c r="V366" s="17"/>
      <c r="W366" s="13"/>
      <c r="AB366" s="117"/>
      <c r="AC366" s="123"/>
      <c r="AD366" s="123"/>
      <c r="AE366" s="123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115"/>
      <c r="AT366" s="25"/>
      <c r="AU366" s="13"/>
      <c r="AX366" s="114"/>
    </row>
    <row r="367" spans="1:50" ht="19.5" x14ac:dyDescent="0.4">
      <c r="A367" s="117"/>
      <c r="B367" s="123"/>
      <c r="C367" s="123"/>
      <c r="D367" s="123"/>
      <c r="Q367" s="115"/>
      <c r="R367" s="115"/>
      <c r="S367" s="115"/>
      <c r="T367" s="115"/>
      <c r="U367" s="115"/>
      <c r="V367" s="17"/>
      <c r="W367" s="13"/>
      <c r="AB367" s="117"/>
      <c r="AC367" s="123"/>
      <c r="AD367" s="123"/>
      <c r="AE367" s="123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115"/>
      <c r="AT367" s="25"/>
      <c r="AU367" s="13"/>
      <c r="AX367" s="114"/>
    </row>
    <row r="368" spans="1:50" ht="19.5" x14ac:dyDescent="0.4">
      <c r="A368" s="117"/>
      <c r="B368" s="123"/>
      <c r="C368" s="123"/>
      <c r="D368" s="123"/>
      <c r="V368" s="26"/>
      <c r="W368" s="13"/>
      <c r="AB368" s="117"/>
      <c r="AC368" s="123"/>
      <c r="AD368" s="123"/>
      <c r="AE368" s="123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115"/>
      <c r="AT368" s="25">
        <v>45272</v>
      </c>
      <c r="AU368" s="13" t="s">
        <v>162</v>
      </c>
      <c r="AX368" s="114"/>
    </row>
    <row r="369" spans="1:50" ht="19.5" x14ac:dyDescent="0.4">
      <c r="A369" s="125"/>
      <c r="B369" s="126"/>
      <c r="C369" s="126"/>
      <c r="D369" s="126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26"/>
      <c r="W369" s="13"/>
      <c r="AB369" s="117"/>
      <c r="AC369" s="123"/>
      <c r="AD369" s="123"/>
      <c r="AE369" s="123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25"/>
      <c r="AU369" s="13"/>
      <c r="AX369" s="114"/>
    </row>
    <row r="370" spans="1:50" ht="19.5" x14ac:dyDescent="0.4">
      <c r="A370" s="125"/>
      <c r="B370" s="126"/>
      <c r="C370" s="126"/>
      <c r="D370" s="126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26"/>
      <c r="W370" s="13"/>
      <c r="AB370" s="117"/>
      <c r="AC370" s="123"/>
      <c r="AD370" s="123"/>
      <c r="AE370" s="123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115"/>
      <c r="AT370" s="25"/>
      <c r="AU370" s="13"/>
      <c r="AX370" s="114"/>
    </row>
    <row r="371" spans="1:50" ht="19.5" x14ac:dyDescent="0.4">
      <c r="A371" s="125"/>
      <c r="B371" s="126"/>
      <c r="C371" s="126"/>
      <c r="D371" s="126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7"/>
      <c r="W371" s="13"/>
      <c r="AB371" s="117"/>
      <c r="AC371" s="123"/>
      <c r="AD371" s="123"/>
      <c r="AE371" s="123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115"/>
      <c r="AT371" s="25"/>
      <c r="AU371" s="13"/>
      <c r="AX371" s="114"/>
    </row>
    <row r="372" spans="1:50" ht="19.5" x14ac:dyDescent="0.4">
      <c r="A372" s="125"/>
      <c r="B372" s="126"/>
      <c r="C372" s="126"/>
      <c r="D372" s="126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26"/>
      <c r="W372" s="13"/>
      <c r="AB372" s="117"/>
      <c r="AC372" s="123"/>
      <c r="AD372" s="123"/>
      <c r="AE372" s="123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115"/>
      <c r="AT372" s="25"/>
      <c r="AU372" s="13"/>
      <c r="AX372" s="114"/>
    </row>
    <row r="373" spans="1:50" ht="19.5" x14ac:dyDescent="0.4">
      <c r="V373" s="26"/>
      <c r="W373" s="13"/>
      <c r="AB373" s="117"/>
      <c r="AC373" s="123"/>
      <c r="AD373" s="123"/>
      <c r="AE373" s="123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115"/>
      <c r="AT373" s="25">
        <v>45272</v>
      </c>
      <c r="AU373" s="13" t="s">
        <v>162</v>
      </c>
      <c r="AX373" s="114"/>
    </row>
    <row r="374" spans="1:50" ht="19.5" x14ac:dyDescent="0.4">
      <c r="V374" s="26"/>
      <c r="W374" s="13"/>
      <c r="AB374" s="117"/>
      <c r="AC374" s="123"/>
      <c r="AD374" s="123"/>
      <c r="AE374" s="123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115"/>
      <c r="AT374" s="25"/>
      <c r="AU374" s="13"/>
      <c r="AX374" s="114"/>
    </row>
    <row r="375" spans="1:50" ht="19.5" x14ac:dyDescent="0.4"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26"/>
      <c r="W375" s="25"/>
      <c r="AB375" s="117"/>
      <c r="AC375" s="123"/>
      <c r="AD375" s="123"/>
      <c r="AE375" s="123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115"/>
      <c r="AT375" s="25"/>
      <c r="AU375" s="13"/>
      <c r="AX375" s="114"/>
    </row>
    <row r="376" spans="1:50" ht="19.5" x14ac:dyDescent="0.4">
      <c r="V376" s="26"/>
      <c r="W376" s="25"/>
      <c r="AB376" s="117"/>
      <c r="AC376" s="123"/>
      <c r="AD376" s="123"/>
      <c r="AE376" s="123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115"/>
      <c r="AT376" s="25">
        <v>45272</v>
      </c>
      <c r="AU376" s="13" t="s">
        <v>162</v>
      </c>
      <c r="AX376" s="114"/>
    </row>
    <row r="377" spans="1:50" ht="19.5" x14ac:dyDescent="0.4">
      <c r="V377" s="26"/>
      <c r="W377" s="13"/>
      <c r="AB377" s="117"/>
      <c r="AC377" s="123"/>
      <c r="AD377" s="123"/>
      <c r="AE377" s="123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115"/>
      <c r="AS377" s="115"/>
      <c r="AT377" s="25">
        <v>45272</v>
      </c>
      <c r="AU377" s="15" t="s">
        <v>162</v>
      </c>
      <c r="AX377" s="114"/>
    </row>
    <row r="378" spans="1:50" ht="19.5" x14ac:dyDescent="0.4">
      <c r="V378" s="26"/>
      <c r="W378" s="13"/>
      <c r="AB378" s="117"/>
      <c r="AC378" s="123"/>
      <c r="AD378" s="123"/>
      <c r="AE378" s="123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115"/>
      <c r="AS378" s="115"/>
      <c r="AT378" s="25">
        <v>45272</v>
      </c>
      <c r="AU378" s="15" t="s">
        <v>162</v>
      </c>
      <c r="AX378" s="114"/>
    </row>
    <row r="379" spans="1:50" ht="19.5" x14ac:dyDescent="0.4"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26"/>
      <c r="W379" s="13"/>
      <c r="AB379" s="117"/>
      <c r="AC379" s="123"/>
      <c r="AD379" s="123"/>
      <c r="AE379" s="123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115"/>
      <c r="AS379" s="115"/>
      <c r="AT379" s="25"/>
      <c r="AU379" s="15"/>
      <c r="AX379" s="114"/>
    </row>
    <row r="380" spans="1:50" ht="19.5" x14ac:dyDescent="0.4"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7"/>
      <c r="W380" s="13"/>
      <c r="AB380" s="117"/>
      <c r="AC380" s="123"/>
      <c r="AD380" s="123"/>
      <c r="AE380" s="123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115"/>
      <c r="AS380" s="115"/>
      <c r="AT380" s="25"/>
      <c r="AU380" s="15"/>
      <c r="AX380" s="114"/>
    </row>
    <row r="381" spans="1:50" ht="19.5" x14ac:dyDescent="0.4">
      <c r="V381" s="26"/>
      <c r="W381" s="13"/>
      <c r="AB381" s="117"/>
      <c r="AC381" s="123"/>
      <c r="AD381" s="123"/>
      <c r="AE381" s="123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115"/>
      <c r="AS381" s="115"/>
      <c r="AT381" s="25">
        <v>45272</v>
      </c>
      <c r="AU381" s="15" t="s">
        <v>162</v>
      </c>
      <c r="AX381" s="114"/>
    </row>
    <row r="382" spans="1:50" ht="19.5" x14ac:dyDescent="0.4"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26"/>
      <c r="W382" s="13"/>
      <c r="AB382" s="117"/>
      <c r="AC382" s="123"/>
      <c r="AD382" s="123"/>
      <c r="AE382" s="123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115"/>
      <c r="AS382" s="115"/>
      <c r="AT382" s="25"/>
      <c r="AU382" s="15"/>
      <c r="AX382" s="114"/>
    </row>
    <row r="383" spans="1:50" ht="19.5" x14ac:dyDescent="0.4"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26"/>
      <c r="W383" s="13"/>
      <c r="AB383" s="117"/>
      <c r="AC383" s="123"/>
      <c r="AD383" s="123"/>
      <c r="AE383" s="123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115"/>
      <c r="AS383" s="115"/>
      <c r="AT383" s="25"/>
      <c r="AU383" s="15"/>
      <c r="AX383" s="114"/>
    </row>
    <row r="384" spans="1:50" ht="19.5" x14ac:dyDescent="0.4"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7"/>
      <c r="W384" s="13"/>
      <c r="AB384" s="117"/>
      <c r="AC384" s="123"/>
      <c r="AD384" s="123"/>
      <c r="AE384" s="123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115"/>
      <c r="AT384" s="25"/>
      <c r="AU384" s="15"/>
      <c r="AX384" s="114"/>
    </row>
    <row r="385" spans="6:50" ht="19.5" x14ac:dyDescent="0.4"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26"/>
      <c r="W385" s="13"/>
      <c r="AB385" s="117"/>
      <c r="AC385" s="123"/>
      <c r="AD385" s="123"/>
      <c r="AE385" s="123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115"/>
      <c r="AT385" s="25"/>
      <c r="AU385" s="15"/>
      <c r="AX385" s="114"/>
    </row>
    <row r="386" spans="6:50" ht="19.5" x14ac:dyDescent="0.4"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7"/>
      <c r="W386" s="13"/>
      <c r="AB386" s="117"/>
      <c r="AC386" s="123"/>
      <c r="AD386" s="123"/>
      <c r="AE386" s="123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115"/>
      <c r="AT386" s="25"/>
      <c r="AU386" s="15"/>
      <c r="AX386" s="114"/>
    </row>
    <row r="387" spans="6:50" ht="19.5" x14ac:dyDescent="0.4"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26"/>
      <c r="W387" s="13"/>
      <c r="AB387" s="117"/>
      <c r="AC387" s="123"/>
      <c r="AD387" s="123"/>
      <c r="AE387" s="123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115"/>
      <c r="AT387" s="25"/>
      <c r="AU387" s="15"/>
      <c r="AX387" s="114"/>
    </row>
    <row r="388" spans="6:50" ht="19.5" x14ac:dyDescent="0.4">
      <c r="V388" s="26"/>
      <c r="W388" s="13"/>
      <c r="AB388" s="117"/>
      <c r="AC388" s="123"/>
      <c r="AD388" s="123"/>
      <c r="AE388" s="123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115"/>
      <c r="AT388" s="25">
        <v>45272</v>
      </c>
      <c r="AU388" s="15" t="s">
        <v>162</v>
      </c>
      <c r="AX388" s="114"/>
    </row>
    <row r="389" spans="6:50" ht="19.5" x14ac:dyDescent="0.4">
      <c r="O389" s="115"/>
      <c r="P389" s="115"/>
      <c r="Q389" s="115"/>
      <c r="R389" s="115"/>
      <c r="S389" s="115"/>
      <c r="T389" s="115"/>
      <c r="U389" s="115"/>
      <c r="V389" s="26"/>
      <c r="W389" s="13"/>
      <c r="AB389" s="117"/>
      <c r="AC389" s="123"/>
      <c r="AD389" s="123"/>
      <c r="AE389" s="123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115"/>
      <c r="AT389" s="25"/>
      <c r="AU389" s="15"/>
      <c r="AX389" s="114"/>
    </row>
    <row r="390" spans="6:50" ht="19.5" x14ac:dyDescent="0.4">
      <c r="O390" s="115"/>
      <c r="P390" s="115"/>
      <c r="Q390" s="115"/>
      <c r="R390" s="115"/>
      <c r="S390" s="115"/>
      <c r="T390" s="115"/>
      <c r="U390" s="115"/>
      <c r="V390" s="17"/>
      <c r="W390" s="13"/>
      <c r="AB390" s="117"/>
      <c r="AC390" s="123"/>
      <c r="AD390" s="123"/>
      <c r="AE390" s="123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115"/>
      <c r="AT390" s="25"/>
      <c r="AU390" s="15"/>
      <c r="AX390" s="114"/>
    </row>
    <row r="391" spans="6:50" ht="19.5" x14ac:dyDescent="0.4"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26"/>
      <c r="W391" s="13"/>
      <c r="AB391" s="117"/>
      <c r="AC391" s="123"/>
      <c r="AD391" s="123"/>
      <c r="AE391" s="123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115"/>
      <c r="AT391" s="25"/>
      <c r="AU391" s="15"/>
      <c r="AX391" s="114"/>
    </row>
    <row r="392" spans="6:50" ht="19.5" x14ac:dyDescent="0.4"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7"/>
      <c r="W392" s="13"/>
      <c r="AB392" s="117"/>
      <c r="AC392" s="123"/>
      <c r="AD392" s="123"/>
      <c r="AE392" s="123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115"/>
      <c r="AT392" s="25"/>
      <c r="AU392" s="15"/>
      <c r="AX392" s="114"/>
    </row>
    <row r="393" spans="6:50" ht="19.5" x14ac:dyDescent="0.4"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26"/>
      <c r="W393" s="25"/>
      <c r="AB393" s="117"/>
      <c r="AC393" s="123"/>
      <c r="AD393" s="123"/>
      <c r="AE393" s="123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115"/>
      <c r="AT393" s="25"/>
      <c r="AU393" s="15"/>
      <c r="AX393" s="114"/>
    </row>
    <row r="394" spans="6:50" ht="19.5" x14ac:dyDescent="0.4"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7"/>
      <c r="W394" s="13"/>
      <c r="AB394" s="117"/>
      <c r="AC394" s="123"/>
      <c r="AD394" s="123"/>
      <c r="AE394" s="123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115"/>
      <c r="AT394" s="25"/>
      <c r="AU394" s="15"/>
      <c r="AX394" s="114"/>
    </row>
    <row r="395" spans="6:50" ht="19.5" x14ac:dyDescent="0.4"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26"/>
      <c r="W395" s="13"/>
      <c r="AB395" s="117"/>
      <c r="AC395" s="123"/>
      <c r="AD395" s="123"/>
      <c r="AE395" s="123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115"/>
      <c r="AT395" s="25"/>
      <c r="AU395" s="15"/>
      <c r="AX395" s="114"/>
    </row>
    <row r="396" spans="6:50" ht="19.5" x14ac:dyDescent="0.4">
      <c r="V396" s="26"/>
      <c r="W396" s="13"/>
      <c r="AB396" s="117"/>
      <c r="AC396" s="123"/>
      <c r="AD396" s="123"/>
      <c r="AE396" s="123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15"/>
      <c r="AS396" s="115"/>
      <c r="AT396" s="25">
        <v>45272</v>
      </c>
      <c r="AU396" s="15" t="s">
        <v>162</v>
      </c>
      <c r="AX396" s="114"/>
    </row>
    <row r="397" spans="6:50" ht="19.5" x14ac:dyDescent="0.4">
      <c r="P397" s="115"/>
      <c r="Q397" s="115"/>
      <c r="R397" s="115"/>
      <c r="S397" s="115"/>
      <c r="T397" s="115"/>
      <c r="U397" s="115"/>
      <c r="V397" s="17"/>
      <c r="W397" s="13"/>
      <c r="AB397" s="117"/>
      <c r="AC397" s="123"/>
      <c r="AD397" s="123"/>
      <c r="AE397" s="123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115"/>
      <c r="AT397" s="25"/>
      <c r="AU397" s="15"/>
      <c r="AX397" s="114"/>
    </row>
    <row r="398" spans="6:50" ht="19.5" x14ac:dyDescent="0.4">
      <c r="O398" s="115"/>
      <c r="P398" s="115"/>
      <c r="Q398" s="115"/>
      <c r="R398" s="115"/>
      <c r="S398" s="115"/>
      <c r="T398" s="115"/>
      <c r="U398" s="115"/>
      <c r="V398" s="26"/>
      <c r="W398" s="13"/>
      <c r="AB398" s="117"/>
      <c r="AC398" s="123"/>
      <c r="AD398" s="123"/>
      <c r="AE398" s="123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115"/>
      <c r="AT398" s="25"/>
      <c r="AU398" s="15"/>
      <c r="AX398" s="114"/>
    </row>
    <row r="399" spans="6:50" ht="19.5" x14ac:dyDescent="0.4">
      <c r="O399" s="115"/>
      <c r="P399" s="115"/>
      <c r="Q399" s="115"/>
      <c r="R399" s="115"/>
      <c r="S399" s="115"/>
      <c r="T399" s="115"/>
      <c r="U399" s="115"/>
      <c r="V399" s="17"/>
      <c r="W399" s="13"/>
      <c r="AB399" s="117"/>
      <c r="AC399" s="123"/>
      <c r="AD399" s="123"/>
      <c r="AE399" s="123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115"/>
      <c r="AT399" s="25"/>
      <c r="AU399" s="15"/>
      <c r="AX399" s="114"/>
    </row>
    <row r="400" spans="6:50" ht="19.5" x14ac:dyDescent="0.4">
      <c r="O400" s="115"/>
      <c r="P400" s="115"/>
      <c r="Q400" s="115"/>
      <c r="R400" s="115"/>
      <c r="S400" s="115"/>
      <c r="T400" s="115"/>
      <c r="U400" s="115"/>
      <c r="V400" s="17"/>
      <c r="W400" s="13"/>
      <c r="AB400" s="117"/>
      <c r="AC400" s="123"/>
      <c r="AD400" s="123"/>
      <c r="AE400" s="123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115"/>
      <c r="AT400" s="25"/>
      <c r="AU400" s="15"/>
      <c r="AX400" s="114"/>
    </row>
    <row r="401" spans="6:50" ht="19.5" x14ac:dyDescent="0.4"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26"/>
      <c r="W401" s="13"/>
      <c r="AB401" s="117"/>
      <c r="AC401" s="123"/>
      <c r="AD401" s="123"/>
      <c r="AE401" s="123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115"/>
      <c r="AT401" s="25"/>
      <c r="AU401" s="15"/>
      <c r="AX401" s="114"/>
    </row>
    <row r="402" spans="6:50" ht="19.5" x14ac:dyDescent="0.4"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20"/>
      <c r="W402" s="13"/>
      <c r="AB402" s="117"/>
      <c r="AC402" s="123"/>
      <c r="AD402" s="123"/>
      <c r="AE402" s="123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115"/>
      <c r="AT402" s="25"/>
      <c r="AU402" s="15"/>
      <c r="AX402" s="114"/>
    </row>
    <row r="403" spans="6:50" ht="19.5" x14ac:dyDescent="0.4"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20"/>
      <c r="W403" s="13"/>
      <c r="AB403" s="117"/>
      <c r="AC403" s="123"/>
      <c r="AD403" s="123"/>
      <c r="AE403" s="123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115"/>
      <c r="AT403" s="25"/>
      <c r="AU403" s="15"/>
      <c r="AX403" s="114"/>
    </row>
    <row r="404" spans="6:50" ht="19.5" x14ac:dyDescent="0.4"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25"/>
      <c r="W404" s="15"/>
      <c r="AB404" s="117"/>
      <c r="AC404" s="123"/>
      <c r="AD404" s="123"/>
      <c r="AE404" s="123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115"/>
      <c r="AT404" s="25"/>
      <c r="AU404" s="15"/>
      <c r="AX404" s="114"/>
    </row>
    <row r="405" spans="6:50" ht="19.5" x14ac:dyDescent="0.4"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25"/>
      <c r="W405" s="15"/>
      <c r="AB405" s="117"/>
      <c r="AC405" s="123"/>
      <c r="AD405" s="123"/>
      <c r="AE405" s="123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115"/>
      <c r="AT405" s="25"/>
      <c r="AU405" s="15"/>
      <c r="AX405" s="114"/>
    </row>
    <row r="406" spans="6:50" ht="19.5" x14ac:dyDescent="0.4"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25"/>
      <c r="W406" s="15"/>
      <c r="AB406" s="117"/>
      <c r="AC406" s="123"/>
      <c r="AD406" s="123"/>
      <c r="AE406" s="123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115"/>
      <c r="AT406" s="25"/>
      <c r="AU406" s="15"/>
      <c r="AX406" s="114"/>
    </row>
    <row r="407" spans="6:50" ht="19.5" x14ac:dyDescent="0.4">
      <c r="V407" s="26"/>
      <c r="W407" s="15"/>
      <c r="AB407" s="117"/>
      <c r="AC407" s="123"/>
      <c r="AD407" s="123"/>
      <c r="AE407" s="123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115"/>
      <c r="AT407" s="25">
        <v>45272</v>
      </c>
      <c r="AU407" s="15" t="s">
        <v>162</v>
      </c>
      <c r="AX407" s="114"/>
    </row>
    <row r="408" spans="6:50" ht="19.5" x14ac:dyDescent="0.4">
      <c r="V408" s="26"/>
      <c r="W408" s="13"/>
      <c r="AB408" s="117"/>
      <c r="AC408" s="123"/>
      <c r="AD408" s="123"/>
      <c r="AE408" s="123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115"/>
      <c r="AT408" s="25"/>
      <c r="AU408" s="15"/>
      <c r="AX408" s="114"/>
    </row>
    <row r="409" spans="6:50" ht="19.5" x14ac:dyDescent="0.4"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26"/>
      <c r="W409" s="13"/>
      <c r="AB409" s="117"/>
      <c r="AC409" s="123"/>
      <c r="AD409" s="123"/>
      <c r="AE409" s="123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115"/>
      <c r="AT409" s="25"/>
      <c r="AU409" s="15"/>
      <c r="AX409" s="114"/>
    </row>
    <row r="410" spans="6:50" ht="19.5" x14ac:dyDescent="0.4">
      <c r="V410" s="26"/>
      <c r="W410" s="13"/>
      <c r="AB410" s="117"/>
      <c r="AC410" s="123"/>
      <c r="AD410" s="123"/>
      <c r="AE410" s="123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115"/>
      <c r="AT410" s="25">
        <v>45272</v>
      </c>
      <c r="AU410" s="15" t="s">
        <v>162</v>
      </c>
      <c r="AX410" s="114"/>
    </row>
    <row r="411" spans="6:50" ht="19.5" x14ac:dyDescent="0.4">
      <c r="N411" s="115"/>
      <c r="O411" s="115"/>
      <c r="P411" s="115"/>
      <c r="Q411" s="115"/>
      <c r="R411" s="115"/>
      <c r="S411" s="115"/>
      <c r="T411" s="115"/>
      <c r="U411" s="115"/>
      <c r="V411" s="17"/>
      <c r="W411" s="13"/>
      <c r="AB411" s="117"/>
      <c r="AC411" s="123"/>
      <c r="AD411" s="123"/>
      <c r="AE411" s="123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15"/>
      <c r="AT411" s="25"/>
      <c r="AU411" s="15"/>
      <c r="AX411" s="114"/>
    </row>
    <row r="412" spans="6:50" ht="19.5" x14ac:dyDescent="0.4">
      <c r="V412" s="26"/>
      <c r="W412" s="13"/>
      <c r="AB412" s="117"/>
      <c r="AC412" s="123"/>
      <c r="AD412" s="123"/>
      <c r="AE412" s="123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115"/>
      <c r="AT412" s="25"/>
      <c r="AU412" s="15"/>
      <c r="AX412" s="114"/>
    </row>
    <row r="413" spans="6:50" ht="19.5" x14ac:dyDescent="0.4"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26"/>
      <c r="W413" s="13"/>
      <c r="AB413" s="117"/>
      <c r="AC413" s="123"/>
      <c r="AD413" s="123"/>
      <c r="AE413" s="123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15"/>
      <c r="AT413" s="25"/>
      <c r="AU413" s="15"/>
      <c r="AX413" s="114"/>
    </row>
    <row r="414" spans="6:50" ht="19.5" x14ac:dyDescent="0.4">
      <c r="V414" s="26"/>
      <c r="W414" s="13"/>
      <c r="AB414" s="117"/>
      <c r="AC414" s="123"/>
      <c r="AD414" s="123"/>
      <c r="AE414" s="123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115"/>
      <c r="AT414" s="25">
        <v>45272</v>
      </c>
      <c r="AU414" s="15" t="s">
        <v>162</v>
      </c>
      <c r="AX414" s="114"/>
    </row>
    <row r="415" spans="6:50" ht="19.5" x14ac:dyDescent="0.4">
      <c r="V415" s="26"/>
      <c r="W415" s="13"/>
      <c r="AB415" s="117"/>
      <c r="AC415" s="123"/>
      <c r="AD415" s="123"/>
      <c r="AE415" s="123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15" t="s">
        <v>166</v>
      </c>
      <c r="AT415" s="13">
        <f>SUBTOTAL(3,AT363:AT414)</f>
        <v>13</v>
      </c>
      <c r="AU415" s="15">
        <f>SUBTOTAL(3,AU363:AU414)</f>
        <v>13</v>
      </c>
      <c r="AX415" s="114"/>
    </row>
    <row r="416" spans="6:50" ht="19.5" x14ac:dyDescent="0.4">
      <c r="N416" s="115"/>
      <c r="O416" s="115"/>
      <c r="P416" s="115"/>
      <c r="Q416" s="115"/>
      <c r="R416" s="115"/>
      <c r="S416" s="115"/>
      <c r="T416" s="115"/>
      <c r="U416" s="115"/>
      <c r="V416" s="17"/>
      <c r="W416" s="13"/>
      <c r="AB416" s="117"/>
      <c r="AC416" s="123"/>
      <c r="AD416" s="123"/>
      <c r="AE416" s="123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115"/>
      <c r="AT416" s="13"/>
      <c r="AU416" s="15"/>
      <c r="AX416" s="114"/>
    </row>
    <row r="417" spans="11:50" ht="19.5" x14ac:dyDescent="0.4">
      <c r="V417" s="26"/>
      <c r="W417" s="13"/>
      <c r="AB417" s="117"/>
      <c r="AC417" s="123"/>
      <c r="AD417" s="123"/>
      <c r="AE417" s="123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15"/>
      <c r="AT417" s="25">
        <v>45273</v>
      </c>
      <c r="AU417" s="105" t="s">
        <v>164</v>
      </c>
      <c r="AX417" s="114"/>
    </row>
    <row r="418" spans="11:50" ht="19.5" x14ac:dyDescent="0.4">
      <c r="V418" s="26"/>
      <c r="W418" s="13"/>
      <c r="AB418" s="117"/>
      <c r="AC418" s="123"/>
      <c r="AD418" s="123"/>
      <c r="AE418" s="123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115"/>
      <c r="AT418" s="25">
        <v>45273</v>
      </c>
      <c r="AU418" s="15" t="s">
        <v>164</v>
      </c>
      <c r="AX418" s="114"/>
    </row>
    <row r="419" spans="11:50" ht="19.5" x14ac:dyDescent="0.4"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26"/>
      <c r="W419" s="13"/>
      <c r="AB419" s="117"/>
      <c r="AC419" s="123"/>
      <c r="AD419" s="123"/>
      <c r="AE419" s="123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115"/>
      <c r="AT419" s="25"/>
      <c r="AU419" s="13"/>
      <c r="AX419" s="114"/>
    </row>
    <row r="420" spans="11:50" ht="19.5" x14ac:dyDescent="0.4">
      <c r="V420" s="26"/>
      <c r="W420" s="13"/>
      <c r="AB420" s="117"/>
      <c r="AC420" s="123"/>
      <c r="AD420" s="123"/>
      <c r="AE420" s="123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115"/>
      <c r="AT420" s="25">
        <v>45273</v>
      </c>
      <c r="AU420" s="13" t="s">
        <v>164</v>
      </c>
      <c r="AX420" s="114"/>
    </row>
    <row r="421" spans="11:50" ht="19.5" x14ac:dyDescent="0.4">
      <c r="V421" s="26"/>
      <c r="W421" s="13"/>
      <c r="AB421" s="117"/>
      <c r="AC421" s="123"/>
      <c r="AD421" s="123"/>
      <c r="AE421" s="123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115"/>
      <c r="AT421" s="25">
        <v>45273</v>
      </c>
      <c r="AU421" s="15" t="s">
        <v>164</v>
      </c>
      <c r="AX421" s="114"/>
    </row>
    <row r="422" spans="11:50" ht="19.5" x14ac:dyDescent="0.4">
      <c r="V422" s="26"/>
      <c r="W422" s="13"/>
      <c r="AB422" s="117"/>
      <c r="AC422" s="123"/>
      <c r="AD422" s="123"/>
      <c r="AE422" s="123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115"/>
      <c r="AT422" s="25">
        <v>45273</v>
      </c>
      <c r="AU422" s="15" t="s">
        <v>162</v>
      </c>
      <c r="AX422" s="114"/>
    </row>
    <row r="423" spans="11:50" ht="19.5" x14ac:dyDescent="0.4">
      <c r="M423" s="115"/>
      <c r="N423" s="115"/>
      <c r="O423" s="115"/>
      <c r="P423" s="115"/>
      <c r="Q423" s="115"/>
      <c r="R423" s="115"/>
      <c r="S423" s="115"/>
      <c r="T423" s="115"/>
      <c r="U423" s="115"/>
      <c r="V423" s="26"/>
      <c r="W423" s="13"/>
      <c r="AB423" s="117"/>
      <c r="AC423" s="123"/>
      <c r="AD423" s="123"/>
      <c r="AE423" s="123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115"/>
      <c r="AT423" s="25"/>
      <c r="AU423" s="15"/>
      <c r="AX423" s="114"/>
    </row>
    <row r="424" spans="11:50" ht="19.5" x14ac:dyDescent="0.4">
      <c r="V424" s="26"/>
      <c r="W424" s="13"/>
      <c r="AB424" s="117"/>
      <c r="AC424" s="123"/>
      <c r="AD424" s="123"/>
      <c r="AE424" s="123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115"/>
      <c r="AT424" s="25">
        <v>45273</v>
      </c>
      <c r="AU424" s="15" t="s">
        <v>162</v>
      </c>
      <c r="AX424" s="114"/>
    </row>
    <row r="425" spans="11:50" ht="19.5" x14ac:dyDescent="0.4">
      <c r="V425" s="26"/>
      <c r="W425" s="13"/>
      <c r="AB425" s="117"/>
      <c r="AC425" s="123"/>
      <c r="AD425" s="123"/>
      <c r="AE425" s="123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25">
        <v>45273</v>
      </c>
      <c r="AU425" s="15" t="s">
        <v>162</v>
      </c>
      <c r="AX425" s="114"/>
    </row>
    <row r="426" spans="11:50" ht="19.5" x14ac:dyDescent="0.4">
      <c r="V426" s="26"/>
      <c r="W426" s="13"/>
      <c r="AB426" s="117"/>
      <c r="AC426" s="123"/>
      <c r="AD426" s="123"/>
      <c r="AE426" s="123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25">
        <v>45273</v>
      </c>
      <c r="AU426" s="15" t="s">
        <v>162</v>
      </c>
      <c r="AX426" s="114"/>
    </row>
    <row r="427" spans="11:50" ht="19.5" x14ac:dyDescent="0.4"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26"/>
      <c r="W427" s="13"/>
      <c r="AB427" s="117"/>
      <c r="AC427" s="123"/>
      <c r="AD427" s="123"/>
      <c r="AE427" s="123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25"/>
      <c r="AU427" s="15"/>
      <c r="AX427" s="114"/>
    </row>
    <row r="428" spans="11:50" ht="19.5" x14ac:dyDescent="0.4">
      <c r="V428" s="26"/>
      <c r="W428" s="13"/>
      <c r="AB428" s="117"/>
      <c r="AC428" s="123"/>
      <c r="AD428" s="123"/>
      <c r="AE428" s="123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25">
        <v>45273</v>
      </c>
      <c r="AU428" s="15" t="s">
        <v>162</v>
      </c>
      <c r="AX428" s="114"/>
    </row>
    <row r="429" spans="11:50" ht="19.5" x14ac:dyDescent="0.4">
      <c r="V429" s="26"/>
      <c r="W429" s="13"/>
      <c r="AB429" s="117"/>
      <c r="AC429" s="123"/>
      <c r="AD429" s="123"/>
      <c r="AE429" s="123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25">
        <v>45273</v>
      </c>
      <c r="AU429" s="15" t="s">
        <v>162</v>
      </c>
      <c r="AX429" s="114"/>
    </row>
    <row r="430" spans="11:50" ht="19.5" x14ac:dyDescent="0.4">
      <c r="V430" s="26"/>
      <c r="W430" s="13"/>
      <c r="AB430" s="117"/>
      <c r="AC430" s="123"/>
      <c r="AD430" s="123"/>
      <c r="AE430" s="123"/>
      <c r="AF430" s="115"/>
      <c r="AG430" s="115"/>
      <c r="AH430" s="115"/>
      <c r="AI430" s="115"/>
      <c r="AJ430" s="124"/>
      <c r="AK430" s="124"/>
      <c r="AL430" s="124"/>
      <c r="AM430" s="124"/>
      <c r="AN430" s="124"/>
      <c r="AO430" s="124"/>
      <c r="AP430" s="124"/>
      <c r="AQ430" s="124"/>
      <c r="AR430" s="124"/>
      <c r="AS430" s="124"/>
      <c r="AT430" s="25">
        <v>45273</v>
      </c>
      <c r="AU430" s="15" t="s">
        <v>162</v>
      </c>
      <c r="AX430" s="114"/>
    </row>
    <row r="431" spans="11:50" ht="19.5" x14ac:dyDescent="0.4">
      <c r="V431" s="26"/>
      <c r="W431" s="13"/>
      <c r="AB431" s="117"/>
      <c r="AC431" s="123"/>
      <c r="AD431" s="123"/>
      <c r="AE431" s="123"/>
      <c r="AF431" s="115"/>
      <c r="AG431" s="115"/>
      <c r="AH431" s="115"/>
      <c r="AI431" s="115"/>
      <c r="AJ431" s="124"/>
      <c r="AK431" s="124"/>
      <c r="AL431" s="124"/>
      <c r="AM431" s="124"/>
      <c r="AN431" s="124"/>
      <c r="AO431" s="124"/>
      <c r="AP431" s="124"/>
      <c r="AQ431" s="124"/>
      <c r="AR431" s="124"/>
      <c r="AS431" s="124"/>
      <c r="AT431" s="25">
        <v>45273</v>
      </c>
      <c r="AU431" s="15" t="s">
        <v>162</v>
      </c>
      <c r="AX431" s="114"/>
    </row>
    <row r="432" spans="11:50" ht="19.5" x14ac:dyDescent="0.4">
      <c r="N432" s="115"/>
      <c r="O432" s="115"/>
      <c r="P432" s="115"/>
      <c r="Q432" s="115"/>
      <c r="R432" s="115"/>
      <c r="S432" s="115"/>
      <c r="T432" s="115"/>
      <c r="U432" s="115"/>
      <c r="V432" s="17"/>
      <c r="W432" s="13"/>
      <c r="AB432" s="117"/>
      <c r="AC432" s="123"/>
      <c r="AD432" s="123"/>
      <c r="AE432" s="123"/>
      <c r="AF432" s="115"/>
      <c r="AG432" s="115"/>
      <c r="AH432" s="115"/>
      <c r="AI432" s="115"/>
      <c r="AJ432" s="124"/>
      <c r="AK432" s="124"/>
      <c r="AL432" s="124"/>
      <c r="AM432" s="124"/>
      <c r="AN432" s="124"/>
      <c r="AO432" s="124"/>
      <c r="AP432" s="124"/>
      <c r="AQ432" s="124"/>
      <c r="AR432" s="124"/>
      <c r="AS432" s="124"/>
      <c r="AT432" s="25"/>
      <c r="AU432" s="15"/>
      <c r="AX432" s="114"/>
    </row>
    <row r="433" spans="6:50" ht="19.5" x14ac:dyDescent="0.4">
      <c r="V433" s="26"/>
      <c r="W433" s="13"/>
      <c r="AB433" s="117"/>
      <c r="AC433" s="123"/>
      <c r="AD433" s="123"/>
      <c r="AE433" s="123"/>
      <c r="AF433" s="115"/>
      <c r="AG433" s="115"/>
      <c r="AH433" s="115"/>
      <c r="AI433" s="115"/>
      <c r="AJ433" s="124"/>
      <c r="AK433" s="124"/>
      <c r="AL433" s="124"/>
      <c r="AM433" s="124"/>
      <c r="AN433" s="124"/>
      <c r="AO433" s="124"/>
      <c r="AP433" s="124"/>
      <c r="AQ433" s="124"/>
      <c r="AR433" s="124"/>
      <c r="AS433" s="124"/>
      <c r="AT433" s="25">
        <v>45273</v>
      </c>
      <c r="AU433" s="15" t="s">
        <v>162</v>
      </c>
      <c r="AX433" s="114"/>
    </row>
    <row r="434" spans="6:50" ht="19.5" x14ac:dyDescent="0.4">
      <c r="N434" s="115"/>
      <c r="O434" s="115"/>
      <c r="P434" s="115"/>
      <c r="Q434" s="115"/>
      <c r="R434" s="115"/>
      <c r="S434" s="115"/>
      <c r="T434" s="115"/>
      <c r="U434" s="115"/>
      <c r="V434" s="17"/>
      <c r="W434" s="13"/>
      <c r="AB434" s="117"/>
      <c r="AC434" s="123"/>
      <c r="AD434" s="123"/>
      <c r="AE434" s="123"/>
      <c r="AF434" s="115"/>
      <c r="AG434" s="115"/>
      <c r="AH434" s="115"/>
      <c r="AI434" s="115"/>
      <c r="AJ434" s="124"/>
      <c r="AK434" s="124"/>
      <c r="AL434" s="124"/>
      <c r="AM434" s="124"/>
      <c r="AN434" s="124"/>
      <c r="AO434" s="124"/>
      <c r="AP434" s="124"/>
      <c r="AQ434" s="124"/>
      <c r="AR434" s="124"/>
      <c r="AS434" s="124"/>
      <c r="AT434" s="25"/>
      <c r="AU434" s="15"/>
      <c r="AX434" s="114"/>
    </row>
    <row r="435" spans="6:50" ht="19.5" x14ac:dyDescent="0.4">
      <c r="V435" s="26"/>
      <c r="W435" s="13"/>
      <c r="AB435" s="117"/>
      <c r="AC435" s="123"/>
      <c r="AD435" s="123"/>
      <c r="AE435" s="123"/>
      <c r="AF435" s="115"/>
      <c r="AG435" s="115"/>
      <c r="AH435" s="115"/>
      <c r="AI435" s="115"/>
      <c r="AJ435" s="124"/>
      <c r="AK435" s="124"/>
      <c r="AL435" s="124"/>
      <c r="AM435" s="124"/>
      <c r="AN435" s="124"/>
      <c r="AO435" s="124"/>
      <c r="AP435" s="124"/>
      <c r="AQ435" s="124"/>
      <c r="AR435" s="124"/>
      <c r="AS435" s="124"/>
      <c r="AT435" s="25">
        <v>45273</v>
      </c>
      <c r="AU435" s="15" t="s">
        <v>162</v>
      </c>
      <c r="AX435" s="114"/>
    </row>
    <row r="436" spans="6:50" ht="19.5" x14ac:dyDescent="0.4">
      <c r="V436" s="26"/>
      <c r="W436" s="13"/>
      <c r="AB436" s="117"/>
      <c r="AC436" s="123"/>
      <c r="AD436" s="123"/>
      <c r="AE436" s="123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25">
        <v>45273</v>
      </c>
      <c r="AU436" s="13" t="s">
        <v>162</v>
      </c>
      <c r="AX436" s="114"/>
    </row>
    <row r="437" spans="6:50" ht="19.5" x14ac:dyDescent="0.4">
      <c r="V437" s="26"/>
      <c r="W437" s="13"/>
      <c r="AB437" s="117"/>
      <c r="AC437" s="123"/>
      <c r="AD437" s="123"/>
      <c r="AE437" s="123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25">
        <v>45273</v>
      </c>
      <c r="AU437" s="15" t="s">
        <v>162</v>
      </c>
      <c r="AX437" s="114"/>
    </row>
    <row r="438" spans="6:50" ht="19.5" x14ac:dyDescent="0.4">
      <c r="V438" s="26"/>
      <c r="W438" s="13"/>
      <c r="AB438" s="117"/>
      <c r="AC438" s="123"/>
      <c r="AD438" s="123"/>
      <c r="AE438" s="123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25">
        <v>45273</v>
      </c>
      <c r="AU438" s="15" t="s">
        <v>162</v>
      </c>
      <c r="AX438" s="114"/>
    </row>
    <row r="439" spans="6:50" ht="19.5" x14ac:dyDescent="0.4"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26"/>
      <c r="W439" s="25"/>
      <c r="AB439" s="117"/>
      <c r="AC439" s="123"/>
      <c r="AD439" s="123"/>
      <c r="AE439" s="123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25"/>
      <c r="AU439" s="15"/>
      <c r="AX439" s="114"/>
    </row>
    <row r="440" spans="6:50" ht="19.5" x14ac:dyDescent="0.4">
      <c r="V440" s="26"/>
      <c r="W440" s="25"/>
      <c r="AB440" s="117"/>
      <c r="AC440" s="123"/>
      <c r="AD440" s="123"/>
      <c r="AE440" s="123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25">
        <v>45273</v>
      </c>
      <c r="AU440" s="15" t="s">
        <v>162</v>
      </c>
      <c r="AX440" s="114"/>
    </row>
    <row r="441" spans="6:50" ht="19.5" x14ac:dyDescent="0.4">
      <c r="V441" s="26"/>
      <c r="W441" s="13"/>
      <c r="AB441" s="117"/>
      <c r="AC441" s="123"/>
      <c r="AD441" s="123"/>
      <c r="AE441" s="123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25">
        <v>45273</v>
      </c>
      <c r="AU441" s="15" t="s">
        <v>162</v>
      </c>
      <c r="AX441" s="114"/>
    </row>
    <row r="442" spans="6:50" ht="19.5" x14ac:dyDescent="0.4"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26"/>
      <c r="W442" s="13"/>
      <c r="AB442" s="117"/>
      <c r="AC442" s="123"/>
      <c r="AD442" s="123"/>
      <c r="AE442" s="123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25"/>
      <c r="AU442" s="15"/>
      <c r="AX442" s="114"/>
    </row>
    <row r="443" spans="6:50" ht="19.5" x14ac:dyDescent="0.4"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26"/>
      <c r="W443" s="13"/>
      <c r="AB443" s="117"/>
      <c r="AC443" s="123"/>
      <c r="AD443" s="123"/>
      <c r="AE443" s="123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25"/>
      <c r="AU443" s="15"/>
      <c r="AX443" s="114"/>
    </row>
    <row r="444" spans="6:50" ht="19.5" x14ac:dyDescent="0.4">
      <c r="V444" s="26"/>
      <c r="W444" s="13"/>
      <c r="AB444" s="117"/>
      <c r="AC444" s="123"/>
      <c r="AD444" s="123"/>
      <c r="AE444" s="123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25">
        <v>45273</v>
      </c>
      <c r="AU444" s="15" t="s">
        <v>162</v>
      </c>
      <c r="AX444" s="114"/>
    </row>
    <row r="445" spans="6:50" ht="19.5" x14ac:dyDescent="0.4">
      <c r="V445" s="26"/>
      <c r="W445" s="13"/>
      <c r="AB445" s="117"/>
      <c r="AC445" s="123"/>
      <c r="AD445" s="123"/>
      <c r="AE445" s="123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25">
        <v>45273</v>
      </c>
      <c r="AU445" s="15" t="s">
        <v>162</v>
      </c>
      <c r="AX445" s="114"/>
    </row>
    <row r="446" spans="6:50" ht="19.5" x14ac:dyDescent="0.4">
      <c r="V446" s="26"/>
      <c r="W446" s="13"/>
      <c r="AB446" s="117"/>
      <c r="AC446" s="123"/>
      <c r="AD446" s="123"/>
      <c r="AE446" s="123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25">
        <v>45273</v>
      </c>
      <c r="AU446" s="13" t="s">
        <v>163</v>
      </c>
      <c r="AX446" s="114"/>
    </row>
    <row r="447" spans="6:50" ht="19.5" x14ac:dyDescent="0.4">
      <c r="V447" s="26"/>
      <c r="W447" s="13"/>
      <c r="AB447" s="117"/>
      <c r="AC447" s="123"/>
      <c r="AD447" s="123"/>
      <c r="AE447" s="123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25"/>
      <c r="AU447" s="13"/>
      <c r="AX447" s="114"/>
    </row>
    <row r="448" spans="6:50" ht="19.5" x14ac:dyDescent="0.4">
      <c r="V448" s="26"/>
      <c r="W448" s="13"/>
      <c r="AB448" s="117"/>
      <c r="AC448" s="123"/>
      <c r="AD448" s="123"/>
      <c r="AE448" s="123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 t="s">
        <v>152</v>
      </c>
      <c r="AT448" s="13">
        <f>SUBTOTAL(3,AT417:AT446)</f>
        <v>22</v>
      </c>
      <c r="AU448" s="13">
        <f>SUBTOTAL(3,AU417:AU446)</f>
        <v>22</v>
      </c>
      <c r="AX448" s="114"/>
    </row>
    <row r="449" spans="6:50" ht="19.5" x14ac:dyDescent="0.4">
      <c r="V449" s="26"/>
      <c r="W449" s="13"/>
      <c r="AB449" s="117"/>
      <c r="AC449" s="123"/>
      <c r="AD449" s="123"/>
      <c r="AE449" s="123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25">
        <v>45274</v>
      </c>
      <c r="AU449" s="15" t="s">
        <v>162</v>
      </c>
      <c r="AX449" s="114"/>
    </row>
    <row r="450" spans="6:50" ht="19.5" x14ac:dyDescent="0.4"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26"/>
      <c r="W450" s="13"/>
      <c r="AB450" s="117"/>
      <c r="AC450" s="123"/>
      <c r="AD450" s="123"/>
      <c r="AE450" s="123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25"/>
      <c r="AU450" s="15"/>
      <c r="AX450" s="114"/>
    </row>
    <row r="451" spans="6:50" ht="19.5" x14ac:dyDescent="0.4"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26"/>
      <c r="W451" s="13"/>
      <c r="AB451" s="117"/>
      <c r="AC451" s="123"/>
      <c r="AD451" s="123"/>
      <c r="AE451" s="123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25"/>
      <c r="AU451" s="15"/>
      <c r="AX451" s="114"/>
    </row>
    <row r="452" spans="6:50" ht="19.5" x14ac:dyDescent="0.4">
      <c r="V452" s="26"/>
      <c r="W452" s="13"/>
      <c r="AB452" s="117"/>
      <c r="AC452" s="123"/>
      <c r="AD452" s="123"/>
      <c r="AE452" s="123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25">
        <v>45274</v>
      </c>
      <c r="AU452" s="15" t="s">
        <v>162</v>
      </c>
      <c r="AX452" s="114"/>
    </row>
    <row r="453" spans="6:50" ht="19.5" x14ac:dyDescent="0.4">
      <c r="M453" s="115"/>
      <c r="N453" s="115"/>
      <c r="O453" s="115"/>
      <c r="P453" s="115"/>
      <c r="Q453" s="115"/>
      <c r="R453" s="115"/>
      <c r="S453" s="115"/>
      <c r="T453" s="115"/>
      <c r="U453" s="115"/>
      <c r="V453" s="26"/>
      <c r="W453" s="13"/>
      <c r="AB453" s="117"/>
      <c r="AC453" s="123"/>
      <c r="AD453" s="123"/>
      <c r="AE453" s="123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25"/>
      <c r="AU453" s="15"/>
      <c r="AX453" s="114"/>
    </row>
    <row r="454" spans="6:50" ht="19.5" x14ac:dyDescent="0.4"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26"/>
      <c r="W454" s="13"/>
      <c r="AB454" s="117"/>
      <c r="AC454" s="123"/>
      <c r="AD454" s="123"/>
      <c r="AE454" s="123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25"/>
      <c r="AU454" s="15"/>
      <c r="AX454" s="114"/>
    </row>
    <row r="455" spans="6:50" ht="19.5" x14ac:dyDescent="0.4"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26"/>
      <c r="W455" s="13"/>
      <c r="AB455" s="117"/>
      <c r="AC455" s="123"/>
      <c r="AD455" s="123"/>
      <c r="AE455" s="123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25"/>
      <c r="AU455" s="15"/>
      <c r="AX455" s="114"/>
    </row>
    <row r="456" spans="6:50" ht="19.5" x14ac:dyDescent="0.4">
      <c r="V456" s="26"/>
      <c r="W456" s="13"/>
      <c r="AB456" s="117"/>
      <c r="AC456" s="123"/>
      <c r="AD456" s="123"/>
      <c r="AE456" s="123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25">
        <v>45274</v>
      </c>
      <c r="AU456" s="15" t="s">
        <v>162</v>
      </c>
      <c r="AX456" s="114"/>
    </row>
    <row r="457" spans="6:50" ht="19.5" x14ac:dyDescent="0.4"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26"/>
      <c r="W457" s="13"/>
      <c r="AB457" s="117"/>
      <c r="AC457" s="123"/>
      <c r="AD457" s="123"/>
      <c r="AE457" s="123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25"/>
      <c r="AU457" s="15"/>
      <c r="AX457" s="114"/>
    </row>
    <row r="458" spans="6:50" ht="19.5" x14ac:dyDescent="0.4">
      <c r="V458" s="26"/>
      <c r="W458" s="13"/>
      <c r="AB458" s="117"/>
      <c r="AC458" s="123"/>
      <c r="AD458" s="123"/>
      <c r="AE458" s="123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25">
        <v>45274</v>
      </c>
      <c r="AU458" s="15" t="s">
        <v>162</v>
      </c>
      <c r="AX458" s="114"/>
    </row>
    <row r="459" spans="6:50" ht="19.5" x14ac:dyDescent="0.4">
      <c r="V459" s="26"/>
      <c r="W459" s="13"/>
      <c r="AB459" s="117"/>
      <c r="AC459" s="123"/>
      <c r="AD459" s="123"/>
      <c r="AE459" s="123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25">
        <v>45274</v>
      </c>
      <c r="AU459" s="15" t="s">
        <v>163</v>
      </c>
      <c r="AX459" s="114"/>
    </row>
    <row r="460" spans="6:50" ht="19.5" x14ac:dyDescent="0.4">
      <c r="N460" s="115"/>
      <c r="O460" s="115"/>
      <c r="P460" s="115"/>
      <c r="Q460" s="115"/>
      <c r="R460" s="115"/>
      <c r="S460" s="115"/>
      <c r="T460" s="115"/>
      <c r="U460" s="115"/>
      <c r="V460" s="17"/>
      <c r="W460" s="13"/>
      <c r="AB460" s="117"/>
      <c r="AC460" s="123"/>
      <c r="AD460" s="123"/>
      <c r="AE460" s="123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25"/>
      <c r="AU460" s="15"/>
      <c r="AX460" s="114"/>
    </row>
    <row r="461" spans="6:50" ht="19.5" x14ac:dyDescent="0.4"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26"/>
      <c r="W461" s="13"/>
      <c r="AB461" s="117"/>
      <c r="AC461" s="123"/>
      <c r="AD461" s="123"/>
      <c r="AE461" s="123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25"/>
      <c r="AU461" s="15"/>
      <c r="AX461" s="114"/>
    </row>
    <row r="462" spans="6:50" ht="19.5" x14ac:dyDescent="0.4">
      <c r="V462" s="26"/>
      <c r="W462" s="25"/>
      <c r="AB462" s="117"/>
      <c r="AC462" s="123"/>
      <c r="AD462" s="123"/>
      <c r="AE462" s="123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 t="s">
        <v>167</v>
      </c>
      <c r="AT462" s="13">
        <f>SUBTOTAL(3,AT449:AT459)</f>
        <v>5</v>
      </c>
      <c r="AU462" s="15">
        <f>SUBTOTAL(3,AU449:AU459)</f>
        <v>5</v>
      </c>
      <c r="AX462" s="114"/>
    </row>
    <row r="463" spans="6:50" ht="19.5" x14ac:dyDescent="0.4"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26"/>
      <c r="W463" s="105"/>
      <c r="AB463" s="117"/>
      <c r="AC463" s="123"/>
      <c r="AD463" s="123"/>
      <c r="AE463" s="123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3"/>
      <c r="AU463" s="15"/>
      <c r="AX463" s="114"/>
    </row>
    <row r="464" spans="6:50" ht="19.5" x14ac:dyDescent="0.4">
      <c r="V464" s="26"/>
      <c r="W464" s="105"/>
      <c r="AB464" s="117"/>
      <c r="AC464" s="123"/>
      <c r="AD464" s="123"/>
      <c r="AE464" s="123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3"/>
      <c r="AU464" s="15"/>
      <c r="AX464" s="114"/>
    </row>
    <row r="465" spans="6:50" ht="19.5" x14ac:dyDescent="0.4">
      <c r="N465" s="115"/>
      <c r="O465" s="115"/>
      <c r="P465" s="115"/>
      <c r="Q465" s="115"/>
      <c r="R465" s="115"/>
      <c r="S465" s="115"/>
      <c r="T465" s="115"/>
      <c r="U465" s="115"/>
      <c r="V465" s="17"/>
      <c r="W465" s="15"/>
      <c r="AB465" s="117"/>
      <c r="AC465" s="123"/>
      <c r="AD465" s="123"/>
      <c r="AE465" s="123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3"/>
      <c r="AU465" s="15"/>
      <c r="AX465" s="114"/>
    </row>
    <row r="466" spans="6:50" ht="19.5" x14ac:dyDescent="0.4"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26"/>
      <c r="W466" s="15"/>
      <c r="AB466" s="117"/>
      <c r="AC466" s="123"/>
      <c r="AD466" s="123"/>
      <c r="AE466" s="123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3"/>
      <c r="AU466" s="15"/>
      <c r="AX466" s="114"/>
    </row>
    <row r="467" spans="6:50" ht="19.5" x14ac:dyDescent="0.4"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26"/>
      <c r="W467" s="15"/>
      <c r="AB467" s="117"/>
      <c r="AC467" s="123"/>
      <c r="AD467" s="123"/>
      <c r="AE467" s="123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3"/>
      <c r="AU467" s="15"/>
      <c r="AX467" s="114"/>
    </row>
    <row r="468" spans="6:50" ht="19.5" x14ac:dyDescent="0.4"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26"/>
      <c r="W468" s="15"/>
      <c r="AB468" s="117"/>
      <c r="AC468" s="123"/>
      <c r="AD468" s="123"/>
      <c r="AE468" s="123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3"/>
      <c r="AU468" s="15"/>
      <c r="AX468" s="114"/>
    </row>
    <row r="469" spans="6:50" ht="19.5" x14ac:dyDescent="0.4"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26"/>
      <c r="W469" s="15"/>
      <c r="AB469" s="117"/>
      <c r="AC469" s="123"/>
      <c r="AD469" s="123"/>
      <c r="AE469" s="123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3"/>
      <c r="AU469" s="15"/>
      <c r="AX469" s="114"/>
    </row>
    <row r="470" spans="6:50" ht="19.5" x14ac:dyDescent="0.4">
      <c r="V470" s="26"/>
      <c r="W470" s="15"/>
      <c r="AB470" s="117"/>
      <c r="AC470" s="123"/>
      <c r="AD470" s="123"/>
      <c r="AE470" s="123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25">
        <v>45275</v>
      </c>
      <c r="AU470" s="15" t="s">
        <v>163</v>
      </c>
      <c r="AX470" s="114"/>
    </row>
    <row r="471" spans="6:50" ht="19.5" x14ac:dyDescent="0.4">
      <c r="V471" s="26"/>
      <c r="W471" s="15"/>
      <c r="AB471" s="117"/>
      <c r="AC471" s="123"/>
      <c r="AD471" s="123"/>
      <c r="AE471" s="123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 t="s">
        <v>168</v>
      </c>
      <c r="AT471" s="13">
        <f>SUBTOTAL(3,AT470:AT470)</f>
        <v>1</v>
      </c>
      <c r="AU471" s="15">
        <f>SUBTOTAL(3,AU470:AU470)</f>
        <v>1</v>
      </c>
      <c r="AX471" s="114"/>
    </row>
    <row r="472" spans="6:50" ht="19.5" x14ac:dyDescent="0.4">
      <c r="V472" s="26"/>
      <c r="W472" s="15"/>
      <c r="AB472" s="117"/>
      <c r="AC472" s="123"/>
      <c r="AD472" s="123"/>
      <c r="AE472" s="123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25">
        <v>45276</v>
      </c>
      <c r="AU472" s="15" t="s">
        <v>164</v>
      </c>
      <c r="AX472" s="114"/>
    </row>
    <row r="473" spans="6:50" ht="19.5" x14ac:dyDescent="0.4">
      <c r="V473" s="26"/>
      <c r="W473" s="15"/>
      <c r="AB473" s="117"/>
      <c r="AC473" s="123"/>
      <c r="AD473" s="123"/>
      <c r="AE473" s="123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25">
        <v>45276</v>
      </c>
      <c r="AU473" s="15" t="s">
        <v>162</v>
      </c>
      <c r="AX473" s="114"/>
    </row>
    <row r="474" spans="6:50" ht="19.5" x14ac:dyDescent="0.4">
      <c r="V474" s="26"/>
      <c r="W474" s="15"/>
      <c r="AB474" s="117"/>
      <c r="AC474" s="123"/>
      <c r="AD474" s="123"/>
      <c r="AE474" s="123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5">
        <v>45276</v>
      </c>
      <c r="AU474" s="15" t="s">
        <v>162</v>
      </c>
      <c r="AX474" s="114"/>
    </row>
    <row r="475" spans="6:50" ht="19.5" x14ac:dyDescent="0.4">
      <c r="V475" s="26"/>
      <c r="W475" s="15"/>
      <c r="AB475" s="117"/>
      <c r="AC475" s="123"/>
      <c r="AD475" s="123"/>
      <c r="AE475" s="123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25">
        <v>45276</v>
      </c>
      <c r="AU475" s="15" t="s">
        <v>162</v>
      </c>
      <c r="AX475" s="114"/>
    </row>
    <row r="476" spans="6:50" ht="19.5" x14ac:dyDescent="0.4">
      <c r="V476" s="26"/>
      <c r="W476" s="15"/>
      <c r="AB476" s="117"/>
      <c r="AC476" s="123"/>
      <c r="AD476" s="123"/>
      <c r="AE476" s="123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25">
        <v>45276</v>
      </c>
      <c r="AU476" s="15" t="s">
        <v>162</v>
      </c>
      <c r="AX476" s="114"/>
    </row>
    <row r="477" spans="6:50" ht="19.5" x14ac:dyDescent="0.4"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26"/>
      <c r="W477" s="15"/>
      <c r="AB477" s="117"/>
      <c r="AC477" s="123"/>
      <c r="AD477" s="123"/>
      <c r="AE477" s="123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25"/>
      <c r="AU477" s="15"/>
      <c r="AX477" s="114"/>
    </row>
    <row r="478" spans="6:50" ht="19.5" x14ac:dyDescent="0.4">
      <c r="V478" s="26"/>
      <c r="W478" s="15"/>
      <c r="AB478" s="117"/>
      <c r="AC478" s="123"/>
      <c r="AD478" s="123"/>
      <c r="AE478" s="123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5">
        <v>45276</v>
      </c>
      <c r="AU478" s="15" t="s">
        <v>162</v>
      </c>
      <c r="AX478" s="114"/>
    </row>
    <row r="479" spans="6:50" ht="19.5" x14ac:dyDescent="0.4">
      <c r="V479" s="26"/>
      <c r="W479" s="15"/>
      <c r="AB479" s="117"/>
      <c r="AC479" s="123"/>
      <c r="AD479" s="123"/>
      <c r="AE479" s="123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5">
        <v>45276</v>
      </c>
      <c r="AU479" s="15" t="s">
        <v>162</v>
      </c>
      <c r="AX479" s="114"/>
    </row>
    <row r="480" spans="6:50" ht="19.5" x14ac:dyDescent="0.4">
      <c r="N480" s="115"/>
      <c r="O480" s="115"/>
      <c r="P480" s="115"/>
      <c r="Q480" s="115"/>
      <c r="R480" s="115"/>
      <c r="S480" s="115"/>
      <c r="T480" s="115"/>
      <c r="U480" s="115"/>
      <c r="V480" s="17"/>
      <c r="W480" s="15"/>
      <c r="AB480" s="117"/>
      <c r="AC480" s="123"/>
      <c r="AD480" s="123"/>
      <c r="AE480" s="123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5"/>
      <c r="AU480" s="15"/>
      <c r="AX480" s="114"/>
    </row>
    <row r="481" spans="6:50" ht="19.5" x14ac:dyDescent="0.4"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26"/>
      <c r="W481" s="15"/>
      <c r="AB481" s="117"/>
      <c r="AC481" s="123"/>
      <c r="AD481" s="123"/>
      <c r="AE481" s="123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25"/>
      <c r="AU481" s="15"/>
      <c r="AX481" s="114"/>
    </row>
    <row r="482" spans="6:50" ht="19.5" x14ac:dyDescent="0.4"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26"/>
      <c r="W482" s="15"/>
      <c r="AB482" s="117"/>
      <c r="AC482" s="123"/>
      <c r="AD482" s="123"/>
      <c r="AE482" s="123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25"/>
      <c r="AU482" s="15"/>
      <c r="AX482" s="114"/>
    </row>
    <row r="483" spans="6:50" ht="19.5" x14ac:dyDescent="0.4"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26"/>
      <c r="W483" s="15"/>
      <c r="AB483" s="117"/>
      <c r="AC483" s="123"/>
      <c r="AD483" s="123"/>
      <c r="AE483" s="123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25"/>
      <c r="AU483" s="15"/>
      <c r="AX483" s="114"/>
    </row>
    <row r="484" spans="6:50" ht="19.5" x14ac:dyDescent="0.4">
      <c r="V484" s="26"/>
      <c r="W484" s="15"/>
      <c r="AA484" s="115"/>
      <c r="AB484" s="117"/>
      <c r="AC484" s="123"/>
      <c r="AD484" s="123"/>
      <c r="AE484" s="123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25">
        <v>45276</v>
      </c>
      <c r="AU484" s="15" t="s">
        <v>162</v>
      </c>
      <c r="AX484" s="114"/>
    </row>
    <row r="485" spans="6:50" ht="19.5" x14ac:dyDescent="0.4">
      <c r="V485" s="26"/>
      <c r="W485" s="15"/>
      <c r="AA485" s="115"/>
      <c r="AB485" s="117"/>
      <c r="AC485" s="123"/>
      <c r="AD485" s="123"/>
      <c r="AE485" s="123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25">
        <v>45276</v>
      </c>
      <c r="AU485" s="15" t="s">
        <v>162</v>
      </c>
      <c r="AX485" s="114"/>
    </row>
    <row r="486" spans="6:50" ht="19.5" x14ac:dyDescent="0.4">
      <c r="V486" s="26"/>
      <c r="W486" s="15"/>
      <c r="AA486" s="115"/>
      <c r="AB486" s="117"/>
      <c r="AC486" s="123"/>
      <c r="AD486" s="123"/>
      <c r="AE486" s="123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25">
        <v>45276</v>
      </c>
      <c r="AU486" s="15" t="s">
        <v>162</v>
      </c>
      <c r="AX486" s="114"/>
    </row>
    <row r="487" spans="6:50" ht="19.5" x14ac:dyDescent="0.4">
      <c r="N487" s="115"/>
      <c r="O487" s="115"/>
      <c r="P487" s="115"/>
      <c r="Q487" s="115"/>
      <c r="R487" s="115"/>
      <c r="S487" s="115"/>
      <c r="T487" s="115"/>
      <c r="U487" s="115"/>
      <c r="V487" s="17"/>
      <c r="W487" s="15"/>
      <c r="AA487" s="115"/>
      <c r="AB487" s="117"/>
      <c r="AC487" s="123"/>
      <c r="AD487" s="123"/>
      <c r="AE487" s="123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25"/>
      <c r="AU487" s="15"/>
      <c r="AX487" s="114"/>
    </row>
    <row r="488" spans="6:50" ht="19.5" x14ac:dyDescent="0.4"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26"/>
      <c r="W488" s="15"/>
      <c r="AA488" s="115"/>
      <c r="AB488" s="117"/>
      <c r="AC488" s="123"/>
      <c r="AD488" s="123"/>
      <c r="AE488" s="123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25"/>
      <c r="AU488" s="15"/>
      <c r="AX488" s="114"/>
    </row>
    <row r="489" spans="6:50" ht="19.5" x14ac:dyDescent="0.4"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7"/>
      <c r="W489" s="15"/>
      <c r="AA489" s="115"/>
      <c r="AB489" s="117"/>
      <c r="AC489" s="123"/>
      <c r="AD489" s="123"/>
      <c r="AE489" s="123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25"/>
      <c r="AU489" s="15"/>
      <c r="AX489" s="114"/>
    </row>
    <row r="490" spans="6:50" ht="19.5" x14ac:dyDescent="0.4">
      <c r="V490" s="26"/>
      <c r="W490" s="15"/>
      <c r="AA490" s="115"/>
      <c r="AB490" s="117"/>
      <c r="AC490" s="123"/>
      <c r="AD490" s="123"/>
      <c r="AE490" s="123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25"/>
      <c r="AU490" s="15"/>
      <c r="AX490" s="114"/>
    </row>
    <row r="491" spans="6:50" ht="19.5" x14ac:dyDescent="0.4"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26"/>
      <c r="W491" s="15"/>
      <c r="AA491" s="115"/>
      <c r="AB491" s="117"/>
      <c r="AC491" s="123"/>
      <c r="AD491" s="123"/>
      <c r="AE491" s="123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25"/>
      <c r="AU491" s="15"/>
      <c r="AX491" s="114"/>
    </row>
    <row r="492" spans="6:50" ht="19.5" x14ac:dyDescent="0.4">
      <c r="V492" s="26"/>
      <c r="W492" s="15"/>
      <c r="AA492" s="115"/>
      <c r="AB492" s="117"/>
      <c r="AC492" s="123"/>
      <c r="AD492" s="123"/>
      <c r="AE492" s="123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25">
        <v>45276</v>
      </c>
      <c r="AU492" s="15" t="s">
        <v>162</v>
      </c>
      <c r="AX492" s="114"/>
    </row>
    <row r="493" spans="6:50" ht="19.5" x14ac:dyDescent="0.4">
      <c r="N493" s="115"/>
      <c r="O493" s="115"/>
      <c r="P493" s="115"/>
      <c r="Q493" s="115"/>
      <c r="R493" s="115"/>
      <c r="S493" s="115"/>
      <c r="T493" s="115"/>
      <c r="U493" s="115"/>
      <c r="V493" s="17"/>
      <c r="W493" s="15"/>
      <c r="AA493" s="115"/>
      <c r="AB493" s="117"/>
      <c r="AC493" s="123"/>
      <c r="AD493" s="123"/>
      <c r="AE493" s="123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25"/>
      <c r="AU493" s="15"/>
      <c r="AX493" s="114"/>
    </row>
    <row r="494" spans="6:50" ht="19.5" x14ac:dyDescent="0.4">
      <c r="V494" s="26"/>
      <c r="W494" s="15"/>
      <c r="AA494" s="115"/>
      <c r="AB494" s="117"/>
      <c r="AC494" s="123"/>
      <c r="AD494" s="123"/>
      <c r="AE494" s="123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25">
        <v>45276</v>
      </c>
      <c r="AU494" s="15" t="s">
        <v>162</v>
      </c>
      <c r="AX494" s="114"/>
    </row>
    <row r="495" spans="6:50" ht="19.5" x14ac:dyDescent="0.4">
      <c r="N495" s="115"/>
      <c r="O495" s="115"/>
      <c r="P495" s="115"/>
      <c r="Q495" s="115"/>
      <c r="R495" s="115"/>
      <c r="S495" s="115"/>
      <c r="T495" s="115"/>
      <c r="U495" s="115"/>
      <c r="V495" s="17"/>
      <c r="W495" s="15"/>
      <c r="AA495" s="115"/>
      <c r="AB495" s="117"/>
      <c r="AC495" s="123"/>
      <c r="AD495" s="123"/>
      <c r="AE495" s="123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25"/>
      <c r="AU495" s="15"/>
      <c r="AX495" s="114"/>
    </row>
    <row r="496" spans="6:50" ht="19.5" x14ac:dyDescent="0.4">
      <c r="M496" s="115"/>
      <c r="N496" s="115"/>
      <c r="O496" s="115"/>
      <c r="P496" s="115"/>
      <c r="Q496" s="115"/>
      <c r="R496" s="115"/>
      <c r="S496" s="115"/>
      <c r="T496" s="115"/>
      <c r="U496" s="115"/>
      <c r="V496" s="26"/>
      <c r="W496" s="15"/>
      <c r="AA496" s="115"/>
      <c r="AB496" s="117"/>
      <c r="AC496" s="123"/>
      <c r="AD496" s="123"/>
      <c r="AE496" s="123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25"/>
      <c r="AU496" s="15"/>
      <c r="AX496" s="114"/>
    </row>
    <row r="497" spans="11:50" ht="19.5" x14ac:dyDescent="0.4">
      <c r="M497" s="115"/>
      <c r="N497" s="115"/>
      <c r="O497" s="115"/>
      <c r="P497" s="115"/>
      <c r="Q497" s="115"/>
      <c r="R497" s="115"/>
      <c r="S497" s="115"/>
      <c r="T497" s="115"/>
      <c r="U497" s="115"/>
      <c r="V497" s="17"/>
      <c r="W497" s="15"/>
      <c r="AA497" s="115"/>
      <c r="AB497" s="117"/>
      <c r="AC497" s="123"/>
      <c r="AD497" s="123"/>
      <c r="AE497" s="123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25"/>
      <c r="AU497" s="15"/>
      <c r="AX497" s="114"/>
    </row>
    <row r="498" spans="11:50" ht="19.5" x14ac:dyDescent="0.4">
      <c r="V498" s="26"/>
      <c r="W498" s="15"/>
      <c r="AA498" s="115"/>
      <c r="AB498" s="117"/>
      <c r="AC498" s="123"/>
      <c r="AD498" s="123"/>
      <c r="AE498" s="123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25">
        <v>45276</v>
      </c>
      <c r="AU498" s="15" t="s">
        <v>162</v>
      </c>
      <c r="AX498" s="114"/>
    </row>
    <row r="499" spans="11:50" ht="19.5" x14ac:dyDescent="0.4">
      <c r="V499" s="26"/>
      <c r="W499" s="15"/>
      <c r="AA499" s="115"/>
      <c r="AB499" s="117"/>
      <c r="AC499" s="123"/>
      <c r="AD499" s="123"/>
      <c r="AE499" s="123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25">
        <v>45276</v>
      </c>
      <c r="AU499" s="15" t="s">
        <v>162</v>
      </c>
      <c r="AX499" s="114"/>
    </row>
    <row r="500" spans="11:50" ht="19.5" x14ac:dyDescent="0.4">
      <c r="V500" s="26"/>
      <c r="W500" s="15"/>
      <c r="AA500" s="115"/>
      <c r="AB500" s="117"/>
      <c r="AC500" s="123"/>
      <c r="AD500" s="123"/>
      <c r="AE500" s="123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25">
        <v>45276</v>
      </c>
      <c r="AU500" s="15" t="s">
        <v>162</v>
      </c>
      <c r="AX500" s="114"/>
    </row>
    <row r="501" spans="11:50" ht="19.5" x14ac:dyDescent="0.4">
      <c r="V501" s="26"/>
      <c r="W501" s="15"/>
      <c r="AA501" s="115"/>
      <c r="AB501" s="117"/>
      <c r="AC501" s="123"/>
      <c r="AD501" s="123"/>
      <c r="AE501" s="123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25"/>
      <c r="AU501" s="15"/>
      <c r="AX501" s="114"/>
    </row>
    <row r="502" spans="11:50" ht="19.5" x14ac:dyDescent="0.4">
      <c r="N502" s="115"/>
      <c r="O502" s="115"/>
      <c r="P502" s="115"/>
      <c r="Q502" s="115"/>
      <c r="R502" s="115"/>
      <c r="S502" s="115"/>
      <c r="T502" s="115"/>
      <c r="U502" s="115"/>
      <c r="V502" s="17"/>
      <c r="W502" s="15"/>
      <c r="AA502" s="115"/>
      <c r="AB502" s="117"/>
      <c r="AC502" s="123"/>
      <c r="AD502" s="123"/>
      <c r="AE502" s="123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25"/>
      <c r="AU502" s="15"/>
      <c r="AX502" s="114"/>
    </row>
    <row r="503" spans="11:50" ht="19.5" x14ac:dyDescent="0.4">
      <c r="V503" s="26"/>
      <c r="W503" s="15"/>
      <c r="AA503" s="115"/>
      <c r="AB503" s="117"/>
      <c r="AC503" s="123"/>
      <c r="AD503" s="123"/>
      <c r="AE503" s="123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25">
        <v>45276</v>
      </c>
      <c r="AU503" s="15" t="s">
        <v>162</v>
      </c>
      <c r="AX503" s="114"/>
    </row>
    <row r="504" spans="11:50" ht="19.5" x14ac:dyDescent="0.4">
      <c r="V504" s="26"/>
      <c r="W504" s="15"/>
      <c r="AA504" s="115"/>
      <c r="AB504" s="117"/>
      <c r="AC504" s="123"/>
      <c r="AD504" s="123"/>
      <c r="AE504" s="123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25">
        <v>45276</v>
      </c>
      <c r="AU504" s="15" t="s">
        <v>162</v>
      </c>
      <c r="AX504" s="114"/>
    </row>
    <row r="505" spans="11:50" ht="19.5" x14ac:dyDescent="0.4">
      <c r="N505" s="115"/>
      <c r="O505" s="115"/>
      <c r="P505" s="115"/>
      <c r="Q505" s="115"/>
      <c r="R505" s="115"/>
      <c r="S505" s="115"/>
      <c r="T505" s="115"/>
      <c r="U505" s="115"/>
      <c r="V505" s="17"/>
      <c r="W505" s="15"/>
      <c r="AA505" s="115"/>
      <c r="AB505" s="117"/>
      <c r="AC505" s="123"/>
      <c r="AD505" s="123"/>
      <c r="AE505" s="123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25"/>
      <c r="AU505" s="15"/>
      <c r="AX505" s="114"/>
    </row>
    <row r="506" spans="11:50" ht="19.5" x14ac:dyDescent="0.4"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26"/>
      <c r="W506" s="15"/>
      <c r="AA506" s="115"/>
      <c r="AB506" s="117"/>
      <c r="AC506" s="123"/>
      <c r="AD506" s="123"/>
      <c r="AE506" s="123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25"/>
      <c r="AU506" s="15"/>
      <c r="AX506" s="114"/>
    </row>
    <row r="507" spans="11:50" ht="19.5" x14ac:dyDescent="0.4"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7"/>
      <c r="W507" s="15"/>
      <c r="AA507" s="115"/>
      <c r="AB507" s="117"/>
      <c r="AC507" s="123"/>
      <c r="AD507" s="123"/>
      <c r="AE507" s="123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25"/>
      <c r="AU507" s="15"/>
      <c r="AX507" s="114"/>
    </row>
    <row r="508" spans="11:50" ht="19.5" x14ac:dyDescent="0.4"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26"/>
      <c r="W508" s="15"/>
      <c r="AA508" s="115"/>
      <c r="AB508" s="117"/>
      <c r="AC508" s="123"/>
      <c r="AD508" s="123"/>
      <c r="AE508" s="123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25"/>
      <c r="AU508" s="15"/>
      <c r="AX508" s="114"/>
    </row>
    <row r="509" spans="11:50" ht="19.5" x14ac:dyDescent="0.4">
      <c r="V509" s="26"/>
      <c r="W509" s="15"/>
      <c r="AA509" s="115"/>
      <c r="AB509" s="117"/>
      <c r="AC509" s="123"/>
      <c r="AD509" s="123"/>
      <c r="AE509" s="123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 t="s">
        <v>169</v>
      </c>
      <c r="AT509" s="13">
        <f>SUBTOTAL(3,AT472:AT504)</f>
        <v>17</v>
      </c>
      <c r="AU509" s="15">
        <f>SUBTOTAL(3,AU472:AU504)</f>
        <v>17</v>
      </c>
      <c r="AX509" s="114"/>
    </row>
    <row r="510" spans="11:50" ht="19.5" x14ac:dyDescent="0.4"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26"/>
      <c r="W510" s="15"/>
      <c r="AA510" s="115"/>
      <c r="AB510" s="117"/>
      <c r="AC510" s="123"/>
      <c r="AD510" s="123"/>
      <c r="AE510" s="123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3"/>
      <c r="AU510" s="15"/>
      <c r="AX510" s="114"/>
    </row>
    <row r="511" spans="11:50" ht="19.5" x14ac:dyDescent="0.4">
      <c r="V511" s="26"/>
      <c r="W511" s="15"/>
      <c r="AA511" s="115"/>
      <c r="AB511" s="117"/>
      <c r="AC511" s="123"/>
      <c r="AD511" s="123"/>
      <c r="AE511" s="123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25">
        <v>45277</v>
      </c>
      <c r="AU511" s="15" t="s">
        <v>162</v>
      </c>
      <c r="AX511" s="114"/>
    </row>
    <row r="512" spans="11:50" ht="19.5" x14ac:dyDescent="0.4">
      <c r="N512" s="115"/>
      <c r="O512" s="115"/>
      <c r="P512" s="115"/>
      <c r="Q512" s="115"/>
      <c r="R512" s="115"/>
      <c r="S512" s="115"/>
      <c r="T512" s="115"/>
      <c r="U512" s="115"/>
      <c r="V512" s="17"/>
      <c r="W512" s="15"/>
      <c r="AA512" s="115"/>
      <c r="AB512" s="117"/>
      <c r="AC512" s="123"/>
      <c r="AD512" s="123"/>
      <c r="AE512" s="123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25"/>
      <c r="AU512" s="15"/>
      <c r="AX512" s="114"/>
    </row>
    <row r="513" spans="6:50" ht="19.5" x14ac:dyDescent="0.4"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26"/>
      <c r="W513" s="15"/>
      <c r="AA513" s="115"/>
      <c r="AB513" s="117"/>
      <c r="AC513" s="123"/>
      <c r="AD513" s="123"/>
      <c r="AE513" s="123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25"/>
      <c r="AU513" s="15"/>
      <c r="AX513" s="114"/>
    </row>
    <row r="514" spans="6:50" ht="19.5" x14ac:dyDescent="0.4"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7"/>
      <c r="W514" s="15"/>
      <c r="AA514" s="115"/>
      <c r="AB514" s="117"/>
      <c r="AC514" s="123"/>
      <c r="AD514" s="123"/>
      <c r="AE514" s="123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25"/>
      <c r="AU514" s="15"/>
      <c r="AX514" s="114"/>
    </row>
    <row r="515" spans="6:50" ht="19.5" x14ac:dyDescent="0.4"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7"/>
      <c r="W515" s="15"/>
      <c r="AA515" s="115"/>
      <c r="AB515" s="117"/>
      <c r="AC515" s="123"/>
      <c r="AD515" s="123"/>
      <c r="AE515" s="123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25"/>
      <c r="AU515" s="15"/>
      <c r="AX515" s="114"/>
    </row>
    <row r="516" spans="6:50" ht="19.5" x14ac:dyDescent="0.4">
      <c r="V516" s="26"/>
      <c r="W516" s="15"/>
      <c r="AA516" s="115"/>
      <c r="AB516" s="117"/>
      <c r="AC516" s="123"/>
      <c r="AD516" s="123"/>
      <c r="AE516" s="123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25">
        <v>45277</v>
      </c>
      <c r="AU516" s="15" t="s">
        <v>162</v>
      </c>
      <c r="AX516" s="114"/>
    </row>
    <row r="517" spans="6:50" ht="19.5" x14ac:dyDescent="0.4">
      <c r="M517" s="115"/>
      <c r="N517" s="115"/>
      <c r="O517" s="115"/>
      <c r="P517" s="115"/>
      <c r="Q517" s="115"/>
      <c r="R517" s="115"/>
      <c r="S517" s="115"/>
      <c r="T517" s="115"/>
      <c r="U517" s="115"/>
      <c r="V517" s="17"/>
      <c r="W517" s="15"/>
      <c r="AA517" s="115"/>
      <c r="AB517" s="117"/>
      <c r="AC517" s="123"/>
      <c r="AD517" s="123"/>
      <c r="AE517" s="123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31"/>
      <c r="AU517" s="13"/>
      <c r="AX517" s="114"/>
    </row>
    <row r="518" spans="6:50" ht="19.5" x14ac:dyDescent="0.4">
      <c r="V518" s="26"/>
      <c r="W518" s="15"/>
      <c r="AA518" s="115"/>
      <c r="AB518" s="117"/>
      <c r="AC518" s="123"/>
      <c r="AD518" s="123"/>
      <c r="AE518" s="123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26">
        <v>45277</v>
      </c>
      <c r="AU518" s="13" t="s">
        <v>162</v>
      </c>
      <c r="AX518" s="114"/>
    </row>
    <row r="519" spans="6:50" ht="19.5" x14ac:dyDescent="0.4">
      <c r="V519" s="26"/>
      <c r="W519" s="15"/>
      <c r="AA519" s="115"/>
      <c r="AB519" s="117"/>
      <c r="AC519" s="123"/>
      <c r="AD519" s="123"/>
      <c r="AE519" s="123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26">
        <v>45277</v>
      </c>
      <c r="AU519" s="15" t="s">
        <v>162</v>
      </c>
      <c r="AX519" s="114"/>
    </row>
    <row r="520" spans="6:50" ht="19.5" x14ac:dyDescent="0.4"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26"/>
      <c r="W520" s="15"/>
      <c r="AA520" s="115"/>
      <c r="AB520" s="117"/>
      <c r="AC520" s="123"/>
      <c r="AD520" s="123"/>
      <c r="AE520" s="123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26"/>
      <c r="AU520" s="15"/>
      <c r="AX520" s="114"/>
    </row>
    <row r="521" spans="6:50" ht="19.5" x14ac:dyDescent="0.4">
      <c r="V521" s="26"/>
      <c r="W521" s="15"/>
      <c r="AA521" s="115"/>
      <c r="AB521" s="117"/>
      <c r="AC521" s="123"/>
      <c r="AD521" s="123"/>
      <c r="AE521" s="123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26">
        <v>45277</v>
      </c>
      <c r="AU521" s="15" t="s">
        <v>162</v>
      </c>
      <c r="AX521" s="114"/>
    </row>
    <row r="522" spans="6:50" ht="19.5" x14ac:dyDescent="0.4">
      <c r="V522" s="26"/>
      <c r="W522" s="15"/>
      <c r="AA522" s="115"/>
      <c r="AB522" s="117"/>
      <c r="AC522" s="123"/>
      <c r="AD522" s="123"/>
      <c r="AE522" s="123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 t="s">
        <v>160</v>
      </c>
      <c r="AT522" s="17">
        <f>SUBTOTAL(3,AT511:AT521)</f>
        <v>5</v>
      </c>
      <c r="AU522" s="15">
        <f>SUBTOTAL(3,AU511:AU521)</f>
        <v>5</v>
      </c>
      <c r="AX522" s="114"/>
    </row>
    <row r="523" spans="6:50" ht="19.5" x14ac:dyDescent="0.4"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26"/>
      <c r="W523" s="15"/>
      <c r="AA523" s="115"/>
      <c r="AB523" s="117"/>
      <c r="AC523" s="123"/>
      <c r="AD523" s="123"/>
      <c r="AE523" s="123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7"/>
      <c r="AU523" s="15"/>
      <c r="AX523" s="114"/>
    </row>
    <row r="524" spans="6:50" ht="19.5" x14ac:dyDescent="0.4"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26"/>
      <c r="W524" s="15"/>
      <c r="AA524" s="115"/>
      <c r="AB524" s="117"/>
      <c r="AC524" s="123"/>
      <c r="AD524" s="123"/>
      <c r="AE524" s="123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7"/>
      <c r="AU524" s="15"/>
      <c r="AX524" s="114"/>
    </row>
    <row r="525" spans="6:50" ht="19.5" x14ac:dyDescent="0.4">
      <c r="V525" s="26"/>
      <c r="W525" s="15"/>
      <c r="AA525" s="115"/>
      <c r="AB525" s="117"/>
      <c r="AC525" s="123"/>
      <c r="AD525" s="123"/>
      <c r="AE525" s="123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26">
        <v>45278</v>
      </c>
      <c r="AU525" s="15" t="s">
        <v>164</v>
      </c>
      <c r="AX525" s="114"/>
    </row>
    <row r="526" spans="6:50" ht="19.5" x14ac:dyDescent="0.4">
      <c r="V526" s="26"/>
      <c r="W526" s="15"/>
      <c r="AA526" s="115"/>
      <c r="AB526" s="117"/>
      <c r="AC526" s="123"/>
      <c r="AD526" s="123"/>
      <c r="AE526" s="123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26">
        <v>45278</v>
      </c>
      <c r="AU526" s="15" t="s">
        <v>164</v>
      </c>
      <c r="AX526" s="114"/>
    </row>
    <row r="527" spans="6:50" ht="19.5" x14ac:dyDescent="0.4"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26"/>
      <c r="W527" s="15"/>
      <c r="AA527" s="115"/>
      <c r="AB527" s="117"/>
      <c r="AC527" s="123"/>
      <c r="AD527" s="123"/>
      <c r="AE527" s="123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26"/>
      <c r="AU527" s="15"/>
      <c r="AX527" s="114"/>
    </row>
    <row r="528" spans="6:50" ht="19.5" x14ac:dyDescent="0.4">
      <c r="V528" s="26"/>
      <c r="W528" s="15"/>
      <c r="AA528" s="115"/>
      <c r="AB528" s="117"/>
      <c r="AC528" s="123"/>
      <c r="AD528" s="123"/>
      <c r="AE528" s="123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26">
        <v>45278</v>
      </c>
      <c r="AU528" s="15" t="s">
        <v>162</v>
      </c>
      <c r="AX528" s="114"/>
    </row>
    <row r="529" spans="6:50" ht="19.5" x14ac:dyDescent="0.4">
      <c r="M529" s="115"/>
      <c r="N529" s="115"/>
      <c r="O529" s="115"/>
      <c r="P529" s="115"/>
      <c r="Q529" s="115"/>
      <c r="R529" s="115"/>
      <c r="S529" s="115"/>
      <c r="T529" s="115"/>
      <c r="U529" s="115"/>
      <c r="V529" s="17"/>
      <c r="W529" s="15"/>
      <c r="AA529" s="115"/>
      <c r="AB529" s="117"/>
      <c r="AC529" s="123"/>
      <c r="AD529" s="123"/>
      <c r="AE529" s="123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26"/>
      <c r="AU529" s="15"/>
      <c r="AX529" s="114"/>
    </row>
    <row r="530" spans="6:50" ht="19.5" x14ac:dyDescent="0.4"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26"/>
      <c r="W530" s="15"/>
      <c r="AA530" s="115"/>
      <c r="AB530" s="117"/>
      <c r="AC530" s="123"/>
      <c r="AD530" s="123"/>
      <c r="AE530" s="123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26"/>
      <c r="AU530" s="15"/>
      <c r="AX530" s="114"/>
    </row>
    <row r="531" spans="6:50" ht="19.5" x14ac:dyDescent="0.4"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7"/>
      <c r="W531" s="15"/>
      <c r="AA531" s="115"/>
      <c r="AB531" s="117"/>
      <c r="AC531" s="123"/>
      <c r="AD531" s="123"/>
      <c r="AE531" s="123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6"/>
      <c r="AU531" s="15"/>
      <c r="AX531" s="114"/>
    </row>
    <row r="532" spans="6:50" ht="19.5" x14ac:dyDescent="0.4">
      <c r="V532" s="26"/>
      <c r="W532" s="15"/>
      <c r="AA532" s="115"/>
      <c r="AB532" s="117"/>
      <c r="AC532" s="123"/>
      <c r="AD532" s="123"/>
      <c r="AE532" s="123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26">
        <v>45278</v>
      </c>
      <c r="AU532" s="15" t="s">
        <v>142</v>
      </c>
      <c r="AX532" s="114"/>
    </row>
    <row r="533" spans="6:50" ht="19.5" x14ac:dyDescent="0.4">
      <c r="V533" s="26"/>
      <c r="W533" s="15"/>
      <c r="AA533" s="115"/>
      <c r="AB533" s="117"/>
      <c r="AC533" s="123"/>
      <c r="AD533" s="123"/>
      <c r="AE533" s="123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26">
        <v>45278</v>
      </c>
      <c r="AU533" s="15" t="s">
        <v>162</v>
      </c>
      <c r="AX533" s="114"/>
    </row>
    <row r="534" spans="6:50" ht="19.5" x14ac:dyDescent="0.4">
      <c r="V534" s="26"/>
      <c r="W534" s="15"/>
      <c r="AA534" s="115"/>
      <c r="AB534" s="117"/>
      <c r="AC534" s="123"/>
      <c r="AD534" s="123"/>
      <c r="AE534" s="123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26">
        <v>45278</v>
      </c>
      <c r="AU534" s="15" t="s">
        <v>162</v>
      </c>
      <c r="AX534" s="114"/>
    </row>
    <row r="535" spans="6:50" ht="19.5" x14ac:dyDescent="0.4">
      <c r="M535" s="115"/>
      <c r="N535" s="115"/>
      <c r="O535" s="115"/>
      <c r="P535" s="115"/>
      <c r="Q535" s="115"/>
      <c r="R535" s="115"/>
      <c r="S535" s="115"/>
      <c r="T535" s="115"/>
      <c r="U535" s="115"/>
      <c r="V535" s="17"/>
      <c r="W535" s="15"/>
      <c r="AA535" s="115"/>
      <c r="AB535" s="117"/>
      <c r="AC535" s="123"/>
      <c r="AD535" s="123"/>
      <c r="AE535" s="123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26"/>
      <c r="AU535" s="15"/>
      <c r="AX535" s="114"/>
    </row>
    <row r="536" spans="6:50" ht="19.5" x14ac:dyDescent="0.4"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26"/>
      <c r="W536" s="15"/>
      <c r="AA536" s="115"/>
      <c r="AB536" s="117"/>
      <c r="AC536" s="123"/>
      <c r="AD536" s="123"/>
      <c r="AE536" s="123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26"/>
      <c r="AU536" s="15"/>
      <c r="AX536" s="114"/>
    </row>
    <row r="537" spans="6:50" ht="19.5" x14ac:dyDescent="0.4"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26"/>
      <c r="W537" s="15"/>
      <c r="AA537" s="115"/>
      <c r="AB537" s="117"/>
      <c r="AC537" s="123"/>
      <c r="AD537" s="123"/>
      <c r="AE537" s="123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26"/>
      <c r="AU537" s="15"/>
      <c r="AX537" s="114"/>
    </row>
    <row r="538" spans="6:50" ht="19.5" x14ac:dyDescent="0.4"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7"/>
      <c r="W538" s="15"/>
      <c r="AA538" s="115"/>
      <c r="AB538" s="117"/>
      <c r="AC538" s="123"/>
      <c r="AD538" s="123"/>
      <c r="AE538" s="123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26"/>
      <c r="AU538" s="15"/>
      <c r="AX538" s="114"/>
    </row>
    <row r="539" spans="6:50" ht="19.5" x14ac:dyDescent="0.4"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26"/>
      <c r="W539" s="15"/>
      <c r="AA539" s="115"/>
      <c r="AB539" s="117"/>
      <c r="AC539" s="123"/>
      <c r="AD539" s="123"/>
      <c r="AE539" s="123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26"/>
      <c r="AU539" s="15"/>
      <c r="AX539" s="114"/>
    </row>
    <row r="540" spans="6:50" ht="19.5" x14ac:dyDescent="0.4">
      <c r="V540" s="26"/>
      <c r="W540" s="15"/>
      <c r="AA540" s="115"/>
      <c r="AB540" s="117"/>
      <c r="AC540" s="123"/>
      <c r="AD540" s="123"/>
      <c r="AE540" s="123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26">
        <v>45278</v>
      </c>
      <c r="AU540" s="15" t="s">
        <v>162</v>
      </c>
      <c r="AX540" s="114"/>
    </row>
    <row r="541" spans="6:50" ht="19.5" x14ac:dyDescent="0.4"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26"/>
      <c r="W541" s="15"/>
      <c r="AA541" s="115"/>
      <c r="AB541" s="117"/>
      <c r="AC541" s="123"/>
      <c r="AD541" s="123"/>
      <c r="AE541" s="123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26"/>
      <c r="AU541" s="15"/>
      <c r="AX541" s="114"/>
    </row>
    <row r="542" spans="6:50" ht="19.5" x14ac:dyDescent="0.4">
      <c r="V542" s="26"/>
      <c r="W542" s="15"/>
      <c r="AA542" s="115"/>
      <c r="AB542" s="117"/>
      <c r="AC542" s="123"/>
      <c r="AD542" s="123"/>
      <c r="AE542" s="123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26">
        <v>45278</v>
      </c>
      <c r="AU542" s="15" t="s">
        <v>163</v>
      </c>
      <c r="AX542" s="114"/>
    </row>
    <row r="543" spans="6:50" ht="19.5" x14ac:dyDescent="0.4">
      <c r="V543" s="26"/>
      <c r="W543" s="15"/>
      <c r="AA543" s="115"/>
      <c r="AB543" s="117"/>
      <c r="AC543" s="123"/>
      <c r="AD543" s="123"/>
      <c r="AE543" s="123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26">
        <v>45278</v>
      </c>
      <c r="AU543" s="105" t="s">
        <v>163</v>
      </c>
      <c r="AX543" s="114"/>
    </row>
    <row r="544" spans="6:50" ht="19.5" x14ac:dyDescent="0.4">
      <c r="V544" s="25"/>
      <c r="W544" s="13"/>
      <c r="AA544" s="115"/>
      <c r="AB544" s="117"/>
      <c r="AC544" s="123"/>
      <c r="AD544" s="123"/>
      <c r="AE544" s="123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26">
        <v>45278</v>
      </c>
      <c r="AU544" s="15" t="s">
        <v>163</v>
      </c>
      <c r="AX544" s="114"/>
    </row>
    <row r="545" spans="6:50" ht="19.5" x14ac:dyDescent="0.4"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25"/>
      <c r="W545" s="13"/>
      <c r="AA545" s="115"/>
      <c r="AB545" s="117"/>
      <c r="AC545" s="123"/>
      <c r="AD545" s="123"/>
      <c r="AE545" s="123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26"/>
      <c r="AU545" s="15"/>
      <c r="AX545" s="114"/>
    </row>
    <row r="546" spans="6:50" ht="19.5" x14ac:dyDescent="0.4"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25"/>
      <c r="W546" s="13"/>
      <c r="AA546" s="115"/>
      <c r="AB546" s="117"/>
      <c r="AC546" s="123"/>
      <c r="AD546" s="123"/>
      <c r="AE546" s="123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6"/>
      <c r="AU546" s="15"/>
      <c r="AX546" s="114"/>
    </row>
    <row r="547" spans="6:50" ht="19.5" x14ac:dyDescent="0.4"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25"/>
      <c r="W547" s="13"/>
      <c r="AA547" s="115"/>
      <c r="AB547" s="117"/>
      <c r="AC547" s="123"/>
      <c r="AD547" s="123"/>
      <c r="AE547" s="123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6"/>
      <c r="AU547" s="15"/>
      <c r="AX547" s="114"/>
    </row>
    <row r="548" spans="6:50" ht="19.5" x14ac:dyDescent="0.4"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25"/>
      <c r="W548" s="13"/>
      <c r="AA548" s="115"/>
      <c r="AB548" s="117"/>
      <c r="AC548" s="123"/>
      <c r="AD548" s="123"/>
      <c r="AE548" s="123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26"/>
      <c r="AU548" s="15"/>
      <c r="AX548" s="114"/>
    </row>
    <row r="549" spans="6:50" ht="19.5" x14ac:dyDescent="0.4"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25"/>
      <c r="W549" s="13"/>
      <c r="AA549" s="115"/>
      <c r="AB549" s="117"/>
      <c r="AC549" s="123"/>
      <c r="AD549" s="123"/>
      <c r="AE549" s="123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26"/>
      <c r="AU549" s="15"/>
      <c r="AX549" s="114"/>
    </row>
    <row r="550" spans="6:50" ht="19.5" x14ac:dyDescent="0.4"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25"/>
      <c r="W550" s="13"/>
      <c r="AA550" s="115"/>
      <c r="AB550" s="117"/>
      <c r="AC550" s="123"/>
      <c r="AD550" s="123"/>
      <c r="AE550" s="123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26"/>
      <c r="AU550" s="15"/>
      <c r="AX550" s="114"/>
    </row>
    <row r="551" spans="6:50" ht="19.5" x14ac:dyDescent="0.4">
      <c r="V551" s="25"/>
      <c r="W551" s="13"/>
      <c r="AA551" s="115"/>
      <c r="AB551" s="117"/>
      <c r="AC551" s="123"/>
      <c r="AD551" s="123"/>
      <c r="AE551" s="123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26">
        <v>45278</v>
      </c>
      <c r="AU551" s="15" t="s">
        <v>163</v>
      </c>
      <c r="AX551" s="114"/>
    </row>
    <row r="552" spans="6:50" ht="19.5" x14ac:dyDescent="0.4">
      <c r="V552" s="25"/>
      <c r="W552" s="13"/>
      <c r="AA552" s="115"/>
      <c r="AB552" s="117"/>
      <c r="AC552" s="123"/>
      <c r="AD552" s="123"/>
      <c r="AE552" s="123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26"/>
      <c r="AU552" s="15"/>
      <c r="AX552" s="114"/>
    </row>
    <row r="553" spans="6:50" ht="19.5" x14ac:dyDescent="0.4">
      <c r="M553" s="115"/>
      <c r="N553" s="115"/>
      <c r="O553" s="115"/>
      <c r="P553" s="115"/>
      <c r="Q553" s="115"/>
      <c r="R553" s="115"/>
      <c r="S553" s="115"/>
      <c r="T553" s="115"/>
      <c r="U553" s="115"/>
      <c r="V553" s="13"/>
      <c r="W553" s="13"/>
      <c r="AA553" s="115"/>
      <c r="AB553" s="117"/>
      <c r="AC553" s="123"/>
      <c r="AD553" s="123"/>
      <c r="AE553" s="123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26"/>
      <c r="AU553" s="15"/>
      <c r="AX553" s="114"/>
    </row>
    <row r="554" spans="6:50" ht="19.5" x14ac:dyDescent="0.4">
      <c r="V554" s="25"/>
      <c r="W554" s="13"/>
      <c r="AA554" s="115"/>
      <c r="AB554" s="117"/>
      <c r="AC554" s="123"/>
      <c r="AD554" s="123"/>
      <c r="AE554" s="123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26">
        <v>45278</v>
      </c>
      <c r="AU554" s="15" t="s">
        <v>163</v>
      </c>
      <c r="AX554" s="114"/>
    </row>
    <row r="555" spans="6:50" ht="19.5" x14ac:dyDescent="0.4">
      <c r="M555" s="115"/>
      <c r="N555" s="115"/>
      <c r="O555" s="115"/>
      <c r="P555" s="115"/>
      <c r="Q555" s="115"/>
      <c r="R555" s="115"/>
      <c r="S555" s="115"/>
      <c r="T555" s="115"/>
      <c r="U555" s="115"/>
      <c r="V555" s="13"/>
      <c r="W555" s="13"/>
      <c r="AA555" s="115"/>
      <c r="AB555" s="117"/>
      <c r="AC555" s="123"/>
      <c r="AD555" s="123"/>
      <c r="AE555" s="123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26"/>
      <c r="AU555" s="13"/>
      <c r="AX555" s="114"/>
    </row>
    <row r="556" spans="6:50" ht="19.5" x14ac:dyDescent="0.4">
      <c r="V556" s="25"/>
      <c r="W556" s="13"/>
      <c r="AA556" s="115"/>
      <c r="AB556" s="117"/>
      <c r="AC556" s="123"/>
      <c r="AD556" s="123"/>
      <c r="AE556" s="123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 t="s">
        <v>153</v>
      </c>
      <c r="AT556" s="17">
        <f>SUBTOTAL(3,AT525:AT554)</f>
        <v>12</v>
      </c>
      <c r="AU556" s="13">
        <f>SUBTOTAL(3,AU525:AU554)</f>
        <v>12</v>
      </c>
      <c r="AX556" s="114"/>
    </row>
    <row r="557" spans="6:50" ht="19.5" x14ac:dyDescent="0.4">
      <c r="M557" s="115"/>
      <c r="N557" s="115"/>
      <c r="O557" s="115"/>
      <c r="P557" s="115"/>
      <c r="Q557" s="115"/>
      <c r="R557" s="115"/>
      <c r="S557" s="115"/>
      <c r="T557" s="115"/>
      <c r="U557" s="115"/>
      <c r="V557" s="13"/>
      <c r="W557" s="13"/>
      <c r="AA557" s="115"/>
      <c r="AB557" s="117"/>
      <c r="AC557" s="123"/>
      <c r="AD557" s="123"/>
      <c r="AE557" s="123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7"/>
      <c r="AU557" s="13"/>
      <c r="AX557" s="114"/>
    </row>
    <row r="558" spans="6:50" ht="19.5" x14ac:dyDescent="0.4">
      <c r="V558" s="25"/>
      <c r="W558" s="13"/>
      <c r="AA558" s="115"/>
      <c r="AB558" s="117"/>
      <c r="AC558" s="123"/>
      <c r="AD558" s="123"/>
      <c r="AE558" s="123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26">
        <v>45279</v>
      </c>
      <c r="AU558" s="25" t="s">
        <v>162</v>
      </c>
      <c r="AX558" s="114"/>
    </row>
    <row r="559" spans="6:50" ht="19.5" x14ac:dyDescent="0.4">
      <c r="V559" s="25"/>
      <c r="W559" s="13"/>
      <c r="AA559" s="115"/>
      <c r="AB559" s="117"/>
      <c r="AC559" s="123"/>
      <c r="AD559" s="123"/>
      <c r="AE559" s="123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26">
        <v>45279</v>
      </c>
      <c r="AU559" s="13" t="s">
        <v>162</v>
      </c>
      <c r="AX559" s="114"/>
    </row>
    <row r="560" spans="6:50" ht="19.5" x14ac:dyDescent="0.4">
      <c r="M560" s="115"/>
      <c r="N560" s="115"/>
      <c r="O560" s="115"/>
      <c r="P560" s="115"/>
      <c r="Q560" s="115"/>
      <c r="R560" s="115"/>
      <c r="S560" s="115"/>
      <c r="T560" s="115"/>
      <c r="U560" s="115"/>
      <c r="V560" s="20"/>
      <c r="W560" s="13"/>
      <c r="AA560" s="115"/>
      <c r="AB560" s="117"/>
      <c r="AC560" s="123"/>
      <c r="AD560" s="123"/>
      <c r="AE560" s="123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26"/>
      <c r="AU560" s="13"/>
      <c r="AX560" s="114"/>
    </row>
    <row r="561" spans="13:50" ht="19.5" x14ac:dyDescent="0.4">
      <c r="M561" s="115"/>
      <c r="N561" s="115"/>
      <c r="O561" s="115"/>
      <c r="P561" s="115"/>
      <c r="Q561" s="115"/>
      <c r="R561" s="115"/>
      <c r="S561" s="115"/>
      <c r="T561" s="115"/>
      <c r="U561" s="115"/>
      <c r="V561" s="20"/>
      <c r="W561" s="13"/>
      <c r="AA561" s="115"/>
      <c r="AB561" s="117"/>
      <c r="AC561" s="123"/>
      <c r="AD561" s="123"/>
      <c r="AE561" s="123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26"/>
      <c r="AU561" s="13"/>
      <c r="AX561" s="114"/>
    </row>
    <row r="562" spans="13:50" ht="19.5" x14ac:dyDescent="0.4">
      <c r="V562" s="26"/>
      <c r="W562" s="13"/>
      <c r="AA562" s="115"/>
      <c r="AB562" s="117"/>
      <c r="AC562" s="123"/>
      <c r="AD562" s="123"/>
      <c r="AE562" s="123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26">
        <v>45279</v>
      </c>
      <c r="AU562" s="13" t="s">
        <v>162</v>
      </c>
      <c r="AX562" s="114"/>
    </row>
    <row r="563" spans="13:50" ht="19.5" x14ac:dyDescent="0.4">
      <c r="V563" s="26"/>
      <c r="W563" s="13"/>
      <c r="AA563" s="115"/>
      <c r="AB563" s="117"/>
      <c r="AC563" s="123"/>
      <c r="AD563" s="123"/>
      <c r="AE563" s="123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26">
        <v>45279</v>
      </c>
      <c r="AU563" s="13" t="s">
        <v>162</v>
      </c>
      <c r="AX563" s="114"/>
    </row>
    <row r="564" spans="13:50" ht="19.5" x14ac:dyDescent="0.4">
      <c r="V564" s="129"/>
      <c r="W564" s="13"/>
      <c r="AA564" s="115"/>
      <c r="AB564" s="117"/>
      <c r="AC564" s="123"/>
      <c r="AD564" s="123"/>
      <c r="AE564" s="123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26"/>
      <c r="AU564" s="13"/>
      <c r="AX564" s="114"/>
    </row>
    <row r="565" spans="13:50" ht="19.5" x14ac:dyDescent="0.4">
      <c r="V565" s="26"/>
      <c r="W565" s="13"/>
      <c r="AA565" s="115"/>
      <c r="AB565" s="117"/>
      <c r="AC565" s="123"/>
      <c r="AD565" s="123"/>
      <c r="AE565" s="123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26">
        <v>45279</v>
      </c>
      <c r="AU565" s="13" t="s">
        <v>162</v>
      </c>
      <c r="AX565" s="114"/>
    </row>
    <row r="566" spans="13:50" ht="19.5" x14ac:dyDescent="0.4">
      <c r="V566" s="26"/>
      <c r="W566" s="13"/>
      <c r="AA566" s="115"/>
      <c r="AB566" s="117"/>
      <c r="AC566" s="123"/>
      <c r="AD566" s="123"/>
      <c r="AE566" s="123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26">
        <v>45279</v>
      </c>
      <c r="AU566" s="13" t="s">
        <v>162</v>
      </c>
      <c r="AX566" s="114"/>
    </row>
    <row r="567" spans="13:50" ht="19.5" x14ac:dyDescent="0.4">
      <c r="V567" s="26"/>
      <c r="W567" s="13"/>
      <c r="AA567" s="115"/>
      <c r="AB567" s="117"/>
      <c r="AC567" s="123"/>
      <c r="AD567" s="123"/>
      <c r="AE567" s="123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 t="s">
        <v>170</v>
      </c>
      <c r="AT567" s="17">
        <f>SUBTOTAL(3,AT558:AT566)</f>
        <v>6</v>
      </c>
      <c r="AU567" s="13">
        <f>SUBTOTAL(3,AU558:AU566)</f>
        <v>6</v>
      </c>
      <c r="AX567" s="114"/>
    </row>
    <row r="568" spans="13:50" ht="19.5" x14ac:dyDescent="0.4">
      <c r="V568" s="129"/>
      <c r="W568" s="13"/>
      <c r="AA568" s="115"/>
      <c r="AB568" s="117"/>
      <c r="AC568" s="123"/>
      <c r="AD568" s="123"/>
      <c r="AE568" s="123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7"/>
      <c r="AU568" s="13"/>
      <c r="AX568" s="114"/>
    </row>
    <row r="569" spans="13:50" ht="19.5" x14ac:dyDescent="0.4">
      <c r="V569" s="26"/>
      <c r="W569" s="13"/>
      <c r="AA569" s="115"/>
      <c r="AB569" s="117"/>
      <c r="AC569" s="123"/>
      <c r="AD569" s="123"/>
      <c r="AE569" s="123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26">
        <v>45280</v>
      </c>
      <c r="AU569" s="13" t="s">
        <v>162</v>
      </c>
      <c r="AX569" s="114"/>
    </row>
    <row r="570" spans="13:50" ht="19.5" x14ac:dyDescent="0.4">
      <c r="V570" s="26"/>
      <c r="W570" s="13"/>
      <c r="AA570" s="115"/>
      <c r="AB570" s="116"/>
      <c r="AC570" s="123"/>
      <c r="AD570" s="123"/>
      <c r="AE570" s="123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26">
        <v>45280</v>
      </c>
      <c r="AU570" s="13" t="s">
        <v>162</v>
      </c>
      <c r="AX570" s="114"/>
    </row>
    <row r="571" spans="13:50" ht="19.5" x14ac:dyDescent="0.4">
      <c r="V571" s="26"/>
      <c r="W571" s="13"/>
      <c r="AA571" s="115"/>
      <c r="AB571" s="116"/>
      <c r="AC571" s="123"/>
      <c r="AD571" s="123"/>
      <c r="AE571" s="123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26">
        <v>45280</v>
      </c>
      <c r="AU571" s="13" t="s">
        <v>162</v>
      </c>
      <c r="AX571" s="114"/>
    </row>
    <row r="572" spans="13:50" ht="19.5" x14ac:dyDescent="0.4">
      <c r="V572" s="26"/>
      <c r="W572" s="13"/>
      <c r="AA572" s="115"/>
      <c r="AB572" s="116"/>
      <c r="AC572" s="123"/>
      <c r="AD572" s="123"/>
      <c r="AE572" s="123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26">
        <v>45280</v>
      </c>
      <c r="AU572" s="13" t="s">
        <v>162</v>
      </c>
      <c r="AX572" s="114"/>
    </row>
    <row r="573" spans="13:50" ht="19.5" x14ac:dyDescent="0.4">
      <c r="V573" s="129"/>
      <c r="W573" s="13"/>
      <c r="AA573" s="115"/>
      <c r="AB573" s="116"/>
      <c r="AC573" s="123"/>
      <c r="AD573" s="123"/>
      <c r="AE573" s="123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6"/>
      <c r="AU573" s="13"/>
      <c r="AX573" s="114"/>
    </row>
    <row r="574" spans="13:50" ht="19.5" x14ac:dyDescent="0.4">
      <c r="V574" s="26"/>
      <c r="W574" s="13"/>
      <c r="AA574" s="115"/>
      <c r="AB574" s="116"/>
      <c r="AC574" s="123"/>
      <c r="AD574" s="123"/>
      <c r="AE574" s="123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26">
        <v>45280</v>
      </c>
      <c r="AU574" s="13" t="s">
        <v>162</v>
      </c>
      <c r="AX574" s="114"/>
    </row>
    <row r="575" spans="13:50" ht="19.5" x14ac:dyDescent="0.4">
      <c r="V575" s="130"/>
      <c r="W575" s="119"/>
      <c r="AA575" s="115"/>
      <c r="AB575" s="116"/>
      <c r="AC575" s="123"/>
      <c r="AD575" s="123"/>
      <c r="AE575" s="123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26"/>
      <c r="AU575" s="13"/>
      <c r="AX575" s="114"/>
    </row>
    <row r="576" spans="13:50" ht="19.5" x14ac:dyDescent="0.4">
      <c r="V576" s="130"/>
      <c r="W576" s="119"/>
      <c r="AA576" s="115"/>
      <c r="AB576" s="116"/>
      <c r="AC576" s="123"/>
      <c r="AD576" s="123"/>
      <c r="AE576" s="123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26"/>
      <c r="AU576" s="13"/>
      <c r="AX576" s="114"/>
    </row>
    <row r="577" spans="24:50" ht="19.5" x14ac:dyDescent="0.4">
      <c r="AA577" s="115"/>
      <c r="AB577" s="116"/>
      <c r="AC577" s="123"/>
      <c r="AD577" s="123"/>
      <c r="AE577" s="123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26">
        <v>45280</v>
      </c>
      <c r="AU577" s="13" t="s">
        <v>162</v>
      </c>
      <c r="AX577" s="114"/>
    </row>
    <row r="578" spans="24:50" ht="19.5" x14ac:dyDescent="0.4">
      <c r="AA578" s="115"/>
      <c r="AB578" s="116"/>
      <c r="AC578" s="123"/>
      <c r="AD578" s="123"/>
      <c r="AE578" s="123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26">
        <v>45280</v>
      </c>
      <c r="AU578" s="13" t="s">
        <v>162</v>
      </c>
      <c r="AX578" s="114"/>
    </row>
    <row r="579" spans="24:50" ht="19.5" x14ac:dyDescent="0.4">
      <c r="AA579" s="115"/>
      <c r="AB579" s="116"/>
      <c r="AC579" s="123"/>
      <c r="AD579" s="123"/>
      <c r="AE579" s="123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26">
        <v>45280</v>
      </c>
      <c r="AU579" s="13" t="s">
        <v>162</v>
      </c>
      <c r="AX579" s="114"/>
    </row>
    <row r="580" spans="24:50" ht="19.5" x14ac:dyDescent="0.4">
      <c r="Z580" s="115"/>
      <c r="AA580" s="115"/>
      <c r="AB580" s="116"/>
      <c r="AC580" s="123"/>
      <c r="AD580" s="123"/>
      <c r="AE580" s="123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26">
        <v>45280</v>
      </c>
      <c r="AU580" s="13" t="s">
        <v>162</v>
      </c>
      <c r="AX580" s="114"/>
    </row>
    <row r="581" spans="24:50" ht="19.5" x14ac:dyDescent="0.4">
      <c r="Z581" s="115"/>
      <c r="AA581" s="115"/>
      <c r="AB581" s="116"/>
      <c r="AC581" s="123"/>
      <c r="AD581" s="123"/>
      <c r="AE581" s="123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26">
        <v>45280</v>
      </c>
      <c r="AU581" s="13" t="s">
        <v>162</v>
      </c>
      <c r="AX581" s="114"/>
    </row>
    <row r="582" spans="24:50" ht="19.5" x14ac:dyDescent="0.4">
      <c r="X582" s="115"/>
      <c r="Y582" s="115"/>
      <c r="Z582" s="115"/>
      <c r="AA582" s="115"/>
      <c r="AB582" s="116"/>
      <c r="AC582" s="123"/>
      <c r="AD582" s="123"/>
      <c r="AE582" s="123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26">
        <v>45280</v>
      </c>
      <c r="AU582" s="13" t="s">
        <v>162</v>
      </c>
      <c r="AX582" s="114"/>
    </row>
    <row r="583" spans="24:50" x14ac:dyDescent="0.4">
      <c r="X583" s="115"/>
      <c r="Y583" s="115"/>
      <c r="Z583" s="115"/>
      <c r="AA583" s="115"/>
      <c r="AB583" s="115"/>
      <c r="AC583" s="122"/>
      <c r="AD583" s="122"/>
      <c r="AE583" s="122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26">
        <v>45280</v>
      </c>
      <c r="AU583" s="13" t="s">
        <v>162</v>
      </c>
      <c r="AX583" s="114"/>
    </row>
    <row r="584" spans="24:50" x14ac:dyDescent="0.4">
      <c r="X584" s="115"/>
      <c r="Y584" s="115"/>
      <c r="Z584" s="115"/>
      <c r="AA584" s="115"/>
      <c r="AB584" s="115"/>
      <c r="AC584" s="122"/>
      <c r="AD584" s="122"/>
      <c r="AE584" s="122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26">
        <v>45280</v>
      </c>
      <c r="AU584" s="13" t="s">
        <v>162</v>
      </c>
      <c r="AX584" s="114"/>
    </row>
    <row r="585" spans="24:50" x14ac:dyDescent="0.4">
      <c r="X585" s="115"/>
      <c r="Y585" s="115"/>
      <c r="Z585" s="115"/>
      <c r="AA585" s="115"/>
      <c r="AB585" s="115"/>
      <c r="AC585" s="122"/>
      <c r="AD585" s="122"/>
      <c r="AE585" s="122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 t="s">
        <v>171</v>
      </c>
      <c r="AT585" s="17">
        <f>SUBTOTAL(3,AT569:AT584)</f>
        <v>13</v>
      </c>
      <c r="AU585" s="13">
        <f>SUBTOTAL(3,AU569:AU584)</f>
        <v>13</v>
      </c>
      <c r="AX585" s="114"/>
    </row>
    <row r="586" spans="24:50" x14ac:dyDescent="0.4">
      <c r="X586" s="115"/>
      <c r="Y586" s="115"/>
      <c r="Z586" s="115"/>
      <c r="AA586" s="115"/>
      <c r="AB586" s="115"/>
      <c r="AC586" s="122"/>
      <c r="AD586" s="122"/>
      <c r="AE586" s="122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26">
        <v>45283</v>
      </c>
      <c r="AU586" s="13" t="s">
        <v>162</v>
      </c>
      <c r="AX586" s="114"/>
    </row>
    <row r="587" spans="24:50" x14ac:dyDescent="0.4">
      <c r="X587" s="115"/>
      <c r="Y587" s="115"/>
      <c r="Z587" s="115"/>
      <c r="AA587" s="115"/>
      <c r="AB587" s="115"/>
      <c r="AC587" s="122"/>
      <c r="AD587" s="122"/>
      <c r="AE587" s="122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26">
        <v>45283</v>
      </c>
      <c r="AU587" s="13" t="s">
        <v>162</v>
      </c>
      <c r="AX587" s="114"/>
    </row>
    <row r="588" spans="24:50" x14ac:dyDescent="0.4">
      <c r="X588" s="115"/>
      <c r="Y588" s="115"/>
      <c r="Z588" s="115"/>
      <c r="AA588" s="115"/>
      <c r="AB588" s="115"/>
      <c r="AC588" s="122"/>
      <c r="AD588" s="122"/>
      <c r="AE588" s="122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26">
        <v>45283</v>
      </c>
      <c r="AU588" s="13" t="s">
        <v>162</v>
      </c>
      <c r="AX588" s="114"/>
    </row>
    <row r="589" spans="24:50" x14ac:dyDescent="0.4">
      <c r="X589" s="115"/>
      <c r="Y589" s="115"/>
      <c r="Z589" s="115"/>
      <c r="AA589" s="115"/>
      <c r="AB589" s="115"/>
      <c r="AC589" s="122"/>
      <c r="AD589" s="122"/>
      <c r="AE589" s="122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26">
        <v>45283</v>
      </c>
      <c r="AU589" s="13" t="s">
        <v>162</v>
      </c>
      <c r="AX589" s="114"/>
    </row>
    <row r="590" spans="24:50" x14ac:dyDescent="0.4">
      <c r="X590" s="115"/>
      <c r="Y590" s="115"/>
      <c r="Z590" s="115"/>
      <c r="AA590" s="115"/>
      <c r="AB590" s="115"/>
      <c r="AC590" s="122"/>
      <c r="AD590" s="122"/>
      <c r="AE590" s="122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26">
        <v>45283</v>
      </c>
      <c r="AU590" s="13" t="s">
        <v>162</v>
      </c>
      <c r="AX590" s="114"/>
    </row>
    <row r="591" spans="24:50" x14ac:dyDescent="0.4">
      <c r="X591" s="115"/>
      <c r="Y591" s="115"/>
      <c r="Z591" s="115"/>
      <c r="AA591" s="115"/>
      <c r="AB591" s="115"/>
      <c r="AC591" s="122"/>
      <c r="AD591" s="122"/>
      <c r="AE591" s="122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26">
        <v>45283</v>
      </c>
      <c r="AU591" s="13" t="s">
        <v>162</v>
      </c>
      <c r="AX591" s="114"/>
    </row>
    <row r="592" spans="24:50" x14ac:dyDescent="0.4">
      <c r="X592" s="115"/>
      <c r="Y592" s="115"/>
      <c r="Z592" s="115"/>
      <c r="AA592" s="115"/>
      <c r="AB592" s="115"/>
      <c r="AC592" s="122"/>
      <c r="AD592" s="122"/>
      <c r="AE592" s="122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26">
        <v>45283</v>
      </c>
      <c r="AU592" s="13" t="s">
        <v>162</v>
      </c>
      <c r="AX592" s="114"/>
    </row>
    <row r="593" spans="24:50" x14ac:dyDescent="0.4">
      <c r="X593" s="115"/>
      <c r="Y593" s="115"/>
      <c r="Z593" s="115"/>
      <c r="AA593" s="115"/>
      <c r="AB593" s="115"/>
      <c r="AC593" s="122"/>
      <c r="AD593" s="122"/>
      <c r="AE593" s="122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26">
        <v>45283</v>
      </c>
      <c r="AU593" s="13" t="s">
        <v>162</v>
      </c>
      <c r="AX593" s="114"/>
    </row>
    <row r="594" spans="24:50" x14ac:dyDescent="0.4">
      <c r="X594" s="115"/>
      <c r="Y594" s="115"/>
      <c r="Z594" s="115"/>
      <c r="AA594" s="115"/>
      <c r="AB594" s="115"/>
      <c r="AC594" s="122"/>
      <c r="AD594" s="122"/>
      <c r="AE594" s="122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26">
        <v>45283</v>
      </c>
      <c r="AU594" s="13" t="s">
        <v>162</v>
      </c>
      <c r="AX594" s="114"/>
    </row>
    <row r="595" spans="24:50" x14ac:dyDescent="0.4">
      <c r="X595" s="115"/>
      <c r="Y595" s="115"/>
      <c r="Z595" s="115"/>
      <c r="AA595" s="115"/>
      <c r="AB595" s="115"/>
      <c r="AC595" s="122"/>
      <c r="AD595" s="122"/>
      <c r="AE595" s="122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6">
        <v>45283</v>
      </c>
      <c r="AU595" s="13" t="s">
        <v>162</v>
      </c>
      <c r="AX595" s="114"/>
    </row>
    <row r="596" spans="24:50" x14ac:dyDescent="0.4">
      <c r="X596" s="115"/>
      <c r="Y596" s="115"/>
      <c r="Z596" s="115"/>
      <c r="AA596" s="115"/>
      <c r="AB596" s="115"/>
      <c r="AC596" s="122"/>
      <c r="AD596" s="122"/>
      <c r="AE596" s="122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26">
        <v>45283</v>
      </c>
      <c r="AU596" s="13" t="s">
        <v>163</v>
      </c>
      <c r="AX596" s="114"/>
    </row>
    <row r="597" spans="24:50" x14ac:dyDescent="0.4">
      <c r="X597" s="115"/>
      <c r="Y597" s="115"/>
      <c r="Z597" s="115"/>
      <c r="AA597" s="115"/>
      <c r="AB597" s="115"/>
      <c r="AC597" s="122"/>
      <c r="AD597" s="122"/>
      <c r="AE597" s="122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6">
        <v>45283</v>
      </c>
      <c r="AU597" s="13" t="s">
        <v>163</v>
      </c>
      <c r="AX597" s="114"/>
    </row>
    <row r="598" spans="24:50" x14ac:dyDescent="0.4">
      <c r="X598" s="115"/>
      <c r="Y598" s="115"/>
      <c r="Z598" s="115"/>
      <c r="AA598" s="115"/>
      <c r="AB598" s="115"/>
      <c r="AC598" s="122"/>
      <c r="AD598" s="122"/>
      <c r="AE598" s="122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6">
        <v>45283</v>
      </c>
      <c r="AU598" s="13" t="s">
        <v>163</v>
      </c>
      <c r="AX598" s="114"/>
    </row>
    <row r="599" spans="24:50" x14ac:dyDescent="0.4">
      <c r="X599" s="115"/>
      <c r="Y599" s="115"/>
      <c r="Z599" s="115"/>
      <c r="AA599" s="115"/>
      <c r="AB599" s="115"/>
      <c r="AC599" s="122"/>
      <c r="AD599" s="122"/>
      <c r="AE599" s="122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 t="s">
        <v>161</v>
      </c>
      <c r="AT599" s="17">
        <f>SUBTOTAL(3,AT586:AT598)</f>
        <v>13</v>
      </c>
      <c r="AU599" s="13">
        <f>SUBTOTAL(3,AU586:AU598)</f>
        <v>13</v>
      </c>
      <c r="AX599" s="114"/>
    </row>
    <row r="600" spans="24:50" x14ac:dyDescent="0.4">
      <c r="X600" s="115"/>
      <c r="Y600" s="115"/>
      <c r="Z600" s="115"/>
      <c r="AA600" s="115"/>
      <c r="AB600" s="115"/>
      <c r="AC600" s="122"/>
      <c r="AD600" s="122"/>
      <c r="AE600" s="122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26">
        <v>45285</v>
      </c>
      <c r="AU600" s="13" t="s">
        <v>163</v>
      </c>
      <c r="AX600" s="114"/>
    </row>
    <row r="601" spans="24:50" x14ac:dyDescent="0.4">
      <c r="X601" s="115"/>
      <c r="Y601" s="115"/>
      <c r="Z601" s="115"/>
      <c r="AA601" s="115"/>
      <c r="AB601" s="115"/>
      <c r="AC601" s="122"/>
      <c r="AD601" s="122"/>
      <c r="AE601" s="122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 t="s">
        <v>172</v>
      </c>
      <c r="AT601" s="17">
        <f>SUBTOTAL(3,AT600:AT600)</f>
        <v>1</v>
      </c>
      <c r="AU601" s="13">
        <f>SUBTOTAL(3,AU600:AU600)</f>
        <v>1</v>
      </c>
      <c r="AX601" s="114"/>
    </row>
    <row r="602" spans="24:50" x14ac:dyDescent="0.4">
      <c r="X602" s="115"/>
      <c r="Y602" s="115"/>
      <c r="Z602" s="115"/>
      <c r="AA602" s="115"/>
      <c r="AB602" s="115"/>
      <c r="AC602" s="122"/>
      <c r="AD602" s="122"/>
      <c r="AE602" s="122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26">
        <v>45299</v>
      </c>
      <c r="AU602" s="13" t="s">
        <v>164</v>
      </c>
      <c r="AX602" s="114"/>
    </row>
    <row r="603" spans="24:50" x14ac:dyDescent="0.4">
      <c r="X603" s="115"/>
      <c r="Y603" s="115"/>
      <c r="Z603" s="115"/>
      <c r="AA603" s="115"/>
      <c r="AB603" s="115"/>
      <c r="AC603" s="122"/>
      <c r="AD603" s="122"/>
      <c r="AE603" s="122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6">
        <v>45299</v>
      </c>
      <c r="AU603" s="13" t="s">
        <v>162</v>
      </c>
      <c r="AX603" s="114"/>
    </row>
    <row r="604" spans="24:50" x14ac:dyDescent="0.4">
      <c r="X604" s="115"/>
      <c r="Y604" s="115"/>
      <c r="Z604" s="115"/>
      <c r="AA604" s="115"/>
      <c r="AB604" s="115"/>
      <c r="AC604" s="122"/>
      <c r="AD604" s="122"/>
      <c r="AE604" s="122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6">
        <v>45299</v>
      </c>
      <c r="AU604" s="13" t="s">
        <v>162</v>
      </c>
      <c r="AX604" s="114"/>
    </row>
    <row r="605" spans="24:50" x14ac:dyDescent="0.4">
      <c r="X605" s="115"/>
      <c r="Y605" s="115"/>
      <c r="Z605" s="115"/>
      <c r="AA605" s="115"/>
      <c r="AB605" s="115"/>
      <c r="AC605" s="122"/>
      <c r="AD605" s="122"/>
      <c r="AE605" s="122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6">
        <v>45299</v>
      </c>
      <c r="AU605" s="15" t="s">
        <v>162</v>
      </c>
      <c r="AX605" s="114"/>
    </row>
    <row r="606" spans="24:50" x14ac:dyDescent="0.4">
      <c r="X606" s="115"/>
      <c r="Y606" s="115"/>
      <c r="Z606" s="115"/>
      <c r="AA606" s="115"/>
      <c r="AB606" s="115"/>
      <c r="AC606" s="122"/>
      <c r="AD606" s="122"/>
      <c r="AE606" s="122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 t="s">
        <v>173</v>
      </c>
      <c r="AT606" s="17">
        <f>SUBTOTAL(3,AT602:AT605)</f>
        <v>4</v>
      </c>
      <c r="AU606" s="13">
        <f>SUBTOTAL(3,AU602:AU605)</f>
        <v>4</v>
      </c>
      <c r="AX606" s="114"/>
    </row>
    <row r="607" spans="24:50" x14ac:dyDescent="0.4">
      <c r="X607" s="115"/>
      <c r="Y607" s="115"/>
      <c r="Z607" s="115"/>
      <c r="AA607" s="115"/>
      <c r="AB607" s="115"/>
      <c r="AC607" s="122"/>
      <c r="AD607" s="122"/>
      <c r="AE607" s="122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 t="s">
        <v>145</v>
      </c>
      <c r="AT607" s="17">
        <f>SUBTOTAL(3,AT2:AT605)</f>
        <v>136</v>
      </c>
      <c r="AU607" s="13">
        <f>SUBTOTAL(3,AU2:AU605)</f>
        <v>136</v>
      </c>
      <c r="AX607" s="114"/>
    </row>
    <row r="608" spans="24:50" x14ac:dyDescent="0.4">
      <c r="X608" s="115"/>
      <c r="Y608" s="115"/>
      <c r="Z608" s="115"/>
      <c r="AA608" s="115"/>
      <c r="AB608" s="115"/>
      <c r="AC608" s="122"/>
      <c r="AD608" s="122"/>
      <c r="AE608" s="122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 t="s">
        <v>145</v>
      </c>
      <c r="AR608" s="115"/>
      <c r="AS608" s="115"/>
      <c r="AT608" s="26"/>
      <c r="AU608" s="13"/>
      <c r="AX608" s="114"/>
    </row>
    <row r="609" spans="24:50" x14ac:dyDescent="0.4">
      <c r="X609" s="115"/>
      <c r="Y609" s="115"/>
      <c r="Z609" s="115"/>
      <c r="AA609" s="115"/>
      <c r="AB609" s="115"/>
      <c r="AC609" s="122"/>
      <c r="AD609" s="122"/>
      <c r="AE609" s="122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7"/>
      <c r="AU609" s="13"/>
      <c r="AX609" s="114"/>
    </row>
    <row r="610" spans="24:50" x14ac:dyDescent="0.4">
      <c r="X610" s="115"/>
      <c r="Y610" s="115"/>
      <c r="Z610" s="115"/>
      <c r="AA610" s="115"/>
      <c r="AB610" s="115"/>
      <c r="AC610" s="122"/>
      <c r="AD610" s="122"/>
      <c r="AE610" s="122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6"/>
      <c r="AU610" s="13"/>
      <c r="AX610" s="114"/>
    </row>
    <row r="611" spans="24:50" x14ac:dyDescent="0.4">
      <c r="X611" s="115"/>
      <c r="Y611" s="115"/>
      <c r="Z611" s="115"/>
      <c r="AA611" s="115"/>
      <c r="AB611" s="115"/>
      <c r="AC611" s="122"/>
      <c r="AD611" s="122"/>
      <c r="AE611" s="122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7"/>
      <c r="AU611" s="13"/>
      <c r="AX611" s="114"/>
    </row>
    <row r="612" spans="24:50" x14ac:dyDescent="0.4">
      <c r="X612" s="115"/>
      <c r="Y612" s="115"/>
      <c r="Z612" s="115"/>
      <c r="AA612" s="115"/>
      <c r="AB612" s="115"/>
      <c r="AC612" s="122"/>
      <c r="AD612" s="122"/>
      <c r="AE612" s="122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26"/>
      <c r="AU612" s="13"/>
      <c r="AX612" s="114"/>
    </row>
    <row r="613" spans="24:50" x14ac:dyDescent="0.4">
      <c r="X613" s="115"/>
      <c r="Y613" s="115"/>
      <c r="Z613" s="115"/>
      <c r="AA613" s="115"/>
      <c r="AB613" s="115"/>
      <c r="AC613" s="122"/>
      <c r="AD613" s="122"/>
      <c r="AE613" s="122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26"/>
      <c r="AU613" s="13"/>
      <c r="AX613" s="114"/>
    </row>
    <row r="614" spans="24:50" x14ac:dyDescent="0.4">
      <c r="X614" s="115"/>
      <c r="Y614" s="115"/>
      <c r="Z614" s="115"/>
      <c r="AA614" s="115"/>
      <c r="AB614" s="115"/>
      <c r="AC614" s="122"/>
      <c r="AD614" s="122"/>
      <c r="AE614" s="122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6"/>
      <c r="AU614" s="13"/>
      <c r="AX614" s="114"/>
    </row>
    <row r="615" spans="24:50" x14ac:dyDescent="0.4">
      <c r="X615" s="115"/>
      <c r="Y615" s="115"/>
      <c r="Z615" s="115"/>
      <c r="AA615" s="115"/>
      <c r="AB615" s="115"/>
      <c r="AC615" s="122"/>
      <c r="AD615" s="122"/>
      <c r="AE615" s="122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7"/>
      <c r="AU615" s="13"/>
      <c r="AX615" s="114"/>
    </row>
    <row r="616" spans="24:50" x14ac:dyDescent="0.4">
      <c r="X616" s="115"/>
      <c r="Y616" s="115"/>
      <c r="Z616" s="115"/>
      <c r="AA616" s="115"/>
      <c r="AB616" s="115"/>
      <c r="AC616" s="122"/>
      <c r="AD616" s="122"/>
      <c r="AE616" s="122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26"/>
      <c r="AU616" s="13"/>
      <c r="AX616" s="114"/>
    </row>
    <row r="617" spans="24:50" x14ac:dyDescent="0.4">
      <c r="X617" s="115"/>
      <c r="Y617" s="115"/>
      <c r="Z617" s="115"/>
      <c r="AA617" s="115"/>
      <c r="AB617" s="115"/>
      <c r="AC617" s="122"/>
      <c r="AD617" s="122"/>
      <c r="AE617" s="122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7"/>
      <c r="AU617" s="13"/>
      <c r="AX617" s="114"/>
    </row>
    <row r="618" spans="24:50" x14ac:dyDescent="0.4">
      <c r="X618" s="115"/>
      <c r="Y618" s="115"/>
      <c r="Z618" s="115"/>
      <c r="AA618" s="115"/>
      <c r="AB618" s="115"/>
      <c r="AC618" s="122"/>
      <c r="AD618" s="122"/>
      <c r="AE618" s="122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6"/>
      <c r="AU618" s="13"/>
      <c r="AX618" s="114"/>
    </row>
    <row r="619" spans="24:50" x14ac:dyDescent="0.4">
      <c r="X619" s="115"/>
      <c r="Y619" s="115"/>
      <c r="Z619" s="115"/>
      <c r="AA619" s="115"/>
      <c r="AB619" s="115"/>
      <c r="AC619" s="122"/>
      <c r="AD619" s="122"/>
      <c r="AE619" s="122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7"/>
      <c r="AU619" s="13"/>
      <c r="AX619" s="114"/>
    </row>
    <row r="620" spans="24:50" x14ac:dyDescent="0.4">
      <c r="X620" s="115"/>
      <c r="Y620" s="115"/>
      <c r="Z620" s="115"/>
      <c r="AA620" s="115"/>
      <c r="AB620" s="115"/>
      <c r="AC620" s="122"/>
      <c r="AD620" s="122"/>
      <c r="AE620" s="122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7"/>
      <c r="AU620" s="13"/>
      <c r="AX620" s="114"/>
    </row>
    <row r="621" spans="24:50" x14ac:dyDescent="0.4">
      <c r="X621" s="115"/>
      <c r="Y621" s="115"/>
      <c r="Z621" s="115"/>
      <c r="AA621" s="115"/>
      <c r="AB621" s="115"/>
      <c r="AC621" s="122"/>
      <c r="AD621" s="122"/>
      <c r="AE621" s="122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7"/>
      <c r="AU621" s="13"/>
      <c r="AX621" s="114"/>
    </row>
    <row r="622" spans="24:50" x14ac:dyDescent="0.4">
      <c r="X622" s="115"/>
      <c r="Y622" s="115"/>
      <c r="Z622" s="115"/>
      <c r="AA622" s="115"/>
      <c r="AB622" s="115"/>
      <c r="AC622" s="122"/>
      <c r="AD622" s="122"/>
      <c r="AE622" s="122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6"/>
      <c r="AU622" s="13"/>
      <c r="AX622" s="114"/>
    </row>
    <row r="623" spans="24:50" x14ac:dyDescent="0.4">
      <c r="X623" s="115"/>
      <c r="Y623" s="115"/>
      <c r="Z623" s="115"/>
      <c r="AA623" s="115"/>
      <c r="AB623" s="115"/>
      <c r="AC623" s="122"/>
      <c r="AD623" s="122"/>
      <c r="AE623" s="122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7"/>
      <c r="AU623" s="13"/>
      <c r="AX623" s="114"/>
    </row>
    <row r="624" spans="24:50" x14ac:dyDescent="0.4">
      <c r="X624" s="115"/>
      <c r="Y624" s="115"/>
      <c r="Z624" s="115"/>
      <c r="AA624" s="115"/>
      <c r="AB624" s="115"/>
      <c r="AC624" s="122"/>
      <c r="AD624" s="122"/>
      <c r="AE624" s="122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26"/>
      <c r="AU624" s="13"/>
      <c r="AX624" s="114"/>
    </row>
    <row r="625" spans="24:50" x14ac:dyDescent="0.4">
      <c r="X625" s="115"/>
      <c r="Y625" s="115"/>
      <c r="Z625" s="115"/>
      <c r="AA625" s="115"/>
      <c r="AB625" s="115"/>
      <c r="AC625" s="122"/>
      <c r="AD625" s="122"/>
      <c r="AE625" s="122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7"/>
      <c r="AU625" s="13"/>
      <c r="AX625" s="114"/>
    </row>
    <row r="626" spans="24:50" x14ac:dyDescent="0.4">
      <c r="X626" s="115"/>
      <c r="Y626" s="115"/>
      <c r="Z626" s="115"/>
      <c r="AA626" s="115"/>
      <c r="AB626" s="115"/>
      <c r="AC626" s="122"/>
      <c r="AD626" s="122"/>
      <c r="AE626" s="122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26"/>
      <c r="AU626" s="25"/>
      <c r="AX626" s="114"/>
    </row>
    <row r="627" spans="24:50" x14ac:dyDescent="0.4">
      <c r="X627" s="115"/>
      <c r="Y627" s="115"/>
      <c r="Z627" s="115"/>
      <c r="AA627" s="115"/>
      <c r="AB627" s="115"/>
      <c r="AC627" s="122"/>
      <c r="AD627" s="122"/>
      <c r="AE627" s="122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7"/>
      <c r="AU627" s="13"/>
      <c r="AX627" s="114"/>
    </row>
    <row r="628" spans="24:50" x14ac:dyDescent="0.4">
      <c r="X628" s="115"/>
      <c r="Y628" s="115"/>
      <c r="Z628" s="115"/>
      <c r="AA628" s="115"/>
      <c r="AB628" s="115"/>
      <c r="AC628" s="122"/>
      <c r="AD628" s="122"/>
      <c r="AE628" s="122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7"/>
      <c r="AU628" s="13"/>
      <c r="AX628" s="114"/>
    </row>
    <row r="629" spans="24:50" x14ac:dyDescent="0.4">
      <c r="X629" s="115"/>
      <c r="Y629" s="115"/>
      <c r="Z629" s="115"/>
      <c r="AA629" s="115"/>
      <c r="AB629" s="115"/>
      <c r="AC629" s="122"/>
      <c r="AD629" s="122"/>
      <c r="AE629" s="122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26"/>
      <c r="AU629" s="15"/>
      <c r="AX629" s="114"/>
    </row>
    <row r="630" spans="24:50" x14ac:dyDescent="0.4">
      <c r="X630" s="115"/>
      <c r="Y630" s="115"/>
      <c r="Z630" s="115"/>
      <c r="AA630" s="115"/>
      <c r="AB630" s="115"/>
      <c r="AC630" s="122"/>
      <c r="AD630" s="122"/>
      <c r="AE630" s="122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6"/>
      <c r="AU630" s="15"/>
      <c r="AX630" s="114"/>
    </row>
    <row r="631" spans="24:50" x14ac:dyDescent="0.4">
      <c r="X631" s="115"/>
      <c r="Y631" s="115"/>
      <c r="Z631" s="115"/>
      <c r="AA631" s="115"/>
      <c r="AB631" s="115"/>
      <c r="AC631" s="122"/>
      <c r="AD631" s="122"/>
      <c r="AE631" s="122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6"/>
      <c r="AU631" s="15"/>
      <c r="AX631" s="114"/>
    </row>
    <row r="632" spans="24:50" x14ac:dyDescent="0.4">
      <c r="X632" s="115"/>
      <c r="Y632" s="115"/>
      <c r="Z632" s="115"/>
      <c r="AA632" s="115"/>
      <c r="AB632" s="115"/>
      <c r="AC632" s="122"/>
      <c r="AD632" s="122"/>
      <c r="AE632" s="122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6"/>
      <c r="AU632" s="15"/>
      <c r="AX632" s="114"/>
    </row>
    <row r="633" spans="24:50" x14ac:dyDescent="0.4">
      <c r="X633" s="115"/>
      <c r="Y633" s="115"/>
      <c r="Z633" s="115"/>
      <c r="AA633" s="115"/>
      <c r="AB633" s="115"/>
      <c r="AC633" s="122"/>
      <c r="AD633" s="122"/>
      <c r="AE633" s="122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26"/>
      <c r="AU633" s="15"/>
      <c r="AX633" s="114"/>
    </row>
    <row r="634" spans="24:50" x14ac:dyDescent="0.4">
      <c r="X634" s="115"/>
      <c r="Y634" s="115"/>
      <c r="Z634" s="115"/>
      <c r="AA634" s="115"/>
      <c r="AB634" s="115"/>
      <c r="AC634" s="122"/>
      <c r="AD634" s="122"/>
      <c r="AE634" s="122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26"/>
      <c r="AU634" s="15"/>
      <c r="AX634" s="114"/>
    </row>
    <row r="635" spans="24:50" x14ac:dyDescent="0.4">
      <c r="X635" s="115"/>
      <c r="Y635" s="115"/>
      <c r="Z635" s="115"/>
      <c r="AA635" s="115"/>
      <c r="AB635" s="115"/>
      <c r="AC635" s="122"/>
      <c r="AD635" s="122"/>
      <c r="AE635" s="122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26"/>
      <c r="AU635" s="15"/>
      <c r="AX635" s="114"/>
    </row>
    <row r="636" spans="24:50" x14ac:dyDescent="0.4">
      <c r="X636" s="115"/>
      <c r="Y636" s="115"/>
      <c r="Z636" s="115"/>
      <c r="AA636" s="115"/>
      <c r="AB636" s="115"/>
      <c r="AC636" s="122"/>
      <c r="AD636" s="122"/>
      <c r="AE636" s="122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26"/>
      <c r="AU636" s="15"/>
      <c r="AX636" s="114"/>
    </row>
    <row r="637" spans="24:50" x14ac:dyDescent="0.4">
      <c r="X637" s="115"/>
      <c r="Y637" s="115"/>
      <c r="Z637" s="115"/>
      <c r="AA637" s="115"/>
      <c r="AB637" s="115"/>
      <c r="AC637" s="122"/>
      <c r="AD637" s="122"/>
      <c r="AE637" s="122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7"/>
      <c r="AU637" s="15"/>
      <c r="AX637" s="114"/>
    </row>
    <row r="638" spans="24:50" x14ac:dyDescent="0.4">
      <c r="X638" s="115"/>
      <c r="Y638" s="115"/>
      <c r="Z638" s="115"/>
      <c r="AA638" s="115"/>
      <c r="AB638" s="115"/>
      <c r="AC638" s="122"/>
      <c r="AD638" s="122"/>
      <c r="AE638" s="122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26"/>
      <c r="AU638" s="15"/>
      <c r="AX638" s="114"/>
    </row>
    <row r="639" spans="24:50" x14ac:dyDescent="0.4">
      <c r="X639" s="115"/>
      <c r="Y639" s="115"/>
      <c r="Z639" s="115"/>
      <c r="AA639" s="115"/>
      <c r="AB639" s="115"/>
      <c r="AC639" s="122"/>
      <c r="AD639" s="122"/>
      <c r="AE639" s="122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26"/>
      <c r="AU639" s="13"/>
      <c r="AX639" s="114"/>
    </row>
    <row r="640" spans="24:50" x14ac:dyDescent="0.4">
      <c r="X640" s="115"/>
      <c r="Y640" s="115"/>
      <c r="Z640" s="115"/>
      <c r="AA640" s="115"/>
      <c r="AB640" s="115"/>
      <c r="AC640" s="122"/>
      <c r="AD640" s="122"/>
      <c r="AE640" s="122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26"/>
      <c r="AU640" s="13"/>
      <c r="AX640" s="114"/>
    </row>
    <row r="641" spans="24:50" x14ac:dyDescent="0.4">
      <c r="X641" s="115"/>
      <c r="Y641" s="115"/>
      <c r="Z641" s="115"/>
      <c r="AA641" s="115"/>
      <c r="AB641" s="115"/>
      <c r="AC641" s="122"/>
      <c r="AD641" s="122"/>
      <c r="AE641" s="122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26"/>
      <c r="AU641" s="13"/>
      <c r="AX641" s="114"/>
    </row>
    <row r="642" spans="24:50" x14ac:dyDescent="0.4">
      <c r="X642" s="115"/>
      <c r="Y642" s="115"/>
      <c r="Z642" s="115"/>
      <c r="AA642" s="115"/>
      <c r="AB642" s="115"/>
      <c r="AC642" s="122"/>
      <c r="AD642" s="122"/>
      <c r="AE642" s="122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6"/>
      <c r="AU642" s="13"/>
      <c r="AX642" s="114"/>
    </row>
    <row r="643" spans="24:50" x14ac:dyDescent="0.4">
      <c r="X643" s="115"/>
      <c r="Y643" s="115"/>
      <c r="Z643" s="115"/>
      <c r="AA643" s="115"/>
      <c r="AB643" s="115"/>
      <c r="AC643" s="122"/>
      <c r="AD643" s="122"/>
      <c r="AE643" s="122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26"/>
      <c r="AU643" s="13"/>
      <c r="AX643" s="114"/>
    </row>
    <row r="644" spans="24:50" x14ac:dyDescent="0.4">
      <c r="X644" s="115"/>
      <c r="Y644" s="115"/>
      <c r="Z644" s="115"/>
      <c r="AA644" s="115"/>
      <c r="AB644" s="115"/>
      <c r="AC644" s="122"/>
      <c r="AD644" s="122"/>
      <c r="AE644" s="122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26"/>
      <c r="AU644" s="13"/>
      <c r="AX644" s="114"/>
    </row>
    <row r="645" spans="24:50" x14ac:dyDescent="0.4">
      <c r="X645" s="115"/>
      <c r="Y645" s="115"/>
      <c r="Z645" s="115"/>
      <c r="AA645" s="115"/>
      <c r="AB645" s="115"/>
      <c r="AC645" s="122"/>
      <c r="AD645" s="122"/>
      <c r="AE645" s="122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26"/>
      <c r="AU645" s="13"/>
      <c r="AX645" s="114"/>
    </row>
    <row r="646" spans="24:50" x14ac:dyDescent="0.4">
      <c r="X646" s="115"/>
      <c r="Y646" s="115"/>
      <c r="Z646" s="115"/>
      <c r="AA646" s="115"/>
      <c r="AB646" s="115"/>
      <c r="AC646" s="122"/>
      <c r="AD646" s="122"/>
      <c r="AE646" s="122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26"/>
      <c r="AU646" s="13"/>
      <c r="AX646" s="114"/>
    </row>
    <row r="647" spans="24:50" x14ac:dyDescent="0.4">
      <c r="X647" s="115"/>
      <c r="Y647" s="115"/>
      <c r="Z647" s="115"/>
      <c r="AA647" s="115"/>
      <c r="AB647" s="115"/>
      <c r="AC647" s="122"/>
      <c r="AD647" s="122"/>
      <c r="AE647" s="122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26"/>
      <c r="AU647" s="13"/>
      <c r="AX647" s="114"/>
    </row>
    <row r="648" spans="24:50" x14ac:dyDescent="0.4">
      <c r="X648" s="115"/>
      <c r="Y648" s="115"/>
      <c r="Z648" s="115"/>
      <c r="AA648" s="115"/>
      <c r="AB648" s="115"/>
      <c r="AC648" s="122"/>
      <c r="AD648" s="122"/>
      <c r="AE648" s="122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26"/>
      <c r="AU648" s="13"/>
      <c r="AX648" s="114"/>
    </row>
    <row r="649" spans="24:50" x14ac:dyDescent="0.4">
      <c r="X649" s="115"/>
      <c r="Y649" s="115"/>
      <c r="Z649" s="115"/>
      <c r="AA649" s="115"/>
      <c r="AB649" s="115"/>
      <c r="AC649" s="122"/>
      <c r="AD649" s="122"/>
      <c r="AE649" s="122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26"/>
      <c r="AU649" s="13"/>
      <c r="AX649" s="114"/>
    </row>
    <row r="650" spans="24:50" x14ac:dyDescent="0.4">
      <c r="X650" s="115"/>
      <c r="Y650" s="115"/>
      <c r="Z650" s="115"/>
      <c r="AA650" s="115"/>
      <c r="AB650" s="115"/>
      <c r="AC650" s="122"/>
      <c r="AD650" s="122"/>
      <c r="AE650" s="122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7"/>
      <c r="AU650" s="13"/>
      <c r="AX650" s="114"/>
    </row>
    <row r="651" spans="24:50" x14ac:dyDescent="0.4">
      <c r="X651" s="115"/>
      <c r="Y651" s="115"/>
      <c r="Z651" s="115"/>
      <c r="AA651" s="115"/>
      <c r="AB651" s="115"/>
      <c r="AC651" s="122"/>
      <c r="AD651" s="122"/>
      <c r="AE651" s="122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26"/>
      <c r="AU651" s="13"/>
      <c r="AX651" s="114"/>
    </row>
    <row r="652" spans="24:50" x14ac:dyDescent="0.4">
      <c r="X652" s="115"/>
      <c r="Y652" s="115"/>
      <c r="Z652" s="115"/>
      <c r="AA652" s="115"/>
      <c r="AB652" s="115"/>
      <c r="AC652" s="122"/>
      <c r="AD652" s="122"/>
      <c r="AE652" s="122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26"/>
      <c r="AU652" s="13"/>
      <c r="AX652" s="114"/>
    </row>
    <row r="653" spans="24:50" x14ac:dyDescent="0.4">
      <c r="X653" s="115"/>
      <c r="Y653" s="115"/>
      <c r="Z653" s="115"/>
      <c r="AA653" s="115"/>
      <c r="AB653" s="115"/>
      <c r="AC653" s="122"/>
      <c r="AD653" s="122"/>
      <c r="AE653" s="122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26"/>
      <c r="AU653" s="13"/>
      <c r="AX653" s="114"/>
    </row>
    <row r="654" spans="24:50" x14ac:dyDescent="0.4">
      <c r="X654" s="115"/>
      <c r="Y654" s="115"/>
      <c r="Z654" s="115"/>
      <c r="AA654" s="115"/>
      <c r="AB654" s="115"/>
      <c r="AC654" s="122"/>
      <c r="AD654" s="122"/>
      <c r="AE654" s="122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7"/>
      <c r="AU654" s="13"/>
      <c r="AX654" s="114"/>
    </row>
    <row r="655" spans="24:50" x14ac:dyDescent="0.4">
      <c r="X655" s="115"/>
      <c r="Y655" s="115"/>
      <c r="Z655" s="115"/>
      <c r="AA655" s="115"/>
      <c r="AB655" s="115"/>
      <c r="AC655" s="122"/>
      <c r="AD655" s="122"/>
      <c r="AE655" s="122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26"/>
      <c r="AU655" s="13"/>
      <c r="AX655" s="114"/>
    </row>
    <row r="656" spans="24:50" x14ac:dyDescent="0.4">
      <c r="X656" s="115"/>
      <c r="Y656" s="115"/>
      <c r="Z656" s="115"/>
      <c r="AA656" s="115"/>
      <c r="AB656" s="115"/>
      <c r="AC656" s="122"/>
      <c r="AD656" s="122"/>
      <c r="AE656" s="122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7"/>
      <c r="AU656" s="13"/>
      <c r="AX656" s="114"/>
    </row>
    <row r="657" spans="23:50" x14ac:dyDescent="0.4">
      <c r="X657" s="115"/>
      <c r="Y657" s="115"/>
      <c r="Z657" s="115"/>
      <c r="AA657" s="115"/>
      <c r="AB657" s="115"/>
      <c r="AC657" s="122"/>
      <c r="AD657" s="122"/>
      <c r="AE657" s="122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26"/>
      <c r="AU657" s="13"/>
      <c r="AX657" s="114"/>
    </row>
    <row r="658" spans="23:50" x14ac:dyDescent="0.4">
      <c r="X658" s="115"/>
      <c r="Y658" s="115"/>
      <c r="Z658" s="115"/>
      <c r="AA658" s="115"/>
      <c r="AB658" s="115"/>
      <c r="AC658" s="122"/>
      <c r="AD658" s="122"/>
      <c r="AE658" s="122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26"/>
      <c r="AU658" s="15"/>
      <c r="AX658" s="114"/>
    </row>
    <row r="659" spans="23:50" x14ac:dyDescent="0.4">
      <c r="X659" s="115"/>
      <c r="Y659" s="115"/>
      <c r="Z659" s="115"/>
      <c r="AA659" s="115"/>
      <c r="AB659" s="115"/>
      <c r="AC659" s="122"/>
      <c r="AD659" s="122"/>
      <c r="AE659" s="122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7"/>
      <c r="AU659" s="15"/>
      <c r="AX659" s="114"/>
    </row>
    <row r="660" spans="23:50" x14ac:dyDescent="0.4">
      <c r="X660" s="115"/>
      <c r="Y660" s="115"/>
      <c r="Z660" s="115"/>
      <c r="AA660" s="115"/>
      <c r="AB660" s="115"/>
      <c r="AC660" s="122"/>
      <c r="AD660" s="122"/>
      <c r="AE660" s="122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7"/>
      <c r="AU660" s="15"/>
      <c r="AX660" s="114"/>
    </row>
    <row r="661" spans="23:50" x14ac:dyDescent="0.4">
      <c r="W661" s="115"/>
      <c r="X661" s="115"/>
      <c r="Y661" s="115"/>
      <c r="Z661" s="115"/>
      <c r="AA661" s="115"/>
      <c r="AB661" s="115"/>
      <c r="AC661" s="122"/>
      <c r="AD661" s="122"/>
      <c r="AE661" s="122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26"/>
      <c r="AU661" s="15"/>
      <c r="AX661" s="114"/>
    </row>
    <row r="662" spans="23:50" x14ac:dyDescent="0.4">
      <c r="W662" s="115"/>
      <c r="X662" s="115"/>
      <c r="Y662" s="115"/>
      <c r="Z662" s="115"/>
      <c r="AA662" s="115"/>
      <c r="AB662" s="115"/>
      <c r="AC662" s="122"/>
      <c r="AD662" s="122"/>
      <c r="AE662" s="122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7"/>
      <c r="AU662" s="15"/>
      <c r="AX662" s="114"/>
    </row>
    <row r="663" spans="23:50" x14ac:dyDescent="0.4">
      <c r="W663" s="115"/>
      <c r="X663" s="115"/>
      <c r="Y663" s="115"/>
      <c r="Z663" s="115"/>
      <c r="AA663" s="115"/>
      <c r="AB663" s="115"/>
      <c r="AC663" s="122"/>
      <c r="AD663" s="122"/>
      <c r="AE663" s="122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26"/>
      <c r="AU663" s="15"/>
      <c r="AX663" s="114"/>
    </row>
    <row r="664" spans="23:50" x14ac:dyDescent="0.4">
      <c r="W664" s="115"/>
      <c r="X664" s="115"/>
      <c r="Y664" s="115"/>
      <c r="Z664" s="115"/>
      <c r="AA664" s="115"/>
      <c r="AB664" s="115"/>
      <c r="AC664" s="122"/>
      <c r="AD664" s="122"/>
      <c r="AE664" s="122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26"/>
      <c r="AU664" s="15"/>
      <c r="AX664" s="114"/>
    </row>
    <row r="665" spans="23:50" x14ac:dyDescent="0.4">
      <c r="W665" s="115"/>
      <c r="X665" s="115"/>
      <c r="Y665" s="115"/>
      <c r="Z665" s="115"/>
      <c r="AA665" s="115"/>
      <c r="AB665" s="115"/>
      <c r="AC665" s="122"/>
      <c r="AD665" s="122"/>
      <c r="AE665" s="122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7"/>
      <c r="AU665" s="15"/>
      <c r="AX665" s="114"/>
    </row>
    <row r="666" spans="23:50" x14ac:dyDescent="0.4">
      <c r="W666" s="115"/>
      <c r="X666" s="115"/>
      <c r="Y666" s="115"/>
      <c r="Z666" s="115"/>
      <c r="AA666" s="115"/>
      <c r="AB666" s="115"/>
      <c r="AC666" s="122"/>
      <c r="AD666" s="122"/>
      <c r="AE666" s="122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26"/>
      <c r="AU666" s="15"/>
      <c r="AX666" s="114"/>
    </row>
    <row r="667" spans="23:50" x14ac:dyDescent="0.4">
      <c r="W667" s="115"/>
      <c r="X667" s="115"/>
      <c r="Y667" s="115"/>
      <c r="Z667" s="115"/>
      <c r="AA667" s="115"/>
      <c r="AB667" s="115"/>
      <c r="AC667" s="122"/>
      <c r="AD667" s="122"/>
      <c r="AE667" s="122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7"/>
      <c r="AU667" s="15"/>
      <c r="AX667" s="114"/>
    </row>
    <row r="668" spans="23:50" x14ac:dyDescent="0.4">
      <c r="W668" s="115"/>
      <c r="X668" s="115"/>
      <c r="Y668" s="115"/>
      <c r="Z668" s="115"/>
      <c r="AA668" s="115"/>
      <c r="AB668" s="115"/>
      <c r="AC668" s="122"/>
      <c r="AD668" s="122"/>
      <c r="AE668" s="122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7"/>
      <c r="AU668" s="15"/>
      <c r="AX668" s="114"/>
    </row>
    <row r="669" spans="23:50" x14ac:dyDescent="0.4">
      <c r="W669" s="115"/>
      <c r="X669" s="115"/>
      <c r="Y669" s="115"/>
      <c r="Z669" s="115"/>
      <c r="AA669" s="115"/>
      <c r="AB669" s="115"/>
      <c r="AC669" s="122"/>
      <c r="AD669" s="122"/>
      <c r="AE669" s="122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26"/>
      <c r="AU669" s="15"/>
      <c r="AX669" s="114"/>
    </row>
    <row r="670" spans="23:50" x14ac:dyDescent="0.4">
      <c r="W670" s="115"/>
      <c r="X670" s="115"/>
      <c r="Y670" s="115"/>
      <c r="Z670" s="115"/>
      <c r="AA670" s="115"/>
      <c r="AB670" s="115"/>
      <c r="AC670" s="122"/>
      <c r="AD670" s="122"/>
      <c r="AE670" s="122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6"/>
      <c r="AU670" s="15"/>
      <c r="AX670" s="114"/>
    </row>
    <row r="671" spans="23:50" x14ac:dyDescent="0.4">
      <c r="W671" s="115"/>
      <c r="X671" s="115"/>
      <c r="Y671" s="115"/>
      <c r="Z671" s="115"/>
      <c r="AA671" s="115"/>
      <c r="AB671" s="115"/>
      <c r="AC671" s="122"/>
      <c r="AD671" s="122"/>
      <c r="AE671" s="122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26"/>
      <c r="AU671" s="15"/>
      <c r="AX671" s="114"/>
    </row>
    <row r="672" spans="23:50" x14ac:dyDescent="0.4">
      <c r="W672" s="115"/>
      <c r="X672" s="115"/>
      <c r="Y672" s="115"/>
      <c r="Z672" s="115"/>
      <c r="AA672" s="115"/>
      <c r="AB672" s="115"/>
      <c r="AC672" s="122"/>
      <c r="AD672" s="122"/>
      <c r="AE672" s="122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26"/>
      <c r="AU672" s="15"/>
      <c r="AX672" s="114"/>
    </row>
    <row r="673" spans="23:50" x14ac:dyDescent="0.4">
      <c r="W673" s="115"/>
      <c r="X673" s="115"/>
      <c r="Y673" s="115"/>
      <c r="Z673" s="115"/>
      <c r="AA673" s="115"/>
      <c r="AB673" s="115"/>
      <c r="AC673" s="122"/>
      <c r="AD673" s="122"/>
      <c r="AE673" s="122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26"/>
      <c r="AU673" s="15"/>
      <c r="AX673" s="114"/>
    </row>
    <row r="674" spans="23:50" x14ac:dyDescent="0.4">
      <c r="W674" s="115"/>
      <c r="X674" s="115"/>
      <c r="Y674" s="115"/>
      <c r="Z674" s="115"/>
      <c r="AA674" s="115"/>
      <c r="AB674" s="115"/>
      <c r="AC674" s="122"/>
      <c r="AD674" s="122"/>
      <c r="AE674" s="122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26"/>
      <c r="AU674" s="15"/>
      <c r="AX674" s="114"/>
    </row>
    <row r="675" spans="23:50" x14ac:dyDescent="0.4">
      <c r="W675" s="115"/>
      <c r="X675" s="115"/>
      <c r="Y675" s="115"/>
      <c r="Z675" s="115"/>
      <c r="AA675" s="115"/>
      <c r="AB675" s="115"/>
      <c r="AC675" s="122"/>
      <c r="AD675" s="122"/>
      <c r="AE675" s="122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26"/>
      <c r="AU675" s="15"/>
      <c r="AX675" s="114"/>
    </row>
    <row r="676" spans="23:50" x14ac:dyDescent="0.4">
      <c r="W676" s="115"/>
      <c r="X676" s="115"/>
      <c r="Y676" s="115"/>
      <c r="Z676" s="115"/>
      <c r="AA676" s="115"/>
      <c r="AB676" s="115"/>
      <c r="AC676" s="122"/>
      <c r="AD676" s="122"/>
      <c r="AE676" s="122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7"/>
      <c r="AU676" s="15"/>
      <c r="AX676" s="114"/>
    </row>
    <row r="677" spans="23:50" x14ac:dyDescent="0.4">
      <c r="W677" s="115"/>
      <c r="X677" s="115"/>
      <c r="Y677" s="115"/>
      <c r="Z677" s="115"/>
      <c r="AA677" s="115"/>
      <c r="AB677" s="115"/>
      <c r="AC677" s="122"/>
      <c r="AD677" s="122"/>
      <c r="AE677" s="122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26"/>
      <c r="AU677" s="15"/>
      <c r="AX677" s="114"/>
    </row>
    <row r="678" spans="23:50" x14ac:dyDescent="0.4">
      <c r="W678" s="115"/>
      <c r="X678" s="115"/>
      <c r="Y678" s="115"/>
      <c r="Z678" s="115"/>
      <c r="AA678" s="115"/>
      <c r="AB678" s="115"/>
      <c r="AC678" s="122"/>
      <c r="AD678" s="122"/>
      <c r="AE678" s="122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6"/>
      <c r="AU678" s="15"/>
      <c r="AX678" s="114"/>
    </row>
    <row r="679" spans="23:50" x14ac:dyDescent="0.4">
      <c r="W679" s="115"/>
      <c r="X679" s="115"/>
      <c r="Y679" s="115"/>
      <c r="Z679" s="115"/>
      <c r="AA679" s="115"/>
      <c r="AB679" s="115"/>
      <c r="AC679" s="122"/>
      <c r="AD679" s="122"/>
      <c r="AE679" s="122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26"/>
      <c r="AU679" s="15"/>
      <c r="AX679" s="114"/>
    </row>
    <row r="680" spans="23:50" x14ac:dyDescent="0.4">
      <c r="W680" s="115"/>
      <c r="X680" s="115"/>
      <c r="Y680" s="115"/>
      <c r="Z680" s="115"/>
      <c r="AA680" s="115"/>
      <c r="AB680" s="115"/>
      <c r="AC680" s="122"/>
      <c r="AD680" s="122"/>
      <c r="AE680" s="122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26"/>
      <c r="AU680" s="13"/>
      <c r="AX680" s="114"/>
    </row>
    <row r="681" spans="23:50" x14ac:dyDescent="0.4">
      <c r="W681" s="115"/>
      <c r="X681" s="115"/>
      <c r="Y681" s="115"/>
      <c r="Z681" s="115"/>
      <c r="AA681" s="115"/>
      <c r="AB681" s="115"/>
      <c r="AC681" s="122"/>
      <c r="AD681" s="122"/>
      <c r="AE681" s="122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7"/>
      <c r="AU681" s="13"/>
      <c r="AX681" s="114"/>
    </row>
    <row r="682" spans="23:50" x14ac:dyDescent="0.4">
      <c r="W682" s="115"/>
      <c r="X682" s="115"/>
      <c r="Y682" s="115"/>
      <c r="Z682" s="115"/>
      <c r="AA682" s="115"/>
      <c r="AB682" s="115"/>
      <c r="AC682" s="122"/>
      <c r="AD682" s="122"/>
      <c r="AE682" s="122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26"/>
      <c r="AU682" s="13"/>
      <c r="AX682" s="114"/>
    </row>
    <row r="683" spans="23:50" x14ac:dyDescent="0.4">
      <c r="W683" s="115"/>
      <c r="X683" s="115"/>
      <c r="Y683" s="115"/>
      <c r="Z683" s="115"/>
      <c r="AA683" s="115"/>
      <c r="AB683" s="115"/>
      <c r="AC683" s="122"/>
      <c r="AD683" s="122"/>
      <c r="AE683" s="122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6"/>
      <c r="AU683" s="13"/>
      <c r="AX683" s="114"/>
    </row>
    <row r="684" spans="23:50" x14ac:dyDescent="0.4">
      <c r="W684" s="115"/>
      <c r="X684" s="115"/>
      <c r="Y684" s="115"/>
      <c r="Z684" s="115"/>
      <c r="AA684" s="115"/>
      <c r="AB684" s="115"/>
      <c r="AC684" s="122"/>
      <c r="AD684" s="122"/>
      <c r="AE684" s="122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6"/>
      <c r="AU684" s="13"/>
      <c r="AX684" s="114"/>
    </row>
    <row r="685" spans="23:50" x14ac:dyDescent="0.4">
      <c r="W685" s="115"/>
      <c r="X685" s="115"/>
      <c r="Y685" s="115"/>
      <c r="Z685" s="115"/>
      <c r="AA685" s="115"/>
      <c r="AB685" s="115"/>
      <c r="AC685" s="122"/>
      <c r="AD685" s="122"/>
      <c r="AE685" s="122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26"/>
      <c r="AU685" s="13"/>
      <c r="AX685" s="114"/>
    </row>
    <row r="686" spans="23:50" x14ac:dyDescent="0.4">
      <c r="W686" s="115"/>
      <c r="X686" s="115"/>
      <c r="Y686" s="115"/>
      <c r="Z686" s="115"/>
      <c r="AA686" s="115"/>
      <c r="AB686" s="115"/>
      <c r="AC686" s="122"/>
      <c r="AD686" s="122"/>
      <c r="AE686" s="122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26"/>
      <c r="AU686" s="13"/>
      <c r="AX686" s="114"/>
    </row>
    <row r="687" spans="23:50" x14ac:dyDescent="0.4">
      <c r="W687" s="115"/>
      <c r="X687" s="115"/>
      <c r="Y687" s="115"/>
      <c r="Z687" s="115"/>
      <c r="AA687" s="115"/>
      <c r="AB687" s="115"/>
      <c r="AC687" s="122"/>
      <c r="AD687" s="122"/>
      <c r="AE687" s="122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26"/>
      <c r="AU687" s="13"/>
      <c r="AX687" s="114"/>
    </row>
    <row r="688" spans="23:50" x14ac:dyDescent="0.4">
      <c r="W688" s="115"/>
      <c r="X688" s="115"/>
      <c r="Y688" s="115"/>
      <c r="Z688" s="115"/>
      <c r="AA688" s="115"/>
      <c r="AB688" s="115"/>
      <c r="AC688" s="122"/>
      <c r="AD688" s="122"/>
      <c r="AE688" s="122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7"/>
      <c r="AU688" s="13"/>
      <c r="AX688" s="114"/>
    </row>
    <row r="689" spans="5:50" x14ac:dyDescent="0.4">
      <c r="W689" s="115"/>
      <c r="X689" s="115"/>
      <c r="Y689" s="115"/>
      <c r="Z689" s="115"/>
      <c r="AA689" s="115"/>
      <c r="AB689" s="115"/>
      <c r="AC689" s="122"/>
      <c r="AD689" s="122"/>
      <c r="AE689" s="122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26"/>
      <c r="AU689" s="13"/>
      <c r="AX689" s="114"/>
    </row>
    <row r="690" spans="5:50" x14ac:dyDescent="0.4">
      <c r="W690" s="115"/>
      <c r="X690" s="115"/>
      <c r="Y690" s="115"/>
      <c r="Z690" s="115"/>
      <c r="AA690" s="115"/>
      <c r="AB690" s="115"/>
      <c r="AC690" s="122"/>
      <c r="AD690" s="122"/>
      <c r="AE690" s="122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6"/>
      <c r="AU690" s="13"/>
      <c r="AX690" s="114"/>
    </row>
    <row r="691" spans="5:50" x14ac:dyDescent="0.4"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22"/>
      <c r="AD691" s="122"/>
      <c r="AE691" s="122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6"/>
      <c r="AU691" s="13"/>
      <c r="AX691" s="114"/>
    </row>
    <row r="692" spans="5:50" x14ac:dyDescent="0.4"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22"/>
      <c r="AD692" s="122"/>
      <c r="AE692" s="122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26"/>
      <c r="AU692" s="13"/>
      <c r="AX692" s="114"/>
    </row>
    <row r="693" spans="5:50" x14ac:dyDescent="0.4"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22"/>
      <c r="AD693" s="122"/>
      <c r="AE693" s="122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26"/>
      <c r="AU693" s="13"/>
      <c r="AX693" s="114"/>
    </row>
    <row r="694" spans="5:50" x14ac:dyDescent="0.4"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22"/>
      <c r="AD694" s="122"/>
      <c r="AE694" s="122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26"/>
      <c r="AU694" s="13"/>
      <c r="AX694" s="114"/>
    </row>
    <row r="695" spans="5:50" x14ac:dyDescent="0.4"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22"/>
      <c r="AD695" s="122"/>
      <c r="AE695" s="122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26"/>
      <c r="AU695" s="13"/>
      <c r="AX695" s="114"/>
    </row>
    <row r="696" spans="5:50" x14ac:dyDescent="0.4"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22"/>
      <c r="AD696" s="122"/>
      <c r="AE696" s="122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26"/>
      <c r="AU696" s="13"/>
      <c r="AX696" s="114"/>
    </row>
    <row r="697" spans="5:50" x14ac:dyDescent="0.4"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22"/>
      <c r="AD697" s="122"/>
      <c r="AE697" s="122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26"/>
      <c r="AU697" s="13"/>
      <c r="AX697" s="114"/>
    </row>
    <row r="698" spans="5:50" x14ac:dyDescent="0.4"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22"/>
      <c r="AD698" s="122"/>
      <c r="AE698" s="122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6"/>
      <c r="AU698" s="13"/>
      <c r="AX698" s="114"/>
    </row>
    <row r="699" spans="5:50" x14ac:dyDescent="0.4"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22"/>
      <c r="AD699" s="122"/>
      <c r="AE699" s="122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26"/>
      <c r="AU699" s="13"/>
      <c r="AX699" s="114"/>
    </row>
    <row r="700" spans="5:50" x14ac:dyDescent="0.4"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22"/>
      <c r="AD700" s="122"/>
      <c r="AE700" s="122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26"/>
      <c r="AU700" s="13"/>
      <c r="AX700" s="114"/>
    </row>
    <row r="701" spans="5:50" x14ac:dyDescent="0.4"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22"/>
      <c r="AD701" s="122"/>
      <c r="AE701" s="122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26"/>
      <c r="AU701" s="13"/>
      <c r="AX701" s="114"/>
    </row>
    <row r="702" spans="5:50" x14ac:dyDescent="0.4"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22"/>
      <c r="AD702" s="122"/>
      <c r="AE702" s="122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26"/>
      <c r="AU702" s="13"/>
      <c r="AX702" s="114"/>
    </row>
    <row r="703" spans="5:50" x14ac:dyDescent="0.4"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22"/>
      <c r="AD703" s="122"/>
      <c r="AE703" s="122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26"/>
      <c r="AU703" s="13"/>
      <c r="AX703" s="114"/>
    </row>
    <row r="704" spans="5:50" x14ac:dyDescent="0.4"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22"/>
      <c r="AD704" s="122"/>
      <c r="AE704" s="122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26"/>
      <c r="AU704" s="13"/>
      <c r="AX704" s="114"/>
    </row>
    <row r="705" spans="3:50" x14ac:dyDescent="0.4"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22"/>
      <c r="AD705" s="122"/>
      <c r="AE705" s="122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26"/>
      <c r="AU705" s="13"/>
      <c r="AX705" s="114"/>
    </row>
    <row r="706" spans="3:50" x14ac:dyDescent="0.4"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22"/>
      <c r="AD706" s="122"/>
      <c r="AE706" s="122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26"/>
      <c r="AU706" s="13"/>
      <c r="AX706" s="114"/>
    </row>
    <row r="707" spans="3:50" x14ac:dyDescent="0.4"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22"/>
      <c r="AD707" s="122"/>
      <c r="AE707" s="122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7"/>
      <c r="AU707" s="13"/>
      <c r="AX707" s="114"/>
    </row>
    <row r="708" spans="3:50" x14ac:dyDescent="0.4"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22"/>
      <c r="AD708" s="122"/>
      <c r="AE708" s="122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26"/>
      <c r="AU708" s="13"/>
      <c r="AX708" s="114"/>
    </row>
    <row r="709" spans="3:50" x14ac:dyDescent="0.4"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22"/>
      <c r="AD709" s="122"/>
      <c r="AE709" s="122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6"/>
      <c r="AU709" s="13"/>
      <c r="AX709" s="114"/>
    </row>
    <row r="710" spans="3:50" x14ac:dyDescent="0.4"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22"/>
      <c r="AD710" s="122"/>
      <c r="AE710" s="122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26"/>
      <c r="AU710" s="13"/>
      <c r="AX710" s="114"/>
    </row>
    <row r="711" spans="3:50" x14ac:dyDescent="0.4"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22"/>
      <c r="AD711" s="122"/>
      <c r="AE711" s="122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26"/>
      <c r="AU711" s="15"/>
      <c r="AX711" s="114"/>
    </row>
    <row r="712" spans="3:50" x14ac:dyDescent="0.4"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22"/>
      <c r="AD712" s="122"/>
      <c r="AE712" s="122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26"/>
      <c r="AU712" s="15"/>
      <c r="AX712" s="114"/>
    </row>
    <row r="713" spans="3:50" x14ac:dyDescent="0.4"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22"/>
      <c r="AD713" s="122"/>
      <c r="AE713" s="122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26"/>
      <c r="AU713" s="15"/>
      <c r="AX713" s="114"/>
    </row>
    <row r="714" spans="3:50" x14ac:dyDescent="0.4"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22"/>
      <c r="AD714" s="122"/>
      <c r="AE714" s="122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26"/>
      <c r="AU714" s="13"/>
      <c r="AX714" s="114"/>
    </row>
    <row r="715" spans="3:50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22"/>
      <c r="AD715" s="122"/>
      <c r="AE715" s="122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26"/>
      <c r="AU715" s="13"/>
      <c r="AX715" s="114"/>
    </row>
    <row r="716" spans="3:50" x14ac:dyDescent="0.4"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22"/>
      <c r="AD716" s="122"/>
      <c r="AE716" s="122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26"/>
      <c r="AU716" s="13"/>
      <c r="AX716" s="114"/>
    </row>
    <row r="717" spans="3:50" x14ac:dyDescent="0.4"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22"/>
      <c r="AD717" s="122"/>
      <c r="AE717" s="122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7"/>
      <c r="AU717" s="13"/>
      <c r="AX717" s="114"/>
    </row>
    <row r="718" spans="3:50" x14ac:dyDescent="0.4"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22"/>
      <c r="AD718" s="122"/>
      <c r="AE718" s="122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26"/>
      <c r="AU718" s="13"/>
      <c r="AX718" s="114"/>
    </row>
    <row r="719" spans="3:50" x14ac:dyDescent="0.4"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22"/>
      <c r="AD719" s="122"/>
      <c r="AE719" s="122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26"/>
      <c r="AU719" s="25"/>
      <c r="AX719" s="114"/>
    </row>
    <row r="720" spans="3:50" x14ac:dyDescent="0.4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22"/>
      <c r="AD720" s="122"/>
      <c r="AE720" s="122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26"/>
      <c r="AU720" s="13"/>
      <c r="AX720" s="114"/>
    </row>
    <row r="721" spans="1:50" x14ac:dyDescent="0.4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22"/>
      <c r="AD721" s="122"/>
      <c r="AE721" s="122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6"/>
      <c r="AU721" s="13"/>
      <c r="AX721" s="114"/>
    </row>
    <row r="722" spans="1:50" x14ac:dyDescent="0.4"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22"/>
      <c r="AD722" s="122"/>
      <c r="AE722" s="122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26"/>
      <c r="AU722" s="13"/>
      <c r="AX722" s="114"/>
    </row>
    <row r="723" spans="1:50" x14ac:dyDescent="0.4"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22"/>
      <c r="AD723" s="122"/>
      <c r="AE723" s="122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26"/>
      <c r="AU723" s="13"/>
      <c r="AX723" s="114"/>
    </row>
    <row r="724" spans="1:50" x14ac:dyDescent="0.4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22"/>
      <c r="AD724" s="122"/>
      <c r="AE724" s="122"/>
      <c r="AF724" s="115"/>
      <c r="AG724" s="115"/>
      <c r="AH724" s="115"/>
      <c r="AI724" s="115"/>
      <c r="AT724" s="26"/>
      <c r="AU724" s="13"/>
      <c r="AX724" s="114"/>
    </row>
    <row r="725" spans="1:50" x14ac:dyDescent="0.4"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22"/>
      <c r="AD725" s="122"/>
      <c r="AE725" s="122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26"/>
      <c r="AU725" s="13"/>
      <c r="AX725" s="114"/>
    </row>
    <row r="726" spans="1:50" x14ac:dyDescent="0.4"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22"/>
      <c r="AD726" s="122"/>
      <c r="AE726" s="122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7"/>
      <c r="AU726" s="13"/>
      <c r="AX726" s="114"/>
    </row>
    <row r="727" spans="1:50" x14ac:dyDescent="0.4"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22"/>
      <c r="AD727" s="122"/>
      <c r="AE727" s="122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26"/>
      <c r="AU727" s="13"/>
      <c r="AX727" s="114"/>
    </row>
    <row r="728" spans="1:50" x14ac:dyDescent="0.4"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22"/>
      <c r="AD728" s="122"/>
      <c r="AE728" s="122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26"/>
      <c r="AU728" s="15"/>
      <c r="AX728" s="114"/>
    </row>
    <row r="729" spans="1:50" x14ac:dyDescent="0.4"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22"/>
      <c r="AD729" s="122"/>
      <c r="AE729" s="122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17"/>
      <c r="AU729" s="15"/>
      <c r="AX729" s="114"/>
    </row>
    <row r="730" spans="1:50" x14ac:dyDescent="0.4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22"/>
      <c r="AD730" s="122"/>
      <c r="AE730" s="122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26"/>
      <c r="AU730" s="15"/>
      <c r="AX730" s="114"/>
    </row>
    <row r="731" spans="1:50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22"/>
      <c r="AD731" s="122"/>
      <c r="AE731" s="122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6"/>
      <c r="AU731" s="15"/>
      <c r="AX731" s="114"/>
    </row>
    <row r="732" spans="1:50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22"/>
      <c r="AD732" s="122"/>
      <c r="AE732" s="122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17"/>
      <c r="AU732" s="13"/>
      <c r="AX732" s="114"/>
    </row>
    <row r="733" spans="1:50" x14ac:dyDescent="0.4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22"/>
      <c r="AD733" s="122"/>
      <c r="AE733" s="122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17"/>
      <c r="AU733" s="13"/>
      <c r="AX733" s="114"/>
    </row>
    <row r="734" spans="1:50" x14ac:dyDescent="0.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22"/>
      <c r="AD734" s="122"/>
      <c r="AE734" s="122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26"/>
      <c r="AU734" s="13"/>
      <c r="AX734" s="114"/>
    </row>
    <row r="735" spans="1:50" x14ac:dyDescent="0.4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22"/>
      <c r="AD735" s="122"/>
      <c r="AE735" s="122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26"/>
      <c r="AU735" s="13"/>
      <c r="AX735" s="114"/>
    </row>
    <row r="736" spans="1:50" x14ac:dyDescent="0.4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22"/>
      <c r="AD736" s="122"/>
      <c r="AE736" s="122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17"/>
      <c r="AU736" s="13"/>
      <c r="AX736" s="114"/>
    </row>
    <row r="737" spans="1:50" x14ac:dyDescent="0.4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22"/>
      <c r="AD737" s="122"/>
      <c r="AE737" s="122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26"/>
      <c r="AU737" s="15"/>
      <c r="AX737" s="114"/>
    </row>
    <row r="738" spans="1:50" x14ac:dyDescent="0.4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22"/>
      <c r="AD738" s="122"/>
      <c r="AE738" s="122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26"/>
      <c r="AU738" s="15"/>
      <c r="AX738" s="114"/>
    </row>
    <row r="739" spans="1:50" x14ac:dyDescent="0.4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22"/>
      <c r="AD739" s="122"/>
      <c r="AE739" s="122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115"/>
      <c r="AT739" s="26"/>
      <c r="AU739" s="15"/>
      <c r="AX739" s="114"/>
    </row>
    <row r="740" spans="1:50" x14ac:dyDescent="0.4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22"/>
      <c r="AD740" s="122"/>
      <c r="AE740" s="122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115"/>
      <c r="AT740" s="26"/>
      <c r="AU740" s="13"/>
      <c r="AX740" s="114"/>
    </row>
    <row r="741" spans="1:50" x14ac:dyDescent="0.4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22"/>
      <c r="AD741" s="122"/>
      <c r="AE741" s="122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26"/>
      <c r="AU741" s="25"/>
      <c r="AX741" s="114"/>
    </row>
    <row r="742" spans="1:50" x14ac:dyDescent="0.4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22"/>
      <c r="AD742" s="122"/>
      <c r="AE742" s="122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26"/>
      <c r="AU742" s="13"/>
      <c r="AX742" s="114"/>
    </row>
    <row r="743" spans="1:50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22"/>
      <c r="AD743" s="122"/>
      <c r="AE743" s="122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26"/>
      <c r="AU743" s="13"/>
      <c r="AX743" s="114"/>
    </row>
    <row r="744" spans="1:50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22"/>
      <c r="AD744" s="122"/>
      <c r="AE744" s="122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6"/>
      <c r="AU744" s="13"/>
      <c r="AX744" s="114"/>
    </row>
    <row r="745" spans="1:50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22"/>
      <c r="AD745" s="122"/>
      <c r="AE745" s="122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26"/>
      <c r="AU745" s="13"/>
      <c r="AX745" s="114"/>
    </row>
    <row r="746" spans="1:50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22"/>
      <c r="AD746" s="122"/>
      <c r="AE746" s="122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26"/>
      <c r="AU746" s="13"/>
      <c r="AX746" s="114"/>
    </row>
    <row r="747" spans="1:50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22"/>
      <c r="AD747" s="122"/>
      <c r="AE747" s="122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26"/>
      <c r="AU747" s="13"/>
      <c r="AX747" s="114"/>
    </row>
    <row r="748" spans="1:50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22"/>
      <c r="AD748" s="122"/>
      <c r="AE748" s="122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26"/>
      <c r="AU748" s="13"/>
      <c r="AX748" s="114"/>
    </row>
    <row r="749" spans="1:50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22"/>
      <c r="AD749" s="122"/>
      <c r="AE749" s="122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26"/>
      <c r="AU749" s="13"/>
      <c r="AX749" s="114"/>
    </row>
    <row r="750" spans="1:50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22"/>
      <c r="AD750" s="122"/>
      <c r="AE750" s="122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26"/>
      <c r="AU750" s="13"/>
      <c r="AX750" s="114"/>
    </row>
    <row r="751" spans="1:50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22"/>
      <c r="AD751" s="122"/>
      <c r="AE751" s="122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26"/>
      <c r="AU751" s="13"/>
      <c r="AX751" s="114"/>
    </row>
    <row r="752" spans="1:50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22"/>
      <c r="AD752" s="122"/>
      <c r="AE752" s="122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26"/>
      <c r="AU752" s="15"/>
      <c r="AX752" s="114"/>
    </row>
    <row r="753" spans="1:50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22"/>
      <c r="AD753" s="122"/>
      <c r="AE753" s="122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26"/>
      <c r="AU753" s="15"/>
      <c r="AX753" s="114"/>
    </row>
    <row r="754" spans="1:50" x14ac:dyDescent="0.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22"/>
      <c r="AD754" s="122"/>
      <c r="AE754" s="122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115"/>
      <c r="AT754" s="26"/>
      <c r="AU754" s="15"/>
      <c r="AX754" s="114"/>
    </row>
    <row r="755" spans="1:50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22"/>
      <c r="AD755" s="122"/>
      <c r="AE755" s="122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115"/>
      <c r="AT755" s="26"/>
      <c r="AU755" s="15"/>
      <c r="AX755" s="114"/>
    </row>
    <row r="756" spans="1:50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22"/>
      <c r="AD756" s="122"/>
      <c r="AE756" s="122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115"/>
      <c r="AT756" s="26"/>
      <c r="AU756" s="13"/>
      <c r="AX756" s="114"/>
    </row>
    <row r="757" spans="1:50" x14ac:dyDescent="0.4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22"/>
      <c r="AD757" s="122"/>
      <c r="AE757" s="122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115"/>
      <c r="AT757" s="26"/>
      <c r="AU757" s="15"/>
      <c r="AX757" s="114"/>
    </row>
    <row r="758" spans="1:50" x14ac:dyDescent="0.4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22"/>
      <c r="AD758" s="122"/>
      <c r="AE758" s="122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26"/>
      <c r="AU758" s="15"/>
      <c r="AX758" s="114"/>
    </row>
    <row r="759" spans="1:50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22"/>
      <c r="AD759" s="122"/>
      <c r="AE759" s="122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26"/>
      <c r="AU759" s="15"/>
      <c r="AX759" s="114"/>
    </row>
    <row r="760" spans="1:50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22"/>
      <c r="AD760" s="122"/>
      <c r="AE760" s="122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26"/>
      <c r="AU760" s="15"/>
      <c r="AX760" s="114"/>
    </row>
    <row r="761" spans="1:50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22"/>
      <c r="AD761" s="122"/>
      <c r="AE761" s="122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26"/>
      <c r="AU761" s="15"/>
      <c r="AX761" s="114"/>
    </row>
    <row r="762" spans="1:50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22"/>
      <c r="AD762" s="122"/>
      <c r="AE762" s="122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6"/>
      <c r="AU762" s="105"/>
      <c r="AX762" s="114"/>
    </row>
    <row r="763" spans="1:50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22"/>
      <c r="AD763" s="122"/>
      <c r="AE763" s="122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7"/>
      <c r="AU763" s="15"/>
      <c r="AX763" s="114"/>
    </row>
    <row r="764" spans="1:50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22"/>
      <c r="AD764" s="122"/>
      <c r="AE764" s="122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26"/>
      <c r="AU764" s="15"/>
      <c r="AX764" s="114"/>
    </row>
    <row r="765" spans="1:50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22"/>
      <c r="AD765" s="122"/>
      <c r="AE765" s="122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6"/>
      <c r="AU765" s="15"/>
      <c r="AX765" s="114"/>
    </row>
    <row r="766" spans="1:50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22"/>
      <c r="AD766" s="122"/>
      <c r="AE766" s="122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26"/>
      <c r="AU766" s="105"/>
      <c r="AX766" s="114"/>
    </row>
    <row r="767" spans="1:50" x14ac:dyDescent="0.4">
      <c r="AT767" s="26"/>
      <c r="AU767" s="15"/>
      <c r="AX767" s="114"/>
    </row>
    <row r="768" spans="1:50" x14ac:dyDescent="0.4">
      <c r="AD768" s="122"/>
      <c r="AE768" s="122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6"/>
      <c r="AU768" s="15"/>
      <c r="AX768" s="114"/>
    </row>
    <row r="769" spans="2:50" x14ac:dyDescent="0.4">
      <c r="Z769" s="115"/>
      <c r="AA769" s="115"/>
      <c r="AB769" s="115"/>
      <c r="AC769" s="122"/>
      <c r="AD769" s="122"/>
      <c r="AE769" s="122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26"/>
      <c r="AU769" s="15"/>
      <c r="AX769" s="114"/>
    </row>
    <row r="770" spans="2:50" x14ac:dyDescent="0.4"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22"/>
      <c r="AD770" s="122"/>
      <c r="AE770" s="122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6"/>
      <c r="AU770" s="15"/>
      <c r="AX770" s="114"/>
    </row>
    <row r="771" spans="2:50" x14ac:dyDescent="0.4"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22"/>
      <c r="AD771" s="122"/>
      <c r="AE771" s="122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7"/>
      <c r="AU771" s="15"/>
      <c r="AX771" s="114"/>
    </row>
    <row r="772" spans="2:50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22"/>
      <c r="AD772" s="122"/>
      <c r="AE772" s="122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26"/>
      <c r="AU772" s="15"/>
      <c r="AX772" s="114"/>
    </row>
    <row r="773" spans="2:50" x14ac:dyDescent="0.4"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22"/>
      <c r="AD773" s="122"/>
      <c r="AE773" s="122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26"/>
      <c r="AU773" s="15"/>
      <c r="AX773" s="114"/>
    </row>
    <row r="774" spans="2:50" x14ac:dyDescent="0.4"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22"/>
      <c r="AD774" s="122"/>
      <c r="AE774" s="122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26"/>
      <c r="AU774" s="15"/>
      <c r="AX774" s="114"/>
    </row>
    <row r="775" spans="2:50" x14ac:dyDescent="0.4"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22"/>
      <c r="AD775" s="122"/>
      <c r="AE775" s="122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26"/>
      <c r="AU775" s="15"/>
      <c r="AX775" s="114"/>
    </row>
    <row r="776" spans="2:50" x14ac:dyDescent="0.4"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22"/>
      <c r="AD776" s="122"/>
      <c r="AE776" s="122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26"/>
      <c r="AU776" s="15"/>
      <c r="AX776" s="114"/>
    </row>
    <row r="777" spans="2:50" x14ac:dyDescent="0.4"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22"/>
      <c r="AD777" s="122"/>
      <c r="AE777" s="122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26"/>
      <c r="AU777" s="15"/>
      <c r="AX777" s="114"/>
    </row>
    <row r="778" spans="2:50" x14ac:dyDescent="0.4"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22"/>
      <c r="AD778" s="122"/>
      <c r="AE778" s="122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26"/>
      <c r="AU778" s="15"/>
      <c r="AX778" s="114"/>
    </row>
    <row r="779" spans="2:50" x14ac:dyDescent="0.4"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22"/>
      <c r="AD779" s="122"/>
      <c r="AE779" s="122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17"/>
      <c r="AU779" s="15"/>
      <c r="AX779" s="114"/>
    </row>
    <row r="780" spans="2:50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22"/>
      <c r="AD780" s="122"/>
      <c r="AE780" s="122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26"/>
      <c r="AU780" s="15"/>
      <c r="AX780" s="114"/>
    </row>
    <row r="781" spans="2:50" x14ac:dyDescent="0.4"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22"/>
      <c r="AD781" s="122"/>
      <c r="AE781" s="122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115"/>
      <c r="AT781" s="26"/>
      <c r="AU781" s="15"/>
      <c r="AX781" s="114"/>
    </row>
    <row r="782" spans="2:50" x14ac:dyDescent="0.4"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22"/>
      <c r="AD782" s="122"/>
      <c r="AE782" s="122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26"/>
      <c r="AU782" s="15"/>
      <c r="AX782" s="114"/>
    </row>
    <row r="783" spans="2:50" x14ac:dyDescent="0.4"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22"/>
      <c r="AD783" s="122"/>
      <c r="AE783" s="122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26"/>
      <c r="AU783" s="15"/>
      <c r="AX783" s="114"/>
    </row>
    <row r="784" spans="2:50" x14ac:dyDescent="0.4"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22"/>
      <c r="AD784" s="122"/>
      <c r="AE784" s="122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26"/>
      <c r="AU784" s="15"/>
      <c r="AX784" s="114"/>
    </row>
    <row r="785" spans="2:50" x14ac:dyDescent="0.4"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22"/>
      <c r="AD785" s="122"/>
      <c r="AE785" s="122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26"/>
      <c r="AU785" s="15"/>
      <c r="AX785" s="114"/>
    </row>
    <row r="786" spans="2:50" x14ac:dyDescent="0.4"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22"/>
      <c r="AD786" s="122"/>
      <c r="AE786" s="122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26"/>
      <c r="AU786" s="15"/>
      <c r="AX786" s="114"/>
    </row>
    <row r="787" spans="2:50" x14ac:dyDescent="0.4"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22"/>
      <c r="AD787" s="122"/>
      <c r="AE787" s="122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17"/>
      <c r="AU787" s="15"/>
      <c r="AX787" s="114"/>
    </row>
    <row r="788" spans="2:50" x14ac:dyDescent="0.4"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22"/>
      <c r="AD788" s="122"/>
      <c r="AE788" s="122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26"/>
      <c r="AU788" s="15"/>
      <c r="AX788" s="114"/>
    </row>
    <row r="789" spans="2:50" x14ac:dyDescent="0.4"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22"/>
      <c r="AD789" s="122"/>
      <c r="AE789" s="122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26"/>
      <c r="AU789" s="15"/>
      <c r="AX789" s="114"/>
    </row>
    <row r="790" spans="2:50" x14ac:dyDescent="0.4"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22"/>
      <c r="AD790" s="122"/>
      <c r="AE790" s="122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6"/>
      <c r="AU790" s="15"/>
      <c r="AX790" s="114"/>
    </row>
    <row r="791" spans="2:50" x14ac:dyDescent="0.4"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22"/>
      <c r="AD791" s="122"/>
      <c r="AE791" s="122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26"/>
      <c r="AU791" s="15"/>
      <c r="AX791" s="114"/>
    </row>
    <row r="792" spans="2:50" x14ac:dyDescent="0.4"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22"/>
      <c r="AD792" s="122"/>
      <c r="AE792" s="122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6"/>
      <c r="AU792" s="15"/>
      <c r="AX792" s="114"/>
    </row>
    <row r="793" spans="2:50" x14ac:dyDescent="0.4"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22"/>
      <c r="AD793" s="122"/>
      <c r="AE793" s="122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26"/>
      <c r="AU793" s="15"/>
      <c r="AX793" s="114"/>
    </row>
    <row r="794" spans="2:50" x14ac:dyDescent="0.4"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22"/>
      <c r="AD794" s="122"/>
      <c r="AE794" s="122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6"/>
      <c r="AU794" s="15"/>
      <c r="AX794" s="114"/>
    </row>
    <row r="795" spans="2:50" x14ac:dyDescent="0.4"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22"/>
      <c r="AD795" s="122"/>
      <c r="AE795" s="122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26"/>
      <c r="AU795" s="15"/>
      <c r="AX795" s="114"/>
    </row>
    <row r="796" spans="2:50" x14ac:dyDescent="0.4"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22"/>
      <c r="AD796" s="122"/>
      <c r="AE796" s="122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17"/>
      <c r="AU796" s="15"/>
      <c r="AX796" s="114"/>
    </row>
    <row r="797" spans="2:50" x14ac:dyDescent="0.4"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22"/>
      <c r="AD797" s="122"/>
      <c r="AE797" s="122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26"/>
      <c r="AU797" s="15"/>
      <c r="AX797" s="114"/>
    </row>
    <row r="798" spans="2:50" x14ac:dyDescent="0.4"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22"/>
      <c r="AD798" s="122"/>
      <c r="AE798" s="122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7"/>
      <c r="AU798" s="15"/>
      <c r="AX798" s="114"/>
    </row>
    <row r="799" spans="2:50" x14ac:dyDescent="0.4"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22"/>
      <c r="AD799" s="122"/>
      <c r="AE799" s="122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26"/>
      <c r="AU799" s="15"/>
      <c r="AX799" s="114"/>
    </row>
    <row r="800" spans="2:50" x14ac:dyDescent="0.4"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22"/>
      <c r="AD800" s="122"/>
      <c r="AE800" s="122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7"/>
      <c r="AU800" s="15"/>
      <c r="AX800" s="114"/>
    </row>
    <row r="801" spans="1:50" x14ac:dyDescent="0.4"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22"/>
      <c r="AD801" s="122"/>
      <c r="AE801" s="122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6"/>
      <c r="AU801" s="15"/>
      <c r="AX801" s="114"/>
    </row>
    <row r="802" spans="1:50" x14ac:dyDescent="0.4"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22"/>
      <c r="AD802" s="122"/>
      <c r="AE802" s="122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6"/>
      <c r="AU802" s="15"/>
      <c r="AX802" s="114"/>
    </row>
    <row r="803" spans="1:50" x14ac:dyDescent="0.4"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22"/>
      <c r="AD803" s="122"/>
      <c r="AE803" s="122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7"/>
      <c r="AU803" s="15"/>
      <c r="AX803" s="114"/>
    </row>
    <row r="804" spans="1:50" x14ac:dyDescent="0.4"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22"/>
      <c r="AD804" s="122"/>
      <c r="AE804" s="122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26"/>
      <c r="AU804" s="15"/>
      <c r="AX804" s="114"/>
    </row>
    <row r="805" spans="1:50" x14ac:dyDescent="0.4"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22"/>
      <c r="AD805" s="122"/>
      <c r="AE805" s="122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26"/>
      <c r="AU805" s="15"/>
      <c r="AX805" s="114"/>
    </row>
    <row r="806" spans="1:50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22"/>
      <c r="AD806" s="122"/>
      <c r="AE806" s="122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26"/>
      <c r="AU806" s="105"/>
      <c r="AX806" s="114"/>
    </row>
    <row r="807" spans="1:50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22"/>
      <c r="AD807" s="122"/>
      <c r="AE807" s="122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17"/>
      <c r="AU807" s="15"/>
      <c r="AX807" s="114"/>
    </row>
    <row r="808" spans="1:50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22"/>
      <c r="AD808" s="122"/>
      <c r="AE808" s="122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17"/>
      <c r="AU808" s="15"/>
      <c r="AX808" s="114"/>
    </row>
    <row r="809" spans="1:50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22"/>
      <c r="AD809" s="122"/>
      <c r="AE809" s="122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26"/>
      <c r="AU809" s="15"/>
      <c r="AX809" s="114"/>
    </row>
    <row r="810" spans="1:50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22"/>
      <c r="AD810" s="122"/>
      <c r="AE810" s="122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26"/>
      <c r="AU810" s="15"/>
      <c r="AX810" s="114"/>
    </row>
    <row r="811" spans="1:50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22"/>
      <c r="AD811" s="122"/>
      <c r="AE811" s="122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26"/>
      <c r="AU811" s="15"/>
      <c r="AX811" s="114"/>
    </row>
    <row r="812" spans="1:50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22"/>
      <c r="AD812" s="122"/>
      <c r="AE812" s="122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26"/>
      <c r="AU812" s="15"/>
      <c r="AX812" s="114"/>
    </row>
    <row r="813" spans="1:50" x14ac:dyDescent="0.4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22"/>
      <c r="AD813" s="122"/>
      <c r="AE813" s="122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6"/>
      <c r="AU813" s="15"/>
      <c r="AX813" s="114"/>
    </row>
    <row r="814" spans="1:50" x14ac:dyDescent="0.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22"/>
      <c r="AD814" s="122"/>
      <c r="AE814" s="122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26"/>
      <c r="AU814" s="15"/>
      <c r="AX814" s="114"/>
    </row>
    <row r="815" spans="1:50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22"/>
      <c r="AD815" s="122"/>
      <c r="AE815" s="122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26"/>
      <c r="AU815" s="15"/>
      <c r="AX815" s="114"/>
    </row>
    <row r="816" spans="1:50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22"/>
      <c r="AD816" s="122"/>
      <c r="AE816" s="122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26"/>
      <c r="AU816" s="15"/>
      <c r="AX816" s="114"/>
    </row>
    <row r="817" spans="1:50" x14ac:dyDescent="0.4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22"/>
      <c r="AD817" s="122"/>
      <c r="AE817" s="122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115"/>
      <c r="AT817" s="26"/>
      <c r="AU817" s="105"/>
      <c r="AX817" s="114"/>
    </row>
    <row r="818" spans="1:50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22"/>
      <c r="AD818" s="122"/>
      <c r="AE818" s="122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15"/>
      <c r="AT818" s="26"/>
      <c r="AU818" s="15"/>
      <c r="AX818" s="114"/>
    </row>
    <row r="819" spans="1:50" x14ac:dyDescent="0.4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22"/>
      <c r="AD819" s="122"/>
      <c r="AE819" s="122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115"/>
      <c r="AT819" s="26"/>
      <c r="AU819" s="15"/>
      <c r="AX819" s="114"/>
    </row>
    <row r="820" spans="1:50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22"/>
      <c r="AD820" s="122"/>
      <c r="AE820" s="122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15"/>
      <c r="AT820" s="26"/>
      <c r="AU820" s="13"/>
      <c r="AX820" s="114"/>
    </row>
    <row r="821" spans="1:50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22"/>
      <c r="AD821" s="122"/>
      <c r="AE821" s="122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7"/>
      <c r="AU821" s="13"/>
      <c r="AX821" s="114"/>
    </row>
    <row r="822" spans="1:50" x14ac:dyDescent="0.4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22"/>
      <c r="AD822" s="122"/>
      <c r="AE822" s="122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6"/>
      <c r="AU822" s="13"/>
      <c r="AX822" s="114"/>
    </row>
    <row r="823" spans="1:50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22"/>
      <c r="AD823" s="122"/>
      <c r="AE823" s="122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6"/>
      <c r="AU823" s="13"/>
      <c r="AX823" s="114"/>
    </row>
    <row r="824" spans="1:50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22"/>
      <c r="AD824" s="122"/>
      <c r="AE824" s="122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6"/>
      <c r="AU824" s="13"/>
      <c r="AX824" s="114"/>
    </row>
    <row r="825" spans="1:50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22"/>
      <c r="AD825" s="122"/>
      <c r="AE825" s="122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26"/>
      <c r="AU825" s="13"/>
      <c r="AX825" s="114"/>
    </row>
    <row r="826" spans="1:50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22"/>
      <c r="AD826" s="122"/>
      <c r="AE826" s="122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6"/>
      <c r="AU826" s="13"/>
      <c r="AX826" s="114"/>
    </row>
    <row r="827" spans="1:50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22"/>
      <c r="AD827" s="122"/>
      <c r="AE827" s="122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26"/>
      <c r="AU827" s="13"/>
      <c r="AX827" s="114"/>
    </row>
    <row r="828" spans="1:50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22"/>
      <c r="AD828" s="122"/>
      <c r="AE828" s="122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7"/>
      <c r="AU828" s="13"/>
      <c r="AX828" s="114"/>
    </row>
    <row r="829" spans="1:50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22"/>
      <c r="AD829" s="122"/>
      <c r="AE829" s="122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26"/>
      <c r="AU829" s="13"/>
      <c r="AX829" s="114"/>
    </row>
    <row r="830" spans="1:50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22"/>
      <c r="AD830" s="122"/>
      <c r="AE830" s="122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26"/>
      <c r="AU830" s="13"/>
      <c r="AX830" s="114"/>
    </row>
    <row r="831" spans="1:50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22"/>
      <c r="AD831" s="122"/>
      <c r="AE831" s="122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26"/>
      <c r="AU831" s="13"/>
      <c r="AX831" s="114"/>
    </row>
    <row r="832" spans="1:50" x14ac:dyDescent="0.4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22"/>
      <c r="AD832" s="122"/>
      <c r="AE832" s="122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115"/>
      <c r="AT832" s="26"/>
      <c r="AU832" s="13"/>
      <c r="AX832" s="114"/>
    </row>
    <row r="833" spans="1:50" x14ac:dyDescent="0.4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22"/>
      <c r="AD833" s="122"/>
      <c r="AE833" s="122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115"/>
      <c r="AT833" s="26"/>
      <c r="AU833" s="25"/>
      <c r="AX833" s="114"/>
    </row>
    <row r="834" spans="1:50" x14ac:dyDescent="0.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22"/>
      <c r="AD834" s="122"/>
      <c r="AE834" s="122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17"/>
      <c r="AU834" s="13"/>
      <c r="AX834" s="114"/>
    </row>
    <row r="835" spans="1:50" x14ac:dyDescent="0.4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22"/>
      <c r="AD835" s="122"/>
      <c r="AE835" s="122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115"/>
      <c r="AT835" s="26"/>
      <c r="AU835" s="15"/>
      <c r="AX835" s="114"/>
    </row>
    <row r="836" spans="1:50" x14ac:dyDescent="0.4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22"/>
      <c r="AD836" s="122"/>
      <c r="AE836" s="122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26"/>
      <c r="AU836" s="15"/>
      <c r="AX836" s="114"/>
    </row>
    <row r="837" spans="1:50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22"/>
      <c r="AD837" s="122"/>
      <c r="AE837" s="122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17"/>
      <c r="AU837" s="15"/>
      <c r="AX837" s="114"/>
    </row>
    <row r="838" spans="1:50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22"/>
      <c r="AD838" s="122"/>
      <c r="AE838" s="122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26"/>
      <c r="AU838" s="15"/>
      <c r="AX838" s="114"/>
    </row>
    <row r="839" spans="1:50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22"/>
      <c r="AD839" s="122"/>
      <c r="AE839" s="122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26"/>
      <c r="AU839" s="15"/>
      <c r="AX839" s="114"/>
    </row>
    <row r="840" spans="1:50" x14ac:dyDescent="0.4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22"/>
      <c r="AD840" s="122"/>
      <c r="AE840" s="122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26"/>
      <c r="AU840" s="13"/>
      <c r="AX840" s="114"/>
    </row>
    <row r="841" spans="1:50" x14ac:dyDescent="0.4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22"/>
      <c r="AD841" s="122"/>
      <c r="AE841" s="122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26"/>
      <c r="AU841" s="13"/>
      <c r="AX841" s="114"/>
    </row>
    <row r="842" spans="1:50" x14ac:dyDescent="0.4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22"/>
      <c r="AD842" s="122"/>
      <c r="AE842" s="122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26"/>
      <c r="AU842" s="13"/>
      <c r="AX842" s="114"/>
    </row>
    <row r="843" spans="1:50" x14ac:dyDescent="0.4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22"/>
      <c r="AD843" s="122"/>
      <c r="AE843" s="122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6"/>
      <c r="AU843" s="13"/>
      <c r="AX843" s="114"/>
    </row>
    <row r="844" spans="1:50" x14ac:dyDescent="0.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22"/>
      <c r="AD844" s="122"/>
      <c r="AE844" s="122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26"/>
      <c r="AU844" s="13"/>
      <c r="AX844" s="114"/>
    </row>
    <row r="845" spans="1:50" x14ac:dyDescent="0.4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22"/>
      <c r="AD845" s="122"/>
      <c r="AE845" s="122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26"/>
      <c r="AU845" s="13"/>
      <c r="AX845" s="114"/>
    </row>
    <row r="846" spans="1:50" x14ac:dyDescent="0.4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22"/>
      <c r="AD846" s="122"/>
      <c r="AE846" s="122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26"/>
      <c r="AU846" s="13"/>
      <c r="AX846" s="114"/>
    </row>
    <row r="847" spans="1:50" x14ac:dyDescent="0.4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22"/>
      <c r="AD847" s="122"/>
      <c r="AE847" s="122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26"/>
      <c r="AU847" s="13"/>
      <c r="AX847" s="114"/>
    </row>
    <row r="848" spans="1:50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22"/>
      <c r="AD848" s="122"/>
      <c r="AE848" s="122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115"/>
      <c r="AT848" s="17"/>
      <c r="AU848" s="13"/>
      <c r="AX848" s="114"/>
    </row>
    <row r="849" spans="1:51" x14ac:dyDescent="0.4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22"/>
      <c r="AD849" s="122"/>
      <c r="AE849" s="122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15"/>
      <c r="AT849" s="26"/>
      <c r="AU849" s="13"/>
      <c r="AX849" s="114"/>
    </row>
    <row r="850" spans="1:51" x14ac:dyDescent="0.4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22"/>
      <c r="AD850" s="122"/>
      <c r="AE850" s="122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17"/>
      <c r="AU850" s="13"/>
      <c r="AX850" s="114"/>
    </row>
    <row r="851" spans="1:51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22"/>
      <c r="AD851" s="122"/>
      <c r="AE851" s="122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26"/>
      <c r="AU851" s="13"/>
      <c r="AX851" s="114"/>
    </row>
    <row r="852" spans="1:51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22"/>
      <c r="AD852" s="122"/>
      <c r="AE852" s="122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26"/>
      <c r="AU852" s="13"/>
      <c r="AX852" s="114"/>
    </row>
    <row r="853" spans="1:51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22"/>
      <c r="AD853" s="122"/>
      <c r="AE853" s="122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6"/>
      <c r="AU853" s="13"/>
      <c r="AX853" s="114"/>
    </row>
    <row r="854" spans="1:51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22"/>
      <c r="AD854" s="122"/>
      <c r="AE854" s="122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26"/>
      <c r="AU854" s="15"/>
      <c r="AX854" s="114"/>
    </row>
    <row r="855" spans="1:51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22"/>
      <c r="AD855" s="122"/>
      <c r="AE855" s="122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26"/>
      <c r="AU855" s="15"/>
      <c r="AX855" s="114"/>
    </row>
    <row r="856" spans="1:51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22"/>
      <c r="AD856" s="122"/>
      <c r="AE856" s="122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26"/>
      <c r="AU856" s="15"/>
      <c r="AX856" s="114"/>
    </row>
    <row r="857" spans="1:51" x14ac:dyDescent="0.4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22"/>
      <c r="AD857" s="122"/>
      <c r="AE857" s="122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26"/>
      <c r="AU857" s="13"/>
      <c r="AX857" s="114"/>
    </row>
    <row r="858" spans="1:51" x14ac:dyDescent="0.4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22"/>
      <c r="AD858" s="122"/>
      <c r="AE858" s="122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26"/>
      <c r="AU858" s="15"/>
      <c r="AX858" s="114"/>
    </row>
    <row r="859" spans="1:51" x14ac:dyDescent="0.4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22"/>
      <c r="AD859" s="122"/>
      <c r="AE859" s="122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26"/>
      <c r="AU859" s="15"/>
      <c r="AX859" s="114"/>
      <c r="AY859" s="120"/>
    </row>
    <row r="860" spans="1:51" x14ac:dyDescent="0.4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22"/>
      <c r="AD860" s="122"/>
      <c r="AE860" s="122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26"/>
      <c r="AU860" s="15"/>
      <c r="AX860" s="114"/>
      <c r="AY860" s="120"/>
    </row>
    <row r="861" spans="1:51" x14ac:dyDescent="0.4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22"/>
      <c r="AD861" s="122"/>
      <c r="AE861" s="122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26"/>
      <c r="AU861" s="15"/>
      <c r="AX861" s="114"/>
      <c r="AY861" s="120"/>
    </row>
    <row r="862" spans="1:51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22"/>
      <c r="AD862" s="122"/>
      <c r="AE862" s="122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26"/>
      <c r="AU862" s="15"/>
      <c r="AX862" s="114"/>
      <c r="AY862" s="120"/>
    </row>
    <row r="863" spans="1:51" x14ac:dyDescent="0.4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22"/>
      <c r="AD863" s="122"/>
      <c r="AE863" s="122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26"/>
      <c r="AU863" s="15"/>
      <c r="AX863" s="114"/>
      <c r="AY863" s="120"/>
    </row>
    <row r="864" spans="1:51" x14ac:dyDescent="0.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22"/>
      <c r="AD864" s="122"/>
      <c r="AE864" s="122"/>
      <c r="AF864" s="115"/>
      <c r="AG864" s="115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26"/>
      <c r="AU864" s="15"/>
      <c r="AX864" s="114"/>
      <c r="AY864" s="120"/>
    </row>
    <row r="865" spans="1:51" x14ac:dyDescent="0.4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22"/>
      <c r="AD865" s="122"/>
      <c r="AE865" s="122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26"/>
      <c r="AU865" s="15"/>
      <c r="AX865" s="114"/>
      <c r="AY865" s="120"/>
    </row>
    <row r="866" spans="1:51" x14ac:dyDescent="0.4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22"/>
      <c r="AD866" s="122"/>
      <c r="AE866" s="122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7"/>
      <c r="AU866" s="15"/>
      <c r="AX866" s="114"/>
      <c r="AY866" s="120"/>
    </row>
    <row r="867" spans="1:51" x14ac:dyDescent="0.4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22"/>
      <c r="AD867" s="122"/>
      <c r="AE867" s="122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6"/>
      <c r="AU867" s="15"/>
      <c r="AX867" s="114"/>
      <c r="AY867" s="120"/>
    </row>
    <row r="868" spans="1:51" x14ac:dyDescent="0.4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22"/>
      <c r="AD868" s="122"/>
      <c r="AE868" s="122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26"/>
      <c r="AU868" s="15"/>
      <c r="AX868" s="114"/>
    </row>
    <row r="869" spans="1:51" x14ac:dyDescent="0.4">
      <c r="AT869" s="26"/>
      <c r="AU869" s="15"/>
      <c r="AX869" s="114"/>
    </row>
    <row r="870" spans="1:51" x14ac:dyDescent="0.4"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15"/>
      <c r="AT870" s="17"/>
      <c r="AU870" s="15"/>
      <c r="AX870" s="114"/>
    </row>
    <row r="871" spans="1:51" x14ac:dyDescent="0.4"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17"/>
      <c r="AU871" s="15"/>
      <c r="AX871" s="114"/>
    </row>
    <row r="872" spans="1:51" x14ac:dyDescent="0.4">
      <c r="AE872" s="122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7"/>
      <c r="AU872" s="15"/>
      <c r="AX872" s="114"/>
    </row>
    <row r="873" spans="1:51" x14ac:dyDescent="0.4">
      <c r="Z873" s="115"/>
      <c r="AA873" s="115"/>
      <c r="AB873" s="115"/>
      <c r="AC873" s="122"/>
      <c r="AD873" s="122"/>
      <c r="AE873" s="122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6"/>
      <c r="AU873" s="15"/>
      <c r="AX873" s="114"/>
    </row>
    <row r="874" spans="1:51" x14ac:dyDescent="0.4">
      <c r="Z874" s="115"/>
      <c r="AA874" s="115"/>
      <c r="AB874" s="115"/>
      <c r="AC874" s="122"/>
      <c r="AD874" s="122"/>
      <c r="AE874" s="122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7"/>
      <c r="AU874" s="15"/>
      <c r="AX874" s="114"/>
    </row>
    <row r="875" spans="1:51" x14ac:dyDescent="0.4">
      <c r="Y875" s="115"/>
      <c r="Z875" s="115"/>
      <c r="AA875" s="115"/>
      <c r="AB875" s="115"/>
      <c r="AC875" s="122"/>
      <c r="AD875" s="122"/>
      <c r="AE875" s="122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6"/>
      <c r="AU875" s="15"/>
      <c r="AX875" s="114"/>
    </row>
    <row r="876" spans="1:51" x14ac:dyDescent="0.4">
      <c r="Y876" s="115"/>
      <c r="Z876" s="115"/>
      <c r="AA876" s="115"/>
      <c r="AB876" s="115"/>
      <c r="AC876" s="122"/>
      <c r="AD876" s="122"/>
      <c r="AE876" s="122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7"/>
      <c r="AU876" s="15"/>
      <c r="AX876" s="114"/>
    </row>
    <row r="877" spans="1:51" x14ac:dyDescent="0.4">
      <c r="Y877" s="115"/>
      <c r="Z877" s="115"/>
      <c r="AA877" s="115"/>
      <c r="AB877" s="115"/>
      <c r="AC877" s="122"/>
      <c r="AD877" s="122"/>
      <c r="AE877" s="122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7"/>
      <c r="AU877" s="15"/>
      <c r="AX877" s="114"/>
    </row>
    <row r="878" spans="1:51" x14ac:dyDescent="0.4">
      <c r="Y878" s="115"/>
      <c r="Z878" s="115"/>
      <c r="AA878" s="115"/>
      <c r="AB878" s="115"/>
      <c r="AC878" s="122"/>
      <c r="AD878" s="122"/>
      <c r="AE878" s="122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7"/>
      <c r="AU878" s="15"/>
      <c r="AX878" s="114"/>
    </row>
    <row r="879" spans="1:51" x14ac:dyDescent="0.4">
      <c r="Y879" s="115"/>
      <c r="Z879" s="115"/>
      <c r="AA879" s="115"/>
      <c r="AB879" s="115"/>
      <c r="AC879" s="122"/>
      <c r="AD879" s="122"/>
      <c r="AE879" s="122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6"/>
      <c r="AU879" s="15"/>
      <c r="AX879" s="114"/>
    </row>
    <row r="880" spans="1:51" x14ac:dyDescent="0.4">
      <c r="Y880" s="115"/>
      <c r="Z880" s="115"/>
      <c r="AA880" s="115"/>
      <c r="AB880" s="115"/>
      <c r="AC880" s="122"/>
      <c r="AD880" s="122"/>
      <c r="AE880" s="122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7"/>
      <c r="AU880" s="15"/>
      <c r="AX880" s="114"/>
    </row>
    <row r="881" spans="1:54" ht="19.5" x14ac:dyDescent="0.4">
      <c r="AT881" s="26"/>
      <c r="AU881" s="15"/>
      <c r="AY881" s="116"/>
      <c r="AZ881" s="116"/>
      <c r="BA881" s="116"/>
      <c r="BB881" s="116"/>
    </row>
    <row r="882" spans="1:54" ht="19.5" x14ac:dyDescent="0.4">
      <c r="AD882" s="122"/>
      <c r="AE882" s="122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7"/>
      <c r="AU882" s="15"/>
      <c r="AY882" s="117"/>
      <c r="AZ882" s="116"/>
      <c r="BA882" s="116"/>
      <c r="BB882" s="116"/>
    </row>
    <row r="883" spans="1:54" ht="19.5" x14ac:dyDescent="0.4">
      <c r="V883" s="115"/>
      <c r="W883" s="115"/>
      <c r="X883" s="115"/>
      <c r="Y883" s="115"/>
      <c r="Z883" s="115"/>
      <c r="AA883" s="115"/>
      <c r="AB883" s="115"/>
      <c r="AC883" s="122"/>
      <c r="AD883" s="122"/>
      <c r="AE883" s="122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6"/>
      <c r="AU883" s="15"/>
      <c r="AY883" s="117"/>
      <c r="AZ883" s="116"/>
      <c r="BA883" s="116"/>
      <c r="BB883" s="116"/>
    </row>
    <row r="884" spans="1:54" ht="19.5" x14ac:dyDescent="0.4"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22"/>
      <c r="AD884" s="122"/>
      <c r="AE884" s="122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6"/>
      <c r="AU884" s="13"/>
      <c r="AY884" s="117"/>
      <c r="AZ884" s="116"/>
      <c r="BA884" s="116"/>
      <c r="BB884" s="116"/>
    </row>
    <row r="885" spans="1:54" ht="19.5" x14ac:dyDescent="0.4"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22"/>
      <c r="AD885" s="122"/>
      <c r="AE885" s="122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115"/>
      <c r="AT885" s="26"/>
      <c r="AU885" s="15"/>
      <c r="AY885" s="117"/>
      <c r="AZ885" s="116"/>
      <c r="BA885" s="116"/>
      <c r="BB885" s="116"/>
    </row>
    <row r="886" spans="1:54" ht="19.5" x14ac:dyDescent="0.4"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22"/>
      <c r="AD886" s="122"/>
      <c r="AE886" s="122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7"/>
      <c r="AU886" s="15"/>
      <c r="AY886" s="117"/>
      <c r="AZ886" s="116"/>
      <c r="BA886" s="116"/>
      <c r="BB886" s="116"/>
    </row>
    <row r="887" spans="1:54" ht="19.5" x14ac:dyDescent="0.4"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22"/>
      <c r="AD887" s="122"/>
      <c r="AE887" s="122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15"/>
      <c r="AT887" s="26"/>
      <c r="AU887" s="15"/>
      <c r="AY887" s="117"/>
      <c r="AZ887" s="116"/>
      <c r="BA887" s="116"/>
      <c r="BB887" s="116"/>
    </row>
    <row r="888" spans="1:54" ht="19.5" x14ac:dyDescent="0.4"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22"/>
      <c r="AD888" s="122"/>
      <c r="AE888" s="122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26"/>
      <c r="AU888" s="15"/>
      <c r="AY888" s="117"/>
      <c r="AZ888" s="116"/>
      <c r="BA888" s="116"/>
      <c r="BB888" s="116"/>
    </row>
    <row r="889" spans="1:54" ht="19.5" x14ac:dyDescent="0.4"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22"/>
      <c r="AD889" s="122"/>
      <c r="AE889" s="122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7"/>
      <c r="AU889" s="15"/>
      <c r="AY889" s="117"/>
      <c r="AZ889" s="116"/>
      <c r="BA889" s="116"/>
      <c r="BB889" s="116"/>
    </row>
    <row r="890" spans="1:54" ht="19.5" x14ac:dyDescent="0.4"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22"/>
      <c r="AD890" s="122"/>
      <c r="AE890" s="122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115"/>
      <c r="AT890" s="26"/>
      <c r="AU890" s="15"/>
      <c r="AY890" s="117"/>
      <c r="AZ890" s="116"/>
      <c r="BA890" s="116"/>
      <c r="BB890" s="116"/>
    </row>
    <row r="891" spans="1:54" ht="19.5" x14ac:dyDescent="0.4">
      <c r="AT891" s="26"/>
      <c r="AU891" s="15"/>
      <c r="AY891" s="117"/>
      <c r="AZ891" s="116"/>
      <c r="BA891" s="116"/>
      <c r="BB891" s="116"/>
    </row>
    <row r="892" spans="1:54" ht="19.5" x14ac:dyDescent="0.4">
      <c r="AD892" s="122"/>
      <c r="AE892" s="122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7"/>
      <c r="AU892" s="15"/>
      <c r="AY892" s="117"/>
      <c r="AZ892" s="116"/>
      <c r="BA892" s="116"/>
      <c r="BB892" s="116"/>
    </row>
    <row r="893" spans="1:54" ht="19.5" x14ac:dyDescent="0.4">
      <c r="AA893" s="115"/>
      <c r="AB893" s="115"/>
      <c r="AC893" s="122"/>
      <c r="AD893" s="122"/>
      <c r="AE893" s="122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26"/>
      <c r="AU893" s="15"/>
      <c r="AY893" s="117"/>
      <c r="AZ893" s="116"/>
      <c r="BA893" s="116"/>
      <c r="BB893" s="116"/>
    </row>
    <row r="894" spans="1:54" ht="19.5" x14ac:dyDescent="0.4">
      <c r="AA894" s="115"/>
      <c r="AB894" s="115"/>
      <c r="AC894" s="122"/>
      <c r="AD894" s="122"/>
      <c r="AE894" s="122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17"/>
      <c r="AU894" s="15"/>
      <c r="AY894" s="117"/>
      <c r="AZ894" s="116"/>
      <c r="BA894" s="116"/>
      <c r="BB894" s="116"/>
    </row>
    <row r="895" spans="1:54" ht="19.5" x14ac:dyDescent="0.4">
      <c r="Z895" s="115"/>
      <c r="AA895" s="115"/>
      <c r="AB895" s="115"/>
      <c r="AC895" s="122"/>
      <c r="AD895" s="122"/>
      <c r="AE895" s="122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15"/>
      <c r="AT895" s="26"/>
      <c r="AU895" s="15"/>
      <c r="AY895" s="117"/>
      <c r="AZ895" s="116"/>
      <c r="BA895" s="116"/>
      <c r="BB895" s="116"/>
    </row>
    <row r="896" spans="1:54" ht="19.5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22"/>
      <c r="AD896" s="122"/>
      <c r="AE896" s="122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26"/>
      <c r="AU896" s="15"/>
      <c r="AY896" s="117"/>
      <c r="AZ896" s="116"/>
      <c r="BA896" s="116"/>
      <c r="BB896" s="116"/>
    </row>
    <row r="897" spans="1:54" ht="19.5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22"/>
      <c r="AD897" s="122"/>
      <c r="AE897" s="122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15"/>
      <c r="AT897" s="26"/>
      <c r="AU897" s="15"/>
      <c r="AY897" s="117"/>
      <c r="AZ897" s="116"/>
      <c r="BA897" s="116"/>
      <c r="BB897" s="116"/>
    </row>
    <row r="898" spans="1:54" ht="19.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22"/>
      <c r="AD898" s="122"/>
      <c r="AE898" s="122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115"/>
      <c r="AT898" s="26"/>
      <c r="AU898" s="15"/>
      <c r="AY898" s="117"/>
      <c r="AZ898" s="116"/>
      <c r="BA898" s="116"/>
      <c r="BB898" s="116"/>
    </row>
    <row r="899" spans="1:54" ht="19.5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22"/>
      <c r="AD899" s="122"/>
      <c r="AE899" s="122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26"/>
      <c r="AU899" s="105"/>
      <c r="AY899" s="117"/>
      <c r="AZ899" s="116"/>
      <c r="BA899" s="116"/>
      <c r="BB899" s="116"/>
    </row>
    <row r="900" spans="1:54" ht="19.5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22"/>
      <c r="AD900" s="122"/>
      <c r="AE900" s="122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26"/>
      <c r="AU900" s="105"/>
      <c r="AY900" s="117"/>
      <c r="AZ900" s="116"/>
      <c r="BA900" s="116"/>
      <c r="BB900" s="116"/>
    </row>
    <row r="901" spans="1:54" ht="19.5" x14ac:dyDescent="0.4">
      <c r="AT901" s="26"/>
      <c r="AU901" s="13"/>
      <c r="AY901" s="117"/>
      <c r="AZ901" s="116"/>
      <c r="BA901" s="116"/>
      <c r="BB901" s="116"/>
    </row>
    <row r="902" spans="1:54" ht="19.5" x14ac:dyDescent="0.4">
      <c r="AA902" s="115"/>
      <c r="AB902" s="115"/>
      <c r="AC902" s="122"/>
      <c r="AD902" s="122"/>
      <c r="AE902" s="122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6"/>
      <c r="AU902" s="13"/>
      <c r="AY902" s="117"/>
      <c r="AZ902" s="116"/>
      <c r="BA902" s="116"/>
      <c r="BB902" s="116"/>
    </row>
    <row r="903" spans="1:54" ht="19.5" x14ac:dyDescent="0.4">
      <c r="V903" s="115"/>
      <c r="W903" s="115"/>
      <c r="X903" s="115"/>
      <c r="Y903" s="115"/>
      <c r="Z903" s="115"/>
      <c r="AA903" s="115"/>
      <c r="AB903" s="115"/>
      <c r="AC903" s="122"/>
      <c r="AD903" s="122"/>
      <c r="AE903" s="122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115"/>
      <c r="AT903" s="26"/>
      <c r="AU903" s="13"/>
      <c r="AY903" s="117"/>
      <c r="AZ903" s="116"/>
      <c r="BA903" s="116"/>
      <c r="BB903" s="116"/>
    </row>
    <row r="904" spans="1:54" ht="19.5" x14ac:dyDescent="0.4">
      <c r="AT904" s="26"/>
      <c r="AU904" s="13"/>
      <c r="AY904" s="117"/>
      <c r="AZ904" s="116"/>
      <c r="BA904" s="116"/>
      <c r="BB904" s="116"/>
    </row>
    <row r="905" spans="1:54" ht="19.5" x14ac:dyDescent="0.4"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22"/>
      <c r="AD905" s="122"/>
      <c r="AE905" s="122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115"/>
      <c r="AT905" s="26"/>
      <c r="AU905" s="13"/>
      <c r="AY905" s="117"/>
      <c r="AZ905" s="116"/>
      <c r="BA905" s="116"/>
      <c r="BB905" s="116"/>
    </row>
    <row r="906" spans="1:54" ht="19.5" x14ac:dyDescent="0.4"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22"/>
      <c r="AD906" s="122"/>
      <c r="AE906" s="122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26"/>
      <c r="AU906" s="13"/>
      <c r="AY906" s="117"/>
      <c r="AZ906" s="116"/>
      <c r="BA906" s="116"/>
      <c r="BB906" s="116"/>
    </row>
    <row r="907" spans="1:54" ht="19.5" x14ac:dyDescent="0.4"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22"/>
      <c r="AD907" s="122"/>
      <c r="AE907" s="122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26"/>
      <c r="AU907" s="13"/>
      <c r="AY907" s="117"/>
      <c r="AZ907" s="116"/>
      <c r="BA907" s="116"/>
      <c r="BB907" s="116"/>
    </row>
    <row r="908" spans="1:54" ht="19.5" x14ac:dyDescent="0.4"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22"/>
      <c r="AD908" s="122"/>
      <c r="AE908" s="122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26"/>
      <c r="AU908" s="13"/>
      <c r="AY908" s="117"/>
      <c r="AZ908" s="116"/>
      <c r="BA908" s="116"/>
      <c r="BB908" s="116"/>
    </row>
    <row r="909" spans="1:54" ht="19.5" x14ac:dyDescent="0.4"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22"/>
      <c r="AD909" s="122"/>
      <c r="AE909" s="122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26"/>
      <c r="AU909" s="13"/>
      <c r="AY909" s="117"/>
      <c r="AZ909" s="116"/>
      <c r="BA909" s="116"/>
      <c r="BB909" s="116"/>
    </row>
    <row r="910" spans="1:54" ht="19.5" x14ac:dyDescent="0.4"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22"/>
      <c r="AD910" s="122"/>
      <c r="AE910" s="122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15"/>
      <c r="AT910" s="26"/>
      <c r="AU910" s="13"/>
      <c r="AY910" s="117"/>
      <c r="AZ910" s="116"/>
      <c r="BA910" s="116"/>
      <c r="BB910" s="116"/>
    </row>
    <row r="911" spans="1:54" ht="19.5" x14ac:dyDescent="0.4"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22"/>
      <c r="AD911" s="122"/>
      <c r="AE911" s="122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26"/>
      <c r="AU911" s="13"/>
      <c r="AY911" s="117"/>
      <c r="AZ911" s="116"/>
      <c r="BA911" s="116"/>
      <c r="BB911" s="116"/>
    </row>
    <row r="912" spans="1:54" ht="19.5" x14ac:dyDescent="0.4"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22"/>
      <c r="AD912" s="122"/>
      <c r="AE912" s="122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6"/>
      <c r="AU912" s="13"/>
      <c r="AY912" s="117"/>
      <c r="AZ912" s="116"/>
      <c r="BA912" s="116"/>
      <c r="BB912" s="116"/>
    </row>
    <row r="913" spans="1:54" ht="19.5" x14ac:dyDescent="0.4">
      <c r="AT913" s="26"/>
      <c r="AU913" s="15"/>
      <c r="AY913" s="117"/>
      <c r="AZ913" s="116"/>
      <c r="BA913" s="116"/>
      <c r="BB913" s="116"/>
    </row>
    <row r="914" spans="1:54" ht="19.5" x14ac:dyDescent="0.4"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22"/>
      <c r="AD914" s="122"/>
      <c r="AE914" s="122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26"/>
      <c r="AU914" s="15"/>
      <c r="AY914" s="117"/>
      <c r="AZ914" s="116"/>
      <c r="BA914" s="116"/>
      <c r="BB914" s="116"/>
    </row>
    <row r="915" spans="1:54" ht="19.5" x14ac:dyDescent="0.4"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22"/>
      <c r="AD915" s="122"/>
      <c r="AE915" s="122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7"/>
      <c r="AU915" s="15"/>
      <c r="AY915" s="117"/>
      <c r="AZ915" s="116"/>
      <c r="BA915" s="116"/>
      <c r="BB915" s="116"/>
    </row>
    <row r="916" spans="1:54" ht="19.5" x14ac:dyDescent="0.4">
      <c r="AT916" s="26"/>
      <c r="AU916" s="15"/>
      <c r="AY916" s="117"/>
      <c r="AZ916" s="116"/>
      <c r="BA916" s="116"/>
      <c r="BB916" s="116"/>
    </row>
    <row r="917" spans="1:54" ht="19.5" x14ac:dyDescent="0.4">
      <c r="AT917" s="26"/>
      <c r="AU917" s="13"/>
      <c r="AY917" s="117"/>
      <c r="AZ917" s="116"/>
      <c r="BA917" s="116"/>
      <c r="BB917" s="116"/>
    </row>
    <row r="918" spans="1:54" ht="19.5" x14ac:dyDescent="0.4">
      <c r="Z918" s="115"/>
      <c r="AA918" s="115"/>
      <c r="AB918" s="115"/>
      <c r="AC918" s="122"/>
      <c r="AD918" s="122"/>
      <c r="AE918" s="122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26"/>
      <c r="AU918" s="13"/>
      <c r="AY918" s="117"/>
      <c r="AZ918" s="116"/>
      <c r="BA918" s="116"/>
      <c r="BB918" s="116"/>
    </row>
    <row r="919" spans="1:54" ht="19.5" x14ac:dyDescent="0.4"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22"/>
      <c r="AD919" s="122"/>
      <c r="AE919" s="122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26"/>
      <c r="AU919" s="13"/>
      <c r="AY919" s="117"/>
      <c r="AZ919" s="116"/>
      <c r="BA919" s="116"/>
      <c r="BB919" s="116"/>
    </row>
    <row r="920" spans="1:54" ht="19.5" x14ac:dyDescent="0.4"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22"/>
      <c r="AD920" s="122"/>
      <c r="AE920" s="122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7"/>
      <c r="AU920" s="13"/>
      <c r="AY920" s="117"/>
      <c r="AZ920" s="116"/>
      <c r="BA920" s="116"/>
      <c r="BB920" s="116"/>
    </row>
    <row r="921" spans="1:54" ht="19.5" x14ac:dyDescent="0.4"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22"/>
      <c r="AD921" s="122"/>
      <c r="AE921" s="122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26"/>
      <c r="AU921" s="25"/>
      <c r="AY921" s="117"/>
      <c r="AZ921" s="116"/>
      <c r="BA921" s="116"/>
      <c r="BB921" s="116"/>
    </row>
    <row r="922" spans="1:54" ht="19.5" x14ac:dyDescent="0.4"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22"/>
      <c r="AD922" s="122"/>
      <c r="AE922" s="122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115"/>
      <c r="AT922" s="17"/>
      <c r="AU922" s="13"/>
      <c r="AY922" s="117"/>
      <c r="AZ922" s="116"/>
      <c r="BA922" s="116"/>
      <c r="BB922" s="116"/>
    </row>
    <row r="923" spans="1:54" ht="19.5" x14ac:dyDescent="0.4"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22"/>
      <c r="AD923" s="122"/>
      <c r="AE923" s="122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26"/>
      <c r="AU923" s="13"/>
      <c r="AY923" s="117"/>
      <c r="AZ923" s="116"/>
      <c r="BA923" s="116"/>
      <c r="BB923" s="116"/>
    </row>
    <row r="924" spans="1:54" ht="19.5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22"/>
      <c r="AD924" s="122"/>
      <c r="AE924" s="122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6"/>
      <c r="AU924" s="13"/>
      <c r="AY924" s="117"/>
      <c r="AZ924" s="116"/>
      <c r="BA924" s="116"/>
      <c r="BB924" s="116"/>
    </row>
    <row r="925" spans="1:54" ht="19.5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22"/>
      <c r="AD925" s="122"/>
      <c r="AE925" s="122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15"/>
      <c r="AT925" s="26"/>
      <c r="AU925" s="13"/>
      <c r="AY925" s="117"/>
      <c r="AZ925" s="116"/>
      <c r="BA925" s="116"/>
      <c r="BB925" s="116"/>
    </row>
    <row r="926" spans="1:54" ht="19.5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22"/>
      <c r="AD926" s="122"/>
      <c r="AE926" s="122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26"/>
      <c r="AU926" s="13"/>
      <c r="AY926" s="117"/>
      <c r="AZ926" s="116"/>
      <c r="BA926" s="116"/>
      <c r="BB926" s="116"/>
    </row>
    <row r="927" spans="1:54" ht="19.5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22"/>
      <c r="AD927" s="122"/>
      <c r="AE927" s="122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6"/>
      <c r="AU927" s="13"/>
      <c r="AY927" s="117"/>
      <c r="AZ927" s="116"/>
      <c r="BA927" s="116"/>
      <c r="BB927" s="116"/>
    </row>
    <row r="928" spans="1:54" ht="19.5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22"/>
      <c r="AD928" s="122"/>
      <c r="AE928" s="122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26"/>
      <c r="AU928" s="13"/>
      <c r="AY928" s="117"/>
      <c r="AZ928" s="116"/>
      <c r="BA928" s="116"/>
      <c r="BB928" s="116"/>
    </row>
    <row r="929" spans="1:54" ht="19.5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22"/>
      <c r="AD929" s="122"/>
      <c r="AE929" s="122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26"/>
      <c r="AU929" s="13"/>
      <c r="AY929" s="117"/>
      <c r="AZ929" s="116"/>
      <c r="BA929" s="116"/>
      <c r="BB929" s="116"/>
    </row>
    <row r="930" spans="1:54" ht="19.5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22"/>
      <c r="AD930" s="122"/>
      <c r="AE930" s="122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26"/>
      <c r="AU930" s="13"/>
      <c r="AY930" s="117"/>
      <c r="AZ930" s="116"/>
      <c r="BA930" s="116"/>
      <c r="BB930" s="116"/>
    </row>
    <row r="931" spans="1:54" ht="19.5" x14ac:dyDescent="0.4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22"/>
      <c r="AD931" s="122"/>
      <c r="AE931" s="122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115"/>
      <c r="AT931" s="26"/>
      <c r="AU931" s="15"/>
      <c r="AY931" s="117"/>
      <c r="AZ931" s="116"/>
      <c r="BA931" s="116"/>
      <c r="BB931" s="116"/>
    </row>
    <row r="932" spans="1:54" ht="19.5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22"/>
      <c r="AD932" s="122"/>
      <c r="AE932" s="122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26"/>
      <c r="AU932" s="15"/>
      <c r="AY932" s="117"/>
      <c r="AZ932" s="116"/>
      <c r="BA932" s="116"/>
      <c r="BB932" s="116"/>
    </row>
    <row r="933" spans="1:54" ht="19.5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22"/>
      <c r="AD933" s="122"/>
      <c r="AE933" s="122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26"/>
      <c r="AU933" s="15"/>
      <c r="AY933" s="117"/>
      <c r="AZ933" s="116"/>
      <c r="BA933" s="116"/>
      <c r="BB933" s="116"/>
    </row>
    <row r="934" spans="1:54" ht="19.5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22"/>
      <c r="AD934" s="122"/>
      <c r="AE934" s="122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26"/>
      <c r="AU934" s="15"/>
      <c r="AY934" s="117"/>
      <c r="AZ934" s="116"/>
      <c r="BA934" s="116"/>
      <c r="BB934" s="116"/>
    </row>
    <row r="935" spans="1:54" ht="19.5" x14ac:dyDescent="0.4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22"/>
      <c r="AD935" s="122"/>
      <c r="AE935" s="122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6"/>
      <c r="AU935" s="25"/>
      <c r="AY935" s="117"/>
      <c r="AZ935" s="116"/>
      <c r="BA935" s="116"/>
      <c r="BB935" s="116"/>
    </row>
    <row r="936" spans="1:54" ht="19.5" x14ac:dyDescent="0.4">
      <c r="AT936" s="26"/>
      <c r="AU936" s="15"/>
      <c r="AY936" s="117"/>
      <c r="AZ936" s="116"/>
      <c r="BA936" s="116"/>
      <c r="BB936" s="116"/>
    </row>
    <row r="937" spans="1:54" ht="19.5" x14ac:dyDescent="0.4">
      <c r="AB937" s="115"/>
      <c r="AC937" s="122"/>
      <c r="AD937" s="122"/>
      <c r="AE937" s="122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6"/>
      <c r="AU937" s="15"/>
      <c r="AY937" s="117"/>
      <c r="AZ937" s="116"/>
      <c r="BA937" s="116"/>
      <c r="BB937" s="116"/>
    </row>
    <row r="938" spans="1:54" ht="19.5" x14ac:dyDescent="0.4">
      <c r="Z938" s="115"/>
      <c r="AA938" s="115"/>
      <c r="AB938" s="115"/>
      <c r="AC938" s="122"/>
      <c r="AD938" s="122"/>
      <c r="AE938" s="122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26"/>
      <c r="AU938" s="15"/>
      <c r="AY938" s="117"/>
      <c r="AZ938" s="116"/>
      <c r="BA938" s="116"/>
      <c r="BB938" s="116"/>
    </row>
    <row r="939" spans="1:54" ht="19.5" x14ac:dyDescent="0.4">
      <c r="Z939" s="115"/>
      <c r="AA939" s="115"/>
      <c r="AB939" s="115"/>
      <c r="AC939" s="122"/>
      <c r="AD939" s="122"/>
      <c r="AE939" s="122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17"/>
      <c r="AU939" s="15"/>
      <c r="AY939" s="117"/>
      <c r="AZ939" s="116"/>
      <c r="BA939" s="116"/>
      <c r="BB939" s="116"/>
    </row>
    <row r="940" spans="1:54" ht="19.5" x14ac:dyDescent="0.4">
      <c r="W940" s="115"/>
      <c r="X940" s="115"/>
      <c r="Y940" s="115"/>
      <c r="Z940" s="115"/>
      <c r="AA940" s="115"/>
      <c r="AB940" s="115"/>
      <c r="AC940" s="122"/>
      <c r="AD940" s="122"/>
      <c r="AE940" s="122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26"/>
      <c r="AU940" s="15"/>
      <c r="AY940" s="117"/>
      <c r="AZ940" s="116"/>
      <c r="BA940" s="116"/>
      <c r="BB940" s="116"/>
    </row>
    <row r="941" spans="1:54" ht="19.5" x14ac:dyDescent="0.4">
      <c r="W941" s="115"/>
      <c r="X941" s="115"/>
      <c r="Y941" s="115"/>
      <c r="Z941" s="115"/>
      <c r="AA941" s="115"/>
      <c r="AB941" s="115"/>
      <c r="AC941" s="122"/>
      <c r="AD941" s="122"/>
      <c r="AE941" s="122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115"/>
      <c r="AT941" s="17"/>
      <c r="AU941" s="15"/>
      <c r="AY941" s="117"/>
      <c r="AZ941" s="116"/>
      <c r="BA941" s="116"/>
      <c r="BB941" s="116"/>
    </row>
    <row r="942" spans="1:54" ht="19.5" x14ac:dyDescent="0.4">
      <c r="W942" s="115"/>
      <c r="X942" s="115"/>
      <c r="Y942" s="115"/>
      <c r="Z942" s="115"/>
      <c r="AA942" s="115"/>
      <c r="AB942" s="115"/>
      <c r="AC942" s="122"/>
      <c r="AD942" s="122"/>
      <c r="AE942" s="122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6"/>
      <c r="AU942" s="15"/>
      <c r="AY942" s="117"/>
      <c r="AZ942" s="116"/>
      <c r="BA942" s="116"/>
      <c r="BB942" s="116"/>
    </row>
    <row r="943" spans="1:54" ht="19.5" x14ac:dyDescent="0.4">
      <c r="W943" s="115"/>
      <c r="X943" s="115"/>
      <c r="Y943" s="115"/>
      <c r="Z943" s="115"/>
      <c r="AA943" s="115"/>
      <c r="AB943" s="115"/>
      <c r="AC943" s="122"/>
      <c r="AD943" s="122"/>
      <c r="AE943" s="122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7"/>
      <c r="AU943" s="13"/>
      <c r="AY943" s="117"/>
      <c r="AZ943" s="116"/>
      <c r="BA943" s="116"/>
      <c r="BB943" s="116"/>
    </row>
    <row r="944" spans="1:54" ht="19.5" x14ac:dyDescent="0.4">
      <c r="W944" s="115"/>
      <c r="X944" s="115"/>
      <c r="Y944" s="115"/>
      <c r="Z944" s="115"/>
      <c r="AA944" s="115"/>
      <c r="AB944" s="115"/>
      <c r="AC944" s="122"/>
      <c r="AD944" s="122"/>
      <c r="AE944" s="122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7"/>
      <c r="AU944" s="13"/>
      <c r="AY944" s="117"/>
      <c r="AZ944" s="116"/>
      <c r="BA944" s="116"/>
      <c r="BB944" s="116"/>
    </row>
    <row r="945" spans="1:54" ht="19.5" x14ac:dyDescent="0.4">
      <c r="AT945" s="26"/>
      <c r="AU945" s="13"/>
      <c r="AY945" s="117"/>
      <c r="AZ945" s="116"/>
      <c r="BA945" s="116"/>
      <c r="BB945" s="116"/>
    </row>
    <row r="946" spans="1:54" ht="19.5" x14ac:dyDescent="0.4">
      <c r="AB946" s="115"/>
      <c r="AC946" s="122"/>
      <c r="AD946" s="122"/>
      <c r="AE946" s="122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17"/>
      <c r="AU946" s="13"/>
      <c r="AY946" s="117"/>
      <c r="AZ946" s="116"/>
      <c r="BA946" s="116"/>
      <c r="BB946" s="116"/>
    </row>
    <row r="947" spans="1:54" ht="19.5" x14ac:dyDescent="0.4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22"/>
      <c r="AD947" s="122"/>
      <c r="AE947" s="122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26"/>
      <c r="AU947" s="13"/>
      <c r="AY947" s="117"/>
      <c r="AZ947" s="116"/>
      <c r="BA947" s="116"/>
      <c r="BB947" s="116"/>
    </row>
    <row r="948" spans="1:54" ht="19.5" x14ac:dyDescent="0.4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22"/>
      <c r="AD948" s="122"/>
      <c r="AE948" s="122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6"/>
      <c r="AU948" s="13"/>
      <c r="AY948" s="117"/>
      <c r="AZ948" s="116"/>
      <c r="BA948" s="116"/>
      <c r="BB948" s="116"/>
    </row>
    <row r="949" spans="1:54" ht="19.5" x14ac:dyDescent="0.4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22"/>
      <c r="AD949" s="122"/>
      <c r="AE949" s="122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26"/>
      <c r="AU949" s="13"/>
      <c r="AY949" s="117"/>
      <c r="AZ949" s="116"/>
      <c r="BA949" s="116"/>
      <c r="BB949" s="116"/>
    </row>
    <row r="950" spans="1:54" ht="19.5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22"/>
      <c r="AD950" s="122"/>
      <c r="AE950" s="122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26"/>
      <c r="AU950" s="13"/>
      <c r="AY950" s="117"/>
      <c r="AZ950" s="116"/>
      <c r="BA950" s="116"/>
      <c r="BB950" s="116"/>
    </row>
    <row r="951" spans="1:54" ht="19.5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22"/>
      <c r="AD951" s="122"/>
      <c r="AE951" s="122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7"/>
      <c r="AU951" s="13"/>
      <c r="AY951" s="117"/>
      <c r="AZ951" s="116"/>
      <c r="BA951" s="116"/>
      <c r="BB951" s="116"/>
    </row>
    <row r="952" spans="1:54" ht="19.5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22"/>
      <c r="AD952" s="122"/>
      <c r="AE952" s="122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26"/>
      <c r="AU952" s="13"/>
      <c r="AY952" s="117"/>
      <c r="AZ952" s="116"/>
      <c r="BA952" s="116"/>
      <c r="BB952" s="116"/>
    </row>
    <row r="953" spans="1:54" ht="19.5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22"/>
      <c r="AD953" s="122"/>
      <c r="AE953" s="122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15"/>
      <c r="AT953" s="26"/>
      <c r="AU953" s="15"/>
      <c r="AY953" s="117"/>
      <c r="AZ953" s="116"/>
      <c r="BA953" s="116"/>
      <c r="BB953" s="116"/>
    </row>
    <row r="954" spans="1:54" ht="19.5" x14ac:dyDescent="0.4">
      <c r="AT954" s="26"/>
      <c r="AU954" s="15"/>
      <c r="AY954" s="117"/>
      <c r="AZ954" s="116"/>
      <c r="BA954" s="116"/>
      <c r="BB954" s="116"/>
    </row>
    <row r="955" spans="1:54" ht="19.5" x14ac:dyDescent="0.4">
      <c r="AA955" s="115"/>
      <c r="AB955" s="115"/>
      <c r="AC955" s="122"/>
      <c r="AD955" s="122"/>
      <c r="AE955" s="122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26"/>
      <c r="AU955" s="13"/>
      <c r="AY955" s="117"/>
      <c r="AZ955" s="116"/>
      <c r="BA955" s="116"/>
      <c r="BB955" s="116"/>
    </row>
    <row r="956" spans="1:54" ht="19.5" x14ac:dyDescent="0.4">
      <c r="Y956" s="115"/>
      <c r="Z956" s="115"/>
      <c r="AA956" s="115"/>
      <c r="AB956" s="115"/>
      <c r="AC956" s="122"/>
      <c r="AD956" s="122"/>
      <c r="AE956" s="122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26"/>
      <c r="AU956" s="15"/>
      <c r="AY956" s="117"/>
      <c r="AZ956" s="116"/>
      <c r="BA956" s="116"/>
      <c r="BB956" s="116"/>
    </row>
    <row r="957" spans="1:54" ht="19.5" x14ac:dyDescent="0.4">
      <c r="Y957" s="115"/>
      <c r="Z957" s="115"/>
      <c r="AA957" s="115"/>
      <c r="AB957" s="115"/>
      <c r="AC957" s="122"/>
      <c r="AD957" s="122"/>
      <c r="AE957" s="122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6"/>
      <c r="AU957" s="15"/>
      <c r="AY957" s="117"/>
      <c r="AZ957" s="116"/>
      <c r="BA957" s="116"/>
      <c r="BB957" s="116"/>
    </row>
    <row r="958" spans="1:54" ht="19.5" x14ac:dyDescent="0.4">
      <c r="Y958" s="115"/>
      <c r="Z958" s="115"/>
      <c r="AA958" s="115"/>
      <c r="AB958" s="115"/>
      <c r="AC958" s="122"/>
      <c r="AD958" s="122"/>
      <c r="AE958" s="122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115"/>
      <c r="AT958" s="17"/>
      <c r="AU958" s="15"/>
      <c r="AY958" s="117"/>
      <c r="AZ958" s="116"/>
      <c r="BA958" s="116"/>
      <c r="BB958" s="116"/>
    </row>
    <row r="959" spans="1:54" ht="19.5" x14ac:dyDescent="0.4">
      <c r="X959" s="115"/>
      <c r="Y959" s="115"/>
      <c r="Z959" s="115"/>
      <c r="AA959" s="115"/>
      <c r="AB959" s="115"/>
      <c r="AC959" s="122"/>
      <c r="AD959" s="122"/>
      <c r="AE959" s="122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26"/>
      <c r="AU959" s="15"/>
      <c r="AY959" s="117"/>
      <c r="AZ959" s="116"/>
      <c r="BA959" s="116"/>
      <c r="BB959" s="116"/>
    </row>
    <row r="960" spans="1:54" ht="19.5" x14ac:dyDescent="0.4">
      <c r="X960" s="115"/>
      <c r="Y960" s="115"/>
      <c r="Z960" s="115"/>
      <c r="AA960" s="115"/>
      <c r="AB960" s="115"/>
      <c r="AC960" s="122"/>
      <c r="AD960" s="122"/>
      <c r="AE960" s="122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115"/>
      <c r="AT960" s="26"/>
      <c r="AU960" s="15"/>
      <c r="AY960" s="117"/>
      <c r="AZ960" s="116"/>
      <c r="BA960" s="116"/>
      <c r="BB960" s="116"/>
    </row>
    <row r="961" spans="1:54" ht="19.5" x14ac:dyDescent="0.4">
      <c r="X961" s="115"/>
      <c r="Y961" s="115"/>
      <c r="Z961" s="115"/>
      <c r="AA961" s="115"/>
      <c r="AB961" s="115"/>
      <c r="AC961" s="122"/>
      <c r="AD961" s="122"/>
      <c r="AE961" s="122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26"/>
      <c r="AU961" s="105"/>
      <c r="AY961" s="117"/>
      <c r="AZ961" s="116"/>
      <c r="BA961" s="116"/>
      <c r="BB961" s="116"/>
    </row>
    <row r="962" spans="1:54" ht="19.5" x14ac:dyDescent="0.4">
      <c r="X962" s="115"/>
      <c r="Y962" s="115"/>
      <c r="Z962" s="115"/>
      <c r="AA962" s="115"/>
      <c r="AB962" s="115"/>
      <c r="AC962" s="122"/>
      <c r="AD962" s="122"/>
      <c r="AE962" s="122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7"/>
      <c r="AU962" s="15"/>
      <c r="AY962" s="117"/>
      <c r="AZ962" s="116"/>
      <c r="BA962" s="116"/>
      <c r="BB962" s="116"/>
    </row>
    <row r="963" spans="1:54" ht="19.5" x14ac:dyDescent="0.4">
      <c r="X963" s="115"/>
      <c r="Y963" s="115"/>
      <c r="Z963" s="115"/>
      <c r="AA963" s="115"/>
      <c r="AB963" s="115"/>
      <c r="AC963" s="122"/>
      <c r="AD963" s="122"/>
      <c r="AE963" s="122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15"/>
      <c r="AT963" s="26"/>
      <c r="AU963" s="15"/>
      <c r="AY963" s="117"/>
      <c r="AZ963" s="116"/>
      <c r="BA963" s="116"/>
      <c r="BB963" s="116"/>
    </row>
    <row r="964" spans="1:54" ht="19.5" x14ac:dyDescent="0.4">
      <c r="X964" s="115"/>
      <c r="Y964" s="115"/>
      <c r="Z964" s="115"/>
      <c r="AA964" s="115"/>
      <c r="AB964" s="115"/>
      <c r="AC964" s="122"/>
      <c r="AD964" s="122"/>
      <c r="AE964" s="122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15"/>
      <c r="AT964" s="17"/>
      <c r="AU964" s="15"/>
      <c r="AY964" s="117"/>
      <c r="AZ964" s="116"/>
      <c r="BA964" s="116"/>
      <c r="BB964" s="116"/>
    </row>
    <row r="965" spans="1:54" ht="19.5" x14ac:dyDescent="0.4"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22"/>
      <c r="AD965" s="122"/>
      <c r="AE965" s="122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6"/>
      <c r="AU965" s="15"/>
      <c r="AY965" s="117"/>
      <c r="AZ965" s="116"/>
      <c r="BA965" s="116"/>
      <c r="BB965" s="116"/>
    </row>
    <row r="966" spans="1:54" ht="19.5" x14ac:dyDescent="0.4"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22"/>
      <c r="AD966" s="122"/>
      <c r="AE966" s="122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7"/>
      <c r="AU966" s="15"/>
      <c r="AY966" s="117"/>
      <c r="AZ966" s="116"/>
      <c r="BA966" s="116"/>
      <c r="BB966" s="116"/>
    </row>
    <row r="967" spans="1:54" ht="19.5" x14ac:dyDescent="0.4"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22"/>
      <c r="AD967" s="122"/>
      <c r="AE967" s="122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115"/>
      <c r="AT967" s="26"/>
      <c r="AU967" s="15"/>
      <c r="AY967" s="117"/>
      <c r="AZ967" s="116"/>
      <c r="BA967" s="116"/>
      <c r="BB967" s="116"/>
    </row>
    <row r="968" spans="1:54" ht="19.5" x14ac:dyDescent="0.4"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22"/>
      <c r="AD968" s="122"/>
      <c r="AE968" s="122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7"/>
      <c r="AU968" s="15"/>
      <c r="AY968" s="117"/>
      <c r="AZ968" s="116"/>
      <c r="BA968" s="116"/>
      <c r="BB968" s="116"/>
    </row>
    <row r="969" spans="1:54" ht="19.5" x14ac:dyDescent="0.4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22"/>
      <c r="AD969" s="122"/>
      <c r="AE969" s="122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26"/>
      <c r="AU969" s="15"/>
      <c r="AY969" s="117"/>
      <c r="AZ969" s="116"/>
      <c r="BA969" s="116"/>
      <c r="BB969" s="116"/>
    </row>
    <row r="970" spans="1:54" ht="19.5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22"/>
      <c r="AD970" s="122"/>
      <c r="AE970" s="122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15"/>
      <c r="AT970" s="26"/>
      <c r="AU970" s="15"/>
      <c r="AY970" s="117"/>
      <c r="AZ970" s="116"/>
      <c r="BA970" s="116"/>
      <c r="BB970" s="116"/>
    </row>
    <row r="971" spans="1:54" ht="19.5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22"/>
      <c r="AD971" s="122"/>
      <c r="AE971" s="122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115"/>
      <c r="AT971" s="26"/>
      <c r="AU971" s="15"/>
      <c r="AY971" s="117"/>
      <c r="AZ971" s="116"/>
      <c r="BA971" s="116"/>
      <c r="BB971" s="116"/>
    </row>
    <row r="972" spans="1:54" ht="19.5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22"/>
      <c r="AD972" s="122"/>
      <c r="AE972" s="122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26"/>
      <c r="AU972" s="15"/>
      <c r="AY972" s="117"/>
      <c r="AZ972" s="116"/>
      <c r="BA972" s="116"/>
      <c r="BB972" s="116"/>
    </row>
    <row r="973" spans="1:54" ht="19.5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22"/>
      <c r="AD973" s="122"/>
      <c r="AE973" s="122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26"/>
      <c r="AU973" s="15"/>
      <c r="AY973" s="117"/>
      <c r="AZ973" s="116"/>
      <c r="BA973" s="116"/>
      <c r="BB973" s="116"/>
    </row>
    <row r="974" spans="1:54" ht="19.5" x14ac:dyDescent="0.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22"/>
      <c r="AD974" s="122"/>
      <c r="AE974" s="122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115"/>
      <c r="AT974" s="26"/>
      <c r="AU974" s="15"/>
      <c r="AY974" s="117"/>
      <c r="AZ974" s="116"/>
      <c r="BA974" s="116"/>
      <c r="BB974" s="116"/>
    </row>
    <row r="975" spans="1:54" ht="19.5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22"/>
      <c r="AD975" s="122"/>
      <c r="AE975" s="122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15"/>
      <c r="AT975" s="17"/>
      <c r="AU975" s="15"/>
      <c r="AY975" s="117"/>
      <c r="AZ975" s="116"/>
      <c r="BA975" s="116"/>
      <c r="BB975" s="116"/>
    </row>
    <row r="976" spans="1:54" ht="19.5" x14ac:dyDescent="0.4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22"/>
      <c r="AD976" s="122"/>
      <c r="AE976" s="122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26"/>
      <c r="AU976" s="15"/>
      <c r="AY976" s="117"/>
      <c r="AZ976" s="116"/>
      <c r="BA976" s="116"/>
      <c r="BB976" s="116"/>
    </row>
    <row r="977" spans="1:54" ht="19.5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22"/>
      <c r="AD977" s="122"/>
      <c r="AE977" s="122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7"/>
      <c r="AU977" s="15"/>
      <c r="AY977" s="117"/>
      <c r="AZ977" s="116"/>
      <c r="BA977" s="116"/>
      <c r="BB977" s="116"/>
    </row>
    <row r="978" spans="1:54" ht="19.5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22"/>
      <c r="AD978" s="122"/>
      <c r="AE978" s="122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6"/>
      <c r="AU978" s="15"/>
      <c r="AY978" s="117"/>
      <c r="AZ978" s="116"/>
      <c r="BA978" s="116"/>
      <c r="BB978" s="116"/>
    </row>
    <row r="979" spans="1:54" ht="19.5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22"/>
      <c r="AD979" s="122"/>
      <c r="AE979" s="122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20"/>
      <c r="AU979" s="15"/>
      <c r="AY979" s="117"/>
      <c r="AZ979" s="116"/>
      <c r="BA979" s="116"/>
      <c r="BB979" s="116"/>
    </row>
    <row r="980" spans="1:54" ht="19.5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22"/>
      <c r="AD980" s="122"/>
      <c r="AE980" s="122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0"/>
      <c r="AU980" s="15"/>
      <c r="AY980" s="117"/>
      <c r="AZ980" s="116"/>
      <c r="BA980" s="116"/>
      <c r="BB980" s="116"/>
    </row>
    <row r="981" spans="1:54" ht="19.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22"/>
      <c r="AD981" s="122"/>
      <c r="AE981" s="122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20"/>
      <c r="AU981" s="15"/>
      <c r="AY981" s="117"/>
      <c r="AZ981" s="116"/>
      <c r="BA981" s="116"/>
      <c r="BB981" s="116"/>
    </row>
    <row r="982" spans="1:54" ht="19.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22"/>
      <c r="AD982" s="122"/>
      <c r="AE982" s="122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0"/>
      <c r="AU982" s="15"/>
      <c r="AY982" s="117"/>
      <c r="AZ982" s="116"/>
      <c r="BA982" s="116"/>
      <c r="BB982" s="116"/>
    </row>
    <row r="983" spans="1:54" ht="19.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22"/>
      <c r="AD983" s="122"/>
      <c r="AE983" s="122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25"/>
      <c r="AU983" s="15"/>
      <c r="AY983" s="117"/>
      <c r="AZ983" s="116"/>
      <c r="BA983" s="116"/>
      <c r="BB983" s="116"/>
    </row>
    <row r="984" spans="1:54" ht="19.5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22"/>
      <c r="AD984" s="122"/>
      <c r="AE984" s="122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3"/>
      <c r="AU984" s="15"/>
      <c r="AY984" s="117"/>
      <c r="AZ984" s="116"/>
      <c r="BA984" s="116"/>
      <c r="BB984" s="116"/>
    </row>
    <row r="985" spans="1:54" ht="19.5" x14ac:dyDescent="0.4">
      <c r="AT985" s="25"/>
      <c r="AU985" s="15"/>
      <c r="AY985" s="117"/>
      <c r="AZ985" s="116"/>
      <c r="BA985" s="116"/>
      <c r="BB985" s="116"/>
    </row>
    <row r="986" spans="1:54" ht="19.5" x14ac:dyDescent="0.4">
      <c r="Z986" s="115"/>
      <c r="AA986" s="115"/>
      <c r="AB986" s="115"/>
      <c r="AC986" s="122"/>
      <c r="AD986" s="122"/>
      <c r="AE986" s="122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3"/>
      <c r="AU986" s="15"/>
      <c r="AY986" s="117"/>
      <c r="AZ986" s="116"/>
      <c r="BA986" s="116"/>
      <c r="BB986" s="116"/>
    </row>
    <row r="987" spans="1:54" ht="19.5" x14ac:dyDescent="0.4"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22"/>
      <c r="AD987" s="122"/>
      <c r="AE987" s="122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25"/>
      <c r="AU987" s="15"/>
      <c r="AY987" s="117"/>
      <c r="AZ987" s="116"/>
      <c r="BA987" s="116"/>
      <c r="BB987" s="116"/>
    </row>
    <row r="988" spans="1:54" ht="19.5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22"/>
      <c r="AD988" s="122"/>
      <c r="AE988" s="122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25"/>
      <c r="AU988" s="15"/>
      <c r="AY988" s="117"/>
      <c r="AZ988" s="116"/>
      <c r="BA988" s="116"/>
      <c r="BB988" s="116"/>
    </row>
    <row r="989" spans="1:54" ht="19.5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22"/>
      <c r="AD989" s="122"/>
      <c r="AE989" s="122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3"/>
      <c r="AU989" s="15"/>
      <c r="AY989" s="117"/>
      <c r="AZ989" s="116"/>
      <c r="BA989" s="116"/>
      <c r="BB989" s="116"/>
    </row>
    <row r="990" spans="1:54" ht="19.5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22"/>
      <c r="AD990" s="122"/>
      <c r="AE990" s="122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25"/>
      <c r="AU990" s="15"/>
      <c r="AY990" s="117"/>
      <c r="AZ990" s="116"/>
      <c r="BA990" s="116"/>
      <c r="BB990" s="116"/>
    </row>
    <row r="991" spans="1:54" ht="19.5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22"/>
      <c r="AD991" s="122"/>
      <c r="AE991" s="122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3"/>
      <c r="AU991" s="15"/>
      <c r="AY991" s="117"/>
      <c r="AZ991" s="116"/>
      <c r="BA991" s="116"/>
      <c r="BB991" s="116"/>
    </row>
    <row r="992" spans="1:54" ht="19.5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22"/>
      <c r="AD992" s="122"/>
      <c r="AE992" s="122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5"/>
      <c r="AU992" s="15"/>
      <c r="AY992" s="117"/>
      <c r="AZ992" s="116"/>
      <c r="BA992" s="116"/>
      <c r="BB992" s="116"/>
    </row>
    <row r="993" spans="1:54" ht="19.5" x14ac:dyDescent="0.4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22"/>
      <c r="AD993" s="122"/>
      <c r="AE993" s="122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26"/>
      <c r="AU993" s="15"/>
      <c r="AY993" s="117"/>
      <c r="AZ993" s="116"/>
      <c r="BA993" s="116"/>
      <c r="BB993" s="116"/>
    </row>
    <row r="994" spans="1:54" ht="19.5" x14ac:dyDescent="0.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22"/>
      <c r="AD994" s="122"/>
      <c r="AE994" s="122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17"/>
      <c r="AU994" s="13"/>
      <c r="AY994" s="117"/>
      <c r="AZ994" s="116"/>
      <c r="BA994" s="116"/>
      <c r="BB994" s="116"/>
    </row>
    <row r="995" spans="1:54" ht="19.5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22"/>
      <c r="AD995" s="122"/>
      <c r="AE995" s="122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26"/>
      <c r="AU995" s="13"/>
      <c r="AY995" s="117"/>
      <c r="AZ995" s="116"/>
      <c r="BA995" s="116"/>
      <c r="BB995" s="116"/>
    </row>
    <row r="996" spans="1:54" ht="19.5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22"/>
      <c r="AD996" s="122"/>
      <c r="AE996" s="122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7"/>
      <c r="AU996" s="13"/>
      <c r="AY996" s="117"/>
      <c r="AZ996" s="116"/>
      <c r="BA996" s="116"/>
      <c r="BB996" s="116"/>
    </row>
    <row r="997" spans="1:54" ht="19.5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22"/>
      <c r="AD997" s="122"/>
      <c r="AE997" s="122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6"/>
      <c r="AU997" s="15"/>
      <c r="AY997" s="117"/>
      <c r="AZ997" s="116"/>
      <c r="BA997" s="116"/>
      <c r="BB997" s="116"/>
    </row>
    <row r="998" spans="1:54" ht="19.5" x14ac:dyDescent="0.4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22"/>
      <c r="AD998" s="122"/>
      <c r="AE998" s="122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7"/>
      <c r="AU998" s="15"/>
      <c r="AY998" s="117"/>
      <c r="AZ998" s="116"/>
      <c r="BA998" s="116"/>
      <c r="BB998" s="116"/>
    </row>
    <row r="999" spans="1:54" ht="19.5" x14ac:dyDescent="0.4">
      <c r="AT999" s="26"/>
      <c r="AU999" s="105"/>
      <c r="AY999" s="117"/>
      <c r="AZ999" s="116"/>
      <c r="BA999" s="116"/>
      <c r="BB999" s="116"/>
    </row>
    <row r="1000" spans="1:54" ht="19.5" x14ac:dyDescent="0.4">
      <c r="Z1000" s="115"/>
      <c r="AA1000" s="115"/>
      <c r="AB1000" s="115"/>
      <c r="AC1000" s="122"/>
      <c r="AD1000" s="122"/>
      <c r="AE1000" s="122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7"/>
      <c r="AU1000" s="15"/>
      <c r="AY1000" s="117"/>
      <c r="AZ1000" s="116"/>
      <c r="BA1000" s="116"/>
      <c r="BB1000" s="116"/>
    </row>
    <row r="1001" spans="1:54" ht="19.5" x14ac:dyDescent="0.4">
      <c r="W1001" s="115"/>
      <c r="X1001" s="115"/>
      <c r="Y1001" s="115"/>
      <c r="Z1001" s="115"/>
      <c r="AA1001" s="115"/>
      <c r="AB1001" s="115"/>
      <c r="AC1001" s="122"/>
      <c r="AD1001" s="122"/>
      <c r="AE1001" s="122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26"/>
      <c r="AU1001" s="15"/>
      <c r="AY1001" s="117"/>
      <c r="AZ1001" s="116"/>
      <c r="BA1001" s="116"/>
      <c r="BB1001" s="116"/>
    </row>
    <row r="1002" spans="1:54" ht="19.5" x14ac:dyDescent="0.4">
      <c r="W1002" s="115"/>
      <c r="X1002" s="115"/>
      <c r="Y1002" s="115"/>
      <c r="Z1002" s="115"/>
      <c r="AA1002" s="115"/>
      <c r="AB1002" s="115"/>
      <c r="AC1002" s="122"/>
      <c r="AD1002" s="122"/>
      <c r="AE1002" s="122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7"/>
      <c r="AU1002" s="15"/>
      <c r="AY1002" s="117"/>
      <c r="AZ1002" s="116"/>
      <c r="BA1002" s="116"/>
      <c r="BB1002" s="116"/>
    </row>
    <row r="1003" spans="1:54" ht="19.5" x14ac:dyDescent="0.4"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22"/>
      <c r="AD1003" s="122"/>
      <c r="AE1003" s="122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26"/>
      <c r="AU1003" s="15"/>
      <c r="AY1003" s="117"/>
      <c r="AZ1003" s="116"/>
      <c r="BA1003" s="116"/>
      <c r="BB1003" s="116"/>
    </row>
    <row r="1004" spans="1:54" ht="19.5" x14ac:dyDescent="0.4"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22"/>
      <c r="AD1004" s="122"/>
      <c r="AE1004" s="122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7"/>
      <c r="AU1004" s="15"/>
      <c r="AY1004" s="117"/>
      <c r="AZ1004" s="116"/>
      <c r="BA1004" s="116"/>
      <c r="BB1004" s="116"/>
    </row>
    <row r="1005" spans="1:54" ht="19.5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22"/>
      <c r="AD1005" s="122"/>
      <c r="AE1005" s="122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26"/>
      <c r="AU1005" s="15"/>
      <c r="AY1005" s="117"/>
      <c r="AZ1005" s="116"/>
      <c r="BA1005" s="116"/>
      <c r="BB1005" s="116"/>
    </row>
    <row r="1006" spans="1:54" ht="19.5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22"/>
      <c r="AD1006" s="122"/>
      <c r="AE1006" s="122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26"/>
      <c r="AU1006" s="15"/>
      <c r="AY1006" s="117"/>
      <c r="AZ1006" s="116"/>
      <c r="BA1006" s="116"/>
      <c r="BB1006" s="116"/>
    </row>
    <row r="1007" spans="1:54" ht="19.5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22"/>
      <c r="AD1007" s="122"/>
      <c r="AE1007" s="122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17"/>
      <c r="AU1007" s="15"/>
      <c r="AY1007" s="117"/>
      <c r="AZ1007" s="116"/>
      <c r="BA1007" s="116"/>
      <c r="BB1007" s="116"/>
    </row>
    <row r="1008" spans="1:54" ht="19.5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22"/>
      <c r="AD1008" s="122"/>
      <c r="AE1008" s="122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26"/>
      <c r="AU1008" s="15"/>
      <c r="AY1008" s="117"/>
      <c r="AZ1008" s="116"/>
      <c r="BA1008" s="116"/>
      <c r="BB1008" s="116"/>
    </row>
    <row r="1009" spans="1:54" ht="19.5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22"/>
      <c r="AD1009" s="122"/>
      <c r="AE1009" s="122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17"/>
      <c r="AU1009" s="15"/>
      <c r="AY1009" s="117"/>
      <c r="AZ1009" s="116"/>
      <c r="BA1009" s="116"/>
      <c r="BB1009" s="116"/>
    </row>
    <row r="1010" spans="1:54" ht="19.5" x14ac:dyDescent="0.4">
      <c r="AT1010" s="26"/>
      <c r="AU1010" s="15"/>
      <c r="AY1010" s="117"/>
      <c r="AZ1010" s="116"/>
      <c r="BA1010" s="116"/>
      <c r="BB1010" s="116"/>
    </row>
    <row r="1011" spans="1:54" ht="19.5" x14ac:dyDescent="0.4">
      <c r="Z1011" s="115"/>
      <c r="AA1011" s="115"/>
      <c r="AB1011" s="115"/>
      <c r="AC1011" s="122"/>
      <c r="AD1011" s="122"/>
      <c r="AE1011" s="122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7"/>
      <c r="AU1011" s="15"/>
      <c r="AY1011" s="117"/>
      <c r="AZ1011" s="116"/>
      <c r="BA1011" s="116"/>
      <c r="BB1011" s="116"/>
    </row>
    <row r="1012" spans="1:54" ht="19.5" x14ac:dyDescent="0.4">
      <c r="AT1012" s="26"/>
      <c r="AU1012" s="15"/>
      <c r="AY1012" s="117"/>
      <c r="AZ1012" s="116"/>
      <c r="BA1012" s="116"/>
      <c r="BB1012" s="116"/>
    </row>
    <row r="1013" spans="1:54" ht="19.5" x14ac:dyDescent="0.4">
      <c r="Z1013" s="115"/>
      <c r="AA1013" s="115"/>
      <c r="AB1013" s="115"/>
      <c r="AC1013" s="122"/>
      <c r="AD1013" s="122"/>
      <c r="AE1013" s="122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7"/>
      <c r="AU1013" s="15"/>
      <c r="AY1013" s="117"/>
      <c r="AZ1013" s="116"/>
      <c r="BA1013" s="116"/>
      <c r="BB1013" s="116"/>
    </row>
    <row r="1014" spans="1:54" ht="19.5" x14ac:dyDescent="0.4">
      <c r="AT1014" s="26"/>
      <c r="AU1014" s="15"/>
      <c r="AY1014" s="117"/>
      <c r="AZ1014" s="116"/>
      <c r="BA1014" s="116"/>
      <c r="BB1014" s="116"/>
    </row>
    <row r="1015" spans="1:54" ht="19.5" x14ac:dyDescent="0.4">
      <c r="Z1015" s="115"/>
      <c r="AA1015" s="115"/>
      <c r="AB1015" s="115"/>
      <c r="AC1015" s="122"/>
      <c r="AD1015" s="122"/>
      <c r="AE1015" s="122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7"/>
      <c r="AU1015" s="15"/>
      <c r="AY1015" s="117"/>
      <c r="AZ1015" s="116"/>
      <c r="BA1015" s="116"/>
      <c r="BB1015" s="116"/>
    </row>
    <row r="1016" spans="1:54" ht="19.5" x14ac:dyDescent="0.4"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22"/>
      <c r="AD1016" s="122"/>
      <c r="AE1016" s="122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26"/>
      <c r="AU1016" s="15"/>
      <c r="AY1016" s="117"/>
      <c r="AZ1016" s="116"/>
      <c r="BA1016" s="116"/>
      <c r="BB1016" s="116"/>
    </row>
    <row r="1017" spans="1:54" ht="19.5" x14ac:dyDescent="0.4"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22"/>
      <c r="AD1017" s="122"/>
      <c r="AE1017" s="122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17"/>
      <c r="AU1017" s="15"/>
      <c r="AY1017" s="117"/>
      <c r="AZ1017" s="116"/>
      <c r="BA1017" s="116"/>
      <c r="BB1017" s="116"/>
    </row>
    <row r="1018" spans="1:54" ht="19.5" x14ac:dyDescent="0.4"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22"/>
      <c r="AD1018" s="122"/>
      <c r="AE1018" s="122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26"/>
      <c r="AU1018" s="15"/>
      <c r="AY1018" s="117"/>
      <c r="AZ1018" s="116"/>
      <c r="BA1018" s="116"/>
      <c r="BB1018" s="116"/>
    </row>
    <row r="1019" spans="1:54" ht="19.5" x14ac:dyDescent="0.4">
      <c r="AT1019" s="26"/>
      <c r="AU1019" s="15"/>
      <c r="AY1019" s="117"/>
      <c r="AZ1019" s="116"/>
      <c r="BA1019" s="116"/>
      <c r="BB1019" s="116"/>
    </row>
    <row r="1020" spans="1:54" ht="19.5" x14ac:dyDescent="0.4">
      <c r="Z1020" s="115"/>
      <c r="AA1020" s="115"/>
      <c r="AB1020" s="115"/>
      <c r="AC1020" s="122"/>
      <c r="AD1020" s="122"/>
      <c r="AE1020" s="122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7"/>
      <c r="AU1020" s="15"/>
      <c r="AY1020" s="117"/>
      <c r="AZ1020" s="116"/>
      <c r="BA1020" s="116"/>
      <c r="BB1020" s="116"/>
    </row>
    <row r="1021" spans="1:54" ht="19.5" x14ac:dyDescent="0.4">
      <c r="X1021" s="115"/>
      <c r="Y1021" s="115"/>
      <c r="Z1021" s="115"/>
      <c r="AA1021" s="115"/>
      <c r="AB1021" s="115"/>
      <c r="AC1021" s="122"/>
      <c r="AD1021" s="122"/>
      <c r="AE1021" s="122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6"/>
      <c r="AU1021" s="15"/>
      <c r="AY1021" s="117"/>
      <c r="AZ1021" s="116"/>
      <c r="BA1021" s="116"/>
      <c r="BB1021" s="116"/>
    </row>
    <row r="1022" spans="1:54" ht="19.5" x14ac:dyDescent="0.4">
      <c r="X1022" s="115"/>
      <c r="Y1022" s="115"/>
      <c r="Z1022" s="115"/>
      <c r="AA1022" s="115"/>
      <c r="AB1022" s="115"/>
      <c r="AC1022" s="122"/>
      <c r="AD1022" s="122"/>
      <c r="AE1022" s="122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17"/>
      <c r="AU1022" s="13"/>
      <c r="AY1022" s="117"/>
      <c r="AZ1022" s="116"/>
      <c r="BA1022" s="116"/>
      <c r="BB1022" s="116"/>
    </row>
    <row r="1023" spans="1:54" ht="19.5" x14ac:dyDescent="0.4">
      <c r="W1023" s="115"/>
      <c r="X1023" s="115"/>
      <c r="Y1023" s="115"/>
      <c r="Z1023" s="115"/>
      <c r="AA1023" s="115"/>
      <c r="AB1023" s="115"/>
      <c r="AC1023" s="122"/>
      <c r="AD1023" s="122"/>
      <c r="AE1023" s="122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115"/>
      <c r="AT1023" s="26"/>
      <c r="AU1023" s="13"/>
      <c r="AY1023" s="117"/>
      <c r="AZ1023" s="116"/>
      <c r="BA1023" s="116"/>
      <c r="BB1023" s="116"/>
    </row>
    <row r="1024" spans="1:54" ht="19.5" x14ac:dyDescent="0.4">
      <c r="W1024" s="115"/>
      <c r="X1024" s="115"/>
      <c r="Y1024" s="115"/>
      <c r="Z1024" s="115"/>
      <c r="AA1024" s="115"/>
      <c r="AB1024" s="115"/>
      <c r="AC1024" s="122"/>
      <c r="AD1024" s="122"/>
      <c r="AE1024" s="122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15"/>
      <c r="AT1024" s="17"/>
      <c r="AU1024" s="13"/>
      <c r="AY1024" s="117"/>
      <c r="AZ1024" s="116"/>
      <c r="BA1024" s="116"/>
      <c r="BB1024" s="116"/>
    </row>
    <row r="1025" spans="1:54" ht="19.5" x14ac:dyDescent="0.4"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22"/>
      <c r="AD1025" s="122"/>
      <c r="AE1025" s="122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26"/>
      <c r="AU1025" s="15"/>
      <c r="AY1025" s="117"/>
      <c r="AZ1025" s="116"/>
      <c r="BA1025" s="116"/>
      <c r="BB1025" s="116"/>
    </row>
    <row r="1026" spans="1:54" ht="19.5" x14ac:dyDescent="0.4"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22"/>
      <c r="AD1026" s="122"/>
      <c r="AE1026" s="122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115"/>
      <c r="AT1026" s="17"/>
      <c r="AU1026" s="15"/>
      <c r="AY1026" s="117"/>
      <c r="AZ1026" s="116"/>
      <c r="BA1026" s="116"/>
      <c r="BB1026" s="116"/>
    </row>
    <row r="1027" spans="1:54" ht="19.5" x14ac:dyDescent="0.4"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22"/>
      <c r="AD1027" s="122"/>
      <c r="AE1027" s="122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26"/>
      <c r="AU1027" s="105"/>
      <c r="AY1027" s="117"/>
      <c r="AZ1027" s="116"/>
      <c r="BA1027" s="116"/>
      <c r="BB1027" s="116"/>
    </row>
    <row r="1028" spans="1:54" ht="19.5" x14ac:dyDescent="0.4"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22"/>
      <c r="AD1028" s="122"/>
      <c r="AE1028" s="122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7"/>
      <c r="AU1028" s="15"/>
      <c r="AY1028" s="117"/>
      <c r="AZ1028" s="116"/>
      <c r="BA1028" s="116"/>
      <c r="BB1028" s="116"/>
    </row>
    <row r="1029" spans="1:54" ht="19.5" x14ac:dyDescent="0.4"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22"/>
      <c r="AD1029" s="122"/>
      <c r="AE1029" s="122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26"/>
      <c r="AU1029" s="15"/>
      <c r="AY1029" s="117"/>
      <c r="AZ1029" s="116"/>
      <c r="BA1029" s="116"/>
      <c r="BB1029" s="116"/>
    </row>
    <row r="1030" spans="1:54" ht="19.5" x14ac:dyDescent="0.4"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22"/>
      <c r="AD1030" s="122"/>
      <c r="AE1030" s="122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115"/>
      <c r="AT1030" s="26"/>
      <c r="AU1030" s="15"/>
      <c r="AY1030" s="117"/>
      <c r="AZ1030" s="116"/>
      <c r="BA1030" s="116"/>
      <c r="BB1030" s="116"/>
    </row>
    <row r="1031" spans="1:54" ht="19.5" x14ac:dyDescent="0.4">
      <c r="AT1031" s="26"/>
      <c r="AU1031" s="15"/>
      <c r="AY1031" s="117"/>
      <c r="AZ1031" s="116"/>
      <c r="BA1031" s="116"/>
      <c r="BB1031" s="116"/>
    </row>
    <row r="1032" spans="1:54" ht="19.5" x14ac:dyDescent="0.4">
      <c r="Y1032" s="115"/>
      <c r="Z1032" s="115"/>
      <c r="AA1032" s="115"/>
      <c r="AB1032" s="115"/>
      <c r="AC1032" s="122"/>
      <c r="AD1032" s="122"/>
      <c r="AE1032" s="122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115"/>
      <c r="AT1032" s="26"/>
      <c r="AU1032" s="15"/>
      <c r="AY1032" s="117"/>
      <c r="AZ1032" s="116"/>
      <c r="BA1032" s="116"/>
      <c r="BB1032" s="116"/>
    </row>
    <row r="1033" spans="1:54" ht="19.5" x14ac:dyDescent="0.4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22"/>
      <c r="AD1033" s="122"/>
      <c r="AE1033" s="122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115"/>
      <c r="AT1033" s="26"/>
      <c r="AU1033" s="15"/>
      <c r="AY1033" s="117"/>
      <c r="AZ1033" s="116"/>
      <c r="BA1033" s="116"/>
      <c r="BB1033" s="116"/>
    </row>
    <row r="1034" spans="1:54" ht="19.5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22"/>
      <c r="AD1034" s="122"/>
      <c r="AE1034" s="122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26"/>
      <c r="AU1034" s="15"/>
      <c r="AY1034" s="117"/>
      <c r="AZ1034" s="116"/>
      <c r="BA1034" s="116"/>
      <c r="BB1034" s="116"/>
    </row>
    <row r="1035" spans="1:54" ht="19.5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22"/>
      <c r="AD1035" s="122"/>
      <c r="AE1035" s="122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115"/>
      <c r="AT1035" s="17"/>
      <c r="AU1035" s="15"/>
      <c r="AY1035" s="117"/>
      <c r="AZ1035" s="116"/>
      <c r="BA1035" s="116"/>
      <c r="BB1035" s="116"/>
    </row>
    <row r="1036" spans="1:54" ht="19.5" x14ac:dyDescent="0.4">
      <c r="AT1036" s="26"/>
      <c r="AU1036" s="15"/>
      <c r="AY1036" s="117"/>
      <c r="AZ1036" s="116"/>
      <c r="BA1036" s="116"/>
      <c r="BB1036" s="116"/>
    </row>
    <row r="1037" spans="1:54" ht="19.5" x14ac:dyDescent="0.4">
      <c r="Z1037" s="115"/>
      <c r="AA1037" s="115"/>
      <c r="AB1037" s="115"/>
      <c r="AC1037" s="122"/>
      <c r="AD1037" s="122"/>
      <c r="AE1037" s="122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7"/>
      <c r="AU1037" s="15"/>
      <c r="AY1037" s="117"/>
      <c r="AZ1037" s="116"/>
      <c r="BA1037" s="116"/>
      <c r="BB1037" s="116"/>
    </row>
    <row r="1038" spans="1:54" ht="19.5" x14ac:dyDescent="0.4">
      <c r="Y1038" s="115"/>
      <c r="Z1038" s="115"/>
      <c r="AA1038" s="115"/>
      <c r="AB1038" s="115"/>
      <c r="AC1038" s="122"/>
      <c r="AD1038" s="122"/>
      <c r="AE1038" s="122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26"/>
      <c r="AU1038" s="15"/>
      <c r="AY1038" s="117"/>
      <c r="AZ1038" s="116"/>
      <c r="BA1038" s="116"/>
      <c r="BB1038" s="116"/>
    </row>
    <row r="1039" spans="1:54" ht="19.5" x14ac:dyDescent="0.4"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22"/>
      <c r="AD1039" s="122"/>
      <c r="AE1039" s="122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26"/>
      <c r="AU1039" s="15"/>
      <c r="AY1039" s="117"/>
      <c r="AZ1039" s="116"/>
      <c r="BA1039" s="116"/>
      <c r="BB1039" s="116"/>
    </row>
    <row r="1040" spans="1:54" ht="19.5" x14ac:dyDescent="0.4"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22"/>
      <c r="AD1040" s="122"/>
      <c r="AE1040" s="122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26"/>
      <c r="AU1040" s="15"/>
      <c r="AY1040" s="117"/>
      <c r="AZ1040" s="116"/>
      <c r="BA1040" s="116"/>
      <c r="BB1040" s="116"/>
    </row>
    <row r="1041" spans="1:54" ht="19.5" x14ac:dyDescent="0.4"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22"/>
      <c r="AD1041" s="122"/>
      <c r="AE1041" s="122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26"/>
      <c r="AU1041" s="15"/>
      <c r="AY1041" s="117"/>
      <c r="AZ1041" s="116"/>
      <c r="BA1041" s="116"/>
      <c r="BB1041" s="116"/>
    </row>
    <row r="1042" spans="1:54" ht="19.5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22"/>
      <c r="AD1042" s="122"/>
      <c r="AE1042" s="122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26"/>
      <c r="AU1042" s="15"/>
      <c r="AY1042" s="117"/>
      <c r="AZ1042" s="116"/>
      <c r="BA1042" s="116"/>
      <c r="BB1042" s="116"/>
    </row>
    <row r="1043" spans="1:54" ht="19.5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22"/>
      <c r="AD1043" s="122"/>
      <c r="AE1043" s="122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26"/>
      <c r="AU1043" s="15"/>
      <c r="AY1043" s="117"/>
      <c r="AZ1043" s="116"/>
      <c r="BA1043" s="116"/>
      <c r="BB1043" s="116"/>
    </row>
    <row r="1044" spans="1:54" ht="19.5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22"/>
      <c r="AD1044" s="122"/>
      <c r="AE1044" s="122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7"/>
      <c r="AU1044" s="15"/>
      <c r="AY1044" s="117"/>
      <c r="AZ1044" s="116"/>
      <c r="BA1044" s="116"/>
      <c r="BB1044" s="116"/>
    </row>
    <row r="1045" spans="1:54" ht="19.5" x14ac:dyDescent="0.4">
      <c r="AT1045" s="26"/>
      <c r="AU1045" s="15"/>
      <c r="AY1045" s="117"/>
      <c r="AZ1045" s="116"/>
      <c r="BA1045" s="116"/>
      <c r="BB1045" s="116"/>
    </row>
    <row r="1046" spans="1:54" ht="19.5" x14ac:dyDescent="0.4">
      <c r="Z1046" s="115"/>
      <c r="AA1046" s="115"/>
      <c r="AB1046" s="115"/>
      <c r="AC1046" s="122"/>
      <c r="AD1046" s="122"/>
      <c r="AE1046" s="122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7"/>
      <c r="AU1046" s="13"/>
      <c r="AY1046" s="117"/>
      <c r="AZ1046" s="116"/>
      <c r="BA1046" s="116"/>
      <c r="BB1046" s="116"/>
    </row>
    <row r="1047" spans="1:54" ht="19.5" x14ac:dyDescent="0.4">
      <c r="Z1047" s="115"/>
      <c r="AA1047" s="115"/>
      <c r="AB1047" s="115"/>
      <c r="AC1047" s="122"/>
      <c r="AD1047" s="122"/>
      <c r="AE1047" s="122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7"/>
      <c r="AU1047" s="13"/>
      <c r="AY1047" s="117"/>
      <c r="AZ1047" s="116"/>
      <c r="BA1047" s="116"/>
      <c r="BB1047" s="116"/>
    </row>
    <row r="1048" spans="1:54" ht="19.5" x14ac:dyDescent="0.4">
      <c r="AT1048" s="26"/>
      <c r="AU1048" s="13"/>
      <c r="AY1048" s="117"/>
      <c r="AZ1048" s="116"/>
      <c r="BA1048" s="116"/>
      <c r="BB1048" s="116"/>
    </row>
    <row r="1049" spans="1:54" ht="19.5" x14ac:dyDescent="0.4">
      <c r="AT1049" s="26"/>
      <c r="AU1049" s="13"/>
      <c r="AY1049" s="116"/>
      <c r="AZ1049" s="116"/>
      <c r="BA1049" s="116"/>
      <c r="BB1049" s="116"/>
    </row>
    <row r="1050" spans="1:54" ht="19.5" x14ac:dyDescent="0.4"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22"/>
      <c r="AD1050" s="122"/>
      <c r="AE1050" s="122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26"/>
      <c r="AU1050" s="13"/>
      <c r="AY1050" s="118"/>
      <c r="AZ1050" s="118"/>
      <c r="BA1050" s="118"/>
      <c r="BB1050" s="118"/>
    </row>
    <row r="1051" spans="1:54" ht="19.5" x14ac:dyDescent="0.4"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22"/>
      <c r="AD1051" s="122"/>
      <c r="AE1051" s="122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26"/>
      <c r="AU1051" s="13"/>
      <c r="AY1051" s="118"/>
      <c r="AZ1051" s="118"/>
      <c r="BA1051" s="118"/>
      <c r="BB1051" s="118"/>
    </row>
    <row r="1052" spans="1:54" ht="19.5" x14ac:dyDescent="0.4"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22"/>
      <c r="AD1052" s="122"/>
      <c r="AE1052" s="122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26"/>
      <c r="AU1052" s="13"/>
      <c r="AY1052" s="118"/>
      <c r="AZ1052" s="118"/>
      <c r="BA1052" s="118"/>
      <c r="BB1052" s="118"/>
    </row>
    <row r="1053" spans="1:54" ht="19.5" x14ac:dyDescent="0.4"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22"/>
      <c r="AD1053" s="122"/>
      <c r="AE1053" s="122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26"/>
      <c r="AU1053" s="15"/>
      <c r="AY1053" s="118"/>
      <c r="AZ1053" s="118"/>
      <c r="BA1053" s="118"/>
      <c r="BB1053" s="118"/>
    </row>
    <row r="1054" spans="1:54" ht="19.5" x14ac:dyDescent="0.4"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22"/>
      <c r="AD1054" s="122"/>
      <c r="AE1054" s="122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26"/>
      <c r="AU1054" s="15"/>
      <c r="AY1054" s="118"/>
      <c r="AZ1054" s="118"/>
      <c r="BA1054" s="118"/>
      <c r="BB1054" s="118"/>
    </row>
    <row r="1055" spans="1:54" ht="19.5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22"/>
      <c r="AD1055" s="122"/>
      <c r="AE1055" s="122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26"/>
      <c r="AU1055" s="15"/>
      <c r="AY1055" s="118"/>
      <c r="AZ1055" s="118"/>
      <c r="BA1055" s="118"/>
      <c r="BB1055" s="118"/>
    </row>
    <row r="1056" spans="1:54" ht="19.5" x14ac:dyDescent="0.4">
      <c r="A1056" s="115"/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22"/>
      <c r="AD1056" s="122"/>
      <c r="AE1056" s="122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26"/>
      <c r="AU1056" s="15"/>
      <c r="AY1056" s="118"/>
      <c r="AZ1056" s="118"/>
      <c r="BA1056" s="118"/>
      <c r="BB1056" s="118"/>
    </row>
    <row r="1057" spans="1:54" ht="20.25" customHeight="1" x14ac:dyDescent="0.4">
      <c r="A1057" s="115"/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22"/>
      <c r="AD1057" s="122"/>
      <c r="AE1057" s="122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26"/>
      <c r="AU1057" s="15"/>
      <c r="AY1057" s="118"/>
      <c r="AZ1057" s="118"/>
      <c r="BA1057" s="118"/>
      <c r="BB1057" s="118"/>
    </row>
    <row r="1058" spans="1:54" x14ac:dyDescent="0.4">
      <c r="AT1058" s="26"/>
      <c r="AU1058" s="15"/>
    </row>
    <row r="1059" spans="1:54" x14ac:dyDescent="0.4">
      <c r="AT1059" s="26"/>
      <c r="AU1059" s="13"/>
    </row>
    <row r="1060" spans="1:54" x14ac:dyDescent="0.4">
      <c r="X1060" s="115"/>
      <c r="Y1060" s="115"/>
      <c r="Z1060" s="115"/>
      <c r="AA1060" s="115"/>
      <c r="AB1060" s="115"/>
      <c r="AC1060" s="122"/>
      <c r="AD1060" s="122"/>
      <c r="AE1060" s="122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26"/>
      <c r="AU1060" s="13"/>
    </row>
    <row r="1061" spans="1:54" x14ac:dyDescent="0.4">
      <c r="X1061" s="115"/>
      <c r="Y1061" s="115"/>
      <c r="Z1061" s="115"/>
      <c r="AA1061" s="115"/>
      <c r="AB1061" s="115"/>
      <c r="AC1061" s="122"/>
      <c r="AD1061" s="122"/>
      <c r="AE1061" s="122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7"/>
      <c r="AU1061" s="13"/>
    </row>
    <row r="1062" spans="1:54" x14ac:dyDescent="0.4"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22"/>
      <c r="AD1062" s="122"/>
      <c r="AE1062" s="122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26"/>
      <c r="AU1062" s="13"/>
    </row>
    <row r="1063" spans="1:54" x14ac:dyDescent="0.4"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22"/>
      <c r="AD1063" s="122"/>
      <c r="AE1063" s="122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26"/>
      <c r="AU1063" s="13"/>
    </row>
    <row r="1064" spans="1:54" x14ac:dyDescent="0.4">
      <c r="AT1064" s="26"/>
      <c r="AU1064" s="13"/>
    </row>
    <row r="1065" spans="1:54" x14ac:dyDescent="0.4"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22"/>
      <c r="AD1065" s="122"/>
      <c r="AE1065" s="122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26"/>
      <c r="AU1065" s="13"/>
    </row>
    <row r="1066" spans="1:54" x14ac:dyDescent="0.4"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22"/>
      <c r="AD1066" s="122"/>
      <c r="AE1066" s="122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26"/>
      <c r="AU1066" s="13"/>
    </row>
    <row r="1067" spans="1:54" x14ac:dyDescent="0.4">
      <c r="AT1067" s="26"/>
      <c r="AU1067" s="13"/>
    </row>
    <row r="1068" spans="1:54" x14ac:dyDescent="0.4"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22"/>
      <c r="AD1068" s="122"/>
      <c r="AE1068" s="122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6"/>
      <c r="AU1068" s="13"/>
    </row>
    <row r="1069" spans="1:54" x14ac:dyDescent="0.4">
      <c r="AT1069" s="26"/>
      <c r="AU1069" s="13"/>
    </row>
    <row r="1070" spans="1:54" x14ac:dyDescent="0.4">
      <c r="W1070" s="115"/>
      <c r="X1070" s="115"/>
      <c r="Y1070" s="115"/>
      <c r="Z1070" s="115"/>
      <c r="AA1070" s="115"/>
      <c r="AB1070" s="115"/>
      <c r="AC1070" s="122"/>
      <c r="AD1070" s="122"/>
      <c r="AE1070" s="122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26"/>
      <c r="AU1070" s="13"/>
    </row>
    <row r="1071" spans="1:54" x14ac:dyDescent="0.4">
      <c r="AT1071" s="26"/>
      <c r="AU1071" s="13"/>
    </row>
    <row r="1072" spans="1:54" x14ac:dyDescent="0.4"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22"/>
      <c r="AD1072" s="122"/>
      <c r="AE1072" s="122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26"/>
      <c r="AU1072" s="15"/>
    </row>
    <row r="1073" spans="1:47" x14ac:dyDescent="0.4"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22"/>
      <c r="AD1073" s="122"/>
      <c r="AE1073" s="122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26"/>
      <c r="AU1073" s="15"/>
    </row>
    <row r="1074" spans="1:47" x14ac:dyDescent="0.4"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22"/>
      <c r="AD1074" s="122"/>
      <c r="AE1074" s="122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26"/>
      <c r="AU1074" s="15"/>
    </row>
    <row r="1075" spans="1:47" x14ac:dyDescent="0.4">
      <c r="AT1075" s="26"/>
      <c r="AU1075" s="13"/>
    </row>
    <row r="1076" spans="1:47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22"/>
      <c r="AD1076" s="122"/>
      <c r="AE1076" s="122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115"/>
      <c r="AT1076" s="26"/>
      <c r="AU1076" s="15"/>
    </row>
    <row r="1077" spans="1:47" x14ac:dyDescent="0.4">
      <c r="AT1077" s="26"/>
      <c r="AU1077" s="15"/>
    </row>
    <row r="1078" spans="1:47" x14ac:dyDescent="0.4">
      <c r="AT1078" s="26"/>
      <c r="AU1078" s="15"/>
    </row>
    <row r="1079" spans="1:47" x14ac:dyDescent="0.4"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22"/>
      <c r="AD1079" s="122"/>
      <c r="AE1079" s="122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26"/>
      <c r="AU1079" s="15"/>
    </row>
    <row r="1080" spans="1:47" x14ac:dyDescent="0.4"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22"/>
      <c r="AD1080" s="122"/>
      <c r="AE1080" s="122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26"/>
      <c r="AU1080" s="15"/>
    </row>
    <row r="1081" spans="1:47" x14ac:dyDescent="0.4">
      <c r="AT1081" s="26"/>
      <c r="AU1081" s="15"/>
    </row>
    <row r="1082" spans="1:47" x14ac:dyDescent="0.4">
      <c r="V1082" s="115"/>
      <c r="W1082" s="115"/>
      <c r="X1082" s="115"/>
      <c r="Y1082" s="115"/>
      <c r="Z1082" s="115"/>
      <c r="AA1082" s="115"/>
      <c r="AB1082" s="115"/>
      <c r="AC1082" s="122"/>
      <c r="AD1082" s="122"/>
      <c r="AE1082" s="122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26"/>
      <c r="AU1082" s="15"/>
    </row>
    <row r="1083" spans="1:47" x14ac:dyDescent="0.4"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22"/>
      <c r="AD1083" s="122"/>
      <c r="AE1083" s="122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26"/>
      <c r="AU1083" s="15"/>
    </row>
    <row r="1084" spans="1:47" x14ac:dyDescent="0.4"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22"/>
      <c r="AD1084" s="122"/>
      <c r="AE1084" s="122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26"/>
      <c r="AU1084" s="15"/>
    </row>
    <row r="1085" spans="1:47" x14ac:dyDescent="0.4"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22"/>
      <c r="AD1085" s="122"/>
      <c r="AE1085" s="122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26"/>
      <c r="AU1085" s="15"/>
    </row>
    <row r="1086" spans="1:47" x14ac:dyDescent="0.4"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22"/>
      <c r="AD1086" s="122"/>
      <c r="AE1086" s="122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26"/>
      <c r="AU1086" s="15"/>
    </row>
    <row r="1087" spans="1:47" x14ac:dyDescent="0.4">
      <c r="AT1087" s="26"/>
      <c r="AU1087" s="15"/>
    </row>
    <row r="1088" spans="1:47" x14ac:dyDescent="0.4">
      <c r="Y1088" s="115"/>
      <c r="Z1088" s="115"/>
      <c r="AA1088" s="115"/>
      <c r="AB1088" s="115"/>
      <c r="AC1088" s="122"/>
      <c r="AD1088" s="122"/>
      <c r="AE1088" s="122"/>
      <c r="AF1088" s="115"/>
      <c r="AG1088" s="115"/>
      <c r="AH1088" s="115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115"/>
      <c r="AS1088" s="115"/>
      <c r="AT1088" s="17"/>
      <c r="AU1088" s="15"/>
    </row>
    <row r="1089" spans="1:47" x14ac:dyDescent="0.4">
      <c r="AT1089" s="26"/>
      <c r="AU1089" s="15"/>
    </row>
    <row r="1090" spans="1:47" x14ac:dyDescent="0.4">
      <c r="W1090" s="115"/>
      <c r="X1090" s="115"/>
      <c r="Y1090" s="115"/>
      <c r="Z1090" s="115"/>
      <c r="AA1090" s="115"/>
      <c r="AB1090" s="115"/>
      <c r="AC1090" s="122"/>
      <c r="AD1090" s="122"/>
      <c r="AE1090" s="122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26"/>
      <c r="AU1090" s="15"/>
    </row>
    <row r="1091" spans="1:47" x14ac:dyDescent="0.4">
      <c r="AT1091" s="26"/>
      <c r="AU1091" s="15"/>
    </row>
    <row r="1092" spans="1:47" x14ac:dyDescent="0.4">
      <c r="AT1092" s="26"/>
      <c r="AU1092" s="15"/>
    </row>
    <row r="1093" spans="1:47" x14ac:dyDescent="0.4"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22"/>
      <c r="AD1093" s="122"/>
      <c r="AE1093" s="122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26"/>
      <c r="AU1093" s="15"/>
    </row>
    <row r="1094" spans="1:47" x14ac:dyDescent="0.4"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22"/>
      <c r="AD1094" s="122"/>
      <c r="AE1094" s="122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26"/>
      <c r="AU1094" s="15"/>
    </row>
    <row r="1095" spans="1:47" x14ac:dyDescent="0.4">
      <c r="A1095" s="115"/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22"/>
      <c r="AD1095" s="122"/>
      <c r="AE1095" s="122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26"/>
      <c r="AU1095" s="15"/>
    </row>
    <row r="1096" spans="1:47" x14ac:dyDescent="0.4">
      <c r="A1096" s="115"/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22"/>
      <c r="AD1096" s="122"/>
      <c r="AE1096" s="122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26"/>
      <c r="AU1096" s="15"/>
    </row>
    <row r="1097" spans="1:47" x14ac:dyDescent="0.4">
      <c r="AT1097" s="26"/>
      <c r="AU1097" s="15"/>
    </row>
    <row r="1098" spans="1:47" x14ac:dyDescent="0.4">
      <c r="Y1098" s="115"/>
      <c r="Z1098" s="115"/>
      <c r="AA1098" s="115"/>
      <c r="AB1098" s="115"/>
      <c r="AC1098" s="122"/>
      <c r="AD1098" s="122"/>
      <c r="AE1098" s="122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7"/>
      <c r="AU1098" s="15"/>
    </row>
    <row r="1099" spans="1:47" x14ac:dyDescent="0.4">
      <c r="AT1099" s="26"/>
      <c r="AU1099" s="15"/>
    </row>
    <row r="1100" spans="1:47" x14ac:dyDescent="0.4"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22"/>
      <c r="AD1100" s="122"/>
      <c r="AE1100" s="122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15"/>
      <c r="AT1100" s="26"/>
      <c r="AU1100" s="15"/>
    </row>
    <row r="1101" spans="1:47" x14ac:dyDescent="0.4"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22"/>
      <c r="AD1101" s="122"/>
      <c r="AE1101" s="122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26"/>
      <c r="AU1101" s="15"/>
    </row>
    <row r="1102" spans="1:47" x14ac:dyDescent="0.4"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22"/>
      <c r="AD1102" s="122"/>
      <c r="AE1102" s="122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115"/>
      <c r="AT1102" s="17"/>
      <c r="AU1102" s="15"/>
    </row>
    <row r="1103" spans="1:47" x14ac:dyDescent="0.4">
      <c r="AT1103" s="26"/>
      <c r="AU1103" s="15"/>
    </row>
    <row r="1104" spans="1:47" x14ac:dyDescent="0.4"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22"/>
      <c r="AD1104" s="122"/>
      <c r="AE1104" s="122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26"/>
      <c r="AU1104" s="15"/>
    </row>
    <row r="1105" spans="3:47" x14ac:dyDescent="0.4"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22"/>
      <c r="AD1105" s="122"/>
      <c r="AE1105" s="122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15"/>
      <c r="AT1105" s="17"/>
      <c r="AU1105" s="15"/>
    </row>
    <row r="1106" spans="3:47" x14ac:dyDescent="0.4">
      <c r="AT1106" s="26"/>
      <c r="AU1106" s="15"/>
    </row>
    <row r="1107" spans="3:47" x14ac:dyDescent="0.4">
      <c r="Y1107" s="115"/>
      <c r="Z1107" s="115"/>
      <c r="AA1107" s="115"/>
      <c r="AB1107" s="115"/>
      <c r="AC1107" s="122"/>
      <c r="AD1107" s="122"/>
      <c r="AE1107" s="122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15"/>
      <c r="AT1107" s="17"/>
      <c r="AU1107" s="15"/>
    </row>
    <row r="1108" spans="3:47" x14ac:dyDescent="0.4"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22"/>
      <c r="AD1108" s="122"/>
      <c r="AE1108" s="122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15"/>
      <c r="AT1108" s="26"/>
      <c r="AU1108" s="15"/>
    </row>
    <row r="1109" spans="3:47" x14ac:dyDescent="0.4"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22"/>
      <c r="AD1109" s="122"/>
      <c r="AE1109" s="122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15"/>
      <c r="AT1109" s="17"/>
      <c r="AU1109" s="15"/>
    </row>
    <row r="1110" spans="3:47" x14ac:dyDescent="0.4">
      <c r="AT1110" s="26"/>
      <c r="AU1110" s="15"/>
    </row>
    <row r="1111" spans="3:47" x14ac:dyDescent="0.4">
      <c r="AT1111" s="26"/>
      <c r="AU1111" s="15"/>
    </row>
    <row r="1112" spans="3:47" x14ac:dyDescent="0.4">
      <c r="X1112" s="115"/>
      <c r="Y1112" s="115"/>
      <c r="Z1112" s="115"/>
      <c r="AA1112" s="115"/>
      <c r="AB1112" s="115"/>
      <c r="AC1112" s="122"/>
      <c r="AD1112" s="122"/>
      <c r="AE1112" s="122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26"/>
      <c r="AU1112" s="15"/>
    </row>
    <row r="1113" spans="3:47" x14ac:dyDescent="0.4">
      <c r="V1113" s="115"/>
      <c r="W1113" s="115"/>
      <c r="X1113" s="115"/>
      <c r="Y1113" s="115"/>
      <c r="Z1113" s="115"/>
      <c r="AA1113" s="115"/>
      <c r="AB1113" s="115"/>
      <c r="AC1113" s="122"/>
      <c r="AD1113" s="122"/>
      <c r="AE1113" s="122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26"/>
      <c r="AU1113" s="15"/>
    </row>
    <row r="1114" spans="3:47" x14ac:dyDescent="0.4">
      <c r="V1114" s="115"/>
      <c r="W1114" s="115"/>
      <c r="X1114" s="115"/>
      <c r="Y1114" s="115"/>
      <c r="Z1114" s="115"/>
      <c r="AA1114" s="115"/>
      <c r="AB1114" s="115"/>
      <c r="AC1114" s="122"/>
      <c r="AD1114" s="122"/>
      <c r="AE1114" s="122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26"/>
      <c r="AU1114" s="15"/>
    </row>
    <row r="1115" spans="3:47" x14ac:dyDescent="0.4"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22"/>
      <c r="AD1115" s="122"/>
      <c r="AE1115" s="122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26"/>
      <c r="AU1115" s="15"/>
    </row>
    <row r="1116" spans="3:47" x14ac:dyDescent="0.4"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22"/>
      <c r="AD1116" s="122"/>
      <c r="AE1116" s="122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26"/>
      <c r="AU1116" s="15"/>
    </row>
    <row r="1117" spans="3:47" x14ac:dyDescent="0.4">
      <c r="AT1117" s="26"/>
      <c r="AU1117" s="15"/>
    </row>
    <row r="1118" spans="3:47" x14ac:dyDescent="0.4">
      <c r="X1118" s="115"/>
      <c r="Y1118" s="115"/>
      <c r="Z1118" s="115"/>
      <c r="AA1118" s="115"/>
      <c r="AB1118" s="115"/>
      <c r="AC1118" s="122"/>
      <c r="AD1118" s="122"/>
      <c r="AE1118" s="122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26"/>
      <c r="AU1118" s="15"/>
    </row>
    <row r="1119" spans="3:47" x14ac:dyDescent="0.4">
      <c r="AT1119" s="26"/>
      <c r="AU1119" s="15"/>
    </row>
    <row r="1120" spans="3:47" x14ac:dyDescent="0.4">
      <c r="Y1120" s="115"/>
      <c r="Z1120" s="115"/>
      <c r="AA1120" s="115"/>
      <c r="AB1120" s="115"/>
      <c r="AC1120" s="122"/>
      <c r="AD1120" s="122"/>
      <c r="AE1120" s="122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7"/>
      <c r="AU1120" s="15"/>
    </row>
    <row r="1121" spans="3:47" x14ac:dyDescent="0.4">
      <c r="X1121" s="115"/>
      <c r="Y1121" s="115"/>
      <c r="Z1121" s="115"/>
      <c r="AA1121" s="115"/>
      <c r="AB1121" s="115"/>
      <c r="AC1121" s="122"/>
      <c r="AD1121" s="122"/>
      <c r="AE1121" s="122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15"/>
      <c r="AR1121" s="115"/>
      <c r="AS1121" s="115"/>
      <c r="AT1121" s="26"/>
      <c r="AU1121" s="15"/>
    </row>
    <row r="1122" spans="3:47" x14ac:dyDescent="0.4"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22"/>
      <c r="AD1122" s="122"/>
      <c r="AE1122" s="122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26"/>
      <c r="AU1122" s="15"/>
    </row>
    <row r="1123" spans="3:47" x14ac:dyDescent="0.4"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22"/>
      <c r="AD1123" s="122"/>
      <c r="AE1123" s="122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7"/>
      <c r="AU1123" s="15"/>
    </row>
    <row r="1124" spans="3:47" x14ac:dyDescent="0.4">
      <c r="AT1124" s="26"/>
      <c r="AU1124" s="15"/>
    </row>
    <row r="1125" spans="3:47" x14ac:dyDescent="0.4">
      <c r="Y1125" s="115"/>
      <c r="Z1125" s="115"/>
      <c r="AA1125" s="115"/>
      <c r="AB1125" s="115"/>
      <c r="AC1125" s="122"/>
      <c r="AD1125" s="122"/>
      <c r="AE1125" s="122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7"/>
      <c r="AU1125" s="15"/>
    </row>
    <row r="1126" spans="3:47" x14ac:dyDescent="0.4">
      <c r="X1126" s="115"/>
      <c r="Y1126" s="115"/>
      <c r="Z1126" s="115"/>
      <c r="AA1126" s="115"/>
      <c r="AB1126" s="115"/>
      <c r="AC1126" s="122"/>
      <c r="AD1126" s="122"/>
      <c r="AE1126" s="122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26"/>
      <c r="AU1126" s="15"/>
    </row>
    <row r="1127" spans="3:47" x14ac:dyDescent="0.4">
      <c r="X1127" s="115"/>
      <c r="Y1127" s="115"/>
      <c r="Z1127" s="115"/>
      <c r="AA1127" s="115"/>
      <c r="AB1127" s="115"/>
      <c r="AC1127" s="122"/>
      <c r="AD1127" s="122"/>
      <c r="AE1127" s="122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7"/>
      <c r="AU1127" s="15"/>
    </row>
    <row r="1128" spans="3:47" x14ac:dyDescent="0.4">
      <c r="X1128" s="115"/>
      <c r="Y1128" s="115"/>
      <c r="Z1128" s="115"/>
      <c r="AA1128" s="115"/>
      <c r="AB1128" s="115"/>
      <c r="AC1128" s="122"/>
      <c r="AD1128" s="122"/>
      <c r="AE1128" s="122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7"/>
      <c r="AU1128" s="15"/>
    </row>
    <row r="1129" spans="3:47" x14ac:dyDescent="0.4"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22"/>
      <c r="AD1129" s="122"/>
      <c r="AE1129" s="122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26"/>
      <c r="AU1129" s="15"/>
    </row>
    <row r="1130" spans="3:47" x14ac:dyDescent="0.4"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22"/>
      <c r="AD1130" s="122"/>
      <c r="AE1130" s="122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26"/>
      <c r="AU1130" s="15"/>
    </row>
    <row r="1131" spans="3:47" x14ac:dyDescent="0.4"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22"/>
      <c r="AD1131" s="122"/>
      <c r="AE1131" s="122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26"/>
      <c r="AU1131" s="15"/>
    </row>
    <row r="1132" spans="3:47" x14ac:dyDescent="0.4"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22"/>
      <c r="AD1132" s="122"/>
      <c r="AE1132" s="122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26"/>
      <c r="AU1132" s="15"/>
    </row>
    <row r="1133" spans="3:47" x14ac:dyDescent="0.4"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22"/>
      <c r="AD1133" s="122"/>
      <c r="AE1133" s="122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26"/>
      <c r="AU1133" s="15"/>
    </row>
    <row r="1134" spans="3:47" x14ac:dyDescent="0.4"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22"/>
      <c r="AD1134" s="122"/>
      <c r="AE1134" s="122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7"/>
      <c r="AU1134" s="15"/>
    </row>
    <row r="1135" spans="3:47" x14ac:dyDescent="0.4">
      <c r="AT1135" s="26"/>
      <c r="AU1135" s="15"/>
    </row>
    <row r="1136" spans="3:47" x14ac:dyDescent="0.4">
      <c r="X1136" s="115"/>
      <c r="Y1136" s="115"/>
      <c r="Z1136" s="115"/>
      <c r="AA1136" s="115"/>
      <c r="AB1136" s="115"/>
      <c r="AC1136" s="122"/>
      <c r="AD1136" s="122"/>
      <c r="AE1136" s="122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115"/>
      <c r="AT1136" s="17"/>
      <c r="AU1136" s="13"/>
    </row>
    <row r="1137" spans="3:47" x14ac:dyDescent="0.4">
      <c r="X1137" s="115"/>
      <c r="Y1137" s="115"/>
      <c r="Z1137" s="115"/>
      <c r="AA1137" s="115"/>
      <c r="AB1137" s="115"/>
      <c r="AC1137" s="122"/>
      <c r="AD1137" s="122"/>
      <c r="AE1137" s="122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7"/>
      <c r="AU1137" s="13"/>
    </row>
    <row r="1138" spans="3:47" x14ac:dyDescent="0.4">
      <c r="V1138" s="115"/>
      <c r="W1138" s="115"/>
      <c r="X1138" s="115"/>
      <c r="Y1138" s="115"/>
      <c r="Z1138" s="115"/>
      <c r="AA1138" s="115"/>
      <c r="AB1138" s="115"/>
      <c r="AC1138" s="122"/>
      <c r="AD1138" s="122"/>
      <c r="AE1138" s="122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15"/>
      <c r="AT1138" s="26"/>
      <c r="AU1138" s="13"/>
    </row>
    <row r="1139" spans="3:47" x14ac:dyDescent="0.4">
      <c r="V1139" s="115"/>
      <c r="W1139" s="115"/>
      <c r="X1139" s="115"/>
      <c r="Y1139" s="115"/>
      <c r="Z1139" s="115"/>
      <c r="AA1139" s="115"/>
      <c r="AB1139" s="115"/>
      <c r="AC1139" s="122"/>
      <c r="AD1139" s="122"/>
      <c r="AE1139" s="122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7"/>
      <c r="AU1139" s="13"/>
    </row>
    <row r="1140" spans="3:47" x14ac:dyDescent="0.4">
      <c r="AT1140" s="26"/>
      <c r="AU1140" s="13"/>
    </row>
    <row r="1141" spans="3:47" x14ac:dyDescent="0.4">
      <c r="W1141" s="115"/>
      <c r="X1141" s="115"/>
      <c r="Y1141" s="115"/>
      <c r="Z1141" s="115"/>
      <c r="AA1141" s="115"/>
      <c r="AB1141" s="115"/>
      <c r="AC1141" s="122"/>
      <c r="AD1141" s="122"/>
      <c r="AE1141" s="122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7"/>
      <c r="AU1141" s="13"/>
    </row>
    <row r="1142" spans="3:47" x14ac:dyDescent="0.4">
      <c r="AT1142" s="26"/>
      <c r="AU1142" s="13"/>
    </row>
    <row r="1143" spans="3:47" x14ac:dyDescent="0.4">
      <c r="AT1143" s="26"/>
      <c r="AU1143" s="13"/>
    </row>
    <row r="1144" spans="3:47" x14ac:dyDescent="0.4"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22"/>
      <c r="AD1144" s="122"/>
      <c r="AE1144" s="122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26"/>
      <c r="AU1144" s="13"/>
    </row>
    <row r="1145" spans="3:47" x14ac:dyDescent="0.4"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22"/>
      <c r="AD1145" s="122"/>
      <c r="AE1145" s="122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15"/>
      <c r="AT1145" s="26"/>
      <c r="AU1145" s="13"/>
    </row>
    <row r="1146" spans="3:47" x14ac:dyDescent="0.4">
      <c r="AT1146" s="26"/>
      <c r="AU1146" s="13"/>
    </row>
    <row r="1147" spans="3:47" x14ac:dyDescent="0.4">
      <c r="AT1147" s="26"/>
      <c r="AU1147" s="13"/>
    </row>
    <row r="1148" spans="3:47" x14ac:dyDescent="0.4"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22"/>
      <c r="AD1148" s="122"/>
      <c r="AE1148" s="122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15"/>
      <c r="AT1148" s="26"/>
      <c r="AU1148" s="13"/>
    </row>
    <row r="1149" spans="3:47" x14ac:dyDescent="0.4">
      <c r="AT1149" s="26"/>
      <c r="AU1149" s="105"/>
    </row>
    <row r="1150" spans="3:47" x14ac:dyDescent="0.4"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22"/>
      <c r="AD1150" s="122"/>
      <c r="AE1150" s="122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6"/>
      <c r="AU1150" s="15"/>
    </row>
    <row r="1151" spans="3:47" x14ac:dyDescent="0.4"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22"/>
      <c r="AD1151" s="122"/>
      <c r="AE1151" s="122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7"/>
      <c r="AU1151" s="15"/>
    </row>
    <row r="1152" spans="3:47" x14ac:dyDescent="0.4">
      <c r="AT1152" s="26"/>
      <c r="AU1152" s="15"/>
    </row>
    <row r="1153" spans="2:47" x14ac:dyDescent="0.4"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22"/>
      <c r="AD1153" s="122"/>
      <c r="AE1153" s="122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26"/>
      <c r="AU1153" s="15"/>
    </row>
    <row r="1154" spans="2:47" x14ac:dyDescent="0.4"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22"/>
      <c r="AD1154" s="122"/>
      <c r="AE1154" s="122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15"/>
      <c r="AT1154" s="26"/>
      <c r="AU1154" s="15"/>
    </row>
    <row r="1155" spans="2:47" x14ac:dyDescent="0.4"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22"/>
      <c r="AD1155" s="122"/>
      <c r="AE1155" s="122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26"/>
      <c r="AU1155" s="13"/>
    </row>
    <row r="1156" spans="2:47" x14ac:dyDescent="0.4">
      <c r="AT1156" s="26"/>
      <c r="AU1156" s="15"/>
    </row>
    <row r="1157" spans="2:47" x14ac:dyDescent="0.4"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22"/>
      <c r="AD1157" s="122"/>
      <c r="AE1157" s="122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26"/>
      <c r="AU1157" s="15"/>
    </row>
    <row r="1158" spans="2:47" x14ac:dyDescent="0.4"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22"/>
      <c r="AD1158" s="122"/>
      <c r="AE1158" s="122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26"/>
      <c r="AU1158" s="15"/>
    </row>
    <row r="1159" spans="2:47" x14ac:dyDescent="0.4"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22"/>
      <c r="AD1159" s="122"/>
      <c r="AE1159" s="122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26"/>
      <c r="AU1159" s="15"/>
    </row>
    <row r="1160" spans="2:47" x14ac:dyDescent="0.4"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22"/>
      <c r="AD1160" s="122"/>
      <c r="AE1160" s="122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6"/>
      <c r="AU1160" s="15"/>
    </row>
    <row r="1161" spans="2:47" x14ac:dyDescent="0.4"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22"/>
      <c r="AD1161" s="122"/>
      <c r="AE1161" s="122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26"/>
      <c r="AU1161" s="15"/>
    </row>
    <row r="1162" spans="2:47" x14ac:dyDescent="0.4"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22"/>
      <c r="AD1162" s="122"/>
      <c r="AE1162" s="122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26"/>
      <c r="AU1162" s="15"/>
    </row>
    <row r="1163" spans="2:47" ht="19.5" customHeight="1" x14ac:dyDescent="0.4"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22"/>
      <c r="AD1163" s="122"/>
      <c r="AE1163" s="122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6"/>
      <c r="AU1163" s="15"/>
    </row>
    <row r="1164" spans="2:47" ht="19.5" customHeight="1" x14ac:dyDescent="0.4"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22"/>
      <c r="AD1164" s="122"/>
      <c r="AE1164" s="122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26"/>
      <c r="AU1164" s="15"/>
    </row>
    <row r="1165" spans="2:47" x14ac:dyDescent="0.4">
      <c r="AT1165" s="26"/>
      <c r="AU1165" s="15"/>
    </row>
    <row r="1166" spans="2:47" x14ac:dyDescent="0.4"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22"/>
      <c r="AD1166" s="122"/>
      <c r="AE1166" s="122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26"/>
      <c r="AU1166" s="15"/>
    </row>
    <row r="1167" spans="2:47" x14ac:dyDescent="0.4"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22"/>
      <c r="AD1167" s="122"/>
      <c r="AE1167" s="122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15"/>
      <c r="AT1167" s="26"/>
      <c r="AU1167" s="15"/>
    </row>
    <row r="1168" spans="2:47" x14ac:dyDescent="0.4"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22"/>
      <c r="AD1168" s="122"/>
      <c r="AE1168" s="122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15"/>
      <c r="AT1168" s="17"/>
      <c r="AU1168" s="15"/>
    </row>
    <row r="1169" spans="1:47" x14ac:dyDescent="0.4">
      <c r="AT1169" s="26"/>
      <c r="AU1169" s="15"/>
    </row>
    <row r="1170" spans="1:47" x14ac:dyDescent="0.4">
      <c r="W1170" s="115"/>
      <c r="X1170" s="115"/>
      <c r="Y1170" s="115"/>
      <c r="Z1170" s="115"/>
      <c r="AA1170" s="115"/>
      <c r="AB1170" s="115"/>
      <c r="AC1170" s="122"/>
      <c r="AD1170" s="122"/>
      <c r="AE1170" s="122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7"/>
      <c r="AU1170" s="15"/>
    </row>
    <row r="1171" spans="1:47" x14ac:dyDescent="0.4"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22"/>
      <c r="AD1171" s="122"/>
      <c r="AE1171" s="122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26"/>
      <c r="AU1171" s="15"/>
    </row>
    <row r="1172" spans="1:47" x14ac:dyDescent="0.4">
      <c r="AT1172" s="26"/>
      <c r="AU1172" s="15"/>
    </row>
    <row r="1173" spans="1:47" x14ac:dyDescent="0.4">
      <c r="AT1173" s="26"/>
      <c r="AU1173" s="15"/>
    </row>
    <row r="1174" spans="1:47" x14ac:dyDescent="0.4">
      <c r="V1174" s="115"/>
      <c r="W1174" s="115"/>
      <c r="X1174" s="115"/>
      <c r="Y1174" s="115"/>
      <c r="Z1174" s="115"/>
      <c r="AA1174" s="115"/>
      <c r="AB1174" s="115"/>
      <c r="AC1174" s="122"/>
      <c r="AD1174" s="122"/>
      <c r="AE1174" s="122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6"/>
      <c r="AU1174" s="15"/>
    </row>
    <row r="1175" spans="1:47" x14ac:dyDescent="0.4">
      <c r="AT1175" s="26"/>
      <c r="AU1175" s="15"/>
    </row>
    <row r="1176" spans="1:47" x14ac:dyDescent="0.4">
      <c r="W1176" s="115"/>
      <c r="X1176" s="115"/>
      <c r="Y1176" s="115"/>
      <c r="Z1176" s="115"/>
      <c r="AA1176" s="115"/>
      <c r="AB1176" s="115"/>
      <c r="AC1176" s="122"/>
      <c r="AD1176" s="122"/>
      <c r="AE1176" s="122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7"/>
      <c r="AU1176" s="15"/>
    </row>
    <row r="1177" spans="1:47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22"/>
      <c r="AD1177" s="122"/>
      <c r="AE1177" s="122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6"/>
      <c r="AU1177" s="15"/>
    </row>
    <row r="1178" spans="1:47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22"/>
      <c r="AD1178" s="122"/>
      <c r="AE1178" s="122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7"/>
      <c r="AU1178" s="13"/>
    </row>
    <row r="1179" spans="1:47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22"/>
      <c r="AD1179" s="122"/>
      <c r="AE1179" s="122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7"/>
      <c r="AU1179" s="13"/>
    </row>
    <row r="1180" spans="1:47" x14ac:dyDescent="0.4">
      <c r="AT1180" s="26"/>
      <c r="AU1180" s="13"/>
    </row>
    <row r="1181" spans="1:47" x14ac:dyDescent="0.4"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22"/>
      <c r="AD1181" s="122"/>
      <c r="AE1181" s="122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115"/>
      <c r="AT1181" s="26"/>
      <c r="AU1181" s="15"/>
    </row>
    <row r="1182" spans="1:47" x14ac:dyDescent="0.4"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22"/>
      <c r="AD1182" s="122"/>
      <c r="AE1182" s="122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15"/>
      <c r="AT1182" s="26"/>
      <c r="AU1182" s="15"/>
    </row>
    <row r="1183" spans="1:47" x14ac:dyDescent="0.4">
      <c r="AT1183" s="26"/>
      <c r="AU1183" s="15"/>
    </row>
    <row r="1184" spans="1:47" x14ac:dyDescent="0.4"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22"/>
      <c r="AD1184" s="122"/>
      <c r="AE1184" s="122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26"/>
      <c r="AU1184" s="15"/>
    </row>
    <row r="1185" spans="1:47" x14ac:dyDescent="0.4"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22"/>
      <c r="AD1185" s="122"/>
      <c r="AE1185" s="122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26"/>
      <c r="AU1185" s="15"/>
    </row>
    <row r="1186" spans="1:47" x14ac:dyDescent="0.4"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22"/>
      <c r="AD1186" s="122"/>
      <c r="AE1186" s="122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26"/>
      <c r="AU1186" s="15"/>
    </row>
    <row r="1187" spans="1:47" x14ac:dyDescent="0.4"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22"/>
      <c r="AD1187" s="122"/>
      <c r="AE1187" s="122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26"/>
      <c r="AU1187" s="15"/>
    </row>
    <row r="1188" spans="1:47" x14ac:dyDescent="0.4">
      <c r="AT1188" s="26"/>
      <c r="AU1188" s="15"/>
    </row>
    <row r="1189" spans="1:47" x14ac:dyDescent="0.4"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22"/>
      <c r="AD1189" s="122"/>
      <c r="AE1189" s="122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15"/>
      <c r="AT1189" s="26"/>
      <c r="AU1189" s="15"/>
    </row>
    <row r="1190" spans="1:47" x14ac:dyDescent="0.4">
      <c r="AT1190" s="26"/>
      <c r="AU1190" s="15"/>
    </row>
    <row r="1191" spans="1:47" x14ac:dyDescent="0.4"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22"/>
      <c r="AD1191" s="122"/>
      <c r="AE1191" s="122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26"/>
      <c r="AU1191" s="15"/>
    </row>
    <row r="1192" spans="1:47" x14ac:dyDescent="0.4"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22"/>
      <c r="AD1192" s="122"/>
      <c r="AE1192" s="122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26"/>
      <c r="AU1192" s="15"/>
    </row>
    <row r="1193" spans="1:47" x14ac:dyDescent="0.4"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22"/>
      <c r="AD1193" s="122"/>
      <c r="AE1193" s="122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7"/>
      <c r="AU1193" s="15"/>
    </row>
    <row r="1194" spans="1:47" x14ac:dyDescent="0.4">
      <c r="AT1194" s="26"/>
      <c r="AU1194" s="15"/>
    </row>
    <row r="1195" spans="1:47" x14ac:dyDescent="0.4">
      <c r="AT1195" s="26"/>
      <c r="AU1195" s="15"/>
    </row>
    <row r="1196" spans="1:47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22"/>
      <c r="AD1196" s="122"/>
      <c r="AE1196" s="122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26"/>
      <c r="AU1196" s="15"/>
    </row>
    <row r="1197" spans="1:47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22"/>
      <c r="AD1197" s="122"/>
      <c r="AE1197" s="122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17"/>
      <c r="AU1197" s="15"/>
    </row>
    <row r="1198" spans="1:47" x14ac:dyDescent="0.4">
      <c r="AT1198" s="26"/>
      <c r="AU1198" s="15"/>
    </row>
    <row r="1199" spans="1:47" ht="17.25" customHeight="1" x14ac:dyDescent="0.4"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22"/>
      <c r="AD1199" s="122"/>
      <c r="AE1199" s="122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6"/>
      <c r="AU1199" s="15"/>
    </row>
    <row r="1200" spans="1:47" x14ac:dyDescent="0.4">
      <c r="AT1200" s="26"/>
      <c r="AU1200" s="15"/>
    </row>
    <row r="1201" spans="1:47" x14ac:dyDescent="0.4">
      <c r="V1201" s="115"/>
      <c r="W1201" s="115"/>
      <c r="X1201" s="115"/>
      <c r="Y1201" s="115"/>
      <c r="Z1201" s="115"/>
      <c r="AA1201" s="115"/>
      <c r="AB1201" s="115"/>
      <c r="AC1201" s="122"/>
      <c r="AD1201" s="122"/>
      <c r="AE1201" s="122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7"/>
      <c r="AU1201" s="15"/>
    </row>
    <row r="1202" spans="1:47" ht="16.5" customHeight="1" x14ac:dyDescent="0.4">
      <c r="A1202" s="115"/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22"/>
      <c r="AD1202" s="122"/>
      <c r="AE1202" s="122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6"/>
      <c r="AU1202" s="15"/>
    </row>
    <row r="1203" spans="1:47" ht="22.5" customHeight="1" x14ac:dyDescent="0.4">
      <c r="A1203" s="115"/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22"/>
      <c r="AD1203" s="122"/>
      <c r="AE1203" s="122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26"/>
      <c r="AU1203" s="15"/>
    </row>
    <row r="1204" spans="1:47" x14ac:dyDescent="0.4">
      <c r="AT1204" s="26"/>
      <c r="AU1204" s="15"/>
    </row>
    <row r="1205" spans="1:47" x14ac:dyDescent="0.4">
      <c r="AT1205" s="26"/>
      <c r="AU1205" s="105"/>
    </row>
    <row r="1206" spans="1:47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22"/>
      <c r="AD1206" s="122"/>
      <c r="AE1206" s="122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26"/>
      <c r="AU1206" s="15"/>
    </row>
    <row r="1207" spans="1:47" x14ac:dyDescent="0.4">
      <c r="AT1207" s="26"/>
      <c r="AU1207" s="15"/>
    </row>
    <row r="1208" spans="1:47" x14ac:dyDescent="0.4">
      <c r="AT1208" s="26"/>
      <c r="AU1208" s="15"/>
    </row>
    <row r="1209" spans="1:47" x14ac:dyDescent="0.4">
      <c r="AT1209" s="26"/>
      <c r="AU1209" s="15"/>
    </row>
    <row r="1210" spans="1:47" x14ac:dyDescent="0.4">
      <c r="AT1210" s="26"/>
      <c r="AU1210" s="15"/>
    </row>
    <row r="1211" spans="1:47" x14ac:dyDescent="0.4">
      <c r="A1211" s="115"/>
      <c r="B1211" s="115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22"/>
      <c r="AD1211" s="122"/>
      <c r="AE1211" s="122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26"/>
      <c r="AU1211" s="15"/>
    </row>
    <row r="1212" spans="1:47" x14ac:dyDescent="0.4">
      <c r="AT1212" s="26"/>
      <c r="AU1212" s="15"/>
    </row>
    <row r="1213" spans="1:47" x14ac:dyDescent="0.4">
      <c r="AT1213" s="26"/>
      <c r="AU1213" s="15"/>
    </row>
    <row r="1214" spans="1:47" x14ac:dyDescent="0.4">
      <c r="AT1214" s="26"/>
      <c r="AU1214" s="15"/>
    </row>
    <row r="1215" spans="1:47" x14ac:dyDescent="0.4">
      <c r="AT1215" s="26"/>
      <c r="AU1215" s="15"/>
    </row>
    <row r="1216" spans="1:47" ht="18.75" customHeight="1" x14ac:dyDescent="0.4"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22"/>
      <c r="AD1216" s="122"/>
      <c r="AE1216" s="122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26"/>
      <c r="AU1216" s="15"/>
    </row>
    <row r="1217" spans="1:47" x14ac:dyDescent="0.4">
      <c r="AT1217" s="26"/>
      <c r="AU1217" s="15"/>
    </row>
    <row r="1218" spans="1:47" x14ac:dyDescent="0.4">
      <c r="AT1218" s="26"/>
      <c r="AU1218" s="15"/>
    </row>
    <row r="1219" spans="1:47" x14ac:dyDescent="0.4"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22"/>
      <c r="AD1219" s="122"/>
      <c r="AE1219" s="122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26"/>
      <c r="AU1219" s="15"/>
    </row>
    <row r="1220" spans="1:47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22"/>
      <c r="AD1220" s="122"/>
      <c r="AE1220" s="122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26"/>
      <c r="AU1220" s="15"/>
    </row>
    <row r="1221" spans="1:47" x14ac:dyDescent="0.4">
      <c r="AT1221" s="26"/>
      <c r="AU1221" s="15"/>
    </row>
    <row r="1222" spans="1:47" x14ac:dyDescent="0.4">
      <c r="V1222" s="115"/>
      <c r="W1222" s="115"/>
      <c r="X1222" s="115"/>
      <c r="Y1222" s="115"/>
      <c r="Z1222" s="115"/>
      <c r="AA1222" s="115"/>
      <c r="AB1222" s="115"/>
      <c r="AC1222" s="122"/>
      <c r="AD1222" s="122"/>
      <c r="AE1222" s="122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7"/>
      <c r="AU1222" s="15"/>
    </row>
    <row r="1223" spans="1:47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22"/>
      <c r="AD1223" s="122"/>
      <c r="AE1223" s="122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26"/>
      <c r="AU1223" s="15"/>
    </row>
    <row r="1224" spans="1:47" x14ac:dyDescent="0.4">
      <c r="AT1224" s="26"/>
      <c r="AU1224" s="15"/>
    </row>
    <row r="1225" spans="1:47" x14ac:dyDescent="0.4">
      <c r="V1225" s="115"/>
      <c r="W1225" s="115"/>
      <c r="X1225" s="115"/>
      <c r="Y1225" s="115"/>
      <c r="Z1225" s="115"/>
      <c r="AA1225" s="115"/>
      <c r="AB1225" s="115"/>
      <c r="AC1225" s="122"/>
      <c r="AD1225" s="122"/>
      <c r="AE1225" s="122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7"/>
      <c r="AU1225" s="15"/>
    </row>
    <row r="1226" spans="1:47" x14ac:dyDescent="0.4">
      <c r="AT1226" s="26"/>
      <c r="AU1226" s="15"/>
    </row>
    <row r="1227" spans="1:47" x14ac:dyDescent="0.4"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22"/>
      <c r="AD1227" s="122"/>
      <c r="AE1227" s="122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26"/>
      <c r="AU1227" s="15"/>
    </row>
    <row r="1228" spans="1:47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22"/>
      <c r="AD1228" s="122"/>
      <c r="AE1228" s="122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26"/>
      <c r="AU1228" s="15"/>
    </row>
    <row r="1229" spans="1:47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22"/>
      <c r="AD1229" s="122"/>
      <c r="AE1229" s="122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26"/>
      <c r="AU1229" s="15"/>
    </row>
    <row r="1230" spans="1:47" x14ac:dyDescent="0.4">
      <c r="AT1230" s="26"/>
      <c r="AU1230" s="15"/>
    </row>
    <row r="1231" spans="1:47" x14ac:dyDescent="0.4"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22"/>
      <c r="AD1231" s="122"/>
      <c r="AE1231" s="122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26"/>
      <c r="AU1231" s="15"/>
    </row>
    <row r="1232" spans="1:47" x14ac:dyDescent="0.4">
      <c r="AT1232" s="26"/>
      <c r="AU1232" s="15"/>
    </row>
    <row r="1233" spans="1:47" x14ac:dyDescent="0.4"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22"/>
      <c r="AD1233" s="122"/>
      <c r="AE1233" s="122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26"/>
      <c r="AU1233" s="15"/>
    </row>
    <row r="1234" spans="1:47" x14ac:dyDescent="0.4">
      <c r="AT1234" s="26"/>
      <c r="AU1234" s="15"/>
    </row>
    <row r="1235" spans="1:47" x14ac:dyDescent="0.4">
      <c r="AT1235" s="26"/>
      <c r="AU1235" s="15"/>
    </row>
    <row r="1236" spans="1:47" x14ac:dyDescent="0.4">
      <c r="AT1236" s="26"/>
      <c r="AU1236" s="15"/>
    </row>
    <row r="1237" spans="1:47" x14ac:dyDescent="0.4">
      <c r="AT1237" s="26"/>
      <c r="AU1237" s="15"/>
    </row>
    <row r="1238" spans="1:47" x14ac:dyDescent="0.4">
      <c r="AT1238" s="26"/>
      <c r="AU1238" s="15"/>
    </row>
    <row r="1239" spans="1:47" x14ac:dyDescent="0.4">
      <c r="AT1239" s="26"/>
      <c r="AU1239" s="15"/>
    </row>
    <row r="1240" spans="1:47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22"/>
      <c r="AD1240" s="122"/>
      <c r="AE1240" s="122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26"/>
      <c r="AU1240" s="15"/>
    </row>
    <row r="1241" spans="1:47" x14ac:dyDescent="0.4">
      <c r="AT1241" s="26"/>
      <c r="AU1241" s="15"/>
    </row>
    <row r="1242" spans="1:47" x14ac:dyDescent="0.4">
      <c r="AT1242" s="26"/>
      <c r="AU1242" s="15"/>
    </row>
    <row r="1243" spans="1:47" x14ac:dyDescent="0.4">
      <c r="AT1243" s="26"/>
      <c r="AU1243" s="15"/>
    </row>
    <row r="1244" spans="1:47" x14ac:dyDescent="0.4">
      <c r="AT1244" s="26"/>
      <c r="AU1244" s="15"/>
    </row>
    <row r="1245" spans="1:47" x14ac:dyDescent="0.4">
      <c r="AT1245" s="26"/>
      <c r="AU1245" s="15"/>
    </row>
    <row r="1246" spans="1:47" x14ac:dyDescent="0.4">
      <c r="V1246" s="115"/>
      <c r="W1246" s="115"/>
      <c r="X1246" s="115"/>
      <c r="Y1246" s="115"/>
      <c r="Z1246" s="115"/>
      <c r="AA1246" s="115"/>
      <c r="AB1246" s="115"/>
      <c r="AC1246" s="122"/>
      <c r="AD1246" s="122"/>
      <c r="AE1246" s="122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7"/>
      <c r="AU1246" s="15"/>
    </row>
    <row r="1247" spans="1:47" x14ac:dyDescent="0.4">
      <c r="V1247" s="115"/>
      <c r="W1247" s="115"/>
      <c r="X1247" s="115"/>
      <c r="Y1247" s="115"/>
      <c r="Z1247" s="115"/>
      <c r="AA1247" s="115"/>
      <c r="AB1247" s="115"/>
      <c r="AC1247" s="122"/>
      <c r="AD1247" s="122"/>
      <c r="AE1247" s="122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7"/>
      <c r="AU1247" s="15"/>
    </row>
    <row r="1248" spans="1:47" x14ac:dyDescent="0.4">
      <c r="AT1248" s="26"/>
      <c r="AU1248" s="15"/>
    </row>
    <row r="1249" spans="1:47" x14ac:dyDescent="0.4">
      <c r="AT1249" s="26"/>
      <c r="AU1249" s="15"/>
    </row>
    <row r="1250" spans="1:47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22"/>
      <c r="AD1250" s="122"/>
      <c r="AE1250" s="122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26"/>
      <c r="AU1250" s="15"/>
    </row>
    <row r="1251" spans="1:47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22"/>
      <c r="AD1251" s="122"/>
      <c r="AE1251" s="122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26"/>
      <c r="AU1251" s="13"/>
    </row>
    <row r="1252" spans="1:47" x14ac:dyDescent="0.4">
      <c r="AT1252" s="26"/>
      <c r="AU1252" s="15"/>
    </row>
    <row r="1253" spans="1:47" x14ac:dyDescent="0.4"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22"/>
      <c r="AD1253" s="122"/>
      <c r="AE1253" s="122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26"/>
      <c r="AU1253" s="15"/>
    </row>
    <row r="1254" spans="1:47" x14ac:dyDescent="0.4">
      <c r="AT1254" s="26"/>
      <c r="AU1254" s="15"/>
    </row>
    <row r="1255" spans="1:47" x14ac:dyDescent="0.4">
      <c r="AT1255" s="26"/>
      <c r="AU1255" s="15"/>
    </row>
    <row r="1256" spans="1:47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22"/>
      <c r="AD1256" s="122"/>
      <c r="AE1256" s="122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26"/>
      <c r="AU1256" s="15"/>
    </row>
    <row r="1257" spans="1:47" x14ac:dyDescent="0.4">
      <c r="AT1257" s="26"/>
      <c r="AU1257" s="13"/>
    </row>
    <row r="1258" spans="1:47" x14ac:dyDescent="0.4">
      <c r="AT1258" s="26"/>
      <c r="AU1258" s="13"/>
    </row>
    <row r="1259" spans="1:47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22"/>
      <c r="AD1259" s="122"/>
      <c r="AE1259" s="122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26"/>
      <c r="AU1259" s="13"/>
    </row>
    <row r="1260" spans="1:47" x14ac:dyDescent="0.4">
      <c r="AT1260" s="26"/>
      <c r="AU1260" s="13"/>
    </row>
    <row r="1261" spans="1:47" x14ac:dyDescent="0.4">
      <c r="AT1261" s="26"/>
      <c r="AU1261" s="13"/>
    </row>
    <row r="1262" spans="1:47" x14ac:dyDescent="0.4">
      <c r="AT1262" s="26"/>
      <c r="AU1262" s="13"/>
    </row>
    <row r="1263" spans="1:47" x14ac:dyDescent="0.4">
      <c r="AT1263" s="26"/>
      <c r="AU1263" s="13"/>
    </row>
    <row r="1264" spans="1:47" x14ac:dyDescent="0.4">
      <c r="AT1264" s="26"/>
      <c r="AU1264" s="13"/>
    </row>
    <row r="1265" spans="1:47" x14ac:dyDescent="0.4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22"/>
      <c r="AD1265" s="122"/>
      <c r="AE1265" s="122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26"/>
      <c r="AU1265" s="25"/>
    </row>
    <row r="1266" spans="1:47" x14ac:dyDescent="0.4">
      <c r="AT1266" s="26"/>
      <c r="AU1266" s="13"/>
    </row>
    <row r="1267" spans="1:47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22"/>
      <c r="AD1267" s="122"/>
      <c r="AE1267" s="122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26"/>
      <c r="AU1267" s="13"/>
    </row>
    <row r="1268" spans="1:47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22"/>
      <c r="AD1268" s="122"/>
      <c r="AE1268" s="122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26"/>
      <c r="AU1268" s="13"/>
    </row>
    <row r="1269" spans="1:47" x14ac:dyDescent="0.4">
      <c r="AT1269" s="26"/>
      <c r="AU1269" s="15"/>
    </row>
    <row r="1270" spans="1:47" x14ac:dyDescent="0.4">
      <c r="AT1270" s="26"/>
      <c r="AU1270" s="15"/>
    </row>
    <row r="1271" spans="1:47" x14ac:dyDescent="0.4">
      <c r="AT1271" s="26"/>
      <c r="AU1271" s="15"/>
    </row>
    <row r="1272" spans="1:47" x14ac:dyDescent="0.4">
      <c r="AT1272" s="26"/>
      <c r="AU1272" s="13"/>
    </row>
    <row r="1273" spans="1:47" x14ac:dyDescent="0.4">
      <c r="AT1273" s="26"/>
      <c r="AU1273" s="15"/>
    </row>
    <row r="1274" spans="1:47" x14ac:dyDescent="0.4"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22"/>
      <c r="AD1274" s="122"/>
      <c r="AE1274" s="122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7"/>
      <c r="AU1274" s="15"/>
    </row>
    <row r="1275" spans="1:47" x14ac:dyDescent="0.4">
      <c r="AT1275" s="26"/>
      <c r="AU1275" s="15"/>
    </row>
    <row r="1276" spans="1:47" x14ac:dyDescent="0.4"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22"/>
      <c r="AD1276" s="122"/>
      <c r="AE1276" s="122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7"/>
      <c r="AU1276" s="15"/>
    </row>
    <row r="1277" spans="1:47" x14ac:dyDescent="0.4">
      <c r="AT1277" s="26"/>
      <c r="AU1277" s="15"/>
    </row>
    <row r="1278" spans="1:47" x14ac:dyDescent="0.4">
      <c r="AT1278" s="26"/>
      <c r="AU1278" s="15"/>
    </row>
    <row r="1279" spans="1:47" x14ac:dyDescent="0.4"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22"/>
      <c r="AD1279" s="122"/>
      <c r="AE1279" s="122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7"/>
      <c r="AU1279" s="15"/>
    </row>
    <row r="1280" spans="1:47" x14ac:dyDescent="0.4">
      <c r="AT1280" s="26"/>
      <c r="AU1280" s="15"/>
    </row>
    <row r="1281" spans="2:47" x14ac:dyDescent="0.4">
      <c r="AT1281" s="26"/>
      <c r="AU1281" s="15"/>
    </row>
    <row r="1282" spans="2:47" x14ac:dyDescent="0.4">
      <c r="AT1282" s="26"/>
      <c r="AU1282" s="105"/>
    </row>
    <row r="1283" spans="2:47" x14ac:dyDescent="0.4">
      <c r="AT1283" s="26"/>
      <c r="AU1283" s="15"/>
    </row>
    <row r="1284" spans="2:47" x14ac:dyDescent="0.4">
      <c r="AT1284" s="26"/>
      <c r="AU1284" s="15"/>
    </row>
    <row r="1285" spans="2:47" x14ac:dyDescent="0.4">
      <c r="AT1285" s="26"/>
      <c r="AU1285" s="15"/>
    </row>
    <row r="1286" spans="2:47" x14ac:dyDescent="0.4">
      <c r="AT1286" s="26"/>
      <c r="AU1286" s="15"/>
    </row>
    <row r="1287" spans="2:47" x14ac:dyDescent="0.4">
      <c r="AT1287" s="26"/>
      <c r="AU1287" s="15"/>
    </row>
    <row r="1288" spans="2:47" x14ac:dyDescent="0.4"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22"/>
      <c r="AD1288" s="122"/>
      <c r="AE1288" s="122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9"/>
      <c r="AU1288" s="119"/>
    </row>
    <row r="1289" spans="2:47" x14ac:dyDescent="0.4"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22"/>
      <c r="AD1289" s="122"/>
      <c r="AE1289" s="122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9"/>
      <c r="AU1289" s="119"/>
    </row>
  </sheetData>
  <sortState xmlns:xlrd2="http://schemas.microsoft.com/office/spreadsheetml/2017/richdata2" ref="K2:L163">
    <sortCondition ref="K2:K163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2025-03-13T06:34:59Z</cp:lastPrinted>
  <dcterms:created xsi:type="dcterms:W3CDTF">2020-05-08T06:29:04Z</dcterms:created>
  <dcterms:modified xsi:type="dcterms:W3CDTF">2025-03-14T01:29:47Z</dcterms:modified>
</cp:coreProperties>
</file>