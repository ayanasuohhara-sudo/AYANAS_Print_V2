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3BEE97F1-9932-4AF9-9363-CABBD9015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6" i="3" l="1"/>
  <c r="J192" i="3"/>
  <c r="J190" i="3"/>
  <c r="J185" i="3"/>
  <c r="J183" i="3"/>
  <c r="J169" i="3"/>
  <c r="J148" i="3"/>
  <c r="J128" i="3"/>
  <c r="J126" i="3"/>
  <c r="J122" i="3"/>
  <c r="J115" i="3"/>
  <c r="J110" i="3"/>
  <c r="J95" i="3"/>
  <c r="J93" i="3"/>
  <c r="J91" i="3"/>
  <c r="J71" i="3"/>
  <c r="J60" i="3"/>
  <c r="J50" i="3"/>
  <c r="J43" i="3"/>
  <c r="J38" i="3"/>
  <c r="J36" i="3"/>
  <c r="J31" i="3"/>
  <c r="J19" i="3"/>
  <c r="J15" i="3"/>
  <c r="J8" i="3"/>
  <c r="J5" i="3"/>
  <c r="J3" i="3"/>
  <c r="J197" i="3" s="1"/>
  <c r="D39" i="3"/>
  <c r="C39" i="3"/>
  <c r="B39" i="3"/>
  <c r="D40" i="3" s="1"/>
  <c r="U230" i="3"/>
  <c r="S230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S512" i="3"/>
  <c r="AR512" i="3"/>
  <c r="AS507" i="3"/>
  <c r="AR507" i="3"/>
  <c r="AS505" i="3"/>
  <c r="AR505" i="3"/>
  <c r="AS491" i="3"/>
  <c r="AR491" i="3"/>
  <c r="AS473" i="3"/>
  <c r="AR473" i="3"/>
  <c r="AS462" i="3"/>
  <c r="AR462" i="3"/>
  <c r="AS428" i="3"/>
  <c r="AR428" i="3"/>
  <c r="AS415" i="3"/>
  <c r="AR415" i="3"/>
  <c r="AS377" i="3"/>
  <c r="AR377" i="3"/>
  <c r="AS368" i="3"/>
  <c r="AR368" i="3"/>
  <c r="AS354" i="3"/>
  <c r="AR354" i="3"/>
  <c r="AS321" i="3"/>
  <c r="AR321" i="3"/>
  <c r="AS268" i="3"/>
  <c r="AR268" i="3"/>
  <c r="AS256" i="3"/>
  <c r="AR256" i="3"/>
  <c r="AS233" i="3"/>
  <c r="AR233" i="3"/>
  <c r="AS218" i="3"/>
  <c r="AR218" i="3"/>
  <c r="AS194" i="3"/>
  <c r="AR194" i="3"/>
  <c r="AS176" i="3"/>
  <c r="AR176" i="3"/>
  <c r="AS156" i="3"/>
  <c r="AR156" i="3"/>
  <c r="AS142" i="3"/>
  <c r="AR142" i="3"/>
  <c r="AS133" i="3"/>
  <c r="AR133" i="3"/>
  <c r="AS87" i="3"/>
  <c r="AR87" i="3"/>
  <c r="B61" i="1"/>
  <c r="A241" i="1"/>
  <c r="A151" i="1"/>
  <c r="AB43" i="1"/>
  <c r="AR513" i="3" l="1"/>
  <c r="AS513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<sst xmlns="http://schemas.openxmlformats.org/spreadsheetml/2006/main" count="2782" uniqueCount="405">
  <si>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</si>
  <si>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</si>
  <si>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</si>
  <si>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</si>
  <si>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</si>
  <si>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</si>
  <si>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</si>
  <si>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</si>
  <si>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</si>
  <si>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</si>
  <si>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</si>
  <si>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</si>
  <si>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</si>
  <si>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</si>
  <si>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</si>
  <si>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</si>
  <si>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</si>
  <si>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</si>
  <si>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</si>
  <si>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</si>
  <si>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</si>
  <si>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</si>
  <si>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</si>
  <si>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</si>
  <si>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</si>
  <si>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</si>
  <si>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</si>
  <si>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</si>
  <si>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</si>
  <si>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</si>
  <si>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</si>
  <si>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</si>
  <si>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</si>
  <si>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</si>
  <si>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</si>
  <si>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</si>
  <si>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</si>
  <si>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</si>
  <si>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</si>
  <si>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</si>
  <si>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</si>
  <si>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</si>
  <si>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</si>
  <si>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</si>
  <si>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</si>
  <si>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</si>
  <si>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</si>
  <si>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</si>
  <si>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</si>
  <si>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</si>
  <si>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</si>
  <si>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</si>
  <si>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</si>
  <si>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</si>
  <si>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</si>
  <si>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</si>
  <si>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</si>
  <si>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</si>
  <si>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</si>
  <si>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</si>
  <si>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</si>
  <si>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</si>
  <si>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</si>
  <si>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</si>
  <si>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</si>
  <si>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</si>
  <si>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</si>
  <si>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</si>
  <si>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</si>
  <si>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</si>
  <si>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</si>
  <si>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</si>
  <si>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</si>
  <si>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</si>
  <si>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</si>
  <si>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</si>
  <si>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</si>
  <si>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</si>
  <si>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</si>
  <si>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</si>
  <si>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</si>
  <si>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</si>
  <si>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</si>
  <si>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</si>
  <si>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</si>
  <si>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</si>
  <si>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</si>
  <si>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</si>
  <si>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</si>
  <si>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</si>
  <si>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</si>
  <si>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</si>
  <si>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</si>
  <si>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</si>
  <si>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</si>
  <si>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</si>
  <si>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</si>
  <si>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</si>
  <si>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</si>
  <si>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</si>
  <si>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</si>
  <si>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</si>
  <si>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</si>
  <si>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</si>
  <si>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</si>
  <si>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</si>
  <si>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</si>
  <si>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</si>
  <si>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</si>
  <si>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</si>
  <si>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</si>
  <si>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</si>
  <si>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</si>
  <si>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</si>
  <si>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</si>
  <si>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</si>
  <si>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</si>
  <si>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</si>
  <si>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</si>
  <si>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</si>
  <si>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</si>
  <si>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</si>
  <si>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</si>
  <si>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</si>
  <si>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</si>
  <si>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</si>
  <si>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</si>
  <si>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</si>
  <si>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</si>
  <si>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</si>
  <si>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</si>
  <si>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</si>
  <si>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</si>
  <si>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</si>
  <si>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</si>
  <si>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</si>
  <si>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</si>
  <si>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</si>
  <si>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</si>
  <si>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</si>
  <si>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</si>
  <si>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</si>
  <si>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</si>
  <si>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</si>
  <si>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</si>
  <si>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</si>
  <si>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</si>
  <si>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</si>
  <si>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</si>
  <si>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</si>
  <si>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</si>
  <si>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</si>
  <si>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</si>
  <si>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</si>
  <si>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</si>
  <si>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</si>
  <si>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</si>
  <si>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</si>
  <si>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</si>
  <si>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</si>
  <si>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</si>
  <si>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</si>
  <si>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</si>
  <si>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</si>
  <si>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</si>
  <si>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</si>
  <si>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</si>
  <si>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</si>
  <si>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</si>
  <si>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</si>
  <si>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</si>
  <si>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</si>
  <si>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</si>
  <si>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</si>
  <si>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</si>
  <si>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</si>
  <si>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</si>
  <si>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</si>
  <si>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</si>
  <si>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</si>
  <si>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A335</t>
    <phoneticPr fontId="1"/>
  </si>
  <si>
    <t>M078</t>
    <phoneticPr fontId="1"/>
  </si>
  <si>
    <t>A128</t>
    <phoneticPr fontId="1"/>
  </si>
  <si>
    <t>A120</t>
    <phoneticPr fontId="1"/>
  </si>
  <si>
    <t>A523</t>
    <phoneticPr fontId="1"/>
  </si>
  <si>
    <t>A700</t>
    <phoneticPr fontId="1"/>
  </si>
  <si>
    <t>M079</t>
    <phoneticPr fontId="1"/>
  </si>
  <si>
    <t>M070</t>
    <phoneticPr fontId="1"/>
  </si>
  <si>
    <t>A997</t>
    <phoneticPr fontId="1"/>
  </si>
  <si>
    <t>A550</t>
    <phoneticPr fontId="1"/>
  </si>
  <si>
    <t>E</t>
    <phoneticPr fontId="1"/>
  </si>
  <si>
    <t>P</t>
    <phoneticPr fontId="1"/>
  </si>
  <si>
    <t>M074</t>
    <phoneticPr fontId="1"/>
  </si>
  <si>
    <t>A623</t>
    <phoneticPr fontId="1"/>
  </si>
  <si>
    <t>M028</t>
    <phoneticPr fontId="1"/>
  </si>
  <si>
    <t>A123</t>
    <phoneticPr fontId="1"/>
  </si>
  <si>
    <t>2025/2/8 個数</t>
  </si>
  <si>
    <t>2025/2/12 個数</t>
  </si>
  <si>
    <t>2025/2/15 個数</t>
  </si>
  <si>
    <t>2025/2/16 個数</t>
  </si>
  <si>
    <t>2025/2/17 個数</t>
  </si>
  <si>
    <t>2025/2/18 個数</t>
  </si>
  <si>
    <t>2025/2/19 個数</t>
  </si>
  <si>
    <t>2025/2/20 個数</t>
  </si>
  <si>
    <t>2025/2/21 個数</t>
  </si>
  <si>
    <t>2025/2/23 個数</t>
  </si>
  <si>
    <t>2025/2/24 個数</t>
  </si>
  <si>
    <t>2025/2/25 個数</t>
  </si>
  <si>
    <t>2025/2/26 個数</t>
  </si>
  <si>
    <t>2025/2/27 個数</t>
  </si>
  <si>
    <t>2025/2/28 個数</t>
  </si>
  <si>
    <t>2025/3/3 個数</t>
  </si>
  <si>
    <t>2025/3/6 個数</t>
  </si>
  <si>
    <t>2025/3/8 個数</t>
  </si>
  <si>
    <t>AYG099</t>
    <phoneticPr fontId="1"/>
  </si>
  <si>
    <t>07010038</t>
    <phoneticPr fontId="1"/>
  </si>
  <si>
    <t>07010039</t>
    <phoneticPr fontId="1"/>
  </si>
  <si>
    <t>07010040</t>
    <phoneticPr fontId="1"/>
  </si>
  <si>
    <t>07010041</t>
    <phoneticPr fontId="1"/>
  </si>
  <si>
    <t>07010056</t>
    <phoneticPr fontId="1"/>
  </si>
  <si>
    <t>070100089</t>
    <phoneticPr fontId="1"/>
  </si>
  <si>
    <t>07010091</t>
    <phoneticPr fontId="1"/>
  </si>
  <si>
    <t>M0778</t>
    <phoneticPr fontId="1"/>
  </si>
  <si>
    <t>07010093</t>
    <phoneticPr fontId="1"/>
  </si>
  <si>
    <t>07010094</t>
    <phoneticPr fontId="1"/>
  </si>
  <si>
    <t>07010097</t>
    <phoneticPr fontId="1"/>
  </si>
  <si>
    <t>07010102</t>
    <phoneticPr fontId="1"/>
  </si>
  <si>
    <t>07010104</t>
    <phoneticPr fontId="1"/>
  </si>
  <si>
    <t>07010106</t>
    <phoneticPr fontId="1"/>
  </si>
  <si>
    <t>07010223</t>
    <phoneticPr fontId="1"/>
  </si>
  <si>
    <t>M015</t>
    <phoneticPr fontId="1"/>
  </si>
  <si>
    <t>07010224</t>
    <phoneticPr fontId="1"/>
  </si>
  <si>
    <t>07010178</t>
    <phoneticPr fontId="1"/>
  </si>
  <si>
    <t>07010179</t>
    <phoneticPr fontId="1"/>
  </si>
  <si>
    <t>07010180</t>
    <phoneticPr fontId="1"/>
  </si>
  <si>
    <t>07010181</t>
    <phoneticPr fontId="1"/>
  </si>
  <si>
    <t>07010187</t>
    <phoneticPr fontId="1"/>
  </si>
  <si>
    <t>07010206</t>
    <phoneticPr fontId="1"/>
  </si>
  <si>
    <t>07010222</t>
    <phoneticPr fontId="1"/>
  </si>
  <si>
    <t>07010228</t>
    <phoneticPr fontId="1"/>
  </si>
  <si>
    <t>07010229</t>
    <phoneticPr fontId="1"/>
  </si>
  <si>
    <t>07010230</t>
    <phoneticPr fontId="1"/>
  </si>
  <si>
    <t>07010231</t>
    <phoneticPr fontId="1"/>
  </si>
  <si>
    <t>07010232</t>
    <phoneticPr fontId="1"/>
  </si>
  <si>
    <t>07010233</t>
    <phoneticPr fontId="1"/>
  </si>
  <si>
    <t>07010235</t>
    <phoneticPr fontId="1"/>
  </si>
  <si>
    <t>07010023</t>
    <phoneticPr fontId="1"/>
  </si>
  <si>
    <t>M037</t>
    <phoneticPr fontId="1"/>
  </si>
  <si>
    <t>07010048</t>
    <phoneticPr fontId="1"/>
  </si>
  <si>
    <t>M025</t>
    <phoneticPr fontId="1"/>
  </si>
  <si>
    <t>07010049</t>
    <phoneticPr fontId="1"/>
  </si>
  <si>
    <t>07010095</t>
    <phoneticPr fontId="1"/>
  </si>
  <si>
    <t>07010117</t>
    <phoneticPr fontId="1"/>
  </si>
  <si>
    <t>07010177</t>
    <phoneticPr fontId="1"/>
  </si>
  <si>
    <t>A913</t>
    <phoneticPr fontId="1"/>
  </si>
  <si>
    <t>07010182</t>
    <phoneticPr fontId="1"/>
  </si>
  <si>
    <t>07010238</t>
    <phoneticPr fontId="1"/>
  </si>
  <si>
    <t>07010239</t>
    <phoneticPr fontId="1"/>
  </si>
  <si>
    <t>07010245</t>
    <phoneticPr fontId="1"/>
  </si>
  <si>
    <t>07010252</t>
    <phoneticPr fontId="1"/>
  </si>
  <si>
    <t>A336</t>
    <phoneticPr fontId="1"/>
  </si>
  <si>
    <t>07010254</t>
    <phoneticPr fontId="1"/>
  </si>
  <si>
    <t>07010280</t>
    <phoneticPr fontId="1"/>
  </si>
  <si>
    <t>07010101</t>
    <phoneticPr fontId="1"/>
  </si>
  <si>
    <t>07010103</t>
    <phoneticPr fontId="1"/>
  </si>
  <si>
    <t>07010105</t>
    <phoneticPr fontId="1"/>
  </si>
  <si>
    <t>07010166</t>
    <phoneticPr fontId="1"/>
  </si>
  <si>
    <t>07010190</t>
    <phoneticPr fontId="1"/>
  </si>
  <si>
    <t>07010193</t>
    <phoneticPr fontId="1"/>
  </si>
  <si>
    <t>07010194</t>
    <phoneticPr fontId="1"/>
  </si>
  <si>
    <t>07010196</t>
    <phoneticPr fontId="1"/>
  </si>
  <si>
    <t>07010209</t>
    <phoneticPr fontId="1"/>
  </si>
  <si>
    <t>07010220</t>
    <phoneticPr fontId="1"/>
  </si>
  <si>
    <t>A505</t>
    <phoneticPr fontId="1"/>
  </si>
  <si>
    <t>07010221</t>
    <phoneticPr fontId="1"/>
  </si>
  <si>
    <t>07010257</t>
    <phoneticPr fontId="1"/>
  </si>
  <si>
    <t>07010284</t>
    <phoneticPr fontId="1"/>
  </si>
  <si>
    <t>07010285</t>
    <phoneticPr fontId="1"/>
  </si>
  <si>
    <t>07010287</t>
    <phoneticPr fontId="1"/>
  </si>
  <si>
    <t>07010288</t>
    <phoneticPr fontId="1"/>
  </si>
  <si>
    <t>06120229</t>
    <phoneticPr fontId="1"/>
  </si>
  <si>
    <t>07010236</t>
    <phoneticPr fontId="1"/>
  </si>
  <si>
    <t>07010237</t>
    <phoneticPr fontId="1"/>
  </si>
  <si>
    <t>07010316</t>
    <phoneticPr fontId="1"/>
  </si>
  <si>
    <t>07010319</t>
    <phoneticPr fontId="1"/>
  </si>
  <si>
    <t>07010320</t>
    <phoneticPr fontId="1"/>
  </si>
  <si>
    <t>07010328</t>
    <phoneticPr fontId="1"/>
  </si>
  <si>
    <t>A330</t>
    <phoneticPr fontId="1"/>
  </si>
  <si>
    <t>07010329</t>
    <phoneticPr fontId="1"/>
  </si>
  <si>
    <t>07010330</t>
    <phoneticPr fontId="1"/>
  </si>
  <si>
    <t>07010331</t>
    <phoneticPr fontId="1"/>
  </si>
  <si>
    <t>07010332</t>
    <phoneticPr fontId="1"/>
  </si>
  <si>
    <t>07010333</t>
    <phoneticPr fontId="1"/>
  </si>
  <si>
    <t>07010334</t>
    <phoneticPr fontId="1"/>
  </si>
  <si>
    <t>07010335</t>
    <phoneticPr fontId="1"/>
  </si>
  <si>
    <t>07010336</t>
    <phoneticPr fontId="1"/>
  </si>
  <si>
    <t>07010342</t>
    <phoneticPr fontId="1"/>
  </si>
  <si>
    <t>06120331</t>
    <phoneticPr fontId="1"/>
  </si>
  <si>
    <t>07010170</t>
    <phoneticPr fontId="1"/>
  </si>
  <si>
    <t>07010171</t>
    <phoneticPr fontId="1"/>
  </si>
  <si>
    <t>07010352</t>
    <phoneticPr fontId="1"/>
  </si>
  <si>
    <t>07010365</t>
    <phoneticPr fontId="1"/>
  </si>
  <si>
    <t>C</t>
    <phoneticPr fontId="1"/>
  </si>
  <si>
    <t>07010366</t>
    <phoneticPr fontId="1"/>
  </si>
  <si>
    <t>07010367</t>
    <phoneticPr fontId="1"/>
  </si>
  <si>
    <t>07010368</t>
    <phoneticPr fontId="1"/>
  </si>
  <si>
    <t>A602</t>
    <phoneticPr fontId="1"/>
  </si>
  <si>
    <t>07010369</t>
    <phoneticPr fontId="1"/>
  </si>
  <si>
    <t>1</t>
    <phoneticPr fontId="1"/>
  </si>
  <si>
    <t>07010375</t>
    <phoneticPr fontId="1"/>
  </si>
  <si>
    <t>07010381</t>
    <phoneticPr fontId="1"/>
  </si>
  <si>
    <t>07010382</t>
    <phoneticPr fontId="1"/>
  </si>
  <si>
    <t>07010383</t>
    <phoneticPr fontId="1"/>
  </si>
  <si>
    <t>07010384</t>
    <phoneticPr fontId="1"/>
  </si>
  <si>
    <t>06120556</t>
    <phoneticPr fontId="1"/>
  </si>
  <si>
    <t>07010234</t>
    <phoneticPr fontId="1"/>
  </si>
  <si>
    <t>07010255</t>
    <phoneticPr fontId="1"/>
  </si>
  <si>
    <t>07010256</t>
    <phoneticPr fontId="1"/>
  </si>
  <si>
    <t>07010289</t>
    <phoneticPr fontId="1"/>
  </si>
  <si>
    <t>07010290</t>
    <phoneticPr fontId="1"/>
  </si>
  <si>
    <t>07010321</t>
    <phoneticPr fontId="1"/>
  </si>
  <si>
    <t>07010322</t>
    <phoneticPr fontId="1"/>
  </si>
  <si>
    <t>07010324</t>
    <phoneticPr fontId="1"/>
  </si>
  <si>
    <t>07010353</t>
    <phoneticPr fontId="1"/>
  </si>
  <si>
    <t>07010354</t>
    <phoneticPr fontId="1"/>
  </si>
  <si>
    <t>07010364</t>
    <phoneticPr fontId="1"/>
  </si>
  <si>
    <t>07010387</t>
    <phoneticPr fontId="1"/>
  </si>
  <si>
    <t>07010388</t>
    <phoneticPr fontId="1"/>
  </si>
  <si>
    <t>07010389</t>
    <phoneticPr fontId="1"/>
  </si>
  <si>
    <t>07010243</t>
    <phoneticPr fontId="1"/>
  </si>
  <si>
    <t>07010247</t>
    <phoneticPr fontId="1"/>
  </si>
  <si>
    <t>07010277</t>
    <phoneticPr fontId="1"/>
  </si>
  <si>
    <t>A318</t>
    <phoneticPr fontId="1"/>
  </si>
  <si>
    <t>07010278</t>
    <phoneticPr fontId="1"/>
  </si>
  <si>
    <t>07010325</t>
    <phoneticPr fontId="1"/>
  </si>
  <si>
    <t>07010390</t>
    <phoneticPr fontId="1"/>
  </si>
  <si>
    <t>07010391</t>
    <phoneticPr fontId="1"/>
  </si>
  <si>
    <t>07010396</t>
    <phoneticPr fontId="1"/>
  </si>
  <si>
    <t>07010397</t>
    <phoneticPr fontId="1"/>
  </si>
  <si>
    <t>07010398</t>
    <phoneticPr fontId="1"/>
  </si>
  <si>
    <t>06120409</t>
    <phoneticPr fontId="1"/>
  </si>
  <si>
    <t>07010411</t>
    <phoneticPr fontId="1"/>
  </si>
  <si>
    <t>07010412</t>
    <phoneticPr fontId="1"/>
  </si>
  <si>
    <t>07010413</t>
    <phoneticPr fontId="1"/>
  </si>
  <si>
    <t>07010414</t>
    <phoneticPr fontId="1"/>
  </si>
  <si>
    <t>07010415</t>
    <phoneticPr fontId="1"/>
  </si>
  <si>
    <t>06120317</t>
    <phoneticPr fontId="1"/>
  </si>
  <si>
    <t>06120555</t>
    <phoneticPr fontId="1"/>
  </si>
  <si>
    <t>07010323</t>
    <phoneticPr fontId="1"/>
  </si>
  <si>
    <t>07010405</t>
    <phoneticPr fontId="1"/>
  </si>
  <si>
    <t>07010406</t>
    <phoneticPr fontId="1"/>
  </si>
  <si>
    <t>07010407</t>
    <phoneticPr fontId="1"/>
  </si>
  <si>
    <t>07010408</t>
    <phoneticPr fontId="1"/>
  </si>
  <si>
    <t>07010409</t>
    <phoneticPr fontId="1"/>
  </si>
  <si>
    <t>07010410</t>
    <phoneticPr fontId="1"/>
  </si>
  <si>
    <t>07010438</t>
    <phoneticPr fontId="1"/>
  </si>
  <si>
    <t>07010439</t>
    <phoneticPr fontId="1"/>
  </si>
  <si>
    <t>07010449</t>
    <phoneticPr fontId="1"/>
  </si>
  <si>
    <t>07010450</t>
    <phoneticPr fontId="1"/>
  </si>
  <si>
    <t>07010451</t>
    <phoneticPr fontId="1"/>
  </si>
  <si>
    <t>07010452</t>
    <phoneticPr fontId="1"/>
  </si>
  <si>
    <t>07010423</t>
    <phoneticPr fontId="1"/>
  </si>
  <si>
    <t>07010424</t>
    <phoneticPr fontId="1"/>
  </si>
  <si>
    <t>07010425</t>
    <phoneticPr fontId="1"/>
  </si>
  <si>
    <t>07010419</t>
    <phoneticPr fontId="1"/>
  </si>
  <si>
    <t>07010420</t>
    <phoneticPr fontId="1"/>
  </si>
  <si>
    <t>07010421</t>
    <phoneticPr fontId="1"/>
  </si>
  <si>
    <t>07010422</t>
    <phoneticPr fontId="1"/>
  </si>
  <si>
    <t>07010447</t>
    <phoneticPr fontId="1"/>
  </si>
  <si>
    <t>07010448</t>
    <phoneticPr fontId="1"/>
  </si>
  <si>
    <t>07010417</t>
    <phoneticPr fontId="1"/>
  </si>
  <si>
    <t>07010418</t>
    <phoneticPr fontId="1"/>
  </si>
  <si>
    <t>07010432</t>
    <phoneticPr fontId="1"/>
  </si>
  <si>
    <t>07010433</t>
    <phoneticPr fontId="1"/>
  </si>
  <si>
    <t>07010434</t>
    <phoneticPr fontId="1"/>
  </si>
  <si>
    <t>07010435</t>
    <phoneticPr fontId="1"/>
  </si>
  <si>
    <t>07010436</t>
    <phoneticPr fontId="1"/>
  </si>
  <si>
    <t>07010437</t>
    <phoneticPr fontId="1"/>
  </si>
  <si>
    <t>07010440</t>
    <phoneticPr fontId="1"/>
  </si>
  <si>
    <t>07010441</t>
    <phoneticPr fontId="1"/>
  </si>
  <si>
    <t>07010442</t>
    <phoneticPr fontId="1"/>
  </si>
  <si>
    <t>07010443</t>
    <phoneticPr fontId="1"/>
  </si>
  <si>
    <t>07010444</t>
    <phoneticPr fontId="1"/>
  </si>
  <si>
    <t>07010445</t>
    <phoneticPr fontId="1"/>
  </si>
  <si>
    <t>07010446</t>
    <phoneticPr fontId="1"/>
  </si>
  <si>
    <t>06120231</t>
    <phoneticPr fontId="1"/>
  </si>
  <si>
    <t>07010426</t>
    <phoneticPr fontId="1"/>
  </si>
  <si>
    <t>07010427</t>
    <phoneticPr fontId="1"/>
  </si>
  <si>
    <t>07010428</t>
    <phoneticPr fontId="1"/>
  </si>
  <si>
    <t>07010429</t>
    <phoneticPr fontId="1"/>
  </si>
  <si>
    <t>07010430</t>
    <phoneticPr fontId="1"/>
  </si>
  <si>
    <t>07010431</t>
    <phoneticPr fontId="1"/>
  </si>
  <si>
    <t>07010470</t>
    <phoneticPr fontId="1"/>
  </si>
  <si>
    <t>07010474</t>
    <phoneticPr fontId="1"/>
  </si>
  <si>
    <t>A529</t>
    <phoneticPr fontId="1"/>
  </si>
  <si>
    <t>07010475</t>
    <phoneticPr fontId="1"/>
  </si>
  <si>
    <t>2025/3/1 個数</t>
  </si>
  <si>
    <t>2025/3/2 個数</t>
  </si>
  <si>
    <t>2025/3/4 個数</t>
  </si>
  <si>
    <t>2025/3/5 個数</t>
  </si>
  <si>
    <t>2025/3/9 個数</t>
  </si>
  <si>
    <t>2025/3/10 個数</t>
  </si>
  <si>
    <t>2025/3/13 個数</t>
  </si>
  <si>
    <t>2025/3/21 個数</t>
  </si>
  <si>
    <t>2025/3/29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</si>
</sst>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7" sqref="F7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214</v>
      </c>
      <c r="B1" s="24">
        <v>45687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5" t="s">
        <v>105</v>
      </c>
      <c r="Y2" s="136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7">
        <v>1</v>
      </c>
      <c r="B3" s="140">
        <v>21.8</v>
      </c>
      <c r="C3" s="85" t="s">
        <v>215</v>
      </c>
      <c r="D3" s="109" t="s">
        <v>193</v>
      </c>
      <c r="E3" s="15" t="s">
        <v>43</v>
      </c>
      <c r="F3" s="14"/>
      <c r="G3" s="12" t="s">
        <v>178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45705</v>
      </c>
      <c r="U3" s="13" t="s">
        <v>142</v>
      </c>
      <c r="V3">
        <v>1</v>
      </c>
      <c r="X3" s="51" t="s">
        <v>106</v>
      </c>
      <c r="Y3" s="52">
        <f>COUNTIF(U3:U27,"K")</f>
        <v>3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8"/>
      <c r="B4" s="141"/>
      <c r="C4" s="85" t="s">
        <v>216</v>
      </c>
      <c r="D4" s="109" t="s">
        <v>193</v>
      </c>
      <c r="E4" s="15" t="s">
        <v>45</v>
      </c>
      <c r="F4" s="16"/>
      <c r="G4" s="12" t="s">
        <v>178</v>
      </c>
      <c r="H4" s="15" t="s">
        <v>147</v>
      </c>
      <c r="I4" s="13"/>
      <c r="J4" s="15"/>
      <c r="K4" s="15"/>
      <c r="L4" s="17"/>
      <c r="M4" s="17">
        <v>1</v>
      </c>
      <c r="N4" s="13">
        <v>1</v>
      </c>
      <c r="O4" s="17"/>
      <c r="P4" s="17"/>
      <c r="Q4" s="17"/>
      <c r="R4" s="17"/>
      <c r="S4" s="15"/>
      <c r="T4" s="25">
        <v>45705</v>
      </c>
      <c r="U4" s="13" t="s">
        <v>147</v>
      </c>
      <c r="V4">
        <v>2</v>
      </c>
      <c r="X4" s="51" t="s">
        <v>107</v>
      </c>
      <c r="Y4" s="52">
        <f>COUNTIF(U3:U27,"R")</f>
        <v>10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8"/>
      <c r="B5" s="141"/>
      <c r="C5" s="85" t="s">
        <v>217</v>
      </c>
      <c r="D5" s="109" t="s">
        <v>193</v>
      </c>
      <c r="E5" s="15" t="s">
        <v>40</v>
      </c>
      <c r="F5" s="16"/>
      <c r="G5" s="12" t="s">
        <v>178</v>
      </c>
      <c r="H5" s="13"/>
      <c r="I5" s="13"/>
      <c r="J5" s="15"/>
      <c r="K5" s="15"/>
      <c r="L5" s="17"/>
      <c r="M5" s="17"/>
      <c r="N5" s="13"/>
      <c r="O5" s="17">
        <v>1</v>
      </c>
      <c r="P5" s="17">
        <v>1</v>
      </c>
      <c r="Q5" s="17">
        <v>1</v>
      </c>
      <c r="R5" s="17">
        <v>1</v>
      </c>
      <c r="S5" s="15"/>
      <c r="T5" s="25">
        <v>45705</v>
      </c>
      <c r="U5" s="13" t="s">
        <v>148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8"/>
      <c r="B6" s="141"/>
      <c r="C6" s="85" t="s">
        <v>218</v>
      </c>
      <c r="D6" s="109" t="s">
        <v>193</v>
      </c>
      <c r="E6" s="15" t="s">
        <v>40</v>
      </c>
      <c r="F6" s="16"/>
      <c r="G6" s="12" t="s">
        <v>178</v>
      </c>
      <c r="H6" s="15" t="s">
        <v>147</v>
      </c>
      <c r="I6" s="13"/>
      <c r="J6" s="13"/>
      <c r="K6" s="15"/>
      <c r="L6" s="17"/>
      <c r="M6" s="17"/>
      <c r="N6" s="13"/>
      <c r="O6" s="17">
        <v>1</v>
      </c>
      <c r="P6" s="17">
        <v>1</v>
      </c>
      <c r="Q6" s="17"/>
      <c r="R6" s="17"/>
      <c r="S6" s="15"/>
      <c r="T6" s="25">
        <v>45703</v>
      </c>
      <c r="U6" s="13" t="s">
        <v>148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8"/>
      <c r="B7" s="141"/>
      <c r="C7" s="85" t="s">
        <v>219</v>
      </c>
      <c r="D7" s="109" t="s">
        <v>187</v>
      </c>
      <c r="E7" s="15" t="s">
        <v>58</v>
      </c>
      <c r="F7" s="16"/>
      <c r="G7" s="12" t="s">
        <v>178</v>
      </c>
      <c r="H7" s="15"/>
      <c r="I7" s="13"/>
      <c r="J7" s="15"/>
      <c r="K7" s="15"/>
      <c r="L7" s="17"/>
      <c r="M7" s="17"/>
      <c r="N7" s="13"/>
      <c r="O7" s="17"/>
      <c r="P7" s="17"/>
      <c r="Q7" s="17"/>
      <c r="R7" s="17"/>
      <c r="S7" s="15">
        <v>1</v>
      </c>
      <c r="T7" s="25">
        <v>45703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8"/>
      <c r="B8" s="141"/>
      <c r="C8" s="85" t="s">
        <v>220</v>
      </c>
      <c r="D8" s="109" t="s">
        <v>181</v>
      </c>
      <c r="E8" s="15" t="s">
        <v>44</v>
      </c>
      <c r="F8" s="16"/>
      <c r="G8" s="12" t="s">
        <v>178</v>
      </c>
      <c r="H8" s="13"/>
      <c r="I8" s="13"/>
      <c r="J8" s="15"/>
      <c r="K8" s="15"/>
      <c r="L8" s="17"/>
      <c r="M8" s="17">
        <v>1</v>
      </c>
      <c r="N8" s="13">
        <v>1</v>
      </c>
      <c r="O8" s="17"/>
      <c r="P8" s="17"/>
      <c r="Q8" s="17">
        <v>1</v>
      </c>
      <c r="R8" s="17"/>
      <c r="S8" s="15"/>
      <c r="T8" s="25">
        <v>45712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8"/>
      <c r="B9" s="141"/>
      <c r="C9" s="85" t="s">
        <v>221</v>
      </c>
      <c r="D9" s="109" t="s">
        <v>222</v>
      </c>
      <c r="E9" s="15" t="s">
        <v>58</v>
      </c>
      <c r="F9" s="16"/>
      <c r="G9" s="12" t="s">
        <v>178</v>
      </c>
      <c r="H9" s="15"/>
      <c r="I9" s="13"/>
      <c r="J9" s="15"/>
      <c r="K9" s="15"/>
      <c r="L9" s="17"/>
      <c r="M9" s="17"/>
      <c r="N9" s="13"/>
      <c r="O9" s="17"/>
      <c r="P9" s="17"/>
      <c r="Q9" s="17"/>
      <c r="R9" s="17"/>
      <c r="S9" s="15"/>
      <c r="T9" s="25">
        <v>45712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8"/>
      <c r="B10" s="141"/>
      <c r="C10" s="85" t="s">
        <v>223</v>
      </c>
      <c r="D10" s="109" t="s">
        <v>181</v>
      </c>
      <c r="E10" s="15" t="s">
        <v>75</v>
      </c>
      <c r="F10" s="16"/>
      <c r="G10" s="12" t="s">
        <v>178</v>
      </c>
      <c r="H10" s="15"/>
      <c r="I10" s="13"/>
      <c r="J10" s="15"/>
      <c r="K10" s="15"/>
      <c r="L10" s="17"/>
      <c r="M10" s="17"/>
      <c r="N10" s="13"/>
      <c r="O10" s="17"/>
      <c r="P10" s="17"/>
      <c r="Q10" s="17"/>
      <c r="R10" s="17"/>
      <c r="S10" s="15"/>
      <c r="T10" s="25">
        <v>45709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8"/>
      <c r="B11" s="141"/>
      <c r="C11" s="85" t="s">
        <v>224</v>
      </c>
      <c r="D11" s="109" t="s">
        <v>181</v>
      </c>
      <c r="E11" s="15" t="s">
        <v>74</v>
      </c>
      <c r="F11" s="16"/>
      <c r="G11" s="12" t="s">
        <v>178</v>
      </c>
      <c r="H11" s="15"/>
      <c r="I11" s="13"/>
      <c r="J11" s="15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45704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8"/>
      <c r="B12" s="141"/>
      <c r="C12" s="85" t="s">
        <v>225</v>
      </c>
      <c r="D12" s="109" t="s">
        <v>181</v>
      </c>
      <c r="E12" s="15" t="s">
        <v>37</v>
      </c>
      <c r="F12" s="16"/>
      <c r="G12" s="12" t="s">
        <v>178</v>
      </c>
      <c r="H12" s="15"/>
      <c r="I12" s="15"/>
      <c r="J12" s="15"/>
      <c r="K12" s="15"/>
      <c r="L12" s="17"/>
      <c r="M12" s="17">
        <v>1</v>
      </c>
      <c r="N12" s="17">
        <v>1</v>
      </c>
      <c r="O12" s="17"/>
      <c r="P12" s="17"/>
      <c r="Q12" s="17">
        <v>1</v>
      </c>
      <c r="R12" s="17"/>
      <c r="S12" s="15"/>
      <c r="T12" s="25">
        <v>45704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8"/>
      <c r="B13" s="141"/>
      <c r="C13" s="85" t="s">
        <v>226</v>
      </c>
      <c r="D13" s="109" t="s">
        <v>177</v>
      </c>
      <c r="E13" s="15" t="s">
        <v>44</v>
      </c>
      <c r="F13" s="16"/>
      <c r="G13" s="12" t="s">
        <v>178</v>
      </c>
      <c r="H13" s="15"/>
      <c r="I13" s="15"/>
      <c r="J13" s="15"/>
      <c r="K13" s="15"/>
      <c r="L13" s="17"/>
      <c r="M13" s="17">
        <v>1</v>
      </c>
      <c r="N13" s="17"/>
      <c r="O13" s="17"/>
      <c r="P13" s="17"/>
      <c r="Q13" s="17">
        <v>1</v>
      </c>
      <c r="R13" s="17"/>
      <c r="S13" s="15"/>
      <c r="T13" s="25">
        <v>45714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8"/>
      <c r="B14" s="141"/>
      <c r="C14" s="85" t="s">
        <v>227</v>
      </c>
      <c r="D14" s="109" t="s">
        <v>177</v>
      </c>
      <c r="E14" s="15" t="s">
        <v>44</v>
      </c>
      <c r="F14" s="16"/>
      <c r="G14" s="12" t="s">
        <v>178</v>
      </c>
      <c r="H14" s="15"/>
      <c r="I14" s="15"/>
      <c r="J14" s="15"/>
      <c r="K14" s="15"/>
      <c r="L14" s="17"/>
      <c r="M14" s="17">
        <v>1</v>
      </c>
      <c r="N14" s="17"/>
      <c r="O14" s="17"/>
      <c r="P14" s="17"/>
      <c r="Q14" s="17">
        <v>1</v>
      </c>
      <c r="R14" s="17"/>
      <c r="S14" s="15"/>
      <c r="T14" s="25">
        <v>45714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8"/>
      <c r="B15" s="141"/>
      <c r="C15" s="85" t="s">
        <v>228</v>
      </c>
      <c r="D15" s="109" t="s">
        <v>186</v>
      </c>
      <c r="E15" s="15" t="s">
        <v>74</v>
      </c>
      <c r="F15" s="16"/>
      <c r="G15" s="12" t="s">
        <v>178</v>
      </c>
      <c r="H15" s="15"/>
      <c r="I15" s="15"/>
      <c r="J15" s="15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45709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8"/>
      <c r="B16" s="141"/>
      <c r="C16" s="85" t="s">
        <v>229</v>
      </c>
      <c r="D16" s="109" t="s">
        <v>230</v>
      </c>
      <c r="E16" s="15" t="s">
        <v>37</v>
      </c>
      <c r="F16" s="16"/>
      <c r="G16" s="12" t="s">
        <v>191</v>
      </c>
      <c r="H16" s="15"/>
      <c r="I16" s="15"/>
      <c r="J16" s="15"/>
      <c r="K16" s="15"/>
      <c r="L16" s="17"/>
      <c r="M16" s="17">
        <v>1</v>
      </c>
      <c r="N16" s="17"/>
      <c r="O16" s="17"/>
      <c r="P16" s="17"/>
      <c r="Q16" s="17"/>
      <c r="R16" s="17"/>
      <c r="S16" s="15"/>
      <c r="T16" s="25">
        <v>45714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8"/>
      <c r="B17" s="141"/>
      <c r="C17" s="85" t="s">
        <v>231</v>
      </c>
      <c r="D17" s="106" t="s">
        <v>230</v>
      </c>
      <c r="E17" s="15" t="s">
        <v>74</v>
      </c>
      <c r="F17" s="16"/>
      <c r="G17" s="15" t="s">
        <v>191</v>
      </c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>
        <v>45714</v>
      </c>
      <c r="U17" s="15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8"/>
      <c r="B18" s="141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8"/>
      <c r="B19" s="14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8"/>
      <c r="B20" s="14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8"/>
      <c r="B21" s="14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8"/>
      <c r="B22" s="14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8"/>
      <c r="B23" s="14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8"/>
      <c r="B24" s="14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8"/>
      <c r="B25" s="14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292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8"/>
      <c r="B26" s="14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9"/>
      <c r="B27" s="14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168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13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3</v>
      </c>
      <c r="K28" s="29">
        <f t="shared" si="0"/>
        <v>3</v>
      </c>
      <c r="L28" s="29">
        <f t="shared" si="0"/>
        <v>0</v>
      </c>
      <c r="M28" s="29">
        <f t="shared" si="0"/>
        <v>6</v>
      </c>
      <c r="N28" s="29">
        <f t="shared" si="0"/>
        <v>3</v>
      </c>
      <c r="O28" s="29">
        <f t="shared" si="0"/>
        <v>2</v>
      </c>
      <c r="P28" s="29">
        <f t="shared" si="0"/>
        <v>2</v>
      </c>
      <c r="Q28" s="29">
        <f t="shared" si="0"/>
        <v>5</v>
      </c>
      <c r="R28" s="29">
        <f t="shared" si="0"/>
        <v>1</v>
      </c>
      <c r="S28" s="29">
        <f t="shared" si="0"/>
        <v>1</v>
      </c>
      <c r="T28" s="29" t="s">
        <v>64</v>
      </c>
      <c r="U28" s="29">
        <f>COUNTIF(H3:H27,"M")</f>
        <v>0</v>
      </c>
      <c r="AA28" s="151" t="s">
        <v>104</v>
      </c>
      <c r="AB28" s="152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2</v>
      </c>
      <c r="H29" s="29">
        <f>COUNTIF(H3:H27,"R")</f>
        <v>2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26</v>
      </c>
      <c r="T29" s="29"/>
      <c r="U29" s="29"/>
      <c r="X29" t="s">
        <v>136</v>
      </c>
      <c r="AA29" s="153"/>
      <c r="AB29" s="154"/>
      <c r="AC29" s="146">
        <f>SUM(AC28:AE28)</f>
        <v>0</v>
      </c>
      <c r="AD29" s="147"/>
      <c r="AE29" s="14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AYG099</v>
      </c>
      <c r="B31" s="24">
        <f>B1</f>
        <v>45687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5" t="s">
        <v>119</v>
      </c>
      <c r="Y32" s="136"/>
      <c r="AA32" s="155" t="s">
        <v>47</v>
      </c>
      <c r="AB32" s="156"/>
    </row>
    <row r="33" spans="1:29" ht="19.5" thickTop="1" x14ac:dyDescent="0.4">
      <c r="A33" s="137">
        <v>2</v>
      </c>
      <c r="B33" s="140">
        <v>20</v>
      </c>
      <c r="C33" s="85" t="s">
        <v>232</v>
      </c>
      <c r="D33" s="109" t="s">
        <v>184</v>
      </c>
      <c r="E33" s="15" t="s">
        <v>38</v>
      </c>
      <c r="F33" s="14"/>
      <c r="G33" s="12" t="s">
        <v>178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45714</v>
      </c>
      <c r="U33" s="13" t="s">
        <v>146</v>
      </c>
      <c r="V33">
        <v>1</v>
      </c>
      <c r="X33" s="51" t="s">
        <v>106</v>
      </c>
      <c r="Y33" s="52">
        <f>COUNTIF(U33:U57,"K")</f>
        <v>3</v>
      </c>
      <c r="AA33" s="31" t="s">
        <v>46</v>
      </c>
      <c r="AB33" s="32">
        <f>J28+J178+J148+J118+J208+J238+J268+J298+J328+J358</f>
        <v>55</v>
      </c>
    </row>
    <row r="34" spans="1:29" x14ac:dyDescent="0.4">
      <c r="A34" s="138"/>
      <c r="B34" s="141"/>
      <c r="C34" s="85" t="s">
        <v>233</v>
      </c>
      <c r="D34" s="109" t="s">
        <v>179</v>
      </c>
      <c r="E34" s="15" t="s">
        <v>37</v>
      </c>
      <c r="F34" s="16"/>
      <c r="G34" s="12" t="s">
        <v>178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45700</v>
      </c>
      <c r="U34" s="13" t="s">
        <v>146</v>
      </c>
      <c r="V34">
        <v>2</v>
      </c>
      <c r="X34" s="51" t="s">
        <v>107</v>
      </c>
      <c r="Y34" s="52">
        <f>COUNTIF(U33:U57,"R")</f>
        <v>10</v>
      </c>
      <c r="AA34" s="31" t="s">
        <v>48</v>
      </c>
      <c r="AB34" s="32">
        <f>K28+K178+K148+K118+K208+K238+K268+K298+K328+K358</f>
        <v>53</v>
      </c>
    </row>
    <row r="35" spans="1:29" ht="19.5" thickBot="1" x14ac:dyDescent="0.45">
      <c r="A35" s="138"/>
      <c r="B35" s="141"/>
      <c r="C35" s="85" t="s">
        <v>234</v>
      </c>
      <c r="D35" s="109" t="s">
        <v>188</v>
      </c>
      <c r="E35" s="15" t="s">
        <v>36</v>
      </c>
      <c r="F35" s="16"/>
      <c r="G35" s="12" t="s">
        <v>178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>
        <v>1</v>
      </c>
      <c r="R35" s="17"/>
      <c r="S35" s="15"/>
      <c r="T35" s="25">
        <v>45713</v>
      </c>
      <c r="U35" s="13" t="s">
        <v>147</v>
      </c>
      <c r="V35">
        <v>3</v>
      </c>
      <c r="X35" s="53" t="s">
        <v>108</v>
      </c>
      <c r="Y35" s="54">
        <f>COUNTIF(U33:U57,"J")</f>
        <v>1</v>
      </c>
      <c r="AA35" s="31" t="s">
        <v>49</v>
      </c>
      <c r="AB35" s="32">
        <f>L28+L178+L148+L118+L208+L238+L268+L298+L328+L358</f>
        <v>10</v>
      </c>
    </row>
    <row r="36" spans="1:29" x14ac:dyDescent="0.4">
      <c r="A36" s="138"/>
      <c r="B36" s="141"/>
      <c r="C36" s="85" t="s">
        <v>235</v>
      </c>
      <c r="D36" s="109" t="s">
        <v>188</v>
      </c>
      <c r="E36" s="15" t="s">
        <v>40</v>
      </c>
      <c r="F36" s="16"/>
      <c r="G36" s="12" t="s">
        <v>178</v>
      </c>
      <c r="H36" s="15"/>
      <c r="I36" s="13"/>
      <c r="J36" s="13"/>
      <c r="K36" s="15"/>
      <c r="L36" s="17"/>
      <c r="M36" s="17"/>
      <c r="N36" s="13"/>
      <c r="O36" s="17">
        <v>1</v>
      </c>
      <c r="P36" s="17"/>
      <c r="Q36" s="17"/>
      <c r="R36" s="17"/>
      <c r="S36" s="15"/>
      <c r="T36" s="25">
        <v>45713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27</v>
      </c>
    </row>
    <row r="37" spans="1:29" x14ac:dyDescent="0.4">
      <c r="A37" s="138"/>
      <c r="B37" s="141"/>
      <c r="C37" s="85" t="s">
        <v>236</v>
      </c>
      <c r="D37" s="109" t="s">
        <v>185</v>
      </c>
      <c r="E37" s="15" t="s">
        <v>59</v>
      </c>
      <c r="F37" s="16"/>
      <c r="G37" s="12" t="s">
        <v>178</v>
      </c>
      <c r="H37" s="15"/>
      <c r="I37" s="13"/>
      <c r="J37" s="15">
        <v>2</v>
      </c>
      <c r="K37" s="15"/>
      <c r="L37" s="17"/>
      <c r="M37" s="17"/>
      <c r="N37" s="13"/>
      <c r="O37" s="17"/>
      <c r="P37" s="17"/>
      <c r="Q37" s="17"/>
      <c r="R37" s="17"/>
      <c r="S37" s="15"/>
      <c r="T37" s="25">
        <v>45719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22</v>
      </c>
    </row>
    <row r="38" spans="1:29" x14ac:dyDescent="0.4">
      <c r="A38" s="138"/>
      <c r="B38" s="141"/>
      <c r="C38" s="85" t="s">
        <v>237</v>
      </c>
      <c r="D38" s="109" t="s">
        <v>181</v>
      </c>
      <c r="E38" s="15" t="s">
        <v>36</v>
      </c>
      <c r="F38" s="16"/>
      <c r="G38" s="12" t="s">
        <v>178</v>
      </c>
      <c r="H38" s="13"/>
      <c r="I38" s="13"/>
      <c r="J38" s="15"/>
      <c r="K38" s="15"/>
      <c r="L38" s="17"/>
      <c r="M38" s="17">
        <v>1</v>
      </c>
      <c r="N38" s="13">
        <v>1</v>
      </c>
      <c r="O38" s="17"/>
      <c r="P38" s="17"/>
      <c r="Q38" s="17"/>
      <c r="R38" s="17"/>
      <c r="S38" s="15"/>
      <c r="T38" s="25">
        <v>45709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20</v>
      </c>
    </row>
    <row r="39" spans="1:29" x14ac:dyDescent="0.4">
      <c r="A39" s="138"/>
      <c r="B39" s="141"/>
      <c r="C39" s="85" t="s">
        <v>238</v>
      </c>
      <c r="D39" s="109" t="s">
        <v>179</v>
      </c>
      <c r="E39" s="15" t="s">
        <v>36</v>
      </c>
      <c r="F39" s="16"/>
      <c r="G39" s="12" t="s">
        <v>178</v>
      </c>
      <c r="H39" s="15"/>
      <c r="I39" s="13"/>
      <c r="J39" s="15"/>
      <c r="K39" s="15"/>
      <c r="L39" s="17"/>
      <c r="M39" s="17">
        <v>1</v>
      </c>
      <c r="N39" s="13">
        <v>1</v>
      </c>
      <c r="O39" s="17"/>
      <c r="P39" s="17"/>
      <c r="Q39" s="17">
        <v>1</v>
      </c>
      <c r="R39" s="17"/>
      <c r="S39" s="15"/>
      <c r="T39" s="25">
        <v>45707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15</v>
      </c>
    </row>
    <row r="40" spans="1:29" x14ac:dyDescent="0.4">
      <c r="A40" s="138"/>
      <c r="B40" s="141"/>
      <c r="C40" s="85" t="s">
        <v>239</v>
      </c>
      <c r="D40" s="109" t="s">
        <v>179</v>
      </c>
      <c r="E40" s="15" t="s">
        <v>41</v>
      </c>
      <c r="F40" s="16"/>
      <c r="G40" s="12" t="s">
        <v>178</v>
      </c>
      <c r="H40" s="15"/>
      <c r="I40" s="13"/>
      <c r="J40" s="15"/>
      <c r="K40" s="15"/>
      <c r="L40" s="17"/>
      <c r="M40" s="17"/>
      <c r="N40" s="13"/>
      <c r="O40" s="17"/>
      <c r="P40" s="17"/>
      <c r="Q40" s="17"/>
      <c r="R40" s="17"/>
      <c r="S40" s="15"/>
      <c r="T40" s="25">
        <v>45707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28</v>
      </c>
    </row>
    <row r="41" spans="1:29" x14ac:dyDescent="0.4">
      <c r="A41" s="138"/>
      <c r="B41" s="141"/>
      <c r="C41" s="85" t="s">
        <v>240</v>
      </c>
      <c r="D41" s="109" t="s">
        <v>179</v>
      </c>
      <c r="E41" s="15" t="s">
        <v>42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/>
      <c r="T41" s="25">
        <v>45707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7</v>
      </c>
      <c r="AC41" t="s">
        <v>123</v>
      </c>
    </row>
    <row r="42" spans="1:29" ht="19.5" thickBot="1" x14ac:dyDescent="0.45">
      <c r="A42" s="138"/>
      <c r="B42" s="141"/>
      <c r="C42" s="85" t="s">
        <v>241</v>
      </c>
      <c r="D42" s="109" t="s">
        <v>179</v>
      </c>
      <c r="E42" s="15" t="s">
        <v>40</v>
      </c>
      <c r="F42" s="16"/>
      <c r="G42" s="12" t="s">
        <v>178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/>
      <c r="R42" s="17"/>
      <c r="S42" s="15"/>
      <c r="T42" s="25">
        <v>45707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10</v>
      </c>
      <c r="AC42" s="73">
        <f>SUM(AB33:AB42)</f>
        <v>247</v>
      </c>
    </row>
    <row r="43" spans="1:29" ht="19.5" thickBot="1" x14ac:dyDescent="0.45">
      <c r="A43" s="138"/>
      <c r="B43" s="141"/>
      <c r="C43" s="85" t="s">
        <v>242</v>
      </c>
      <c r="D43" s="109" t="s">
        <v>179</v>
      </c>
      <c r="E43" s="15" t="s">
        <v>44</v>
      </c>
      <c r="F43" s="16"/>
      <c r="G43" s="12" t="s">
        <v>178</v>
      </c>
      <c r="H43" s="15"/>
      <c r="I43" s="15"/>
      <c r="J43" s="15"/>
      <c r="K43" s="15"/>
      <c r="L43" s="17"/>
      <c r="M43" s="17">
        <v>1</v>
      </c>
      <c r="N43" s="17">
        <v>1</v>
      </c>
      <c r="O43" s="17"/>
      <c r="P43" s="17"/>
      <c r="Q43" s="17">
        <v>1</v>
      </c>
      <c r="R43" s="17"/>
      <c r="S43" s="15"/>
      <c r="T43" s="25">
        <v>45706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8"/>
      <c r="B44" s="141"/>
      <c r="C44" s="85" t="s">
        <v>243</v>
      </c>
      <c r="D44" s="109" t="s">
        <v>179</v>
      </c>
      <c r="E44" s="15" t="s">
        <v>40</v>
      </c>
      <c r="F44" s="16"/>
      <c r="G44" s="12" t="s">
        <v>178</v>
      </c>
      <c r="H44" s="15"/>
      <c r="I44" s="15"/>
      <c r="J44" s="15"/>
      <c r="K44" s="15"/>
      <c r="L44" s="17"/>
      <c r="M44" s="17"/>
      <c r="N44" s="17"/>
      <c r="O44" s="17">
        <v>1</v>
      </c>
      <c r="P44" s="17">
        <v>1</v>
      </c>
      <c r="Q44" s="17"/>
      <c r="R44" s="17">
        <v>1</v>
      </c>
      <c r="S44" s="15"/>
      <c r="T44" s="25">
        <v>45706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1</v>
      </c>
    </row>
    <row r="45" spans="1:29" x14ac:dyDescent="0.4">
      <c r="A45" s="138"/>
      <c r="B45" s="141"/>
      <c r="C45" s="85" t="s">
        <v>244</v>
      </c>
      <c r="D45" s="109" t="s">
        <v>179</v>
      </c>
      <c r="E45" s="15" t="s">
        <v>40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>
        <v>1</v>
      </c>
      <c r="P45" s="17">
        <v>1</v>
      </c>
      <c r="Q45" s="17"/>
      <c r="R45" s="17">
        <v>1</v>
      </c>
      <c r="S45" s="15"/>
      <c r="T45" s="25">
        <v>45706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3</v>
      </c>
    </row>
    <row r="46" spans="1:29" x14ac:dyDescent="0.4">
      <c r="A46" s="138"/>
      <c r="B46" s="141"/>
      <c r="C46" s="85" t="s">
        <v>245</v>
      </c>
      <c r="D46" s="109" t="s">
        <v>184</v>
      </c>
      <c r="E46" s="15" t="s">
        <v>74</v>
      </c>
      <c r="F46" s="16"/>
      <c r="G46" s="12" t="s">
        <v>178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45706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8"/>
      <c r="B47" s="141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8"/>
      <c r="B48" s="141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38"/>
      <c r="B49" s="14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165</v>
      </c>
    </row>
    <row r="50" spans="1:28" ht="19.5" thickBot="1" x14ac:dyDescent="0.45">
      <c r="A50" s="138"/>
      <c r="B50" s="14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38"/>
      <c r="B51" s="14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8"/>
      <c r="B52" s="14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7">
        <v>76</v>
      </c>
    </row>
    <row r="53" spans="1:28" ht="19.5" thickBot="1" x14ac:dyDescent="0.45">
      <c r="A53" s="138"/>
      <c r="B53" s="14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8"/>
    </row>
    <row r="54" spans="1:28" ht="19.5" thickBot="1" x14ac:dyDescent="0.45">
      <c r="A54" s="138"/>
      <c r="B54" s="14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8"/>
      <c r="B55" s="14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5" t="s">
        <v>73</v>
      </c>
      <c r="AB55" s="45"/>
    </row>
    <row r="56" spans="1:28" ht="19.5" thickBot="1" x14ac:dyDescent="0.45">
      <c r="A56" s="138"/>
      <c r="B56" s="14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0"/>
      <c r="AB56" s="46"/>
    </row>
    <row r="57" spans="1:28" ht="19.5" thickBot="1" x14ac:dyDescent="0.45">
      <c r="A57" s="139"/>
      <c r="B57" s="14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5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4</v>
      </c>
      <c r="K58" s="29">
        <f t="shared" si="1"/>
        <v>2</v>
      </c>
      <c r="L58" s="29">
        <f t="shared" si="1"/>
        <v>0</v>
      </c>
      <c r="M58" s="29">
        <f t="shared" si="1"/>
        <v>5</v>
      </c>
      <c r="N58" s="29">
        <f t="shared" si="1"/>
        <v>5</v>
      </c>
      <c r="O58" s="29">
        <f t="shared" si="1"/>
        <v>4</v>
      </c>
      <c r="P58" s="29">
        <f t="shared" si="1"/>
        <v>3</v>
      </c>
      <c r="Q58" s="29">
        <f t="shared" si="1"/>
        <v>4</v>
      </c>
      <c r="R58" s="29">
        <f t="shared" si="1"/>
        <v>2</v>
      </c>
      <c r="S58" s="29">
        <f t="shared" si="1"/>
        <v>0</v>
      </c>
      <c r="T58" s="29" t="s">
        <v>64</v>
      </c>
      <c r="U58" s="29">
        <f>COUNTIF(H33:H57,"M")</f>
        <v>0</v>
      </c>
      <c r="AA58" s="150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29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AYG099</v>
      </c>
      <c r="B61" s="24">
        <f>B1</f>
        <v>45687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5" t="s">
        <v>118</v>
      </c>
      <c r="Y62" s="136"/>
    </row>
    <row r="63" spans="1:28" ht="20.25" thickTop="1" thickBot="1" x14ac:dyDescent="0.45">
      <c r="A63" s="137">
        <v>3</v>
      </c>
      <c r="B63" s="143">
        <v>21.6</v>
      </c>
      <c r="C63" s="85" t="s">
        <v>246</v>
      </c>
      <c r="D63" s="109" t="s">
        <v>247</v>
      </c>
      <c r="E63" s="15" t="s">
        <v>38</v>
      </c>
      <c r="F63" s="14"/>
      <c r="G63" s="12" t="s">
        <v>178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45706</v>
      </c>
      <c r="U63" s="13" t="s">
        <v>146</v>
      </c>
      <c r="V63">
        <v>1</v>
      </c>
      <c r="X63" s="51" t="s">
        <v>106</v>
      </c>
      <c r="Y63" s="52">
        <f>COUNTIF(U63:U87,"K")</f>
        <v>10</v>
      </c>
      <c r="AA63" s="59" t="s">
        <v>120</v>
      </c>
      <c r="AB63" s="60" t="s">
        <v>121</v>
      </c>
    </row>
    <row r="64" spans="1:28" x14ac:dyDescent="0.4">
      <c r="A64" s="138"/>
      <c r="B64" s="144"/>
      <c r="C64" s="85" t="s">
        <v>248</v>
      </c>
      <c r="D64" s="109" t="s">
        <v>249</v>
      </c>
      <c r="E64" s="15" t="s">
        <v>41</v>
      </c>
      <c r="F64" s="16"/>
      <c r="G64" s="12" t="s">
        <v>178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45706</v>
      </c>
      <c r="U64" s="13" t="s">
        <v>146</v>
      </c>
      <c r="V64">
        <v>2</v>
      </c>
      <c r="X64" s="51" t="s">
        <v>107</v>
      </c>
      <c r="Y64" s="52">
        <f>COUNTIF(U63:U87,"R")</f>
        <v>3</v>
      </c>
      <c r="AA64" s="47" t="s">
        <v>81</v>
      </c>
      <c r="AB64" s="48" t="s">
        <v>60</v>
      </c>
    </row>
    <row r="65" spans="1:28" ht="19.5" thickBot="1" x14ac:dyDescent="0.45">
      <c r="A65" s="138"/>
      <c r="B65" s="144"/>
      <c r="C65" s="85" t="s">
        <v>250</v>
      </c>
      <c r="D65" s="109" t="s">
        <v>249</v>
      </c>
      <c r="E65" s="15" t="s">
        <v>42</v>
      </c>
      <c r="F65" s="16"/>
      <c r="G65" s="12" t="s">
        <v>178</v>
      </c>
      <c r="H65" s="15"/>
      <c r="I65" s="15"/>
      <c r="J65" s="13"/>
      <c r="K65" s="15"/>
      <c r="L65" s="13"/>
      <c r="M65" s="17"/>
      <c r="N65" s="17"/>
      <c r="O65" s="17"/>
      <c r="P65" s="17"/>
      <c r="Q65" s="17"/>
      <c r="R65" s="17"/>
      <c r="S65" s="15">
        <v>1</v>
      </c>
      <c r="T65" s="25">
        <v>45706</v>
      </c>
      <c r="U65" s="13" t="s">
        <v>146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38"/>
      <c r="B66" s="144"/>
      <c r="C66" s="85" t="s">
        <v>251</v>
      </c>
      <c r="D66" s="109" t="s">
        <v>181</v>
      </c>
      <c r="E66" s="15" t="s">
        <v>75</v>
      </c>
      <c r="F66" s="16"/>
      <c r="G66" s="12" t="s">
        <v>178</v>
      </c>
      <c r="H66" s="13"/>
      <c r="I66" s="15"/>
      <c r="J66" s="13"/>
      <c r="K66" s="15"/>
      <c r="L66" s="13"/>
      <c r="M66" s="17"/>
      <c r="N66" s="17"/>
      <c r="O66" s="17"/>
      <c r="P66" s="17"/>
      <c r="Q66" s="17"/>
      <c r="R66" s="17"/>
      <c r="S66" s="15">
        <v>1</v>
      </c>
      <c r="T66" s="25">
        <v>45709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38"/>
      <c r="B67" s="144"/>
      <c r="C67" s="85" t="s">
        <v>252</v>
      </c>
      <c r="D67" s="109" t="s">
        <v>185</v>
      </c>
      <c r="E67" s="15" t="s">
        <v>59</v>
      </c>
      <c r="F67" s="16"/>
      <c r="G67" s="12" t="s">
        <v>178</v>
      </c>
      <c r="H67" s="15"/>
      <c r="I67" s="15"/>
      <c r="J67" s="13">
        <v>2</v>
      </c>
      <c r="K67" s="15"/>
      <c r="L67" s="13"/>
      <c r="M67" s="17"/>
      <c r="N67" s="17"/>
      <c r="O67" s="17"/>
      <c r="P67" s="17"/>
      <c r="Q67" s="17"/>
      <c r="R67" s="17"/>
      <c r="S67" s="15"/>
      <c r="T67" s="25">
        <v>45719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38"/>
      <c r="B68" s="144"/>
      <c r="C68" s="85" t="s">
        <v>253</v>
      </c>
      <c r="D68" s="109" t="s">
        <v>254</v>
      </c>
      <c r="E68" s="15" t="s">
        <v>40</v>
      </c>
      <c r="F68" s="16"/>
      <c r="G68" s="12" t="s">
        <v>178</v>
      </c>
      <c r="H68" s="15"/>
      <c r="I68" s="15"/>
      <c r="J68" s="13"/>
      <c r="K68" s="15"/>
      <c r="L68" s="13"/>
      <c r="M68" s="17"/>
      <c r="N68" s="17"/>
      <c r="O68" s="17">
        <v>1</v>
      </c>
      <c r="P68" s="17">
        <v>1</v>
      </c>
      <c r="Q68" s="17"/>
      <c r="R68" s="17"/>
      <c r="S68" s="15"/>
      <c r="T68" s="25">
        <v>45713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38"/>
      <c r="B69" s="144"/>
      <c r="C69" s="85" t="s">
        <v>255</v>
      </c>
      <c r="D69" s="109" t="s">
        <v>188</v>
      </c>
      <c r="E69" s="15" t="s">
        <v>40</v>
      </c>
      <c r="F69" s="16"/>
      <c r="G69" s="12" t="s">
        <v>178</v>
      </c>
      <c r="H69" s="15"/>
      <c r="I69" s="15"/>
      <c r="J69" s="13"/>
      <c r="K69" s="15"/>
      <c r="L69" s="13"/>
      <c r="M69" s="17"/>
      <c r="N69" s="17"/>
      <c r="O69" s="17">
        <v>1</v>
      </c>
      <c r="P69" s="17"/>
      <c r="Q69" s="17">
        <v>1</v>
      </c>
      <c r="R69" s="17"/>
      <c r="S69" s="15"/>
      <c r="T69" s="25">
        <v>45713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38"/>
      <c r="B70" s="144"/>
      <c r="C70" s="85" t="s">
        <v>256</v>
      </c>
      <c r="D70" s="109" t="s">
        <v>195</v>
      </c>
      <c r="E70" s="15" t="s">
        <v>38</v>
      </c>
      <c r="F70" s="16"/>
      <c r="G70" s="12" t="s">
        <v>178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45719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38"/>
      <c r="B71" s="144"/>
      <c r="C71" s="85" t="s">
        <v>257</v>
      </c>
      <c r="D71" s="109" t="s">
        <v>182</v>
      </c>
      <c r="E71" s="15" t="s">
        <v>38</v>
      </c>
      <c r="F71" s="16"/>
      <c r="G71" s="12" t="s">
        <v>178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45719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38"/>
      <c r="B72" s="144"/>
      <c r="C72" s="85" t="s">
        <v>258</v>
      </c>
      <c r="D72" s="109" t="s">
        <v>192</v>
      </c>
      <c r="E72" s="15" t="s">
        <v>37</v>
      </c>
      <c r="F72" s="16"/>
      <c r="G72" s="12" t="s">
        <v>178</v>
      </c>
      <c r="H72" s="15"/>
      <c r="I72" s="15"/>
      <c r="J72" s="13"/>
      <c r="K72" s="15"/>
      <c r="L72" s="13"/>
      <c r="M72" s="17">
        <v>1</v>
      </c>
      <c r="N72" s="17"/>
      <c r="O72" s="17"/>
      <c r="P72" s="17"/>
      <c r="Q72" s="17">
        <v>1</v>
      </c>
      <c r="R72" s="17"/>
      <c r="S72" s="15"/>
      <c r="T72" s="25">
        <v>45717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38"/>
      <c r="B73" s="144"/>
      <c r="C73" s="85" t="s">
        <v>259</v>
      </c>
      <c r="D73" s="109" t="s">
        <v>260</v>
      </c>
      <c r="E73" s="15" t="s">
        <v>60</v>
      </c>
      <c r="F73" s="16"/>
      <c r="G73" s="15" t="s">
        <v>178</v>
      </c>
      <c r="H73" s="15"/>
      <c r="I73" s="15"/>
      <c r="J73" s="15">
        <v>1</v>
      </c>
      <c r="K73" s="15">
        <v>1</v>
      </c>
      <c r="L73" s="17">
        <v>1</v>
      </c>
      <c r="M73" s="17"/>
      <c r="N73" s="17"/>
      <c r="O73" s="17"/>
      <c r="P73" s="17"/>
      <c r="Q73" s="17"/>
      <c r="R73" s="17"/>
      <c r="S73" s="15"/>
      <c r="T73" s="25">
        <v>45706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38"/>
      <c r="B74" s="144"/>
      <c r="C74" s="85" t="s">
        <v>261</v>
      </c>
      <c r="D74" s="109" t="s">
        <v>230</v>
      </c>
      <c r="E74" s="15" t="s">
        <v>36</v>
      </c>
      <c r="F74" s="16"/>
      <c r="G74" s="15" t="s">
        <v>178</v>
      </c>
      <c r="H74" s="15"/>
      <c r="I74" s="15"/>
      <c r="J74" s="15">
        <v>1</v>
      </c>
      <c r="K74" s="15">
        <v>1</v>
      </c>
      <c r="L74" s="17"/>
      <c r="M74" s="17"/>
      <c r="N74" s="17"/>
      <c r="O74" s="17"/>
      <c r="P74" s="17"/>
      <c r="Q74" s="17"/>
      <c r="R74" s="17"/>
      <c r="S74" s="15"/>
      <c r="T74" s="25">
        <v>45718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38"/>
      <c r="B75" s="144"/>
      <c r="C75" s="85" t="s">
        <v>262</v>
      </c>
      <c r="D75" s="109" t="s">
        <v>177</v>
      </c>
      <c r="E75" s="15" t="s">
        <v>38</v>
      </c>
      <c r="F75" s="16"/>
      <c r="G75" s="15" t="s">
        <v>178</v>
      </c>
      <c r="H75" s="15"/>
      <c r="I75" s="15"/>
      <c r="J75" s="15">
        <v>1</v>
      </c>
      <c r="K75" s="15">
        <v>1</v>
      </c>
      <c r="L75" s="17"/>
      <c r="M75" s="17"/>
      <c r="N75" s="17"/>
      <c r="O75" s="17"/>
      <c r="P75" s="17"/>
      <c r="Q75" s="17"/>
      <c r="R75" s="17"/>
      <c r="S75" s="15"/>
      <c r="T75" s="25">
        <v>45729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38"/>
      <c r="B76" s="144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38"/>
      <c r="B77" s="144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38"/>
      <c r="B78" s="144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8"/>
      <c r="B79" s="144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8"/>
      <c r="B80" s="14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8"/>
      <c r="B81" s="14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8"/>
      <c r="B82" s="14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8"/>
      <c r="B83" s="14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8"/>
      <c r="B84" s="14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8"/>
      <c r="B85" s="14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8"/>
      <c r="B86" s="14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9"/>
      <c r="B87" s="14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13</v>
      </c>
      <c r="D88" s="112"/>
      <c r="E88" s="29"/>
      <c r="F88" s="29" t="s">
        <v>34</v>
      </c>
      <c r="G88" s="29">
        <f>COUNTIF(G63:G87,"S")</f>
        <v>13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7</v>
      </c>
      <c r="L88" s="29">
        <f t="shared" si="2"/>
        <v>1</v>
      </c>
      <c r="M88" s="29">
        <f t="shared" si="2"/>
        <v>1</v>
      </c>
      <c r="N88" s="29">
        <f t="shared" si="2"/>
        <v>0</v>
      </c>
      <c r="O88" s="29">
        <f t="shared" si="2"/>
        <v>2</v>
      </c>
      <c r="P88" s="29">
        <f t="shared" si="2"/>
        <v>1</v>
      </c>
      <c r="Q88" s="29">
        <f t="shared" si="2"/>
        <v>2</v>
      </c>
      <c r="R88" s="29">
        <f t="shared" si="2"/>
        <v>0</v>
      </c>
      <c r="S88" s="29">
        <f t="shared" si="2"/>
        <v>2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16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AYG099</v>
      </c>
      <c r="B91" s="24">
        <f>B1</f>
        <v>45687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5" t="s">
        <v>117</v>
      </c>
      <c r="Y92" s="136"/>
    </row>
    <row r="93" spans="1:28" ht="20.25" thickTop="1" thickBot="1" x14ac:dyDescent="0.45">
      <c r="A93" s="137">
        <v>4</v>
      </c>
      <c r="B93" s="140">
        <v>20.6</v>
      </c>
      <c r="C93" s="85" t="s">
        <v>263</v>
      </c>
      <c r="D93" s="109" t="s">
        <v>177</v>
      </c>
      <c r="E93" s="15" t="s">
        <v>38</v>
      </c>
      <c r="F93" s="14"/>
      <c r="G93" s="12" t="s">
        <v>178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45714</v>
      </c>
      <c r="U93" s="13" t="s">
        <v>146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38"/>
      <c r="B94" s="141"/>
      <c r="C94" s="85" t="s">
        <v>264</v>
      </c>
      <c r="D94" s="109" t="s">
        <v>177</v>
      </c>
      <c r="E94" s="15" t="s">
        <v>38</v>
      </c>
      <c r="F94" s="16"/>
      <c r="G94" s="12" t="s">
        <v>178</v>
      </c>
      <c r="H94" s="15"/>
      <c r="I94" s="15"/>
      <c r="J94" s="15">
        <v>1</v>
      </c>
      <c r="K94" s="15">
        <v>1</v>
      </c>
      <c r="L94" s="17"/>
      <c r="M94" s="17"/>
      <c r="N94" s="17"/>
      <c r="O94" s="17"/>
      <c r="P94" s="17"/>
      <c r="Q94" s="17"/>
      <c r="R94" s="17"/>
      <c r="S94" s="15"/>
      <c r="T94" s="25">
        <v>45714</v>
      </c>
      <c r="U94" s="13" t="s">
        <v>146</v>
      </c>
      <c r="V94">
        <v>2</v>
      </c>
      <c r="X94" s="51" t="s">
        <v>107</v>
      </c>
      <c r="Y94" s="52">
        <f>COUNTIF(U93:U117,"R")</f>
        <v>11</v>
      </c>
      <c r="AA94" s="47" t="s">
        <v>81</v>
      </c>
      <c r="AB94" s="48" t="s">
        <v>60</v>
      </c>
    </row>
    <row r="95" spans="1:28" ht="19.5" thickBot="1" x14ac:dyDescent="0.45">
      <c r="A95" s="138"/>
      <c r="B95" s="141"/>
      <c r="C95" s="85" t="s">
        <v>265</v>
      </c>
      <c r="D95" s="109" t="s">
        <v>192</v>
      </c>
      <c r="E95" s="15" t="s">
        <v>38</v>
      </c>
      <c r="F95" s="16"/>
      <c r="G95" s="12" t="s">
        <v>178</v>
      </c>
      <c r="H95" s="15"/>
      <c r="I95" s="15"/>
      <c r="J95" s="15"/>
      <c r="K95" s="15"/>
      <c r="L95" s="17"/>
      <c r="M95" s="17">
        <v>1</v>
      </c>
      <c r="N95" s="17"/>
      <c r="O95" s="17"/>
      <c r="P95" s="17"/>
      <c r="Q95" s="17">
        <v>1</v>
      </c>
      <c r="R95" s="17"/>
      <c r="S95" s="15"/>
      <c r="T95" s="25">
        <v>45704</v>
      </c>
      <c r="U95" s="13" t="s">
        <v>147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38"/>
      <c r="B96" s="141"/>
      <c r="C96" s="85" t="s">
        <v>266</v>
      </c>
      <c r="D96" s="109" t="s">
        <v>179</v>
      </c>
      <c r="E96" s="15" t="s">
        <v>36</v>
      </c>
      <c r="F96" s="16"/>
      <c r="G96" s="12" t="s">
        <v>178</v>
      </c>
      <c r="H96" s="15"/>
      <c r="I96" s="15"/>
      <c r="J96" s="15">
        <v>1</v>
      </c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45696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38"/>
      <c r="B97" s="141"/>
      <c r="C97" s="85" t="s">
        <v>267</v>
      </c>
      <c r="D97" s="109" t="s">
        <v>192</v>
      </c>
      <c r="E97" s="15" t="s">
        <v>75</v>
      </c>
      <c r="F97" s="16"/>
      <c r="G97" s="12" t="s">
        <v>178</v>
      </c>
      <c r="H97" s="15"/>
      <c r="I97" s="15"/>
      <c r="J97" s="15"/>
      <c r="K97" s="15"/>
      <c r="L97" s="17"/>
      <c r="M97" s="17"/>
      <c r="N97" s="17"/>
      <c r="O97" s="17"/>
      <c r="P97" s="17"/>
      <c r="Q97" s="17"/>
      <c r="R97" s="17"/>
      <c r="S97" s="15"/>
      <c r="T97" s="25">
        <v>45729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38"/>
      <c r="B98" s="141"/>
      <c r="C98" s="85" t="s">
        <v>268</v>
      </c>
      <c r="D98" s="109" t="s">
        <v>192</v>
      </c>
      <c r="E98" s="15" t="s">
        <v>44</v>
      </c>
      <c r="F98" s="16"/>
      <c r="G98" s="12" t="s">
        <v>178</v>
      </c>
      <c r="H98" s="13"/>
      <c r="I98" s="15"/>
      <c r="J98" s="15"/>
      <c r="K98" s="15"/>
      <c r="L98" s="17"/>
      <c r="M98" s="17">
        <v>1</v>
      </c>
      <c r="N98" s="17"/>
      <c r="O98" s="17"/>
      <c r="P98" s="17"/>
      <c r="Q98" s="17">
        <v>1</v>
      </c>
      <c r="R98" s="17"/>
      <c r="S98" s="15"/>
      <c r="T98" s="25">
        <v>45724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38"/>
      <c r="B99" s="141"/>
      <c r="C99" s="85" t="s">
        <v>269</v>
      </c>
      <c r="D99" s="109" t="s">
        <v>192</v>
      </c>
      <c r="E99" s="15" t="s">
        <v>37</v>
      </c>
      <c r="F99" s="16"/>
      <c r="G99" s="12" t="s">
        <v>178</v>
      </c>
      <c r="H99" s="15"/>
      <c r="I99" s="15"/>
      <c r="J99" s="15"/>
      <c r="K99" s="15"/>
      <c r="L99" s="17"/>
      <c r="M99" s="17">
        <v>1</v>
      </c>
      <c r="N99" s="17">
        <v>1</v>
      </c>
      <c r="O99" s="17"/>
      <c r="P99" s="17"/>
      <c r="Q99" s="17"/>
      <c r="R99" s="17"/>
      <c r="S99" s="15"/>
      <c r="T99" s="25">
        <v>45729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38"/>
      <c r="B100" s="141"/>
      <c r="C100" s="85" t="s">
        <v>270</v>
      </c>
      <c r="D100" s="109" t="s">
        <v>192</v>
      </c>
      <c r="E100" s="15" t="s">
        <v>37</v>
      </c>
      <c r="F100" s="16"/>
      <c r="G100" s="12" t="s">
        <v>178</v>
      </c>
      <c r="H100" s="15"/>
      <c r="I100" s="15"/>
      <c r="J100" s="15"/>
      <c r="K100" s="15"/>
      <c r="L100" s="17"/>
      <c r="M100" s="17">
        <v>1</v>
      </c>
      <c r="N100" s="17"/>
      <c r="O100" s="17"/>
      <c r="P100" s="17"/>
      <c r="Q100" s="17">
        <v>1</v>
      </c>
      <c r="R100" s="17"/>
      <c r="S100" s="15"/>
      <c r="T100" s="25">
        <v>45713</v>
      </c>
      <c r="U100" s="15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38"/>
      <c r="B101" s="141"/>
      <c r="C101" s="85" t="s">
        <v>271</v>
      </c>
      <c r="D101" s="109" t="s">
        <v>181</v>
      </c>
      <c r="E101" s="15" t="s">
        <v>37</v>
      </c>
      <c r="F101" s="16"/>
      <c r="G101" s="12" t="s">
        <v>178</v>
      </c>
      <c r="H101" s="15"/>
      <c r="I101" s="15"/>
      <c r="J101" s="15"/>
      <c r="K101" s="15">
        <v>1</v>
      </c>
      <c r="L101" s="17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45712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38"/>
      <c r="B102" s="141"/>
      <c r="C102" s="85" t="s">
        <v>272</v>
      </c>
      <c r="D102" s="109" t="s">
        <v>273</v>
      </c>
      <c r="E102" s="15" t="s">
        <v>38</v>
      </c>
      <c r="F102" s="16"/>
      <c r="G102" s="12" t="s">
        <v>178</v>
      </c>
      <c r="H102" s="15"/>
      <c r="I102" s="15"/>
      <c r="J102" s="15">
        <v>1</v>
      </c>
      <c r="K102" s="15">
        <v>1</v>
      </c>
      <c r="L102" s="17"/>
      <c r="M102" s="17"/>
      <c r="N102" s="17"/>
      <c r="O102" s="17"/>
      <c r="P102" s="17"/>
      <c r="Q102" s="17"/>
      <c r="R102" s="17"/>
      <c r="S102" s="15"/>
      <c r="T102" s="25">
        <v>45713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38"/>
      <c r="B103" s="141"/>
      <c r="C103" s="85" t="s">
        <v>274</v>
      </c>
      <c r="D103" s="109" t="s">
        <v>273</v>
      </c>
      <c r="E103" s="15" t="s">
        <v>40</v>
      </c>
      <c r="F103" s="16"/>
      <c r="G103" s="12" t="s">
        <v>178</v>
      </c>
      <c r="H103" s="15"/>
      <c r="I103" s="15"/>
      <c r="J103" s="15"/>
      <c r="K103" s="15"/>
      <c r="L103" s="17"/>
      <c r="M103" s="17"/>
      <c r="N103" s="17"/>
      <c r="O103" s="17">
        <v>1</v>
      </c>
      <c r="P103" s="17">
        <v>1</v>
      </c>
      <c r="Q103" s="17"/>
      <c r="R103" s="17">
        <v>1</v>
      </c>
      <c r="S103" s="15"/>
      <c r="T103" s="25">
        <v>45713</v>
      </c>
      <c r="U103" s="15" t="s">
        <v>148</v>
      </c>
      <c r="V103">
        <v>11</v>
      </c>
      <c r="AA103" s="49" t="s">
        <v>90</v>
      </c>
      <c r="AB103" s="50" t="s">
        <v>58</v>
      </c>
    </row>
    <row r="104" spans="1:28" x14ac:dyDescent="0.4">
      <c r="A104" s="138"/>
      <c r="B104" s="141"/>
      <c r="C104" s="85" t="s">
        <v>275</v>
      </c>
      <c r="D104" s="109" t="s">
        <v>254</v>
      </c>
      <c r="E104" s="15" t="s">
        <v>75</v>
      </c>
      <c r="F104" s="16"/>
      <c r="G104" s="12" t="s">
        <v>178</v>
      </c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>
        <v>45718</v>
      </c>
      <c r="U104" s="15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38"/>
      <c r="B105" s="141"/>
      <c r="C105" s="85" t="s">
        <v>276</v>
      </c>
      <c r="D105" s="109" t="s">
        <v>179</v>
      </c>
      <c r="E105" s="15" t="s">
        <v>37</v>
      </c>
      <c r="F105" s="16"/>
      <c r="G105" s="12" t="s">
        <v>178</v>
      </c>
      <c r="H105" s="15"/>
      <c r="I105" s="15"/>
      <c r="J105" s="15"/>
      <c r="K105" s="15"/>
      <c r="L105" s="17"/>
      <c r="M105" s="17">
        <v>1</v>
      </c>
      <c r="N105" s="17">
        <v>1</v>
      </c>
      <c r="O105" s="17"/>
      <c r="P105" s="17"/>
      <c r="Q105" s="17">
        <v>1</v>
      </c>
      <c r="R105" s="17"/>
      <c r="S105" s="15"/>
      <c r="T105" s="25">
        <v>45712</v>
      </c>
      <c r="U105" s="132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38"/>
      <c r="B106" s="141"/>
      <c r="C106" s="85" t="s">
        <v>277</v>
      </c>
      <c r="D106" s="109" t="s">
        <v>247</v>
      </c>
      <c r="E106" s="15" t="s">
        <v>40</v>
      </c>
      <c r="F106" s="16"/>
      <c r="G106" s="12" t="s">
        <v>178</v>
      </c>
      <c r="H106" s="15"/>
      <c r="I106" s="15"/>
      <c r="J106" s="15"/>
      <c r="K106" s="15"/>
      <c r="L106" s="17"/>
      <c r="M106" s="17"/>
      <c r="N106" s="17"/>
      <c r="O106" s="17">
        <v>1</v>
      </c>
      <c r="P106" s="17">
        <v>1</v>
      </c>
      <c r="Q106" s="17"/>
      <c r="R106" s="17"/>
      <c r="S106" s="15"/>
      <c r="T106" s="25">
        <v>45714</v>
      </c>
      <c r="U106" s="15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38"/>
      <c r="B107" s="141"/>
      <c r="C107" s="85" t="s">
        <v>278</v>
      </c>
      <c r="D107" s="109" t="s">
        <v>247</v>
      </c>
      <c r="E107" s="15" t="s">
        <v>36</v>
      </c>
      <c r="F107" s="16"/>
      <c r="G107" s="15" t="s">
        <v>178</v>
      </c>
      <c r="H107" s="15"/>
      <c r="I107" s="15"/>
      <c r="J107" s="15"/>
      <c r="K107" s="15"/>
      <c r="L107" s="17"/>
      <c r="M107" s="17">
        <v>1</v>
      </c>
      <c r="N107" s="17">
        <v>1</v>
      </c>
      <c r="O107" s="17"/>
      <c r="P107" s="17"/>
      <c r="Q107" s="17">
        <v>1</v>
      </c>
      <c r="R107" s="17"/>
      <c r="S107" s="15"/>
      <c r="T107" s="25">
        <v>45714</v>
      </c>
      <c r="U107" s="15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38"/>
      <c r="B108" s="141"/>
      <c r="C108" s="85" t="s">
        <v>279</v>
      </c>
      <c r="D108" s="109" t="s">
        <v>179</v>
      </c>
      <c r="E108" s="15" t="s">
        <v>36</v>
      </c>
      <c r="F108" s="16"/>
      <c r="G108" s="15" t="s">
        <v>178</v>
      </c>
      <c r="H108" s="15"/>
      <c r="I108" s="15"/>
      <c r="J108" s="18"/>
      <c r="K108" s="15"/>
      <c r="L108" s="19"/>
      <c r="M108" s="19">
        <v>1</v>
      </c>
      <c r="N108" s="19">
        <v>1</v>
      </c>
      <c r="O108" s="19"/>
      <c r="P108" s="19"/>
      <c r="Q108" s="19"/>
      <c r="R108" s="19"/>
      <c r="S108" s="15"/>
      <c r="T108" s="25">
        <v>45711</v>
      </c>
      <c r="U108" s="15" t="s">
        <v>147</v>
      </c>
      <c r="V108">
        <v>16</v>
      </c>
      <c r="AA108" s="49" t="s">
        <v>95</v>
      </c>
      <c r="AB108" s="50" t="s">
        <v>42</v>
      </c>
    </row>
    <row r="109" spans="1:28" x14ac:dyDescent="0.4">
      <c r="A109" s="138"/>
      <c r="B109" s="14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8"/>
      <c r="B110" s="14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8"/>
      <c r="B111" s="14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8"/>
      <c r="B112" s="14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8"/>
      <c r="B113" s="14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8"/>
      <c r="B114" s="14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8"/>
      <c r="B115" s="14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38"/>
      <c r="B116" s="14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9"/>
      <c r="B117" s="14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16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4</v>
      </c>
      <c r="K118" s="29">
        <f t="shared" ref="K118" si="4">SUM(K93:K117)</f>
        <v>5</v>
      </c>
      <c r="L118" s="29">
        <f t="shared" ref="L118" si="5">SUM(L93:L117)</f>
        <v>0</v>
      </c>
      <c r="M118" s="29">
        <f t="shared" ref="M118" si="6">SUM(M93:M117)</f>
        <v>8</v>
      </c>
      <c r="N118" s="29">
        <f t="shared" ref="N118" si="7">SUM(N93:N117)</f>
        <v>5</v>
      </c>
      <c r="O118" s="29">
        <f t="shared" ref="O118" si="8">SUM(O93:O117)</f>
        <v>2</v>
      </c>
      <c r="P118" s="29">
        <f t="shared" ref="P118" si="9">SUM(P93:P117)</f>
        <v>2</v>
      </c>
      <c r="Q118" s="29">
        <f t="shared" ref="Q118" si="10">SUM(Q93:Q117)</f>
        <v>6</v>
      </c>
      <c r="R118" s="29">
        <f t="shared" ref="R118" si="11">SUM(R93:R117)</f>
        <v>1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33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AYG099</v>
      </c>
      <c r="B121" s="24">
        <f>B1</f>
        <v>45687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5" t="s">
        <v>116</v>
      </c>
      <c r="Y122" s="136"/>
    </row>
    <row r="123" spans="1:28" ht="20.25" thickTop="1" thickBot="1" x14ac:dyDescent="0.45">
      <c r="A123" s="137">
        <v>5</v>
      </c>
      <c r="B123" s="140">
        <v>21.2</v>
      </c>
      <c r="C123" s="85" t="s">
        <v>280</v>
      </c>
      <c r="D123" s="106" t="s">
        <v>181</v>
      </c>
      <c r="E123" s="106" t="s">
        <v>38</v>
      </c>
      <c r="F123" s="14"/>
      <c r="G123" s="12" t="s">
        <v>178</v>
      </c>
      <c r="H123" s="13"/>
      <c r="I123" s="13"/>
      <c r="J123" s="13"/>
      <c r="K123" s="13">
        <v>1</v>
      </c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45704</v>
      </c>
      <c r="U123" s="13" t="s">
        <v>147</v>
      </c>
      <c r="V123">
        <v>1</v>
      </c>
      <c r="X123" s="51" t="s">
        <v>106</v>
      </c>
      <c r="Y123" s="52">
        <f>COUNTIF(U123:U147,"K")</f>
        <v>10</v>
      </c>
      <c r="AA123" s="59" t="s">
        <v>120</v>
      </c>
      <c r="AB123" s="60" t="s">
        <v>121</v>
      </c>
    </row>
    <row r="124" spans="1:28" x14ac:dyDescent="0.4">
      <c r="A124" s="138"/>
      <c r="B124" s="141"/>
      <c r="C124" s="85" t="s">
        <v>281</v>
      </c>
      <c r="D124" s="106" t="s">
        <v>260</v>
      </c>
      <c r="E124" s="106" t="s">
        <v>38</v>
      </c>
      <c r="F124" s="16"/>
      <c r="G124" s="12" t="s">
        <v>178</v>
      </c>
      <c r="H124" s="15"/>
      <c r="I124" s="15"/>
      <c r="J124" s="13">
        <v>1</v>
      </c>
      <c r="K124" s="15">
        <v>1</v>
      </c>
      <c r="L124" s="13"/>
      <c r="M124" s="17"/>
      <c r="N124" s="17"/>
      <c r="O124" s="17"/>
      <c r="P124" s="17"/>
      <c r="Q124" s="17"/>
      <c r="R124" s="17"/>
      <c r="S124" s="15"/>
      <c r="T124" s="25">
        <v>45706</v>
      </c>
      <c r="U124" s="13" t="s">
        <v>146</v>
      </c>
      <c r="V124">
        <v>2</v>
      </c>
      <c r="X124" s="51" t="s">
        <v>107</v>
      </c>
      <c r="Y124" s="52">
        <f>COUNTIF(U123:U147,"R")</f>
        <v>1</v>
      </c>
      <c r="AA124" s="47" t="s">
        <v>81</v>
      </c>
      <c r="AB124" s="48" t="s">
        <v>60</v>
      </c>
    </row>
    <row r="125" spans="1:28" ht="19.5" thickBot="1" x14ac:dyDescent="0.45">
      <c r="A125" s="138"/>
      <c r="B125" s="141"/>
      <c r="C125" s="85" t="s">
        <v>282</v>
      </c>
      <c r="D125" s="106" t="s">
        <v>260</v>
      </c>
      <c r="E125" s="106" t="s">
        <v>40</v>
      </c>
      <c r="F125" s="16"/>
      <c r="G125" s="12" t="s">
        <v>178</v>
      </c>
      <c r="H125" s="13"/>
      <c r="I125" s="15"/>
      <c r="J125" s="13"/>
      <c r="K125" s="15"/>
      <c r="L125" s="13"/>
      <c r="M125" s="17"/>
      <c r="N125" s="17"/>
      <c r="O125" s="17">
        <v>1</v>
      </c>
      <c r="P125" s="17">
        <v>1</v>
      </c>
      <c r="Q125" s="17">
        <v>1</v>
      </c>
      <c r="R125" s="17"/>
      <c r="S125" s="15"/>
      <c r="T125" s="25">
        <v>45706</v>
      </c>
      <c r="U125" s="13" t="s">
        <v>148</v>
      </c>
      <c r="V125">
        <v>3</v>
      </c>
      <c r="X125" s="53" t="s">
        <v>108</v>
      </c>
      <c r="Y125" s="54">
        <f>COUNTIF(U123:U147,"J")</f>
        <v>5</v>
      </c>
      <c r="AA125" s="49" t="s">
        <v>82</v>
      </c>
      <c r="AB125" s="50" t="s">
        <v>39</v>
      </c>
    </row>
    <row r="126" spans="1:28" x14ac:dyDescent="0.4">
      <c r="A126" s="138"/>
      <c r="B126" s="141"/>
      <c r="C126" s="85" t="s">
        <v>283</v>
      </c>
      <c r="D126" s="106" t="s">
        <v>184</v>
      </c>
      <c r="E126" s="106" t="s">
        <v>39</v>
      </c>
      <c r="F126" s="16"/>
      <c r="G126" s="12" t="s">
        <v>178</v>
      </c>
      <c r="H126" s="15"/>
      <c r="I126" s="15"/>
      <c r="J126" s="13">
        <v>1</v>
      </c>
      <c r="K126" s="15">
        <v>1</v>
      </c>
      <c r="L126" s="13"/>
      <c r="M126" s="17"/>
      <c r="N126" s="17"/>
      <c r="O126" s="17"/>
      <c r="P126" s="17"/>
      <c r="Q126" s="17"/>
      <c r="R126" s="17"/>
      <c r="S126" s="15"/>
      <c r="T126" s="25">
        <v>45724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38"/>
      <c r="B127" s="141"/>
      <c r="C127" s="85" t="s">
        <v>284</v>
      </c>
      <c r="D127" s="106" t="s">
        <v>179</v>
      </c>
      <c r="E127" s="106" t="s">
        <v>40</v>
      </c>
      <c r="F127" s="16"/>
      <c r="G127" s="12" t="s">
        <v>178</v>
      </c>
      <c r="H127" s="15"/>
      <c r="I127" s="15"/>
      <c r="J127" s="13"/>
      <c r="K127" s="15"/>
      <c r="L127" s="13"/>
      <c r="M127" s="17"/>
      <c r="N127" s="17"/>
      <c r="O127" s="17">
        <v>1</v>
      </c>
      <c r="P127" s="17">
        <v>1</v>
      </c>
      <c r="Q127" s="17"/>
      <c r="R127" s="17"/>
      <c r="S127" s="15"/>
      <c r="T127" s="25">
        <v>45711</v>
      </c>
      <c r="U127" s="13" t="s">
        <v>148</v>
      </c>
      <c r="V127">
        <v>5</v>
      </c>
      <c r="AA127" s="49" t="s">
        <v>84</v>
      </c>
      <c r="AB127" s="50" t="s">
        <v>44</v>
      </c>
    </row>
    <row r="128" spans="1:28" x14ac:dyDescent="0.4">
      <c r="A128" s="138"/>
      <c r="B128" s="141"/>
      <c r="C128" s="85" t="s">
        <v>285</v>
      </c>
      <c r="D128" s="106" t="s">
        <v>179</v>
      </c>
      <c r="E128" s="106" t="s">
        <v>40</v>
      </c>
      <c r="F128" s="16"/>
      <c r="G128" s="12" t="s">
        <v>178</v>
      </c>
      <c r="H128" s="13"/>
      <c r="I128" s="15"/>
      <c r="J128" s="13"/>
      <c r="K128" s="15"/>
      <c r="L128" s="13"/>
      <c r="M128" s="17"/>
      <c r="N128" s="17"/>
      <c r="O128" s="17">
        <v>1</v>
      </c>
      <c r="P128" s="17">
        <v>1</v>
      </c>
      <c r="Q128" s="17"/>
      <c r="R128" s="17"/>
      <c r="S128" s="15"/>
      <c r="T128" s="25">
        <v>45711</v>
      </c>
      <c r="U128" s="13" t="s">
        <v>148</v>
      </c>
      <c r="V128">
        <v>6</v>
      </c>
      <c r="AA128" s="49" t="s">
        <v>85</v>
      </c>
      <c r="AB128" s="50" t="s">
        <v>43</v>
      </c>
    </row>
    <row r="129" spans="1:28" x14ac:dyDescent="0.4">
      <c r="A129" s="138"/>
      <c r="B129" s="141"/>
      <c r="C129" s="85" t="s">
        <v>286</v>
      </c>
      <c r="D129" s="106" t="s">
        <v>287</v>
      </c>
      <c r="E129" s="106" t="s">
        <v>38</v>
      </c>
      <c r="F129" s="16"/>
      <c r="G129" s="12" t="s">
        <v>178</v>
      </c>
      <c r="H129" s="15"/>
      <c r="I129" s="15"/>
      <c r="J129" s="13"/>
      <c r="K129" s="15">
        <v>1</v>
      </c>
      <c r="L129" s="13"/>
      <c r="M129" s="17"/>
      <c r="N129" s="17"/>
      <c r="O129" s="17"/>
      <c r="P129" s="17"/>
      <c r="Q129" s="17"/>
      <c r="R129" s="17"/>
      <c r="S129" s="15"/>
      <c r="T129" s="25">
        <v>45714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38"/>
      <c r="B130" s="141"/>
      <c r="C130" s="85" t="s">
        <v>288</v>
      </c>
      <c r="D130" s="106" t="s">
        <v>287</v>
      </c>
      <c r="E130" s="106" t="s">
        <v>38</v>
      </c>
      <c r="F130" s="16"/>
      <c r="G130" s="12" t="s">
        <v>178</v>
      </c>
      <c r="H130" s="15"/>
      <c r="I130" s="15"/>
      <c r="J130" s="13"/>
      <c r="K130" s="15">
        <v>1</v>
      </c>
      <c r="L130" s="13"/>
      <c r="M130" s="17"/>
      <c r="N130" s="17"/>
      <c r="O130" s="17"/>
      <c r="P130" s="17"/>
      <c r="Q130" s="17"/>
      <c r="R130" s="17"/>
      <c r="S130" s="15"/>
      <c r="T130" s="25">
        <v>45714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38"/>
      <c r="B131" s="141"/>
      <c r="C131" s="85" t="s">
        <v>289</v>
      </c>
      <c r="D131" s="106" t="s">
        <v>287</v>
      </c>
      <c r="E131" s="106" t="s">
        <v>44</v>
      </c>
      <c r="F131" s="16"/>
      <c r="G131" s="12" t="s">
        <v>178</v>
      </c>
      <c r="H131" s="15"/>
      <c r="I131" s="15"/>
      <c r="J131" s="13"/>
      <c r="K131" s="15">
        <v>1</v>
      </c>
      <c r="L131" s="13"/>
      <c r="M131" s="17"/>
      <c r="N131" s="17"/>
      <c r="O131" s="17"/>
      <c r="P131" s="17"/>
      <c r="Q131" s="17"/>
      <c r="R131" s="17"/>
      <c r="S131" s="15"/>
      <c r="T131" s="25">
        <v>45714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38"/>
      <c r="B132" s="141"/>
      <c r="C132" s="85" t="s">
        <v>290</v>
      </c>
      <c r="D132" s="106" t="s">
        <v>195</v>
      </c>
      <c r="E132" s="106" t="s">
        <v>37</v>
      </c>
      <c r="F132" s="106"/>
      <c r="G132" s="12" t="s">
        <v>178</v>
      </c>
      <c r="H132" s="15"/>
      <c r="I132" s="15"/>
      <c r="J132" s="13">
        <v>1</v>
      </c>
      <c r="K132" s="15">
        <v>1</v>
      </c>
      <c r="L132" s="13"/>
      <c r="M132" s="17"/>
      <c r="N132" s="17"/>
      <c r="O132" s="17"/>
      <c r="P132" s="17"/>
      <c r="Q132" s="17"/>
      <c r="R132" s="17"/>
      <c r="S132" s="15"/>
      <c r="T132" s="25">
        <v>45720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38"/>
      <c r="B133" s="141"/>
      <c r="C133" s="85" t="s">
        <v>291</v>
      </c>
      <c r="D133" s="106" t="s">
        <v>180</v>
      </c>
      <c r="E133" s="106" t="s">
        <v>44</v>
      </c>
      <c r="F133" s="16"/>
      <c r="G133" s="12" t="s">
        <v>178</v>
      </c>
      <c r="H133" s="15"/>
      <c r="I133" s="15"/>
      <c r="J133" s="15">
        <v>1</v>
      </c>
      <c r="K133" s="15">
        <v>1</v>
      </c>
      <c r="L133" s="17"/>
      <c r="M133" s="17"/>
      <c r="N133" s="17"/>
      <c r="O133" s="17"/>
      <c r="P133" s="17"/>
      <c r="Q133" s="17"/>
      <c r="R133" s="17"/>
      <c r="S133" s="15"/>
      <c r="T133" s="25">
        <v>45722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38"/>
      <c r="B134" s="141"/>
      <c r="C134" s="85" t="s">
        <v>292</v>
      </c>
      <c r="D134" s="106" t="s">
        <v>180</v>
      </c>
      <c r="E134" s="106" t="s">
        <v>37</v>
      </c>
      <c r="F134" s="16"/>
      <c r="G134" s="12" t="s">
        <v>178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45722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38"/>
      <c r="B135" s="141"/>
      <c r="C135" s="85" t="s">
        <v>293</v>
      </c>
      <c r="D135" s="106" t="s">
        <v>180</v>
      </c>
      <c r="E135" s="106" t="s">
        <v>37</v>
      </c>
      <c r="F135" s="16"/>
      <c r="G135" s="12" t="s">
        <v>178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45722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38"/>
      <c r="B136" s="141"/>
      <c r="C136" s="85" t="s">
        <v>294</v>
      </c>
      <c r="D136" s="106" t="s">
        <v>180</v>
      </c>
      <c r="E136" s="106" t="s">
        <v>60</v>
      </c>
      <c r="F136" s="16"/>
      <c r="G136" s="12" t="s">
        <v>178</v>
      </c>
      <c r="H136" s="15"/>
      <c r="I136" s="15"/>
      <c r="J136" s="15">
        <v>1</v>
      </c>
      <c r="K136" s="15">
        <v>1</v>
      </c>
      <c r="L136" s="17">
        <v>1</v>
      </c>
      <c r="M136" s="17"/>
      <c r="N136" s="17"/>
      <c r="O136" s="17"/>
      <c r="P136" s="17"/>
      <c r="Q136" s="17"/>
      <c r="R136" s="17"/>
      <c r="S136" s="15"/>
      <c r="T136" s="25">
        <v>45722</v>
      </c>
      <c r="U136" s="13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38"/>
      <c r="B137" s="141"/>
      <c r="C137" s="85" t="s">
        <v>295</v>
      </c>
      <c r="D137" s="106" t="s">
        <v>180</v>
      </c>
      <c r="E137" s="106" t="s">
        <v>40</v>
      </c>
      <c r="F137" s="16"/>
      <c r="G137" s="12" t="s">
        <v>178</v>
      </c>
      <c r="H137" s="15"/>
      <c r="I137" s="15"/>
      <c r="J137" s="15"/>
      <c r="K137" s="15"/>
      <c r="L137" s="17"/>
      <c r="M137" s="17"/>
      <c r="N137" s="17"/>
      <c r="O137" s="17"/>
      <c r="P137" s="17">
        <v>1</v>
      </c>
      <c r="Q137" s="17">
        <v>1</v>
      </c>
      <c r="R137" s="17"/>
      <c r="S137" s="15"/>
      <c r="T137" s="25">
        <v>45722</v>
      </c>
      <c r="U137" s="13" t="s">
        <v>148</v>
      </c>
      <c r="V137">
        <v>15</v>
      </c>
      <c r="AA137" s="49" t="s">
        <v>94</v>
      </c>
      <c r="AB137" s="50" t="s">
        <v>41</v>
      </c>
    </row>
    <row r="138" spans="1:28" x14ac:dyDescent="0.4">
      <c r="A138" s="138"/>
      <c r="B138" s="141"/>
      <c r="C138" s="85" t="s">
        <v>296</v>
      </c>
      <c r="D138" s="106" t="s">
        <v>181</v>
      </c>
      <c r="E138" s="106" t="s">
        <v>40</v>
      </c>
      <c r="F138" s="16"/>
      <c r="G138" s="12" t="s">
        <v>178</v>
      </c>
      <c r="H138" s="15"/>
      <c r="I138" s="15"/>
      <c r="J138" s="18"/>
      <c r="K138" s="15"/>
      <c r="L138" s="19"/>
      <c r="M138" s="19"/>
      <c r="N138" s="19"/>
      <c r="O138" s="19">
        <v>1</v>
      </c>
      <c r="P138" s="19"/>
      <c r="Q138" s="19">
        <v>1</v>
      </c>
      <c r="R138" s="19"/>
      <c r="S138" s="15"/>
      <c r="T138" s="25">
        <v>45714</v>
      </c>
      <c r="U138" s="13" t="s">
        <v>148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38"/>
      <c r="B139" s="141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8"/>
      <c r="B140" s="141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8"/>
      <c r="B141" s="14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8"/>
      <c r="B142" s="14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8"/>
      <c r="B143" s="14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8"/>
      <c r="B144" s="14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8"/>
      <c r="B145" s="14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8"/>
      <c r="B146" s="14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9"/>
      <c r="B147" s="14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7</v>
      </c>
      <c r="K148" s="29">
        <f t="shared" ref="K148" si="14">SUM(K123:K147)</f>
        <v>11</v>
      </c>
      <c r="L148" s="29">
        <f t="shared" ref="L148" si="15">SUM(L123:L147)</f>
        <v>1</v>
      </c>
      <c r="M148" s="29">
        <f t="shared" ref="M148" si="16">SUM(M123:M147)</f>
        <v>1</v>
      </c>
      <c r="N148" s="29">
        <f t="shared" ref="N148" si="17">SUM(N123:N147)</f>
        <v>1</v>
      </c>
      <c r="O148" s="29">
        <f t="shared" ref="O148" si="18">SUM(O123:O147)</f>
        <v>4</v>
      </c>
      <c r="P148" s="29">
        <f t="shared" ref="P148" si="19">SUM(P123:P147)</f>
        <v>4</v>
      </c>
      <c r="Q148" s="29">
        <f t="shared" ref="Q148" si="20">SUM(Q123:Q147)</f>
        <v>4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33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AYG099</v>
      </c>
      <c r="B151" s="24">
        <f>B1</f>
        <v>45687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5" t="s">
        <v>115</v>
      </c>
      <c r="Y152" s="136"/>
    </row>
    <row r="153" spans="1:28" ht="20.25" thickTop="1" thickBot="1" x14ac:dyDescent="0.45">
      <c r="A153" s="137">
        <v>6</v>
      </c>
      <c r="B153" s="143">
        <v>21.4</v>
      </c>
      <c r="C153" s="85" t="s">
        <v>297</v>
      </c>
      <c r="D153" s="106" t="s">
        <v>192</v>
      </c>
      <c r="E153" s="15" t="s">
        <v>38</v>
      </c>
      <c r="F153" s="14"/>
      <c r="G153" s="12" t="s">
        <v>178</v>
      </c>
      <c r="H153" s="13"/>
      <c r="I153" s="13"/>
      <c r="J153" s="13"/>
      <c r="K153" s="13">
        <v>1</v>
      </c>
      <c r="L153" s="13"/>
      <c r="M153" s="13"/>
      <c r="N153" s="13"/>
      <c r="O153" s="13"/>
      <c r="P153" s="13"/>
      <c r="Q153" s="13">
        <v>1</v>
      </c>
      <c r="R153" s="13"/>
      <c r="S153" s="13"/>
      <c r="T153" s="25">
        <v>45704</v>
      </c>
      <c r="U153" s="13" t="s">
        <v>147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38"/>
      <c r="B154" s="144"/>
      <c r="C154" s="85" t="s">
        <v>298</v>
      </c>
      <c r="D154" s="106" t="s">
        <v>193</v>
      </c>
      <c r="E154" s="15" t="s">
        <v>43</v>
      </c>
      <c r="F154" s="16"/>
      <c r="G154" s="15" t="s">
        <v>178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5">
        <v>45712</v>
      </c>
      <c r="U154" s="13" t="s">
        <v>146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38"/>
      <c r="B155" s="144"/>
      <c r="C155" s="85" t="s">
        <v>299</v>
      </c>
      <c r="D155" s="106" t="s">
        <v>193</v>
      </c>
      <c r="E155" s="15" t="s">
        <v>43</v>
      </c>
      <c r="F155" s="16"/>
      <c r="G155" s="15" t="s">
        <v>178</v>
      </c>
      <c r="H155" s="13"/>
      <c r="I155" s="15"/>
      <c r="J155" s="15">
        <v>1</v>
      </c>
      <c r="K155" s="15">
        <v>1</v>
      </c>
      <c r="L155" s="17"/>
      <c r="M155" s="17"/>
      <c r="N155" s="17"/>
      <c r="O155" s="17"/>
      <c r="P155" s="17"/>
      <c r="Q155" s="17"/>
      <c r="R155" s="17"/>
      <c r="S155" s="15"/>
      <c r="T155" s="25">
        <v>45712</v>
      </c>
      <c r="U155" s="13" t="s">
        <v>146</v>
      </c>
      <c r="V155">
        <v>3</v>
      </c>
      <c r="X155" s="53" t="s">
        <v>108</v>
      </c>
      <c r="Y155" s="54">
        <f>COUNTIF(U153:U177,"J")</f>
        <v>3</v>
      </c>
      <c r="AA155" s="49" t="s">
        <v>82</v>
      </c>
      <c r="AB155" s="50" t="s">
        <v>39</v>
      </c>
    </row>
    <row r="156" spans="1:28" x14ac:dyDescent="0.4">
      <c r="A156" s="138"/>
      <c r="B156" s="144"/>
      <c r="C156" s="85" t="s">
        <v>300</v>
      </c>
      <c r="D156" s="106" t="s">
        <v>273</v>
      </c>
      <c r="E156" s="15" t="s">
        <v>40</v>
      </c>
      <c r="F156" s="16"/>
      <c r="G156" s="15" t="s">
        <v>178</v>
      </c>
      <c r="H156" s="15"/>
      <c r="I156" s="15"/>
      <c r="J156" s="15"/>
      <c r="K156" s="15"/>
      <c r="L156" s="17"/>
      <c r="M156" s="17"/>
      <c r="N156" s="17"/>
      <c r="O156" s="17"/>
      <c r="P156" s="17">
        <v>1</v>
      </c>
      <c r="Q156" s="17">
        <v>1</v>
      </c>
      <c r="R156" s="17"/>
      <c r="S156" s="15"/>
      <c r="T156" s="25">
        <v>45717</v>
      </c>
      <c r="U156" s="13" t="s">
        <v>148</v>
      </c>
      <c r="V156">
        <v>4</v>
      </c>
      <c r="AA156" s="49" t="s">
        <v>83</v>
      </c>
      <c r="AB156" s="50" t="s">
        <v>38</v>
      </c>
    </row>
    <row r="157" spans="1:28" x14ac:dyDescent="0.4">
      <c r="A157" s="138"/>
      <c r="B157" s="144"/>
      <c r="C157" s="85" t="s">
        <v>301</v>
      </c>
      <c r="D157" s="106" t="s">
        <v>189</v>
      </c>
      <c r="E157" s="15" t="s">
        <v>57</v>
      </c>
      <c r="F157" s="16"/>
      <c r="G157" s="15" t="s">
        <v>302</v>
      </c>
      <c r="H157" s="15"/>
      <c r="I157" s="15"/>
      <c r="J157" s="15"/>
      <c r="K157" s="15"/>
      <c r="L157" s="17"/>
      <c r="M157" s="17"/>
      <c r="N157" s="17"/>
      <c r="O157" s="17"/>
      <c r="P157" s="17"/>
      <c r="Q157" s="17"/>
      <c r="R157" s="17"/>
      <c r="S157" s="15"/>
      <c r="T157" s="25">
        <v>45717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38"/>
      <c r="B158" s="144"/>
      <c r="C158" s="85" t="s">
        <v>303</v>
      </c>
      <c r="D158" s="106" t="s">
        <v>194</v>
      </c>
      <c r="E158" s="15" t="s">
        <v>44</v>
      </c>
      <c r="F158" s="16"/>
      <c r="G158" s="13" t="s">
        <v>178</v>
      </c>
      <c r="H158" s="13"/>
      <c r="I158" s="15"/>
      <c r="J158" s="15">
        <v>1</v>
      </c>
      <c r="K158" s="15">
        <v>1</v>
      </c>
      <c r="L158" s="17"/>
      <c r="M158" s="17"/>
      <c r="N158" s="17"/>
      <c r="O158" s="17"/>
      <c r="P158" s="17"/>
      <c r="Q158" s="17"/>
      <c r="R158" s="17"/>
      <c r="S158" s="15"/>
      <c r="T158" s="25">
        <v>45714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8"/>
      <c r="B159" s="144"/>
      <c r="C159" s="85" t="s">
        <v>304</v>
      </c>
      <c r="D159" s="106" t="s">
        <v>179</v>
      </c>
      <c r="E159" s="15" t="s">
        <v>40</v>
      </c>
      <c r="F159" s="16"/>
      <c r="G159" s="15" t="s">
        <v>178</v>
      </c>
      <c r="H159" s="15"/>
      <c r="I159" s="15"/>
      <c r="J159" s="15"/>
      <c r="K159" s="15"/>
      <c r="L159" s="17"/>
      <c r="M159" s="17"/>
      <c r="N159" s="17"/>
      <c r="O159" s="17">
        <v>1</v>
      </c>
      <c r="P159" s="17">
        <v>1</v>
      </c>
      <c r="Q159" s="17"/>
      <c r="R159" s="17"/>
      <c r="S159" s="15"/>
      <c r="T159" s="25">
        <v>45717</v>
      </c>
      <c r="U159" s="13" t="s">
        <v>148</v>
      </c>
      <c r="V159">
        <v>7</v>
      </c>
      <c r="AA159" s="49" t="s">
        <v>86</v>
      </c>
      <c r="AB159" s="50" t="s">
        <v>45</v>
      </c>
    </row>
    <row r="160" spans="1:28" x14ac:dyDescent="0.4">
      <c r="A160" s="138"/>
      <c r="B160" s="144"/>
      <c r="C160" s="85" t="s">
        <v>305</v>
      </c>
      <c r="D160" s="106" t="s">
        <v>306</v>
      </c>
      <c r="E160" s="15" t="s">
        <v>36</v>
      </c>
      <c r="F160" s="16"/>
      <c r="G160" s="15" t="s">
        <v>178</v>
      </c>
      <c r="H160" s="15"/>
      <c r="I160" s="15"/>
      <c r="J160" s="15">
        <v>1</v>
      </c>
      <c r="K160" s="15">
        <v>1</v>
      </c>
      <c r="L160" s="17"/>
      <c r="M160" s="17"/>
      <c r="N160" s="17"/>
      <c r="O160" s="17"/>
      <c r="P160" s="17"/>
      <c r="Q160" s="17"/>
      <c r="R160" s="17"/>
      <c r="S160" s="15"/>
      <c r="T160" s="25">
        <v>45717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38"/>
      <c r="B161" s="144"/>
      <c r="C161" s="85" t="s">
        <v>307</v>
      </c>
      <c r="D161" s="106" t="s">
        <v>306</v>
      </c>
      <c r="E161" s="15" t="s">
        <v>75</v>
      </c>
      <c r="F161" s="16"/>
      <c r="G161" s="15" t="s">
        <v>178</v>
      </c>
      <c r="H161" s="15"/>
      <c r="I161" s="15"/>
      <c r="J161" s="15"/>
      <c r="K161" s="15"/>
      <c r="L161" s="17"/>
      <c r="M161" s="17"/>
      <c r="N161" s="17"/>
      <c r="O161" s="17"/>
      <c r="P161" s="17"/>
      <c r="Q161" s="17"/>
      <c r="R161" s="17"/>
      <c r="S161" s="86" t="s">
        <v>308</v>
      </c>
      <c r="T161" s="25">
        <v>45717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8"/>
      <c r="B162" s="144"/>
      <c r="C162" s="85" t="s">
        <v>309</v>
      </c>
      <c r="D162" s="106" t="s">
        <v>185</v>
      </c>
      <c r="E162" s="15" t="s">
        <v>59</v>
      </c>
      <c r="F162" s="16"/>
      <c r="G162" s="15" t="s">
        <v>178</v>
      </c>
      <c r="H162" s="15"/>
      <c r="I162" s="15"/>
      <c r="J162" s="15">
        <v>2</v>
      </c>
      <c r="K162" s="15"/>
      <c r="L162" s="17"/>
      <c r="M162" s="17"/>
      <c r="N162" s="17"/>
      <c r="O162" s="17"/>
      <c r="P162" s="17"/>
      <c r="Q162" s="17"/>
      <c r="R162" s="17"/>
      <c r="S162" s="15"/>
      <c r="T162" s="25">
        <v>45726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38"/>
      <c r="B163" s="144"/>
      <c r="C163" s="85" t="s">
        <v>310</v>
      </c>
      <c r="D163" s="106" t="s">
        <v>179</v>
      </c>
      <c r="E163" s="15" t="s">
        <v>37</v>
      </c>
      <c r="F163" s="16"/>
      <c r="G163" s="15" t="s">
        <v>178</v>
      </c>
      <c r="H163" s="15"/>
      <c r="I163" s="15"/>
      <c r="J163" s="15"/>
      <c r="K163" s="15"/>
      <c r="L163" s="17"/>
      <c r="M163" s="17">
        <v>1</v>
      </c>
      <c r="N163" s="17">
        <v>1</v>
      </c>
      <c r="O163" s="17"/>
      <c r="P163" s="17"/>
      <c r="Q163" s="17">
        <v>1</v>
      </c>
      <c r="R163" s="17"/>
      <c r="S163" s="15"/>
      <c r="T163" s="25">
        <v>45712</v>
      </c>
      <c r="U163" s="13" t="s">
        <v>148</v>
      </c>
      <c r="V163">
        <v>11</v>
      </c>
      <c r="AA163" s="49" t="s">
        <v>90</v>
      </c>
      <c r="AB163" s="50" t="s">
        <v>58</v>
      </c>
    </row>
    <row r="164" spans="1:28" x14ac:dyDescent="0.4">
      <c r="A164" s="138"/>
      <c r="B164" s="144"/>
      <c r="C164" s="85" t="s">
        <v>311</v>
      </c>
      <c r="D164" s="106" t="s">
        <v>179</v>
      </c>
      <c r="E164" s="15" t="s">
        <v>36</v>
      </c>
      <c r="F164" s="16"/>
      <c r="G164" s="15" t="s">
        <v>178</v>
      </c>
      <c r="H164" s="15"/>
      <c r="I164" s="15"/>
      <c r="J164" s="15"/>
      <c r="K164" s="15"/>
      <c r="L164" s="17"/>
      <c r="M164" s="17">
        <v>1</v>
      </c>
      <c r="N164" s="17">
        <v>1</v>
      </c>
      <c r="O164" s="17"/>
      <c r="P164" s="17"/>
      <c r="Q164" s="17">
        <v>1</v>
      </c>
      <c r="R164" s="17"/>
      <c r="S164" s="15"/>
      <c r="T164" s="25">
        <v>45713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38"/>
      <c r="B165" s="144"/>
      <c r="C165" s="85" t="s">
        <v>312</v>
      </c>
      <c r="D165" s="106" t="s">
        <v>179</v>
      </c>
      <c r="E165" s="15" t="s">
        <v>36</v>
      </c>
      <c r="F165" s="16"/>
      <c r="G165" s="15" t="s">
        <v>178</v>
      </c>
      <c r="H165" s="15"/>
      <c r="I165" s="15"/>
      <c r="J165" s="15">
        <v>1</v>
      </c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5">
        <v>45718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38"/>
      <c r="B166" s="144"/>
      <c r="C166" s="85" t="s">
        <v>313</v>
      </c>
      <c r="D166" s="106" t="s">
        <v>179</v>
      </c>
      <c r="E166" s="15" t="s">
        <v>37</v>
      </c>
      <c r="F166" s="16"/>
      <c r="G166" s="15" t="s">
        <v>178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5">
        <v>45714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38"/>
      <c r="B167" s="144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38"/>
      <c r="B168" s="144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38"/>
      <c r="B169" s="14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8"/>
      <c r="B170" s="14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8"/>
      <c r="B171" s="14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8"/>
      <c r="B172" s="14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8"/>
      <c r="B173" s="14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8"/>
      <c r="B174" s="14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8"/>
      <c r="B175" s="14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8"/>
      <c r="B176" s="14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9"/>
      <c r="B177" s="14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13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7</v>
      </c>
      <c r="K178" s="29">
        <f t="shared" ref="K178" si="24">SUM(K153:K177)</f>
        <v>6</v>
      </c>
      <c r="L178" s="29">
        <f t="shared" ref="L178" si="25">SUM(L153:L177)</f>
        <v>0</v>
      </c>
      <c r="M178" s="29">
        <f t="shared" ref="M178" si="26">SUM(M153:M177)</f>
        <v>3</v>
      </c>
      <c r="N178" s="29">
        <f t="shared" ref="N178" si="27">SUM(N153:N177)</f>
        <v>3</v>
      </c>
      <c r="O178" s="29">
        <f t="shared" ref="O178" si="28">SUM(O153:O177)</f>
        <v>1</v>
      </c>
      <c r="P178" s="29">
        <f t="shared" ref="P178" si="29">SUM(P153:P177)</f>
        <v>2</v>
      </c>
      <c r="Q178" s="29">
        <f t="shared" ref="Q178" si="30">SUM(Q153:Q177)</f>
        <v>5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27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214</v>
      </c>
      <c r="B181" s="24">
        <v>45687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5" t="s">
        <v>114</v>
      </c>
      <c r="Y182" s="136"/>
    </row>
    <row r="183" spans="1:28" ht="20.25" thickTop="1" thickBot="1" x14ac:dyDescent="0.45">
      <c r="A183" s="137">
        <v>7</v>
      </c>
      <c r="B183" s="143">
        <v>20.8</v>
      </c>
      <c r="C183" s="85" t="s">
        <v>314</v>
      </c>
      <c r="D183" s="110" t="s">
        <v>247</v>
      </c>
      <c r="E183" s="18" t="s">
        <v>38</v>
      </c>
      <c r="F183" s="16"/>
      <c r="G183" s="18" t="s">
        <v>178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45714</v>
      </c>
      <c r="U183" s="15" t="s">
        <v>146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38"/>
      <c r="B184" s="144"/>
      <c r="C184" s="85" t="s">
        <v>315</v>
      </c>
      <c r="D184" s="110" t="s">
        <v>179</v>
      </c>
      <c r="E184" s="15" t="s">
        <v>58</v>
      </c>
      <c r="F184" s="16"/>
      <c r="G184" s="18" t="s">
        <v>178</v>
      </c>
      <c r="H184" s="15"/>
      <c r="I184" s="15"/>
      <c r="J184" s="18"/>
      <c r="K184" s="15"/>
      <c r="L184" s="19"/>
      <c r="M184" s="19"/>
      <c r="N184" s="19"/>
      <c r="O184" s="19"/>
      <c r="P184" s="19"/>
      <c r="Q184" s="19"/>
      <c r="R184" s="19"/>
      <c r="S184" s="15"/>
      <c r="T184" s="25">
        <v>45719</v>
      </c>
      <c r="U184" s="15" t="s">
        <v>147</v>
      </c>
      <c r="V184">
        <v>2</v>
      </c>
      <c r="X184" s="51" t="s">
        <v>107</v>
      </c>
      <c r="Y184" s="52">
        <f>COUNTIF(U183:U207,"R")</f>
        <v>7</v>
      </c>
      <c r="AA184" s="47" t="s">
        <v>81</v>
      </c>
      <c r="AB184" s="48" t="s">
        <v>60</v>
      </c>
    </row>
    <row r="185" spans="1:28" ht="19.5" thickBot="1" x14ac:dyDescent="0.45">
      <c r="A185" s="138"/>
      <c r="B185" s="144"/>
      <c r="C185" s="85" t="s">
        <v>316</v>
      </c>
      <c r="D185" s="110" t="s">
        <v>187</v>
      </c>
      <c r="E185" s="15" t="s">
        <v>40</v>
      </c>
      <c r="F185" s="16"/>
      <c r="G185" s="18" t="s">
        <v>178</v>
      </c>
      <c r="H185" s="15"/>
      <c r="I185" s="15"/>
      <c r="J185" s="15"/>
      <c r="K185" s="15"/>
      <c r="L185" s="17"/>
      <c r="M185" s="17"/>
      <c r="N185" s="17"/>
      <c r="O185" s="17">
        <v>1</v>
      </c>
      <c r="P185" s="17">
        <v>1</v>
      </c>
      <c r="Q185" s="17"/>
      <c r="R185" s="17"/>
      <c r="S185" s="15"/>
      <c r="T185" s="25">
        <v>45712</v>
      </c>
      <c r="U185" s="15" t="s">
        <v>148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38"/>
      <c r="B186" s="144"/>
      <c r="C186" s="85" t="s">
        <v>317</v>
      </c>
      <c r="D186" s="110" t="s">
        <v>187</v>
      </c>
      <c r="E186" s="15" t="s">
        <v>75</v>
      </c>
      <c r="F186" s="16"/>
      <c r="G186" s="18" t="s">
        <v>178</v>
      </c>
      <c r="H186" s="15"/>
      <c r="I186" s="15"/>
      <c r="J186" s="15"/>
      <c r="K186" s="15"/>
      <c r="L186" s="17"/>
      <c r="M186" s="17"/>
      <c r="N186" s="17"/>
      <c r="O186" s="17"/>
      <c r="P186" s="17"/>
      <c r="Q186" s="17"/>
      <c r="R186" s="17"/>
      <c r="S186" s="15"/>
      <c r="T186" s="25">
        <v>45712</v>
      </c>
      <c r="U186" s="2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38"/>
      <c r="B187" s="144"/>
      <c r="C187" s="85" t="s">
        <v>318</v>
      </c>
      <c r="D187" s="106" t="s">
        <v>179</v>
      </c>
      <c r="E187" s="13" t="s">
        <v>36</v>
      </c>
      <c r="F187" s="16"/>
      <c r="G187" s="18" t="s">
        <v>178</v>
      </c>
      <c r="H187" s="15"/>
      <c r="I187" s="15"/>
      <c r="J187" s="15"/>
      <c r="K187" s="15"/>
      <c r="L187" s="17"/>
      <c r="M187" s="17"/>
      <c r="N187" s="17">
        <v>1</v>
      </c>
      <c r="O187" s="17">
        <v>1</v>
      </c>
      <c r="P187" s="17"/>
      <c r="Q187" s="17"/>
      <c r="R187" s="17"/>
      <c r="S187" s="15"/>
      <c r="T187" s="25">
        <v>45713</v>
      </c>
      <c r="U187" s="2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38"/>
      <c r="B188" s="144"/>
      <c r="C188" s="85" t="s">
        <v>319</v>
      </c>
      <c r="D188" s="106" t="s">
        <v>179</v>
      </c>
      <c r="E188" s="13" t="s">
        <v>75</v>
      </c>
      <c r="F188" s="16"/>
      <c r="G188" s="18" t="s">
        <v>178</v>
      </c>
      <c r="H188" s="13"/>
      <c r="I188" s="15"/>
      <c r="J188" s="15"/>
      <c r="K188" s="15"/>
      <c r="L188" s="17"/>
      <c r="M188" s="17"/>
      <c r="N188" s="17"/>
      <c r="O188" s="17"/>
      <c r="P188" s="17"/>
      <c r="Q188" s="17"/>
      <c r="R188" s="17"/>
      <c r="S188" s="15"/>
      <c r="T188" s="25">
        <v>45713</v>
      </c>
      <c r="U188" s="2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38"/>
      <c r="B189" s="144"/>
      <c r="C189" s="85" t="s">
        <v>320</v>
      </c>
      <c r="D189" s="106" t="s">
        <v>179</v>
      </c>
      <c r="E189" s="13" t="s">
        <v>36</v>
      </c>
      <c r="F189" s="16"/>
      <c r="G189" s="18" t="s">
        <v>178</v>
      </c>
      <c r="H189" s="15"/>
      <c r="I189" s="15"/>
      <c r="J189" s="15"/>
      <c r="K189" s="15"/>
      <c r="L189" s="17"/>
      <c r="M189" s="17"/>
      <c r="N189" s="17">
        <v>1</v>
      </c>
      <c r="O189" s="17">
        <v>1</v>
      </c>
      <c r="P189" s="17"/>
      <c r="Q189" s="17"/>
      <c r="R189" s="17"/>
      <c r="S189" s="15"/>
      <c r="T189" s="25">
        <v>45717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38"/>
      <c r="B190" s="144"/>
      <c r="C190" s="85" t="s">
        <v>321</v>
      </c>
      <c r="D190" s="106" t="s">
        <v>179</v>
      </c>
      <c r="E190" s="13" t="s">
        <v>75</v>
      </c>
      <c r="F190" s="16"/>
      <c r="G190" s="18" t="s">
        <v>178</v>
      </c>
      <c r="H190" s="15"/>
      <c r="I190" s="15"/>
      <c r="J190" s="15"/>
      <c r="K190" s="15"/>
      <c r="L190" s="17"/>
      <c r="M190" s="17"/>
      <c r="N190" s="17"/>
      <c r="O190" s="17"/>
      <c r="P190" s="17"/>
      <c r="Q190" s="17"/>
      <c r="R190" s="17"/>
      <c r="S190" s="15"/>
      <c r="T190" s="25">
        <v>45717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38"/>
      <c r="B191" s="144"/>
      <c r="C191" s="85" t="s">
        <v>322</v>
      </c>
      <c r="D191" s="106" t="s">
        <v>179</v>
      </c>
      <c r="E191" s="13" t="s">
        <v>75</v>
      </c>
      <c r="F191" s="16"/>
      <c r="G191" s="18" t="s">
        <v>178</v>
      </c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>
        <v>45717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38"/>
      <c r="B192" s="144"/>
      <c r="C192" s="85" t="s">
        <v>323</v>
      </c>
      <c r="D192" s="106" t="s">
        <v>273</v>
      </c>
      <c r="E192" s="13" t="s">
        <v>44</v>
      </c>
      <c r="F192" s="16"/>
      <c r="G192" s="18" t="s">
        <v>178</v>
      </c>
      <c r="H192" s="15"/>
      <c r="I192" s="15"/>
      <c r="J192" s="15">
        <v>1</v>
      </c>
      <c r="K192" s="15">
        <v>1</v>
      </c>
      <c r="L192" s="17"/>
      <c r="M192" s="17"/>
      <c r="N192" s="17"/>
      <c r="O192" s="17"/>
      <c r="P192" s="17"/>
      <c r="Q192" s="17"/>
      <c r="R192" s="17"/>
      <c r="S192" s="15"/>
      <c r="T192" s="25">
        <v>45717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38"/>
      <c r="B193" s="144"/>
      <c r="C193" s="85" t="s">
        <v>324</v>
      </c>
      <c r="D193" s="106" t="s">
        <v>273</v>
      </c>
      <c r="E193" s="13" t="s">
        <v>36</v>
      </c>
      <c r="F193" s="16"/>
      <c r="G193" s="18" t="s">
        <v>178</v>
      </c>
      <c r="H193" s="15"/>
      <c r="I193" s="15"/>
      <c r="J193" s="15">
        <v>1</v>
      </c>
      <c r="K193" s="15">
        <v>1</v>
      </c>
      <c r="L193" s="17"/>
      <c r="M193" s="17"/>
      <c r="N193" s="17"/>
      <c r="O193" s="17"/>
      <c r="P193" s="17"/>
      <c r="Q193" s="17"/>
      <c r="R193" s="17"/>
      <c r="S193" s="15"/>
      <c r="T193" s="25">
        <v>45714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38"/>
      <c r="B194" s="144"/>
      <c r="C194" s="85" t="s">
        <v>325</v>
      </c>
      <c r="D194" s="106">
        <v>1183</v>
      </c>
      <c r="E194" s="13" t="s">
        <v>37</v>
      </c>
      <c r="F194" s="16"/>
      <c r="G194" s="18" t="s">
        <v>178</v>
      </c>
      <c r="H194" s="15"/>
      <c r="I194" s="15"/>
      <c r="J194" s="15"/>
      <c r="K194" s="15"/>
      <c r="L194" s="17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45717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38"/>
      <c r="B195" s="144"/>
      <c r="C195" s="85" t="s">
        <v>326</v>
      </c>
      <c r="D195" s="106" t="s">
        <v>287</v>
      </c>
      <c r="E195" s="15" t="s">
        <v>60</v>
      </c>
      <c r="F195" s="16"/>
      <c r="G195" s="18" t="s">
        <v>178</v>
      </c>
      <c r="H195" s="15"/>
      <c r="I195" s="15"/>
      <c r="J195" s="15"/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45708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38"/>
      <c r="B196" s="144"/>
      <c r="C196" s="85" t="s">
        <v>327</v>
      </c>
      <c r="D196" s="106" t="s">
        <v>287</v>
      </c>
      <c r="E196" s="15" t="s">
        <v>44</v>
      </c>
      <c r="F196" s="16"/>
      <c r="G196" s="18" t="s">
        <v>178</v>
      </c>
      <c r="H196" s="15"/>
      <c r="I196" s="15"/>
      <c r="J196" s="15"/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45714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38"/>
      <c r="B197" s="144"/>
      <c r="C197" s="85" t="s">
        <v>328</v>
      </c>
      <c r="D197" s="106" t="s">
        <v>287</v>
      </c>
      <c r="E197" s="15" t="s">
        <v>38</v>
      </c>
      <c r="F197" s="16"/>
      <c r="G197" s="15" t="s">
        <v>178</v>
      </c>
      <c r="H197" s="15"/>
      <c r="I197" s="15"/>
      <c r="J197" s="15"/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45714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38"/>
      <c r="B198" s="14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8"/>
      <c r="B199" s="144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8"/>
      <c r="B200" s="14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8"/>
      <c r="B201" s="14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8"/>
      <c r="B202" s="14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8"/>
      <c r="B203" s="14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8"/>
      <c r="B204" s="14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8"/>
      <c r="B205" s="14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8"/>
      <c r="B206" s="14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9"/>
      <c r="B207" s="14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3</v>
      </c>
      <c r="K208" s="29">
        <f t="shared" ref="K208" si="34">SUM(K183:K207)</f>
        <v>6</v>
      </c>
      <c r="L208" s="29">
        <f t="shared" ref="L208" si="35">SUM(L183:L207)</f>
        <v>0</v>
      </c>
      <c r="M208" s="29">
        <f t="shared" ref="M208" si="36">SUM(M183:M207)</f>
        <v>1</v>
      </c>
      <c r="N208" s="29">
        <f t="shared" ref="N208" si="37">SUM(N183:N207)</f>
        <v>3</v>
      </c>
      <c r="O208" s="29">
        <f t="shared" ref="O208" si="38">SUM(O183:O207)</f>
        <v>3</v>
      </c>
      <c r="P208" s="29">
        <f t="shared" ref="P208" si="39">SUM(P183:P207)</f>
        <v>1</v>
      </c>
      <c r="Q208" s="29">
        <f t="shared" ref="Q208" si="40">SUM(Q183:Q207)</f>
        <v>1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18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AYG099</v>
      </c>
      <c r="B211" s="24">
        <f>B1</f>
        <v>45687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5" t="s">
        <v>113</v>
      </c>
      <c r="Y212" s="136"/>
    </row>
    <row r="213" spans="1:28" ht="20.25" thickTop="1" thickBot="1" x14ac:dyDescent="0.45">
      <c r="A213" s="137">
        <v>8</v>
      </c>
      <c r="B213" s="143">
        <v>25.6</v>
      </c>
      <c r="C213" s="85" t="s">
        <v>340</v>
      </c>
      <c r="D213" s="106" t="s">
        <v>192</v>
      </c>
      <c r="E213" s="15" t="s">
        <v>75</v>
      </c>
      <c r="F213" s="16"/>
      <c r="G213" s="15" t="s">
        <v>178</v>
      </c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45715</v>
      </c>
      <c r="U213" s="15" t="s">
        <v>147</v>
      </c>
      <c r="V213">
        <v>1</v>
      </c>
      <c r="X213" s="51" t="s">
        <v>106</v>
      </c>
      <c r="Y213" s="52">
        <f>COUNTIF(U213:U237,"K")</f>
        <v>9</v>
      </c>
      <c r="AA213" s="59" t="s">
        <v>120</v>
      </c>
      <c r="AB213" s="60" t="s">
        <v>121</v>
      </c>
    </row>
    <row r="214" spans="1:28" x14ac:dyDescent="0.4">
      <c r="A214" s="138"/>
      <c r="B214" s="144"/>
      <c r="C214" s="85" t="s">
        <v>329</v>
      </c>
      <c r="D214" s="106" t="s">
        <v>192</v>
      </c>
      <c r="E214" s="15" t="s">
        <v>37</v>
      </c>
      <c r="F214" s="16"/>
      <c r="G214" s="15" t="s">
        <v>178</v>
      </c>
      <c r="H214" s="15"/>
      <c r="I214" s="15"/>
      <c r="J214" s="15"/>
      <c r="K214" s="15"/>
      <c r="L214" s="17"/>
      <c r="M214" s="17"/>
      <c r="N214" s="17">
        <v>1</v>
      </c>
      <c r="O214" s="17"/>
      <c r="P214" s="17"/>
      <c r="Q214" s="17"/>
      <c r="R214" s="17"/>
      <c r="S214" s="15"/>
      <c r="T214" s="25">
        <v>45704</v>
      </c>
      <c r="U214" s="15" t="s">
        <v>147</v>
      </c>
      <c r="V214">
        <v>2</v>
      </c>
      <c r="X214" s="51" t="s">
        <v>107</v>
      </c>
      <c r="Y214" s="52">
        <f>COUNTIF(U213:U237,"R")</f>
        <v>4</v>
      </c>
      <c r="AA214" s="47" t="s">
        <v>81</v>
      </c>
      <c r="AB214" s="48" t="s">
        <v>60</v>
      </c>
    </row>
    <row r="215" spans="1:28" ht="19.5" thickBot="1" x14ac:dyDescent="0.45">
      <c r="A215" s="138"/>
      <c r="B215" s="144"/>
      <c r="C215" s="85" t="s">
        <v>330</v>
      </c>
      <c r="D215" s="106" t="s">
        <v>192</v>
      </c>
      <c r="E215" s="15" t="s">
        <v>37</v>
      </c>
      <c r="F215" s="16"/>
      <c r="G215" s="15" t="s">
        <v>178</v>
      </c>
      <c r="H215" s="15"/>
      <c r="I215" s="15"/>
      <c r="J215" s="15"/>
      <c r="K215" s="15"/>
      <c r="L215" s="17"/>
      <c r="M215" s="17">
        <v>1</v>
      </c>
      <c r="N215" s="17"/>
      <c r="O215" s="17"/>
      <c r="P215" s="17"/>
      <c r="Q215" s="17">
        <v>1</v>
      </c>
      <c r="R215" s="17"/>
      <c r="S215" s="15"/>
      <c r="T215" s="25">
        <v>45737</v>
      </c>
      <c r="U215" s="15" t="s">
        <v>147</v>
      </c>
      <c r="V215">
        <v>3</v>
      </c>
      <c r="X215" s="53" t="s">
        <v>108</v>
      </c>
      <c r="Y215" s="54">
        <f>COUNTIF(U213:U237,"J")</f>
        <v>3</v>
      </c>
      <c r="AA215" s="49" t="s">
        <v>82</v>
      </c>
      <c r="AB215" s="50" t="s">
        <v>39</v>
      </c>
    </row>
    <row r="216" spans="1:28" x14ac:dyDescent="0.4">
      <c r="A216" s="138"/>
      <c r="B216" s="144"/>
      <c r="C216" s="85" t="s">
        <v>331</v>
      </c>
      <c r="D216" s="106" t="s">
        <v>332</v>
      </c>
      <c r="E216" s="15" t="s">
        <v>39</v>
      </c>
      <c r="F216" s="16"/>
      <c r="G216" s="15" t="s">
        <v>178</v>
      </c>
      <c r="H216" s="15"/>
      <c r="I216" s="15"/>
      <c r="J216" s="15">
        <v>1</v>
      </c>
      <c r="K216" s="15">
        <v>1</v>
      </c>
      <c r="L216" s="19"/>
      <c r="M216" s="19"/>
      <c r="N216" s="19"/>
      <c r="O216" s="19"/>
      <c r="P216" s="19"/>
      <c r="Q216" s="19"/>
      <c r="R216" s="19"/>
      <c r="S216" s="15"/>
      <c r="T216" s="25">
        <v>45745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38"/>
      <c r="B217" s="144"/>
      <c r="C217" s="85" t="s">
        <v>333</v>
      </c>
      <c r="D217" s="106" t="s">
        <v>332</v>
      </c>
      <c r="E217" s="15" t="s">
        <v>40</v>
      </c>
      <c r="F217" s="16"/>
      <c r="G217" s="15" t="s">
        <v>178</v>
      </c>
      <c r="H217" s="15"/>
      <c r="I217" s="15"/>
      <c r="J217" s="18"/>
      <c r="K217" s="15"/>
      <c r="L217" s="19"/>
      <c r="M217" s="19"/>
      <c r="N217" s="19"/>
      <c r="O217" s="19">
        <v>1</v>
      </c>
      <c r="P217" s="19"/>
      <c r="Q217" s="19"/>
      <c r="R217" s="19">
        <v>1</v>
      </c>
      <c r="S217" s="15"/>
      <c r="T217" s="25">
        <v>45745</v>
      </c>
      <c r="U217" s="15" t="s">
        <v>148</v>
      </c>
      <c r="V217">
        <v>5</v>
      </c>
      <c r="AA217" s="49" t="s">
        <v>84</v>
      </c>
      <c r="AB217" s="50" t="s">
        <v>44</v>
      </c>
    </row>
    <row r="218" spans="1:28" x14ac:dyDescent="0.4">
      <c r="A218" s="138"/>
      <c r="B218" s="144"/>
      <c r="C218" s="85" t="s">
        <v>334</v>
      </c>
      <c r="D218" s="106" t="s">
        <v>179</v>
      </c>
      <c r="E218" s="15" t="s">
        <v>36</v>
      </c>
      <c r="F218" s="16"/>
      <c r="G218" s="15" t="s">
        <v>178</v>
      </c>
      <c r="H218" s="15"/>
      <c r="I218" s="15"/>
      <c r="J218" s="18">
        <v>1</v>
      </c>
      <c r="K218" s="15">
        <v>1</v>
      </c>
      <c r="L218" s="19"/>
      <c r="M218" s="19"/>
      <c r="N218" s="19"/>
      <c r="O218" s="19"/>
      <c r="P218" s="19"/>
      <c r="Q218" s="19"/>
      <c r="R218" s="19"/>
      <c r="S218" s="15"/>
      <c r="T218" s="25">
        <v>45711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38"/>
      <c r="B219" s="144"/>
      <c r="C219" s="85" t="s">
        <v>335</v>
      </c>
      <c r="D219" s="106" t="s">
        <v>332</v>
      </c>
      <c r="E219" s="15" t="s">
        <v>37</v>
      </c>
      <c r="F219" s="16"/>
      <c r="G219" s="15" t="s">
        <v>178</v>
      </c>
      <c r="H219" s="15"/>
      <c r="I219" s="15"/>
      <c r="J219" s="18">
        <v>1</v>
      </c>
      <c r="K219" s="15">
        <v>1</v>
      </c>
      <c r="L219" s="19"/>
      <c r="M219" s="19"/>
      <c r="N219" s="19"/>
      <c r="O219" s="19"/>
      <c r="P219" s="19"/>
      <c r="Q219" s="19"/>
      <c r="R219" s="19"/>
      <c r="S219" s="15"/>
      <c r="T219" s="25">
        <v>45745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38"/>
      <c r="B220" s="144"/>
      <c r="C220" s="85" t="s">
        <v>336</v>
      </c>
      <c r="D220" s="106" t="s">
        <v>332</v>
      </c>
      <c r="E220" s="15" t="s">
        <v>44</v>
      </c>
      <c r="F220" s="16"/>
      <c r="G220" s="15" t="s">
        <v>178</v>
      </c>
      <c r="H220" s="15"/>
      <c r="I220" s="15"/>
      <c r="J220" s="18">
        <v>1</v>
      </c>
      <c r="K220" s="15">
        <v>1</v>
      </c>
      <c r="L220" s="19"/>
      <c r="M220" s="19"/>
      <c r="N220" s="19"/>
      <c r="O220" s="19"/>
      <c r="P220" s="19"/>
      <c r="Q220" s="19"/>
      <c r="R220" s="19"/>
      <c r="S220" s="15"/>
      <c r="T220" s="25">
        <v>45729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38"/>
      <c r="B221" s="144"/>
      <c r="C221" s="85" t="s">
        <v>337</v>
      </c>
      <c r="D221" s="106" t="s">
        <v>247</v>
      </c>
      <c r="E221" s="15" t="s">
        <v>40</v>
      </c>
      <c r="F221" s="16"/>
      <c r="G221" s="15" t="s">
        <v>178</v>
      </c>
      <c r="H221" s="15"/>
      <c r="I221" s="15"/>
      <c r="J221" s="18"/>
      <c r="K221" s="15"/>
      <c r="L221" s="19"/>
      <c r="M221" s="19"/>
      <c r="N221" s="19"/>
      <c r="O221" s="19">
        <v>1</v>
      </c>
      <c r="P221" s="19"/>
      <c r="Q221" s="19"/>
      <c r="R221" s="19">
        <v>1</v>
      </c>
      <c r="S221" s="15"/>
      <c r="T221" s="25">
        <v>45721</v>
      </c>
      <c r="U221" s="15" t="s">
        <v>148</v>
      </c>
      <c r="V221">
        <v>9</v>
      </c>
      <c r="AA221" s="49" t="s">
        <v>88</v>
      </c>
      <c r="AB221" s="50" t="s">
        <v>74</v>
      </c>
    </row>
    <row r="222" spans="1:28" x14ac:dyDescent="0.4">
      <c r="A222" s="138"/>
      <c r="B222" s="144"/>
      <c r="C222" s="85" t="s">
        <v>338</v>
      </c>
      <c r="D222" s="106" t="s">
        <v>247</v>
      </c>
      <c r="E222" s="15" t="s">
        <v>40</v>
      </c>
      <c r="F222" s="16"/>
      <c r="G222" s="15" t="s">
        <v>178</v>
      </c>
      <c r="H222" s="15"/>
      <c r="I222" s="15"/>
      <c r="J222" s="15"/>
      <c r="K222" s="15"/>
      <c r="L222" s="17"/>
      <c r="M222" s="17"/>
      <c r="N222" s="17"/>
      <c r="O222" s="17">
        <v>1</v>
      </c>
      <c r="P222" s="17">
        <v>1</v>
      </c>
      <c r="Q222" s="17"/>
      <c r="R222" s="17">
        <v>1</v>
      </c>
      <c r="S222" s="15"/>
      <c r="T222" s="25">
        <v>45719</v>
      </c>
      <c r="U222" s="15" t="s">
        <v>148</v>
      </c>
      <c r="V222">
        <v>10</v>
      </c>
      <c r="AA222" s="49" t="s">
        <v>89</v>
      </c>
      <c r="AB222" s="50" t="s">
        <v>36</v>
      </c>
    </row>
    <row r="223" spans="1:28" x14ac:dyDescent="0.4">
      <c r="A223" s="138"/>
      <c r="B223" s="144"/>
      <c r="C223" s="85" t="s">
        <v>339</v>
      </c>
      <c r="D223" s="106" t="s">
        <v>179</v>
      </c>
      <c r="E223" s="15" t="s">
        <v>36</v>
      </c>
      <c r="F223" s="16"/>
      <c r="G223" s="15" t="s">
        <v>178</v>
      </c>
      <c r="H223" s="15"/>
      <c r="I223" s="15"/>
      <c r="J223" s="15"/>
      <c r="K223" s="15"/>
      <c r="L223" s="17"/>
      <c r="M223" s="17">
        <v>1</v>
      </c>
      <c r="N223" s="17">
        <v>1</v>
      </c>
      <c r="O223" s="17"/>
      <c r="P223" s="17"/>
      <c r="Q223" s="17"/>
      <c r="R223" s="17"/>
      <c r="S223" s="15"/>
      <c r="T223" s="25">
        <v>45717</v>
      </c>
      <c r="U223" s="15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38"/>
      <c r="B224" s="144"/>
      <c r="C224" s="85" t="s">
        <v>341</v>
      </c>
      <c r="D224" s="106" t="s">
        <v>185</v>
      </c>
      <c r="E224" s="15" t="s">
        <v>60</v>
      </c>
      <c r="F224" s="16"/>
      <c r="G224" s="15" t="s">
        <v>178</v>
      </c>
      <c r="H224" s="15"/>
      <c r="I224" s="15"/>
      <c r="J224" s="15"/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45724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38"/>
      <c r="B225" s="144"/>
      <c r="C225" s="85" t="s">
        <v>342</v>
      </c>
      <c r="D225" s="106" t="s">
        <v>185</v>
      </c>
      <c r="E225" s="13" t="s">
        <v>60</v>
      </c>
      <c r="F225" s="16"/>
      <c r="G225" s="15" t="s">
        <v>178</v>
      </c>
      <c r="H225" s="15"/>
      <c r="I225" s="15"/>
      <c r="J225" s="15"/>
      <c r="K225" s="15">
        <v>1</v>
      </c>
      <c r="L225" s="17"/>
      <c r="M225" s="17"/>
      <c r="N225" s="17"/>
      <c r="O225" s="17"/>
      <c r="P225" s="17"/>
      <c r="Q225" s="17"/>
      <c r="R225" s="17"/>
      <c r="S225" s="15"/>
      <c r="T225" s="25">
        <v>45724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38"/>
      <c r="B226" s="144"/>
      <c r="C226" s="85" t="s">
        <v>343</v>
      </c>
      <c r="D226" s="106" t="s">
        <v>185</v>
      </c>
      <c r="E226" s="13" t="s">
        <v>60</v>
      </c>
      <c r="F226" s="16"/>
      <c r="G226" s="15" t="s">
        <v>178</v>
      </c>
      <c r="H226" s="15"/>
      <c r="I226" s="15"/>
      <c r="J226" s="15"/>
      <c r="K226" s="15">
        <v>1</v>
      </c>
      <c r="L226" s="17"/>
      <c r="M226" s="17"/>
      <c r="N226" s="17"/>
      <c r="O226" s="17"/>
      <c r="P226" s="17"/>
      <c r="Q226" s="17"/>
      <c r="R226" s="17"/>
      <c r="S226" s="15"/>
      <c r="T226" s="25">
        <v>45724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38"/>
      <c r="B227" s="144"/>
      <c r="C227" s="85" t="s">
        <v>344</v>
      </c>
      <c r="D227" s="109" t="s">
        <v>185</v>
      </c>
      <c r="E227" s="15" t="s">
        <v>60</v>
      </c>
      <c r="F227" s="16"/>
      <c r="G227" s="15" t="s">
        <v>178</v>
      </c>
      <c r="H227" s="15"/>
      <c r="I227" s="15"/>
      <c r="J227" s="15"/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45724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38"/>
      <c r="B228" s="144"/>
      <c r="C228" s="85" t="s">
        <v>345</v>
      </c>
      <c r="D228" s="109" t="s">
        <v>185</v>
      </c>
      <c r="E228" s="15" t="s">
        <v>60</v>
      </c>
      <c r="F228" s="16"/>
      <c r="G228" s="15" t="s">
        <v>178</v>
      </c>
      <c r="H228" s="15"/>
      <c r="I228" s="15"/>
      <c r="J228" s="15"/>
      <c r="K228" s="15">
        <v>1</v>
      </c>
      <c r="L228" s="19"/>
      <c r="M228" s="19"/>
      <c r="N228" s="19"/>
      <c r="O228" s="19"/>
      <c r="P228" s="19"/>
      <c r="Q228" s="19"/>
      <c r="R228" s="19"/>
      <c r="S228" s="15"/>
      <c r="T228" s="26">
        <v>45724</v>
      </c>
      <c r="U228" s="15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38"/>
      <c r="B229" s="144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38"/>
      <c r="B230" s="144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8"/>
      <c r="B231" s="14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8"/>
      <c r="B232" s="14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8"/>
      <c r="B233" s="14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8"/>
      <c r="B234" s="14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8"/>
      <c r="B235" s="14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8"/>
      <c r="B236" s="14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9"/>
      <c r="B237" s="14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4</v>
      </c>
      <c r="K238" s="29">
        <f t="shared" ref="K238" si="44">SUM(K213:K237)</f>
        <v>9</v>
      </c>
      <c r="L238" s="29">
        <f t="shared" ref="L238" si="45">SUM(L213:L237)</f>
        <v>0</v>
      </c>
      <c r="M238" s="29">
        <f t="shared" ref="M238" si="46">SUM(M213:M237)</f>
        <v>2</v>
      </c>
      <c r="N238" s="29">
        <f t="shared" ref="N238" si="47">SUM(N213:N237)</f>
        <v>2</v>
      </c>
      <c r="O238" s="29">
        <f t="shared" ref="O238" si="48">SUM(O213:O237)</f>
        <v>3</v>
      </c>
      <c r="P238" s="29">
        <f t="shared" ref="P238" si="49">SUM(P213:P237)</f>
        <v>1</v>
      </c>
      <c r="Q238" s="29">
        <f t="shared" ref="Q238" si="50">SUM(Q213:Q237)</f>
        <v>1</v>
      </c>
      <c r="R238" s="29">
        <f t="shared" ref="R238" si="51">SUM(R213:R237)</f>
        <v>3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25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AYG099</v>
      </c>
      <c r="B241" s="24">
        <f>B1</f>
        <v>45687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9" t="s">
        <v>112</v>
      </c>
      <c r="Y242" s="149"/>
    </row>
    <row r="243" spans="1:28" ht="20.25" thickTop="1" thickBot="1" x14ac:dyDescent="0.45">
      <c r="A243" s="137">
        <v>9</v>
      </c>
      <c r="B243" s="143">
        <v>20</v>
      </c>
      <c r="C243" s="85" t="s">
        <v>346</v>
      </c>
      <c r="D243" s="109" t="s">
        <v>181</v>
      </c>
      <c r="E243" s="13" t="s">
        <v>37</v>
      </c>
      <c r="F243" s="14"/>
      <c r="G243" s="12" t="s">
        <v>178</v>
      </c>
      <c r="H243" s="13"/>
      <c r="I243" s="13"/>
      <c r="J243" s="13"/>
      <c r="K243" s="13">
        <v>1</v>
      </c>
      <c r="L243" s="13"/>
      <c r="M243" s="13">
        <v>1</v>
      </c>
      <c r="N243" s="13">
        <v>1</v>
      </c>
      <c r="O243" s="13"/>
      <c r="P243" s="13"/>
      <c r="Q243" s="13">
        <v>1</v>
      </c>
      <c r="R243" s="13"/>
      <c r="S243" s="13"/>
      <c r="T243" s="26">
        <v>45706</v>
      </c>
      <c r="U243" s="13" t="s">
        <v>147</v>
      </c>
      <c r="V243">
        <v>1</v>
      </c>
      <c r="X243" t="s">
        <v>106</v>
      </c>
      <c r="Y243">
        <f>COUNTIF(U243:U267,"K")</f>
        <v>8</v>
      </c>
      <c r="AA243" s="59" t="s">
        <v>120</v>
      </c>
      <c r="AB243" s="60" t="s">
        <v>121</v>
      </c>
    </row>
    <row r="244" spans="1:28" x14ac:dyDescent="0.4">
      <c r="A244" s="138"/>
      <c r="B244" s="144"/>
      <c r="C244" s="85" t="s">
        <v>347</v>
      </c>
      <c r="D244" s="109" t="s">
        <v>179</v>
      </c>
      <c r="E244" s="13" t="s">
        <v>36</v>
      </c>
      <c r="F244" s="16"/>
      <c r="G244" s="12" t="s">
        <v>178</v>
      </c>
      <c r="H244" s="15"/>
      <c r="I244" s="15"/>
      <c r="J244" s="15">
        <v>1</v>
      </c>
      <c r="K244" s="15">
        <v>1</v>
      </c>
      <c r="L244" s="17"/>
      <c r="M244" s="17"/>
      <c r="N244" s="17"/>
      <c r="O244" s="17"/>
      <c r="P244" s="17"/>
      <c r="Q244" s="17"/>
      <c r="R244" s="17"/>
      <c r="S244" s="15"/>
      <c r="T244" s="26">
        <v>45711</v>
      </c>
      <c r="U244" s="13" t="s">
        <v>146</v>
      </c>
      <c r="V244">
        <v>2</v>
      </c>
      <c r="X244" t="s">
        <v>107</v>
      </c>
      <c r="Y244">
        <f>COUNTIF(U243:U267,"R")</f>
        <v>6</v>
      </c>
      <c r="AA244" s="47" t="s">
        <v>81</v>
      </c>
      <c r="AB244" s="48" t="s">
        <v>60</v>
      </c>
    </row>
    <row r="245" spans="1:28" x14ac:dyDescent="0.4">
      <c r="A245" s="138"/>
      <c r="B245" s="144"/>
      <c r="C245" s="85" t="s">
        <v>348</v>
      </c>
      <c r="D245" s="109" t="s">
        <v>247</v>
      </c>
      <c r="E245" s="13" t="s">
        <v>75</v>
      </c>
      <c r="F245" s="16"/>
      <c r="G245" s="12" t="s">
        <v>178</v>
      </c>
      <c r="H245" s="15"/>
      <c r="I245" s="15"/>
      <c r="J245" s="15"/>
      <c r="K245" s="15"/>
      <c r="L245" s="17"/>
      <c r="M245" s="17"/>
      <c r="N245" s="17"/>
      <c r="O245" s="17"/>
      <c r="P245" s="17"/>
      <c r="Q245" s="17"/>
      <c r="R245" s="17"/>
      <c r="S245" s="15"/>
      <c r="T245" s="26">
        <v>45711</v>
      </c>
      <c r="U245" s="13" t="s">
        <v>147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38"/>
      <c r="B246" s="144"/>
      <c r="C246" s="85" t="s">
        <v>349</v>
      </c>
      <c r="D246" s="109" t="s">
        <v>185</v>
      </c>
      <c r="E246" s="13" t="s">
        <v>42</v>
      </c>
      <c r="F246" s="16"/>
      <c r="G246" s="12" t="s">
        <v>178</v>
      </c>
      <c r="H246" s="15"/>
      <c r="I246" s="15"/>
      <c r="J246" s="15"/>
      <c r="K246" s="15"/>
      <c r="L246" s="17"/>
      <c r="M246" s="17"/>
      <c r="N246" s="17"/>
      <c r="O246" s="17"/>
      <c r="P246" s="17"/>
      <c r="Q246" s="17"/>
      <c r="R246" s="17"/>
      <c r="S246" s="15">
        <v>1</v>
      </c>
      <c r="T246" s="26">
        <v>45724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38"/>
      <c r="B247" s="144"/>
      <c r="C247" s="85" t="s">
        <v>350</v>
      </c>
      <c r="D247" s="109" t="s">
        <v>185</v>
      </c>
      <c r="E247" s="13" t="s">
        <v>41</v>
      </c>
      <c r="F247" s="16"/>
      <c r="G247" s="12" t="s">
        <v>178</v>
      </c>
      <c r="H247" s="15"/>
      <c r="I247" s="15"/>
      <c r="J247" s="15">
        <v>1</v>
      </c>
      <c r="K247" s="15"/>
      <c r="L247" s="17"/>
      <c r="M247" s="17"/>
      <c r="N247" s="17"/>
      <c r="O247" s="17"/>
      <c r="P247" s="17"/>
      <c r="Q247" s="17"/>
      <c r="R247" s="17"/>
      <c r="S247" s="15"/>
      <c r="T247" s="26">
        <v>45724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38"/>
      <c r="B248" s="144"/>
      <c r="C248" s="85" t="s">
        <v>351</v>
      </c>
      <c r="D248" s="109" t="s">
        <v>185</v>
      </c>
      <c r="E248" s="13" t="s">
        <v>42</v>
      </c>
      <c r="F248" s="16"/>
      <c r="G248" s="12" t="s">
        <v>178</v>
      </c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>
        <v>1</v>
      </c>
      <c r="T248" s="26">
        <v>45724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38"/>
      <c r="B249" s="144"/>
      <c r="C249" s="85" t="s">
        <v>352</v>
      </c>
      <c r="D249" s="109" t="s">
        <v>185</v>
      </c>
      <c r="E249" s="13" t="s">
        <v>41</v>
      </c>
      <c r="F249" s="16"/>
      <c r="G249" s="12" t="s">
        <v>178</v>
      </c>
      <c r="H249" s="15"/>
      <c r="I249" s="15"/>
      <c r="J249" s="15">
        <v>1</v>
      </c>
      <c r="K249" s="15"/>
      <c r="L249" s="17"/>
      <c r="M249" s="17"/>
      <c r="N249" s="17"/>
      <c r="O249" s="17"/>
      <c r="P249" s="17"/>
      <c r="Q249" s="17"/>
      <c r="R249" s="17"/>
      <c r="S249" s="15"/>
      <c r="T249" s="26">
        <v>45724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38"/>
      <c r="B250" s="144"/>
      <c r="C250" s="85" t="s">
        <v>353</v>
      </c>
      <c r="D250" s="109" t="s">
        <v>185</v>
      </c>
      <c r="E250" s="13" t="s">
        <v>42</v>
      </c>
      <c r="F250" s="16"/>
      <c r="G250" s="12" t="s">
        <v>178</v>
      </c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>
        <v>1</v>
      </c>
      <c r="T250" s="26">
        <v>45724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38"/>
      <c r="B251" s="144"/>
      <c r="C251" s="85" t="s">
        <v>354</v>
      </c>
      <c r="D251" s="109" t="s">
        <v>185</v>
      </c>
      <c r="E251" s="13" t="s">
        <v>41</v>
      </c>
      <c r="F251" s="16"/>
      <c r="G251" s="12" t="s">
        <v>178</v>
      </c>
      <c r="H251" s="15"/>
      <c r="I251" s="15"/>
      <c r="J251" s="15">
        <v>1</v>
      </c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45724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38"/>
      <c r="B252" s="144"/>
      <c r="C252" s="85" t="s">
        <v>355</v>
      </c>
      <c r="D252" s="109" t="s">
        <v>195</v>
      </c>
      <c r="E252" s="13" t="s">
        <v>38</v>
      </c>
      <c r="F252" s="16"/>
      <c r="G252" s="12" t="s">
        <v>178</v>
      </c>
      <c r="H252" s="15"/>
      <c r="I252" s="15"/>
      <c r="J252" s="15"/>
      <c r="K252" s="15"/>
      <c r="L252" s="17"/>
      <c r="M252" s="17">
        <v>1</v>
      </c>
      <c r="N252" s="17">
        <v>1</v>
      </c>
      <c r="O252" s="17"/>
      <c r="P252" s="17"/>
      <c r="Q252" s="17">
        <v>1</v>
      </c>
      <c r="R252" s="17"/>
      <c r="S252" s="15"/>
      <c r="T252" s="26">
        <v>45724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38"/>
      <c r="B253" s="144"/>
      <c r="C253" s="85" t="s">
        <v>356</v>
      </c>
      <c r="D253" s="109" t="s">
        <v>183</v>
      </c>
      <c r="E253" s="13" t="s">
        <v>38</v>
      </c>
      <c r="F253" s="16"/>
      <c r="G253" s="12" t="s">
        <v>178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6">
        <v>45724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38"/>
      <c r="B254" s="144"/>
      <c r="C254" s="85" t="s">
        <v>357</v>
      </c>
      <c r="D254" s="109" t="s">
        <v>189</v>
      </c>
      <c r="E254" s="13" t="s">
        <v>40</v>
      </c>
      <c r="F254" s="16"/>
      <c r="G254" s="12" t="s">
        <v>178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/>
      <c r="Q254" s="17"/>
      <c r="R254" s="17"/>
      <c r="S254" s="15"/>
      <c r="T254" s="26">
        <v>45724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38"/>
      <c r="B255" s="144"/>
      <c r="C255" s="85" t="s">
        <v>358</v>
      </c>
      <c r="D255" s="109" t="s">
        <v>189</v>
      </c>
      <c r="E255" s="13" t="s">
        <v>36</v>
      </c>
      <c r="F255" s="16"/>
      <c r="G255" s="12" t="s">
        <v>178</v>
      </c>
      <c r="H255" s="15"/>
      <c r="I255" s="15"/>
      <c r="J255" s="15"/>
      <c r="K255" s="15"/>
      <c r="L255" s="17"/>
      <c r="M255" s="17">
        <v>1</v>
      </c>
      <c r="N255" s="17"/>
      <c r="O255" s="17"/>
      <c r="P255" s="17"/>
      <c r="Q255" s="17">
        <v>1</v>
      </c>
      <c r="R255" s="17"/>
      <c r="S255" s="15"/>
      <c r="T255" s="26">
        <v>45724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38"/>
      <c r="B256" s="144"/>
      <c r="C256" s="85" t="s">
        <v>359</v>
      </c>
      <c r="D256" s="109" t="s">
        <v>184</v>
      </c>
      <c r="E256" s="13" t="s">
        <v>37</v>
      </c>
      <c r="F256" s="16"/>
      <c r="G256" s="15" t="s">
        <v>178</v>
      </c>
      <c r="H256" s="15"/>
      <c r="I256" s="15"/>
      <c r="J256" s="15"/>
      <c r="K256" s="15"/>
      <c r="L256" s="17"/>
      <c r="M256" s="17">
        <v>1</v>
      </c>
      <c r="N256" s="17">
        <v>1</v>
      </c>
      <c r="O256" s="17"/>
      <c r="P256" s="17"/>
      <c r="Q256" s="17">
        <v>1</v>
      </c>
      <c r="R256" s="17"/>
      <c r="S256" s="15"/>
      <c r="T256" s="26">
        <v>45724</v>
      </c>
      <c r="U256" s="13" t="s">
        <v>147</v>
      </c>
      <c r="V256">
        <v>14</v>
      </c>
      <c r="AA256" s="49" t="s">
        <v>93</v>
      </c>
      <c r="AB256" s="50" t="s">
        <v>57</v>
      </c>
    </row>
    <row r="257" spans="1:28" x14ac:dyDescent="0.4">
      <c r="A257" s="138"/>
      <c r="B257" s="144"/>
      <c r="C257" s="85" t="s">
        <v>360</v>
      </c>
      <c r="D257" s="109" t="s">
        <v>184</v>
      </c>
      <c r="E257" s="13" t="s">
        <v>37</v>
      </c>
      <c r="F257" s="16"/>
      <c r="G257" s="15" t="s">
        <v>178</v>
      </c>
      <c r="H257" s="15"/>
      <c r="I257" s="15"/>
      <c r="J257" s="15"/>
      <c r="K257" s="15"/>
      <c r="L257" s="17"/>
      <c r="M257" s="17">
        <v>1</v>
      </c>
      <c r="N257" s="17">
        <v>1</v>
      </c>
      <c r="O257" s="17"/>
      <c r="P257" s="17"/>
      <c r="Q257" s="17">
        <v>1</v>
      </c>
      <c r="R257" s="17"/>
      <c r="S257" s="15"/>
      <c r="T257" s="26">
        <v>45724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38"/>
      <c r="B258" s="144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8"/>
      <c r="B259" s="144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8"/>
      <c r="B260" s="144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8"/>
      <c r="B261" s="144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8"/>
      <c r="B262" s="144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8"/>
      <c r="B263" s="144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8"/>
      <c r="B264" s="14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8"/>
      <c r="B265" s="14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8"/>
      <c r="B266" s="14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9"/>
      <c r="B267" s="14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15</v>
      </c>
      <c r="D268" s="112"/>
      <c r="E268" s="29"/>
      <c r="F268" s="29" t="s">
        <v>34</v>
      </c>
      <c r="G268" s="29">
        <f>COUNTIF(G243:G267,"S")</f>
        <v>15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5</v>
      </c>
      <c r="K268" s="29">
        <f t="shared" ref="K268" si="54">SUM(K243:K267)</f>
        <v>3</v>
      </c>
      <c r="L268" s="29">
        <f t="shared" ref="L268" si="55">SUM(L243:L267)</f>
        <v>0</v>
      </c>
      <c r="M268" s="29">
        <f t="shared" ref="M268" si="56">SUM(M243:M267)</f>
        <v>5</v>
      </c>
      <c r="N268" s="29">
        <f t="shared" ref="N268" si="57">SUM(N243:N267)</f>
        <v>4</v>
      </c>
      <c r="O268" s="29">
        <f t="shared" ref="O268" si="58">SUM(O243:O267)</f>
        <v>1</v>
      </c>
      <c r="P268" s="29">
        <f t="shared" ref="P268" si="59">SUM(P243:P267)</f>
        <v>0</v>
      </c>
      <c r="Q268" s="29">
        <f t="shared" ref="Q268" si="60">SUM(Q243:Q267)</f>
        <v>5</v>
      </c>
      <c r="R268" s="29">
        <f t="shared" ref="R268" si="61">SUM(R243:R267)</f>
        <v>0</v>
      </c>
      <c r="S268" s="29">
        <f t="shared" ref="S268" si="62">SUM(S243:S267)</f>
        <v>3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26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AYG099</v>
      </c>
      <c r="B271" s="24">
        <f>B1</f>
        <v>45687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5" t="s">
        <v>111</v>
      </c>
      <c r="Y272" s="136"/>
    </row>
    <row r="273" spans="1:28" ht="20.25" thickTop="1" thickBot="1" x14ac:dyDescent="0.45">
      <c r="A273" s="137">
        <v>10</v>
      </c>
      <c r="B273" s="143">
        <v>22.4</v>
      </c>
      <c r="C273" s="85" t="s">
        <v>361</v>
      </c>
      <c r="D273" s="109" t="s">
        <v>185</v>
      </c>
      <c r="E273" s="13" t="s">
        <v>39</v>
      </c>
      <c r="F273" s="14"/>
      <c r="G273" s="12" t="s">
        <v>178</v>
      </c>
      <c r="H273" s="13"/>
      <c r="I273" s="13"/>
      <c r="J273" s="13">
        <v>1</v>
      </c>
      <c r="K273" s="13"/>
      <c r="L273" s="13">
        <v>1</v>
      </c>
      <c r="M273" s="13"/>
      <c r="N273" s="13"/>
      <c r="O273" s="13"/>
      <c r="P273" s="13"/>
      <c r="Q273" s="13"/>
      <c r="R273" s="13"/>
      <c r="S273" s="13"/>
      <c r="T273" s="26">
        <v>45725</v>
      </c>
      <c r="U273" s="13" t="s">
        <v>146</v>
      </c>
      <c r="V273">
        <v>1</v>
      </c>
      <c r="X273" s="51" t="s">
        <v>106</v>
      </c>
      <c r="Y273" s="52">
        <f>COUNTIF(U273:U297,"K")</f>
        <v>9</v>
      </c>
      <c r="AA273" s="59" t="s">
        <v>120</v>
      </c>
      <c r="AB273" s="60" t="s">
        <v>121</v>
      </c>
    </row>
    <row r="274" spans="1:28" x14ac:dyDescent="0.4">
      <c r="A274" s="138"/>
      <c r="B274" s="144"/>
      <c r="C274" s="85" t="s">
        <v>362</v>
      </c>
      <c r="D274" s="109" t="s">
        <v>185</v>
      </c>
      <c r="E274" s="13" t="s">
        <v>39</v>
      </c>
      <c r="F274" s="16"/>
      <c r="G274" s="12" t="s">
        <v>178</v>
      </c>
      <c r="H274" s="15"/>
      <c r="I274" s="15"/>
      <c r="J274" s="15">
        <v>1</v>
      </c>
      <c r="K274" s="15"/>
      <c r="L274" s="17">
        <v>1</v>
      </c>
      <c r="M274" s="17"/>
      <c r="N274" s="17"/>
      <c r="O274" s="17"/>
      <c r="P274" s="17"/>
      <c r="Q274" s="17"/>
      <c r="R274" s="17"/>
      <c r="S274" s="15"/>
      <c r="T274" s="26">
        <v>45725</v>
      </c>
      <c r="U274" s="13" t="s">
        <v>146</v>
      </c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38"/>
      <c r="B275" s="144"/>
      <c r="C275" s="85" t="s">
        <v>363</v>
      </c>
      <c r="D275" s="109" t="s">
        <v>185</v>
      </c>
      <c r="E275" s="13" t="s">
        <v>39</v>
      </c>
      <c r="F275" s="16"/>
      <c r="G275" s="12" t="s">
        <v>178</v>
      </c>
      <c r="H275" s="15"/>
      <c r="I275" s="15"/>
      <c r="J275" s="15">
        <v>1</v>
      </c>
      <c r="K275" s="15"/>
      <c r="L275" s="17">
        <v>1</v>
      </c>
      <c r="M275" s="17"/>
      <c r="N275" s="17"/>
      <c r="O275" s="17"/>
      <c r="P275" s="17"/>
      <c r="Q275" s="17"/>
      <c r="R275" s="17"/>
      <c r="S275" s="15"/>
      <c r="T275" s="26">
        <v>45725</v>
      </c>
      <c r="U275" s="13" t="s">
        <v>146</v>
      </c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38"/>
      <c r="B276" s="144"/>
      <c r="C276" s="85" t="s">
        <v>364</v>
      </c>
      <c r="D276" s="109" t="s">
        <v>185</v>
      </c>
      <c r="E276" s="13" t="s">
        <v>39</v>
      </c>
      <c r="F276" s="16"/>
      <c r="G276" s="12" t="s">
        <v>178</v>
      </c>
      <c r="H276" s="15"/>
      <c r="I276" s="15"/>
      <c r="J276" s="15">
        <v>1</v>
      </c>
      <c r="K276" s="15"/>
      <c r="L276" s="17">
        <v>1</v>
      </c>
      <c r="M276" s="17"/>
      <c r="N276" s="17"/>
      <c r="O276" s="17"/>
      <c r="P276" s="17"/>
      <c r="Q276" s="17"/>
      <c r="R276" s="17"/>
      <c r="S276" s="15"/>
      <c r="T276" s="26">
        <v>45725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38"/>
      <c r="B277" s="144"/>
      <c r="C277" s="85" t="s">
        <v>365</v>
      </c>
      <c r="D277" s="109" t="s">
        <v>185</v>
      </c>
      <c r="E277" s="13" t="s">
        <v>39</v>
      </c>
      <c r="F277" s="16"/>
      <c r="G277" s="12" t="s">
        <v>178</v>
      </c>
      <c r="H277" s="15"/>
      <c r="I277" s="15"/>
      <c r="J277" s="15">
        <v>1</v>
      </c>
      <c r="K277" s="15"/>
      <c r="L277" s="17">
        <v>1</v>
      </c>
      <c r="M277" s="17"/>
      <c r="N277" s="17"/>
      <c r="O277" s="17"/>
      <c r="P277" s="17"/>
      <c r="Q277" s="17"/>
      <c r="R277" s="17"/>
      <c r="S277" s="15"/>
      <c r="T277" s="26">
        <v>45725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38"/>
      <c r="B278" s="144"/>
      <c r="C278" s="85" t="s">
        <v>366</v>
      </c>
      <c r="D278" s="109" t="s">
        <v>185</v>
      </c>
      <c r="E278" s="13" t="s">
        <v>39</v>
      </c>
      <c r="F278" s="16"/>
      <c r="G278" s="12" t="s">
        <v>178</v>
      </c>
      <c r="H278" s="13"/>
      <c r="I278" s="15"/>
      <c r="J278" s="15">
        <v>1</v>
      </c>
      <c r="K278" s="15"/>
      <c r="L278" s="17">
        <v>1</v>
      </c>
      <c r="M278" s="17"/>
      <c r="N278" s="17"/>
      <c r="O278" s="17"/>
      <c r="P278" s="17"/>
      <c r="Q278" s="17"/>
      <c r="R278" s="17"/>
      <c r="S278" s="15"/>
      <c r="T278" s="26">
        <v>45725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38"/>
      <c r="B279" s="144"/>
      <c r="C279" s="85" t="s">
        <v>367</v>
      </c>
      <c r="D279" s="109" t="s">
        <v>185</v>
      </c>
      <c r="E279" s="13" t="s">
        <v>39</v>
      </c>
      <c r="F279" s="16"/>
      <c r="G279" s="12" t="s">
        <v>178</v>
      </c>
      <c r="H279" s="15"/>
      <c r="I279" s="15"/>
      <c r="J279" s="15">
        <v>1</v>
      </c>
      <c r="K279" s="15"/>
      <c r="L279" s="17">
        <v>1</v>
      </c>
      <c r="M279" s="17"/>
      <c r="N279" s="17"/>
      <c r="O279" s="17"/>
      <c r="P279" s="17"/>
      <c r="Q279" s="17"/>
      <c r="R279" s="17"/>
      <c r="S279" s="15"/>
      <c r="T279" s="26">
        <v>45725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38"/>
      <c r="B280" s="144"/>
      <c r="C280" s="85" t="s">
        <v>368</v>
      </c>
      <c r="D280" s="109" t="s">
        <v>189</v>
      </c>
      <c r="E280" s="13" t="s">
        <v>75</v>
      </c>
      <c r="F280" s="16"/>
      <c r="G280" s="12" t="s">
        <v>178</v>
      </c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>
        <v>1</v>
      </c>
      <c r="T280" s="26">
        <v>45716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38"/>
      <c r="B281" s="144"/>
      <c r="C281" s="85" t="s">
        <v>369</v>
      </c>
      <c r="D281" s="109" t="s">
        <v>189</v>
      </c>
      <c r="E281" s="13" t="s">
        <v>37</v>
      </c>
      <c r="F281" s="16"/>
      <c r="G281" s="12" t="s">
        <v>178</v>
      </c>
      <c r="H281" s="15"/>
      <c r="I281" s="15"/>
      <c r="J281" s="15">
        <v>1</v>
      </c>
      <c r="K281" s="15">
        <v>1</v>
      </c>
      <c r="L281" s="17"/>
      <c r="M281" s="17"/>
      <c r="N281" s="17"/>
      <c r="O281" s="17"/>
      <c r="P281" s="17"/>
      <c r="Q281" s="17"/>
      <c r="R281" s="17"/>
      <c r="S281" s="15"/>
      <c r="T281" s="26">
        <v>45724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38"/>
      <c r="B282" s="144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38"/>
      <c r="B283" s="144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38"/>
      <c r="B284" s="144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38"/>
      <c r="B285" s="144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38"/>
      <c r="B286" s="144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38"/>
      <c r="B287" s="144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38"/>
      <c r="B288" s="144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8"/>
      <c r="B289" s="14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8"/>
      <c r="B290" s="14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8"/>
      <c r="B291" s="14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8"/>
      <c r="B292" s="14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8"/>
      <c r="B293" s="14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8"/>
      <c r="B294" s="14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8"/>
      <c r="B295" s="14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8"/>
      <c r="B296" s="14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9"/>
      <c r="B297" s="14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9</v>
      </c>
      <c r="D298" s="112"/>
      <c r="E298" s="29"/>
      <c r="F298" s="29" t="s">
        <v>34</v>
      </c>
      <c r="G298" s="29">
        <f>COUNTIF(G273:G297,"S")</f>
        <v>9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8</v>
      </c>
      <c r="K298" s="29">
        <f t="shared" ref="K298" si="64">SUM(K273:K297)</f>
        <v>1</v>
      </c>
      <c r="L298" s="29">
        <f t="shared" ref="L298" si="65">SUM(L273:L297)</f>
        <v>7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1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17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AYG099</v>
      </c>
      <c r="B301" s="24">
        <f>B1</f>
        <v>45687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5" t="s">
        <v>110</v>
      </c>
      <c r="Y302" s="136"/>
    </row>
    <row r="303" spans="1:28" ht="20.25" thickTop="1" thickBot="1" x14ac:dyDescent="0.45">
      <c r="A303" s="137">
        <v>11</v>
      </c>
      <c r="B303" s="143">
        <v>20.2</v>
      </c>
      <c r="C303" s="85" t="s">
        <v>370</v>
      </c>
      <c r="D303" s="109" t="s">
        <v>179</v>
      </c>
      <c r="E303" s="13" t="s">
        <v>37</v>
      </c>
      <c r="F303" s="14"/>
      <c r="G303" s="12" t="s">
        <v>178</v>
      </c>
      <c r="H303" s="13"/>
      <c r="I303" s="13"/>
      <c r="J303" s="13">
        <v>1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26">
        <v>45717</v>
      </c>
      <c r="U303" s="13" t="s">
        <v>142</v>
      </c>
      <c r="V303">
        <v>1</v>
      </c>
      <c r="X303" s="51" t="s">
        <v>106</v>
      </c>
      <c r="Y303" s="52">
        <f>COUNTIF(U303:U327,"K")</f>
        <v>11</v>
      </c>
      <c r="AA303" s="59" t="s">
        <v>120</v>
      </c>
      <c r="AB303" s="60" t="s">
        <v>121</v>
      </c>
    </row>
    <row r="304" spans="1:28" x14ac:dyDescent="0.4">
      <c r="A304" s="138"/>
      <c r="B304" s="144"/>
      <c r="C304" s="85" t="s">
        <v>371</v>
      </c>
      <c r="D304" s="109" t="s">
        <v>179</v>
      </c>
      <c r="E304" s="13" t="s">
        <v>40</v>
      </c>
      <c r="F304" s="16"/>
      <c r="G304" s="12" t="s">
        <v>178</v>
      </c>
      <c r="H304" s="15"/>
      <c r="I304" s="15"/>
      <c r="J304" s="15"/>
      <c r="K304" s="15"/>
      <c r="L304" s="17"/>
      <c r="M304" s="13"/>
      <c r="N304" s="13"/>
      <c r="O304" s="17">
        <v>1</v>
      </c>
      <c r="P304" s="17">
        <v>1</v>
      </c>
      <c r="Q304" s="17">
        <v>1</v>
      </c>
      <c r="R304" s="17">
        <v>1</v>
      </c>
      <c r="S304" s="15"/>
      <c r="T304" s="26">
        <v>45717</v>
      </c>
      <c r="U304" s="13" t="s">
        <v>147</v>
      </c>
      <c r="V304">
        <v>2</v>
      </c>
      <c r="X304" s="51" t="s">
        <v>107</v>
      </c>
      <c r="Y304" s="52">
        <f>COUNTIF(U303:U327,"R")</f>
        <v>4</v>
      </c>
      <c r="AA304" s="47" t="s">
        <v>81</v>
      </c>
      <c r="AB304" s="48" t="s">
        <v>60</v>
      </c>
    </row>
    <row r="305" spans="1:28" ht="19.5" thickBot="1" x14ac:dyDescent="0.45">
      <c r="A305" s="138"/>
      <c r="B305" s="144"/>
      <c r="C305" s="85" t="s">
        <v>372</v>
      </c>
      <c r="D305" s="109" t="s">
        <v>180</v>
      </c>
      <c r="E305" s="13" t="s">
        <v>60</v>
      </c>
      <c r="F305" s="16"/>
      <c r="G305" s="12" t="s">
        <v>178</v>
      </c>
      <c r="H305" s="15"/>
      <c r="I305" s="15"/>
      <c r="J305" s="15">
        <v>1</v>
      </c>
      <c r="K305" s="15">
        <v>1</v>
      </c>
      <c r="L305" s="17">
        <v>1</v>
      </c>
      <c r="M305" s="13"/>
      <c r="N305" s="13"/>
      <c r="O305" s="17"/>
      <c r="P305" s="17"/>
      <c r="Q305" s="17"/>
      <c r="R305" s="17"/>
      <c r="S305" s="15"/>
      <c r="T305" s="26">
        <v>45722</v>
      </c>
      <c r="U305" s="13" t="s">
        <v>146</v>
      </c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8"/>
      <c r="B306" s="144"/>
      <c r="C306" s="85" t="s">
        <v>373</v>
      </c>
      <c r="D306" s="109" t="s">
        <v>180</v>
      </c>
      <c r="E306" s="13" t="s">
        <v>41</v>
      </c>
      <c r="F306" s="16"/>
      <c r="G306" s="12" t="s">
        <v>178</v>
      </c>
      <c r="H306" s="15"/>
      <c r="I306" s="15"/>
      <c r="J306" s="15">
        <v>1</v>
      </c>
      <c r="K306" s="15"/>
      <c r="L306" s="17"/>
      <c r="M306" s="13"/>
      <c r="N306" s="13"/>
      <c r="O306" s="17"/>
      <c r="P306" s="17"/>
      <c r="Q306" s="17"/>
      <c r="R306" s="17"/>
      <c r="S306" s="15"/>
      <c r="T306" s="26">
        <v>45722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38"/>
      <c r="B307" s="144"/>
      <c r="C307" s="85" t="s">
        <v>374</v>
      </c>
      <c r="D307" s="109" t="s">
        <v>180</v>
      </c>
      <c r="E307" s="13" t="s">
        <v>42</v>
      </c>
      <c r="F307" s="16"/>
      <c r="G307" s="12" t="s">
        <v>178</v>
      </c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>
        <v>1</v>
      </c>
      <c r="T307" s="26">
        <v>45722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38"/>
      <c r="B308" s="144"/>
      <c r="C308" s="85" t="s">
        <v>375</v>
      </c>
      <c r="D308" s="109" t="s">
        <v>180</v>
      </c>
      <c r="E308" s="13" t="s">
        <v>40</v>
      </c>
      <c r="F308" s="16"/>
      <c r="G308" s="12" t="s">
        <v>178</v>
      </c>
      <c r="H308" s="13"/>
      <c r="I308" s="15"/>
      <c r="J308" s="15"/>
      <c r="K308" s="15"/>
      <c r="L308" s="17"/>
      <c r="M308" s="13"/>
      <c r="N308" s="13"/>
      <c r="O308" s="17">
        <v>1</v>
      </c>
      <c r="P308" s="17"/>
      <c r="Q308" s="17"/>
      <c r="R308" s="17"/>
      <c r="S308" s="15"/>
      <c r="T308" s="26">
        <v>45722</v>
      </c>
      <c r="U308" s="13" t="s">
        <v>147</v>
      </c>
      <c r="V308">
        <v>6</v>
      </c>
      <c r="AA308" s="49" t="s">
        <v>85</v>
      </c>
      <c r="AB308" s="50" t="s">
        <v>43</v>
      </c>
    </row>
    <row r="309" spans="1:28" x14ac:dyDescent="0.4">
      <c r="A309" s="138"/>
      <c r="B309" s="144"/>
      <c r="C309" s="85" t="s">
        <v>376</v>
      </c>
      <c r="D309" s="109" t="s">
        <v>180</v>
      </c>
      <c r="E309" s="13" t="s">
        <v>44</v>
      </c>
      <c r="F309" s="16"/>
      <c r="G309" s="12" t="s">
        <v>178</v>
      </c>
      <c r="H309" s="15"/>
      <c r="I309" s="15"/>
      <c r="J309" s="15">
        <v>1</v>
      </c>
      <c r="K309" s="15">
        <v>1</v>
      </c>
      <c r="L309" s="17"/>
      <c r="M309" s="13"/>
      <c r="N309" s="13"/>
      <c r="O309" s="17"/>
      <c r="P309" s="17"/>
      <c r="Q309" s="17"/>
      <c r="R309" s="17"/>
      <c r="S309" s="15"/>
      <c r="T309" s="26">
        <v>45722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38"/>
      <c r="B310" s="144"/>
      <c r="C310" s="85" t="s">
        <v>377</v>
      </c>
      <c r="D310" s="109" t="s">
        <v>180</v>
      </c>
      <c r="E310" s="13" t="s">
        <v>40</v>
      </c>
      <c r="F310" s="16"/>
      <c r="G310" s="12" t="s">
        <v>178</v>
      </c>
      <c r="H310" s="15"/>
      <c r="I310" s="15"/>
      <c r="J310" s="15"/>
      <c r="K310" s="15"/>
      <c r="L310" s="17"/>
      <c r="M310" s="13"/>
      <c r="N310" s="13"/>
      <c r="O310" s="17">
        <v>1</v>
      </c>
      <c r="P310" s="17">
        <v>1</v>
      </c>
      <c r="Q310" s="17"/>
      <c r="R310" s="17"/>
      <c r="S310" s="15"/>
      <c r="T310" s="26">
        <v>45722</v>
      </c>
      <c r="U310" s="13" t="s">
        <v>147</v>
      </c>
      <c r="V310">
        <v>8</v>
      </c>
      <c r="AA310" s="49" t="s">
        <v>87</v>
      </c>
      <c r="AB310" s="50" t="s">
        <v>37</v>
      </c>
    </row>
    <row r="311" spans="1:28" x14ac:dyDescent="0.4">
      <c r="A311" s="138"/>
      <c r="B311" s="144"/>
      <c r="C311" s="85" t="s">
        <v>378</v>
      </c>
      <c r="D311" s="109" t="s">
        <v>260</v>
      </c>
      <c r="E311" s="13" t="s">
        <v>44</v>
      </c>
      <c r="F311" s="16"/>
      <c r="G311" s="12" t="s">
        <v>178</v>
      </c>
      <c r="H311" s="15"/>
      <c r="I311" s="15"/>
      <c r="J311" s="15">
        <v>1</v>
      </c>
      <c r="K311" s="15">
        <v>1</v>
      </c>
      <c r="L311" s="17"/>
      <c r="M311" s="13"/>
      <c r="N311" s="13"/>
      <c r="O311" s="17"/>
      <c r="P311" s="17"/>
      <c r="Q311" s="17"/>
      <c r="R311" s="17"/>
      <c r="S311" s="15"/>
      <c r="T311" s="26">
        <v>45722</v>
      </c>
      <c r="U311" s="13" t="s">
        <v>146</v>
      </c>
      <c r="V311">
        <v>9</v>
      </c>
      <c r="AA311" s="49" t="s">
        <v>88</v>
      </c>
      <c r="AB311" s="50" t="s">
        <v>74</v>
      </c>
    </row>
    <row r="312" spans="1:28" x14ac:dyDescent="0.4">
      <c r="A312" s="138"/>
      <c r="B312" s="144"/>
      <c r="C312" s="85" t="s">
        <v>379</v>
      </c>
      <c r="D312" s="109" t="s">
        <v>260</v>
      </c>
      <c r="E312" s="13" t="s">
        <v>44</v>
      </c>
      <c r="F312" s="16"/>
      <c r="G312" s="12" t="s">
        <v>178</v>
      </c>
      <c r="H312" s="15"/>
      <c r="I312" s="15"/>
      <c r="J312" s="15">
        <v>1</v>
      </c>
      <c r="K312" s="15">
        <v>1</v>
      </c>
      <c r="L312" s="17"/>
      <c r="M312" s="13"/>
      <c r="N312" s="13"/>
      <c r="O312" s="17"/>
      <c r="P312" s="17"/>
      <c r="Q312" s="17"/>
      <c r="R312" s="17"/>
      <c r="S312" s="15"/>
      <c r="T312" s="26">
        <v>45722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38"/>
      <c r="B313" s="144"/>
      <c r="C313" s="85" t="s">
        <v>380</v>
      </c>
      <c r="D313" s="109" t="s">
        <v>180</v>
      </c>
      <c r="E313" s="13" t="s">
        <v>39</v>
      </c>
      <c r="F313" s="16"/>
      <c r="G313" s="12" t="s">
        <v>178</v>
      </c>
      <c r="H313" s="15"/>
      <c r="I313" s="15"/>
      <c r="J313" s="15">
        <v>1</v>
      </c>
      <c r="K313" s="15">
        <v>1</v>
      </c>
      <c r="L313" s="17"/>
      <c r="M313" s="13"/>
      <c r="N313" s="13"/>
      <c r="O313" s="17"/>
      <c r="P313" s="17"/>
      <c r="Q313" s="17"/>
      <c r="R313" s="17"/>
      <c r="S313" s="15"/>
      <c r="T313" s="26">
        <v>45722</v>
      </c>
      <c r="U313" s="13" t="s">
        <v>146</v>
      </c>
      <c r="V313">
        <v>11</v>
      </c>
      <c r="AA313" s="49" t="s">
        <v>90</v>
      </c>
      <c r="AB313" s="50" t="s">
        <v>58</v>
      </c>
    </row>
    <row r="314" spans="1:28" x14ac:dyDescent="0.4">
      <c r="A314" s="138"/>
      <c r="B314" s="144"/>
      <c r="C314" s="85" t="s">
        <v>381</v>
      </c>
      <c r="D314" s="109" t="s">
        <v>180</v>
      </c>
      <c r="E314" s="13" t="s">
        <v>37</v>
      </c>
      <c r="F314" s="16"/>
      <c r="G314" s="12" t="s">
        <v>178</v>
      </c>
      <c r="H314" s="15"/>
      <c r="I314" s="15"/>
      <c r="J314" s="15">
        <v>1</v>
      </c>
      <c r="K314" s="15">
        <v>1</v>
      </c>
      <c r="L314" s="17"/>
      <c r="M314" s="13"/>
      <c r="N314" s="13"/>
      <c r="O314" s="17"/>
      <c r="P314" s="17"/>
      <c r="Q314" s="17"/>
      <c r="R314" s="17"/>
      <c r="S314" s="15"/>
      <c r="T314" s="26">
        <v>45722</v>
      </c>
      <c r="U314" s="13" t="s">
        <v>146</v>
      </c>
      <c r="V314">
        <v>12</v>
      </c>
      <c r="AA314" s="49" t="s">
        <v>91</v>
      </c>
      <c r="AB314" s="50" t="s">
        <v>75</v>
      </c>
    </row>
    <row r="315" spans="1:28" x14ac:dyDescent="0.4">
      <c r="A315" s="138"/>
      <c r="B315" s="144"/>
      <c r="C315" s="85" t="s">
        <v>382</v>
      </c>
      <c r="D315" s="109" t="s">
        <v>180</v>
      </c>
      <c r="E315" s="13" t="s">
        <v>44</v>
      </c>
      <c r="F315" s="16"/>
      <c r="G315" s="12" t="s">
        <v>178</v>
      </c>
      <c r="H315" s="15"/>
      <c r="I315" s="15"/>
      <c r="J315" s="15">
        <v>1</v>
      </c>
      <c r="K315" s="15">
        <v>1</v>
      </c>
      <c r="L315" s="17"/>
      <c r="M315" s="13"/>
      <c r="N315" s="13"/>
      <c r="O315" s="17"/>
      <c r="P315" s="17"/>
      <c r="Q315" s="17"/>
      <c r="R315" s="17"/>
      <c r="S315" s="15"/>
      <c r="T315" s="26">
        <v>45722</v>
      </c>
      <c r="U315" s="13" t="s">
        <v>146</v>
      </c>
      <c r="V315">
        <v>13</v>
      </c>
      <c r="AA315" s="49" t="s">
        <v>92</v>
      </c>
      <c r="AB315" s="50" t="s">
        <v>40</v>
      </c>
    </row>
    <row r="316" spans="1:28" x14ac:dyDescent="0.4">
      <c r="A316" s="138"/>
      <c r="B316" s="144"/>
      <c r="C316" s="85" t="s">
        <v>383</v>
      </c>
      <c r="D316" s="109" t="s">
        <v>180</v>
      </c>
      <c r="E316" s="13" t="s">
        <v>43</v>
      </c>
      <c r="F316" s="16"/>
      <c r="G316" s="12" t="s">
        <v>178</v>
      </c>
      <c r="H316" s="15"/>
      <c r="I316" s="15"/>
      <c r="J316" s="15">
        <v>1</v>
      </c>
      <c r="K316" s="15">
        <v>1</v>
      </c>
      <c r="L316" s="17"/>
      <c r="M316" s="13"/>
      <c r="N316" s="13"/>
      <c r="O316" s="17"/>
      <c r="P316" s="17"/>
      <c r="Q316" s="17"/>
      <c r="R316" s="17"/>
      <c r="S316" s="15"/>
      <c r="T316" s="26">
        <v>45722</v>
      </c>
      <c r="U316" s="13" t="s">
        <v>146</v>
      </c>
      <c r="V316">
        <v>14</v>
      </c>
      <c r="AA316" s="49" t="s">
        <v>93</v>
      </c>
      <c r="AB316" s="50" t="s">
        <v>57</v>
      </c>
    </row>
    <row r="317" spans="1:28" x14ac:dyDescent="0.4">
      <c r="A317" s="138"/>
      <c r="B317" s="144"/>
      <c r="C317" s="85" t="s">
        <v>384</v>
      </c>
      <c r="D317" s="109" t="s">
        <v>180</v>
      </c>
      <c r="E317" s="13" t="s">
        <v>45</v>
      </c>
      <c r="F317" s="16"/>
      <c r="G317" s="12" t="s">
        <v>178</v>
      </c>
      <c r="H317" s="15" t="s">
        <v>147</v>
      </c>
      <c r="I317" s="15"/>
      <c r="J317" s="15"/>
      <c r="K317" s="15"/>
      <c r="L317" s="17"/>
      <c r="M317" s="13">
        <v>1</v>
      </c>
      <c r="N317" s="13">
        <v>1</v>
      </c>
      <c r="O317" s="17"/>
      <c r="P317" s="17"/>
      <c r="Q317" s="17"/>
      <c r="R317" s="17"/>
      <c r="S317" s="15"/>
      <c r="T317" s="26">
        <v>45722</v>
      </c>
      <c r="U317" s="13" t="s">
        <v>147</v>
      </c>
      <c r="V317">
        <v>15</v>
      </c>
      <c r="AA317" s="49" t="s">
        <v>94</v>
      </c>
      <c r="AB317" s="50" t="s">
        <v>41</v>
      </c>
    </row>
    <row r="318" spans="1:28" x14ac:dyDescent="0.4">
      <c r="A318" s="138"/>
      <c r="B318" s="14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8"/>
      <c r="B319" s="14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8"/>
      <c r="B320" s="14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8"/>
      <c r="B321" s="14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8"/>
      <c r="B322" s="14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8"/>
      <c r="B323" s="14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8"/>
      <c r="B324" s="14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8"/>
      <c r="B325" s="14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8"/>
      <c r="B326" s="14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9"/>
      <c r="B327" s="14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15</v>
      </c>
      <c r="D328" s="112"/>
      <c r="E328" s="29"/>
      <c r="F328" s="29" t="s">
        <v>34</v>
      </c>
      <c r="G328" s="29">
        <f>COUNTIF(G303:G327,"S")</f>
        <v>15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10</v>
      </c>
      <c r="K328" s="29">
        <f t="shared" ref="K328" si="74">SUM(K303:K327)</f>
        <v>8</v>
      </c>
      <c r="L328" s="29">
        <f t="shared" ref="L328" si="75">SUM(L303:L327)</f>
        <v>1</v>
      </c>
      <c r="M328" s="29">
        <f t="shared" ref="M328" si="76">SUM(M303:M327)</f>
        <v>1</v>
      </c>
      <c r="N328" s="29">
        <f t="shared" ref="N328" si="77">SUM(N303:N327)</f>
        <v>1</v>
      </c>
      <c r="O328" s="29">
        <f t="shared" ref="O328" si="78">SUM(O303:O327)</f>
        <v>3</v>
      </c>
      <c r="P328" s="29">
        <f t="shared" ref="P328" si="79">SUM(P303:P327)</f>
        <v>2</v>
      </c>
      <c r="Q328" s="29">
        <f t="shared" ref="Q328" si="80">SUM(Q303:Q327)</f>
        <v>1</v>
      </c>
      <c r="R328" s="29">
        <f t="shared" ref="R328" si="81">SUM(R303:R327)</f>
        <v>1</v>
      </c>
      <c r="S328" s="29">
        <f t="shared" ref="S328" si="82">SUM(S303:S327)</f>
        <v>1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1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29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AYG099</v>
      </c>
      <c r="B331" s="24">
        <f>B151</f>
        <v>45687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5" t="s">
        <v>109</v>
      </c>
      <c r="Y332" s="136"/>
    </row>
    <row r="333" spans="1:28" ht="20.25" thickTop="1" thickBot="1" x14ac:dyDescent="0.45">
      <c r="A333" s="137">
        <v>12</v>
      </c>
      <c r="B333" s="143">
        <v>22.8</v>
      </c>
      <c r="C333" s="86" t="s">
        <v>385</v>
      </c>
      <c r="D333" s="109" t="s">
        <v>181</v>
      </c>
      <c r="E333" s="109" t="s">
        <v>60</v>
      </c>
      <c r="F333" s="14"/>
      <c r="G333" s="12" t="s">
        <v>178</v>
      </c>
      <c r="H333" s="13" t="s">
        <v>190</v>
      </c>
      <c r="I333" s="13"/>
      <c r="J333" s="13">
        <v>1</v>
      </c>
      <c r="K333" s="13">
        <v>1</v>
      </c>
      <c r="L333" s="13">
        <v>1</v>
      </c>
      <c r="M333" s="13"/>
      <c r="N333" s="13"/>
      <c r="O333" s="13"/>
      <c r="P333" s="13"/>
      <c r="Q333" s="13"/>
      <c r="R333" s="13"/>
      <c r="S333" s="13"/>
      <c r="T333" s="26">
        <v>45722</v>
      </c>
      <c r="U333" s="13" t="s">
        <v>146</v>
      </c>
      <c r="V333">
        <v>1</v>
      </c>
      <c r="X333" s="51" t="s">
        <v>106</v>
      </c>
      <c r="Y333" s="52">
        <f>COUNTIF(U333:U356,"K")</f>
        <v>8</v>
      </c>
      <c r="AA333" s="59" t="s">
        <v>120</v>
      </c>
      <c r="AB333" s="60" t="s">
        <v>121</v>
      </c>
    </row>
    <row r="334" spans="1:28" x14ac:dyDescent="0.4">
      <c r="A334" s="138"/>
      <c r="B334" s="144"/>
      <c r="C334" s="86" t="s">
        <v>386</v>
      </c>
      <c r="D334" s="109" t="s">
        <v>185</v>
      </c>
      <c r="E334" s="109" t="s">
        <v>42</v>
      </c>
      <c r="F334" s="16"/>
      <c r="G334" s="12" t="s">
        <v>178</v>
      </c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>
        <v>1</v>
      </c>
      <c r="T334" s="26">
        <v>45725</v>
      </c>
      <c r="U334" s="13" t="s">
        <v>146</v>
      </c>
      <c r="V334">
        <v>2</v>
      </c>
      <c r="X334" s="51" t="s">
        <v>107</v>
      </c>
      <c r="Y334" s="52">
        <f>COUNTIF(U333:U356,"R")</f>
        <v>1</v>
      </c>
      <c r="AA334" s="47" t="s">
        <v>81</v>
      </c>
      <c r="AB334" s="48" t="s">
        <v>60</v>
      </c>
    </row>
    <row r="335" spans="1:28" ht="19.5" thickBot="1" x14ac:dyDescent="0.45">
      <c r="A335" s="138"/>
      <c r="B335" s="144"/>
      <c r="C335" s="86" t="s">
        <v>387</v>
      </c>
      <c r="D335" s="109" t="s">
        <v>185</v>
      </c>
      <c r="E335" s="109" t="s">
        <v>41</v>
      </c>
      <c r="F335" s="16"/>
      <c r="G335" s="12" t="s">
        <v>178</v>
      </c>
      <c r="H335" s="15"/>
      <c r="I335" s="15"/>
      <c r="J335" s="15">
        <v>1</v>
      </c>
      <c r="K335" s="15"/>
      <c r="L335" s="17"/>
      <c r="M335" s="17"/>
      <c r="N335" s="17"/>
      <c r="O335" s="17"/>
      <c r="P335" s="17"/>
      <c r="Q335" s="17"/>
      <c r="R335" s="17"/>
      <c r="S335" s="15"/>
      <c r="T335" s="26">
        <v>45725</v>
      </c>
      <c r="U335" s="13" t="s">
        <v>146</v>
      </c>
      <c r="V335">
        <v>3</v>
      </c>
      <c r="X335" s="53" t="s">
        <v>108</v>
      </c>
      <c r="Y335" s="54">
        <f>COUNTIF(U333:U356,"J")</f>
        <v>1</v>
      </c>
      <c r="AA335" s="49" t="s">
        <v>82</v>
      </c>
      <c r="AB335" s="50" t="s">
        <v>39</v>
      </c>
    </row>
    <row r="336" spans="1:28" x14ac:dyDescent="0.4">
      <c r="A336" s="138"/>
      <c r="B336" s="144"/>
      <c r="C336" s="86" t="s">
        <v>388</v>
      </c>
      <c r="D336" s="109" t="s">
        <v>185</v>
      </c>
      <c r="E336" s="109" t="s">
        <v>42</v>
      </c>
      <c r="F336" s="16"/>
      <c r="G336" s="12" t="s">
        <v>178</v>
      </c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>
        <v>1</v>
      </c>
      <c r="T336" s="26">
        <v>45725</v>
      </c>
      <c r="U336" s="13" t="s">
        <v>146</v>
      </c>
      <c r="V336">
        <v>4</v>
      </c>
      <c r="AA336" s="49" t="s">
        <v>83</v>
      </c>
      <c r="AB336" s="50" t="s">
        <v>38</v>
      </c>
    </row>
    <row r="337" spans="1:28" x14ac:dyDescent="0.4">
      <c r="A337" s="138"/>
      <c r="B337" s="144"/>
      <c r="C337" s="86" t="s">
        <v>389</v>
      </c>
      <c r="D337" s="109" t="s">
        <v>185</v>
      </c>
      <c r="E337" s="109" t="s">
        <v>41</v>
      </c>
      <c r="F337" s="16"/>
      <c r="G337" s="12" t="s">
        <v>178</v>
      </c>
      <c r="H337" s="15"/>
      <c r="I337" s="15"/>
      <c r="J337" s="15">
        <v>1</v>
      </c>
      <c r="K337" s="15"/>
      <c r="L337" s="17"/>
      <c r="M337" s="17"/>
      <c r="N337" s="17"/>
      <c r="O337" s="17"/>
      <c r="P337" s="17"/>
      <c r="Q337" s="17"/>
      <c r="R337" s="17"/>
      <c r="S337" s="15"/>
      <c r="T337" s="26">
        <v>45725</v>
      </c>
      <c r="U337" s="13" t="s">
        <v>146</v>
      </c>
      <c r="V337">
        <v>5</v>
      </c>
      <c r="AA337" s="49" t="s">
        <v>84</v>
      </c>
      <c r="AB337" s="50" t="s">
        <v>44</v>
      </c>
    </row>
    <row r="338" spans="1:28" x14ac:dyDescent="0.4">
      <c r="A338" s="138"/>
      <c r="B338" s="144"/>
      <c r="C338" s="86" t="s">
        <v>390</v>
      </c>
      <c r="D338" s="109" t="s">
        <v>185</v>
      </c>
      <c r="E338" s="109" t="s">
        <v>42</v>
      </c>
      <c r="F338" s="16"/>
      <c r="G338" s="12" t="s">
        <v>178</v>
      </c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>
        <v>1</v>
      </c>
      <c r="T338" s="26">
        <v>45725</v>
      </c>
      <c r="U338" s="13" t="s">
        <v>146</v>
      </c>
      <c r="V338">
        <v>6</v>
      </c>
      <c r="AA338" s="49" t="s">
        <v>85</v>
      </c>
      <c r="AB338" s="50" t="s">
        <v>43</v>
      </c>
    </row>
    <row r="339" spans="1:28" x14ac:dyDescent="0.4">
      <c r="A339" s="138"/>
      <c r="B339" s="144"/>
      <c r="C339" s="86" t="s">
        <v>391</v>
      </c>
      <c r="D339" s="109" t="s">
        <v>185</v>
      </c>
      <c r="E339" s="109" t="s">
        <v>41</v>
      </c>
      <c r="F339" s="16"/>
      <c r="G339" s="12" t="s">
        <v>178</v>
      </c>
      <c r="H339" s="15"/>
      <c r="I339" s="15"/>
      <c r="J339" s="15">
        <v>1</v>
      </c>
      <c r="K339" s="15"/>
      <c r="L339" s="17"/>
      <c r="M339" s="17"/>
      <c r="N339" s="17"/>
      <c r="O339" s="17"/>
      <c r="P339" s="17"/>
      <c r="Q339" s="17"/>
      <c r="R339" s="17"/>
      <c r="S339" s="15"/>
      <c r="T339" s="26">
        <v>45725</v>
      </c>
      <c r="U339" s="13" t="s">
        <v>146</v>
      </c>
      <c r="V339">
        <v>7</v>
      </c>
      <c r="AA339" s="49" t="s">
        <v>86</v>
      </c>
      <c r="AB339" s="50" t="s">
        <v>45</v>
      </c>
    </row>
    <row r="340" spans="1:28" x14ac:dyDescent="0.4">
      <c r="A340" s="138"/>
      <c r="B340" s="144"/>
      <c r="C340" s="86" t="s">
        <v>392</v>
      </c>
      <c r="D340" s="109" t="s">
        <v>187</v>
      </c>
      <c r="E340" s="109" t="s">
        <v>40</v>
      </c>
      <c r="F340" s="16"/>
      <c r="G340" s="12" t="s">
        <v>178</v>
      </c>
      <c r="H340" s="15"/>
      <c r="I340" s="15"/>
      <c r="J340" s="15"/>
      <c r="K340" s="15"/>
      <c r="L340" s="17"/>
      <c r="M340" s="17"/>
      <c r="N340" s="17"/>
      <c r="O340" s="17">
        <v>1</v>
      </c>
      <c r="P340" s="17">
        <v>1</v>
      </c>
      <c r="Q340" s="17"/>
      <c r="R340" s="17">
        <v>1</v>
      </c>
      <c r="S340" s="15"/>
      <c r="T340" s="26">
        <v>45718</v>
      </c>
      <c r="U340" s="13" t="s">
        <v>148</v>
      </c>
      <c r="V340">
        <v>8</v>
      </c>
      <c r="AA340" s="49" t="s">
        <v>87</v>
      </c>
      <c r="AB340" s="50" t="s">
        <v>37</v>
      </c>
    </row>
    <row r="341" spans="1:28" x14ac:dyDescent="0.4">
      <c r="A341" s="138"/>
      <c r="B341" s="144"/>
      <c r="C341" s="86" t="s">
        <v>393</v>
      </c>
      <c r="D341" s="109" t="s">
        <v>394</v>
      </c>
      <c r="E341" s="15" t="s">
        <v>58</v>
      </c>
      <c r="F341" s="16"/>
      <c r="G341" s="15" t="s">
        <v>178</v>
      </c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>
        <v>45720</v>
      </c>
      <c r="U341" s="13" t="s">
        <v>147</v>
      </c>
      <c r="V341">
        <v>9</v>
      </c>
      <c r="AA341" s="49" t="s">
        <v>88</v>
      </c>
      <c r="AB341" s="50" t="s">
        <v>74</v>
      </c>
    </row>
    <row r="342" spans="1:28" x14ac:dyDescent="0.4">
      <c r="A342" s="138"/>
      <c r="B342" s="144"/>
      <c r="C342" s="86" t="s">
        <v>395</v>
      </c>
      <c r="D342" s="109" t="s">
        <v>394</v>
      </c>
      <c r="E342" s="15" t="s">
        <v>75</v>
      </c>
      <c r="F342" s="16"/>
      <c r="G342" s="15" t="s">
        <v>178</v>
      </c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>
        <v>1</v>
      </c>
      <c r="T342" s="26">
        <v>45720</v>
      </c>
      <c r="U342" s="13" t="s">
        <v>146</v>
      </c>
      <c r="V342">
        <v>10</v>
      </c>
      <c r="AA342" s="49" t="s">
        <v>89</v>
      </c>
      <c r="AB342" s="50" t="s">
        <v>36</v>
      </c>
    </row>
    <row r="343" spans="1:28" x14ac:dyDescent="0.4">
      <c r="A343" s="138"/>
      <c r="B343" s="14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8"/>
      <c r="B344" s="14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8"/>
      <c r="B345" s="14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8"/>
      <c r="B346" s="14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8"/>
      <c r="B347" s="14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8"/>
      <c r="B348" s="14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8"/>
      <c r="B349" s="14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8"/>
      <c r="B350" s="14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8"/>
      <c r="B351" s="14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8"/>
      <c r="B352" s="14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8"/>
      <c r="B353" s="14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8"/>
      <c r="B354" s="14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8"/>
      <c r="B355" s="14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8"/>
      <c r="B356" s="14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9"/>
      <c r="B357" s="14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10</v>
      </c>
      <c r="D358" s="112"/>
      <c r="E358" s="29"/>
      <c r="F358" s="29" t="s">
        <v>34</v>
      </c>
      <c r="G358" s="29">
        <f>COUNTIF(G333:G357,"S")</f>
        <v>10</v>
      </c>
      <c r="H358" s="29">
        <f>COUNTIF(H333:H357,"E")</f>
        <v>1</v>
      </c>
      <c r="I358" s="29">
        <f>SUM(I333:I357)</f>
        <v>0</v>
      </c>
      <c r="J358" s="29">
        <f t="shared" ref="J358:S358" si="83">SUM(J333:J357)</f>
        <v>4</v>
      </c>
      <c r="K358" s="29">
        <f t="shared" si="83"/>
        <v>1</v>
      </c>
      <c r="L358" s="29">
        <f t="shared" si="83"/>
        <v>1</v>
      </c>
      <c r="M358" s="29">
        <f t="shared" si="83"/>
        <v>0</v>
      </c>
      <c r="N358" s="29">
        <f t="shared" si="83"/>
        <v>0</v>
      </c>
      <c r="O358" s="29">
        <f t="shared" si="83"/>
        <v>1</v>
      </c>
      <c r="P358" s="29">
        <f t="shared" si="83"/>
        <v>1</v>
      </c>
      <c r="Q358" s="29">
        <f t="shared" si="83"/>
        <v>0</v>
      </c>
      <c r="R358" s="29">
        <f t="shared" si="83"/>
        <v>1</v>
      </c>
      <c r="S358" s="29">
        <f t="shared" si="83"/>
        <v>4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13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5" t="s">
        <v>138</v>
      </c>
      <c r="Y362" s="136"/>
    </row>
    <row r="363" spans="1:28" ht="19.5" thickTop="1" x14ac:dyDescent="0.4">
      <c r="A363" s="137">
        <v>13</v>
      </c>
      <c r="B363" s="14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8"/>
      <c r="B364" s="14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8"/>
      <c r="B365" s="14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8"/>
      <c r="B366" s="14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8"/>
      <c r="B367" s="14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8"/>
      <c r="B368" s="14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8"/>
      <c r="B369" s="14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8"/>
      <c r="B370" s="14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8"/>
      <c r="B371" s="14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8"/>
      <c r="B372" s="14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8"/>
      <c r="B373" s="14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8"/>
      <c r="B374" s="14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8"/>
      <c r="B375" s="144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8"/>
      <c r="B376" s="14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8"/>
      <c r="B377" s="14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8"/>
      <c r="B378" s="14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8"/>
      <c r="B379" s="14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8"/>
      <c r="B380" s="14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8"/>
      <c r="B381" s="14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8"/>
      <c r="B382" s="14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8"/>
      <c r="B383" s="14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8"/>
      <c r="B384" s="14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8"/>
      <c r="B385" s="14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8"/>
      <c r="B386" s="14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9"/>
      <c r="B387" s="14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5" t="s">
        <v>139</v>
      </c>
      <c r="Y392" s="136"/>
    </row>
    <row r="393" spans="1:25" ht="19.5" thickTop="1" x14ac:dyDescent="0.4">
      <c r="A393" s="137">
        <v>14</v>
      </c>
      <c r="B393" s="14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8"/>
      <c r="B394" s="14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8"/>
      <c r="B395" s="14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8"/>
      <c r="B396" s="14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8"/>
      <c r="B397" s="14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8"/>
      <c r="B398" s="14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8"/>
      <c r="B399" s="14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8"/>
      <c r="B400" s="14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8"/>
      <c r="B401" s="14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8"/>
      <c r="B402" s="14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8"/>
      <c r="B403" s="14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8"/>
      <c r="B404" s="14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8"/>
      <c r="B405" s="14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8"/>
      <c r="B406" s="14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8"/>
      <c r="B407" s="14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8"/>
      <c r="B408" s="14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8"/>
      <c r="B409" s="14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8"/>
      <c r="B410" s="14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8"/>
      <c r="B411" s="14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8"/>
      <c r="B412" s="14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8"/>
      <c r="B413" s="14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8"/>
      <c r="B414" s="14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8"/>
      <c r="B415" s="14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8"/>
      <c r="B416" s="14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9"/>
      <c r="B417" s="14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5" t="s">
        <v>140</v>
      </c>
      <c r="Y422" s="136"/>
    </row>
    <row r="423" spans="1:25" ht="19.5" thickTop="1" x14ac:dyDescent="0.4">
      <c r="A423" s="137">
        <v>15</v>
      </c>
      <c r="B423" s="14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8"/>
      <c r="B424" s="14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8"/>
      <c r="B425" s="14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8"/>
      <c r="B426" s="14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8"/>
      <c r="B427" s="14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8"/>
      <c r="B428" s="14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8"/>
      <c r="B429" s="14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8"/>
      <c r="B430" s="14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8"/>
      <c r="B431" s="14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8"/>
      <c r="B432" s="14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8"/>
      <c r="B433" s="14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8"/>
      <c r="B434" s="14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8"/>
      <c r="B435" s="14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8"/>
      <c r="B436" s="14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8"/>
      <c r="B437" s="14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8"/>
      <c r="B438" s="14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8"/>
      <c r="B439" s="14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8"/>
      <c r="B440" s="14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8"/>
      <c r="B441" s="14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8"/>
      <c r="B442" s="14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8"/>
      <c r="B443" s="14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8"/>
      <c r="B444" s="14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8"/>
      <c r="B445" s="14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8"/>
      <c r="B446" s="14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9"/>
      <c r="B447" s="14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5" t="s">
        <v>105</v>
      </c>
      <c r="Y451" s="136"/>
    </row>
    <row r="452" spans="1:25" ht="19.5" thickTop="1" x14ac:dyDescent="0.4">
      <c r="A452" s="137">
        <v>16</v>
      </c>
      <c r="B452" s="14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8"/>
      <c r="B453" s="14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8"/>
      <c r="B454" s="14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8"/>
      <c r="B455" s="14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8"/>
      <c r="B456" s="14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8"/>
      <c r="B457" s="14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8"/>
      <c r="B458" s="14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8"/>
      <c r="B459" s="14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8"/>
      <c r="B460" s="14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8"/>
      <c r="B461" s="14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8"/>
      <c r="B462" s="14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8"/>
      <c r="B463" s="14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8"/>
      <c r="B464" s="14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8"/>
      <c r="B465" s="14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8"/>
      <c r="B466" s="14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8"/>
      <c r="B467" s="14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8"/>
      <c r="B468" s="14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8"/>
      <c r="B469" s="14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8"/>
      <c r="B470" s="14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8"/>
      <c r="B471" s="14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8"/>
      <c r="B472" s="14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8"/>
      <c r="B473" s="14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8"/>
      <c r="B474" s="14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8"/>
      <c r="B475" s="14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9"/>
      <c r="B476" s="14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Z1195"/>
  <sheetViews>
    <sheetView topLeftCell="A23" zoomScaleNormal="100" workbookViewId="0">
      <selection sqref="A1:D4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5" width="16.625" customWidth="1"/>
    <col min="26" max="26" width="11" customWidth="1"/>
    <col min="27" max="27" width="10.5" style="121" customWidth="1"/>
    <col min="28" max="28" width="10.25" style="121" customWidth="1"/>
    <col min="29" max="29" width="10.875" style="121" customWidth="1"/>
    <col min="30" max="43" width="16.625" customWidth="1"/>
    <col min="44" max="44" width="20.5" customWidth="1"/>
    <col min="49" max="49" width="12.375" customWidth="1"/>
    <col min="50" max="50" width="11.25" customWidth="1"/>
    <col min="51" max="51" width="10.5" customWidth="1"/>
    <col min="52" max="52" width="10.25" customWidth="1"/>
  </cols>
  <sheetData>
    <row r="1" spans="1:48" x14ac:dyDescent="0.4">
      <c r="A1" s="120" t="s">
        <v>214</v>
      </c>
      <c r="B1" s="121"/>
      <c r="C1" s="121"/>
      <c r="D1" s="121"/>
      <c r="I1" t="s">
        <v>143</v>
      </c>
      <c r="J1" t="s">
        <v>144</v>
      </c>
      <c r="T1" t="s">
        <v>143</v>
      </c>
      <c r="U1" t="s">
        <v>144</v>
      </c>
      <c r="Z1" s="120"/>
      <c r="AR1" t="s">
        <v>143</v>
      </c>
      <c r="AS1" t="s">
        <v>144</v>
      </c>
    </row>
    <row r="2" spans="1:48" ht="19.5" x14ac:dyDescent="0.4">
      <c r="A2" s="116"/>
      <c r="B2" s="123" t="s">
        <v>146</v>
      </c>
      <c r="C2" s="123" t="s">
        <v>147</v>
      </c>
      <c r="D2" s="123" t="s">
        <v>148</v>
      </c>
      <c r="I2" s="25">
        <v>45696</v>
      </c>
      <c r="J2" s="13" t="s">
        <v>146</v>
      </c>
      <c r="T2" s="25">
        <v>45669</v>
      </c>
      <c r="U2" s="13" t="s">
        <v>147</v>
      </c>
      <c r="Z2" s="116"/>
      <c r="AA2" s="123"/>
      <c r="AB2" s="123"/>
      <c r="AC2" s="123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25">
        <v>45258</v>
      </c>
      <c r="AS2" s="13" t="s">
        <v>162</v>
      </c>
      <c r="AV2" s="114"/>
    </row>
    <row r="3" spans="1:48" ht="6.75" customHeight="1" x14ac:dyDescent="0.4">
      <c r="A3" s="116"/>
      <c r="B3" s="123"/>
      <c r="C3" s="123"/>
      <c r="D3" s="123"/>
      <c r="I3" s="134" t="s">
        <v>196</v>
      </c>
      <c r="J3" s="13">
        <f>SUBTOTAL(3,J2:J2)</f>
        <v>1</v>
      </c>
      <c r="T3" s="25"/>
      <c r="U3" s="13"/>
      <c r="Z3" s="116"/>
      <c r="AA3" s="123"/>
      <c r="AB3" s="123"/>
      <c r="AC3" s="123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25"/>
      <c r="AS3" s="13"/>
      <c r="AV3" s="114"/>
    </row>
    <row r="4" spans="1:48" ht="19.5" x14ac:dyDescent="0.4">
      <c r="A4" s="117">
        <v>45696</v>
      </c>
      <c r="B4" s="123">
        <v>1</v>
      </c>
      <c r="C4" s="123"/>
      <c r="D4" s="123"/>
      <c r="H4" s="115"/>
      <c r="I4" s="25">
        <v>45700</v>
      </c>
      <c r="J4" s="13" t="s">
        <v>146</v>
      </c>
      <c r="T4" s="25"/>
      <c r="U4" s="13"/>
      <c r="Z4" s="116"/>
      <c r="AA4" s="123"/>
      <c r="AB4" s="123"/>
      <c r="AC4" s="123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25"/>
      <c r="AS4" s="13"/>
      <c r="AV4" s="114"/>
    </row>
    <row r="5" spans="1:48" ht="6" customHeight="1" x14ac:dyDescent="0.4">
      <c r="A5" s="117"/>
      <c r="B5" s="123"/>
      <c r="C5" s="123"/>
      <c r="D5" s="123"/>
      <c r="H5" s="115"/>
      <c r="I5" s="134" t="s">
        <v>197</v>
      </c>
      <c r="J5" s="13">
        <f>SUBTOTAL(3,J4:J4)</f>
        <v>1</v>
      </c>
      <c r="T5" s="25"/>
      <c r="U5" s="13"/>
      <c r="Z5" s="116"/>
      <c r="AA5" s="123"/>
      <c r="AB5" s="123"/>
      <c r="AC5" s="123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25"/>
      <c r="AS5" s="13"/>
      <c r="AV5" s="114"/>
    </row>
    <row r="6" spans="1:48" ht="19.5" x14ac:dyDescent="0.4">
      <c r="A6" s="117">
        <v>45700</v>
      </c>
      <c r="B6" s="123">
        <v>1</v>
      </c>
      <c r="C6" s="123"/>
      <c r="D6" s="123"/>
      <c r="I6" s="25">
        <v>45703</v>
      </c>
      <c r="J6" s="13" t="s">
        <v>148</v>
      </c>
      <c r="P6" s="115"/>
      <c r="Q6" s="115"/>
      <c r="R6" s="115"/>
      <c r="S6" s="115"/>
      <c r="T6" s="25">
        <v>45669</v>
      </c>
      <c r="U6" s="13" t="s">
        <v>147</v>
      </c>
      <c r="Z6" s="116"/>
      <c r="AA6" s="123"/>
      <c r="AB6" s="123"/>
      <c r="AC6" s="123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25"/>
      <c r="AS6" s="13"/>
      <c r="AV6" s="114"/>
    </row>
    <row r="7" spans="1:48" ht="17.25" customHeight="1" x14ac:dyDescent="0.4">
      <c r="A7" s="117">
        <v>45703</v>
      </c>
      <c r="B7" s="123"/>
      <c r="C7" s="123">
        <v>1</v>
      </c>
      <c r="D7" s="123">
        <v>1</v>
      </c>
      <c r="H7" s="115"/>
      <c r="I7" s="25">
        <v>45703</v>
      </c>
      <c r="J7" s="13" t="s">
        <v>147</v>
      </c>
      <c r="P7" s="115"/>
      <c r="Q7" s="115"/>
      <c r="R7" s="115"/>
      <c r="S7" s="115"/>
      <c r="T7" s="25"/>
      <c r="U7" s="13"/>
      <c r="Z7" s="116"/>
      <c r="AA7" s="123"/>
      <c r="AB7" s="123"/>
      <c r="AC7" s="123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25"/>
      <c r="AS7" s="13"/>
      <c r="AV7" s="114"/>
    </row>
    <row r="8" spans="1:48" ht="19.5" hidden="1" x14ac:dyDescent="0.4">
      <c r="A8" s="117"/>
      <c r="B8" s="123"/>
      <c r="C8" s="123"/>
      <c r="D8" s="123"/>
      <c r="H8" s="115"/>
      <c r="I8" s="134" t="s">
        <v>198</v>
      </c>
      <c r="J8" s="13">
        <f>SUBTOTAL(3,J6:J7)</f>
        <v>2</v>
      </c>
      <c r="P8" s="115"/>
      <c r="Q8" s="115"/>
      <c r="R8" s="115"/>
      <c r="S8" s="115"/>
      <c r="T8" s="25"/>
      <c r="U8" s="13"/>
      <c r="Z8" s="116"/>
      <c r="AA8" s="123"/>
      <c r="AB8" s="123"/>
      <c r="AC8" s="123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25"/>
      <c r="AS8" s="13"/>
      <c r="AV8" s="114"/>
    </row>
    <row r="9" spans="1:48" ht="19.5" x14ac:dyDescent="0.4">
      <c r="A9" s="117">
        <v>45704</v>
      </c>
      <c r="B9" s="123">
        <v>1</v>
      </c>
      <c r="C9" s="123">
        <v>5</v>
      </c>
      <c r="D9" s="123"/>
      <c r="I9" s="25">
        <v>45704</v>
      </c>
      <c r="J9" s="13" t="s">
        <v>146</v>
      </c>
      <c r="P9" s="115"/>
      <c r="Q9" s="115"/>
      <c r="R9" s="115"/>
      <c r="S9" s="115"/>
      <c r="T9" s="25">
        <v>45671</v>
      </c>
      <c r="U9" s="13" t="s">
        <v>146</v>
      </c>
      <c r="Z9" s="116"/>
      <c r="AA9" s="123"/>
      <c r="AB9" s="123"/>
      <c r="AC9" s="123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25"/>
      <c r="AS9" s="13"/>
      <c r="AV9" s="114"/>
    </row>
    <row r="10" spans="1:48" ht="19.5" x14ac:dyDescent="0.4">
      <c r="A10" s="117">
        <v>45705</v>
      </c>
      <c r="B10" s="123">
        <v>1</v>
      </c>
      <c r="C10" s="123">
        <v>1</v>
      </c>
      <c r="D10" s="123">
        <v>1</v>
      </c>
      <c r="I10" s="25">
        <v>45704</v>
      </c>
      <c r="J10" s="13" t="s">
        <v>147</v>
      </c>
      <c r="N10" s="115"/>
      <c r="O10" s="115"/>
      <c r="P10" s="115"/>
      <c r="Q10" s="115"/>
      <c r="R10" s="115"/>
      <c r="S10" s="115"/>
      <c r="T10" s="25">
        <v>45671</v>
      </c>
      <c r="U10" s="13" t="s">
        <v>148</v>
      </c>
      <c r="Z10" s="116"/>
      <c r="AA10" s="123"/>
      <c r="AB10" s="123"/>
      <c r="AC10" s="123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25"/>
      <c r="AS10" s="13"/>
      <c r="AV10" s="114"/>
    </row>
    <row r="11" spans="1:48" ht="19.5" x14ac:dyDescent="0.4">
      <c r="A11" s="117">
        <v>45706</v>
      </c>
      <c r="B11" s="123">
        <v>5</v>
      </c>
      <c r="C11" s="123">
        <v>5</v>
      </c>
      <c r="D11" s="123">
        <v>1</v>
      </c>
      <c r="H11" s="115"/>
      <c r="I11" s="25">
        <v>45704</v>
      </c>
      <c r="J11" s="13" t="s">
        <v>147</v>
      </c>
      <c r="N11" s="115"/>
      <c r="O11" s="115"/>
      <c r="P11" s="115"/>
      <c r="Q11" s="115"/>
      <c r="R11" s="115"/>
      <c r="S11" s="115"/>
      <c r="T11" s="25"/>
      <c r="U11" s="13"/>
      <c r="Z11" s="116"/>
      <c r="AA11" s="123"/>
      <c r="AB11" s="123"/>
      <c r="AC11" s="123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25"/>
      <c r="AS11" s="13"/>
      <c r="AV11" s="114"/>
    </row>
    <row r="12" spans="1:48" ht="19.5" x14ac:dyDescent="0.4">
      <c r="A12" s="117">
        <v>45707</v>
      </c>
      <c r="B12" s="123"/>
      <c r="C12" s="123">
        <v>4</v>
      </c>
      <c r="D12" s="123"/>
      <c r="I12" s="25">
        <v>45704</v>
      </c>
      <c r="J12" s="13" t="s">
        <v>147</v>
      </c>
      <c r="N12" s="115"/>
      <c r="O12" s="115"/>
      <c r="P12" s="115"/>
      <c r="Q12" s="115"/>
      <c r="R12" s="115"/>
      <c r="S12" s="115"/>
      <c r="T12" s="25">
        <v>45672</v>
      </c>
      <c r="U12" s="13" t="s">
        <v>146</v>
      </c>
      <c r="Z12" s="116"/>
      <c r="AA12" s="123"/>
      <c r="AB12" s="123"/>
      <c r="AC12" s="123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25"/>
      <c r="AS12" s="13"/>
      <c r="AV12" s="114"/>
    </row>
    <row r="13" spans="1:48" ht="19.5" x14ac:dyDescent="0.4">
      <c r="A13" s="117">
        <v>45708</v>
      </c>
      <c r="B13" s="123">
        <v>1</v>
      </c>
      <c r="C13" s="123"/>
      <c r="D13" s="123"/>
      <c r="I13" s="25">
        <v>45704</v>
      </c>
      <c r="J13" s="13" t="s">
        <v>147</v>
      </c>
      <c r="N13" s="115"/>
      <c r="O13" s="115"/>
      <c r="P13" s="115"/>
      <c r="Q13" s="115"/>
      <c r="R13" s="115"/>
      <c r="S13" s="115"/>
      <c r="T13" s="25">
        <v>45672</v>
      </c>
      <c r="U13" s="13" t="s">
        <v>146</v>
      </c>
      <c r="Z13" s="116"/>
      <c r="AA13" s="123"/>
      <c r="AB13" s="123"/>
      <c r="AC13" s="123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25"/>
      <c r="AS13" s="13"/>
      <c r="AV13" s="114"/>
    </row>
    <row r="14" spans="1:48" ht="19.5" x14ac:dyDescent="0.4">
      <c r="A14" s="117">
        <v>45709</v>
      </c>
      <c r="B14" s="123">
        <v>2</v>
      </c>
      <c r="C14" s="123">
        <v>2</v>
      </c>
      <c r="D14" s="123"/>
      <c r="I14" s="25">
        <v>45704</v>
      </c>
      <c r="J14" s="13" t="s">
        <v>147</v>
      </c>
      <c r="N14" s="115"/>
      <c r="O14" s="115"/>
      <c r="P14" s="115"/>
      <c r="Q14" s="115"/>
      <c r="R14" s="115"/>
      <c r="S14" s="115"/>
      <c r="T14" s="25">
        <v>45672</v>
      </c>
      <c r="U14" s="25" t="s">
        <v>147</v>
      </c>
      <c r="Z14" s="116"/>
      <c r="AA14" s="123"/>
      <c r="AB14" s="123"/>
      <c r="AC14" s="123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25"/>
      <c r="AS14" s="13"/>
      <c r="AV14" s="114"/>
    </row>
    <row r="15" spans="1:48" ht="9.75" customHeight="1" x14ac:dyDescent="0.4">
      <c r="A15" s="117"/>
      <c r="B15" s="123"/>
      <c r="C15" s="123"/>
      <c r="D15" s="123"/>
      <c r="I15" s="134" t="s">
        <v>199</v>
      </c>
      <c r="J15" s="13">
        <f>SUBTOTAL(3,J9:J14)</f>
        <v>6</v>
      </c>
      <c r="N15" s="115"/>
      <c r="O15" s="115"/>
      <c r="P15" s="115"/>
      <c r="Q15" s="115"/>
      <c r="R15" s="115"/>
      <c r="S15" s="115"/>
      <c r="T15" s="25"/>
      <c r="U15" s="25"/>
      <c r="Z15" s="116"/>
      <c r="AA15" s="123"/>
      <c r="AB15" s="123"/>
      <c r="AC15" s="123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25"/>
      <c r="AS15" s="13"/>
      <c r="AV15" s="114"/>
    </row>
    <row r="16" spans="1:48" ht="19.5" x14ac:dyDescent="0.4">
      <c r="A16" s="117">
        <v>45710</v>
      </c>
      <c r="B16" s="123"/>
      <c r="C16" s="123"/>
      <c r="D16" s="123"/>
      <c r="I16" s="25">
        <v>45705</v>
      </c>
      <c r="J16" s="13" t="s">
        <v>142</v>
      </c>
      <c r="N16" s="115"/>
      <c r="O16" s="115"/>
      <c r="P16" s="115"/>
      <c r="Q16" s="115"/>
      <c r="R16" s="115"/>
      <c r="S16" s="115"/>
      <c r="T16" s="25">
        <v>45673</v>
      </c>
      <c r="U16" s="13" t="s">
        <v>147</v>
      </c>
      <c r="Z16" s="116"/>
      <c r="AA16" s="123"/>
      <c r="AB16" s="123"/>
      <c r="AC16" s="123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25"/>
      <c r="AS16" s="13"/>
      <c r="AV16" s="114"/>
    </row>
    <row r="17" spans="1:48" ht="19.5" x14ac:dyDescent="0.4">
      <c r="A17" s="117">
        <v>45711</v>
      </c>
      <c r="B17" s="123">
        <v>2</v>
      </c>
      <c r="C17" s="123">
        <v>2</v>
      </c>
      <c r="D17" s="123">
        <v>2</v>
      </c>
      <c r="I17" s="25">
        <v>45705</v>
      </c>
      <c r="J17" s="13" t="s">
        <v>147</v>
      </c>
      <c r="N17" s="115"/>
      <c r="O17" s="115"/>
      <c r="P17" s="115"/>
      <c r="Q17" s="115"/>
      <c r="R17" s="115"/>
      <c r="S17" s="115"/>
      <c r="T17" s="25">
        <v>45673</v>
      </c>
      <c r="U17" s="13" t="s">
        <v>147</v>
      </c>
      <c r="Z17" s="116"/>
      <c r="AA17" s="123"/>
      <c r="AB17" s="123"/>
      <c r="AC17" s="123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25"/>
      <c r="AS17" s="13"/>
      <c r="AV17" s="114"/>
    </row>
    <row r="18" spans="1:48" ht="19.5" x14ac:dyDescent="0.4">
      <c r="A18" s="117">
        <v>45712</v>
      </c>
      <c r="B18" s="123">
        <v>2</v>
      </c>
      <c r="C18" s="123">
        <v>5</v>
      </c>
      <c r="D18" s="123">
        <v>2</v>
      </c>
      <c r="G18" s="115"/>
      <c r="H18" s="115"/>
      <c r="I18" s="25">
        <v>45705</v>
      </c>
      <c r="J18" s="13" t="s">
        <v>148</v>
      </c>
      <c r="N18" s="115"/>
      <c r="O18" s="115"/>
      <c r="P18" s="115"/>
      <c r="Q18" s="115"/>
      <c r="R18" s="115"/>
      <c r="S18" s="115"/>
      <c r="T18" s="25"/>
      <c r="U18" s="13"/>
      <c r="Z18" s="116"/>
      <c r="AA18" s="123"/>
      <c r="AB18" s="123"/>
      <c r="AC18" s="123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25"/>
      <c r="AS18" s="13"/>
      <c r="AV18" s="114"/>
    </row>
    <row r="19" spans="1:48" ht="8.25" customHeight="1" x14ac:dyDescent="0.4">
      <c r="A19" s="117"/>
      <c r="B19" s="123"/>
      <c r="C19" s="123"/>
      <c r="D19" s="123"/>
      <c r="G19" s="115"/>
      <c r="H19" s="115"/>
      <c r="I19" s="134" t="s">
        <v>200</v>
      </c>
      <c r="J19" s="13">
        <f>SUBTOTAL(3,J16:J18)</f>
        <v>3</v>
      </c>
      <c r="N19" s="115"/>
      <c r="O19" s="115"/>
      <c r="P19" s="115"/>
      <c r="Q19" s="115"/>
      <c r="R19" s="115"/>
      <c r="S19" s="115"/>
      <c r="T19" s="25"/>
      <c r="U19" s="13"/>
      <c r="Z19" s="116"/>
      <c r="AA19" s="123"/>
      <c r="AB19" s="123"/>
      <c r="AC19" s="123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25"/>
      <c r="AS19" s="13"/>
      <c r="AV19" s="114"/>
    </row>
    <row r="20" spans="1:48" ht="19.5" x14ac:dyDescent="0.4">
      <c r="A20" s="117">
        <v>45713</v>
      </c>
      <c r="B20" s="123">
        <v>1</v>
      </c>
      <c r="C20" s="123">
        <v>7</v>
      </c>
      <c r="D20" s="123">
        <v>2</v>
      </c>
      <c r="G20" s="115"/>
      <c r="H20" s="115"/>
      <c r="I20" s="25">
        <v>45706</v>
      </c>
      <c r="J20" s="13" t="s">
        <v>147</v>
      </c>
      <c r="N20" s="115"/>
      <c r="O20" s="115"/>
      <c r="P20" s="115"/>
      <c r="Q20" s="115"/>
      <c r="R20" s="115"/>
      <c r="S20" s="115"/>
      <c r="T20" s="25"/>
      <c r="U20" s="13"/>
      <c r="Z20" s="116"/>
      <c r="AA20" s="123"/>
      <c r="AB20" s="123"/>
      <c r="AC20" s="123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25"/>
      <c r="AS20" s="13"/>
      <c r="AV20" s="114"/>
    </row>
    <row r="21" spans="1:48" ht="19.5" x14ac:dyDescent="0.4">
      <c r="A21" s="117">
        <v>45714</v>
      </c>
      <c r="B21" s="123">
        <v>11</v>
      </c>
      <c r="C21" s="123">
        <v>7</v>
      </c>
      <c r="D21" s="123">
        <v>1</v>
      </c>
      <c r="I21" s="25">
        <v>45706</v>
      </c>
      <c r="J21" s="15" t="s">
        <v>147</v>
      </c>
      <c r="L21" s="115"/>
      <c r="M21" s="115"/>
      <c r="N21" s="115"/>
      <c r="O21" s="115"/>
      <c r="P21" s="115"/>
      <c r="Q21" s="115"/>
      <c r="R21" s="115"/>
      <c r="S21" s="115"/>
      <c r="T21" s="25">
        <v>45673</v>
      </c>
      <c r="U21" s="13" t="s">
        <v>148</v>
      </c>
      <c r="Z21" s="116"/>
      <c r="AA21" s="123"/>
      <c r="AB21" s="123"/>
      <c r="AC21" s="123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25"/>
      <c r="AS21" s="13"/>
      <c r="AV21" s="114"/>
    </row>
    <row r="22" spans="1:48" ht="19.5" x14ac:dyDescent="0.4">
      <c r="A22" s="117">
        <v>45715</v>
      </c>
      <c r="B22" s="123"/>
      <c r="C22" s="123">
        <v>1</v>
      </c>
      <c r="D22" s="123"/>
      <c r="G22" s="115"/>
      <c r="H22" s="115"/>
      <c r="I22" s="25">
        <v>45706</v>
      </c>
      <c r="J22" s="13" t="s">
        <v>147</v>
      </c>
      <c r="L22" s="115"/>
      <c r="M22" s="115"/>
      <c r="N22" s="115"/>
      <c r="O22" s="115"/>
      <c r="P22" s="115"/>
      <c r="Q22" s="115"/>
      <c r="R22" s="115"/>
      <c r="S22" s="115"/>
      <c r="T22" s="25"/>
      <c r="U22" s="13"/>
      <c r="Z22" s="116"/>
      <c r="AA22" s="123"/>
      <c r="AB22" s="123"/>
      <c r="AC22" s="123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25"/>
      <c r="AS22" s="13"/>
      <c r="AV22" s="114"/>
    </row>
    <row r="23" spans="1:48" ht="19.5" x14ac:dyDescent="0.4">
      <c r="A23" s="117">
        <v>45716</v>
      </c>
      <c r="B23" s="123">
        <v>1</v>
      </c>
      <c r="C23" s="123"/>
      <c r="D23" s="123"/>
      <c r="I23" s="25">
        <v>45706</v>
      </c>
      <c r="J23" s="13" t="s">
        <v>147</v>
      </c>
      <c r="L23" s="115"/>
      <c r="M23" s="115"/>
      <c r="N23" s="115"/>
      <c r="O23" s="115"/>
      <c r="P23" s="115"/>
      <c r="Q23" s="115"/>
      <c r="R23" s="115"/>
      <c r="S23" s="115"/>
      <c r="T23" s="25">
        <v>45673</v>
      </c>
      <c r="U23" s="13" t="s">
        <v>147</v>
      </c>
      <c r="Z23" s="116"/>
      <c r="AA23" s="123"/>
      <c r="AB23" s="123"/>
      <c r="AC23" s="123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25"/>
      <c r="AS23" s="13"/>
      <c r="AV23" s="114"/>
    </row>
    <row r="24" spans="1:48" ht="19.5" x14ac:dyDescent="0.4">
      <c r="A24" s="117">
        <v>45717</v>
      </c>
      <c r="B24" s="123">
        <v>5</v>
      </c>
      <c r="C24" s="123">
        <v>7</v>
      </c>
      <c r="D24" s="123">
        <v>2</v>
      </c>
      <c r="H24" s="115"/>
      <c r="I24" s="25">
        <v>45706</v>
      </c>
      <c r="J24" s="13" t="s">
        <v>146</v>
      </c>
      <c r="L24" s="115"/>
      <c r="M24" s="115"/>
      <c r="N24" s="115"/>
      <c r="O24" s="115"/>
      <c r="P24" s="115"/>
      <c r="Q24" s="115"/>
      <c r="R24" s="115"/>
      <c r="S24" s="115"/>
      <c r="T24" s="25"/>
      <c r="U24" s="13"/>
      <c r="Z24" s="116"/>
      <c r="AA24" s="123"/>
      <c r="AB24" s="123"/>
      <c r="AC24" s="123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25"/>
      <c r="AS24" s="13"/>
      <c r="AV24" s="114"/>
    </row>
    <row r="25" spans="1:48" ht="19.5" x14ac:dyDescent="0.4">
      <c r="A25" s="117">
        <v>45718</v>
      </c>
      <c r="B25" s="123">
        <v>2</v>
      </c>
      <c r="C25" s="123">
        <v>1</v>
      </c>
      <c r="D25" s="123">
        <v>1</v>
      </c>
      <c r="G25" s="115"/>
      <c r="H25" s="115"/>
      <c r="I25" s="25">
        <v>45706</v>
      </c>
      <c r="J25" s="13" t="s">
        <v>146</v>
      </c>
      <c r="L25" s="115"/>
      <c r="M25" s="115"/>
      <c r="N25" s="115"/>
      <c r="O25" s="115"/>
      <c r="P25" s="115"/>
      <c r="Q25" s="115"/>
      <c r="R25" s="115"/>
      <c r="S25" s="115"/>
      <c r="T25" s="25"/>
      <c r="U25" s="13"/>
      <c r="Z25" s="116"/>
      <c r="AA25" s="123"/>
      <c r="AB25" s="123"/>
      <c r="AC25" s="123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25"/>
      <c r="AS25" s="13"/>
      <c r="AV25" s="114"/>
    </row>
    <row r="26" spans="1:48" ht="19.5" x14ac:dyDescent="0.4">
      <c r="A26" s="117">
        <v>45719</v>
      </c>
      <c r="B26" s="123">
        <v>4</v>
      </c>
      <c r="C26" s="123">
        <v>1</v>
      </c>
      <c r="D26" s="123">
        <v>1</v>
      </c>
      <c r="I26" s="25">
        <v>45706</v>
      </c>
      <c r="J26" s="13" t="s">
        <v>146</v>
      </c>
      <c r="L26" s="115"/>
      <c r="M26" s="115"/>
      <c r="N26" s="115"/>
      <c r="O26" s="115"/>
      <c r="P26" s="115"/>
      <c r="Q26" s="115"/>
      <c r="R26" s="115"/>
      <c r="S26" s="115"/>
      <c r="T26" s="25">
        <v>45673</v>
      </c>
      <c r="U26" s="13" t="s">
        <v>147</v>
      </c>
      <c r="Z26" s="116"/>
      <c r="AA26" s="123"/>
      <c r="AB26" s="123"/>
      <c r="AC26" s="123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25"/>
      <c r="AS26" s="13"/>
      <c r="AV26" s="114"/>
    </row>
    <row r="27" spans="1:48" ht="19.5" x14ac:dyDescent="0.4">
      <c r="A27" s="117">
        <v>45720</v>
      </c>
      <c r="B27" s="123">
        <v>1</v>
      </c>
      <c r="C27" s="123">
        <v>1</v>
      </c>
      <c r="D27" s="123"/>
      <c r="I27" s="25">
        <v>45706</v>
      </c>
      <c r="J27" s="13" t="s">
        <v>146</v>
      </c>
      <c r="L27" s="115"/>
      <c r="M27" s="115"/>
      <c r="N27" s="115"/>
      <c r="O27" s="115"/>
      <c r="P27" s="115"/>
      <c r="Q27" s="115"/>
      <c r="R27" s="115"/>
      <c r="S27" s="115"/>
      <c r="T27" s="25">
        <v>45673</v>
      </c>
      <c r="U27" s="13" t="s">
        <v>147</v>
      </c>
      <c r="Z27" s="116"/>
      <c r="AA27" s="123"/>
      <c r="AB27" s="123"/>
      <c r="AC27" s="123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25"/>
      <c r="AS27" s="13"/>
      <c r="AV27" s="114"/>
    </row>
    <row r="28" spans="1:48" ht="19.5" x14ac:dyDescent="0.4">
      <c r="A28" s="117">
        <v>45721</v>
      </c>
      <c r="B28" s="123"/>
      <c r="C28" s="123"/>
      <c r="D28" s="123">
        <v>1</v>
      </c>
      <c r="I28" s="25">
        <v>45706</v>
      </c>
      <c r="J28" s="13" t="s">
        <v>146</v>
      </c>
      <c r="L28" s="115"/>
      <c r="M28" s="115"/>
      <c r="N28" s="115"/>
      <c r="O28" s="115"/>
      <c r="P28" s="115"/>
      <c r="Q28" s="115"/>
      <c r="R28" s="115"/>
      <c r="S28" s="115"/>
      <c r="T28" s="25">
        <v>45675</v>
      </c>
      <c r="U28" s="13" t="s">
        <v>147</v>
      </c>
      <c r="Z28" s="116"/>
      <c r="AA28" s="123"/>
      <c r="AB28" s="123"/>
      <c r="AC28" s="123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25"/>
      <c r="AS28" s="13"/>
      <c r="AV28" s="114"/>
    </row>
    <row r="29" spans="1:48" ht="19.5" x14ac:dyDescent="0.4">
      <c r="A29" s="117">
        <v>45722</v>
      </c>
      <c r="B29" s="123">
        <v>16</v>
      </c>
      <c r="C29" s="123">
        <v>2</v>
      </c>
      <c r="D29" s="123">
        <v>1</v>
      </c>
      <c r="I29" s="25">
        <v>45706</v>
      </c>
      <c r="J29" s="13" t="s">
        <v>148</v>
      </c>
      <c r="L29" s="115"/>
      <c r="M29" s="115"/>
      <c r="N29" s="115"/>
      <c r="O29" s="115"/>
      <c r="P29" s="115"/>
      <c r="Q29" s="115"/>
      <c r="R29" s="115"/>
      <c r="S29" s="115"/>
      <c r="T29" s="25">
        <v>45675</v>
      </c>
      <c r="U29" s="15" t="s">
        <v>147</v>
      </c>
      <c r="Z29" s="116"/>
      <c r="AA29" s="123"/>
      <c r="AB29" s="123"/>
      <c r="AC29" s="123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25"/>
      <c r="AS29" s="13"/>
      <c r="AV29" s="114"/>
    </row>
    <row r="30" spans="1:48" ht="19.5" x14ac:dyDescent="0.4">
      <c r="A30" s="117">
        <v>45724</v>
      </c>
      <c r="B30" s="123">
        <v>14</v>
      </c>
      <c r="C30" s="123">
        <v>5</v>
      </c>
      <c r="D30" s="123">
        <v>1</v>
      </c>
      <c r="I30" s="25">
        <v>45706</v>
      </c>
      <c r="J30" s="13" t="s">
        <v>147</v>
      </c>
      <c r="L30" s="115"/>
      <c r="M30" s="115"/>
      <c r="N30" s="115"/>
      <c r="O30" s="115"/>
      <c r="P30" s="115"/>
      <c r="Q30" s="115"/>
      <c r="R30" s="115"/>
      <c r="S30" s="115"/>
      <c r="T30" s="25">
        <v>45675</v>
      </c>
      <c r="U30" s="13" t="s">
        <v>147</v>
      </c>
      <c r="Z30" s="116"/>
      <c r="AA30" s="123"/>
      <c r="AB30" s="123"/>
      <c r="AC30" s="123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25"/>
      <c r="AS30" s="13"/>
      <c r="AV30" s="114"/>
    </row>
    <row r="31" spans="1:48" ht="6" customHeight="1" x14ac:dyDescent="0.4">
      <c r="A31" s="117"/>
      <c r="B31" s="123"/>
      <c r="C31" s="123"/>
      <c r="D31" s="123"/>
      <c r="I31" s="134" t="s">
        <v>201</v>
      </c>
      <c r="J31" s="13">
        <f>SUBTOTAL(3,J20:J30)</f>
        <v>11</v>
      </c>
      <c r="L31" s="115"/>
      <c r="M31" s="115"/>
      <c r="N31" s="115"/>
      <c r="O31" s="115"/>
      <c r="P31" s="115"/>
      <c r="Q31" s="115"/>
      <c r="R31" s="115"/>
      <c r="S31" s="115"/>
      <c r="T31" s="25"/>
      <c r="U31" s="13"/>
      <c r="Z31" s="116"/>
      <c r="AA31" s="123"/>
      <c r="AB31" s="123"/>
      <c r="AC31" s="123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25"/>
      <c r="AS31" s="13"/>
      <c r="AV31" s="114"/>
    </row>
    <row r="32" spans="1:48" ht="19.5" x14ac:dyDescent="0.4">
      <c r="A32" s="117">
        <v>45725</v>
      </c>
      <c r="B32" s="123">
        <v>13</v>
      </c>
      <c r="C32" s="123"/>
      <c r="D32" s="123"/>
      <c r="G32" s="115"/>
      <c r="H32" s="115"/>
      <c r="I32" s="25">
        <v>45707</v>
      </c>
      <c r="J32" s="13" t="s">
        <v>147</v>
      </c>
      <c r="L32" s="115"/>
      <c r="M32" s="115"/>
      <c r="N32" s="115"/>
      <c r="O32" s="115"/>
      <c r="P32" s="115"/>
      <c r="Q32" s="115"/>
      <c r="R32" s="115"/>
      <c r="S32" s="115"/>
      <c r="T32" s="25"/>
      <c r="U32" s="13"/>
      <c r="Z32" s="116"/>
      <c r="AA32" s="123"/>
      <c r="AB32" s="123"/>
      <c r="AC32" s="123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25"/>
      <c r="AS32" s="13"/>
      <c r="AV32" s="114"/>
    </row>
    <row r="33" spans="1:48" ht="19.5" x14ac:dyDescent="0.4">
      <c r="A33" s="117">
        <v>45726</v>
      </c>
      <c r="B33" s="123">
        <v>1</v>
      </c>
      <c r="C33" s="123"/>
      <c r="D33" s="123"/>
      <c r="I33" s="25">
        <v>45707</v>
      </c>
      <c r="J33" s="13" t="s">
        <v>147</v>
      </c>
      <c r="K33" s="115"/>
      <c r="L33" s="115"/>
      <c r="M33" s="115"/>
      <c r="N33" s="115"/>
      <c r="O33" s="115"/>
      <c r="P33" s="115"/>
      <c r="Q33" s="115"/>
      <c r="R33" s="115"/>
      <c r="S33" s="115"/>
      <c r="T33" s="25">
        <v>45675</v>
      </c>
      <c r="U33" s="13" t="s">
        <v>146</v>
      </c>
      <c r="Z33" s="116"/>
      <c r="AA33" s="123"/>
      <c r="AB33" s="123"/>
      <c r="AC33" s="123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25"/>
      <c r="AS33" s="13"/>
      <c r="AV33" s="114"/>
    </row>
    <row r="34" spans="1:48" ht="19.5" x14ac:dyDescent="0.4">
      <c r="A34" s="117">
        <v>45729</v>
      </c>
      <c r="B34" s="123">
        <v>2</v>
      </c>
      <c r="C34" s="123">
        <v>2</v>
      </c>
      <c r="D34" s="123"/>
      <c r="I34" s="25">
        <v>45707</v>
      </c>
      <c r="J34" s="13" t="s">
        <v>147</v>
      </c>
      <c r="K34" s="115"/>
      <c r="L34" s="115"/>
      <c r="M34" s="115"/>
      <c r="N34" s="115"/>
      <c r="O34" s="115"/>
      <c r="P34" s="115"/>
      <c r="Q34" s="115"/>
      <c r="R34" s="115"/>
      <c r="S34" s="115"/>
      <c r="T34" s="25">
        <v>45676</v>
      </c>
      <c r="U34" s="13" t="s">
        <v>148</v>
      </c>
      <c r="Z34" s="116"/>
      <c r="AA34" s="123"/>
      <c r="AB34" s="123"/>
      <c r="AC34" s="123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25"/>
      <c r="AS34" s="13"/>
      <c r="AV34" s="114"/>
    </row>
    <row r="35" spans="1:48" ht="19.5" x14ac:dyDescent="0.4">
      <c r="A35" s="117">
        <v>45737</v>
      </c>
      <c r="B35" s="123"/>
      <c r="C35" s="123">
        <v>1</v>
      </c>
      <c r="D35" s="123"/>
      <c r="G35" s="115"/>
      <c r="H35" s="115"/>
      <c r="I35" s="25">
        <v>45707</v>
      </c>
      <c r="J35" s="13" t="s">
        <v>147</v>
      </c>
      <c r="K35" s="115"/>
      <c r="L35" s="115"/>
      <c r="M35" s="115"/>
      <c r="N35" s="115"/>
      <c r="O35" s="115"/>
      <c r="P35" s="115"/>
      <c r="Q35" s="115"/>
      <c r="R35" s="115"/>
      <c r="S35" s="115"/>
      <c r="T35" s="25"/>
      <c r="U35" s="13"/>
      <c r="Z35" s="116"/>
      <c r="AA35" s="123"/>
      <c r="AB35" s="123"/>
      <c r="AC35" s="123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25"/>
      <c r="AS35" s="13"/>
      <c r="AV35" s="114"/>
    </row>
    <row r="36" spans="1:48" ht="6.75" customHeight="1" x14ac:dyDescent="0.4">
      <c r="A36" s="117"/>
      <c r="B36" s="123"/>
      <c r="C36" s="123"/>
      <c r="D36" s="123"/>
      <c r="G36" s="115"/>
      <c r="H36" s="115"/>
      <c r="I36" s="134" t="s">
        <v>202</v>
      </c>
      <c r="J36" s="13">
        <f>SUBTOTAL(3,J32:J35)</f>
        <v>4</v>
      </c>
      <c r="K36" s="115"/>
      <c r="L36" s="115"/>
      <c r="M36" s="115"/>
      <c r="N36" s="115"/>
      <c r="O36" s="115"/>
      <c r="P36" s="115"/>
      <c r="Q36" s="115"/>
      <c r="R36" s="115"/>
      <c r="S36" s="115"/>
      <c r="T36" s="25"/>
      <c r="U36" s="13"/>
      <c r="Z36" s="116"/>
      <c r="AA36" s="123"/>
      <c r="AB36" s="123"/>
      <c r="AC36" s="123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25"/>
      <c r="AS36" s="13"/>
      <c r="AV36" s="114"/>
    </row>
    <row r="37" spans="1:48" ht="19.5" x14ac:dyDescent="0.4">
      <c r="A37" s="117">
        <v>45745</v>
      </c>
      <c r="B37" s="123">
        <v>2</v>
      </c>
      <c r="C37" s="123"/>
      <c r="D37" s="123">
        <v>1</v>
      </c>
      <c r="I37" s="25">
        <v>45708</v>
      </c>
      <c r="J37" s="13" t="s">
        <v>146</v>
      </c>
      <c r="K37" s="115"/>
      <c r="L37" s="115"/>
      <c r="M37" s="115"/>
      <c r="N37" s="115"/>
      <c r="O37" s="115"/>
      <c r="P37" s="115"/>
      <c r="Q37" s="115"/>
      <c r="R37" s="115"/>
      <c r="S37" s="115"/>
      <c r="T37" s="25">
        <v>45677</v>
      </c>
      <c r="U37" s="13" t="s">
        <v>146</v>
      </c>
      <c r="Z37" s="116"/>
      <c r="AA37" s="123"/>
      <c r="AB37" s="123"/>
      <c r="AC37" s="123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25"/>
      <c r="AS37" s="13"/>
      <c r="AV37" s="114"/>
    </row>
    <row r="38" spans="1:48" ht="7.5" customHeight="1" x14ac:dyDescent="0.4">
      <c r="A38" s="117"/>
      <c r="B38" s="123"/>
      <c r="C38" s="123"/>
      <c r="D38" s="123"/>
      <c r="I38" s="134" t="s">
        <v>203</v>
      </c>
      <c r="J38" s="13">
        <f>SUBTOTAL(3,J37:J37)</f>
        <v>1</v>
      </c>
      <c r="K38" s="115"/>
      <c r="L38" s="115"/>
      <c r="M38" s="115"/>
      <c r="N38" s="115"/>
      <c r="O38" s="115"/>
      <c r="P38" s="115"/>
      <c r="Q38" s="115"/>
      <c r="R38" s="115"/>
      <c r="S38" s="115"/>
      <c r="T38" s="25"/>
      <c r="U38" s="13"/>
      <c r="Z38" s="116"/>
      <c r="AA38" s="123"/>
      <c r="AB38" s="123"/>
      <c r="AC38" s="123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25"/>
      <c r="AS38" s="13"/>
      <c r="AV38" s="114"/>
    </row>
    <row r="39" spans="1:48" ht="19.5" x14ac:dyDescent="0.4">
      <c r="A39" s="117"/>
      <c r="B39" s="123">
        <f>SUM(B4:B37)</f>
        <v>89</v>
      </c>
      <c r="C39" s="123">
        <f>SUM(C4:C37)</f>
        <v>60</v>
      </c>
      <c r="D39" s="123">
        <f>SUM(D4:D37)</f>
        <v>18</v>
      </c>
      <c r="H39" s="115"/>
      <c r="I39" s="25">
        <v>45709</v>
      </c>
      <c r="J39" s="13" t="s">
        <v>147</v>
      </c>
      <c r="K39" s="115"/>
      <c r="L39" s="115"/>
      <c r="M39" s="115"/>
      <c r="N39" s="115"/>
      <c r="O39" s="115"/>
      <c r="P39" s="115"/>
      <c r="Q39" s="115"/>
      <c r="R39" s="115"/>
      <c r="S39" s="115"/>
      <c r="T39" s="25"/>
      <c r="U39" s="13"/>
      <c r="Z39" s="116"/>
      <c r="AA39" s="123"/>
      <c r="AB39" s="123"/>
      <c r="AC39" s="123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25"/>
      <c r="AS39" s="13"/>
      <c r="AV39" s="114"/>
    </row>
    <row r="40" spans="1:48" ht="19.5" x14ac:dyDescent="0.4">
      <c r="A40" s="117"/>
      <c r="B40" s="123"/>
      <c r="C40" s="123"/>
      <c r="D40" s="123">
        <f>SUM(B39:D39)</f>
        <v>167</v>
      </c>
      <c r="I40" s="25">
        <v>45709</v>
      </c>
      <c r="J40" s="13" t="s">
        <v>146</v>
      </c>
      <c r="K40" s="115"/>
      <c r="L40" s="115"/>
      <c r="M40" s="115"/>
      <c r="N40" s="115"/>
      <c r="O40" s="115"/>
      <c r="P40" s="115"/>
      <c r="Q40" s="115"/>
      <c r="R40" s="115"/>
      <c r="S40" s="115"/>
      <c r="T40" s="25">
        <v>45677</v>
      </c>
      <c r="U40" s="13" t="s">
        <v>146</v>
      </c>
      <c r="Z40" s="116"/>
      <c r="AA40" s="123"/>
      <c r="AB40" s="123"/>
      <c r="AC40" s="123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25"/>
      <c r="AS40" s="13"/>
      <c r="AV40" s="114"/>
    </row>
    <row r="41" spans="1:48" ht="19.5" x14ac:dyDescent="0.4">
      <c r="A41" s="117"/>
      <c r="B41" s="123"/>
      <c r="C41" s="123"/>
      <c r="D41" s="123"/>
      <c r="G41" s="115"/>
      <c r="H41" s="115"/>
      <c r="I41" s="25">
        <v>45709</v>
      </c>
      <c r="J41" s="13" t="s">
        <v>147</v>
      </c>
      <c r="K41" s="115"/>
      <c r="L41" s="115"/>
      <c r="M41" s="115"/>
      <c r="N41" s="115"/>
      <c r="O41" s="115"/>
      <c r="P41" s="115"/>
      <c r="Q41" s="115"/>
      <c r="R41" s="115"/>
      <c r="S41" s="115"/>
      <c r="T41" s="25"/>
      <c r="U41" s="13"/>
      <c r="Z41" s="116"/>
      <c r="AA41" s="123"/>
      <c r="AB41" s="123"/>
      <c r="AC41" s="123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25"/>
      <c r="AS41" s="13"/>
      <c r="AV41" s="114"/>
    </row>
    <row r="42" spans="1:48" ht="19.5" x14ac:dyDescent="0.4">
      <c r="A42" s="117"/>
      <c r="B42" s="123"/>
      <c r="C42" s="123"/>
      <c r="D42" s="123"/>
      <c r="I42" s="25">
        <v>45709</v>
      </c>
      <c r="J42" s="13" t="s">
        <v>146</v>
      </c>
      <c r="K42" s="115"/>
      <c r="L42" s="115"/>
      <c r="M42" s="115"/>
      <c r="N42" s="115"/>
      <c r="O42" s="115"/>
      <c r="P42" s="115"/>
      <c r="Q42" s="115"/>
      <c r="R42" s="115"/>
      <c r="S42" s="115"/>
      <c r="T42" s="25">
        <v>45677</v>
      </c>
      <c r="U42" s="13" t="s">
        <v>148</v>
      </c>
      <c r="Z42" s="116"/>
      <c r="AA42" s="123"/>
      <c r="AB42" s="123"/>
      <c r="AC42" s="123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25"/>
      <c r="AS42" s="13"/>
      <c r="AV42" s="114"/>
    </row>
    <row r="43" spans="1:48" ht="19.5" x14ac:dyDescent="0.4">
      <c r="A43" s="117"/>
      <c r="B43" s="123"/>
      <c r="C43" s="123"/>
      <c r="D43" s="123"/>
      <c r="I43" s="134" t="s">
        <v>204</v>
      </c>
      <c r="J43" s="13">
        <f>SUBTOTAL(3,J39:J42)</f>
        <v>4</v>
      </c>
      <c r="K43" s="115"/>
      <c r="L43" s="115"/>
      <c r="M43" s="115"/>
      <c r="N43" s="115"/>
      <c r="O43" s="115"/>
      <c r="P43" s="115"/>
      <c r="Q43" s="115"/>
      <c r="R43" s="115"/>
      <c r="S43" s="115"/>
      <c r="T43" s="25"/>
      <c r="U43" s="13"/>
      <c r="Z43" s="116"/>
      <c r="AA43" s="123"/>
      <c r="AB43" s="123"/>
      <c r="AC43" s="123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25"/>
      <c r="AS43" s="13"/>
      <c r="AV43" s="114"/>
    </row>
    <row r="44" spans="1:48" ht="19.5" x14ac:dyDescent="0.4">
      <c r="A44" s="117"/>
      <c r="B44" s="123"/>
      <c r="C44" s="123"/>
      <c r="D44" s="123"/>
      <c r="G44" s="115"/>
      <c r="H44" s="115"/>
      <c r="I44" s="25">
        <v>45711</v>
      </c>
      <c r="J44" s="13" t="s">
        <v>147</v>
      </c>
      <c r="K44" s="115"/>
      <c r="L44" s="115"/>
      <c r="M44" s="115"/>
      <c r="N44" s="115"/>
      <c r="O44" s="115"/>
      <c r="P44" s="115"/>
      <c r="Q44" s="115"/>
      <c r="R44" s="115"/>
      <c r="S44" s="115"/>
      <c r="T44" s="25"/>
      <c r="U44" s="13"/>
      <c r="Z44" s="116"/>
      <c r="AA44" s="123"/>
      <c r="AB44" s="123"/>
      <c r="AC44" s="123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25"/>
      <c r="AS44" s="13"/>
      <c r="AV44" s="114"/>
    </row>
    <row r="45" spans="1:48" ht="19.5" x14ac:dyDescent="0.4">
      <c r="A45" s="117"/>
      <c r="B45" s="123"/>
      <c r="C45" s="123"/>
      <c r="D45" s="123"/>
      <c r="G45" s="115"/>
      <c r="H45" s="115"/>
      <c r="I45" s="25">
        <v>45711</v>
      </c>
      <c r="J45" s="13" t="s">
        <v>148</v>
      </c>
      <c r="K45" s="115"/>
      <c r="L45" s="115"/>
      <c r="M45" s="115"/>
      <c r="N45" s="115"/>
      <c r="O45" s="115"/>
      <c r="P45" s="115"/>
      <c r="Q45" s="115"/>
      <c r="R45" s="115"/>
      <c r="S45" s="115"/>
      <c r="T45" s="25"/>
      <c r="U45" s="13"/>
      <c r="Z45" s="116"/>
      <c r="AA45" s="123"/>
      <c r="AB45" s="123"/>
      <c r="AC45" s="123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25"/>
      <c r="AS45" s="13"/>
      <c r="AV45" s="114"/>
    </row>
    <row r="46" spans="1:48" ht="19.5" x14ac:dyDescent="0.4">
      <c r="A46" s="117"/>
      <c r="B46" s="123"/>
      <c r="C46" s="123"/>
      <c r="D46" s="123"/>
      <c r="I46" s="25">
        <v>45711</v>
      </c>
      <c r="J46" s="13" t="s">
        <v>148</v>
      </c>
      <c r="K46" s="115"/>
      <c r="L46" s="115"/>
      <c r="M46" s="115"/>
      <c r="N46" s="115"/>
      <c r="O46" s="115"/>
      <c r="P46" s="115"/>
      <c r="Q46" s="115"/>
      <c r="R46" s="115"/>
      <c r="S46" s="115"/>
      <c r="T46" s="25">
        <v>45677</v>
      </c>
      <c r="U46" s="13" t="s">
        <v>146</v>
      </c>
      <c r="Z46" s="116"/>
      <c r="AA46" s="123"/>
      <c r="AB46" s="123"/>
      <c r="AC46" s="123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25"/>
      <c r="AS46" s="13"/>
      <c r="AV46" s="114"/>
    </row>
    <row r="47" spans="1:48" ht="19.5" x14ac:dyDescent="0.4">
      <c r="A47" s="117"/>
      <c r="B47" s="123"/>
      <c r="C47" s="123"/>
      <c r="D47" s="123"/>
      <c r="H47" s="115"/>
      <c r="I47" s="25">
        <v>45711</v>
      </c>
      <c r="J47" s="13" t="s">
        <v>146</v>
      </c>
      <c r="K47" s="115"/>
      <c r="L47" s="115"/>
      <c r="M47" s="115"/>
      <c r="N47" s="115"/>
      <c r="O47" s="115"/>
      <c r="P47" s="115"/>
      <c r="Q47" s="115"/>
      <c r="R47" s="115"/>
      <c r="S47" s="115"/>
      <c r="T47" s="25"/>
      <c r="U47" s="13"/>
      <c r="Z47" s="116"/>
      <c r="AA47" s="123"/>
      <c r="AB47" s="123"/>
      <c r="AC47" s="123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25"/>
      <c r="AS47" s="13"/>
      <c r="AV47" s="114"/>
    </row>
    <row r="48" spans="1:48" ht="19.5" x14ac:dyDescent="0.4">
      <c r="A48" s="117"/>
      <c r="B48" s="123"/>
      <c r="C48" s="123"/>
      <c r="D48" s="123"/>
      <c r="I48" s="25">
        <v>45711</v>
      </c>
      <c r="J48" s="13" t="s">
        <v>146</v>
      </c>
      <c r="K48" s="115"/>
      <c r="L48" s="115"/>
      <c r="M48" s="115"/>
      <c r="N48" s="115"/>
      <c r="O48" s="115"/>
      <c r="P48" s="115"/>
      <c r="Q48" s="115"/>
      <c r="R48" s="115"/>
      <c r="S48" s="115"/>
      <c r="T48" s="25">
        <v>45677</v>
      </c>
      <c r="U48" s="13" t="s">
        <v>147</v>
      </c>
      <c r="Z48" s="116"/>
      <c r="AA48" s="123"/>
      <c r="AB48" s="123"/>
      <c r="AC48" s="123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25"/>
      <c r="AS48" s="13"/>
      <c r="AV48" s="114"/>
    </row>
    <row r="49" spans="1:48" ht="19.5" x14ac:dyDescent="0.4">
      <c r="A49" s="117"/>
      <c r="B49" s="123"/>
      <c r="C49" s="123"/>
      <c r="D49" s="123"/>
      <c r="I49" s="25">
        <v>45711</v>
      </c>
      <c r="J49" s="13" t="s">
        <v>147</v>
      </c>
      <c r="K49" s="115"/>
      <c r="L49" s="115"/>
      <c r="M49" s="115"/>
      <c r="N49" s="115"/>
      <c r="O49" s="115"/>
      <c r="P49" s="115"/>
      <c r="Q49" s="115"/>
      <c r="R49" s="115"/>
      <c r="S49" s="115"/>
      <c r="T49" s="25">
        <v>45677</v>
      </c>
      <c r="U49" s="25" t="s">
        <v>147</v>
      </c>
      <c r="Z49" s="116"/>
      <c r="AA49" s="123"/>
      <c r="AB49" s="123"/>
      <c r="AC49" s="123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25"/>
      <c r="AS49" s="13"/>
      <c r="AV49" s="114"/>
    </row>
    <row r="50" spans="1:48" ht="19.5" x14ac:dyDescent="0.4">
      <c r="A50" s="117"/>
      <c r="B50" s="123"/>
      <c r="C50" s="123"/>
      <c r="D50" s="123"/>
      <c r="I50" s="134" t="s">
        <v>205</v>
      </c>
      <c r="J50" s="13">
        <f>SUBTOTAL(3,J44:J49)</f>
        <v>6</v>
      </c>
      <c r="K50" s="115"/>
      <c r="L50" s="115"/>
      <c r="M50" s="115"/>
      <c r="N50" s="115"/>
      <c r="O50" s="115"/>
      <c r="P50" s="115"/>
      <c r="Q50" s="115"/>
      <c r="R50" s="115"/>
      <c r="S50" s="115"/>
      <c r="T50" s="25"/>
      <c r="U50" s="25"/>
      <c r="Z50" s="116"/>
      <c r="AA50" s="123"/>
      <c r="AB50" s="123"/>
      <c r="AC50" s="123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25"/>
      <c r="AS50" s="13"/>
      <c r="AV50" s="114"/>
    </row>
    <row r="51" spans="1:48" ht="19.5" x14ac:dyDescent="0.4">
      <c r="A51" s="117"/>
      <c r="B51" s="123"/>
      <c r="C51" s="123"/>
      <c r="D51" s="123"/>
      <c r="G51" s="115"/>
      <c r="H51" s="115"/>
      <c r="I51" s="25">
        <v>45712</v>
      </c>
      <c r="J51" s="15" t="s">
        <v>147</v>
      </c>
      <c r="K51" s="115"/>
      <c r="L51" s="115"/>
      <c r="M51" s="115"/>
      <c r="N51" s="115"/>
      <c r="O51" s="115"/>
      <c r="P51" s="115"/>
      <c r="Q51" s="115"/>
      <c r="R51" s="115"/>
      <c r="S51" s="115"/>
      <c r="T51" s="25"/>
      <c r="U51" s="25"/>
      <c r="Z51" s="116"/>
      <c r="AA51" s="123"/>
      <c r="AB51" s="123"/>
      <c r="AC51" s="123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25"/>
      <c r="AS51" s="13"/>
      <c r="AV51" s="114"/>
    </row>
    <row r="52" spans="1:48" ht="19.5" x14ac:dyDescent="0.4">
      <c r="A52" s="117"/>
      <c r="B52" s="123"/>
      <c r="C52" s="123"/>
      <c r="D52" s="123"/>
      <c r="I52" s="25">
        <v>45712</v>
      </c>
      <c r="J52" s="15" t="s">
        <v>147</v>
      </c>
      <c r="K52" s="115"/>
      <c r="L52" s="115"/>
      <c r="M52" s="115"/>
      <c r="N52" s="115"/>
      <c r="O52" s="115"/>
      <c r="P52" s="115"/>
      <c r="Q52" s="115"/>
      <c r="R52" s="115"/>
      <c r="S52" s="115"/>
      <c r="T52" s="25">
        <v>45678</v>
      </c>
      <c r="U52" s="13" t="s">
        <v>147</v>
      </c>
      <c r="Z52" s="116"/>
      <c r="AA52" s="123"/>
      <c r="AB52" s="123"/>
      <c r="AC52" s="123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25"/>
      <c r="AS52" s="13"/>
      <c r="AV52" s="114"/>
    </row>
    <row r="53" spans="1:48" ht="19.5" x14ac:dyDescent="0.4">
      <c r="A53" s="117"/>
      <c r="B53" s="123"/>
      <c r="C53" s="123"/>
      <c r="D53" s="123"/>
      <c r="H53" s="115"/>
      <c r="I53" s="25">
        <v>45712</v>
      </c>
      <c r="J53" s="15" t="s">
        <v>147</v>
      </c>
      <c r="K53" s="115"/>
      <c r="L53" s="115"/>
      <c r="M53" s="115"/>
      <c r="N53" s="115"/>
      <c r="O53" s="115"/>
      <c r="P53" s="115"/>
      <c r="Q53" s="115"/>
      <c r="R53" s="115"/>
      <c r="S53" s="115"/>
      <c r="T53" s="25"/>
      <c r="U53" s="13"/>
      <c r="Z53" s="116"/>
      <c r="AA53" s="123"/>
      <c r="AB53" s="123"/>
      <c r="AC53" s="123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25"/>
      <c r="AS53" s="13"/>
      <c r="AV53" s="114"/>
    </row>
    <row r="54" spans="1:48" ht="19.5" x14ac:dyDescent="0.4">
      <c r="A54" s="117"/>
      <c r="B54" s="123"/>
      <c r="C54" s="123"/>
      <c r="D54" s="123"/>
      <c r="I54" s="25">
        <v>45712</v>
      </c>
      <c r="J54" s="133" t="s">
        <v>147</v>
      </c>
      <c r="K54" s="115"/>
      <c r="L54" s="115"/>
      <c r="M54" s="115"/>
      <c r="N54" s="115"/>
      <c r="O54" s="115"/>
      <c r="P54" s="115"/>
      <c r="Q54" s="115"/>
      <c r="R54" s="115"/>
      <c r="S54" s="115"/>
      <c r="T54" s="25">
        <v>45678</v>
      </c>
      <c r="U54" s="13" t="s">
        <v>146</v>
      </c>
      <c r="Z54" s="116"/>
      <c r="AA54" s="123"/>
      <c r="AB54" s="123"/>
      <c r="AC54" s="123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25"/>
      <c r="AS54" s="13"/>
      <c r="AV54" s="114"/>
    </row>
    <row r="55" spans="1:48" ht="19.5" x14ac:dyDescent="0.4">
      <c r="A55" s="117"/>
      <c r="B55" s="123"/>
      <c r="C55" s="123"/>
      <c r="D55" s="123"/>
      <c r="I55" s="25">
        <v>45712</v>
      </c>
      <c r="J55" s="13" t="s">
        <v>146</v>
      </c>
      <c r="K55" s="115"/>
      <c r="L55" s="115"/>
      <c r="M55" s="115"/>
      <c r="N55" s="115"/>
      <c r="O55" s="115"/>
      <c r="P55" s="115"/>
      <c r="Q55" s="115"/>
      <c r="R55" s="115"/>
      <c r="S55" s="115"/>
      <c r="T55" s="25">
        <v>45678</v>
      </c>
      <c r="U55" s="13" t="s">
        <v>148</v>
      </c>
      <c r="Z55" s="116"/>
      <c r="AA55" s="123"/>
      <c r="AB55" s="123"/>
      <c r="AC55" s="123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25"/>
      <c r="AS55" s="13"/>
      <c r="AV55" s="114"/>
    </row>
    <row r="56" spans="1:48" ht="19.5" x14ac:dyDescent="0.4">
      <c r="A56" s="117"/>
      <c r="B56" s="123"/>
      <c r="C56" s="123"/>
      <c r="D56" s="123"/>
      <c r="G56" s="115"/>
      <c r="H56" s="115"/>
      <c r="I56" s="25">
        <v>45712</v>
      </c>
      <c r="J56" s="13" t="s">
        <v>146</v>
      </c>
      <c r="K56" s="115"/>
      <c r="L56" s="115"/>
      <c r="M56" s="115"/>
      <c r="N56" s="115"/>
      <c r="O56" s="115"/>
      <c r="P56" s="115"/>
      <c r="Q56" s="115"/>
      <c r="R56" s="115"/>
      <c r="S56" s="115"/>
      <c r="T56" s="25"/>
      <c r="U56" s="13"/>
      <c r="Z56" s="116"/>
      <c r="AA56" s="123"/>
      <c r="AB56" s="123"/>
      <c r="AC56" s="123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25"/>
      <c r="AS56" s="13"/>
      <c r="AV56" s="114"/>
    </row>
    <row r="57" spans="1:48" ht="19.5" x14ac:dyDescent="0.4">
      <c r="A57" s="117"/>
      <c r="B57" s="123"/>
      <c r="C57" s="123"/>
      <c r="D57" s="123"/>
      <c r="I57" s="25">
        <v>45712</v>
      </c>
      <c r="J57" s="13" t="s">
        <v>148</v>
      </c>
      <c r="K57" s="115"/>
      <c r="L57" s="115"/>
      <c r="M57" s="115"/>
      <c r="N57" s="115"/>
      <c r="O57" s="115"/>
      <c r="P57" s="115"/>
      <c r="Q57" s="115"/>
      <c r="R57" s="115"/>
      <c r="S57" s="115"/>
      <c r="T57" s="25">
        <v>45678</v>
      </c>
      <c r="U57" s="13" t="s">
        <v>148</v>
      </c>
      <c r="Z57" s="116"/>
      <c r="AA57" s="123"/>
      <c r="AB57" s="123"/>
      <c r="AC57" s="123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25"/>
      <c r="AS57" s="13"/>
      <c r="AV57" s="114"/>
    </row>
    <row r="58" spans="1:48" ht="19.5" x14ac:dyDescent="0.4">
      <c r="A58" s="117"/>
      <c r="B58" s="123"/>
      <c r="C58" s="123"/>
      <c r="D58" s="123"/>
      <c r="I58" s="25">
        <v>45712</v>
      </c>
      <c r="J58" s="13" t="s">
        <v>148</v>
      </c>
      <c r="K58" s="115"/>
      <c r="L58" s="115"/>
      <c r="M58" s="115"/>
      <c r="N58" s="115"/>
      <c r="O58" s="115"/>
      <c r="P58" s="115"/>
      <c r="Q58" s="115"/>
      <c r="R58" s="115"/>
      <c r="S58" s="115"/>
      <c r="T58" s="25">
        <v>45678</v>
      </c>
      <c r="U58" s="13" t="s">
        <v>148</v>
      </c>
      <c r="Z58" s="116"/>
      <c r="AA58" s="123"/>
      <c r="AB58" s="123"/>
      <c r="AC58" s="123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25"/>
      <c r="AS58" s="13"/>
      <c r="AV58" s="114"/>
    </row>
    <row r="59" spans="1:48" ht="19.5" x14ac:dyDescent="0.4">
      <c r="A59" s="117"/>
      <c r="B59" s="123"/>
      <c r="C59" s="123"/>
      <c r="D59" s="123"/>
      <c r="I59" s="25">
        <v>45712</v>
      </c>
      <c r="J59" s="25" t="s">
        <v>147</v>
      </c>
      <c r="K59" s="115"/>
      <c r="L59" s="115"/>
      <c r="M59" s="115"/>
      <c r="N59" s="115"/>
      <c r="O59" s="115"/>
      <c r="P59" s="115"/>
      <c r="Q59" s="115"/>
      <c r="R59" s="115"/>
      <c r="S59" s="115"/>
      <c r="T59" s="25">
        <v>45679</v>
      </c>
      <c r="U59" s="15" t="s">
        <v>146</v>
      </c>
      <c r="Z59" s="116"/>
      <c r="AA59" s="123"/>
      <c r="AB59" s="123"/>
      <c r="AC59" s="123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25"/>
      <c r="AS59" s="13"/>
      <c r="AV59" s="114"/>
    </row>
    <row r="60" spans="1:48" ht="19.5" x14ac:dyDescent="0.4">
      <c r="A60" s="117"/>
      <c r="B60" s="123"/>
      <c r="C60" s="123"/>
      <c r="D60" s="123"/>
      <c r="I60" s="134" t="s">
        <v>206</v>
      </c>
      <c r="J60" s="13">
        <f>SUBTOTAL(3,J51:J59)</f>
        <v>9</v>
      </c>
      <c r="K60" s="115"/>
      <c r="L60" s="115"/>
      <c r="M60" s="115"/>
      <c r="N60" s="115"/>
      <c r="O60" s="115"/>
      <c r="P60" s="115"/>
      <c r="Q60" s="115"/>
      <c r="R60" s="115"/>
      <c r="S60" s="115"/>
      <c r="T60" s="25"/>
      <c r="U60" s="15"/>
      <c r="Z60" s="116"/>
      <c r="AA60" s="123"/>
      <c r="AB60" s="123"/>
      <c r="AC60" s="123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25"/>
      <c r="AS60" s="13"/>
      <c r="AV60" s="114"/>
    </row>
    <row r="61" spans="1:48" ht="19.5" x14ac:dyDescent="0.4">
      <c r="A61" s="117"/>
      <c r="B61" s="123"/>
      <c r="C61" s="123"/>
      <c r="D61" s="123"/>
      <c r="H61" s="115"/>
      <c r="I61" s="25">
        <v>45713</v>
      </c>
      <c r="J61" s="13" t="s">
        <v>147</v>
      </c>
      <c r="K61" s="115"/>
      <c r="L61" s="115"/>
      <c r="M61" s="115"/>
      <c r="N61" s="115"/>
      <c r="O61" s="115"/>
      <c r="P61" s="115"/>
      <c r="Q61" s="115"/>
      <c r="R61" s="115"/>
      <c r="S61" s="115"/>
      <c r="T61" s="25"/>
      <c r="U61" s="15"/>
      <c r="Z61" s="116"/>
      <c r="AA61" s="123"/>
      <c r="AB61" s="123"/>
      <c r="AC61" s="123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25"/>
      <c r="AS61" s="13"/>
      <c r="AV61" s="114"/>
    </row>
    <row r="62" spans="1:48" ht="19.5" x14ac:dyDescent="0.4">
      <c r="A62" s="117"/>
      <c r="B62" s="123"/>
      <c r="C62" s="123"/>
      <c r="D62" s="123"/>
      <c r="I62" s="25">
        <v>45713</v>
      </c>
      <c r="J62" s="15" t="s">
        <v>148</v>
      </c>
      <c r="K62" s="115"/>
      <c r="L62" s="115"/>
      <c r="M62" s="115"/>
      <c r="N62" s="115"/>
      <c r="O62" s="115"/>
      <c r="P62" s="115"/>
      <c r="Q62" s="115"/>
      <c r="R62" s="115"/>
      <c r="S62" s="115"/>
      <c r="T62" s="25">
        <v>45679</v>
      </c>
      <c r="U62" s="15" t="s">
        <v>148</v>
      </c>
      <c r="Z62" s="116"/>
      <c r="AA62" s="123"/>
      <c r="AB62" s="123"/>
      <c r="AC62" s="123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25"/>
      <c r="AS62" s="13"/>
      <c r="AV62" s="114"/>
    </row>
    <row r="63" spans="1:48" ht="19.5" x14ac:dyDescent="0.4">
      <c r="A63" s="117"/>
      <c r="B63" s="123"/>
      <c r="C63" s="123"/>
      <c r="D63" s="123"/>
      <c r="I63" s="25">
        <v>45713</v>
      </c>
      <c r="J63" s="15" t="s">
        <v>147</v>
      </c>
      <c r="K63" s="115"/>
      <c r="L63" s="115"/>
      <c r="M63" s="115"/>
      <c r="N63" s="115"/>
      <c r="O63" s="115"/>
      <c r="P63" s="115"/>
      <c r="Q63" s="115"/>
      <c r="R63" s="115"/>
      <c r="S63" s="115"/>
      <c r="T63" s="25">
        <v>45679</v>
      </c>
      <c r="U63" s="13" t="s">
        <v>147</v>
      </c>
      <c r="Z63" s="116"/>
      <c r="AA63" s="123"/>
      <c r="AB63" s="123"/>
      <c r="AC63" s="123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25"/>
      <c r="AS63" s="13"/>
      <c r="AV63" s="114"/>
    </row>
    <row r="64" spans="1:48" ht="19.5" x14ac:dyDescent="0.4">
      <c r="A64" s="117"/>
      <c r="B64" s="123"/>
      <c r="C64" s="123"/>
      <c r="D64" s="123"/>
      <c r="G64" s="115"/>
      <c r="H64" s="115"/>
      <c r="I64" s="25">
        <v>45713</v>
      </c>
      <c r="J64" s="15" t="s">
        <v>147</v>
      </c>
      <c r="K64" s="115"/>
      <c r="L64" s="115"/>
      <c r="M64" s="115"/>
      <c r="N64" s="115"/>
      <c r="O64" s="115"/>
      <c r="P64" s="115"/>
      <c r="Q64" s="115"/>
      <c r="R64" s="115"/>
      <c r="S64" s="115"/>
      <c r="T64" s="25"/>
      <c r="U64" s="13"/>
      <c r="Z64" s="116"/>
      <c r="AA64" s="123"/>
      <c r="AB64" s="123"/>
      <c r="AC64" s="123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25"/>
      <c r="AS64" s="13"/>
      <c r="AV64" s="114"/>
    </row>
    <row r="65" spans="1:48" ht="19.5" x14ac:dyDescent="0.4">
      <c r="A65" s="117"/>
      <c r="B65" s="123"/>
      <c r="C65" s="123"/>
      <c r="D65" s="123"/>
      <c r="I65" s="25">
        <v>45713</v>
      </c>
      <c r="J65" s="15" t="s">
        <v>147</v>
      </c>
      <c r="T65" s="25">
        <v>45679</v>
      </c>
      <c r="U65" s="13" t="s">
        <v>147</v>
      </c>
      <c r="Z65" s="116"/>
      <c r="AA65" s="123"/>
      <c r="AB65" s="123"/>
      <c r="AC65" s="123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25"/>
      <c r="AS65" s="13"/>
      <c r="AV65" s="114"/>
    </row>
    <row r="66" spans="1:48" ht="19.5" x14ac:dyDescent="0.4">
      <c r="A66" s="117"/>
      <c r="B66" s="123"/>
      <c r="C66" s="123"/>
      <c r="D66" s="123"/>
      <c r="I66" s="25">
        <v>45713</v>
      </c>
      <c r="J66" s="15" t="s">
        <v>146</v>
      </c>
      <c r="K66" s="115"/>
      <c r="L66" s="115"/>
      <c r="M66" s="115"/>
      <c r="N66" s="115"/>
      <c r="O66" s="115"/>
      <c r="P66" s="115"/>
      <c r="Q66" s="115"/>
      <c r="R66" s="115"/>
      <c r="S66" s="115"/>
      <c r="T66" s="25">
        <v>45679</v>
      </c>
      <c r="U66" s="13" t="s">
        <v>146</v>
      </c>
      <c r="Z66" s="116"/>
      <c r="AA66" s="123"/>
      <c r="AB66" s="123"/>
      <c r="AC66" s="123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25"/>
      <c r="AS66" s="13"/>
      <c r="AV66" s="114"/>
    </row>
    <row r="67" spans="1:48" ht="19.5" x14ac:dyDescent="0.4">
      <c r="A67" s="117"/>
      <c r="B67" s="123"/>
      <c r="C67" s="123"/>
      <c r="D67" s="123"/>
      <c r="I67" s="25">
        <v>45713</v>
      </c>
      <c r="J67" s="15" t="s">
        <v>148</v>
      </c>
      <c r="K67" s="115"/>
      <c r="L67" s="115"/>
      <c r="M67" s="115"/>
      <c r="N67" s="115"/>
      <c r="O67" s="115"/>
      <c r="P67" s="115"/>
      <c r="Q67" s="115"/>
      <c r="R67" s="115"/>
      <c r="S67" s="115"/>
      <c r="T67" s="25">
        <v>45679</v>
      </c>
      <c r="U67" s="13" t="s">
        <v>147</v>
      </c>
      <c r="Z67" s="116"/>
      <c r="AA67" s="123"/>
      <c r="AB67" s="123"/>
      <c r="AC67" s="123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25"/>
      <c r="AS67" s="13"/>
      <c r="AV67" s="114"/>
    </row>
    <row r="68" spans="1:48" ht="19.5" x14ac:dyDescent="0.4">
      <c r="A68" s="117"/>
      <c r="B68" s="123"/>
      <c r="C68" s="123"/>
      <c r="D68" s="123"/>
      <c r="I68" s="25">
        <v>45713</v>
      </c>
      <c r="J68" s="15" t="s">
        <v>147</v>
      </c>
      <c r="K68" s="115"/>
      <c r="L68" s="115"/>
      <c r="M68" s="115"/>
      <c r="N68" s="115"/>
      <c r="O68" s="115"/>
      <c r="P68" s="115"/>
      <c r="Q68" s="115"/>
      <c r="R68" s="115"/>
      <c r="S68" s="115"/>
      <c r="T68" s="25">
        <v>45680</v>
      </c>
      <c r="U68" s="13" t="s">
        <v>148</v>
      </c>
      <c r="Z68" s="116"/>
      <c r="AA68" s="123"/>
      <c r="AB68" s="123"/>
      <c r="AC68" s="123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25"/>
      <c r="AS68" s="13"/>
      <c r="AV68" s="114"/>
    </row>
    <row r="69" spans="1:48" ht="19.5" x14ac:dyDescent="0.4">
      <c r="A69" s="117"/>
      <c r="B69" s="123"/>
      <c r="C69" s="123"/>
      <c r="D69" s="123"/>
      <c r="I69" s="25">
        <v>45713</v>
      </c>
      <c r="J69" s="105" t="s">
        <v>147</v>
      </c>
      <c r="K69" s="115"/>
      <c r="L69" s="115"/>
      <c r="M69" s="115"/>
      <c r="N69" s="115"/>
      <c r="O69" s="115"/>
      <c r="P69" s="115"/>
      <c r="Q69" s="115"/>
      <c r="R69" s="115"/>
      <c r="S69" s="115"/>
      <c r="T69" s="25">
        <v>45680</v>
      </c>
      <c r="U69" s="13" t="s">
        <v>147</v>
      </c>
      <c r="Z69" s="116"/>
      <c r="AA69" s="123"/>
      <c r="AB69" s="123"/>
      <c r="AC69" s="123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25"/>
      <c r="AS69" s="13"/>
      <c r="AV69" s="114"/>
    </row>
    <row r="70" spans="1:48" ht="19.5" x14ac:dyDescent="0.4">
      <c r="A70" s="117"/>
      <c r="B70" s="123"/>
      <c r="C70" s="123"/>
      <c r="D70" s="123"/>
      <c r="I70" s="25">
        <v>45713</v>
      </c>
      <c r="J70" s="105" t="s">
        <v>147</v>
      </c>
      <c r="K70" s="115"/>
      <c r="L70" s="115"/>
      <c r="M70" s="115"/>
      <c r="N70" s="115"/>
      <c r="O70" s="115"/>
      <c r="P70" s="115"/>
      <c r="Q70" s="115"/>
      <c r="R70" s="115"/>
      <c r="S70" s="115"/>
      <c r="T70" s="25">
        <v>45680</v>
      </c>
      <c r="U70" s="13" t="s">
        <v>147</v>
      </c>
      <c r="Z70" s="116"/>
      <c r="AA70" s="123"/>
      <c r="AB70" s="123"/>
      <c r="AC70" s="123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25"/>
      <c r="AS70" s="13"/>
      <c r="AV70" s="114"/>
    </row>
    <row r="71" spans="1:48" ht="19.5" x14ac:dyDescent="0.4">
      <c r="A71" s="117"/>
      <c r="B71" s="123"/>
      <c r="C71" s="123"/>
      <c r="D71" s="123"/>
      <c r="I71" s="134" t="s">
        <v>207</v>
      </c>
      <c r="J71" s="13">
        <f>SUBTOTAL(3,J61:J70)</f>
        <v>10</v>
      </c>
      <c r="K71" s="115"/>
      <c r="L71" s="115"/>
      <c r="M71" s="115"/>
      <c r="N71" s="115"/>
      <c r="O71" s="115"/>
      <c r="P71" s="115"/>
      <c r="Q71" s="115"/>
      <c r="R71" s="115"/>
      <c r="S71" s="115"/>
      <c r="T71" s="25"/>
      <c r="U71" s="13"/>
      <c r="Z71" s="116"/>
      <c r="AA71" s="123"/>
      <c r="AB71" s="123"/>
      <c r="AC71" s="123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25"/>
      <c r="AS71" s="13"/>
      <c r="AV71" s="114"/>
    </row>
    <row r="72" spans="1:48" ht="19.5" x14ac:dyDescent="0.4">
      <c r="A72" s="117"/>
      <c r="B72" s="123"/>
      <c r="C72" s="123"/>
      <c r="D72" s="123"/>
      <c r="H72" s="115"/>
      <c r="I72" s="25">
        <v>45714</v>
      </c>
      <c r="J72" s="13" t="s">
        <v>147</v>
      </c>
      <c r="K72" s="115"/>
      <c r="L72" s="115"/>
      <c r="M72" s="115"/>
      <c r="N72" s="115"/>
      <c r="O72" s="115"/>
      <c r="P72" s="115"/>
      <c r="Q72" s="115"/>
      <c r="R72" s="115"/>
      <c r="S72" s="115"/>
      <c r="T72" s="25"/>
      <c r="U72" s="13"/>
      <c r="Z72" s="116"/>
      <c r="AA72" s="123"/>
      <c r="AB72" s="123"/>
      <c r="AC72" s="123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25"/>
      <c r="AS72" s="13"/>
      <c r="AV72" s="114"/>
    </row>
    <row r="73" spans="1:48" ht="19.5" x14ac:dyDescent="0.4">
      <c r="A73" s="117"/>
      <c r="B73" s="123"/>
      <c r="C73" s="123"/>
      <c r="D73" s="123"/>
      <c r="I73" s="25">
        <v>45714</v>
      </c>
      <c r="J73" s="13" t="s">
        <v>147</v>
      </c>
      <c r="K73" s="115"/>
      <c r="L73" s="115"/>
      <c r="M73" s="115"/>
      <c r="N73" s="115"/>
      <c r="O73" s="115"/>
      <c r="P73" s="115"/>
      <c r="Q73" s="115"/>
      <c r="R73" s="115"/>
      <c r="S73" s="115"/>
      <c r="T73" s="25">
        <v>45680</v>
      </c>
      <c r="U73" s="13" t="s">
        <v>146</v>
      </c>
      <c r="Z73" s="116"/>
      <c r="AA73" s="123"/>
      <c r="AB73" s="123"/>
      <c r="AC73" s="123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25"/>
      <c r="AS73" s="13"/>
      <c r="AV73" s="114"/>
    </row>
    <row r="74" spans="1:48" ht="19.5" x14ac:dyDescent="0.4">
      <c r="A74" s="117"/>
      <c r="B74" s="123"/>
      <c r="C74" s="123"/>
      <c r="D74" s="123"/>
      <c r="I74" s="25">
        <v>45714</v>
      </c>
      <c r="J74" s="13" t="s">
        <v>147</v>
      </c>
      <c r="K74" s="115"/>
      <c r="L74" s="115"/>
      <c r="M74" s="115"/>
      <c r="N74" s="115"/>
      <c r="O74" s="115"/>
      <c r="P74" s="115"/>
      <c r="Q74" s="115"/>
      <c r="R74" s="115"/>
      <c r="S74" s="115"/>
      <c r="T74" s="25">
        <v>45680</v>
      </c>
      <c r="U74" s="13" t="s">
        <v>146</v>
      </c>
      <c r="Z74" s="116"/>
      <c r="AA74" s="123"/>
      <c r="AB74" s="123"/>
      <c r="AC74" s="123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25"/>
      <c r="AS74" s="13"/>
      <c r="AV74" s="114"/>
    </row>
    <row r="75" spans="1:48" ht="19.5" x14ac:dyDescent="0.4">
      <c r="A75" s="117"/>
      <c r="B75" s="123"/>
      <c r="C75" s="123"/>
      <c r="D75" s="123"/>
      <c r="F75" s="115"/>
      <c r="G75" s="115"/>
      <c r="H75" s="115"/>
      <c r="I75" s="25">
        <v>45714</v>
      </c>
      <c r="J75" s="13" t="s">
        <v>147</v>
      </c>
      <c r="K75" s="115"/>
      <c r="L75" s="115"/>
      <c r="M75" s="115"/>
      <c r="N75" s="115"/>
      <c r="O75" s="115"/>
      <c r="P75" s="115"/>
      <c r="Q75" s="115"/>
      <c r="R75" s="115"/>
      <c r="S75" s="115"/>
      <c r="T75" s="25">
        <v>45680</v>
      </c>
      <c r="U75" s="13" t="s">
        <v>147</v>
      </c>
      <c r="Z75" s="116"/>
      <c r="AA75" s="123"/>
      <c r="AB75" s="123"/>
      <c r="AC75" s="123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25"/>
      <c r="AS75" s="13"/>
      <c r="AV75" s="114"/>
    </row>
    <row r="76" spans="1:48" ht="19.5" x14ac:dyDescent="0.4">
      <c r="A76" s="117"/>
      <c r="B76" s="123"/>
      <c r="C76" s="123"/>
      <c r="D76" s="123"/>
      <c r="F76" s="115"/>
      <c r="G76" s="115"/>
      <c r="H76" s="115"/>
      <c r="I76" s="25">
        <v>45714</v>
      </c>
      <c r="J76" s="13" t="s">
        <v>146</v>
      </c>
      <c r="K76" s="115"/>
      <c r="L76" s="115"/>
      <c r="M76" s="115"/>
      <c r="N76" s="115"/>
      <c r="O76" s="115"/>
      <c r="P76" s="115"/>
      <c r="Q76" s="115"/>
      <c r="R76" s="115"/>
      <c r="S76" s="115"/>
      <c r="T76" s="25"/>
      <c r="U76" s="13"/>
      <c r="Z76" s="116"/>
      <c r="AA76" s="123"/>
      <c r="AB76" s="123"/>
      <c r="AC76" s="123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25"/>
      <c r="AS76" s="13"/>
      <c r="AV76" s="114"/>
    </row>
    <row r="77" spans="1:48" ht="19.5" x14ac:dyDescent="0.4">
      <c r="A77" s="117"/>
      <c r="B77" s="123"/>
      <c r="C77" s="123"/>
      <c r="D77" s="123"/>
      <c r="F77" s="115"/>
      <c r="G77" s="115"/>
      <c r="H77" s="115"/>
      <c r="I77" s="25">
        <v>45714</v>
      </c>
      <c r="J77" s="13" t="s">
        <v>146</v>
      </c>
      <c r="K77" s="115"/>
      <c r="L77" s="115"/>
      <c r="M77" s="115"/>
      <c r="N77" s="115"/>
      <c r="O77" s="115"/>
      <c r="P77" s="115"/>
      <c r="Q77" s="115"/>
      <c r="R77" s="115"/>
      <c r="S77" s="115"/>
      <c r="T77" s="25">
        <v>45680</v>
      </c>
      <c r="U77" s="15" t="s">
        <v>142</v>
      </c>
      <c r="Z77" s="116"/>
      <c r="AA77" s="123"/>
      <c r="AB77" s="123"/>
      <c r="AC77" s="123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25"/>
      <c r="AS77" s="13"/>
      <c r="AV77" s="114"/>
    </row>
    <row r="78" spans="1:48" ht="19.5" x14ac:dyDescent="0.4">
      <c r="A78" s="117"/>
      <c r="B78" s="123"/>
      <c r="C78" s="123"/>
      <c r="D78" s="123"/>
      <c r="F78" s="115"/>
      <c r="G78" s="115"/>
      <c r="H78" s="115"/>
      <c r="I78" s="25">
        <v>45714</v>
      </c>
      <c r="J78" s="13" t="s">
        <v>146</v>
      </c>
      <c r="K78" s="115"/>
      <c r="L78" s="115"/>
      <c r="M78" s="115"/>
      <c r="N78" s="115"/>
      <c r="O78" s="115"/>
      <c r="P78" s="115"/>
      <c r="Q78" s="115"/>
      <c r="R78" s="115"/>
      <c r="S78" s="115"/>
      <c r="T78" s="25">
        <v>45680</v>
      </c>
      <c r="U78" s="15" t="s">
        <v>146</v>
      </c>
      <c r="Z78" s="116"/>
      <c r="AA78" s="123"/>
      <c r="AB78" s="123"/>
      <c r="AC78" s="123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25"/>
      <c r="AS78" s="13"/>
      <c r="AV78" s="114"/>
    </row>
    <row r="79" spans="1:48" ht="19.5" x14ac:dyDescent="0.4">
      <c r="A79" s="117"/>
      <c r="B79" s="123"/>
      <c r="C79" s="123"/>
      <c r="D79" s="123"/>
      <c r="F79" s="115"/>
      <c r="G79" s="115"/>
      <c r="H79" s="115"/>
      <c r="I79" s="25">
        <v>45714</v>
      </c>
      <c r="J79" s="13" t="s">
        <v>147</v>
      </c>
      <c r="K79" s="115"/>
      <c r="L79" s="115"/>
      <c r="M79" s="115"/>
      <c r="N79" s="115"/>
      <c r="O79" s="115"/>
      <c r="P79" s="115"/>
      <c r="Q79" s="115"/>
      <c r="R79" s="115"/>
      <c r="S79" s="115"/>
      <c r="T79" s="25">
        <v>45680</v>
      </c>
      <c r="U79" s="15" t="s">
        <v>146</v>
      </c>
      <c r="Z79" s="116"/>
      <c r="AA79" s="123"/>
      <c r="AB79" s="123"/>
      <c r="AC79" s="123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25"/>
      <c r="AS79" s="13"/>
      <c r="AV79" s="114"/>
    </row>
    <row r="80" spans="1:48" ht="19.5" x14ac:dyDescent="0.4">
      <c r="A80" s="117"/>
      <c r="B80" s="123"/>
      <c r="C80" s="123"/>
      <c r="D80" s="123"/>
      <c r="F80" s="115"/>
      <c r="G80" s="115"/>
      <c r="H80" s="115"/>
      <c r="I80" s="25">
        <v>45714</v>
      </c>
      <c r="J80" s="13" t="s">
        <v>147</v>
      </c>
      <c r="K80" s="115"/>
      <c r="L80" s="115"/>
      <c r="M80" s="115"/>
      <c r="N80" s="115"/>
      <c r="O80" s="115"/>
      <c r="P80" s="115"/>
      <c r="Q80" s="115"/>
      <c r="R80" s="115"/>
      <c r="S80" s="115"/>
      <c r="T80" s="25"/>
      <c r="U80" s="15"/>
      <c r="Z80" s="116"/>
      <c r="AA80" s="123"/>
      <c r="AB80" s="123"/>
      <c r="AC80" s="123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25"/>
      <c r="AS80" s="13"/>
      <c r="AV80" s="114"/>
    </row>
    <row r="81" spans="1:48" ht="19.5" x14ac:dyDescent="0.4">
      <c r="A81" s="117"/>
      <c r="B81" s="123"/>
      <c r="C81" s="123"/>
      <c r="D81" s="123"/>
      <c r="F81" s="115"/>
      <c r="G81" s="115"/>
      <c r="H81" s="115"/>
      <c r="I81" s="25">
        <v>45714</v>
      </c>
      <c r="J81" s="13" t="s">
        <v>146</v>
      </c>
      <c r="K81" s="115"/>
      <c r="L81" s="115"/>
      <c r="M81" s="115"/>
      <c r="N81" s="115"/>
      <c r="O81" s="115"/>
      <c r="P81" s="115"/>
      <c r="Q81" s="115"/>
      <c r="R81" s="115"/>
      <c r="S81" s="115"/>
      <c r="T81" s="25">
        <v>45680</v>
      </c>
      <c r="U81" s="15" t="s">
        <v>146</v>
      </c>
      <c r="Z81" s="116"/>
      <c r="AA81" s="123"/>
      <c r="AB81" s="123"/>
      <c r="AC81" s="123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25"/>
      <c r="AS81" s="13"/>
      <c r="AV81" s="114"/>
    </row>
    <row r="82" spans="1:48" ht="19.5" x14ac:dyDescent="0.4">
      <c r="A82" s="117"/>
      <c r="B82" s="123"/>
      <c r="C82" s="123"/>
      <c r="D82" s="123"/>
      <c r="F82" s="115"/>
      <c r="G82" s="115"/>
      <c r="H82" s="115"/>
      <c r="I82" s="25">
        <v>45714</v>
      </c>
      <c r="J82" s="13" t="s">
        <v>146</v>
      </c>
      <c r="K82" s="115"/>
      <c r="L82" s="115"/>
      <c r="M82" s="115"/>
      <c r="N82" s="115"/>
      <c r="O82" s="115"/>
      <c r="P82" s="115"/>
      <c r="Q82" s="115"/>
      <c r="R82" s="115"/>
      <c r="S82" s="115"/>
      <c r="T82" s="25">
        <v>45680</v>
      </c>
      <c r="U82" s="15" t="s">
        <v>147</v>
      </c>
      <c r="Z82" s="116"/>
      <c r="AA82" s="123"/>
      <c r="AB82" s="123"/>
      <c r="AC82" s="123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25"/>
      <c r="AS82" s="13"/>
      <c r="AV82" s="114"/>
    </row>
    <row r="83" spans="1:48" ht="19.5" x14ac:dyDescent="0.4">
      <c r="A83" s="117"/>
      <c r="B83" s="123"/>
      <c r="C83" s="123"/>
      <c r="D83" s="123"/>
      <c r="F83" s="115"/>
      <c r="G83" s="115"/>
      <c r="H83" s="115"/>
      <c r="I83" s="25">
        <v>45714</v>
      </c>
      <c r="J83" s="13" t="s">
        <v>146</v>
      </c>
      <c r="K83" s="115"/>
      <c r="L83" s="115"/>
      <c r="M83" s="115"/>
      <c r="N83" s="115"/>
      <c r="O83" s="115"/>
      <c r="P83" s="115"/>
      <c r="Q83" s="115"/>
      <c r="R83" s="115"/>
      <c r="S83" s="115"/>
      <c r="T83" s="25"/>
      <c r="U83" s="13"/>
      <c r="Z83" s="116"/>
      <c r="AA83" s="123"/>
      <c r="AB83" s="123"/>
      <c r="AC83" s="123"/>
      <c r="AH83" s="115"/>
      <c r="AI83" s="115"/>
      <c r="AJ83" s="115"/>
      <c r="AK83" s="115"/>
      <c r="AL83" s="115"/>
      <c r="AM83" s="115"/>
      <c r="AN83" s="115"/>
      <c r="AO83" s="115"/>
      <c r="AP83" s="115"/>
      <c r="AQ83" s="115"/>
      <c r="AR83" s="25"/>
      <c r="AS83" s="13"/>
      <c r="AV83" s="114"/>
    </row>
    <row r="84" spans="1:48" ht="19.5" x14ac:dyDescent="0.4">
      <c r="A84" s="117"/>
      <c r="B84" s="123"/>
      <c r="C84" s="123"/>
      <c r="D84" s="123"/>
      <c r="F84" s="115"/>
      <c r="G84" s="115"/>
      <c r="H84" s="115"/>
      <c r="I84" s="25">
        <v>45714</v>
      </c>
      <c r="J84" s="13" t="s">
        <v>148</v>
      </c>
      <c r="K84" s="115"/>
      <c r="L84" s="115"/>
      <c r="M84" s="115"/>
      <c r="N84" s="115"/>
      <c r="O84" s="115"/>
      <c r="P84" s="115"/>
      <c r="Q84" s="115"/>
      <c r="R84" s="115"/>
      <c r="S84" s="115"/>
      <c r="T84" s="25">
        <v>45680</v>
      </c>
      <c r="U84" s="13" t="s">
        <v>146</v>
      </c>
      <c r="Z84" s="116"/>
      <c r="AA84" s="123"/>
      <c r="AB84" s="123"/>
      <c r="AC84" s="123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25"/>
      <c r="AS84" s="13"/>
      <c r="AV84" s="114"/>
    </row>
    <row r="85" spans="1:48" ht="19.5" x14ac:dyDescent="0.4">
      <c r="A85" s="117"/>
      <c r="B85" s="123"/>
      <c r="C85" s="123"/>
      <c r="D85" s="123"/>
      <c r="F85" s="115"/>
      <c r="G85" s="115"/>
      <c r="H85" s="115"/>
      <c r="I85" s="25">
        <v>45714</v>
      </c>
      <c r="J85" s="13" t="s">
        <v>146</v>
      </c>
      <c r="K85" s="115"/>
      <c r="L85" s="115"/>
      <c r="M85" s="115"/>
      <c r="N85" s="115"/>
      <c r="O85" s="115"/>
      <c r="P85" s="115"/>
      <c r="Q85" s="115"/>
      <c r="R85" s="115"/>
      <c r="S85" s="115"/>
      <c r="T85" s="25">
        <v>45680</v>
      </c>
      <c r="U85" s="13" t="s">
        <v>147</v>
      </c>
      <c r="Z85" s="116"/>
      <c r="AA85" s="123"/>
      <c r="AB85" s="123"/>
      <c r="AC85" s="123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25"/>
      <c r="AS85" s="13"/>
      <c r="AV85" s="114"/>
    </row>
    <row r="86" spans="1:48" ht="19.5" x14ac:dyDescent="0.4">
      <c r="A86" s="117"/>
      <c r="B86" s="123"/>
      <c r="C86" s="123"/>
      <c r="D86" s="123"/>
      <c r="F86" s="115"/>
      <c r="G86" s="115"/>
      <c r="H86" s="115"/>
      <c r="I86" s="25">
        <v>45714</v>
      </c>
      <c r="J86" s="13" t="s">
        <v>147</v>
      </c>
      <c r="K86" s="115"/>
      <c r="L86" s="115"/>
      <c r="M86" s="115"/>
      <c r="N86" s="115"/>
      <c r="O86" s="115"/>
      <c r="P86" s="115"/>
      <c r="Q86" s="115"/>
      <c r="R86" s="115"/>
      <c r="S86" s="115"/>
      <c r="T86" s="25">
        <v>45680</v>
      </c>
      <c r="U86" s="13" t="s">
        <v>146</v>
      </c>
      <c r="Z86" s="116"/>
      <c r="AA86" s="123"/>
      <c r="AB86" s="123"/>
      <c r="AC86" s="123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25"/>
      <c r="AS86" s="13"/>
      <c r="AV86" s="114"/>
    </row>
    <row r="87" spans="1:48" ht="19.5" x14ac:dyDescent="0.4">
      <c r="A87" s="117"/>
      <c r="B87" s="123"/>
      <c r="C87" s="123"/>
      <c r="D87" s="123"/>
      <c r="I87" s="25">
        <v>45714</v>
      </c>
      <c r="J87" s="13" t="s">
        <v>146</v>
      </c>
      <c r="T87" s="25">
        <v>45680</v>
      </c>
      <c r="U87" s="13" t="s">
        <v>146</v>
      </c>
      <c r="Z87" s="117"/>
      <c r="AA87" s="123"/>
      <c r="AB87" s="123"/>
      <c r="AC87" s="123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 t="s">
        <v>149</v>
      </c>
      <c r="AR87" s="13">
        <f>SUBTOTAL(3,AR2:AR2)</f>
        <v>1</v>
      </c>
      <c r="AS87" s="13">
        <f>SUBTOTAL(3,AS2:AS2)</f>
        <v>1</v>
      </c>
      <c r="AV87" s="114"/>
    </row>
    <row r="88" spans="1:48" ht="19.5" x14ac:dyDescent="0.4">
      <c r="A88" s="117"/>
      <c r="B88" s="123"/>
      <c r="C88" s="123"/>
      <c r="D88" s="123"/>
      <c r="I88" s="25">
        <v>45714</v>
      </c>
      <c r="J88" s="13" t="s">
        <v>146</v>
      </c>
      <c r="K88" s="115"/>
      <c r="L88" s="115"/>
      <c r="M88" s="115"/>
      <c r="N88" s="115"/>
      <c r="O88" s="115"/>
      <c r="P88" s="115"/>
      <c r="Q88" s="115"/>
      <c r="R88" s="115"/>
      <c r="S88" s="115"/>
      <c r="T88" s="25">
        <v>45682</v>
      </c>
      <c r="U88" s="13" t="s">
        <v>147</v>
      </c>
      <c r="Z88" s="117"/>
      <c r="AA88" s="123"/>
      <c r="AB88" s="123"/>
      <c r="AC88" s="123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3"/>
      <c r="AS88" s="13"/>
      <c r="AV88" s="114"/>
    </row>
    <row r="89" spans="1:48" ht="19.5" x14ac:dyDescent="0.4">
      <c r="A89" s="117"/>
      <c r="B89" s="123"/>
      <c r="C89" s="123"/>
      <c r="D89" s="123"/>
      <c r="I89" s="25">
        <v>45714</v>
      </c>
      <c r="J89" s="13" t="s">
        <v>146</v>
      </c>
      <c r="K89" s="115"/>
      <c r="L89" s="115"/>
      <c r="M89" s="115"/>
      <c r="N89" s="115"/>
      <c r="O89" s="115"/>
      <c r="P89" s="115"/>
      <c r="Q89" s="115"/>
      <c r="R89" s="115"/>
      <c r="S89" s="115"/>
      <c r="T89" s="25">
        <v>45682</v>
      </c>
      <c r="U89" s="13" t="s">
        <v>146</v>
      </c>
      <c r="Z89" s="117"/>
      <c r="AA89" s="123"/>
      <c r="AB89" s="123"/>
      <c r="AC89" s="123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3"/>
      <c r="AS89" s="13"/>
      <c r="AV89" s="114"/>
    </row>
    <row r="90" spans="1:48" ht="19.5" x14ac:dyDescent="0.4">
      <c r="A90" s="117"/>
      <c r="B90" s="123"/>
      <c r="C90" s="123"/>
      <c r="D90" s="123"/>
      <c r="G90" s="115"/>
      <c r="H90" s="115"/>
      <c r="I90" s="25">
        <v>45714</v>
      </c>
      <c r="J90" s="13" t="s">
        <v>146</v>
      </c>
      <c r="K90" s="115"/>
      <c r="L90" s="115"/>
      <c r="M90" s="115"/>
      <c r="N90" s="115"/>
      <c r="O90" s="115"/>
      <c r="P90" s="115"/>
      <c r="Q90" s="115"/>
      <c r="R90" s="115"/>
      <c r="S90" s="115"/>
      <c r="T90" s="25"/>
      <c r="U90" s="13"/>
      <c r="Z90" s="117"/>
      <c r="AA90" s="123"/>
      <c r="AB90" s="123"/>
      <c r="AC90" s="123"/>
      <c r="AH90" s="115"/>
      <c r="AI90" s="115"/>
      <c r="AJ90" s="115"/>
      <c r="AK90" s="115"/>
      <c r="AL90" s="115"/>
      <c r="AM90" s="115"/>
      <c r="AN90" s="115"/>
      <c r="AO90" s="115"/>
      <c r="AP90" s="115"/>
      <c r="AQ90" s="115"/>
      <c r="AR90" s="13"/>
      <c r="AS90" s="13"/>
      <c r="AV90" s="114"/>
    </row>
    <row r="91" spans="1:48" ht="19.5" x14ac:dyDescent="0.4">
      <c r="A91" s="117"/>
      <c r="B91" s="123"/>
      <c r="C91" s="123"/>
      <c r="D91" s="123"/>
      <c r="G91" s="115"/>
      <c r="H91" s="115"/>
      <c r="I91" s="134" t="s">
        <v>208</v>
      </c>
      <c r="J91" s="13">
        <f>SUBTOTAL(3,J72:J90)</f>
        <v>19</v>
      </c>
      <c r="K91" s="115"/>
      <c r="L91" s="115"/>
      <c r="M91" s="115"/>
      <c r="N91" s="115"/>
      <c r="O91" s="115"/>
      <c r="P91" s="115"/>
      <c r="Q91" s="115"/>
      <c r="R91" s="115"/>
      <c r="S91" s="115"/>
      <c r="T91" s="25"/>
      <c r="U91" s="13"/>
      <c r="Z91" s="117"/>
      <c r="AA91" s="123"/>
      <c r="AB91" s="123"/>
      <c r="AC91" s="123"/>
      <c r="AH91" s="115"/>
      <c r="AI91" s="115"/>
      <c r="AJ91" s="115"/>
      <c r="AK91" s="115"/>
      <c r="AL91" s="115"/>
      <c r="AM91" s="115"/>
      <c r="AN91" s="115"/>
      <c r="AO91" s="115"/>
      <c r="AP91" s="115"/>
      <c r="AQ91" s="115"/>
      <c r="AR91" s="13"/>
      <c r="AS91" s="13"/>
      <c r="AV91" s="114"/>
    </row>
    <row r="92" spans="1:48" ht="19.5" x14ac:dyDescent="0.4">
      <c r="A92" s="117"/>
      <c r="B92" s="123"/>
      <c r="C92" s="123"/>
      <c r="D92" s="123"/>
      <c r="I92" s="25">
        <v>45715</v>
      </c>
      <c r="J92" s="13" t="s">
        <v>147</v>
      </c>
      <c r="K92" s="115"/>
      <c r="L92" s="115"/>
      <c r="M92" s="115"/>
      <c r="N92" s="115"/>
      <c r="O92" s="115"/>
      <c r="P92" s="115"/>
      <c r="Q92" s="115"/>
      <c r="R92" s="115"/>
      <c r="S92" s="115"/>
      <c r="T92" s="25">
        <v>45682</v>
      </c>
      <c r="U92" s="13" t="s">
        <v>147</v>
      </c>
      <c r="Z92" s="117"/>
      <c r="AA92" s="123"/>
      <c r="AB92" s="123"/>
      <c r="AC92" s="123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3"/>
      <c r="AS92" s="13"/>
      <c r="AV92" s="114"/>
    </row>
    <row r="93" spans="1:48" ht="19.5" x14ac:dyDescent="0.4">
      <c r="A93" s="117"/>
      <c r="B93" s="123"/>
      <c r="C93" s="123"/>
      <c r="D93" s="123"/>
      <c r="I93" s="134" t="s">
        <v>209</v>
      </c>
      <c r="J93" s="13">
        <f>SUBTOTAL(3,J92:J92)</f>
        <v>1</v>
      </c>
      <c r="K93" s="115"/>
      <c r="L93" s="115"/>
      <c r="M93" s="115"/>
      <c r="N93" s="115"/>
      <c r="O93" s="115"/>
      <c r="P93" s="115"/>
      <c r="Q93" s="115"/>
      <c r="R93" s="115"/>
      <c r="S93" s="115"/>
      <c r="T93" s="25"/>
      <c r="U93" s="13"/>
      <c r="Z93" s="117"/>
      <c r="AA93" s="123"/>
      <c r="AB93" s="123"/>
      <c r="AC93" s="123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3"/>
      <c r="AS93" s="13"/>
      <c r="AV93" s="114"/>
    </row>
    <row r="94" spans="1:48" ht="19.5" x14ac:dyDescent="0.4">
      <c r="A94" s="117"/>
      <c r="B94" s="123"/>
      <c r="C94" s="123"/>
      <c r="D94" s="123"/>
      <c r="I94" s="25">
        <v>45716</v>
      </c>
      <c r="J94" s="13" t="s">
        <v>146</v>
      </c>
      <c r="T94" s="25">
        <v>45682</v>
      </c>
      <c r="U94" s="15" t="s">
        <v>146</v>
      </c>
      <c r="Z94" s="117"/>
      <c r="AA94" s="123"/>
      <c r="AB94" s="123"/>
      <c r="AC94" s="123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3"/>
      <c r="AS94" s="13"/>
      <c r="AV94" s="114"/>
    </row>
    <row r="95" spans="1:48" ht="19.5" x14ac:dyDescent="0.4">
      <c r="A95" s="117"/>
      <c r="B95" s="123"/>
      <c r="C95" s="123"/>
      <c r="D95" s="123"/>
      <c r="I95" s="134" t="s">
        <v>210</v>
      </c>
      <c r="J95" s="13">
        <f>SUBTOTAL(3,J94:J94)</f>
        <v>1</v>
      </c>
      <c r="T95" s="25"/>
      <c r="U95" s="15"/>
      <c r="Z95" s="117"/>
      <c r="AA95" s="123"/>
      <c r="AB95" s="123"/>
      <c r="AC95" s="123"/>
      <c r="AH95" s="115"/>
      <c r="AI95" s="115"/>
      <c r="AJ95" s="115"/>
      <c r="AK95" s="115"/>
      <c r="AL95" s="115"/>
      <c r="AM95" s="115"/>
      <c r="AN95" s="115"/>
      <c r="AO95" s="115"/>
      <c r="AP95" s="115"/>
      <c r="AQ95" s="115"/>
      <c r="AR95" s="13"/>
      <c r="AS95" s="13"/>
      <c r="AV95" s="114"/>
    </row>
    <row r="96" spans="1:48" ht="19.5" x14ac:dyDescent="0.4">
      <c r="A96" s="117"/>
      <c r="B96" s="123"/>
      <c r="C96" s="123"/>
      <c r="D96" s="123"/>
      <c r="I96" s="25">
        <v>45717</v>
      </c>
      <c r="J96" s="13" t="s">
        <v>147</v>
      </c>
      <c r="K96" s="115"/>
      <c r="L96" s="115"/>
      <c r="M96" s="115"/>
      <c r="N96" s="115"/>
      <c r="O96" s="115"/>
      <c r="P96" s="115"/>
      <c r="Q96" s="115"/>
      <c r="R96" s="115"/>
      <c r="S96" s="115"/>
      <c r="T96" s="25">
        <v>45682</v>
      </c>
      <c r="U96" s="15" t="s">
        <v>146</v>
      </c>
      <c r="Z96" s="117"/>
      <c r="AA96" s="123"/>
      <c r="AB96" s="123"/>
      <c r="AC96" s="123"/>
      <c r="AH96" s="115"/>
      <c r="AI96" s="115"/>
      <c r="AJ96" s="115"/>
      <c r="AK96" s="115"/>
      <c r="AL96" s="115"/>
      <c r="AM96" s="115"/>
      <c r="AN96" s="115"/>
      <c r="AO96" s="115"/>
      <c r="AP96" s="115"/>
      <c r="AQ96" s="115"/>
      <c r="AR96" s="13"/>
      <c r="AS96" s="13"/>
      <c r="AV96" s="114"/>
    </row>
    <row r="97" spans="1:48" ht="19.5" x14ac:dyDescent="0.4">
      <c r="A97" s="117"/>
      <c r="B97" s="123"/>
      <c r="C97" s="123"/>
      <c r="D97" s="123"/>
      <c r="I97" s="25">
        <v>45717</v>
      </c>
      <c r="J97" s="13" t="s">
        <v>148</v>
      </c>
      <c r="K97" s="115"/>
      <c r="L97" s="115"/>
      <c r="M97" s="115"/>
      <c r="N97" s="115"/>
      <c r="O97" s="115"/>
      <c r="P97" s="115"/>
      <c r="Q97" s="115"/>
      <c r="R97" s="115"/>
      <c r="S97" s="115"/>
      <c r="T97" s="25">
        <v>45682</v>
      </c>
      <c r="U97" s="15" t="s">
        <v>148</v>
      </c>
      <c r="Z97" s="117"/>
      <c r="AA97" s="123"/>
      <c r="AB97" s="123"/>
      <c r="AC97" s="123"/>
      <c r="AH97" s="115"/>
      <c r="AI97" s="115"/>
      <c r="AJ97" s="115"/>
      <c r="AK97" s="115"/>
      <c r="AL97" s="115"/>
      <c r="AM97" s="115"/>
      <c r="AN97" s="115"/>
      <c r="AO97" s="115"/>
      <c r="AP97" s="115"/>
      <c r="AQ97" s="115"/>
      <c r="AR97" s="13"/>
      <c r="AS97" s="13"/>
      <c r="AV97" s="114"/>
    </row>
    <row r="98" spans="1:48" ht="19.5" x14ac:dyDescent="0.4">
      <c r="A98" s="117"/>
      <c r="B98" s="123"/>
      <c r="C98" s="123"/>
      <c r="D98" s="123"/>
      <c r="I98" s="25">
        <v>45717</v>
      </c>
      <c r="J98" s="13" t="s">
        <v>147</v>
      </c>
      <c r="K98" s="115"/>
      <c r="L98" s="115"/>
      <c r="M98" s="115"/>
      <c r="N98" s="115"/>
      <c r="O98" s="115"/>
      <c r="P98" s="115"/>
      <c r="Q98" s="115"/>
      <c r="R98" s="115"/>
      <c r="S98" s="115"/>
      <c r="T98" s="25">
        <v>45682</v>
      </c>
      <c r="U98" s="15" t="s">
        <v>146</v>
      </c>
      <c r="Z98" s="117"/>
      <c r="AA98" s="123"/>
      <c r="AB98" s="123"/>
      <c r="AC98" s="123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3"/>
      <c r="AS98" s="13"/>
      <c r="AV98" s="114"/>
    </row>
    <row r="99" spans="1:48" ht="19.5" x14ac:dyDescent="0.4">
      <c r="A99" s="117"/>
      <c r="B99" s="123"/>
      <c r="C99" s="123"/>
      <c r="D99" s="123"/>
      <c r="I99" s="25">
        <v>45717</v>
      </c>
      <c r="J99" s="13" t="s">
        <v>148</v>
      </c>
      <c r="K99" s="115"/>
      <c r="L99" s="115"/>
      <c r="M99" s="115"/>
      <c r="N99" s="115"/>
      <c r="O99" s="115"/>
      <c r="P99" s="115"/>
      <c r="Q99" s="115"/>
      <c r="R99" s="115"/>
      <c r="S99" s="115"/>
      <c r="T99" s="25">
        <v>45682</v>
      </c>
      <c r="U99" s="15" t="s">
        <v>148</v>
      </c>
      <c r="Z99" s="117"/>
      <c r="AA99" s="123"/>
      <c r="AB99" s="123"/>
      <c r="AC99" s="123"/>
      <c r="AH99" s="115"/>
      <c r="AI99" s="115"/>
      <c r="AJ99" s="115"/>
      <c r="AK99" s="115"/>
      <c r="AL99" s="115"/>
      <c r="AM99" s="115"/>
      <c r="AN99" s="115"/>
      <c r="AO99" s="115"/>
      <c r="AP99" s="115"/>
      <c r="AQ99" s="115"/>
      <c r="AR99" s="13"/>
      <c r="AS99" s="13"/>
      <c r="AV99" s="114"/>
    </row>
    <row r="100" spans="1:48" ht="19.5" x14ac:dyDescent="0.4">
      <c r="A100" s="117"/>
      <c r="B100" s="123"/>
      <c r="C100" s="123"/>
      <c r="D100" s="123"/>
      <c r="I100" s="25">
        <v>45717</v>
      </c>
      <c r="J100" s="13" t="s">
        <v>146</v>
      </c>
      <c r="K100" s="115"/>
      <c r="L100" s="115"/>
      <c r="M100" s="115"/>
      <c r="N100" s="115"/>
      <c r="O100" s="115"/>
      <c r="P100" s="115"/>
      <c r="Q100" s="115"/>
      <c r="R100" s="115"/>
      <c r="S100" s="115"/>
      <c r="T100" s="25">
        <v>45682</v>
      </c>
      <c r="U100" s="15" t="s">
        <v>148</v>
      </c>
      <c r="Z100" s="117"/>
      <c r="AA100" s="123"/>
      <c r="AB100" s="123"/>
      <c r="AC100" s="123"/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3"/>
      <c r="AS100" s="13"/>
      <c r="AV100" s="114"/>
    </row>
    <row r="101" spans="1:48" ht="19.5" x14ac:dyDescent="0.4">
      <c r="A101" s="117"/>
      <c r="B101" s="123"/>
      <c r="C101" s="123"/>
      <c r="D101" s="123"/>
      <c r="I101" s="25">
        <v>45717</v>
      </c>
      <c r="J101" s="13" t="s">
        <v>146</v>
      </c>
      <c r="K101" s="115"/>
      <c r="L101" s="115"/>
      <c r="M101" s="115"/>
      <c r="N101" s="115"/>
      <c r="O101" s="115"/>
      <c r="P101" s="115"/>
      <c r="Q101" s="115"/>
      <c r="R101" s="115"/>
      <c r="S101" s="115"/>
      <c r="T101" s="25">
        <v>45682</v>
      </c>
      <c r="U101" s="105" t="s">
        <v>148</v>
      </c>
      <c r="Z101" s="117"/>
      <c r="AA101" s="123"/>
      <c r="AB101" s="123"/>
      <c r="AC101" s="123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3"/>
      <c r="AS101" s="13"/>
      <c r="AV101" s="114"/>
    </row>
    <row r="102" spans="1:48" ht="19.5" x14ac:dyDescent="0.4">
      <c r="A102" s="117"/>
      <c r="B102" s="123"/>
      <c r="C102" s="123"/>
      <c r="D102" s="123"/>
      <c r="I102" s="25">
        <v>45717</v>
      </c>
      <c r="J102" s="25" t="s">
        <v>146</v>
      </c>
      <c r="K102" s="115"/>
      <c r="L102" s="115"/>
      <c r="M102" s="115"/>
      <c r="N102" s="115"/>
      <c r="O102" s="115"/>
      <c r="P102" s="115"/>
      <c r="Q102" s="115"/>
      <c r="R102" s="115"/>
      <c r="S102" s="115"/>
      <c r="T102" s="25">
        <v>45682</v>
      </c>
      <c r="U102" s="105" t="s">
        <v>146</v>
      </c>
      <c r="Z102" s="117"/>
      <c r="AA102" s="123"/>
      <c r="AB102" s="123"/>
      <c r="AC102" s="123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3"/>
      <c r="AS102" s="13"/>
      <c r="AV102" s="114"/>
    </row>
    <row r="103" spans="1:48" ht="19.5" x14ac:dyDescent="0.4">
      <c r="A103" s="117"/>
      <c r="B103" s="123"/>
      <c r="C103" s="123"/>
      <c r="D103" s="123"/>
      <c r="F103" s="115"/>
      <c r="G103" s="115"/>
      <c r="H103" s="115"/>
      <c r="I103" s="25">
        <v>45717</v>
      </c>
      <c r="J103" s="25" t="s">
        <v>147</v>
      </c>
      <c r="K103" s="115"/>
      <c r="L103" s="115"/>
      <c r="M103" s="115"/>
      <c r="N103" s="115"/>
      <c r="O103" s="115"/>
      <c r="P103" s="115"/>
      <c r="Q103" s="115"/>
      <c r="R103" s="115"/>
      <c r="S103" s="115"/>
      <c r="T103" s="25">
        <v>45682</v>
      </c>
      <c r="U103" s="15" t="s">
        <v>146</v>
      </c>
      <c r="Z103" s="117"/>
      <c r="AA103" s="123"/>
      <c r="AB103" s="123"/>
      <c r="AC103" s="123"/>
      <c r="AH103" s="115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3"/>
      <c r="AS103" s="13"/>
      <c r="AV103" s="114"/>
    </row>
    <row r="104" spans="1:48" ht="19.5" x14ac:dyDescent="0.4">
      <c r="A104" s="117"/>
      <c r="B104" s="123"/>
      <c r="C104" s="123"/>
      <c r="D104" s="123"/>
      <c r="F104" s="115"/>
      <c r="G104" s="115"/>
      <c r="H104" s="115"/>
      <c r="I104" s="25">
        <v>45717</v>
      </c>
      <c r="J104" s="25" t="s">
        <v>147</v>
      </c>
      <c r="K104" s="115"/>
      <c r="L104" s="115"/>
      <c r="M104" s="115"/>
      <c r="N104" s="115"/>
      <c r="O104" s="115"/>
      <c r="P104" s="115"/>
      <c r="Q104" s="115"/>
      <c r="R104" s="115"/>
      <c r="S104" s="115"/>
      <c r="T104" s="25">
        <v>45683</v>
      </c>
      <c r="U104" s="13" t="s">
        <v>147</v>
      </c>
      <c r="Z104" s="117"/>
      <c r="AA104" s="123"/>
      <c r="AB104" s="123"/>
      <c r="AC104" s="123"/>
      <c r="AH104" s="115"/>
      <c r="AI104" s="115"/>
      <c r="AJ104" s="115"/>
      <c r="AK104" s="115"/>
      <c r="AL104" s="115"/>
      <c r="AM104" s="115"/>
      <c r="AN104" s="115"/>
      <c r="AO104" s="115"/>
      <c r="AP104" s="115"/>
      <c r="AQ104" s="115"/>
      <c r="AR104" s="13"/>
      <c r="AS104" s="13"/>
      <c r="AV104" s="114"/>
    </row>
    <row r="105" spans="1:48" ht="19.5" x14ac:dyDescent="0.4">
      <c r="A105" s="117"/>
      <c r="B105" s="123"/>
      <c r="C105" s="123"/>
      <c r="D105" s="123"/>
      <c r="F105" s="115"/>
      <c r="G105" s="115"/>
      <c r="H105" s="115"/>
      <c r="I105" s="25">
        <v>45717</v>
      </c>
      <c r="J105" s="15" t="s">
        <v>146</v>
      </c>
      <c r="K105" s="115"/>
      <c r="L105" s="115"/>
      <c r="M105" s="115"/>
      <c r="N105" s="115"/>
      <c r="O105" s="115"/>
      <c r="P105" s="115"/>
      <c r="Q105" s="115"/>
      <c r="R105" s="115"/>
      <c r="S105" s="115"/>
      <c r="T105" s="25">
        <v>45683</v>
      </c>
      <c r="U105" s="13" t="s">
        <v>147</v>
      </c>
      <c r="Z105" s="117"/>
      <c r="AA105" s="123"/>
      <c r="AB105" s="123"/>
      <c r="AC105" s="123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3"/>
      <c r="AS105" s="13"/>
      <c r="AV105" s="114"/>
    </row>
    <row r="106" spans="1:48" ht="19.5" x14ac:dyDescent="0.4">
      <c r="A106" s="117"/>
      <c r="B106" s="123"/>
      <c r="C106" s="123"/>
      <c r="D106" s="123"/>
      <c r="F106" s="115"/>
      <c r="G106" s="115"/>
      <c r="H106" s="115"/>
      <c r="I106" s="25">
        <v>45717</v>
      </c>
      <c r="J106" s="15" t="s">
        <v>147</v>
      </c>
      <c r="K106" s="115"/>
      <c r="L106" s="115"/>
      <c r="M106" s="115"/>
      <c r="N106" s="115"/>
      <c r="O106" s="115"/>
      <c r="P106" s="115"/>
      <c r="Q106" s="115"/>
      <c r="R106" s="115"/>
      <c r="S106" s="115"/>
      <c r="T106" s="25"/>
      <c r="U106" s="13"/>
      <c r="Z106" s="117"/>
      <c r="AA106" s="123"/>
      <c r="AB106" s="123"/>
      <c r="AC106" s="123"/>
      <c r="AH106" s="115"/>
      <c r="AI106" s="115"/>
      <c r="AJ106" s="115"/>
      <c r="AK106" s="115"/>
      <c r="AL106" s="115"/>
      <c r="AM106" s="115"/>
      <c r="AN106" s="115"/>
      <c r="AO106" s="115"/>
      <c r="AP106" s="115"/>
      <c r="AQ106" s="115"/>
      <c r="AR106" s="13"/>
      <c r="AS106" s="13"/>
      <c r="AV106" s="114"/>
    </row>
    <row r="107" spans="1:48" ht="19.5" x14ac:dyDescent="0.4">
      <c r="A107" s="117"/>
      <c r="B107" s="123"/>
      <c r="C107" s="123"/>
      <c r="D107" s="123"/>
      <c r="F107" s="115"/>
      <c r="G107" s="115"/>
      <c r="H107" s="115"/>
      <c r="I107" s="25">
        <v>45717</v>
      </c>
      <c r="J107" s="15" t="s">
        <v>147</v>
      </c>
      <c r="K107" s="115"/>
      <c r="L107" s="115"/>
      <c r="M107" s="115"/>
      <c r="N107" s="115"/>
      <c r="O107" s="115"/>
      <c r="P107" s="115"/>
      <c r="Q107" s="115"/>
      <c r="R107" s="115"/>
      <c r="S107" s="115"/>
      <c r="T107" s="25">
        <v>45684</v>
      </c>
      <c r="U107" s="13" t="s">
        <v>146</v>
      </c>
      <c r="Z107" s="117"/>
      <c r="AA107" s="123"/>
      <c r="AB107" s="123"/>
      <c r="AC107" s="123"/>
      <c r="AH107" s="115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3"/>
      <c r="AS107" s="13"/>
      <c r="AV107" s="114"/>
    </row>
    <row r="108" spans="1:48" ht="19.5" x14ac:dyDescent="0.4">
      <c r="A108" s="117"/>
      <c r="B108" s="123"/>
      <c r="C108" s="123"/>
      <c r="D108" s="123"/>
      <c r="F108" s="115"/>
      <c r="G108" s="115"/>
      <c r="H108" s="115"/>
      <c r="I108" s="25">
        <v>45717</v>
      </c>
      <c r="J108" s="13" t="s">
        <v>142</v>
      </c>
      <c r="K108" s="115"/>
      <c r="L108" s="115"/>
      <c r="M108" s="115"/>
      <c r="N108" s="115"/>
      <c r="O108" s="115"/>
      <c r="P108" s="115"/>
      <c r="Q108" s="115"/>
      <c r="R108" s="115"/>
      <c r="S108" s="115"/>
      <c r="T108" s="25"/>
      <c r="U108" s="13"/>
      <c r="Z108" s="117"/>
      <c r="AA108" s="123"/>
      <c r="AB108" s="123"/>
      <c r="AC108" s="123"/>
      <c r="AH108" s="115"/>
      <c r="AI108" s="115"/>
      <c r="AJ108" s="115"/>
      <c r="AK108" s="115"/>
      <c r="AL108" s="115"/>
      <c r="AM108" s="115"/>
      <c r="AN108" s="115"/>
      <c r="AO108" s="115"/>
      <c r="AP108" s="115"/>
      <c r="AQ108" s="115"/>
      <c r="AR108" s="13"/>
      <c r="AS108" s="13"/>
      <c r="AV108" s="114"/>
    </row>
    <row r="109" spans="1:48" ht="19.5" x14ac:dyDescent="0.4">
      <c r="A109" s="117"/>
      <c r="B109" s="123"/>
      <c r="C109" s="123"/>
      <c r="D109" s="123"/>
      <c r="F109" s="115"/>
      <c r="G109" s="115"/>
      <c r="H109" s="115"/>
      <c r="I109" s="25">
        <v>45717</v>
      </c>
      <c r="J109" s="13" t="s">
        <v>147</v>
      </c>
      <c r="K109" s="115"/>
      <c r="L109" s="115"/>
      <c r="M109" s="115"/>
      <c r="N109" s="115"/>
      <c r="O109" s="115"/>
      <c r="P109" s="115"/>
      <c r="Q109" s="115"/>
      <c r="R109" s="115"/>
      <c r="S109" s="115"/>
      <c r="T109" s="25">
        <v>45684</v>
      </c>
      <c r="U109" s="13" t="s">
        <v>148</v>
      </c>
      <c r="Z109" s="117"/>
      <c r="AA109" s="123"/>
      <c r="AB109" s="123"/>
      <c r="AC109" s="123"/>
      <c r="AH109" s="115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3"/>
      <c r="AS109" s="13"/>
      <c r="AV109" s="114"/>
    </row>
    <row r="110" spans="1:48" ht="19.5" x14ac:dyDescent="0.4">
      <c r="A110" s="117"/>
      <c r="B110" s="123"/>
      <c r="C110" s="123"/>
      <c r="D110" s="123"/>
      <c r="F110" s="115"/>
      <c r="G110" s="115"/>
      <c r="H110" s="115"/>
      <c r="I110" s="134" t="s">
        <v>396</v>
      </c>
      <c r="J110" s="13">
        <f>SUBTOTAL(3,J96:J109)</f>
        <v>14</v>
      </c>
      <c r="K110" s="115"/>
      <c r="L110" s="115"/>
      <c r="M110" s="115"/>
      <c r="N110" s="115"/>
      <c r="O110" s="115"/>
      <c r="P110" s="115"/>
      <c r="Q110" s="115"/>
      <c r="R110" s="115"/>
      <c r="S110" s="115"/>
      <c r="T110" s="25"/>
      <c r="U110" s="13"/>
      <c r="Z110" s="117"/>
      <c r="AA110" s="123"/>
      <c r="AB110" s="123"/>
      <c r="AC110" s="123"/>
      <c r="AH110" s="115"/>
      <c r="AI110" s="115"/>
      <c r="AJ110" s="115"/>
      <c r="AK110" s="115"/>
      <c r="AL110" s="115"/>
      <c r="AM110" s="115"/>
      <c r="AN110" s="115"/>
      <c r="AO110" s="115"/>
      <c r="AP110" s="115"/>
      <c r="AQ110" s="115"/>
      <c r="AR110" s="13"/>
      <c r="AS110" s="13"/>
      <c r="AV110" s="114"/>
    </row>
    <row r="111" spans="1:48" ht="19.5" x14ac:dyDescent="0.4">
      <c r="A111" s="117"/>
      <c r="B111" s="123"/>
      <c r="C111" s="123"/>
      <c r="D111" s="123"/>
      <c r="F111" s="115"/>
      <c r="G111" s="115"/>
      <c r="H111" s="115"/>
      <c r="I111" s="25">
        <v>45718</v>
      </c>
      <c r="J111" s="13" t="s">
        <v>146</v>
      </c>
      <c r="K111" s="115"/>
      <c r="L111" s="115"/>
      <c r="M111" s="115"/>
      <c r="N111" s="115"/>
      <c r="O111" s="115"/>
      <c r="P111" s="115"/>
      <c r="Q111" s="115"/>
      <c r="R111" s="115"/>
      <c r="S111" s="115"/>
      <c r="T111" s="25"/>
      <c r="U111" s="13"/>
      <c r="Z111" s="117"/>
      <c r="AA111" s="123"/>
      <c r="AB111" s="123"/>
      <c r="AC111" s="123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3"/>
      <c r="AS111" s="13"/>
      <c r="AV111" s="114"/>
    </row>
    <row r="112" spans="1:48" ht="19.5" x14ac:dyDescent="0.4">
      <c r="A112" s="117"/>
      <c r="B112" s="123"/>
      <c r="C112" s="123"/>
      <c r="D112" s="123"/>
      <c r="F112" s="115"/>
      <c r="G112" s="115"/>
      <c r="H112" s="115"/>
      <c r="I112" s="25">
        <v>45718</v>
      </c>
      <c r="J112" s="13" t="s">
        <v>147</v>
      </c>
      <c r="K112" s="115"/>
      <c r="L112" s="115"/>
      <c r="M112" s="115"/>
      <c r="N112" s="115"/>
      <c r="O112" s="115"/>
      <c r="P112" s="115"/>
      <c r="Q112" s="115"/>
      <c r="R112" s="115"/>
      <c r="S112" s="115"/>
      <c r="T112" s="25"/>
      <c r="U112" s="13"/>
      <c r="Z112" s="117"/>
      <c r="AA112" s="123"/>
      <c r="AB112" s="123"/>
      <c r="AC112" s="123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3"/>
      <c r="AS112" s="13"/>
      <c r="AV112" s="114"/>
    </row>
    <row r="113" spans="1:48" ht="19.5" x14ac:dyDescent="0.4">
      <c r="A113" s="117"/>
      <c r="B113" s="123"/>
      <c r="C113" s="123"/>
      <c r="D113" s="123"/>
      <c r="F113" s="115"/>
      <c r="G113" s="115"/>
      <c r="H113" s="115"/>
      <c r="I113" s="25">
        <v>45718</v>
      </c>
      <c r="J113" s="13" t="s">
        <v>146</v>
      </c>
      <c r="K113" s="115"/>
      <c r="L113" s="115"/>
      <c r="M113" s="115"/>
      <c r="N113" s="115"/>
      <c r="O113" s="115"/>
      <c r="P113" s="115"/>
      <c r="Q113" s="115"/>
      <c r="R113" s="115"/>
      <c r="S113" s="115"/>
      <c r="T113" s="25">
        <v>45684</v>
      </c>
      <c r="U113" s="13" t="s">
        <v>147</v>
      </c>
      <c r="Z113" s="117"/>
      <c r="AA113" s="123"/>
      <c r="AB113" s="123"/>
      <c r="AC113" s="123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3"/>
      <c r="AS113" s="13"/>
      <c r="AV113" s="114"/>
    </row>
    <row r="114" spans="1:48" ht="19.5" x14ac:dyDescent="0.4">
      <c r="A114" s="117"/>
      <c r="B114" s="123"/>
      <c r="C114" s="123"/>
      <c r="D114" s="123"/>
      <c r="F114" s="115"/>
      <c r="G114" s="115"/>
      <c r="H114" s="115"/>
      <c r="I114" s="25">
        <v>45718</v>
      </c>
      <c r="J114" s="13" t="s">
        <v>148</v>
      </c>
      <c r="K114" s="115"/>
      <c r="L114" s="115"/>
      <c r="M114" s="115"/>
      <c r="N114" s="115"/>
      <c r="O114" s="115"/>
      <c r="P114" s="115"/>
      <c r="Q114" s="115"/>
      <c r="R114" s="115"/>
      <c r="S114" s="115"/>
      <c r="T114" s="25">
        <v>45684</v>
      </c>
      <c r="U114" s="13" t="s">
        <v>146</v>
      </c>
      <c r="Z114" s="117"/>
      <c r="AA114" s="123"/>
      <c r="AB114" s="123"/>
      <c r="AC114" s="123"/>
      <c r="AH114" s="115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3"/>
      <c r="AS114" s="13"/>
      <c r="AV114" s="114"/>
    </row>
    <row r="115" spans="1:48" ht="19.5" x14ac:dyDescent="0.4">
      <c r="A115" s="117"/>
      <c r="B115" s="123"/>
      <c r="C115" s="123"/>
      <c r="D115" s="123"/>
      <c r="F115" s="115"/>
      <c r="G115" s="115"/>
      <c r="H115" s="115"/>
      <c r="I115" s="134" t="s">
        <v>397</v>
      </c>
      <c r="J115" s="13">
        <f>SUBTOTAL(3,J111:J114)</f>
        <v>4</v>
      </c>
      <c r="K115" s="115"/>
      <c r="L115" s="115"/>
      <c r="M115" s="115"/>
      <c r="N115" s="115"/>
      <c r="O115" s="115"/>
      <c r="P115" s="115"/>
      <c r="Q115" s="115"/>
      <c r="R115" s="115"/>
      <c r="S115" s="115"/>
      <c r="T115" s="25"/>
      <c r="U115" s="13"/>
      <c r="Z115" s="117"/>
      <c r="AA115" s="123"/>
      <c r="AB115" s="123"/>
      <c r="AC115" s="123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3"/>
      <c r="AS115" s="13"/>
      <c r="AV115" s="114"/>
    </row>
    <row r="116" spans="1:48" ht="19.5" x14ac:dyDescent="0.4">
      <c r="A116" s="117"/>
      <c r="B116" s="123"/>
      <c r="C116" s="123"/>
      <c r="D116" s="123"/>
      <c r="F116" s="115"/>
      <c r="G116" s="115"/>
      <c r="H116" s="115"/>
      <c r="I116" s="25">
        <v>45719</v>
      </c>
      <c r="J116" s="15" t="s">
        <v>146</v>
      </c>
      <c r="K116" s="115"/>
      <c r="L116" s="115"/>
      <c r="M116" s="115"/>
      <c r="N116" s="115"/>
      <c r="O116" s="115"/>
      <c r="P116" s="115"/>
      <c r="Q116" s="115"/>
      <c r="R116" s="115"/>
      <c r="S116" s="115"/>
      <c r="T116" s="25">
        <v>45684</v>
      </c>
      <c r="U116" s="13" t="s">
        <v>147</v>
      </c>
      <c r="Z116" s="117"/>
      <c r="AA116" s="123"/>
      <c r="AB116" s="123"/>
      <c r="AC116" s="123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3"/>
      <c r="AS116" s="13"/>
      <c r="AV116" s="114"/>
    </row>
    <row r="117" spans="1:48" ht="19.5" x14ac:dyDescent="0.4">
      <c r="A117" s="117"/>
      <c r="B117" s="123"/>
      <c r="C117" s="123"/>
      <c r="D117" s="123"/>
      <c r="F117" s="115"/>
      <c r="G117" s="115"/>
      <c r="H117" s="115"/>
      <c r="I117" s="25">
        <v>45719</v>
      </c>
      <c r="J117" s="15" t="s">
        <v>146</v>
      </c>
      <c r="K117" s="115"/>
      <c r="L117" s="115"/>
      <c r="M117" s="115"/>
      <c r="N117" s="115"/>
      <c r="O117" s="115"/>
      <c r="P117" s="115"/>
      <c r="Q117" s="115"/>
      <c r="R117" s="115"/>
      <c r="S117" s="115"/>
      <c r="T117" s="25">
        <v>45684</v>
      </c>
      <c r="U117" s="13" t="s">
        <v>146</v>
      </c>
      <c r="Z117" s="117"/>
      <c r="AA117" s="123"/>
      <c r="AB117" s="123"/>
      <c r="AC117" s="123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3"/>
      <c r="AS117" s="13"/>
      <c r="AV117" s="114"/>
    </row>
    <row r="118" spans="1:48" ht="19.5" x14ac:dyDescent="0.4">
      <c r="A118" s="117"/>
      <c r="B118" s="123"/>
      <c r="C118" s="123"/>
      <c r="D118" s="123"/>
      <c r="F118" s="115"/>
      <c r="G118" s="115"/>
      <c r="H118" s="115"/>
      <c r="I118" s="25">
        <v>45719</v>
      </c>
      <c r="J118" s="15" t="s">
        <v>146</v>
      </c>
      <c r="K118" s="115"/>
      <c r="L118" s="115"/>
      <c r="M118" s="115"/>
      <c r="N118" s="115"/>
      <c r="O118" s="115"/>
      <c r="P118" s="115"/>
      <c r="Q118" s="115"/>
      <c r="R118" s="115"/>
      <c r="S118" s="115"/>
      <c r="T118" s="25">
        <v>45684</v>
      </c>
      <c r="U118" s="13" t="s">
        <v>146</v>
      </c>
      <c r="Z118" s="117"/>
      <c r="AA118" s="123"/>
      <c r="AB118" s="123"/>
      <c r="AC118" s="123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3"/>
      <c r="AS118" s="13"/>
      <c r="AV118" s="114"/>
    </row>
    <row r="119" spans="1:48" ht="19.5" x14ac:dyDescent="0.4">
      <c r="A119" s="117"/>
      <c r="B119" s="123"/>
      <c r="C119" s="123"/>
      <c r="D119" s="123"/>
      <c r="F119" s="115"/>
      <c r="G119" s="115"/>
      <c r="H119" s="115"/>
      <c r="I119" s="25">
        <v>45719</v>
      </c>
      <c r="J119" s="15" t="s">
        <v>146</v>
      </c>
      <c r="K119" s="115"/>
      <c r="L119" s="115"/>
      <c r="M119" s="115"/>
      <c r="N119" s="115"/>
      <c r="O119" s="115"/>
      <c r="P119" s="115"/>
      <c r="Q119" s="115"/>
      <c r="R119" s="115"/>
      <c r="S119" s="115"/>
      <c r="T119" s="25">
        <v>45684</v>
      </c>
      <c r="U119" s="13" t="s">
        <v>147</v>
      </c>
      <c r="Z119" s="117"/>
      <c r="AA119" s="123"/>
      <c r="AB119" s="123"/>
      <c r="AC119" s="123"/>
      <c r="AH119" s="115"/>
      <c r="AI119" s="115"/>
      <c r="AJ119" s="115"/>
      <c r="AK119" s="115"/>
      <c r="AL119" s="115"/>
      <c r="AM119" s="115"/>
      <c r="AN119" s="115"/>
      <c r="AO119" s="115"/>
      <c r="AP119" s="115"/>
      <c r="AQ119" s="115"/>
      <c r="AR119" s="13"/>
      <c r="AS119" s="13"/>
      <c r="AV119" s="114"/>
    </row>
    <row r="120" spans="1:48" ht="19.5" x14ac:dyDescent="0.4">
      <c r="A120" s="117"/>
      <c r="B120" s="123"/>
      <c r="C120" s="123"/>
      <c r="D120" s="123"/>
      <c r="I120" s="25">
        <v>45719</v>
      </c>
      <c r="J120" s="15" t="s">
        <v>147</v>
      </c>
      <c r="T120" s="25">
        <v>45685</v>
      </c>
      <c r="U120" s="13" t="s">
        <v>146</v>
      </c>
      <c r="Z120" s="117"/>
      <c r="AA120" s="123"/>
      <c r="AB120" s="123"/>
      <c r="AC120" s="123"/>
      <c r="AH120" s="115"/>
      <c r="AI120" s="115"/>
      <c r="AJ120" s="115"/>
      <c r="AK120" s="115"/>
      <c r="AL120" s="115"/>
      <c r="AM120" s="115"/>
      <c r="AN120" s="115"/>
      <c r="AO120" s="115"/>
      <c r="AP120" s="115"/>
      <c r="AQ120" s="115"/>
      <c r="AR120" s="25">
        <v>45263</v>
      </c>
      <c r="AS120" s="13" t="s">
        <v>162</v>
      </c>
      <c r="AV120" s="114"/>
    </row>
    <row r="121" spans="1:48" ht="19.5" x14ac:dyDescent="0.4">
      <c r="A121" s="117"/>
      <c r="B121" s="123"/>
      <c r="C121" s="123"/>
      <c r="D121" s="123"/>
      <c r="I121" s="25">
        <v>45719</v>
      </c>
      <c r="J121" s="15" t="s">
        <v>148</v>
      </c>
      <c r="Q121" s="115"/>
      <c r="R121" s="115"/>
      <c r="S121" s="115"/>
      <c r="T121" s="25">
        <v>45685</v>
      </c>
      <c r="U121" s="13" t="s">
        <v>147</v>
      </c>
      <c r="Z121" s="117"/>
      <c r="AA121" s="123"/>
      <c r="AB121" s="123"/>
      <c r="AC121" s="123"/>
      <c r="AH121" s="115"/>
      <c r="AI121" s="115"/>
      <c r="AJ121" s="115"/>
      <c r="AK121" s="115"/>
      <c r="AL121" s="115"/>
      <c r="AM121" s="115"/>
      <c r="AN121" s="115"/>
      <c r="AO121" s="115"/>
      <c r="AP121" s="115"/>
      <c r="AQ121" s="115"/>
      <c r="AR121" s="25"/>
      <c r="AS121" s="13"/>
      <c r="AV121" s="114"/>
    </row>
    <row r="122" spans="1:48" ht="19.5" x14ac:dyDescent="0.4">
      <c r="A122" s="117"/>
      <c r="B122" s="123"/>
      <c r="C122" s="123"/>
      <c r="D122" s="123"/>
      <c r="I122" s="134" t="s">
        <v>211</v>
      </c>
      <c r="J122" s="15">
        <f>SUBTOTAL(3,J116:J121)</f>
        <v>6</v>
      </c>
      <c r="Q122" s="115"/>
      <c r="R122" s="115"/>
      <c r="S122" s="115"/>
      <c r="T122" s="25"/>
      <c r="U122" s="13"/>
      <c r="Z122" s="117"/>
      <c r="AA122" s="123"/>
      <c r="AB122" s="123"/>
      <c r="AC122" s="123"/>
      <c r="AH122" s="115"/>
      <c r="AI122" s="115"/>
      <c r="AJ122" s="115"/>
      <c r="AK122" s="115"/>
      <c r="AL122" s="115"/>
      <c r="AM122" s="115"/>
      <c r="AN122" s="115"/>
      <c r="AO122" s="115"/>
      <c r="AP122" s="115"/>
      <c r="AQ122" s="115"/>
      <c r="AR122" s="25"/>
      <c r="AS122" s="13"/>
      <c r="AV122" s="114"/>
    </row>
    <row r="123" spans="1:48" ht="19.5" x14ac:dyDescent="0.4">
      <c r="A123" s="117"/>
      <c r="B123" s="123"/>
      <c r="C123" s="123"/>
      <c r="D123" s="123"/>
      <c r="I123" s="25">
        <v>45720</v>
      </c>
      <c r="J123" s="15" t="s">
        <v>146</v>
      </c>
      <c r="K123" s="115"/>
      <c r="L123" s="115"/>
      <c r="M123" s="115"/>
      <c r="N123" s="115"/>
      <c r="O123" s="115"/>
      <c r="P123" s="115"/>
      <c r="Q123" s="115"/>
      <c r="R123" s="115"/>
      <c r="S123" s="115"/>
      <c r="T123" s="25">
        <v>45685</v>
      </c>
      <c r="U123" s="13" t="s">
        <v>147</v>
      </c>
      <c r="Z123" s="117"/>
      <c r="AA123" s="123"/>
      <c r="AB123" s="123"/>
      <c r="AC123" s="123"/>
      <c r="AH123" s="115"/>
      <c r="AI123" s="115"/>
      <c r="AJ123" s="115"/>
      <c r="AK123" s="115"/>
      <c r="AL123" s="115"/>
      <c r="AM123" s="115"/>
      <c r="AN123" s="115"/>
      <c r="AO123" s="115"/>
      <c r="AP123" s="115"/>
      <c r="AQ123" s="115"/>
      <c r="AR123" s="25"/>
      <c r="AS123" s="13"/>
      <c r="AV123" s="114"/>
    </row>
    <row r="124" spans="1:48" ht="19.5" x14ac:dyDescent="0.4">
      <c r="A124" s="117"/>
      <c r="B124" s="123"/>
      <c r="C124" s="123"/>
      <c r="D124" s="123"/>
      <c r="I124" s="25">
        <v>45720</v>
      </c>
      <c r="J124" s="15" t="s">
        <v>147</v>
      </c>
      <c r="K124" s="115"/>
      <c r="L124" s="115"/>
      <c r="M124" s="115"/>
      <c r="N124" s="115"/>
      <c r="O124" s="115"/>
      <c r="P124" s="115"/>
      <c r="Q124" s="115"/>
      <c r="R124" s="115"/>
      <c r="S124" s="115"/>
      <c r="T124" s="25">
        <v>45685</v>
      </c>
      <c r="U124" s="13" t="s">
        <v>148</v>
      </c>
      <c r="Z124" s="117"/>
      <c r="AA124" s="123"/>
      <c r="AB124" s="123"/>
      <c r="AC124" s="123"/>
      <c r="AH124" s="115"/>
      <c r="AI124" s="115"/>
      <c r="AJ124" s="115"/>
      <c r="AK124" s="115"/>
      <c r="AL124" s="115"/>
      <c r="AM124" s="115"/>
      <c r="AN124" s="115"/>
      <c r="AO124" s="115"/>
      <c r="AP124" s="115"/>
      <c r="AQ124" s="115"/>
      <c r="AR124" s="25"/>
      <c r="AS124" s="13"/>
      <c r="AV124" s="114"/>
    </row>
    <row r="125" spans="1:48" ht="19.5" x14ac:dyDescent="0.4">
      <c r="A125" s="117"/>
      <c r="B125" s="123"/>
      <c r="C125" s="123"/>
      <c r="D125" s="123"/>
      <c r="I125" s="25">
        <v>45720</v>
      </c>
      <c r="J125" s="15" t="s">
        <v>146</v>
      </c>
      <c r="K125" s="115"/>
      <c r="L125" s="115"/>
      <c r="M125" s="115"/>
      <c r="N125" s="115"/>
      <c r="O125" s="115"/>
      <c r="P125" s="115"/>
      <c r="Q125" s="115"/>
      <c r="R125" s="115"/>
      <c r="S125" s="115"/>
      <c r="T125" s="25">
        <v>45685</v>
      </c>
      <c r="U125" s="13" t="s">
        <v>148</v>
      </c>
      <c r="Z125" s="117"/>
      <c r="AA125" s="123"/>
      <c r="AB125" s="123"/>
      <c r="AC125" s="123"/>
      <c r="AH125" s="115"/>
      <c r="AI125" s="115"/>
      <c r="AJ125" s="115"/>
      <c r="AK125" s="115"/>
      <c r="AL125" s="115"/>
      <c r="AM125" s="115"/>
      <c r="AN125" s="115"/>
      <c r="AO125" s="115"/>
      <c r="AP125" s="115"/>
      <c r="AQ125" s="115"/>
      <c r="AR125" s="25"/>
      <c r="AS125" s="13"/>
      <c r="AV125" s="114"/>
    </row>
    <row r="126" spans="1:48" ht="19.5" x14ac:dyDescent="0.4">
      <c r="A126" s="117"/>
      <c r="B126" s="123"/>
      <c r="C126" s="123"/>
      <c r="D126" s="123"/>
      <c r="I126" s="134" t="s">
        <v>398</v>
      </c>
      <c r="J126" s="15">
        <f>SUBTOTAL(3,J123:J125)</f>
        <v>3</v>
      </c>
      <c r="K126" s="115"/>
      <c r="L126" s="115"/>
      <c r="M126" s="115"/>
      <c r="N126" s="115"/>
      <c r="O126" s="115"/>
      <c r="P126" s="115"/>
      <c r="Q126" s="115"/>
      <c r="R126" s="115"/>
      <c r="S126" s="115"/>
      <c r="T126" s="25"/>
      <c r="U126" s="13"/>
      <c r="Z126" s="117"/>
      <c r="AA126" s="123"/>
      <c r="AB126" s="123"/>
      <c r="AC126" s="123"/>
      <c r="AH126" s="115"/>
      <c r="AI126" s="115"/>
      <c r="AJ126" s="115"/>
      <c r="AK126" s="115"/>
      <c r="AL126" s="115"/>
      <c r="AM126" s="115"/>
      <c r="AN126" s="115"/>
      <c r="AO126" s="115"/>
      <c r="AP126" s="115"/>
      <c r="AQ126" s="115"/>
      <c r="AR126" s="25"/>
      <c r="AS126" s="13"/>
      <c r="AV126" s="114"/>
    </row>
    <row r="127" spans="1:48" ht="19.5" x14ac:dyDescent="0.4">
      <c r="A127" s="117"/>
      <c r="B127" s="123"/>
      <c r="C127" s="123"/>
      <c r="D127" s="123"/>
      <c r="H127" s="115"/>
      <c r="I127" s="25">
        <v>45721</v>
      </c>
      <c r="J127" s="15" t="s">
        <v>148</v>
      </c>
      <c r="K127" s="115"/>
      <c r="L127" s="115"/>
      <c r="M127" s="115"/>
      <c r="N127" s="115"/>
      <c r="O127" s="115"/>
      <c r="P127" s="115"/>
      <c r="Q127" s="115"/>
      <c r="R127" s="115"/>
      <c r="S127" s="115"/>
      <c r="T127" s="25"/>
      <c r="U127" s="13"/>
      <c r="Z127" s="117"/>
      <c r="AA127" s="123"/>
      <c r="AB127" s="123"/>
      <c r="AC127" s="123"/>
      <c r="AH127" s="115"/>
      <c r="AI127" s="115"/>
      <c r="AJ127" s="115"/>
      <c r="AK127" s="115"/>
      <c r="AL127" s="115"/>
      <c r="AM127" s="115"/>
      <c r="AN127" s="115"/>
      <c r="AO127" s="115"/>
      <c r="AP127" s="115"/>
      <c r="AQ127" s="115"/>
      <c r="AR127" s="25"/>
      <c r="AS127" s="13"/>
      <c r="AV127" s="114"/>
    </row>
    <row r="128" spans="1:48" ht="19.5" x14ac:dyDescent="0.4">
      <c r="A128" s="117"/>
      <c r="B128" s="123"/>
      <c r="C128" s="123"/>
      <c r="D128" s="123"/>
      <c r="H128" s="115"/>
      <c r="I128" s="134" t="s">
        <v>399</v>
      </c>
      <c r="J128" s="15">
        <f>SUBTOTAL(3,J127:J127)</f>
        <v>1</v>
      </c>
      <c r="K128" s="115"/>
      <c r="L128" s="115"/>
      <c r="M128" s="115"/>
      <c r="N128" s="115"/>
      <c r="O128" s="115"/>
      <c r="P128" s="115"/>
      <c r="Q128" s="115"/>
      <c r="R128" s="115"/>
      <c r="S128" s="115"/>
      <c r="T128" s="25"/>
      <c r="U128" s="13"/>
      <c r="Z128" s="117"/>
      <c r="AA128" s="123"/>
      <c r="AB128" s="123"/>
      <c r="AC128" s="123"/>
      <c r="AH128" s="115"/>
      <c r="AI128" s="115"/>
      <c r="AJ128" s="115"/>
      <c r="AK128" s="115"/>
      <c r="AL128" s="115"/>
      <c r="AM128" s="115"/>
      <c r="AN128" s="115"/>
      <c r="AO128" s="115"/>
      <c r="AP128" s="115"/>
      <c r="AQ128" s="115"/>
      <c r="AR128" s="25"/>
      <c r="AS128" s="13"/>
      <c r="AV128" s="114"/>
    </row>
    <row r="129" spans="1:48" ht="19.5" x14ac:dyDescent="0.4">
      <c r="A129" s="117"/>
      <c r="B129" s="123"/>
      <c r="C129" s="123"/>
      <c r="D129" s="123"/>
      <c r="I129" s="25">
        <v>45722</v>
      </c>
      <c r="J129" s="15" t="s">
        <v>146</v>
      </c>
      <c r="K129" s="115"/>
      <c r="L129" s="115"/>
      <c r="M129" s="115"/>
      <c r="N129" s="115"/>
      <c r="O129" s="115"/>
      <c r="P129" s="115"/>
      <c r="Q129" s="115"/>
      <c r="R129" s="115"/>
      <c r="S129" s="115"/>
      <c r="T129" s="25">
        <v>45685</v>
      </c>
      <c r="U129" s="13" t="s">
        <v>148</v>
      </c>
      <c r="Z129" s="117"/>
      <c r="AA129" s="123"/>
      <c r="AB129" s="123"/>
      <c r="AC129" s="123"/>
      <c r="AH129" s="115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25"/>
      <c r="AS129" s="13"/>
      <c r="AV129" s="114"/>
    </row>
    <row r="130" spans="1:48" ht="19.5" x14ac:dyDescent="0.4">
      <c r="A130" s="117"/>
      <c r="B130" s="123"/>
      <c r="C130" s="123"/>
      <c r="D130" s="123"/>
      <c r="I130" s="25">
        <v>45722</v>
      </c>
      <c r="J130" s="15" t="s">
        <v>146</v>
      </c>
      <c r="K130" s="115"/>
      <c r="L130" s="115"/>
      <c r="M130" s="115"/>
      <c r="N130" s="115"/>
      <c r="O130" s="115"/>
      <c r="P130" s="115"/>
      <c r="Q130" s="115"/>
      <c r="R130" s="115"/>
      <c r="S130" s="115"/>
      <c r="T130" s="25">
        <v>45685</v>
      </c>
      <c r="U130" s="13" t="s">
        <v>148</v>
      </c>
      <c r="Z130" s="117"/>
      <c r="AA130" s="123"/>
      <c r="AB130" s="123"/>
      <c r="AC130" s="123"/>
      <c r="AH130" s="115"/>
      <c r="AI130" s="115"/>
      <c r="AJ130" s="115"/>
      <c r="AK130" s="115"/>
      <c r="AL130" s="115"/>
      <c r="AM130" s="115"/>
      <c r="AN130" s="115"/>
      <c r="AO130" s="115"/>
      <c r="AP130" s="115"/>
      <c r="AQ130" s="115"/>
      <c r="AR130" s="25"/>
      <c r="AS130" s="13"/>
      <c r="AV130" s="114"/>
    </row>
    <row r="131" spans="1:48" ht="19.5" x14ac:dyDescent="0.4">
      <c r="A131" s="117"/>
      <c r="B131" s="123"/>
      <c r="C131" s="123"/>
      <c r="D131" s="123"/>
      <c r="I131" s="25">
        <v>45722</v>
      </c>
      <c r="J131" s="15" t="s">
        <v>146</v>
      </c>
      <c r="K131" s="115"/>
      <c r="L131" s="115"/>
      <c r="M131" s="115"/>
      <c r="N131" s="115"/>
      <c r="O131" s="115"/>
      <c r="P131" s="115"/>
      <c r="Q131" s="115"/>
      <c r="R131" s="115"/>
      <c r="S131" s="115"/>
      <c r="T131" s="25">
        <v>45685</v>
      </c>
      <c r="U131" s="13" t="s">
        <v>146</v>
      </c>
      <c r="Z131" s="117"/>
      <c r="AA131" s="123"/>
      <c r="AB131" s="123"/>
      <c r="AC131" s="123"/>
      <c r="AH131" s="115"/>
      <c r="AI131" s="115"/>
      <c r="AJ131" s="115"/>
      <c r="AK131" s="115"/>
      <c r="AL131" s="115"/>
      <c r="AM131" s="115"/>
      <c r="AN131" s="115"/>
      <c r="AO131" s="115"/>
      <c r="AP131" s="115"/>
      <c r="AQ131" s="115"/>
      <c r="AR131" s="25"/>
      <c r="AS131" s="13"/>
      <c r="AV131" s="114"/>
    </row>
    <row r="132" spans="1:48" ht="19.5" x14ac:dyDescent="0.4">
      <c r="A132" s="117"/>
      <c r="B132" s="123"/>
      <c r="C132" s="123"/>
      <c r="D132" s="123"/>
      <c r="H132" s="115"/>
      <c r="I132" s="25">
        <v>45722</v>
      </c>
      <c r="J132" s="15" t="s">
        <v>146</v>
      </c>
      <c r="K132" s="115"/>
      <c r="L132" s="115"/>
      <c r="M132" s="115"/>
      <c r="N132" s="115"/>
      <c r="O132" s="115"/>
      <c r="P132" s="115"/>
      <c r="Q132" s="115"/>
      <c r="R132" s="115"/>
      <c r="S132" s="115"/>
      <c r="T132" s="25"/>
      <c r="U132" s="13"/>
      <c r="Z132" s="117"/>
      <c r="AA132" s="123"/>
      <c r="AB132" s="123"/>
      <c r="AC132" s="123"/>
      <c r="AH132" s="115"/>
      <c r="AI132" s="115"/>
      <c r="AJ132" s="115"/>
      <c r="AK132" s="115"/>
      <c r="AL132" s="115"/>
      <c r="AM132" s="115"/>
      <c r="AN132" s="115"/>
      <c r="AO132" s="115"/>
      <c r="AP132" s="115"/>
      <c r="AQ132" s="115"/>
      <c r="AR132" s="25"/>
      <c r="AS132" s="13"/>
      <c r="AV132" s="114"/>
    </row>
    <row r="133" spans="1:48" ht="19.5" x14ac:dyDescent="0.4">
      <c r="A133" s="117"/>
      <c r="B133" s="123"/>
      <c r="C133" s="123"/>
      <c r="D133" s="123"/>
      <c r="I133" s="25">
        <v>45722</v>
      </c>
      <c r="J133" s="15" t="s">
        <v>148</v>
      </c>
      <c r="T133" s="25">
        <v>45685</v>
      </c>
      <c r="U133" s="13" t="s">
        <v>148</v>
      </c>
      <c r="Z133" s="117"/>
      <c r="AA133" s="123"/>
      <c r="AB133" s="123"/>
      <c r="AC133" s="123"/>
      <c r="AH133" s="115"/>
      <c r="AI133" s="115"/>
      <c r="AJ133" s="115"/>
      <c r="AK133" s="115"/>
      <c r="AL133" s="115"/>
      <c r="AM133" s="115"/>
      <c r="AN133" s="115"/>
      <c r="AO133" s="115"/>
      <c r="AP133" s="115"/>
      <c r="AQ133" s="115" t="s">
        <v>150</v>
      </c>
      <c r="AR133" s="13">
        <f>SUBTOTAL(3,AR120:AR120)</f>
        <v>1</v>
      </c>
      <c r="AS133" s="13">
        <f>SUBTOTAL(3,AS120:AS120)</f>
        <v>1</v>
      </c>
      <c r="AV133" s="114"/>
    </row>
    <row r="134" spans="1:48" ht="19.5" x14ac:dyDescent="0.4">
      <c r="A134" s="117"/>
      <c r="B134" s="123"/>
      <c r="C134" s="123"/>
      <c r="D134" s="123"/>
      <c r="G134" s="115"/>
      <c r="H134" s="115"/>
      <c r="I134" s="25">
        <v>45722</v>
      </c>
      <c r="J134" s="15" t="s">
        <v>146</v>
      </c>
      <c r="T134" s="25"/>
      <c r="U134" s="13"/>
      <c r="Z134" s="117"/>
      <c r="AA134" s="123"/>
      <c r="AB134" s="123"/>
      <c r="AC134" s="123"/>
      <c r="AH134" s="115"/>
      <c r="AI134" s="115"/>
      <c r="AJ134" s="115"/>
      <c r="AK134" s="115"/>
      <c r="AL134" s="115"/>
      <c r="AM134" s="115"/>
      <c r="AN134" s="115"/>
      <c r="AO134" s="115"/>
      <c r="AP134" s="115"/>
      <c r="AQ134" s="115"/>
      <c r="AR134" s="13"/>
      <c r="AS134" s="13"/>
      <c r="AV134" s="114"/>
    </row>
    <row r="135" spans="1:48" ht="19.5" x14ac:dyDescent="0.4">
      <c r="A135" s="117"/>
      <c r="B135" s="123"/>
      <c r="C135" s="123"/>
      <c r="D135" s="123"/>
      <c r="I135" s="25">
        <v>45722</v>
      </c>
      <c r="J135" s="15" t="s">
        <v>146</v>
      </c>
      <c r="K135" s="115"/>
      <c r="L135" s="115"/>
      <c r="M135" s="115"/>
      <c r="N135" s="115"/>
      <c r="O135" s="115"/>
      <c r="P135" s="115"/>
      <c r="Q135" s="115"/>
      <c r="R135" s="115"/>
      <c r="S135" s="115"/>
      <c r="T135" s="25">
        <v>45685</v>
      </c>
      <c r="U135" s="15" t="s">
        <v>146</v>
      </c>
      <c r="Z135" s="117"/>
      <c r="AA135" s="123"/>
      <c r="AB135" s="123"/>
      <c r="AC135" s="123"/>
      <c r="AH135" s="115"/>
      <c r="AI135" s="115"/>
      <c r="AJ135" s="115"/>
      <c r="AK135" s="115"/>
      <c r="AL135" s="115"/>
      <c r="AM135" s="115"/>
      <c r="AN135" s="115"/>
      <c r="AO135" s="115"/>
      <c r="AP135" s="115"/>
      <c r="AQ135" s="115"/>
      <c r="AR135" s="13"/>
      <c r="AS135" s="13"/>
      <c r="AV135" s="114"/>
    </row>
    <row r="136" spans="1:48" ht="19.5" x14ac:dyDescent="0.4">
      <c r="A136" s="117"/>
      <c r="B136" s="123"/>
      <c r="C136" s="123"/>
      <c r="D136" s="123"/>
      <c r="I136" s="25">
        <v>45722</v>
      </c>
      <c r="J136" s="15" t="s">
        <v>146</v>
      </c>
      <c r="T136" s="25">
        <v>45685</v>
      </c>
      <c r="U136" s="15" t="s">
        <v>146</v>
      </c>
      <c r="Z136" s="117"/>
      <c r="AA136" s="123"/>
      <c r="AB136" s="123"/>
      <c r="AC136" s="123"/>
      <c r="AH136" s="115"/>
      <c r="AI136" s="115"/>
      <c r="AJ136" s="115"/>
      <c r="AK136" s="115"/>
      <c r="AL136" s="115"/>
      <c r="AM136" s="115"/>
      <c r="AN136" s="115"/>
      <c r="AO136" s="115"/>
      <c r="AP136" s="115"/>
      <c r="AQ136" s="115"/>
      <c r="AR136" s="25">
        <v>45264</v>
      </c>
      <c r="AS136" s="13" t="s">
        <v>162</v>
      </c>
      <c r="AV136" s="114"/>
    </row>
    <row r="137" spans="1:48" ht="19.5" x14ac:dyDescent="0.4">
      <c r="A137" s="117"/>
      <c r="B137" s="123"/>
      <c r="C137" s="123"/>
      <c r="D137" s="123"/>
      <c r="I137" s="25">
        <v>45722</v>
      </c>
      <c r="J137" s="15" t="s">
        <v>147</v>
      </c>
      <c r="P137" s="115"/>
      <c r="Q137" s="115"/>
      <c r="R137" s="115"/>
      <c r="S137" s="115"/>
      <c r="T137" s="25">
        <v>45686</v>
      </c>
      <c r="U137" s="15" t="s">
        <v>148</v>
      </c>
      <c r="Z137" s="117"/>
      <c r="AA137" s="123"/>
      <c r="AB137" s="123"/>
      <c r="AC137" s="123"/>
      <c r="AH137" s="115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25"/>
      <c r="AS137" s="13"/>
      <c r="AV137" s="114"/>
    </row>
    <row r="138" spans="1:48" ht="19.5" x14ac:dyDescent="0.4">
      <c r="A138" s="117"/>
      <c r="B138" s="123"/>
      <c r="C138" s="123"/>
      <c r="D138" s="123"/>
      <c r="I138" s="25">
        <v>45722</v>
      </c>
      <c r="J138" s="15" t="s">
        <v>146</v>
      </c>
      <c r="N138" s="115"/>
      <c r="O138" s="115"/>
      <c r="P138" s="115"/>
      <c r="Q138" s="115"/>
      <c r="R138" s="115"/>
      <c r="S138" s="115"/>
      <c r="T138" s="25">
        <v>45686</v>
      </c>
      <c r="U138" s="15" t="s">
        <v>146</v>
      </c>
      <c r="Z138" s="117"/>
      <c r="AA138" s="123"/>
      <c r="AB138" s="123"/>
      <c r="AC138" s="123"/>
      <c r="AH138" s="115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25"/>
      <c r="AS138" s="13"/>
      <c r="AV138" s="114"/>
    </row>
    <row r="139" spans="1:48" ht="19.5" x14ac:dyDescent="0.4">
      <c r="A139" s="117"/>
      <c r="B139" s="123"/>
      <c r="C139" s="123"/>
      <c r="D139" s="123"/>
      <c r="H139" s="115"/>
      <c r="I139" s="25">
        <v>45722</v>
      </c>
      <c r="J139" s="15" t="s">
        <v>147</v>
      </c>
      <c r="N139" s="115"/>
      <c r="O139" s="115"/>
      <c r="P139" s="115"/>
      <c r="Q139" s="115"/>
      <c r="R139" s="115"/>
      <c r="S139" s="115"/>
      <c r="T139" s="25"/>
      <c r="U139" s="15"/>
      <c r="Z139" s="117"/>
      <c r="AA139" s="123"/>
      <c r="AB139" s="123"/>
      <c r="AC139" s="123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25"/>
      <c r="AS139" s="13"/>
      <c r="AV139" s="114"/>
    </row>
    <row r="140" spans="1:48" ht="19.5" x14ac:dyDescent="0.4">
      <c r="A140" s="117"/>
      <c r="B140" s="123"/>
      <c r="C140" s="123"/>
      <c r="D140" s="123"/>
      <c r="I140" s="26">
        <v>45722</v>
      </c>
      <c r="J140" s="15" t="s">
        <v>146</v>
      </c>
      <c r="N140" s="115"/>
      <c r="O140" s="115"/>
      <c r="P140" s="115"/>
      <c r="Q140" s="115"/>
      <c r="R140" s="115"/>
      <c r="S140" s="115"/>
      <c r="T140" s="25">
        <v>45686</v>
      </c>
      <c r="U140" s="15" t="s">
        <v>148</v>
      </c>
      <c r="Z140" s="117"/>
      <c r="AA140" s="123"/>
      <c r="AB140" s="123"/>
      <c r="AC140" s="123"/>
      <c r="AH140" s="115"/>
      <c r="AI140" s="115"/>
      <c r="AJ140" s="115"/>
      <c r="AK140" s="115"/>
      <c r="AL140" s="115"/>
      <c r="AM140" s="115"/>
      <c r="AN140" s="115"/>
      <c r="AO140" s="115"/>
      <c r="AP140" s="115"/>
      <c r="AQ140" s="115"/>
      <c r="AR140" s="25"/>
      <c r="AS140" s="13"/>
      <c r="AV140" s="114"/>
    </row>
    <row r="141" spans="1:48" ht="19.5" x14ac:dyDescent="0.4">
      <c r="A141" s="117"/>
      <c r="B141" s="123"/>
      <c r="C141" s="123"/>
      <c r="D141" s="123"/>
      <c r="H141" s="115"/>
      <c r="I141" s="26">
        <v>45722</v>
      </c>
      <c r="J141" s="13" t="s">
        <v>146</v>
      </c>
      <c r="N141" s="115"/>
      <c r="O141" s="115"/>
      <c r="P141" s="115"/>
      <c r="Q141" s="115"/>
      <c r="R141" s="115"/>
      <c r="S141" s="115"/>
      <c r="T141" s="25"/>
      <c r="U141" s="15"/>
      <c r="Z141" s="117"/>
      <c r="AA141" s="123"/>
      <c r="AB141" s="123"/>
      <c r="AC141" s="123"/>
      <c r="AH141" s="115"/>
      <c r="AI141" s="115"/>
      <c r="AJ141" s="115"/>
      <c r="AK141" s="115"/>
      <c r="AL141" s="115"/>
      <c r="AM141" s="115"/>
      <c r="AN141" s="115"/>
      <c r="AO141" s="115"/>
      <c r="AP141" s="115"/>
      <c r="AQ141" s="115"/>
      <c r="AR141" s="25"/>
      <c r="AS141" s="13"/>
      <c r="AV141" s="114"/>
    </row>
    <row r="142" spans="1:48" ht="19.5" x14ac:dyDescent="0.4">
      <c r="A142" s="117"/>
      <c r="B142" s="123"/>
      <c r="C142" s="123"/>
      <c r="D142" s="123"/>
      <c r="I142" s="26">
        <v>45722</v>
      </c>
      <c r="J142" s="13" t="s">
        <v>146</v>
      </c>
      <c r="T142" s="25">
        <v>45686</v>
      </c>
      <c r="U142" s="15" t="s">
        <v>146</v>
      </c>
      <c r="Z142" s="117"/>
      <c r="AA142" s="123"/>
      <c r="AB142" s="123"/>
      <c r="AC142" s="123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5" t="s">
        <v>154</v>
      </c>
      <c r="AR142" s="13">
        <f>SUBTOTAL(3,AR136:AR136)</f>
        <v>1</v>
      </c>
      <c r="AS142" s="13">
        <f>SUBTOTAL(3,AS136:AS136)</f>
        <v>1</v>
      </c>
      <c r="AV142" s="114"/>
    </row>
    <row r="143" spans="1:48" ht="19.5" x14ac:dyDescent="0.4">
      <c r="A143" s="117"/>
      <c r="B143" s="123"/>
      <c r="C143" s="123"/>
      <c r="D143" s="123"/>
      <c r="H143" s="115"/>
      <c r="I143" s="26">
        <v>45722</v>
      </c>
      <c r="J143" s="13" t="s">
        <v>146</v>
      </c>
      <c r="T143" s="25"/>
      <c r="U143" s="15"/>
      <c r="Z143" s="117"/>
      <c r="AA143" s="123"/>
      <c r="AB143" s="123"/>
      <c r="AC143" s="123"/>
      <c r="AH143" s="115"/>
      <c r="AI143" s="115"/>
      <c r="AJ143" s="115"/>
      <c r="AK143" s="115"/>
      <c r="AL143" s="115"/>
      <c r="AM143" s="115"/>
      <c r="AN143" s="115"/>
      <c r="AO143" s="115"/>
      <c r="AP143" s="115"/>
      <c r="AQ143" s="115"/>
      <c r="AR143" s="13"/>
      <c r="AS143" s="13"/>
      <c r="AV143" s="114"/>
    </row>
    <row r="144" spans="1:48" ht="19.5" x14ac:dyDescent="0.4">
      <c r="A144" s="117"/>
      <c r="B144" s="123"/>
      <c r="C144" s="123"/>
      <c r="D144" s="123"/>
      <c r="G144" s="115"/>
      <c r="H144" s="115"/>
      <c r="I144" s="26">
        <v>45722</v>
      </c>
      <c r="J144" s="13" t="s">
        <v>146</v>
      </c>
      <c r="T144" s="25"/>
      <c r="U144" s="15"/>
      <c r="Z144" s="117"/>
      <c r="AA144" s="123"/>
      <c r="AB144" s="123"/>
      <c r="AC144" s="123"/>
      <c r="AH144" s="115"/>
      <c r="AI144" s="115"/>
      <c r="AJ144" s="115"/>
      <c r="AK144" s="115"/>
      <c r="AL144" s="115"/>
      <c r="AM144" s="115"/>
      <c r="AN144" s="115"/>
      <c r="AO144" s="115"/>
      <c r="AP144" s="115"/>
      <c r="AQ144" s="115"/>
      <c r="AR144" s="13"/>
      <c r="AS144" s="13"/>
      <c r="AV144" s="114"/>
    </row>
    <row r="145" spans="1:48" ht="19.5" x14ac:dyDescent="0.4">
      <c r="A145" s="117"/>
      <c r="B145" s="123"/>
      <c r="C145" s="123"/>
      <c r="D145" s="123"/>
      <c r="I145" s="26">
        <v>45722</v>
      </c>
      <c r="J145" s="13" t="s">
        <v>146</v>
      </c>
      <c r="T145" s="25">
        <v>45686</v>
      </c>
      <c r="U145" s="15" t="s">
        <v>146</v>
      </c>
      <c r="Z145" s="117"/>
      <c r="AA145" s="123"/>
      <c r="AB145" s="123"/>
      <c r="AC145" s="123"/>
      <c r="AH145" s="115"/>
      <c r="AI145" s="115"/>
      <c r="AJ145" s="115"/>
      <c r="AK145" s="115"/>
      <c r="AL145" s="115"/>
      <c r="AM145" s="115"/>
      <c r="AN145" s="115"/>
      <c r="AO145" s="115"/>
      <c r="AP145" s="115"/>
      <c r="AQ145" s="115"/>
      <c r="AR145" s="25">
        <v>45265</v>
      </c>
      <c r="AS145" s="13" t="s">
        <v>162</v>
      </c>
      <c r="AV145" s="114"/>
    </row>
    <row r="146" spans="1:48" ht="19.5" x14ac:dyDescent="0.4">
      <c r="A146" s="117"/>
      <c r="B146" s="123"/>
      <c r="C146" s="123"/>
      <c r="D146" s="123"/>
      <c r="I146" s="26">
        <v>45722</v>
      </c>
      <c r="J146" s="13" t="s">
        <v>147</v>
      </c>
      <c r="T146" s="25">
        <v>45686</v>
      </c>
      <c r="U146" s="15" t="s">
        <v>146</v>
      </c>
      <c r="Z146" s="117"/>
      <c r="AA146" s="123"/>
      <c r="AB146" s="123"/>
      <c r="AC146" s="123"/>
      <c r="AH146" s="115"/>
      <c r="AI146" s="115"/>
      <c r="AJ146" s="115"/>
      <c r="AK146" s="115"/>
      <c r="AL146" s="115"/>
      <c r="AM146" s="115"/>
      <c r="AN146" s="115"/>
      <c r="AO146" s="115"/>
      <c r="AP146" s="115"/>
      <c r="AQ146" s="115"/>
      <c r="AR146" s="25">
        <v>45265</v>
      </c>
      <c r="AS146" s="25" t="s">
        <v>162</v>
      </c>
      <c r="AV146" s="114"/>
    </row>
    <row r="147" spans="1:48" ht="19.5" x14ac:dyDescent="0.4">
      <c r="A147" s="117"/>
      <c r="B147" s="123"/>
      <c r="C147" s="123"/>
      <c r="D147" s="123"/>
      <c r="I147" s="26">
        <v>45722</v>
      </c>
      <c r="J147" s="13" t="s">
        <v>146</v>
      </c>
      <c r="K147" s="115"/>
      <c r="L147" s="115"/>
      <c r="M147" s="115"/>
      <c r="N147" s="115"/>
      <c r="O147" s="115"/>
      <c r="P147" s="115"/>
      <c r="Q147" s="115"/>
      <c r="R147" s="115"/>
      <c r="S147" s="115"/>
      <c r="T147" s="25">
        <v>45686</v>
      </c>
      <c r="U147" s="15" t="s">
        <v>146</v>
      </c>
      <c r="Z147" s="117"/>
      <c r="AA147" s="123"/>
      <c r="AB147" s="123"/>
      <c r="AC147" s="123"/>
      <c r="AH147" s="115"/>
      <c r="AI147" s="115"/>
      <c r="AJ147" s="115"/>
      <c r="AK147" s="115"/>
      <c r="AL147" s="115"/>
      <c r="AM147" s="115"/>
      <c r="AN147" s="115"/>
      <c r="AO147" s="115"/>
      <c r="AP147" s="115"/>
      <c r="AQ147" s="115"/>
      <c r="AR147" s="25"/>
      <c r="AS147" s="25"/>
      <c r="AV147" s="114"/>
    </row>
    <row r="148" spans="1:48" ht="19.5" x14ac:dyDescent="0.4">
      <c r="A148" s="117"/>
      <c r="B148" s="123"/>
      <c r="C148" s="123"/>
      <c r="D148" s="123"/>
      <c r="I148" s="129" t="s">
        <v>212</v>
      </c>
      <c r="J148" s="13">
        <f>SUBTOTAL(3,J129:J147)</f>
        <v>19</v>
      </c>
      <c r="K148" s="115"/>
      <c r="L148" s="115"/>
      <c r="M148" s="115"/>
      <c r="N148" s="115"/>
      <c r="O148" s="115"/>
      <c r="P148" s="115"/>
      <c r="Q148" s="115"/>
      <c r="R148" s="115"/>
      <c r="S148" s="115"/>
      <c r="T148" s="25"/>
      <c r="U148" s="13"/>
      <c r="Z148" s="117"/>
      <c r="AA148" s="123"/>
      <c r="AB148" s="123"/>
      <c r="AC148" s="123"/>
      <c r="AH148" s="115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25"/>
      <c r="AS148" s="25"/>
      <c r="AV148" s="114"/>
    </row>
    <row r="149" spans="1:48" ht="19.5" x14ac:dyDescent="0.4">
      <c r="A149" s="117"/>
      <c r="B149" s="123"/>
      <c r="C149" s="123"/>
      <c r="D149" s="123"/>
      <c r="I149" s="26">
        <v>45724</v>
      </c>
      <c r="J149" s="13" t="s">
        <v>147</v>
      </c>
      <c r="T149" s="25">
        <v>45686</v>
      </c>
      <c r="U149" s="13" t="s">
        <v>146</v>
      </c>
      <c r="Z149" s="117"/>
      <c r="AA149" s="123"/>
      <c r="AB149" s="123"/>
      <c r="AC149" s="123"/>
      <c r="AH149" s="115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25">
        <v>45265</v>
      </c>
      <c r="AS149" s="13" t="s">
        <v>162</v>
      </c>
      <c r="AV149" s="114"/>
    </row>
    <row r="150" spans="1:48" ht="19.5" x14ac:dyDescent="0.4">
      <c r="A150" s="117"/>
      <c r="B150" s="123"/>
      <c r="C150" s="123"/>
      <c r="D150" s="123"/>
      <c r="H150" s="115"/>
      <c r="I150" s="26">
        <v>45724</v>
      </c>
      <c r="J150" s="13" t="s">
        <v>146</v>
      </c>
      <c r="T150" s="25"/>
      <c r="U150" s="13"/>
      <c r="Z150" s="117"/>
      <c r="AA150" s="123"/>
      <c r="AB150" s="123"/>
      <c r="AC150" s="123"/>
      <c r="AH150" s="115"/>
      <c r="AI150" s="115"/>
      <c r="AJ150" s="115"/>
      <c r="AK150" s="115"/>
      <c r="AL150" s="115"/>
      <c r="AM150" s="115"/>
      <c r="AN150" s="115"/>
      <c r="AO150" s="115"/>
      <c r="AP150" s="115"/>
      <c r="AQ150" s="115"/>
      <c r="AR150" s="25"/>
      <c r="AS150" s="13"/>
      <c r="AV150" s="114"/>
    </row>
    <row r="151" spans="1:48" ht="19.5" x14ac:dyDescent="0.4">
      <c r="A151" s="117"/>
      <c r="B151" s="123"/>
      <c r="C151" s="123"/>
      <c r="D151" s="123"/>
      <c r="I151" s="26">
        <v>45724</v>
      </c>
      <c r="J151" s="13" t="s">
        <v>146</v>
      </c>
      <c r="P151" s="115"/>
      <c r="Q151" s="115"/>
      <c r="R151" s="115"/>
      <c r="S151" s="115"/>
      <c r="T151" s="25">
        <v>45686</v>
      </c>
      <c r="U151" s="15" t="s">
        <v>146</v>
      </c>
      <c r="Z151" s="117"/>
      <c r="AA151" s="123"/>
      <c r="AB151" s="123"/>
      <c r="AC151" s="123"/>
      <c r="AH151" s="115"/>
      <c r="AI151" s="115"/>
      <c r="AJ151" s="115"/>
      <c r="AK151" s="115"/>
      <c r="AL151" s="115"/>
      <c r="AM151" s="115"/>
      <c r="AN151" s="115"/>
      <c r="AO151" s="115"/>
      <c r="AP151" s="115"/>
      <c r="AQ151" s="115"/>
      <c r="AR151" s="25"/>
      <c r="AS151" s="13"/>
      <c r="AV151" s="114"/>
    </row>
    <row r="152" spans="1:48" ht="19.5" x14ac:dyDescent="0.4">
      <c r="A152" s="117"/>
      <c r="B152" s="123"/>
      <c r="C152" s="123"/>
      <c r="D152" s="123"/>
      <c r="I152" s="26">
        <v>45724</v>
      </c>
      <c r="J152" s="13" t="s">
        <v>146</v>
      </c>
      <c r="T152" s="25">
        <v>45686</v>
      </c>
      <c r="U152" s="15" t="s">
        <v>147</v>
      </c>
      <c r="Z152" s="117"/>
      <c r="AA152" s="123"/>
      <c r="AB152" s="123"/>
      <c r="AC152" s="123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25">
        <v>45265</v>
      </c>
      <c r="AS152" s="13" t="s">
        <v>162</v>
      </c>
      <c r="AV152" s="114"/>
    </row>
    <row r="153" spans="1:48" ht="19.5" x14ac:dyDescent="0.4">
      <c r="A153" s="117"/>
      <c r="B153" s="123"/>
      <c r="C153" s="123"/>
      <c r="D153" s="123"/>
      <c r="I153" s="26">
        <v>45724</v>
      </c>
      <c r="J153" s="13" t="s">
        <v>146</v>
      </c>
      <c r="Q153" s="115"/>
      <c r="R153" s="115"/>
      <c r="S153" s="115"/>
      <c r="T153" s="25">
        <v>45686</v>
      </c>
      <c r="U153" s="15" t="s">
        <v>147</v>
      </c>
      <c r="Z153" s="117"/>
      <c r="AA153" s="123"/>
      <c r="AB153" s="123"/>
      <c r="AC153" s="123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25"/>
      <c r="AS153" s="13"/>
      <c r="AV153" s="114"/>
    </row>
    <row r="154" spans="1:48" ht="19.5" x14ac:dyDescent="0.4">
      <c r="A154" s="117"/>
      <c r="B154" s="123"/>
      <c r="C154" s="123"/>
      <c r="D154" s="123"/>
      <c r="I154" s="26">
        <v>45724</v>
      </c>
      <c r="J154" s="13" t="s">
        <v>146</v>
      </c>
      <c r="K154" s="115"/>
      <c r="L154" s="115"/>
      <c r="M154" s="115"/>
      <c r="N154" s="115"/>
      <c r="O154" s="115"/>
      <c r="P154" s="115"/>
      <c r="Q154" s="115"/>
      <c r="R154" s="115"/>
      <c r="S154" s="115"/>
      <c r="T154" s="25">
        <v>45686</v>
      </c>
      <c r="U154" s="13" t="s">
        <v>146</v>
      </c>
      <c r="Z154" s="117"/>
      <c r="AA154" s="123"/>
      <c r="AB154" s="123"/>
      <c r="AC154" s="123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25"/>
      <c r="AS154" s="13"/>
      <c r="AV154" s="114"/>
    </row>
    <row r="155" spans="1:48" ht="19.5" x14ac:dyDescent="0.4">
      <c r="A155" s="117"/>
      <c r="B155" s="123"/>
      <c r="C155" s="123"/>
      <c r="D155" s="123"/>
      <c r="I155" s="26">
        <v>45724</v>
      </c>
      <c r="J155" s="13" t="s">
        <v>146</v>
      </c>
      <c r="T155" s="25">
        <v>45686</v>
      </c>
      <c r="U155" s="25" t="s">
        <v>146</v>
      </c>
      <c r="Z155" s="117"/>
      <c r="AA155" s="123"/>
      <c r="AB155" s="123"/>
      <c r="AC155" s="123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25">
        <v>45265</v>
      </c>
      <c r="AS155" s="13" t="s">
        <v>163</v>
      </c>
      <c r="AV155" s="114"/>
    </row>
    <row r="156" spans="1:48" ht="19.5" x14ac:dyDescent="0.4">
      <c r="A156" s="117"/>
      <c r="B156" s="123"/>
      <c r="C156" s="123"/>
      <c r="D156" s="123"/>
      <c r="I156" s="26">
        <v>45724</v>
      </c>
      <c r="J156" s="13" t="s">
        <v>146</v>
      </c>
      <c r="T156" s="25">
        <v>45686</v>
      </c>
      <c r="U156" s="25" t="s">
        <v>147</v>
      </c>
      <c r="Z156" s="117"/>
      <c r="AA156" s="123"/>
      <c r="AB156" s="123"/>
      <c r="AC156" s="123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 t="s">
        <v>155</v>
      </c>
      <c r="AR156" s="13">
        <f>SUBTOTAL(3,AR145:AR155)</f>
        <v>5</v>
      </c>
      <c r="AS156" s="13">
        <f>SUBTOTAL(3,AS145:AS155)</f>
        <v>5</v>
      </c>
      <c r="AV156" s="114"/>
    </row>
    <row r="157" spans="1:48" ht="19.5" x14ac:dyDescent="0.4">
      <c r="A157" s="117"/>
      <c r="B157" s="123"/>
      <c r="C157" s="123"/>
      <c r="D157" s="123"/>
      <c r="I157" s="26">
        <v>45724</v>
      </c>
      <c r="J157" s="13" t="s">
        <v>146</v>
      </c>
      <c r="K157" s="115"/>
      <c r="L157" s="115"/>
      <c r="M157" s="115"/>
      <c r="N157" s="115"/>
      <c r="O157" s="115"/>
      <c r="P157" s="115"/>
      <c r="Q157" s="115"/>
      <c r="R157" s="115"/>
      <c r="S157" s="115"/>
      <c r="T157" s="25">
        <v>45686</v>
      </c>
      <c r="U157" s="25" t="s">
        <v>148</v>
      </c>
      <c r="Z157" s="117"/>
      <c r="AA157" s="123"/>
      <c r="AB157" s="123"/>
      <c r="AC157" s="123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3"/>
      <c r="AS157" s="13"/>
      <c r="AV157" s="114"/>
    </row>
    <row r="158" spans="1:48" ht="19.5" x14ac:dyDescent="0.4">
      <c r="A158" s="117"/>
      <c r="B158" s="123"/>
      <c r="C158" s="123"/>
      <c r="D158" s="123"/>
      <c r="I158" s="26">
        <v>45724</v>
      </c>
      <c r="J158" s="13" t="s">
        <v>146</v>
      </c>
      <c r="K158" s="115"/>
      <c r="L158" s="115"/>
      <c r="M158" s="115"/>
      <c r="N158" s="115"/>
      <c r="O158" s="115"/>
      <c r="P158" s="115"/>
      <c r="Q158" s="115"/>
      <c r="R158" s="115"/>
      <c r="S158" s="115"/>
      <c r="T158" s="25">
        <v>45686</v>
      </c>
      <c r="U158" s="13" t="s">
        <v>146</v>
      </c>
      <c r="Z158" s="117"/>
      <c r="AA158" s="123"/>
      <c r="AB158" s="123"/>
      <c r="AC158" s="123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3"/>
      <c r="AS158" s="13"/>
      <c r="AV158" s="114"/>
    </row>
    <row r="159" spans="1:48" ht="19.5" x14ac:dyDescent="0.4">
      <c r="A159" s="117"/>
      <c r="B159" s="123"/>
      <c r="C159" s="123"/>
      <c r="D159" s="123"/>
      <c r="F159" s="115"/>
      <c r="G159" s="115"/>
      <c r="H159" s="115"/>
      <c r="I159" s="26">
        <v>45724</v>
      </c>
      <c r="J159" s="13" t="s">
        <v>146</v>
      </c>
      <c r="K159" s="115"/>
      <c r="L159" s="115"/>
      <c r="M159" s="115"/>
      <c r="N159" s="115"/>
      <c r="O159" s="115"/>
      <c r="P159" s="115"/>
      <c r="Q159" s="115"/>
      <c r="R159" s="115"/>
      <c r="S159" s="115"/>
      <c r="T159" s="25">
        <v>45686</v>
      </c>
      <c r="U159" s="13" t="s">
        <v>146</v>
      </c>
      <c r="Z159" s="117"/>
      <c r="AA159" s="123"/>
      <c r="AB159" s="123"/>
      <c r="AC159" s="123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3"/>
      <c r="AS159" s="13"/>
      <c r="AV159" s="114"/>
    </row>
    <row r="160" spans="1:48" ht="19.5" x14ac:dyDescent="0.4">
      <c r="A160" s="117"/>
      <c r="B160" s="123"/>
      <c r="C160" s="123"/>
      <c r="D160" s="123"/>
      <c r="F160" s="115"/>
      <c r="G160" s="115"/>
      <c r="H160" s="115"/>
      <c r="I160" s="26">
        <v>45724</v>
      </c>
      <c r="J160" s="13" t="s">
        <v>146</v>
      </c>
      <c r="K160" s="115"/>
      <c r="L160" s="115"/>
      <c r="M160" s="115"/>
      <c r="N160" s="115"/>
      <c r="O160" s="115"/>
      <c r="P160" s="115"/>
      <c r="Q160" s="115"/>
      <c r="R160" s="115"/>
      <c r="S160" s="115"/>
      <c r="T160" s="25">
        <v>45686</v>
      </c>
      <c r="U160" s="15" t="s">
        <v>148</v>
      </c>
      <c r="Z160" s="117"/>
      <c r="AA160" s="123"/>
      <c r="AB160" s="123"/>
      <c r="AC160" s="123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3"/>
      <c r="AS160" s="13"/>
      <c r="AV160" s="114"/>
    </row>
    <row r="161" spans="1:48" ht="19.5" x14ac:dyDescent="0.4">
      <c r="A161" s="117"/>
      <c r="B161" s="123"/>
      <c r="C161" s="123"/>
      <c r="D161" s="123"/>
      <c r="F161" s="115"/>
      <c r="G161" s="115"/>
      <c r="H161" s="115"/>
      <c r="I161" s="26">
        <v>45724</v>
      </c>
      <c r="J161" s="13" t="s">
        <v>146</v>
      </c>
      <c r="K161" s="115"/>
      <c r="L161" s="115"/>
      <c r="M161" s="115"/>
      <c r="N161" s="115"/>
      <c r="O161" s="115"/>
      <c r="P161" s="115"/>
      <c r="Q161" s="115"/>
      <c r="R161" s="115"/>
      <c r="S161" s="115"/>
      <c r="T161" s="25">
        <v>45686</v>
      </c>
      <c r="U161" s="15" t="s">
        <v>148</v>
      </c>
      <c r="Z161" s="117"/>
      <c r="AA161" s="123"/>
      <c r="AB161" s="123"/>
      <c r="AC161" s="123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3"/>
      <c r="AS161" s="13"/>
      <c r="AV161" s="114"/>
    </row>
    <row r="162" spans="1:48" ht="19.5" x14ac:dyDescent="0.4">
      <c r="A162" s="117"/>
      <c r="B162" s="123"/>
      <c r="C162" s="123"/>
      <c r="D162" s="123"/>
      <c r="F162" s="115"/>
      <c r="G162" s="115"/>
      <c r="H162" s="115"/>
      <c r="I162" s="26">
        <v>45724</v>
      </c>
      <c r="J162" s="13" t="s">
        <v>147</v>
      </c>
      <c r="K162" s="115"/>
      <c r="L162" s="115"/>
      <c r="M162" s="115"/>
      <c r="N162" s="115"/>
      <c r="O162" s="115"/>
      <c r="P162" s="115"/>
      <c r="Q162" s="115"/>
      <c r="R162" s="115"/>
      <c r="S162" s="115"/>
      <c r="T162" s="25">
        <v>45686</v>
      </c>
      <c r="U162" s="15" t="s">
        <v>148</v>
      </c>
      <c r="Z162" s="117"/>
      <c r="AA162" s="123"/>
      <c r="AB162" s="123"/>
      <c r="AC162" s="123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3"/>
      <c r="AS162" s="13"/>
      <c r="AV162" s="114"/>
    </row>
    <row r="163" spans="1:48" ht="19.5" x14ac:dyDescent="0.4">
      <c r="A163" s="117"/>
      <c r="B163" s="123"/>
      <c r="C163" s="123"/>
      <c r="D163" s="123"/>
      <c r="F163" s="115"/>
      <c r="G163" s="115"/>
      <c r="H163" s="115"/>
      <c r="I163" s="26">
        <v>45724</v>
      </c>
      <c r="J163" s="13" t="s">
        <v>146</v>
      </c>
      <c r="K163" s="115"/>
      <c r="L163" s="115"/>
      <c r="M163" s="115"/>
      <c r="N163" s="115"/>
      <c r="O163" s="115"/>
      <c r="P163" s="115"/>
      <c r="Q163" s="115"/>
      <c r="R163" s="115"/>
      <c r="S163" s="115"/>
      <c r="T163" s="25">
        <v>45686</v>
      </c>
      <c r="U163" s="15" t="s">
        <v>146</v>
      </c>
      <c r="Z163" s="117"/>
      <c r="AA163" s="123"/>
      <c r="AB163" s="123"/>
      <c r="AC163" s="123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3"/>
      <c r="AS163" s="13"/>
      <c r="AV163" s="114"/>
    </row>
    <row r="164" spans="1:48" ht="19.5" x14ac:dyDescent="0.4">
      <c r="A164" s="117"/>
      <c r="B164" s="123"/>
      <c r="C164" s="123"/>
      <c r="D164" s="123"/>
      <c r="F164" s="115"/>
      <c r="G164" s="115"/>
      <c r="H164" s="115"/>
      <c r="I164" s="26">
        <v>45724</v>
      </c>
      <c r="J164" s="13" t="s">
        <v>148</v>
      </c>
      <c r="K164" s="115"/>
      <c r="L164" s="115"/>
      <c r="M164" s="115"/>
      <c r="N164" s="115"/>
      <c r="O164" s="115"/>
      <c r="P164" s="115"/>
      <c r="Q164" s="115"/>
      <c r="R164" s="115"/>
      <c r="S164" s="115"/>
      <c r="T164" s="25">
        <v>45686</v>
      </c>
      <c r="U164" s="15" t="s">
        <v>148</v>
      </c>
      <c r="Z164" s="117"/>
      <c r="AA164" s="123"/>
      <c r="AB164" s="123"/>
      <c r="AC164" s="123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3"/>
      <c r="AS164" s="13"/>
      <c r="AV164" s="114"/>
    </row>
    <row r="165" spans="1:48" ht="19.5" x14ac:dyDescent="0.4">
      <c r="A165" s="117"/>
      <c r="B165" s="123"/>
      <c r="C165" s="123"/>
      <c r="D165" s="123"/>
      <c r="F165" s="115"/>
      <c r="G165" s="115"/>
      <c r="H165" s="115"/>
      <c r="I165" s="26">
        <v>45724</v>
      </c>
      <c r="J165" s="13" t="s">
        <v>147</v>
      </c>
      <c r="K165" s="115"/>
      <c r="L165" s="115"/>
      <c r="M165" s="115"/>
      <c r="N165" s="115"/>
      <c r="O165" s="115"/>
      <c r="P165" s="115"/>
      <c r="Q165" s="115"/>
      <c r="R165" s="115"/>
      <c r="S165" s="115"/>
      <c r="T165" s="25">
        <v>45689</v>
      </c>
      <c r="U165" s="15" t="s">
        <v>147</v>
      </c>
      <c r="Z165" s="117"/>
      <c r="AA165" s="123"/>
      <c r="AB165" s="123"/>
      <c r="AC165" s="123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3"/>
      <c r="AS165" s="13"/>
      <c r="AV165" s="114"/>
    </row>
    <row r="166" spans="1:48" ht="19.5" x14ac:dyDescent="0.4">
      <c r="A166" s="117"/>
      <c r="B166" s="123"/>
      <c r="C166" s="123"/>
      <c r="D166" s="123"/>
      <c r="F166" s="115"/>
      <c r="G166" s="115"/>
      <c r="H166" s="115"/>
      <c r="I166" s="26">
        <v>45724</v>
      </c>
      <c r="J166" s="13" t="s">
        <v>147</v>
      </c>
      <c r="K166" s="115"/>
      <c r="L166" s="115"/>
      <c r="M166" s="115"/>
      <c r="N166" s="115"/>
      <c r="O166" s="115"/>
      <c r="P166" s="115"/>
      <c r="Q166" s="115"/>
      <c r="R166" s="115"/>
      <c r="S166" s="115"/>
      <c r="T166" s="25"/>
      <c r="U166" s="15"/>
      <c r="Z166" s="117"/>
      <c r="AA166" s="123"/>
      <c r="AB166" s="123"/>
      <c r="AC166" s="123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3"/>
      <c r="AS166" s="13"/>
      <c r="AV166" s="114"/>
    </row>
    <row r="167" spans="1:48" ht="19.5" x14ac:dyDescent="0.4">
      <c r="A167" s="117"/>
      <c r="B167" s="123"/>
      <c r="C167" s="123"/>
      <c r="D167" s="123"/>
      <c r="F167" s="115"/>
      <c r="G167" s="115"/>
      <c r="H167" s="115"/>
      <c r="I167" s="26">
        <v>45724</v>
      </c>
      <c r="J167" s="13" t="s">
        <v>147</v>
      </c>
      <c r="K167" s="115"/>
      <c r="L167" s="115"/>
      <c r="M167" s="115"/>
      <c r="N167" s="115"/>
      <c r="O167" s="115"/>
      <c r="P167" s="115"/>
      <c r="Q167" s="115"/>
      <c r="R167" s="115"/>
      <c r="S167" s="115"/>
      <c r="T167" s="25">
        <v>45689</v>
      </c>
      <c r="U167" s="15" t="s">
        <v>147</v>
      </c>
      <c r="Z167" s="117"/>
      <c r="AA167" s="123"/>
      <c r="AB167" s="123"/>
      <c r="AC167" s="123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3"/>
      <c r="AS167" s="13"/>
      <c r="AV167" s="114"/>
    </row>
    <row r="168" spans="1:48" ht="19.5" x14ac:dyDescent="0.4">
      <c r="A168" s="117"/>
      <c r="B168" s="123"/>
      <c r="C168" s="123"/>
      <c r="D168" s="123"/>
      <c r="I168" s="26">
        <v>45724</v>
      </c>
      <c r="J168" s="13" t="s">
        <v>146</v>
      </c>
      <c r="T168" s="25">
        <v>45689</v>
      </c>
      <c r="U168" s="15" t="s">
        <v>146</v>
      </c>
      <c r="Z168" s="117"/>
      <c r="AA168" s="123"/>
      <c r="AB168" s="123"/>
      <c r="AC168" s="123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25">
        <v>45266</v>
      </c>
      <c r="AS168" s="25" t="s">
        <v>162</v>
      </c>
      <c r="AV168" s="114"/>
    </row>
    <row r="169" spans="1:48" ht="19.5" x14ac:dyDescent="0.4">
      <c r="A169" s="117"/>
      <c r="B169" s="123"/>
      <c r="C169" s="123"/>
      <c r="D169" s="123"/>
      <c r="I169" s="129" t="s">
        <v>213</v>
      </c>
      <c r="J169" s="13">
        <f>SUBTOTAL(3,J149:J168)</f>
        <v>20</v>
      </c>
      <c r="T169" s="25"/>
      <c r="U169" s="15"/>
      <c r="Z169" s="117"/>
      <c r="AA169" s="123"/>
      <c r="AB169" s="123"/>
      <c r="AC169" s="123"/>
      <c r="AE169" s="115"/>
      <c r="AF169" s="115"/>
      <c r="AG169" s="115"/>
      <c r="AH169" s="115"/>
      <c r="AI169" s="115"/>
      <c r="AJ169" s="115"/>
      <c r="AK169" s="115"/>
      <c r="AL169" s="115"/>
      <c r="AM169" s="115"/>
      <c r="AN169" s="115"/>
      <c r="AO169" s="115"/>
      <c r="AP169" s="115"/>
      <c r="AQ169" s="115"/>
      <c r="AR169" s="25"/>
      <c r="AS169" s="25"/>
      <c r="AV169" s="114"/>
    </row>
    <row r="170" spans="1:48" ht="19.5" x14ac:dyDescent="0.4">
      <c r="A170" s="117"/>
      <c r="B170" s="123"/>
      <c r="C170" s="123"/>
      <c r="D170" s="123"/>
      <c r="I170" s="26">
        <v>45725</v>
      </c>
      <c r="J170" s="13" t="s">
        <v>146</v>
      </c>
      <c r="K170" s="115"/>
      <c r="L170" s="115"/>
      <c r="M170" s="115"/>
      <c r="N170" s="115"/>
      <c r="O170" s="115"/>
      <c r="P170" s="115"/>
      <c r="Q170" s="115"/>
      <c r="R170" s="115"/>
      <c r="S170" s="115"/>
      <c r="T170" s="25">
        <v>45689</v>
      </c>
      <c r="U170" s="15" t="s">
        <v>146</v>
      </c>
      <c r="Z170" s="117"/>
      <c r="AA170" s="123"/>
      <c r="AB170" s="123"/>
      <c r="AC170" s="123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15"/>
      <c r="AQ170" s="115"/>
      <c r="AR170" s="25"/>
      <c r="AS170" s="25"/>
      <c r="AV170" s="114"/>
    </row>
    <row r="171" spans="1:48" ht="19.5" x14ac:dyDescent="0.4">
      <c r="A171" s="117"/>
      <c r="B171" s="123"/>
      <c r="C171" s="123"/>
      <c r="D171" s="123"/>
      <c r="G171" s="115"/>
      <c r="H171" s="115"/>
      <c r="I171" s="26">
        <v>45725</v>
      </c>
      <c r="J171" s="13" t="s">
        <v>146</v>
      </c>
      <c r="K171" s="115"/>
      <c r="L171" s="115"/>
      <c r="M171" s="115"/>
      <c r="N171" s="115"/>
      <c r="O171" s="115"/>
      <c r="P171" s="115"/>
      <c r="Q171" s="115"/>
      <c r="R171" s="115"/>
      <c r="S171" s="115"/>
      <c r="T171" s="25"/>
      <c r="U171" s="15"/>
      <c r="Z171" s="117"/>
      <c r="AA171" s="123"/>
      <c r="AB171" s="123"/>
      <c r="AC171" s="123"/>
      <c r="AE171" s="115"/>
      <c r="AF171" s="115"/>
      <c r="AG171" s="115"/>
      <c r="AH171" s="115"/>
      <c r="AI171" s="115"/>
      <c r="AJ171" s="115"/>
      <c r="AK171" s="115"/>
      <c r="AL171" s="115"/>
      <c r="AM171" s="115"/>
      <c r="AN171" s="115"/>
      <c r="AO171" s="115"/>
      <c r="AP171" s="115"/>
      <c r="AQ171" s="115"/>
      <c r="AR171" s="25"/>
      <c r="AS171" s="25"/>
      <c r="AV171" s="114"/>
    </row>
    <row r="172" spans="1:48" ht="19.5" x14ac:dyDescent="0.4">
      <c r="A172" s="117"/>
      <c r="B172" s="123"/>
      <c r="C172" s="123"/>
      <c r="D172" s="123"/>
      <c r="G172" s="115"/>
      <c r="H172" s="115"/>
      <c r="I172" s="26">
        <v>45725</v>
      </c>
      <c r="J172" s="13" t="s">
        <v>146</v>
      </c>
      <c r="K172" s="115"/>
      <c r="L172" s="115"/>
      <c r="M172" s="115"/>
      <c r="N172" s="115"/>
      <c r="O172" s="115"/>
      <c r="P172" s="115"/>
      <c r="Q172" s="115"/>
      <c r="R172" s="115"/>
      <c r="S172" s="115"/>
      <c r="T172" s="25"/>
      <c r="U172" s="15"/>
      <c r="Z172" s="117"/>
      <c r="AA172" s="123"/>
      <c r="AB172" s="123"/>
      <c r="AC172" s="123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5"/>
      <c r="AP172" s="115"/>
      <c r="AQ172" s="115"/>
      <c r="AR172" s="25"/>
      <c r="AS172" s="25"/>
      <c r="AV172" s="114"/>
    </row>
    <row r="173" spans="1:48" ht="19.5" x14ac:dyDescent="0.4">
      <c r="A173" s="117"/>
      <c r="B173" s="123"/>
      <c r="C173" s="123"/>
      <c r="D173" s="123"/>
      <c r="I173" s="26">
        <v>45725</v>
      </c>
      <c r="J173" s="13" t="s">
        <v>146</v>
      </c>
      <c r="K173" s="115"/>
      <c r="L173" s="115"/>
      <c r="M173" s="115"/>
      <c r="N173" s="115"/>
      <c r="O173" s="115"/>
      <c r="P173" s="115"/>
      <c r="Q173" s="115"/>
      <c r="R173" s="115"/>
      <c r="S173" s="115"/>
      <c r="T173" s="25">
        <v>45690</v>
      </c>
      <c r="U173" s="15" t="s">
        <v>146</v>
      </c>
      <c r="Z173" s="117"/>
      <c r="AA173" s="123"/>
      <c r="AB173" s="123"/>
      <c r="AC173" s="123"/>
      <c r="AE173" s="115"/>
      <c r="AF173" s="115"/>
      <c r="AG173" s="115"/>
      <c r="AH173" s="115"/>
      <c r="AI173" s="115"/>
      <c r="AJ173" s="115"/>
      <c r="AK173" s="115"/>
      <c r="AL173" s="115"/>
      <c r="AM173" s="115"/>
      <c r="AN173" s="115"/>
      <c r="AO173" s="115"/>
      <c r="AP173" s="115"/>
      <c r="AQ173" s="115"/>
      <c r="AR173" s="25"/>
      <c r="AS173" s="25"/>
      <c r="AV173" s="114"/>
    </row>
    <row r="174" spans="1:48" ht="19.5" x14ac:dyDescent="0.4">
      <c r="A174" s="117"/>
      <c r="B174" s="123"/>
      <c r="C174" s="123"/>
      <c r="D174" s="123"/>
      <c r="G174" s="115"/>
      <c r="H174" s="115"/>
      <c r="I174" s="26">
        <v>45725</v>
      </c>
      <c r="J174" s="13" t="s">
        <v>146</v>
      </c>
      <c r="K174" s="115"/>
      <c r="L174" s="115"/>
      <c r="M174" s="115"/>
      <c r="N174" s="115"/>
      <c r="O174" s="115"/>
      <c r="P174" s="115"/>
      <c r="Q174" s="115"/>
      <c r="R174" s="115"/>
      <c r="S174" s="115"/>
      <c r="T174" s="25"/>
      <c r="U174" s="15"/>
      <c r="Z174" s="117"/>
      <c r="AA174" s="123"/>
      <c r="AB174" s="123"/>
      <c r="AC174" s="123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25"/>
      <c r="AS174" s="25"/>
      <c r="AV174" s="114"/>
    </row>
    <row r="175" spans="1:48" ht="19.5" x14ac:dyDescent="0.4">
      <c r="A175" s="117"/>
      <c r="B175" s="123"/>
      <c r="C175" s="123"/>
      <c r="D175" s="123"/>
      <c r="I175" s="26">
        <v>45725</v>
      </c>
      <c r="J175" s="13" t="s">
        <v>146</v>
      </c>
      <c r="K175" s="115"/>
      <c r="L175" s="115"/>
      <c r="M175" s="115"/>
      <c r="N175" s="115"/>
      <c r="O175" s="115"/>
      <c r="P175" s="115"/>
      <c r="Q175" s="115"/>
      <c r="R175" s="115"/>
      <c r="S175" s="115"/>
      <c r="T175" s="25">
        <v>45691</v>
      </c>
      <c r="U175" s="15" t="s">
        <v>146</v>
      </c>
      <c r="Z175" s="117"/>
      <c r="AA175" s="123"/>
      <c r="AB175" s="123"/>
      <c r="AC175" s="123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5"/>
      <c r="AP175" s="115"/>
      <c r="AQ175" s="115"/>
      <c r="AR175" s="25"/>
      <c r="AS175" s="25"/>
      <c r="AV175" s="114"/>
    </row>
    <row r="176" spans="1:48" ht="19.5" x14ac:dyDescent="0.4">
      <c r="A176" s="117"/>
      <c r="B176" s="123"/>
      <c r="C176" s="123"/>
      <c r="D176" s="123"/>
      <c r="I176" s="26">
        <v>45725</v>
      </c>
      <c r="J176" s="13" t="s">
        <v>146</v>
      </c>
      <c r="T176" s="25">
        <v>45691</v>
      </c>
      <c r="U176" s="15" t="s">
        <v>146</v>
      </c>
      <c r="Z176" s="117"/>
      <c r="AA176" s="123"/>
      <c r="AB176" s="123"/>
      <c r="AC176" s="123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5"/>
      <c r="AP176" s="115"/>
      <c r="AQ176" s="115" t="s">
        <v>156</v>
      </c>
      <c r="AR176" s="13">
        <f>SUBTOTAL(3,AR168:AR168)</f>
        <v>1</v>
      </c>
      <c r="AS176" s="13">
        <f>SUBTOTAL(3,AS168:AS168)</f>
        <v>1</v>
      </c>
      <c r="AV176" s="114"/>
    </row>
    <row r="177" spans="1:48" ht="19.5" x14ac:dyDescent="0.4">
      <c r="A177" s="117"/>
      <c r="B177" s="123"/>
      <c r="C177" s="123"/>
      <c r="D177" s="123"/>
      <c r="I177" s="26">
        <v>45725</v>
      </c>
      <c r="J177" s="13" t="s">
        <v>146</v>
      </c>
      <c r="P177" s="115"/>
      <c r="Q177" s="115"/>
      <c r="R177" s="115"/>
      <c r="S177" s="115"/>
      <c r="T177" s="25">
        <v>45691</v>
      </c>
      <c r="U177" s="15" t="s">
        <v>146</v>
      </c>
      <c r="Z177" s="117"/>
      <c r="AA177" s="123"/>
      <c r="AB177" s="123"/>
      <c r="AC177" s="123"/>
      <c r="AE177" s="115"/>
      <c r="AF177" s="115"/>
      <c r="AG177" s="115"/>
      <c r="AH177" s="115"/>
      <c r="AI177" s="115"/>
      <c r="AJ177" s="115"/>
      <c r="AK177" s="115"/>
      <c r="AL177" s="115"/>
      <c r="AM177" s="115"/>
      <c r="AN177" s="115"/>
      <c r="AO177" s="115"/>
      <c r="AP177" s="115"/>
      <c r="AQ177" s="115"/>
      <c r="AR177" s="13"/>
      <c r="AS177" s="13"/>
      <c r="AV177" s="114"/>
    </row>
    <row r="178" spans="1:48" ht="19.5" x14ac:dyDescent="0.4">
      <c r="A178" s="117"/>
      <c r="B178" s="123"/>
      <c r="C178" s="123"/>
      <c r="D178" s="123"/>
      <c r="G178" s="115"/>
      <c r="H178" s="115"/>
      <c r="I178" s="26">
        <v>45725</v>
      </c>
      <c r="J178" s="13" t="s">
        <v>146</v>
      </c>
      <c r="P178" s="115"/>
      <c r="Q178" s="115"/>
      <c r="R178" s="115"/>
      <c r="S178" s="115"/>
      <c r="T178" s="25"/>
      <c r="U178" s="15"/>
      <c r="Z178" s="117"/>
      <c r="AA178" s="123"/>
      <c r="AB178" s="123"/>
      <c r="AC178" s="123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115"/>
      <c r="AQ178" s="115"/>
      <c r="AR178" s="13"/>
      <c r="AS178" s="13"/>
      <c r="AV178" s="114"/>
    </row>
    <row r="179" spans="1:48" ht="19.5" x14ac:dyDescent="0.4">
      <c r="A179" s="117"/>
      <c r="B179" s="123"/>
      <c r="C179" s="123"/>
      <c r="D179" s="123"/>
      <c r="I179" s="26">
        <v>45725</v>
      </c>
      <c r="J179" s="13" t="s">
        <v>146</v>
      </c>
      <c r="K179" s="115"/>
      <c r="L179" s="115"/>
      <c r="M179" s="115"/>
      <c r="N179" s="115"/>
      <c r="O179" s="115"/>
      <c r="P179" s="115"/>
      <c r="Q179" s="115"/>
      <c r="R179" s="115"/>
      <c r="S179" s="115"/>
      <c r="T179" s="25">
        <v>45691</v>
      </c>
      <c r="U179" s="15" t="s">
        <v>146</v>
      </c>
      <c r="Z179" s="117"/>
      <c r="AA179" s="123"/>
      <c r="AB179" s="123"/>
      <c r="AC179" s="123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5"/>
      <c r="AP179" s="115"/>
      <c r="AQ179" s="115"/>
      <c r="AR179" s="13"/>
      <c r="AS179" s="13"/>
      <c r="AV179" s="114"/>
    </row>
    <row r="180" spans="1:48" ht="19.5" x14ac:dyDescent="0.4">
      <c r="A180" s="117"/>
      <c r="B180" s="123"/>
      <c r="C180" s="123"/>
      <c r="D180" s="123"/>
      <c r="H180" s="115"/>
      <c r="I180" s="26">
        <v>45725</v>
      </c>
      <c r="J180" s="13" t="s">
        <v>146</v>
      </c>
      <c r="K180" s="115"/>
      <c r="L180" s="115"/>
      <c r="M180" s="115"/>
      <c r="N180" s="115"/>
      <c r="O180" s="115"/>
      <c r="P180" s="115"/>
      <c r="Q180" s="115"/>
      <c r="R180" s="115"/>
      <c r="S180" s="115"/>
      <c r="T180" s="25"/>
      <c r="U180" s="15"/>
      <c r="Z180" s="117"/>
      <c r="AA180" s="123"/>
      <c r="AB180" s="123"/>
      <c r="AC180" s="123"/>
      <c r="AE180" s="115"/>
      <c r="AF180" s="115"/>
      <c r="AG180" s="115"/>
      <c r="AH180" s="115"/>
      <c r="AI180" s="115"/>
      <c r="AJ180" s="115"/>
      <c r="AK180" s="115"/>
      <c r="AL180" s="115"/>
      <c r="AM180" s="115"/>
      <c r="AN180" s="115"/>
      <c r="AO180" s="115"/>
      <c r="AP180" s="115"/>
      <c r="AQ180" s="115"/>
      <c r="AR180" s="13"/>
      <c r="AS180" s="13"/>
      <c r="AV180" s="114"/>
    </row>
    <row r="181" spans="1:48" ht="19.5" x14ac:dyDescent="0.4">
      <c r="A181" s="117"/>
      <c r="B181" s="123"/>
      <c r="C181" s="123"/>
      <c r="D181" s="123"/>
      <c r="G181" s="115"/>
      <c r="H181" s="115"/>
      <c r="I181" s="26">
        <v>45725</v>
      </c>
      <c r="J181" s="13" t="s">
        <v>146</v>
      </c>
      <c r="K181" s="115"/>
      <c r="L181" s="115"/>
      <c r="M181" s="115"/>
      <c r="N181" s="115"/>
      <c r="O181" s="115"/>
      <c r="P181" s="115"/>
      <c r="Q181" s="115"/>
      <c r="R181" s="115"/>
      <c r="S181" s="115"/>
      <c r="T181" s="25"/>
      <c r="U181" s="15"/>
      <c r="Z181" s="117"/>
      <c r="AA181" s="123"/>
      <c r="AB181" s="123"/>
      <c r="AC181" s="123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  <c r="AO181" s="115"/>
      <c r="AP181" s="115"/>
      <c r="AQ181" s="115"/>
      <c r="AR181" s="13"/>
      <c r="AS181" s="13"/>
      <c r="AV181" s="114"/>
    </row>
    <row r="182" spans="1:48" ht="19.5" x14ac:dyDescent="0.4">
      <c r="A182" s="117"/>
      <c r="B182" s="123"/>
      <c r="C182" s="123"/>
      <c r="D182" s="123"/>
      <c r="G182" s="115"/>
      <c r="H182" s="115"/>
      <c r="I182" s="26">
        <v>45725</v>
      </c>
      <c r="J182" s="13" t="s">
        <v>146</v>
      </c>
      <c r="K182" s="115"/>
      <c r="L182" s="115"/>
      <c r="M182" s="115"/>
      <c r="N182" s="115"/>
      <c r="O182" s="115"/>
      <c r="P182" s="115"/>
      <c r="Q182" s="115"/>
      <c r="R182" s="115"/>
      <c r="S182" s="115"/>
      <c r="T182" s="25"/>
      <c r="U182" s="15"/>
      <c r="Z182" s="117"/>
      <c r="AA182" s="123"/>
      <c r="AB182" s="123"/>
      <c r="AC182" s="123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5"/>
      <c r="AP182" s="115"/>
      <c r="AQ182" s="115"/>
      <c r="AR182" s="13"/>
      <c r="AS182" s="13"/>
      <c r="AV182" s="114"/>
    </row>
    <row r="183" spans="1:48" ht="19.5" x14ac:dyDescent="0.4">
      <c r="A183" s="117"/>
      <c r="B183" s="123"/>
      <c r="C183" s="123"/>
      <c r="D183" s="123"/>
      <c r="G183" s="115"/>
      <c r="H183" s="115"/>
      <c r="I183" s="129" t="s">
        <v>400</v>
      </c>
      <c r="J183" s="13">
        <f>SUBTOTAL(3,J170:J182)</f>
        <v>13</v>
      </c>
      <c r="K183" s="115"/>
      <c r="L183" s="115"/>
      <c r="M183" s="115"/>
      <c r="N183" s="115"/>
      <c r="O183" s="115"/>
      <c r="P183" s="115"/>
      <c r="Q183" s="115"/>
      <c r="R183" s="115"/>
      <c r="S183" s="115"/>
      <c r="T183" s="25"/>
      <c r="U183" s="15"/>
      <c r="Z183" s="117"/>
      <c r="AA183" s="123"/>
      <c r="AB183" s="123"/>
      <c r="AC183" s="123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115"/>
      <c r="AO183" s="115"/>
      <c r="AP183" s="115"/>
      <c r="AQ183" s="115"/>
      <c r="AR183" s="13"/>
      <c r="AS183" s="13"/>
      <c r="AV183" s="114"/>
    </row>
    <row r="184" spans="1:48" ht="19.5" x14ac:dyDescent="0.4">
      <c r="A184" s="117"/>
      <c r="B184" s="123"/>
      <c r="C184" s="123"/>
      <c r="D184" s="123"/>
      <c r="I184" s="26">
        <v>45726</v>
      </c>
      <c r="J184" s="13" t="s">
        <v>146</v>
      </c>
      <c r="K184" s="115"/>
      <c r="L184" s="115"/>
      <c r="M184" s="115"/>
      <c r="N184" s="115"/>
      <c r="O184" s="115"/>
      <c r="P184" s="115"/>
      <c r="Q184" s="115"/>
      <c r="R184" s="115"/>
      <c r="S184" s="115"/>
      <c r="T184" s="25">
        <v>45692</v>
      </c>
      <c r="U184" s="15" t="s">
        <v>146</v>
      </c>
      <c r="Z184" s="117"/>
      <c r="AA184" s="123"/>
      <c r="AB184" s="123"/>
      <c r="AC184" s="123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15"/>
      <c r="AO184" s="115"/>
      <c r="AP184" s="115"/>
      <c r="AQ184" s="115"/>
      <c r="AR184" s="13"/>
      <c r="AS184" s="13"/>
      <c r="AV184" s="114"/>
    </row>
    <row r="185" spans="1:48" ht="19.5" x14ac:dyDescent="0.4">
      <c r="A185" s="117"/>
      <c r="B185" s="123"/>
      <c r="C185" s="123"/>
      <c r="D185" s="123"/>
      <c r="I185" s="129" t="s">
        <v>401</v>
      </c>
      <c r="J185" s="13">
        <f>SUBTOTAL(3,J184:J184)</f>
        <v>1</v>
      </c>
      <c r="K185" s="115"/>
      <c r="L185" s="115"/>
      <c r="M185" s="115"/>
      <c r="N185" s="115"/>
      <c r="O185" s="115"/>
      <c r="P185" s="115"/>
      <c r="Q185" s="115"/>
      <c r="R185" s="115"/>
      <c r="S185" s="115"/>
      <c r="T185" s="25"/>
      <c r="U185" s="15"/>
      <c r="Z185" s="117"/>
      <c r="AA185" s="123"/>
      <c r="AB185" s="123"/>
      <c r="AC185" s="123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3"/>
      <c r="AS185" s="13"/>
      <c r="AV185" s="114"/>
    </row>
    <row r="186" spans="1:48" ht="19.5" x14ac:dyDescent="0.4">
      <c r="A186" s="117"/>
      <c r="B186" s="123"/>
      <c r="C186" s="123"/>
      <c r="D186" s="123"/>
      <c r="I186" s="26">
        <v>45729</v>
      </c>
      <c r="J186" s="13" t="s">
        <v>146</v>
      </c>
      <c r="T186" s="25">
        <v>45692</v>
      </c>
      <c r="U186" s="15" t="s">
        <v>146</v>
      </c>
      <c r="Z186" s="117"/>
      <c r="AA186" s="123"/>
      <c r="AB186" s="123"/>
      <c r="AC186" s="123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115"/>
      <c r="AO186" s="115"/>
      <c r="AP186" s="115"/>
      <c r="AQ186" s="115"/>
      <c r="AR186" s="25">
        <v>45267</v>
      </c>
      <c r="AS186" s="13" t="s">
        <v>142</v>
      </c>
      <c r="AV186" s="114"/>
    </row>
    <row r="187" spans="1:48" ht="19.5" x14ac:dyDescent="0.4">
      <c r="A187" s="117"/>
      <c r="B187" s="123"/>
      <c r="C187" s="123"/>
      <c r="D187" s="123"/>
      <c r="I187" s="26">
        <v>45729</v>
      </c>
      <c r="J187" s="13" t="s">
        <v>147</v>
      </c>
      <c r="P187" s="115"/>
      <c r="Q187" s="115"/>
      <c r="R187" s="115"/>
      <c r="S187" s="115"/>
      <c r="T187" s="25">
        <v>45692</v>
      </c>
      <c r="U187" s="15" t="s">
        <v>146</v>
      </c>
      <c r="Z187" s="117"/>
      <c r="AA187" s="123"/>
      <c r="AB187" s="123"/>
      <c r="AC187" s="123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15"/>
      <c r="AO187" s="115"/>
      <c r="AP187" s="115"/>
      <c r="AQ187" s="115"/>
      <c r="AR187" s="25"/>
      <c r="AS187" s="13"/>
      <c r="AV187" s="114"/>
    </row>
    <row r="188" spans="1:48" ht="19.5" x14ac:dyDescent="0.4">
      <c r="A188" s="117"/>
      <c r="B188" s="123"/>
      <c r="C188" s="123"/>
      <c r="D188" s="123"/>
      <c r="I188" s="26">
        <v>45729</v>
      </c>
      <c r="J188" s="13" t="s">
        <v>147</v>
      </c>
      <c r="L188" s="115"/>
      <c r="M188" s="115"/>
      <c r="N188" s="115"/>
      <c r="O188" s="115"/>
      <c r="P188" s="115"/>
      <c r="Q188" s="115"/>
      <c r="R188" s="115"/>
      <c r="S188" s="115"/>
      <c r="T188" s="25">
        <v>45692</v>
      </c>
      <c r="U188" s="15" t="s">
        <v>146</v>
      </c>
      <c r="Z188" s="117"/>
      <c r="AA188" s="123"/>
      <c r="AB188" s="123"/>
      <c r="AC188" s="123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5"/>
      <c r="AP188" s="115"/>
      <c r="AQ188" s="115"/>
      <c r="AR188" s="25"/>
      <c r="AS188" s="13"/>
      <c r="AV188" s="114"/>
    </row>
    <row r="189" spans="1:48" ht="19.5" x14ac:dyDescent="0.4">
      <c r="A189" s="117"/>
      <c r="B189" s="123"/>
      <c r="C189" s="123"/>
      <c r="D189" s="123"/>
      <c r="H189" s="115"/>
      <c r="I189" s="26">
        <v>45729</v>
      </c>
      <c r="J189" s="13" t="s">
        <v>146</v>
      </c>
      <c r="L189" s="115"/>
      <c r="M189" s="115"/>
      <c r="N189" s="115"/>
      <c r="O189" s="115"/>
      <c r="P189" s="115"/>
      <c r="Q189" s="115"/>
      <c r="R189" s="115"/>
      <c r="S189" s="115"/>
      <c r="T189" s="25"/>
      <c r="U189" s="15"/>
      <c r="Z189" s="117"/>
      <c r="AA189" s="123"/>
      <c r="AB189" s="123"/>
      <c r="AC189" s="123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5"/>
      <c r="AP189" s="115"/>
      <c r="AQ189" s="115"/>
      <c r="AR189" s="25"/>
      <c r="AS189" s="13"/>
      <c r="AV189" s="114"/>
    </row>
    <row r="190" spans="1:48" ht="19.5" x14ac:dyDescent="0.4">
      <c r="A190" s="117"/>
      <c r="B190" s="123"/>
      <c r="C190" s="123"/>
      <c r="D190" s="123"/>
      <c r="H190" s="115"/>
      <c r="I190" s="129" t="s">
        <v>402</v>
      </c>
      <c r="J190" s="13">
        <f>SUBTOTAL(3,J186:J189)</f>
        <v>4</v>
      </c>
      <c r="L190" s="115"/>
      <c r="M190" s="115"/>
      <c r="N190" s="115"/>
      <c r="O190" s="115"/>
      <c r="P190" s="115"/>
      <c r="Q190" s="115"/>
      <c r="R190" s="115"/>
      <c r="S190" s="115"/>
      <c r="T190" s="25"/>
      <c r="U190" s="15"/>
      <c r="Z190" s="117"/>
      <c r="AA190" s="123"/>
      <c r="AB190" s="123"/>
      <c r="AC190" s="123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115"/>
      <c r="AO190" s="115"/>
      <c r="AP190" s="115"/>
      <c r="AQ190" s="115"/>
      <c r="AR190" s="25"/>
      <c r="AS190" s="13"/>
      <c r="AV190" s="114"/>
    </row>
    <row r="191" spans="1:48" ht="19.5" x14ac:dyDescent="0.4">
      <c r="A191" s="117"/>
      <c r="B191" s="123"/>
      <c r="C191" s="123"/>
      <c r="D191" s="123"/>
      <c r="I191" s="26">
        <v>45737</v>
      </c>
      <c r="J191" s="13" t="s">
        <v>147</v>
      </c>
      <c r="K191" s="115"/>
      <c r="L191" s="115"/>
      <c r="M191" s="115"/>
      <c r="N191" s="115"/>
      <c r="O191" s="115"/>
      <c r="P191" s="115"/>
      <c r="Q191" s="115"/>
      <c r="R191" s="115"/>
      <c r="S191" s="115"/>
      <c r="T191" s="25">
        <v>45693</v>
      </c>
      <c r="U191" s="15" t="s">
        <v>146</v>
      </c>
      <c r="Z191" s="117"/>
      <c r="AA191" s="123"/>
      <c r="AB191" s="123"/>
      <c r="AC191" s="123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115"/>
      <c r="AO191" s="115"/>
      <c r="AP191" s="115"/>
      <c r="AQ191" s="115"/>
      <c r="AR191" s="25"/>
      <c r="AS191" s="13"/>
      <c r="AV191" s="114"/>
    </row>
    <row r="192" spans="1:48" ht="19.5" x14ac:dyDescent="0.4">
      <c r="A192" s="117"/>
      <c r="B192" s="123"/>
      <c r="C192" s="123"/>
      <c r="D192" s="123"/>
      <c r="I192" s="129" t="s">
        <v>403</v>
      </c>
      <c r="J192" s="13">
        <f>SUBTOTAL(3,J191:J191)</f>
        <v>1</v>
      </c>
      <c r="K192" s="115"/>
      <c r="L192" s="115"/>
      <c r="M192" s="115"/>
      <c r="N192" s="115"/>
      <c r="O192" s="115"/>
      <c r="P192" s="115"/>
      <c r="Q192" s="115"/>
      <c r="R192" s="115"/>
      <c r="S192" s="115"/>
      <c r="T192" s="25"/>
      <c r="U192" s="15"/>
      <c r="Z192" s="117"/>
      <c r="AA192" s="123"/>
      <c r="AB192" s="123"/>
      <c r="AC192" s="123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115"/>
      <c r="AO192" s="115"/>
      <c r="AP192" s="115"/>
      <c r="AQ192" s="115"/>
      <c r="AR192" s="25"/>
      <c r="AS192" s="13"/>
      <c r="AV192" s="114"/>
    </row>
    <row r="193" spans="1:48" ht="19.5" x14ac:dyDescent="0.4">
      <c r="A193" s="117"/>
      <c r="B193" s="123"/>
      <c r="C193" s="123"/>
      <c r="D193" s="123"/>
      <c r="H193" s="115"/>
      <c r="I193" s="26">
        <v>45745</v>
      </c>
      <c r="J193" s="13" t="s">
        <v>146</v>
      </c>
      <c r="K193" s="115"/>
      <c r="L193" s="115"/>
      <c r="M193" s="115"/>
      <c r="N193" s="115"/>
      <c r="O193" s="115"/>
      <c r="P193" s="115"/>
      <c r="Q193" s="115"/>
      <c r="R193" s="115"/>
      <c r="S193" s="115"/>
      <c r="T193" s="25"/>
      <c r="U193" s="15"/>
      <c r="Z193" s="117"/>
      <c r="AA193" s="123"/>
      <c r="AB193" s="123"/>
      <c r="AC193" s="123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15"/>
      <c r="AP193" s="115"/>
      <c r="AQ193" s="115"/>
      <c r="AR193" s="25"/>
      <c r="AS193" s="13"/>
      <c r="AV193" s="114"/>
    </row>
    <row r="194" spans="1:48" ht="19.5" x14ac:dyDescent="0.4">
      <c r="A194" s="117"/>
      <c r="B194" s="123"/>
      <c r="C194" s="123"/>
      <c r="D194" s="123"/>
      <c r="I194" s="26">
        <v>45745</v>
      </c>
      <c r="J194" s="13" t="s">
        <v>148</v>
      </c>
      <c r="T194" s="25">
        <v>45693</v>
      </c>
      <c r="U194" s="15" t="s">
        <v>146</v>
      </c>
      <c r="Z194" s="117"/>
      <c r="AA194" s="123"/>
      <c r="AB194" s="123"/>
      <c r="AC194" s="123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115"/>
      <c r="AO194" s="115"/>
      <c r="AP194" s="115"/>
      <c r="AQ194" s="115" t="s">
        <v>157</v>
      </c>
      <c r="AR194" s="13">
        <f>SUBTOTAL(3,AR186:AR186)</f>
        <v>1</v>
      </c>
      <c r="AS194" s="13">
        <f>SUBTOTAL(3,AS186:AS186)</f>
        <v>1</v>
      </c>
      <c r="AV194" s="114"/>
    </row>
    <row r="195" spans="1:48" ht="19.5" x14ac:dyDescent="0.4">
      <c r="A195" s="117"/>
      <c r="B195" s="123"/>
      <c r="C195" s="123"/>
      <c r="D195" s="123"/>
      <c r="I195" s="26">
        <v>45745</v>
      </c>
      <c r="J195" s="13" t="s">
        <v>146</v>
      </c>
      <c r="L195" s="115"/>
      <c r="M195" s="115"/>
      <c r="N195" s="115"/>
      <c r="O195" s="115"/>
      <c r="P195" s="115"/>
      <c r="Q195" s="115"/>
      <c r="R195" s="115"/>
      <c r="S195" s="115"/>
      <c r="T195" s="25">
        <v>45693</v>
      </c>
      <c r="U195" s="15" t="s">
        <v>146</v>
      </c>
      <c r="Z195" s="117"/>
      <c r="AA195" s="123"/>
      <c r="AB195" s="123"/>
      <c r="AC195" s="123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115"/>
      <c r="AQ195" s="115"/>
      <c r="AR195" s="13"/>
      <c r="AS195" s="13"/>
      <c r="AV195" s="114"/>
    </row>
    <row r="196" spans="1:48" ht="19.5" x14ac:dyDescent="0.4">
      <c r="A196" s="117"/>
      <c r="B196" s="123"/>
      <c r="C196" s="123"/>
      <c r="D196" s="123"/>
      <c r="I196" s="129" t="s">
        <v>404</v>
      </c>
      <c r="J196" s="13">
        <f>SUBTOTAL(3,J193:J195)</f>
        <v>3</v>
      </c>
      <c r="L196" s="115"/>
      <c r="M196" s="115"/>
      <c r="N196" s="115"/>
      <c r="O196" s="115"/>
      <c r="P196" s="115"/>
      <c r="Q196" s="115"/>
      <c r="R196" s="115"/>
      <c r="S196" s="115"/>
      <c r="T196" s="25"/>
      <c r="U196" s="15"/>
      <c r="Z196" s="117"/>
      <c r="AA196" s="123"/>
      <c r="AB196" s="123"/>
      <c r="AC196" s="123"/>
      <c r="AE196" s="115"/>
      <c r="AF196" s="115"/>
      <c r="AG196" s="115"/>
      <c r="AH196" s="115"/>
      <c r="AI196" s="115"/>
      <c r="AJ196" s="115"/>
      <c r="AK196" s="115"/>
      <c r="AL196" s="115"/>
      <c r="AM196" s="115"/>
      <c r="AN196" s="115"/>
      <c r="AO196" s="115"/>
      <c r="AP196" s="115"/>
      <c r="AQ196" s="115"/>
      <c r="AR196" s="13"/>
      <c r="AS196" s="13"/>
      <c r="AV196" s="114"/>
    </row>
    <row r="197" spans="1:48" ht="19.5" x14ac:dyDescent="0.4">
      <c r="A197" s="117"/>
      <c r="B197" s="123"/>
      <c r="C197" s="123"/>
      <c r="D197" s="123"/>
      <c r="I197" s="129" t="s">
        <v>145</v>
      </c>
      <c r="J197" s="13">
        <f>SUBTOTAL(3,J2:J195)</f>
        <v>168</v>
      </c>
      <c r="L197" s="115"/>
      <c r="M197" s="115"/>
      <c r="N197" s="115"/>
      <c r="O197" s="115"/>
      <c r="P197" s="115"/>
      <c r="Q197" s="115"/>
      <c r="R197" s="115"/>
      <c r="S197" s="115"/>
      <c r="T197" s="25"/>
      <c r="U197" s="15"/>
      <c r="Z197" s="117"/>
      <c r="AA197" s="123"/>
      <c r="AB197" s="123"/>
      <c r="AC197" s="123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5"/>
      <c r="AP197" s="115"/>
      <c r="AQ197" s="115"/>
      <c r="AR197" s="13"/>
      <c r="AS197" s="13"/>
      <c r="AV197" s="114"/>
    </row>
    <row r="198" spans="1:48" ht="19.5" x14ac:dyDescent="0.4">
      <c r="A198" s="117"/>
      <c r="B198" s="123"/>
      <c r="C198" s="123"/>
      <c r="D198" s="123"/>
      <c r="I198" s="26"/>
      <c r="J198" s="13"/>
      <c r="L198" s="115"/>
      <c r="M198" s="115"/>
      <c r="N198" s="115"/>
      <c r="O198" s="115"/>
      <c r="P198" s="115"/>
      <c r="Q198" s="115"/>
      <c r="R198" s="115"/>
      <c r="S198" s="115"/>
      <c r="T198" s="25">
        <v>45694</v>
      </c>
      <c r="U198" s="15" t="s">
        <v>147</v>
      </c>
      <c r="Z198" s="117"/>
      <c r="AA198" s="123"/>
      <c r="AB198" s="123"/>
      <c r="AC198" s="123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115"/>
      <c r="AO198" s="115"/>
      <c r="AP198" s="115"/>
      <c r="AQ198" s="115"/>
      <c r="AR198" s="13"/>
      <c r="AS198" s="13"/>
      <c r="AV198" s="114"/>
    </row>
    <row r="199" spans="1:48" ht="19.5" x14ac:dyDescent="0.4">
      <c r="A199" s="117"/>
      <c r="B199" s="123"/>
      <c r="C199" s="123"/>
      <c r="D199" s="123"/>
      <c r="H199" s="115"/>
      <c r="I199" s="17"/>
      <c r="J199" s="13"/>
      <c r="L199" s="115"/>
      <c r="M199" s="115"/>
      <c r="N199" s="115"/>
      <c r="O199" s="115"/>
      <c r="P199" s="115"/>
      <c r="Q199" s="115"/>
      <c r="R199" s="115"/>
      <c r="S199" s="115"/>
      <c r="T199" s="25"/>
      <c r="U199" s="15"/>
      <c r="Z199" s="117"/>
      <c r="AA199" s="123"/>
      <c r="AB199" s="123"/>
      <c r="AC199" s="123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3"/>
      <c r="AS199" s="13"/>
      <c r="AV199" s="114"/>
    </row>
    <row r="200" spans="1:48" ht="19.5" x14ac:dyDescent="0.4">
      <c r="A200" s="117"/>
      <c r="B200" s="123"/>
      <c r="C200" s="123"/>
      <c r="D200" s="123"/>
      <c r="H200" s="115"/>
      <c r="I200" s="17"/>
      <c r="J200" s="13"/>
      <c r="L200" s="115"/>
      <c r="M200" s="115"/>
      <c r="N200" s="115"/>
      <c r="O200" s="115"/>
      <c r="P200" s="115"/>
      <c r="Q200" s="115"/>
      <c r="R200" s="115"/>
      <c r="S200" s="115"/>
      <c r="T200" s="25"/>
      <c r="U200" s="15"/>
      <c r="Z200" s="117"/>
      <c r="AA200" s="123"/>
      <c r="AB200" s="123"/>
      <c r="AC200" s="123"/>
      <c r="AE200" s="115"/>
      <c r="AF200" s="115"/>
      <c r="AG200" s="115"/>
      <c r="AH200" s="115"/>
      <c r="AI200" s="115"/>
      <c r="AJ200" s="115"/>
      <c r="AK200" s="115"/>
      <c r="AL200" s="115"/>
      <c r="AM200" s="115"/>
      <c r="AN200" s="115"/>
      <c r="AO200" s="115"/>
      <c r="AP200" s="115"/>
      <c r="AQ200" s="115"/>
      <c r="AR200" s="13"/>
      <c r="AS200" s="13"/>
      <c r="AV200" s="114"/>
    </row>
    <row r="201" spans="1:48" ht="19.5" x14ac:dyDescent="0.4">
      <c r="A201" s="117"/>
      <c r="B201" s="123"/>
      <c r="C201" s="123"/>
      <c r="D201" s="123"/>
      <c r="I201" s="26"/>
      <c r="J201" s="13"/>
      <c r="L201" s="115"/>
      <c r="M201" s="115"/>
      <c r="N201" s="115"/>
      <c r="O201" s="115"/>
      <c r="P201" s="115"/>
      <c r="Q201" s="115"/>
      <c r="R201" s="115"/>
      <c r="S201" s="115"/>
      <c r="T201" s="25">
        <v>45694</v>
      </c>
      <c r="U201" s="105" t="s">
        <v>147</v>
      </c>
      <c r="Z201" s="117"/>
      <c r="AA201" s="123"/>
      <c r="AB201" s="123"/>
      <c r="AC201" s="123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15"/>
      <c r="AO201" s="115"/>
      <c r="AP201" s="115"/>
      <c r="AQ201" s="115"/>
      <c r="AR201" s="13"/>
      <c r="AS201" s="13"/>
      <c r="AV201" s="114"/>
    </row>
    <row r="202" spans="1:48" ht="19.5" x14ac:dyDescent="0.4">
      <c r="A202" s="117"/>
      <c r="B202" s="123"/>
      <c r="C202" s="123"/>
      <c r="D202" s="123"/>
      <c r="I202" s="26"/>
      <c r="J202" s="13"/>
      <c r="K202" s="115"/>
      <c r="L202" s="115"/>
      <c r="M202" s="115"/>
      <c r="N202" s="115"/>
      <c r="O202" s="115"/>
      <c r="P202" s="115"/>
      <c r="Q202" s="115"/>
      <c r="R202" s="115"/>
      <c r="S202" s="115"/>
      <c r="T202" s="25">
        <v>45694</v>
      </c>
      <c r="U202" s="15" t="s">
        <v>147</v>
      </c>
      <c r="Z202" s="117"/>
      <c r="AA202" s="123"/>
      <c r="AB202" s="123"/>
      <c r="AC202" s="123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15"/>
      <c r="AO202" s="115"/>
      <c r="AP202" s="115"/>
      <c r="AQ202" s="115"/>
      <c r="AR202" s="13"/>
      <c r="AS202" s="13"/>
      <c r="AV202" s="114"/>
    </row>
    <row r="203" spans="1:48" ht="19.5" x14ac:dyDescent="0.4">
      <c r="A203" s="117"/>
      <c r="B203" s="123"/>
      <c r="C203" s="123"/>
      <c r="D203" s="123"/>
      <c r="I203" s="26"/>
      <c r="J203" s="13"/>
      <c r="K203" s="115"/>
      <c r="L203" s="115"/>
      <c r="M203" s="115"/>
      <c r="N203" s="115"/>
      <c r="O203" s="115"/>
      <c r="P203" s="115"/>
      <c r="Q203" s="115"/>
      <c r="R203" s="115"/>
      <c r="S203" s="115"/>
      <c r="T203" s="26">
        <v>45694</v>
      </c>
      <c r="U203" s="15" t="s">
        <v>148</v>
      </c>
      <c r="Z203" s="117"/>
      <c r="AA203" s="123"/>
      <c r="AB203" s="123"/>
      <c r="AC203" s="123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115"/>
      <c r="AQ203" s="115"/>
      <c r="AR203" s="13"/>
      <c r="AS203" s="13"/>
      <c r="AV203" s="114"/>
    </row>
    <row r="204" spans="1:48" ht="19.5" x14ac:dyDescent="0.4">
      <c r="A204" s="117"/>
      <c r="B204" s="123"/>
      <c r="C204" s="123"/>
      <c r="D204" s="123"/>
      <c r="I204" s="26"/>
      <c r="J204" s="13"/>
      <c r="T204" s="26">
        <v>45694</v>
      </c>
      <c r="U204" s="13" t="s">
        <v>147</v>
      </c>
      <c r="Z204" s="117"/>
      <c r="AA204" s="123"/>
      <c r="AB204" s="123"/>
      <c r="AC204" s="123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115"/>
      <c r="AO204" s="115"/>
      <c r="AP204" s="115"/>
      <c r="AQ204" s="115"/>
      <c r="AR204" s="25">
        <v>45268</v>
      </c>
      <c r="AS204" s="13" t="s">
        <v>162</v>
      </c>
      <c r="AV204" s="114"/>
    </row>
    <row r="205" spans="1:48" ht="19.5" x14ac:dyDescent="0.4">
      <c r="A205" s="117"/>
      <c r="B205" s="123"/>
      <c r="C205" s="123"/>
      <c r="D205" s="123"/>
      <c r="I205" s="26"/>
      <c r="J205" s="13"/>
      <c r="L205" s="115"/>
      <c r="M205" s="115"/>
      <c r="N205" s="115"/>
      <c r="O205" s="115"/>
      <c r="P205" s="115"/>
      <c r="Q205" s="115"/>
      <c r="R205" s="115"/>
      <c r="S205" s="115"/>
      <c r="T205" s="26">
        <v>45694</v>
      </c>
      <c r="U205" s="13" t="s">
        <v>147</v>
      </c>
      <c r="Z205" s="117"/>
      <c r="AA205" s="123"/>
      <c r="AB205" s="123"/>
      <c r="AC205" s="123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115"/>
      <c r="AO205" s="115"/>
      <c r="AP205" s="115"/>
      <c r="AQ205" s="115"/>
      <c r="AR205" s="25"/>
      <c r="AS205" s="13"/>
      <c r="AV205" s="114"/>
    </row>
    <row r="206" spans="1:48" ht="19.5" x14ac:dyDescent="0.4">
      <c r="A206" s="117"/>
      <c r="B206" s="123"/>
      <c r="C206" s="123"/>
      <c r="D206" s="123"/>
      <c r="I206" s="26"/>
      <c r="J206" s="13"/>
      <c r="T206" s="26">
        <v>45694</v>
      </c>
      <c r="U206" s="13" t="s">
        <v>147</v>
      </c>
      <c r="Z206" s="117"/>
      <c r="AA206" s="123"/>
      <c r="AB206" s="123"/>
      <c r="AC206" s="123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15"/>
      <c r="AO206" s="115"/>
      <c r="AP206" s="115"/>
      <c r="AQ206" s="115"/>
      <c r="AR206" s="25">
        <v>45268</v>
      </c>
      <c r="AS206" s="13" t="s">
        <v>162</v>
      </c>
      <c r="AV206" s="114"/>
    </row>
    <row r="207" spans="1:48" ht="19.5" x14ac:dyDescent="0.4">
      <c r="A207" s="117"/>
      <c r="B207" s="123"/>
      <c r="C207" s="123"/>
      <c r="D207" s="123"/>
      <c r="I207" s="26"/>
      <c r="J207" s="13"/>
      <c r="Q207" s="115"/>
      <c r="R207" s="115"/>
      <c r="S207" s="115"/>
      <c r="T207" s="26">
        <v>45696</v>
      </c>
      <c r="U207" s="13" t="s">
        <v>147</v>
      </c>
      <c r="Z207" s="117"/>
      <c r="AA207" s="123"/>
      <c r="AB207" s="123"/>
      <c r="AC207" s="123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115"/>
      <c r="AQ207" s="115"/>
      <c r="AR207" s="25"/>
      <c r="AS207" s="13"/>
      <c r="AV207" s="114"/>
    </row>
    <row r="208" spans="1:48" ht="19.5" x14ac:dyDescent="0.4">
      <c r="A208" s="117"/>
      <c r="B208" s="123"/>
      <c r="C208" s="123"/>
      <c r="D208" s="123"/>
      <c r="I208" s="26"/>
      <c r="J208" s="13"/>
      <c r="T208" s="26">
        <v>45698</v>
      </c>
      <c r="U208" s="13" t="s">
        <v>147</v>
      </c>
      <c r="Z208" s="117"/>
      <c r="AA208" s="123"/>
      <c r="AB208" s="123"/>
      <c r="AC208" s="123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115"/>
      <c r="AQ208" s="115"/>
      <c r="AR208" s="25">
        <v>45268</v>
      </c>
      <c r="AS208" s="13" t="s">
        <v>163</v>
      </c>
      <c r="AV208" s="114"/>
    </row>
    <row r="209" spans="1:48" ht="19.5" x14ac:dyDescent="0.4">
      <c r="A209" s="117"/>
      <c r="B209" s="123"/>
      <c r="C209" s="123"/>
      <c r="D209" s="123"/>
      <c r="G209" s="115"/>
      <c r="H209" s="115"/>
      <c r="I209" s="17"/>
      <c r="J209" s="13"/>
      <c r="T209" s="26"/>
      <c r="U209" s="13"/>
      <c r="Z209" s="117"/>
      <c r="AA209" s="123"/>
      <c r="AB209" s="123"/>
      <c r="AC209" s="123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115"/>
      <c r="AQ209" s="115"/>
      <c r="AR209" s="25"/>
      <c r="AS209" s="13"/>
      <c r="AV209" s="114"/>
    </row>
    <row r="210" spans="1:48" ht="19.5" x14ac:dyDescent="0.4">
      <c r="A210" s="117"/>
      <c r="B210" s="123"/>
      <c r="C210" s="123"/>
      <c r="D210" s="123"/>
      <c r="I210" s="26"/>
      <c r="J210" s="13"/>
      <c r="Q210" s="115"/>
      <c r="R210" s="115"/>
      <c r="S210" s="115"/>
      <c r="T210" s="26">
        <v>45698</v>
      </c>
      <c r="U210" s="13" t="s">
        <v>147</v>
      </c>
      <c r="Z210" s="117"/>
      <c r="AA210" s="123"/>
      <c r="AB210" s="123"/>
      <c r="AC210" s="123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115"/>
      <c r="AO210" s="115"/>
      <c r="AP210" s="115"/>
      <c r="AQ210" s="115"/>
      <c r="AR210" s="25"/>
      <c r="AS210" s="13"/>
      <c r="AV210" s="114"/>
    </row>
    <row r="211" spans="1:48" ht="19.5" x14ac:dyDescent="0.4">
      <c r="A211" s="117"/>
      <c r="B211" s="123"/>
      <c r="C211" s="123"/>
      <c r="D211" s="123"/>
      <c r="I211" s="26"/>
      <c r="J211" s="13"/>
      <c r="K211" s="115"/>
      <c r="L211" s="115"/>
      <c r="M211" s="115"/>
      <c r="N211" s="115"/>
      <c r="O211" s="115"/>
      <c r="P211" s="115"/>
      <c r="Q211" s="115"/>
      <c r="R211" s="115"/>
      <c r="S211" s="115"/>
      <c r="T211" s="26">
        <v>45699</v>
      </c>
      <c r="U211" s="13" t="s">
        <v>148</v>
      </c>
      <c r="Z211" s="117"/>
      <c r="AA211" s="123"/>
      <c r="AB211" s="123"/>
      <c r="AC211" s="123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115"/>
      <c r="AO211" s="115"/>
      <c r="AP211" s="115"/>
      <c r="AQ211" s="115"/>
      <c r="AR211" s="25"/>
      <c r="AS211" s="13"/>
      <c r="AV211" s="114"/>
    </row>
    <row r="212" spans="1:48" ht="19.5" x14ac:dyDescent="0.4">
      <c r="A212" s="117"/>
      <c r="B212" s="123"/>
      <c r="C212" s="123"/>
      <c r="D212" s="123"/>
      <c r="G212" s="115"/>
      <c r="H212" s="115"/>
      <c r="I212" s="17"/>
      <c r="J212" s="13"/>
      <c r="K212" s="115"/>
      <c r="L212" s="115"/>
      <c r="M212" s="115"/>
      <c r="N212" s="115"/>
      <c r="O212" s="115"/>
      <c r="P212" s="115"/>
      <c r="Q212" s="115"/>
      <c r="R212" s="115"/>
      <c r="S212" s="115"/>
      <c r="T212" s="26"/>
      <c r="U212" s="13"/>
      <c r="Z212" s="117"/>
      <c r="AA212" s="123"/>
      <c r="AB212" s="123"/>
      <c r="AC212" s="123"/>
      <c r="AE212" s="115"/>
      <c r="AF212" s="115"/>
      <c r="AG212" s="115"/>
      <c r="AH212" s="115"/>
      <c r="AI212" s="115"/>
      <c r="AJ212" s="115"/>
      <c r="AK212" s="115"/>
      <c r="AL212" s="115"/>
      <c r="AM212" s="115"/>
      <c r="AN212" s="115"/>
      <c r="AO212" s="115"/>
      <c r="AP212" s="115"/>
      <c r="AQ212" s="115"/>
      <c r="AR212" s="25"/>
      <c r="AS212" s="13"/>
      <c r="AV212" s="114"/>
    </row>
    <row r="213" spans="1:48" ht="19.5" x14ac:dyDescent="0.4">
      <c r="A213" s="117"/>
      <c r="B213" s="123"/>
      <c r="C213" s="123"/>
      <c r="D213" s="123"/>
      <c r="I213" s="26"/>
      <c r="J213" s="13"/>
      <c r="T213" s="26">
        <v>45699</v>
      </c>
      <c r="U213" s="13" t="s">
        <v>148</v>
      </c>
      <c r="Z213" s="117"/>
      <c r="AA213" s="123"/>
      <c r="AB213" s="123"/>
      <c r="AC213" s="123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115"/>
      <c r="AO213" s="115"/>
      <c r="AP213" s="115"/>
      <c r="AQ213" s="115"/>
      <c r="AR213" s="25">
        <v>45268</v>
      </c>
      <c r="AS213" s="13" t="s">
        <v>163</v>
      </c>
      <c r="AV213" s="114"/>
    </row>
    <row r="214" spans="1:48" ht="19.5" x14ac:dyDescent="0.4">
      <c r="A214" s="117"/>
      <c r="B214" s="123"/>
      <c r="C214" s="123"/>
      <c r="D214" s="123"/>
      <c r="G214" s="115"/>
      <c r="H214" s="115"/>
      <c r="I214" s="17"/>
      <c r="J214" s="13"/>
      <c r="T214" s="26"/>
      <c r="U214" s="13"/>
      <c r="Z214" s="117"/>
      <c r="AA214" s="123"/>
      <c r="AB214" s="123"/>
      <c r="AC214" s="123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115"/>
      <c r="AQ214" s="115"/>
      <c r="AR214" s="25"/>
      <c r="AS214" s="13"/>
      <c r="AV214" s="114"/>
    </row>
    <row r="215" spans="1:48" ht="19.5" x14ac:dyDescent="0.4">
      <c r="A215" s="117"/>
      <c r="B215" s="123"/>
      <c r="C215" s="123"/>
      <c r="D215" s="123"/>
      <c r="I215" s="26"/>
      <c r="J215" s="13"/>
      <c r="M215" s="115"/>
      <c r="N215" s="115"/>
      <c r="O215" s="115"/>
      <c r="P215" s="115"/>
      <c r="Q215" s="115"/>
      <c r="R215" s="115"/>
      <c r="S215" s="115"/>
      <c r="T215" s="26">
        <v>45699</v>
      </c>
      <c r="U215" s="13" t="s">
        <v>148</v>
      </c>
      <c r="Z215" s="117"/>
      <c r="AA215" s="123"/>
      <c r="AB215" s="123"/>
      <c r="AC215" s="123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115"/>
      <c r="AO215" s="115"/>
      <c r="AP215" s="115"/>
      <c r="AQ215" s="115"/>
      <c r="AR215" s="25"/>
      <c r="AS215" s="13"/>
      <c r="AV215" s="114"/>
    </row>
    <row r="216" spans="1:48" ht="19.5" x14ac:dyDescent="0.4">
      <c r="A216" s="117"/>
      <c r="B216" s="123"/>
      <c r="C216" s="123"/>
      <c r="D216" s="123"/>
      <c r="I216" s="26"/>
      <c r="J216" s="13"/>
      <c r="M216" s="115"/>
      <c r="N216" s="115"/>
      <c r="O216" s="115"/>
      <c r="P216" s="115"/>
      <c r="Q216" s="115"/>
      <c r="R216" s="115"/>
      <c r="S216" s="115"/>
      <c r="T216" s="26">
        <v>45699</v>
      </c>
      <c r="U216" s="13" t="s">
        <v>148</v>
      </c>
      <c r="Z216" s="117"/>
      <c r="AA216" s="123"/>
      <c r="AB216" s="123"/>
      <c r="AC216" s="123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115"/>
      <c r="AN216" s="115"/>
      <c r="AO216" s="115"/>
      <c r="AP216" s="115"/>
      <c r="AQ216" s="115"/>
      <c r="AR216" s="25"/>
      <c r="AS216" s="13"/>
      <c r="AV216" s="114"/>
    </row>
    <row r="217" spans="1:48" ht="19.5" x14ac:dyDescent="0.4">
      <c r="A217" s="117"/>
      <c r="B217" s="123"/>
      <c r="C217" s="123"/>
      <c r="D217" s="123"/>
      <c r="I217" s="26"/>
      <c r="J217" s="13"/>
      <c r="M217" s="115"/>
      <c r="N217" s="115"/>
      <c r="O217" s="115"/>
      <c r="P217" s="115"/>
      <c r="Q217" s="115"/>
      <c r="R217" s="115"/>
      <c r="S217" s="115"/>
      <c r="T217" s="26">
        <v>45699</v>
      </c>
      <c r="U217" s="13" t="s">
        <v>148</v>
      </c>
      <c r="Z217" s="117"/>
      <c r="AA217" s="123"/>
      <c r="AB217" s="123"/>
      <c r="AC217" s="123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  <c r="AN217" s="115"/>
      <c r="AO217" s="115"/>
      <c r="AP217" s="115"/>
      <c r="AQ217" s="115"/>
      <c r="AR217" s="25"/>
      <c r="AS217" s="13"/>
      <c r="AV217" s="114"/>
    </row>
    <row r="218" spans="1:48" ht="19.5" x14ac:dyDescent="0.4">
      <c r="A218" s="117"/>
      <c r="B218" s="123"/>
      <c r="C218" s="123"/>
      <c r="D218" s="123"/>
      <c r="I218" s="26"/>
      <c r="J218" s="13"/>
      <c r="T218" s="26">
        <v>45699</v>
      </c>
      <c r="U218" s="13" t="s">
        <v>148</v>
      </c>
      <c r="Z218" s="117"/>
      <c r="AA218" s="123"/>
      <c r="AB218" s="123"/>
      <c r="AC218" s="123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  <c r="AN218" s="115"/>
      <c r="AO218" s="115"/>
      <c r="AP218" s="115"/>
      <c r="AQ218" s="115" t="s">
        <v>158</v>
      </c>
      <c r="AR218" s="13">
        <f>SUBTOTAL(3,AR204:AR213)</f>
        <v>4</v>
      </c>
      <c r="AS218" s="13">
        <f>SUBTOTAL(3,AS204:AS213)</f>
        <v>4</v>
      </c>
      <c r="AV218" s="114"/>
    </row>
    <row r="219" spans="1:48" ht="19.5" x14ac:dyDescent="0.4">
      <c r="A219" s="117"/>
      <c r="B219" s="123"/>
      <c r="C219" s="123"/>
      <c r="D219" s="123"/>
      <c r="I219" s="26"/>
      <c r="J219" s="15"/>
      <c r="Q219" s="115"/>
      <c r="R219" s="115"/>
      <c r="S219" s="115"/>
      <c r="T219" s="26">
        <v>45706</v>
      </c>
      <c r="U219" s="13" t="s">
        <v>146</v>
      </c>
      <c r="Z219" s="117"/>
      <c r="AA219" s="123"/>
      <c r="AB219" s="123"/>
      <c r="AC219" s="123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115"/>
      <c r="AO219" s="115"/>
      <c r="AP219" s="115"/>
      <c r="AQ219" s="115"/>
      <c r="AR219" s="13"/>
      <c r="AS219" s="13"/>
      <c r="AV219" s="114"/>
    </row>
    <row r="220" spans="1:48" ht="19.5" x14ac:dyDescent="0.4">
      <c r="A220" s="117"/>
      <c r="B220" s="123"/>
      <c r="C220" s="123"/>
      <c r="D220" s="123"/>
      <c r="I220" s="26"/>
      <c r="J220" s="13"/>
      <c r="P220" s="115"/>
      <c r="Q220" s="115"/>
      <c r="R220" s="115"/>
      <c r="S220" s="115"/>
      <c r="T220" s="26">
        <v>45709</v>
      </c>
      <c r="U220" s="13" t="s">
        <v>148</v>
      </c>
      <c r="Z220" s="117"/>
      <c r="AA220" s="123"/>
      <c r="AB220" s="123"/>
      <c r="AC220" s="123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115"/>
      <c r="AO220" s="115"/>
      <c r="AP220" s="115"/>
      <c r="AQ220" s="115"/>
      <c r="AR220" s="13"/>
      <c r="AS220" s="13"/>
      <c r="AV220" s="114"/>
    </row>
    <row r="221" spans="1:48" ht="19.5" x14ac:dyDescent="0.4">
      <c r="A221" s="117"/>
      <c r="B221" s="123"/>
      <c r="C221" s="123"/>
      <c r="D221" s="123"/>
      <c r="G221" s="115"/>
      <c r="H221" s="115"/>
      <c r="I221" s="17"/>
      <c r="J221" s="13"/>
      <c r="P221" s="115"/>
      <c r="Q221" s="115"/>
      <c r="R221" s="115"/>
      <c r="S221" s="115"/>
      <c r="T221" s="26"/>
      <c r="U221" s="13"/>
      <c r="Z221" s="117"/>
      <c r="AA221" s="123"/>
      <c r="AB221" s="123"/>
      <c r="AC221" s="123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  <c r="AN221" s="115"/>
      <c r="AO221" s="115"/>
      <c r="AP221" s="115"/>
      <c r="AQ221" s="115"/>
      <c r="AR221" s="13"/>
      <c r="AS221" s="13"/>
      <c r="AV221" s="114"/>
    </row>
    <row r="222" spans="1:48" ht="19.5" x14ac:dyDescent="0.4">
      <c r="A222" s="117"/>
      <c r="B222" s="123"/>
      <c r="C222" s="123"/>
      <c r="D222" s="123"/>
      <c r="I222" s="26"/>
      <c r="J222" s="13"/>
      <c r="P222" s="115"/>
      <c r="Q222" s="115"/>
      <c r="R222" s="115"/>
      <c r="S222" s="115"/>
      <c r="T222" s="26">
        <v>45709</v>
      </c>
      <c r="U222" s="13" t="s">
        <v>147</v>
      </c>
      <c r="Z222" s="117"/>
      <c r="AA222" s="123"/>
      <c r="AB222" s="123"/>
      <c r="AC222" s="123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115"/>
      <c r="AO222" s="115"/>
      <c r="AP222" s="115"/>
      <c r="AQ222" s="115"/>
      <c r="AR222" s="13"/>
      <c r="AS222" s="13"/>
      <c r="AV222" s="114"/>
    </row>
    <row r="223" spans="1:48" ht="19.5" x14ac:dyDescent="0.4">
      <c r="A223" s="117"/>
      <c r="B223" s="123"/>
      <c r="C223" s="123"/>
      <c r="D223" s="123"/>
      <c r="G223" s="115"/>
      <c r="H223" s="115"/>
      <c r="I223" s="17"/>
      <c r="J223" s="13"/>
      <c r="P223" s="115"/>
      <c r="Q223" s="115"/>
      <c r="R223" s="115"/>
      <c r="S223" s="115"/>
      <c r="T223" s="26"/>
      <c r="U223" s="13"/>
      <c r="Z223" s="117"/>
      <c r="AA223" s="123"/>
      <c r="AB223" s="123"/>
      <c r="AC223" s="123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115"/>
      <c r="AO223" s="115"/>
      <c r="AP223" s="115"/>
      <c r="AQ223" s="115"/>
      <c r="AR223" s="13"/>
      <c r="AS223" s="13"/>
      <c r="AV223" s="114"/>
    </row>
    <row r="224" spans="1:48" ht="19.5" x14ac:dyDescent="0.4">
      <c r="A224" s="117"/>
      <c r="B224" s="123"/>
      <c r="C224" s="123"/>
      <c r="D224" s="123"/>
      <c r="I224" s="26"/>
      <c r="J224" s="13"/>
      <c r="P224" s="115"/>
      <c r="Q224" s="115"/>
      <c r="R224" s="115"/>
      <c r="S224" s="115"/>
      <c r="T224" s="26">
        <v>45712</v>
      </c>
      <c r="U224" s="13" t="s">
        <v>146</v>
      </c>
      <c r="Z224" s="117"/>
      <c r="AA224" s="123"/>
      <c r="AB224" s="123"/>
      <c r="AC224" s="123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  <c r="AO224" s="115"/>
      <c r="AP224" s="115"/>
      <c r="AQ224" s="115"/>
      <c r="AR224" s="13"/>
      <c r="AS224" s="13"/>
      <c r="AV224" s="114"/>
    </row>
    <row r="225" spans="1:48" ht="19.5" x14ac:dyDescent="0.4">
      <c r="A225" s="117"/>
      <c r="B225" s="123"/>
      <c r="C225" s="123"/>
      <c r="D225" s="123"/>
      <c r="I225" s="26"/>
      <c r="J225" s="13"/>
      <c r="P225" s="115"/>
      <c r="Q225" s="115"/>
      <c r="R225" s="115"/>
      <c r="S225" s="115"/>
      <c r="T225" s="26">
        <v>45712</v>
      </c>
      <c r="U225" s="13" t="s">
        <v>148</v>
      </c>
      <c r="Z225" s="117"/>
      <c r="AA225" s="123"/>
      <c r="AB225" s="123"/>
      <c r="AC225" s="123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115"/>
      <c r="AO225" s="115"/>
      <c r="AP225" s="115"/>
      <c r="AQ225" s="115"/>
      <c r="AR225" s="13"/>
      <c r="AS225" s="13"/>
      <c r="AV225" s="114"/>
    </row>
    <row r="226" spans="1:48" ht="19.5" x14ac:dyDescent="0.4">
      <c r="A226" s="117"/>
      <c r="B226" s="123"/>
      <c r="C226" s="123"/>
      <c r="D226" s="123"/>
      <c r="G226" s="115"/>
      <c r="H226" s="115"/>
      <c r="I226" s="17"/>
      <c r="J226" s="13"/>
      <c r="P226" s="115"/>
      <c r="Q226" s="115"/>
      <c r="R226" s="115"/>
      <c r="S226" s="115"/>
      <c r="T226" s="26"/>
      <c r="U226" s="13"/>
      <c r="Z226" s="117"/>
      <c r="AA226" s="123"/>
      <c r="AB226" s="123"/>
      <c r="AC226" s="123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115"/>
      <c r="AQ226" s="115"/>
      <c r="AR226" s="13"/>
      <c r="AS226" s="13"/>
      <c r="AV226" s="114"/>
    </row>
    <row r="227" spans="1:48" ht="19.5" x14ac:dyDescent="0.4">
      <c r="A227" s="117"/>
      <c r="B227" s="123"/>
      <c r="C227" s="123"/>
      <c r="D227" s="123"/>
      <c r="I227" s="26"/>
      <c r="J227" s="13"/>
      <c r="N227" s="115"/>
      <c r="O227" s="115"/>
      <c r="P227" s="115"/>
      <c r="Q227" s="115"/>
      <c r="R227" s="115"/>
      <c r="S227" s="115"/>
      <c r="T227" s="26">
        <v>45714</v>
      </c>
      <c r="U227" s="13" t="s">
        <v>147</v>
      </c>
      <c r="Z227" s="117"/>
      <c r="AA227" s="123"/>
      <c r="AB227" s="123"/>
      <c r="AC227" s="123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115"/>
      <c r="AO227" s="115"/>
      <c r="AP227" s="115"/>
      <c r="AQ227" s="115"/>
      <c r="AR227" s="13"/>
      <c r="AS227" s="13"/>
      <c r="AV227" s="114"/>
    </row>
    <row r="228" spans="1:48" ht="19.5" x14ac:dyDescent="0.4">
      <c r="A228" s="117"/>
      <c r="B228" s="123"/>
      <c r="C228" s="123"/>
      <c r="D228" s="123"/>
      <c r="I228" s="26"/>
      <c r="J228" s="13"/>
      <c r="T228" s="26">
        <v>45714</v>
      </c>
      <c r="U228" s="13" t="s">
        <v>147</v>
      </c>
      <c r="Z228" s="117"/>
      <c r="AA228" s="123"/>
      <c r="AB228" s="123"/>
      <c r="AC228" s="123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115"/>
      <c r="AQ228" s="115"/>
      <c r="AR228" s="25">
        <v>45269</v>
      </c>
      <c r="AS228" s="13" t="s">
        <v>163</v>
      </c>
      <c r="AV228" s="114"/>
    </row>
    <row r="229" spans="1:48" ht="19.5" x14ac:dyDescent="0.4">
      <c r="A229" s="117"/>
      <c r="B229" s="123"/>
      <c r="C229" s="123"/>
      <c r="D229" s="123"/>
      <c r="I229" s="26"/>
      <c r="J229" s="13"/>
      <c r="K229" s="115"/>
      <c r="L229" s="115"/>
      <c r="M229" s="115"/>
      <c r="N229" s="115"/>
      <c r="O229" s="115"/>
      <c r="P229" s="115"/>
      <c r="Q229" s="115"/>
      <c r="R229" s="115"/>
      <c r="S229" s="115"/>
      <c r="T229" s="26">
        <v>45714</v>
      </c>
      <c r="U229" s="13" t="s">
        <v>147</v>
      </c>
      <c r="Z229" s="117"/>
      <c r="AA229" s="123"/>
      <c r="AB229" s="123"/>
      <c r="AC229" s="123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115"/>
      <c r="AQ229" s="115"/>
      <c r="AR229" s="25"/>
      <c r="AS229" s="13"/>
      <c r="AV229" s="114"/>
    </row>
    <row r="230" spans="1:48" ht="19.5" x14ac:dyDescent="0.4">
      <c r="A230" s="117"/>
      <c r="B230" s="123"/>
      <c r="C230" s="123"/>
      <c r="D230" s="123"/>
      <c r="I230" s="26"/>
      <c r="J230" s="13"/>
      <c r="K230" s="115"/>
      <c r="L230" s="115"/>
      <c r="M230" s="115"/>
      <c r="N230" s="115"/>
      <c r="O230" s="115"/>
      <c r="P230" s="115"/>
      <c r="Q230" s="115"/>
      <c r="R230" s="115" t="s">
        <v>145</v>
      </c>
      <c r="S230" s="115">
        <f>SUBTOTAL(3,S2:S229)</f>
        <v>0</v>
      </c>
      <c r="T230" s="26"/>
      <c r="U230" s="13">
        <f>SUBTOTAL(3,U2:U229)</f>
        <v>145</v>
      </c>
      <c r="Z230" s="117"/>
      <c r="AA230" s="123"/>
      <c r="AB230" s="123"/>
      <c r="AC230" s="123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115"/>
      <c r="AO230" s="115"/>
      <c r="AP230" s="115"/>
      <c r="AQ230" s="115"/>
      <c r="AR230" s="25"/>
      <c r="AS230" s="13"/>
      <c r="AV230" s="114"/>
    </row>
    <row r="231" spans="1:48" ht="19.5" x14ac:dyDescent="0.4">
      <c r="A231" s="117"/>
      <c r="B231" s="123"/>
      <c r="C231" s="123"/>
      <c r="D231" s="123"/>
      <c r="I231" s="26"/>
      <c r="J231" s="13"/>
      <c r="T231" s="26"/>
      <c r="U231" s="13"/>
      <c r="Z231" s="117"/>
      <c r="AA231" s="123"/>
      <c r="AB231" s="123"/>
      <c r="AC231" s="123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25">
        <v>45269</v>
      </c>
      <c r="AS231" s="13" t="s">
        <v>163</v>
      </c>
      <c r="AV231" s="114"/>
    </row>
    <row r="232" spans="1:48" ht="19.5" x14ac:dyDescent="0.4">
      <c r="A232" s="117"/>
      <c r="B232" s="123"/>
      <c r="C232" s="123"/>
      <c r="D232" s="123"/>
      <c r="I232" s="26"/>
      <c r="J232" s="13"/>
      <c r="M232" s="115"/>
      <c r="N232" s="115"/>
      <c r="O232" s="115"/>
      <c r="P232" s="115"/>
      <c r="Q232" s="115"/>
      <c r="R232" s="115"/>
      <c r="S232" s="115"/>
      <c r="T232" s="26"/>
      <c r="U232" s="13"/>
      <c r="Z232" s="117"/>
      <c r="AA232" s="123"/>
      <c r="AB232" s="123"/>
      <c r="AC232" s="123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115"/>
      <c r="AO232" s="115"/>
      <c r="AP232" s="115"/>
      <c r="AQ232" s="115"/>
      <c r="AR232" s="25"/>
      <c r="AS232" s="13"/>
      <c r="AV232" s="114"/>
    </row>
    <row r="233" spans="1:48" ht="19.5" x14ac:dyDescent="0.4">
      <c r="A233" s="117"/>
      <c r="B233" s="123"/>
      <c r="C233" s="123"/>
      <c r="D233" s="123"/>
      <c r="I233" s="26"/>
      <c r="J233" s="13"/>
      <c r="T233" s="26"/>
      <c r="U233" s="13"/>
      <c r="Z233" s="117"/>
      <c r="AA233" s="123"/>
      <c r="AB233" s="123"/>
      <c r="AC233" s="123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115"/>
      <c r="AQ233" s="115" t="s">
        <v>159</v>
      </c>
      <c r="AR233" s="13">
        <f>SUBTOTAL(3,AR228:AR231)</f>
        <v>2</v>
      </c>
      <c r="AS233" s="13">
        <f>SUBTOTAL(3,AS228:AS231)</f>
        <v>2</v>
      </c>
      <c r="AV233" s="114"/>
    </row>
    <row r="234" spans="1:48" ht="19.5" x14ac:dyDescent="0.4">
      <c r="A234" s="117"/>
      <c r="B234" s="123"/>
      <c r="C234" s="123"/>
      <c r="D234" s="123"/>
      <c r="I234" s="26"/>
      <c r="J234" s="13"/>
      <c r="K234" s="115"/>
      <c r="L234" s="115"/>
      <c r="M234" s="115"/>
      <c r="N234" s="115"/>
      <c r="O234" s="115"/>
      <c r="P234" s="115"/>
      <c r="Q234" s="115"/>
      <c r="R234" s="115"/>
      <c r="S234" s="115"/>
      <c r="T234" s="26"/>
      <c r="U234" s="13"/>
      <c r="Z234" s="117"/>
      <c r="AA234" s="123"/>
      <c r="AB234" s="123"/>
      <c r="AC234" s="123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15"/>
      <c r="AO234" s="115"/>
      <c r="AP234" s="115"/>
      <c r="AQ234" s="115"/>
      <c r="AR234" s="13"/>
      <c r="AS234" s="13"/>
      <c r="AV234" s="114"/>
    </row>
    <row r="235" spans="1:48" ht="19.5" x14ac:dyDescent="0.4">
      <c r="A235" s="117"/>
      <c r="B235" s="123"/>
      <c r="C235" s="123"/>
      <c r="D235" s="123"/>
      <c r="I235" s="26"/>
      <c r="J235" s="13"/>
      <c r="K235" s="115"/>
      <c r="L235" s="115"/>
      <c r="M235" s="115"/>
      <c r="N235" s="115"/>
      <c r="O235" s="115"/>
      <c r="P235" s="115"/>
      <c r="Q235" s="115"/>
      <c r="R235" s="115"/>
      <c r="S235" s="115"/>
      <c r="T235" s="26"/>
      <c r="U235" s="13"/>
      <c r="Z235" s="117"/>
      <c r="AA235" s="123"/>
      <c r="AB235" s="123"/>
      <c r="AC235" s="123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15"/>
      <c r="AQ235" s="115"/>
      <c r="AR235" s="13"/>
      <c r="AS235" s="13"/>
      <c r="AV235" s="114"/>
    </row>
    <row r="236" spans="1:48" ht="19.5" x14ac:dyDescent="0.4">
      <c r="A236" s="117"/>
      <c r="B236" s="123"/>
      <c r="C236" s="123"/>
      <c r="D236" s="123"/>
      <c r="F236" s="115"/>
      <c r="G236" s="115"/>
      <c r="H236" s="115"/>
      <c r="I236" s="26"/>
      <c r="J236" s="13"/>
      <c r="K236" s="115"/>
      <c r="L236" s="115"/>
      <c r="M236" s="115"/>
      <c r="N236" s="115"/>
      <c r="O236" s="115"/>
      <c r="P236" s="115"/>
      <c r="Q236" s="115"/>
      <c r="R236" s="115"/>
      <c r="S236" s="115"/>
      <c r="T236" s="26"/>
      <c r="U236" s="13"/>
      <c r="Z236" s="117"/>
      <c r="AA236" s="123"/>
      <c r="AB236" s="123"/>
      <c r="AC236" s="123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115"/>
      <c r="AR236" s="13"/>
      <c r="AS236" s="13"/>
      <c r="AV236" s="114"/>
    </row>
    <row r="237" spans="1:48" ht="19.5" x14ac:dyDescent="0.4">
      <c r="A237" s="117"/>
      <c r="B237" s="123"/>
      <c r="C237" s="123"/>
      <c r="D237" s="123"/>
      <c r="I237" s="26"/>
      <c r="J237" s="13"/>
      <c r="T237" s="26"/>
      <c r="U237" s="13"/>
      <c r="Z237" s="117"/>
      <c r="AA237" s="123"/>
      <c r="AB237" s="123"/>
      <c r="AC237" s="123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5"/>
      <c r="AR237" s="25">
        <v>45270</v>
      </c>
      <c r="AS237" s="13" t="s">
        <v>164</v>
      </c>
      <c r="AV237" s="114"/>
    </row>
    <row r="238" spans="1:48" ht="19.5" x14ac:dyDescent="0.4">
      <c r="A238" s="117"/>
      <c r="B238" s="123"/>
      <c r="C238" s="123"/>
      <c r="D238" s="123"/>
      <c r="I238" s="26"/>
      <c r="J238" s="13"/>
      <c r="O238" s="115"/>
      <c r="P238" s="115"/>
      <c r="Q238" s="115"/>
      <c r="R238" s="115"/>
      <c r="S238" s="115"/>
      <c r="T238" s="17"/>
      <c r="U238" s="13"/>
      <c r="Z238" s="117"/>
      <c r="AA238" s="123"/>
      <c r="AB238" s="123"/>
      <c r="AC238" s="123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/>
      <c r="AQ238" s="115"/>
      <c r="AR238" s="25"/>
      <c r="AS238" s="13"/>
      <c r="AV238" s="114"/>
    </row>
    <row r="239" spans="1:48" ht="19.5" x14ac:dyDescent="0.4">
      <c r="A239" s="117"/>
      <c r="B239" s="123"/>
      <c r="C239" s="123"/>
      <c r="D239" s="123"/>
      <c r="I239" s="26"/>
      <c r="J239" s="13"/>
      <c r="T239" s="26"/>
      <c r="U239" s="13"/>
      <c r="Z239" s="117"/>
      <c r="AA239" s="123"/>
      <c r="AB239" s="123"/>
      <c r="AC239" s="123"/>
      <c r="AD239" s="115"/>
      <c r="AE239" s="115"/>
      <c r="AF239" s="115"/>
      <c r="AG239" s="115"/>
      <c r="AH239" s="115"/>
      <c r="AI239" s="115"/>
      <c r="AJ239" s="115"/>
      <c r="AK239" s="115"/>
      <c r="AL239" s="115"/>
      <c r="AM239" s="115"/>
      <c r="AN239" s="115"/>
      <c r="AO239" s="115"/>
      <c r="AP239" s="115"/>
      <c r="AQ239" s="115"/>
      <c r="AR239" s="25"/>
      <c r="AS239" s="13"/>
      <c r="AV239" s="114"/>
    </row>
    <row r="240" spans="1:48" ht="19.5" x14ac:dyDescent="0.4">
      <c r="A240" s="117"/>
      <c r="B240" s="123"/>
      <c r="C240" s="123"/>
      <c r="D240" s="123"/>
      <c r="I240" s="26"/>
      <c r="J240" s="13"/>
      <c r="L240" s="115"/>
      <c r="M240" s="115"/>
      <c r="N240" s="115"/>
      <c r="O240" s="115"/>
      <c r="P240" s="115"/>
      <c r="Q240" s="115"/>
      <c r="R240" s="115"/>
      <c r="S240" s="115"/>
      <c r="T240" s="26"/>
      <c r="U240" s="13"/>
      <c r="Z240" s="117"/>
      <c r="AA240" s="123"/>
      <c r="AB240" s="123"/>
      <c r="AC240" s="123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115"/>
      <c r="AO240" s="115"/>
      <c r="AP240" s="115"/>
      <c r="AQ240" s="115"/>
      <c r="AR240" s="25"/>
      <c r="AS240" s="13"/>
      <c r="AV240" s="114"/>
    </row>
    <row r="241" spans="1:48" ht="19.5" x14ac:dyDescent="0.4">
      <c r="A241" s="117"/>
      <c r="B241" s="123"/>
      <c r="C241" s="123"/>
      <c r="D241" s="123"/>
      <c r="I241" s="26"/>
      <c r="J241" s="13"/>
      <c r="T241" s="26"/>
      <c r="U241" s="13"/>
      <c r="Z241" s="117"/>
      <c r="AA241" s="123"/>
      <c r="AB241" s="123"/>
      <c r="AC241" s="123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115"/>
      <c r="AO241" s="115"/>
      <c r="AP241" s="115"/>
      <c r="AQ241" s="115"/>
      <c r="AR241" s="25">
        <v>45270</v>
      </c>
      <c r="AS241" s="13" t="s">
        <v>164</v>
      </c>
      <c r="AV241" s="114"/>
    </row>
    <row r="242" spans="1:48" ht="19.5" x14ac:dyDescent="0.4">
      <c r="A242" s="117"/>
      <c r="B242" s="123"/>
      <c r="C242" s="123"/>
      <c r="D242" s="123"/>
      <c r="I242" s="26"/>
      <c r="J242" s="13"/>
      <c r="N242" s="115"/>
      <c r="O242" s="115"/>
      <c r="P242" s="115"/>
      <c r="Q242" s="115"/>
      <c r="R242" s="115"/>
      <c r="S242" s="115"/>
      <c r="T242" s="26"/>
      <c r="U242" s="13"/>
      <c r="Z242" s="117"/>
      <c r="AA242" s="123"/>
      <c r="AB242" s="123"/>
      <c r="AC242" s="123"/>
      <c r="AD242" s="115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15"/>
      <c r="AP242" s="115"/>
      <c r="AQ242" s="115"/>
      <c r="AR242" s="25"/>
      <c r="AS242" s="13"/>
      <c r="AV242" s="114"/>
    </row>
    <row r="243" spans="1:48" ht="19.5" x14ac:dyDescent="0.4">
      <c r="A243" s="117"/>
      <c r="B243" s="123"/>
      <c r="C243" s="123"/>
      <c r="D243" s="123"/>
      <c r="F243" s="115"/>
      <c r="G243" s="115"/>
      <c r="H243" s="115"/>
      <c r="I243" s="26"/>
      <c r="J243" s="13"/>
      <c r="K243" s="115"/>
      <c r="L243" s="115"/>
      <c r="M243" s="115"/>
      <c r="N243" s="115"/>
      <c r="O243" s="115"/>
      <c r="P243" s="115"/>
      <c r="Q243" s="115"/>
      <c r="R243" s="115"/>
      <c r="S243" s="115"/>
      <c r="T243" s="26"/>
      <c r="U243" s="13"/>
      <c r="Z243" s="117"/>
      <c r="AA243" s="123"/>
      <c r="AB243" s="123"/>
      <c r="AC243" s="123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115"/>
      <c r="AR243" s="25"/>
      <c r="AS243" s="13"/>
      <c r="AV243" s="114"/>
    </row>
    <row r="244" spans="1:48" ht="19.5" x14ac:dyDescent="0.4">
      <c r="A244" s="117"/>
      <c r="B244" s="123"/>
      <c r="C244" s="123"/>
      <c r="D244" s="123"/>
      <c r="I244" s="26"/>
      <c r="J244" s="15"/>
      <c r="T244" s="26"/>
      <c r="U244" s="13"/>
      <c r="Z244" s="117"/>
      <c r="AA244" s="123"/>
      <c r="AB244" s="123"/>
      <c r="AC244" s="123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115"/>
      <c r="AQ244" s="115"/>
      <c r="AR244" s="25">
        <v>45270</v>
      </c>
      <c r="AS244" s="13" t="s">
        <v>162</v>
      </c>
      <c r="AV244" s="114"/>
    </row>
    <row r="245" spans="1:48" ht="19.5" x14ac:dyDescent="0.4">
      <c r="A245" s="117"/>
      <c r="B245" s="123"/>
      <c r="C245" s="123"/>
      <c r="D245" s="123"/>
      <c r="I245" s="26"/>
      <c r="J245" s="15"/>
      <c r="M245" s="115"/>
      <c r="N245" s="115"/>
      <c r="O245" s="115"/>
      <c r="P245" s="115"/>
      <c r="Q245" s="115"/>
      <c r="R245" s="115"/>
      <c r="S245" s="115"/>
      <c r="T245" s="26"/>
      <c r="U245" s="15"/>
      <c r="Z245" s="117"/>
      <c r="AA245" s="123"/>
      <c r="AB245" s="123"/>
      <c r="AC245" s="123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25"/>
      <c r="AS245" s="13"/>
      <c r="AV245" s="114"/>
    </row>
    <row r="246" spans="1:48" ht="19.5" x14ac:dyDescent="0.4">
      <c r="A246" s="117"/>
      <c r="B246" s="123"/>
      <c r="C246" s="123"/>
      <c r="D246" s="123"/>
      <c r="G246" s="115"/>
      <c r="H246" s="115"/>
      <c r="I246" s="17"/>
      <c r="J246" s="15"/>
      <c r="M246" s="115"/>
      <c r="N246" s="115"/>
      <c r="O246" s="115"/>
      <c r="P246" s="115"/>
      <c r="Q246" s="115"/>
      <c r="R246" s="115"/>
      <c r="S246" s="115"/>
      <c r="T246" s="26"/>
      <c r="U246" s="13"/>
      <c r="Z246" s="117"/>
      <c r="AA246" s="123"/>
      <c r="AB246" s="123"/>
      <c r="AC246" s="123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115"/>
      <c r="AQ246" s="115"/>
      <c r="AR246" s="25"/>
      <c r="AS246" s="13"/>
      <c r="AV246" s="114"/>
    </row>
    <row r="247" spans="1:48" ht="19.5" x14ac:dyDescent="0.4">
      <c r="A247" s="117"/>
      <c r="B247" s="123"/>
      <c r="C247" s="123"/>
      <c r="D247" s="123"/>
      <c r="I247" s="26"/>
      <c r="J247" s="15"/>
      <c r="T247" s="26"/>
      <c r="U247" s="13"/>
      <c r="Z247" s="117"/>
      <c r="AA247" s="123"/>
      <c r="AB247" s="123"/>
      <c r="AC247" s="123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115"/>
      <c r="AQ247" s="115"/>
      <c r="AR247" s="25">
        <v>45270</v>
      </c>
      <c r="AS247" s="13" t="s">
        <v>162</v>
      </c>
      <c r="AV247" s="114"/>
    </row>
    <row r="248" spans="1:48" ht="19.5" x14ac:dyDescent="0.4">
      <c r="A248" s="117"/>
      <c r="B248" s="123"/>
      <c r="C248" s="123"/>
      <c r="D248" s="123"/>
      <c r="G248" s="115"/>
      <c r="H248" s="115"/>
      <c r="I248" s="17"/>
      <c r="J248" s="15"/>
      <c r="T248" s="26"/>
      <c r="U248" s="13"/>
      <c r="Z248" s="117"/>
      <c r="AA248" s="123"/>
      <c r="AB248" s="123"/>
      <c r="AC248" s="123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15"/>
      <c r="AO248" s="115"/>
      <c r="AP248" s="115"/>
      <c r="AQ248" s="115"/>
      <c r="AR248" s="25"/>
      <c r="AS248" s="13"/>
      <c r="AV248" s="114"/>
    </row>
    <row r="249" spans="1:48" ht="19.5" x14ac:dyDescent="0.4">
      <c r="A249" s="117"/>
      <c r="B249" s="123"/>
      <c r="C249" s="123"/>
      <c r="D249" s="123"/>
      <c r="I249" s="26"/>
      <c r="J249" s="15"/>
      <c r="O249" s="115"/>
      <c r="P249" s="115"/>
      <c r="Q249" s="115"/>
      <c r="R249" s="115"/>
      <c r="S249" s="115"/>
      <c r="T249" s="17"/>
      <c r="U249" s="13"/>
      <c r="Z249" s="117"/>
      <c r="AA249" s="123"/>
      <c r="AB249" s="123"/>
      <c r="AC249" s="123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115"/>
      <c r="AR249" s="25"/>
      <c r="AS249" s="13"/>
      <c r="AV249" s="114"/>
    </row>
    <row r="250" spans="1:48" ht="19.5" x14ac:dyDescent="0.4">
      <c r="A250" s="117"/>
      <c r="B250" s="123"/>
      <c r="C250" s="123"/>
      <c r="D250" s="123"/>
      <c r="G250" s="115"/>
      <c r="H250" s="115"/>
      <c r="I250" s="119"/>
      <c r="J250" s="119"/>
      <c r="O250" s="115"/>
      <c r="P250" s="115"/>
      <c r="Q250" s="115"/>
      <c r="R250" s="115"/>
      <c r="S250" s="115"/>
      <c r="T250" s="17"/>
      <c r="U250" s="13"/>
      <c r="Z250" s="117"/>
      <c r="AA250" s="123"/>
      <c r="AB250" s="123"/>
      <c r="AC250" s="123"/>
      <c r="AD250" s="115"/>
      <c r="AE250" s="115"/>
      <c r="AF250" s="115"/>
      <c r="AG250" s="115"/>
      <c r="AH250" s="115"/>
      <c r="AI250" s="115"/>
      <c r="AJ250" s="115"/>
      <c r="AK250" s="115"/>
      <c r="AL250" s="115"/>
      <c r="AM250" s="115"/>
      <c r="AN250" s="115"/>
      <c r="AO250" s="115"/>
      <c r="AP250" s="115"/>
      <c r="AQ250" s="115"/>
      <c r="AR250" s="25"/>
      <c r="AS250" s="13"/>
      <c r="AV250" s="114"/>
    </row>
    <row r="251" spans="1:48" ht="19.5" x14ac:dyDescent="0.4">
      <c r="A251" s="117"/>
      <c r="B251" s="123"/>
      <c r="C251" s="123"/>
      <c r="D251" s="123"/>
      <c r="G251" s="115"/>
      <c r="H251" s="115"/>
      <c r="I251" s="119"/>
      <c r="J251" s="119"/>
      <c r="O251" s="115"/>
      <c r="P251" s="115"/>
      <c r="Q251" s="115"/>
      <c r="R251" s="115"/>
      <c r="S251" s="115"/>
      <c r="T251" s="17"/>
      <c r="U251" s="13"/>
      <c r="Z251" s="117"/>
      <c r="AA251" s="123"/>
      <c r="AB251" s="123"/>
      <c r="AC251" s="123"/>
      <c r="AD251" s="115"/>
      <c r="AE251" s="115"/>
      <c r="AF251" s="115"/>
      <c r="AG251" s="115"/>
      <c r="AH251" s="115"/>
      <c r="AI251" s="115"/>
      <c r="AJ251" s="115"/>
      <c r="AK251" s="115"/>
      <c r="AL251" s="115"/>
      <c r="AM251" s="115"/>
      <c r="AN251" s="115"/>
      <c r="AO251" s="115"/>
      <c r="AP251" s="115"/>
      <c r="AQ251" s="115"/>
      <c r="AR251" s="25"/>
      <c r="AS251" s="13"/>
      <c r="AV251" s="114"/>
    </row>
    <row r="252" spans="1:48" ht="19.5" x14ac:dyDescent="0.4">
      <c r="A252" s="117"/>
      <c r="B252" s="123"/>
      <c r="C252" s="123"/>
      <c r="D252" s="123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26"/>
      <c r="U252" s="13"/>
      <c r="Z252" s="117"/>
      <c r="AA252" s="123"/>
      <c r="AB252" s="123"/>
      <c r="AC252" s="123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115"/>
      <c r="AN252" s="115"/>
      <c r="AO252" s="115"/>
      <c r="AP252" s="115"/>
      <c r="AQ252" s="115"/>
      <c r="AR252" s="25"/>
      <c r="AS252" s="13"/>
      <c r="AV252" s="114"/>
    </row>
    <row r="253" spans="1:48" ht="19.5" x14ac:dyDescent="0.4">
      <c r="A253" s="117"/>
      <c r="B253" s="123"/>
      <c r="C253" s="123"/>
      <c r="D253" s="123"/>
      <c r="T253" s="26"/>
      <c r="U253" s="13"/>
      <c r="Z253" s="117"/>
      <c r="AA253" s="123"/>
      <c r="AB253" s="123"/>
      <c r="AC253" s="123"/>
      <c r="AD253" s="115"/>
      <c r="AE253" s="115"/>
      <c r="AF253" s="115"/>
      <c r="AG253" s="115"/>
      <c r="AH253" s="115"/>
      <c r="AI253" s="115"/>
      <c r="AJ253" s="115"/>
      <c r="AK253" s="115"/>
      <c r="AL253" s="115"/>
      <c r="AM253" s="115"/>
      <c r="AN253" s="115"/>
      <c r="AO253" s="115"/>
      <c r="AP253" s="115"/>
      <c r="AQ253" s="115"/>
      <c r="AR253" s="25"/>
      <c r="AS253" s="13"/>
      <c r="AV253" s="114"/>
    </row>
    <row r="254" spans="1:48" ht="19.5" x14ac:dyDescent="0.4">
      <c r="A254" s="117"/>
      <c r="B254" s="123"/>
      <c r="C254" s="123"/>
      <c r="D254" s="123"/>
      <c r="T254" s="26"/>
      <c r="U254" s="13"/>
      <c r="Z254" s="117"/>
      <c r="AA254" s="123"/>
      <c r="AB254" s="123"/>
      <c r="AC254" s="123"/>
      <c r="AD254" s="115"/>
      <c r="AE254" s="115"/>
      <c r="AF254" s="115"/>
      <c r="AG254" s="115"/>
      <c r="AH254" s="115"/>
      <c r="AI254" s="115"/>
      <c r="AJ254" s="115"/>
      <c r="AK254" s="115"/>
      <c r="AL254" s="115"/>
      <c r="AM254" s="115"/>
      <c r="AN254" s="115"/>
      <c r="AO254" s="115"/>
      <c r="AP254" s="115"/>
      <c r="AQ254" s="115"/>
      <c r="AR254" s="25">
        <v>45270</v>
      </c>
      <c r="AS254" s="13" t="s">
        <v>163</v>
      </c>
      <c r="AV254" s="114"/>
    </row>
    <row r="255" spans="1:48" ht="19.5" x14ac:dyDescent="0.4">
      <c r="A255" s="117"/>
      <c r="B255" s="123"/>
      <c r="C255" s="123"/>
      <c r="D255" s="123"/>
      <c r="O255" s="115"/>
      <c r="P255" s="115"/>
      <c r="Q255" s="115"/>
      <c r="R255" s="115"/>
      <c r="S255" s="115"/>
      <c r="T255" s="17"/>
      <c r="U255" s="13"/>
      <c r="Z255" s="117"/>
      <c r="AA255" s="123"/>
      <c r="AB255" s="123"/>
      <c r="AC255" s="123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115"/>
      <c r="AO255" s="115"/>
      <c r="AP255" s="115"/>
      <c r="AQ255" s="115"/>
      <c r="AR255" s="25"/>
      <c r="AS255" s="13"/>
      <c r="AV255" s="114"/>
    </row>
    <row r="256" spans="1:48" ht="19.5" x14ac:dyDescent="0.4">
      <c r="A256" s="117"/>
      <c r="B256" s="123"/>
      <c r="C256" s="123"/>
      <c r="D256" s="123"/>
      <c r="T256" s="26"/>
      <c r="U256" s="13"/>
      <c r="Z256" s="117"/>
      <c r="AA256" s="123"/>
      <c r="AB256" s="123"/>
      <c r="AC256" s="123"/>
      <c r="AD256" s="115"/>
      <c r="AE256" s="115"/>
      <c r="AF256" s="115"/>
      <c r="AG256" s="115"/>
      <c r="AH256" s="115"/>
      <c r="AI256" s="115"/>
      <c r="AJ256" s="115"/>
      <c r="AK256" s="115"/>
      <c r="AL256" s="115"/>
      <c r="AM256" s="115"/>
      <c r="AN256" s="115"/>
      <c r="AO256" s="115"/>
      <c r="AP256" s="115"/>
      <c r="AQ256" s="115" t="s">
        <v>151</v>
      </c>
      <c r="AR256" s="13">
        <f>SUBTOTAL(3,AR237:AR254)</f>
        <v>5</v>
      </c>
      <c r="AS256" s="13">
        <f>SUBTOTAL(3,AS237:AS254)</f>
        <v>5</v>
      </c>
      <c r="AV256" s="114"/>
    </row>
    <row r="257" spans="1:48" ht="19.5" x14ac:dyDescent="0.4">
      <c r="A257" s="117"/>
      <c r="B257" s="123"/>
      <c r="C257" s="123"/>
      <c r="D257" s="123"/>
      <c r="N257" s="115"/>
      <c r="O257" s="115"/>
      <c r="P257" s="115"/>
      <c r="Q257" s="115"/>
      <c r="R257" s="115"/>
      <c r="S257" s="115"/>
      <c r="T257" s="26"/>
      <c r="U257" s="13"/>
      <c r="Z257" s="117"/>
      <c r="AA257" s="123"/>
      <c r="AB257" s="123"/>
      <c r="AC257" s="123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115"/>
      <c r="AO257" s="115"/>
      <c r="AP257" s="115"/>
      <c r="AQ257" s="115"/>
      <c r="AR257" s="13"/>
      <c r="AS257" s="13"/>
      <c r="AV257" s="114"/>
    </row>
    <row r="258" spans="1:48" ht="19.5" x14ac:dyDescent="0.4">
      <c r="A258" s="117"/>
      <c r="B258" s="123"/>
      <c r="C258" s="123"/>
      <c r="D258" s="123"/>
      <c r="T258" s="26"/>
      <c r="U258" s="13"/>
      <c r="Z258" s="117"/>
      <c r="AA258" s="123"/>
      <c r="AB258" s="123"/>
      <c r="AC258" s="123"/>
      <c r="AD258" s="115"/>
      <c r="AE258" s="115"/>
      <c r="AF258" s="115"/>
      <c r="AG258" s="115"/>
      <c r="AH258" s="115"/>
      <c r="AI258" s="115"/>
      <c r="AJ258" s="115"/>
      <c r="AK258" s="115"/>
      <c r="AL258" s="115"/>
      <c r="AM258" s="115"/>
      <c r="AN258" s="115"/>
      <c r="AO258" s="115"/>
      <c r="AP258" s="115"/>
      <c r="AQ258" s="115"/>
      <c r="AR258" s="25">
        <v>45271</v>
      </c>
      <c r="AS258" s="13" t="s">
        <v>162</v>
      </c>
      <c r="AV258" s="114"/>
    </row>
    <row r="259" spans="1:48" ht="19.5" x14ac:dyDescent="0.4">
      <c r="A259" s="117"/>
      <c r="B259" s="123"/>
      <c r="C259" s="123"/>
      <c r="D259" s="123"/>
      <c r="T259" s="26"/>
      <c r="U259" s="13"/>
      <c r="Z259" s="117"/>
      <c r="AA259" s="123"/>
      <c r="AB259" s="123"/>
      <c r="AC259" s="123"/>
      <c r="AD259" s="115"/>
      <c r="AE259" s="115"/>
      <c r="AF259" s="115"/>
      <c r="AG259" s="115"/>
      <c r="AH259" s="115"/>
      <c r="AI259" s="115"/>
      <c r="AJ259" s="115"/>
      <c r="AK259" s="115"/>
      <c r="AL259" s="115"/>
      <c r="AM259" s="115"/>
      <c r="AN259" s="115"/>
      <c r="AO259" s="115"/>
      <c r="AP259" s="115"/>
      <c r="AQ259" s="115"/>
      <c r="AR259" s="25">
        <v>45271</v>
      </c>
      <c r="AS259" s="13" t="s">
        <v>163</v>
      </c>
      <c r="AV259" s="114"/>
    </row>
    <row r="260" spans="1:48" ht="19.5" x14ac:dyDescent="0.4">
      <c r="A260" s="117"/>
      <c r="B260" s="123"/>
      <c r="C260" s="123"/>
      <c r="D260" s="123"/>
      <c r="N260" s="115"/>
      <c r="O260" s="115"/>
      <c r="P260" s="115"/>
      <c r="Q260" s="115"/>
      <c r="R260" s="115"/>
      <c r="S260" s="115"/>
      <c r="T260" s="26"/>
      <c r="U260" s="13"/>
      <c r="Z260" s="117"/>
      <c r="AA260" s="123"/>
      <c r="AB260" s="123"/>
      <c r="AC260" s="123"/>
      <c r="AD260" s="115"/>
      <c r="AE260" s="115"/>
      <c r="AF260" s="115"/>
      <c r="AG260" s="115"/>
      <c r="AH260" s="115"/>
      <c r="AI260" s="115"/>
      <c r="AJ260" s="115"/>
      <c r="AK260" s="115"/>
      <c r="AL260" s="115"/>
      <c r="AM260" s="115"/>
      <c r="AN260" s="115"/>
      <c r="AO260" s="115"/>
      <c r="AP260" s="115"/>
      <c r="AQ260" s="115"/>
      <c r="AR260" s="25"/>
      <c r="AS260" s="13"/>
      <c r="AV260" s="114"/>
    </row>
    <row r="261" spans="1:48" ht="19.5" x14ac:dyDescent="0.4">
      <c r="A261" s="117"/>
      <c r="B261" s="123"/>
      <c r="C261" s="123"/>
      <c r="D261" s="123"/>
      <c r="M261" s="115"/>
      <c r="N261" s="115"/>
      <c r="O261" s="115"/>
      <c r="P261" s="115"/>
      <c r="Q261" s="115"/>
      <c r="R261" s="115"/>
      <c r="S261" s="115"/>
      <c r="T261" s="26"/>
      <c r="U261" s="13"/>
      <c r="Z261" s="117"/>
      <c r="AA261" s="123"/>
      <c r="AB261" s="123"/>
      <c r="AC261" s="123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15"/>
      <c r="AN261" s="115"/>
      <c r="AO261" s="115"/>
      <c r="AP261" s="115"/>
      <c r="AQ261" s="115"/>
      <c r="AR261" s="25"/>
      <c r="AS261" s="13"/>
      <c r="AV261" s="114"/>
    </row>
    <row r="262" spans="1:48" ht="19.5" x14ac:dyDescent="0.4">
      <c r="A262" s="117"/>
      <c r="B262" s="123"/>
      <c r="C262" s="123"/>
      <c r="D262" s="123"/>
      <c r="M262" s="115"/>
      <c r="N262" s="115"/>
      <c r="O262" s="115"/>
      <c r="P262" s="115"/>
      <c r="Q262" s="115"/>
      <c r="R262" s="115"/>
      <c r="S262" s="115"/>
      <c r="T262" s="17"/>
      <c r="U262" s="13"/>
      <c r="Z262" s="117"/>
      <c r="AA262" s="123"/>
      <c r="AB262" s="123"/>
      <c r="AC262" s="123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25"/>
      <c r="AS262" s="13"/>
      <c r="AV262" s="114"/>
    </row>
    <row r="263" spans="1:48" ht="19.5" x14ac:dyDescent="0.4">
      <c r="A263" s="117"/>
      <c r="B263" s="123"/>
      <c r="C263" s="123"/>
      <c r="D263" s="123"/>
      <c r="K263" s="115"/>
      <c r="L263" s="115"/>
      <c r="M263" s="115"/>
      <c r="N263" s="115"/>
      <c r="O263" s="115"/>
      <c r="P263" s="115"/>
      <c r="Q263" s="115"/>
      <c r="R263" s="115"/>
      <c r="S263" s="115"/>
      <c r="T263" s="26"/>
      <c r="U263" s="13"/>
      <c r="Z263" s="117"/>
      <c r="AA263" s="123"/>
      <c r="AB263" s="123"/>
      <c r="AC263" s="123"/>
      <c r="AD263" s="115"/>
      <c r="AE263" s="115"/>
      <c r="AF263" s="115"/>
      <c r="AG263" s="115"/>
      <c r="AH263" s="115"/>
      <c r="AI263" s="115"/>
      <c r="AJ263" s="115"/>
      <c r="AK263" s="115"/>
      <c r="AL263" s="115"/>
      <c r="AM263" s="115"/>
      <c r="AN263" s="115"/>
      <c r="AO263" s="115"/>
      <c r="AP263" s="115"/>
      <c r="AQ263" s="115"/>
      <c r="AR263" s="25"/>
      <c r="AS263" s="13"/>
      <c r="AV263" s="114"/>
    </row>
    <row r="264" spans="1:48" ht="19.5" x14ac:dyDescent="0.4">
      <c r="A264" s="117"/>
      <c r="B264" s="123"/>
      <c r="C264" s="123"/>
      <c r="D264" s="123"/>
      <c r="T264" s="26"/>
      <c r="U264" s="13"/>
      <c r="Z264" s="117"/>
      <c r="AA264" s="123"/>
      <c r="AB264" s="123"/>
      <c r="AC264" s="123"/>
      <c r="AD264" s="115"/>
      <c r="AE264" s="115"/>
      <c r="AF264" s="115"/>
      <c r="AG264" s="115"/>
      <c r="AH264" s="115"/>
      <c r="AI264" s="115"/>
      <c r="AJ264" s="115"/>
      <c r="AK264" s="115"/>
      <c r="AL264" s="115"/>
      <c r="AM264" s="115"/>
      <c r="AN264" s="115"/>
      <c r="AO264" s="115"/>
      <c r="AP264" s="115"/>
      <c r="AQ264" s="115"/>
      <c r="AR264" s="25">
        <v>45271</v>
      </c>
      <c r="AS264" s="13" t="s">
        <v>163</v>
      </c>
      <c r="AV264" s="114"/>
    </row>
    <row r="265" spans="1:48" ht="19.5" x14ac:dyDescent="0.4">
      <c r="A265" s="117"/>
      <c r="B265" s="123"/>
      <c r="C265" s="123"/>
      <c r="D265" s="123"/>
      <c r="N265" s="115"/>
      <c r="O265" s="115"/>
      <c r="P265" s="115"/>
      <c r="Q265" s="115"/>
      <c r="R265" s="115"/>
      <c r="S265" s="115"/>
      <c r="T265" s="26"/>
      <c r="U265" s="13"/>
      <c r="Z265" s="117"/>
      <c r="AA265" s="123"/>
      <c r="AB265" s="123"/>
      <c r="AC265" s="123"/>
      <c r="AD265" s="115"/>
      <c r="AE265" s="115"/>
      <c r="AF265" s="115"/>
      <c r="AG265" s="115"/>
      <c r="AH265" s="115"/>
      <c r="AI265" s="115"/>
      <c r="AJ265" s="115"/>
      <c r="AK265" s="115"/>
      <c r="AL265" s="115"/>
      <c r="AM265" s="115"/>
      <c r="AN265" s="115"/>
      <c r="AO265" s="115"/>
      <c r="AP265" s="115"/>
      <c r="AQ265" s="115"/>
      <c r="AR265" s="25"/>
      <c r="AS265" s="13"/>
      <c r="AV265" s="114"/>
    </row>
    <row r="266" spans="1:48" ht="19.5" x14ac:dyDescent="0.4">
      <c r="A266" s="117"/>
      <c r="B266" s="123"/>
      <c r="C266" s="123"/>
      <c r="D266" s="123"/>
      <c r="L266" s="115"/>
      <c r="M266" s="115"/>
      <c r="N266" s="115"/>
      <c r="O266" s="115"/>
      <c r="P266" s="115"/>
      <c r="Q266" s="115"/>
      <c r="R266" s="115"/>
      <c r="S266" s="115"/>
      <c r="T266" s="26"/>
      <c r="U266" s="13"/>
      <c r="Z266" s="117"/>
      <c r="AA266" s="123"/>
      <c r="AB266" s="123"/>
      <c r="AC266" s="123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115"/>
      <c r="AQ266" s="115"/>
      <c r="AR266" s="25"/>
      <c r="AS266" s="13"/>
      <c r="AV266" s="114"/>
    </row>
    <row r="267" spans="1:48" ht="19.5" x14ac:dyDescent="0.4">
      <c r="A267" s="117"/>
      <c r="B267" s="123"/>
      <c r="C267" s="123"/>
      <c r="D267" s="123"/>
      <c r="L267" s="115"/>
      <c r="M267" s="115"/>
      <c r="N267" s="115"/>
      <c r="O267" s="115"/>
      <c r="P267" s="115"/>
      <c r="Q267" s="115"/>
      <c r="R267" s="115"/>
      <c r="S267" s="115"/>
      <c r="T267" s="17"/>
      <c r="U267" s="13"/>
      <c r="Z267" s="117"/>
      <c r="AA267" s="123"/>
      <c r="AB267" s="123"/>
      <c r="AC267" s="123"/>
      <c r="AD267" s="115"/>
      <c r="AE267" s="115"/>
      <c r="AF267" s="115"/>
      <c r="AG267" s="115"/>
      <c r="AH267" s="115"/>
      <c r="AI267" s="115"/>
      <c r="AJ267" s="115"/>
      <c r="AK267" s="115"/>
      <c r="AL267" s="115"/>
      <c r="AM267" s="115"/>
      <c r="AN267" s="115"/>
      <c r="AO267" s="115"/>
      <c r="AP267" s="115"/>
      <c r="AQ267" s="115"/>
      <c r="AR267" s="25"/>
      <c r="AS267" s="13"/>
      <c r="AV267" s="114"/>
    </row>
    <row r="268" spans="1:48" ht="19.5" x14ac:dyDescent="0.4">
      <c r="A268" s="117"/>
      <c r="B268" s="123"/>
      <c r="C268" s="123"/>
      <c r="D268" s="123"/>
      <c r="T268" s="26"/>
      <c r="U268" s="13"/>
      <c r="Z268" s="117"/>
      <c r="AA268" s="123"/>
      <c r="AB268" s="123"/>
      <c r="AC268" s="123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115"/>
      <c r="AN268" s="115"/>
      <c r="AO268" s="115"/>
      <c r="AP268" s="115"/>
      <c r="AQ268" s="115" t="s">
        <v>165</v>
      </c>
      <c r="AR268" s="13">
        <f>SUBTOTAL(3,AR258:AR264)</f>
        <v>3</v>
      </c>
      <c r="AS268" s="13">
        <f>SUBTOTAL(3,AS258:AS264)</f>
        <v>3</v>
      </c>
      <c r="AV268" s="114"/>
    </row>
    <row r="269" spans="1:48" ht="19.5" x14ac:dyDescent="0.4">
      <c r="A269" s="117"/>
      <c r="B269" s="123"/>
      <c r="C269" s="123"/>
      <c r="D269" s="123"/>
      <c r="T269" s="26"/>
      <c r="U269" s="13"/>
      <c r="Z269" s="117"/>
      <c r="AA269" s="123"/>
      <c r="AB269" s="123"/>
      <c r="AC269" s="123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115"/>
      <c r="AQ269" s="115"/>
      <c r="AR269" s="25">
        <v>45272</v>
      </c>
      <c r="AS269" s="13" t="s">
        <v>162</v>
      </c>
      <c r="AV269" s="114"/>
    </row>
    <row r="270" spans="1:48" ht="19.5" x14ac:dyDescent="0.4">
      <c r="A270" s="117"/>
      <c r="B270" s="123"/>
      <c r="C270" s="123"/>
      <c r="D270" s="123"/>
      <c r="O270" s="115"/>
      <c r="P270" s="115"/>
      <c r="Q270" s="115"/>
      <c r="R270" s="115"/>
      <c r="S270" s="115"/>
      <c r="T270" s="17"/>
      <c r="U270" s="13"/>
      <c r="Z270" s="117"/>
      <c r="AA270" s="123"/>
      <c r="AB270" s="123"/>
      <c r="AC270" s="123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115"/>
      <c r="AQ270" s="115"/>
      <c r="AR270" s="25"/>
      <c r="AS270" s="13"/>
      <c r="AV270" s="114"/>
    </row>
    <row r="271" spans="1:48" ht="19.5" x14ac:dyDescent="0.4">
      <c r="A271" s="117"/>
      <c r="B271" s="123"/>
      <c r="C271" s="123"/>
      <c r="D271" s="123"/>
      <c r="T271" s="26"/>
      <c r="U271" s="15"/>
      <c r="Z271" s="117"/>
      <c r="AA271" s="123"/>
      <c r="AB271" s="123"/>
      <c r="AC271" s="123"/>
      <c r="AD271" s="115"/>
      <c r="AE271" s="115"/>
      <c r="AF271" s="115"/>
      <c r="AG271" s="115"/>
      <c r="AH271" s="115"/>
      <c r="AI271" s="115"/>
      <c r="AJ271" s="115"/>
      <c r="AK271" s="115"/>
      <c r="AL271" s="115"/>
      <c r="AM271" s="115"/>
      <c r="AN271" s="115"/>
      <c r="AO271" s="115"/>
      <c r="AP271" s="115"/>
      <c r="AQ271" s="115"/>
      <c r="AR271" s="25">
        <v>45272</v>
      </c>
      <c r="AS271" s="13" t="s">
        <v>162</v>
      </c>
      <c r="AV271" s="114"/>
    </row>
    <row r="272" spans="1:48" ht="19.5" x14ac:dyDescent="0.4">
      <c r="A272" s="117"/>
      <c r="B272" s="123"/>
      <c r="C272" s="123"/>
      <c r="D272" s="123"/>
      <c r="O272" s="115"/>
      <c r="P272" s="115"/>
      <c r="Q272" s="115"/>
      <c r="R272" s="115"/>
      <c r="S272" s="115"/>
      <c r="T272" s="17"/>
      <c r="U272" s="13"/>
      <c r="Z272" s="117"/>
      <c r="AA272" s="123"/>
      <c r="AB272" s="123"/>
      <c r="AC272" s="123"/>
      <c r="AD272" s="115"/>
      <c r="AE272" s="115"/>
      <c r="AF272" s="115"/>
      <c r="AG272" s="115"/>
      <c r="AH272" s="115"/>
      <c r="AI272" s="115"/>
      <c r="AJ272" s="115"/>
      <c r="AK272" s="115"/>
      <c r="AL272" s="115"/>
      <c r="AM272" s="115"/>
      <c r="AN272" s="115"/>
      <c r="AO272" s="115"/>
      <c r="AP272" s="115"/>
      <c r="AQ272" s="115"/>
      <c r="AR272" s="25"/>
      <c r="AS272" s="13"/>
      <c r="AV272" s="114"/>
    </row>
    <row r="273" spans="1:48" ht="19.5" x14ac:dyDescent="0.4">
      <c r="A273" s="117"/>
      <c r="B273" s="123"/>
      <c r="C273" s="123"/>
      <c r="D273" s="123"/>
      <c r="O273" s="115"/>
      <c r="P273" s="115"/>
      <c r="Q273" s="115"/>
      <c r="R273" s="115"/>
      <c r="S273" s="115"/>
      <c r="T273" s="17"/>
      <c r="U273" s="13"/>
      <c r="Z273" s="117"/>
      <c r="AA273" s="123"/>
      <c r="AB273" s="123"/>
      <c r="AC273" s="123"/>
      <c r="AD273" s="115"/>
      <c r="AE273" s="115"/>
      <c r="AF273" s="115"/>
      <c r="AG273" s="115"/>
      <c r="AH273" s="115"/>
      <c r="AI273" s="115"/>
      <c r="AJ273" s="115"/>
      <c r="AK273" s="115"/>
      <c r="AL273" s="115"/>
      <c r="AM273" s="115"/>
      <c r="AN273" s="115"/>
      <c r="AO273" s="115"/>
      <c r="AP273" s="115"/>
      <c r="AQ273" s="115"/>
      <c r="AR273" s="25"/>
      <c r="AS273" s="13"/>
      <c r="AV273" s="114"/>
    </row>
    <row r="274" spans="1:48" ht="19.5" x14ac:dyDescent="0.4">
      <c r="A274" s="117"/>
      <c r="B274" s="123"/>
      <c r="C274" s="123"/>
      <c r="D274" s="123"/>
      <c r="T274" s="26"/>
      <c r="U274" s="13"/>
      <c r="Z274" s="117"/>
      <c r="AA274" s="123"/>
      <c r="AB274" s="123"/>
      <c r="AC274" s="123"/>
      <c r="AD274" s="115"/>
      <c r="AE274" s="115"/>
      <c r="AF274" s="115"/>
      <c r="AG274" s="115"/>
      <c r="AH274" s="115"/>
      <c r="AI274" s="115"/>
      <c r="AJ274" s="115"/>
      <c r="AK274" s="115"/>
      <c r="AL274" s="115"/>
      <c r="AM274" s="115"/>
      <c r="AN274" s="115"/>
      <c r="AO274" s="115"/>
      <c r="AP274" s="115"/>
      <c r="AQ274" s="115"/>
      <c r="AR274" s="25">
        <v>45272</v>
      </c>
      <c r="AS274" s="13" t="s">
        <v>162</v>
      </c>
      <c r="AV274" s="114"/>
    </row>
    <row r="275" spans="1:48" ht="19.5" x14ac:dyDescent="0.4">
      <c r="A275" s="125"/>
      <c r="B275" s="126"/>
      <c r="C275" s="126"/>
      <c r="D275" s="126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26"/>
      <c r="U275" s="13"/>
      <c r="Z275" s="117"/>
      <c r="AA275" s="123"/>
      <c r="AB275" s="123"/>
      <c r="AC275" s="123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115"/>
      <c r="AN275" s="115"/>
      <c r="AO275" s="115"/>
      <c r="AP275" s="115"/>
      <c r="AQ275" s="115"/>
      <c r="AR275" s="25"/>
      <c r="AS275" s="13"/>
      <c r="AV275" s="114"/>
    </row>
    <row r="276" spans="1:48" ht="19.5" x14ac:dyDescent="0.4">
      <c r="A276" s="125"/>
      <c r="B276" s="126"/>
      <c r="C276" s="126"/>
      <c r="D276" s="126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26"/>
      <c r="U276" s="13"/>
      <c r="Z276" s="117"/>
      <c r="AA276" s="123"/>
      <c r="AB276" s="123"/>
      <c r="AC276" s="123"/>
      <c r="AD276" s="115"/>
      <c r="AE276" s="115"/>
      <c r="AF276" s="115"/>
      <c r="AG276" s="115"/>
      <c r="AH276" s="115"/>
      <c r="AI276" s="115"/>
      <c r="AJ276" s="115"/>
      <c r="AK276" s="115"/>
      <c r="AL276" s="115"/>
      <c r="AM276" s="115"/>
      <c r="AN276" s="115"/>
      <c r="AO276" s="115"/>
      <c r="AP276" s="115"/>
      <c r="AQ276" s="115"/>
      <c r="AR276" s="25"/>
      <c r="AS276" s="13"/>
      <c r="AV276" s="114"/>
    </row>
    <row r="277" spans="1:48" ht="19.5" x14ac:dyDescent="0.4">
      <c r="A277" s="125"/>
      <c r="B277" s="126"/>
      <c r="C277" s="126"/>
      <c r="D277" s="126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7"/>
      <c r="U277" s="13"/>
      <c r="Z277" s="117"/>
      <c r="AA277" s="123"/>
      <c r="AB277" s="123"/>
      <c r="AC277" s="123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25"/>
      <c r="AS277" s="13"/>
      <c r="AV277" s="114"/>
    </row>
    <row r="278" spans="1:48" ht="19.5" x14ac:dyDescent="0.4">
      <c r="A278" s="125"/>
      <c r="B278" s="126"/>
      <c r="C278" s="126"/>
      <c r="D278" s="126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26"/>
      <c r="U278" s="13"/>
      <c r="Z278" s="117"/>
      <c r="AA278" s="123"/>
      <c r="AB278" s="123"/>
      <c r="AC278" s="123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115"/>
      <c r="AO278" s="115"/>
      <c r="AP278" s="115"/>
      <c r="AQ278" s="115"/>
      <c r="AR278" s="25"/>
      <c r="AS278" s="13"/>
      <c r="AV278" s="114"/>
    </row>
    <row r="279" spans="1:48" ht="19.5" x14ac:dyDescent="0.4">
      <c r="T279" s="26"/>
      <c r="U279" s="13"/>
      <c r="Z279" s="117"/>
      <c r="AA279" s="123"/>
      <c r="AB279" s="123"/>
      <c r="AC279" s="123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115"/>
      <c r="AQ279" s="115"/>
      <c r="AR279" s="25">
        <v>45272</v>
      </c>
      <c r="AS279" s="13" t="s">
        <v>162</v>
      </c>
      <c r="AV279" s="114"/>
    </row>
    <row r="280" spans="1:48" ht="19.5" x14ac:dyDescent="0.4">
      <c r="T280" s="26"/>
      <c r="U280" s="13"/>
      <c r="Z280" s="117"/>
      <c r="AA280" s="123"/>
      <c r="AB280" s="123"/>
      <c r="AC280" s="123"/>
      <c r="AD280" s="115"/>
      <c r="AE280" s="115"/>
      <c r="AF280" s="115"/>
      <c r="AG280" s="115"/>
      <c r="AH280" s="115"/>
      <c r="AI280" s="115"/>
      <c r="AJ280" s="115"/>
      <c r="AK280" s="115"/>
      <c r="AL280" s="115"/>
      <c r="AM280" s="115"/>
      <c r="AN280" s="115"/>
      <c r="AO280" s="115"/>
      <c r="AP280" s="115"/>
      <c r="AQ280" s="115"/>
      <c r="AR280" s="25"/>
      <c r="AS280" s="13"/>
      <c r="AV280" s="114"/>
    </row>
    <row r="281" spans="1:48" ht="19.5" x14ac:dyDescent="0.4"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26"/>
      <c r="U281" s="25"/>
      <c r="Z281" s="117"/>
      <c r="AA281" s="123"/>
      <c r="AB281" s="123"/>
      <c r="AC281" s="123"/>
      <c r="AD281" s="115"/>
      <c r="AE281" s="115"/>
      <c r="AF281" s="115"/>
      <c r="AG281" s="115"/>
      <c r="AH281" s="115"/>
      <c r="AI281" s="115"/>
      <c r="AJ281" s="115"/>
      <c r="AK281" s="115"/>
      <c r="AL281" s="115"/>
      <c r="AM281" s="115"/>
      <c r="AN281" s="115"/>
      <c r="AO281" s="115"/>
      <c r="AP281" s="115"/>
      <c r="AQ281" s="115"/>
      <c r="AR281" s="25"/>
      <c r="AS281" s="13"/>
      <c r="AV281" s="114"/>
    </row>
    <row r="282" spans="1:48" ht="19.5" x14ac:dyDescent="0.4">
      <c r="T282" s="26"/>
      <c r="U282" s="25"/>
      <c r="Z282" s="117"/>
      <c r="AA282" s="123"/>
      <c r="AB282" s="123"/>
      <c r="AC282" s="123"/>
      <c r="AD282" s="115"/>
      <c r="AE282" s="115"/>
      <c r="AF282" s="115"/>
      <c r="AG282" s="115"/>
      <c r="AH282" s="115"/>
      <c r="AI282" s="115"/>
      <c r="AJ282" s="115"/>
      <c r="AK282" s="115"/>
      <c r="AL282" s="115"/>
      <c r="AM282" s="115"/>
      <c r="AN282" s="115"/>
      <c r="AO282" s="115"/>
      <c r="AP282" s="115"/>
      <c r="AQ282" s="115"/>
      <c r="AR282" s="25">
        <v>45272</v>
      </c>
      <c r="AS282" s="13" t="s">
        <v>162</v>
      </c>
      <c r="AV282" s="114"/>
    </row>
    <row r="283" spans="1:48" ht="19.5" x14ac:dyDescent="0.4">
      <c r="T283" s="26"/>
      <c r="U283" s="13"/>
      <c r="Z283" s="117"/>
      <c r="AA283" s="123"/>
      <c r="AB283" s="123"/>
      <c r="AC283" s="123"/>
      <c r="AD283" s="115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15"/>
      <c r="AO283" s="115"/>
      <c r="AP283" s="115"/>
      <c r="AQ283" s="115"/>
      <c r="AR283" s="25">
        <v>45272</v>
      </c>
      <c r="AS283" s="15" t="s">
        <v>162</v>
      </c>
      <c r="AV283" s="114"/>
    </row>
    <row r="284" spans="1:48" ht="19.5" x14ac:dyDescent="0.4">
      <c r="T284" s="26"/>
      <c r="U284" s="13"/>
      <c r="Z284" s="117"/>
      <c r="AA284" s="123"/>
      <c r="AB284" s="123"/>
      <c r="AC284" s="123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15"/>
      <c r="AO284" s="115"/>
      <c r="AP284" s="115"/>
      <c r="AQ284" s="115"/>
      <c r="AR284" s="25">
        <v>45272</v>
      </c>
      <c r="AS284" s="15" t="s">
        <v>162</v>
      </c>
      <c r="AV284" s="114"/>
    </row>
    <row r="285" spans="1:48" ht="19.5" x14ac:dyDescent="0.4"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26"/>
      <c r="U285" s="13"/>
      <c r="Z285" s="117"/>
      <c r="AA285" s="123"/>
      <c r="AB285" s="123"/>
      <c r="AC285" s="123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15"/>
      <c r="AO285" s="115"/>
      <c r="AP285" s="115"/>
      <c r="AQ285" s="115"/>
      <c r="AR285" s="25"/>
      <c r="AS285" s="15"/>
      <c r="AV285" s="114"/>
    </row>
    <row r="286" spans="1:48" ht="19.5" x14ac:dyDescent="0.4"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7"/>
      <c r="U286" s="13"/>
      <c r="Z286" s="117"/>
      <c r="AA286" s="123"/>
      <c r="AB286" s="123"/>
      <c r="AC286" s="123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15"/>
      <c r="AQ286" s="115"/>
      <c r="AR286" s="25"/>
      <c r="AS286" s="15"/>
      <c r="AV286" s="114"/>
    </row>
    <row r="287" spans="1:48" ht="19.5" x14ac:dyDescent="0.4">
      <c r="T287" s="26"/>
      <c r="U287" s="13"/>
      <c r="Z287" s="117"/>
      <c r="AA287" s="123"/>
      <c r="AB287" s="123"/>
      <c r="AC287" s="123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15"/>
      <c r="AO287" s="115"/>
      <c r="AP287" s="115"/>
      <c r="AQ287" s="115"/>
      <c r="AR287" s="25">
        <v>45272</v>
      </c>
      <c r="AS287" s="15" t="s">
        <v>162</v>
      </c>
      <c r="AV287" s="114"/>
    </row>
    <row r="288" spans="1:48" ht="19.5" x14ac:dyDescent="0.4"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26"/>
      <c r="U288" s="13"/>
      <c r="Z288" s="117"/>
      <c r="AA288" s="123"/>
      <c r="AB288" s="123"/>
      <c r="AC288" s="123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15"/>
      <c r="AQ288" s="115"/>
      <c r="AR288" s="25"/>
      <c r="AS288" s="15"/>
      <c r="AV288" s="114"/>
    </row>
    <row r="289" spans="6:48" ht="19.5" x14ac:dyDescent="0.4"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26"/>
      <c r="U289" s="13"/>
      <c r="Z289" s="117"/>
      <c r="AA289" s="123"/>
      <c r="AB289" s="123"/>
      <c r="AC289" s="123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15"/>
      <c r="AO289" s="115"/>
      <c r="AP289" s="115"/>
      <c r="AQ289" s="115"/>
      <c r="AR289" s="25"/>
      <c r="AS289" s="15"/>
      <c r="AV289" s="114"/>
    </row>
    <row r="290" spans="6:48" ht="19.5" x14ac:dyDescent="0.4"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7"/>
      <c r="U290" s="13"/>
      <c r="Z290" s="117"/>
      <c r="AA290" s="123"/>
      <c r="AB290" s="123"/>
      <c r="AC290" s="123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115"/>
      <c r="AR290" s="25"/>
      <c r="AS290" s="15"/>
      <c r="AV290" s="114"/>
    </row>
    <row r="291" spans="6:48" ht="19.5" x14ac:dyDescent="0.4"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26"/>
      <c r="U291" s="13"/>
      <c r="Z291" s="117"/>
      <c r="AA291" s="123"/>
      <c r="AB291" s="123"/>
      <c r="AC291" s="123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  <c r="AO291" s="115"/>
      <c r="AP291" s="115"/>
      <c r="AQ291" s="115"/>
      <c r="AR291" s="25"/>
      <c r="AS291" s="15"/>
      <c r="AV291" s="114"/>
    </row>
    <row r="292" spans="6:48" ht="19.5" x14ac:dyDescent="0.4"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7"/>
      <c r="U292" s="13"/>
      <c r="Z292" s="117"/>
      <c r="AA292" s="123"/>
      <c r="AB292" s="123"/>
      <c r="AC292" s="123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115"/>
      <c r="AR292" s="25"/>
      <c r="AS292" s="15"/>
      <c r="AV292" s="114"/>
    </row>
    <row r="293" spans="6:48" ht="19.5" x14ac:dyDescent="0.4"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26"/>
      <c r="U293" s="13"/>
      <c r="Z293" s="117"/>
      <c r="AA293" s="123"/>
      <c r="AB293" s="123"/>
      <c r="AC293" s="123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115"/>
      <c r="AR293" s="25"/>
      <c r="AS293" s="15"/>
      <c r="AV293" s="114"/>
    </row>
    <row r="294" spans="6:48" ht="19.5" x14ac:dyDescent="0.4">
      <c r="T294" s="26"/>
      <c r="U294" s="13"/>
      <c r="Z294" s="117"/>
      <c r="AA294" s="123"/>
      <c r="AB294" s="123"/>
      <c r="AC294" s="123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115"/>
      <c r="AR294" s="25">
        <v>45272</v>
      </c>
      <c r="AS294" s="15" t="s">
        <v>162</v>
      </c>
      <c r="AV294" s="114"/>
    </row>
    <row r="295" spans="6:48" ht="19.5" x14ac:dyDescent="0.4">
      <c r="M295" s="115"/>
      <c r="N295" s="115"/>
      <c r="O295" s="115"/>
      <c r="P295" s="115"/>
      <c r="Q295" s="115"/>
      <c r="R295" s="115"/>
      <c r="S295" s="115"/>
      <c r="T295" s="26"/>
      <c r="U295" s="13"/>
      <c r="Z295" s="117"/>
      <c r="AA295" s="123"/>
      <c r="AB295" s="123"/>
      <c r="AC295" s="123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115"/>
      <c r="AR295" s="25"/>
      <c r="AS295" s="15"/>
      <c r="AV295" s="114"/>
    </row>
    <row r="296" spans="6:48" ht="19.5" x14ac:dyDescent="0.4">
      <c r="M296" s="115"/>
      <c r="N296" s="115"/>
      <c r="O296" s="115"/>
      <c r="P296" s="115"/>
      <c r="Q296" s="115"/>
      <c r="R296" s="115"/>
      <c r="S296" s="115"/>
      <c r="T296" s="17"/>
      <c r="U296" s="13"/>
      <c r="Z296" s="117"/>
      <c r="AA296" s="123"/>
      <c r="AB296" s="123"/>
      <c r="AC296" s="123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115"/>
      <c r="AR296" s="25"/>
      <c r="AS296" s="15"/>
      <c r="AV296" s="114"/>
    </row>
    <row r="297" spans="6:48" ht="19.5" x14ac:dyDescent="0.4"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26"/>
      <c r="U297" s="13"/>
      <c r="Z297" s="117"/>
      <c r="AA297" s="123"/>
      <c r="AB297" s="123"/>
      <c r="AC297" s="123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15"/>
      <c r="AO297" s="115"/>
      <c r="AP297" s="115"/>
      <c r="AQ297" s="115"/>
      <c r="AR297" s="25"/>
      <c r="AS297" s="15"/>
      <c r="AV297" s="114"/>
    </row>
    <row r="298" spans="6:48" ht="19.5" x14ac:dyDescent="0.4"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7"/>
      <c r="U298" s="13"/>
      <c r="Z298" s="117"/>
      <c r="AA298" s="123"/>
      <c r="AB298" s="123"/>
      <c r="AC298" s="123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115"/>
      <c r="AQ298" s="115"/>
      <c r="AR298" s="25"/>
      <c r="AS298" s="15"/>
      <c r="AV298" s="114"/>
    </row>
    <row r="299" spans="6:48" ht="19.5" x14ac:dyDescent="0.4"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26"/>
      <c r="U299" s="25"/>
      <c r="Z299" s="117"/>
      <c r="AA299" s="123"/>
      <c r="AB299" s="123"/>
      <c r="AC299" s="123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15"/>
      <c r="AO299" s="115"/>
      <c r="AP299" s="115"/>
      <c r="AQ299" s="115"/>
      <c r="AR299" s="25"/>
      <c r="AS299" s="15"/>
      <c r="AV299" s="114"/>
    </row>
    <row r="300" spans="6:48" ht="19.5" x14ac:dyDescent="0.4"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7"/>
      <c r="U300" s="13"/>
      <c r="Z300" s="117"/>
      <c r="AA300" s="123"/>
      <c r="AB300" s="123"/>
      <c r="AC300" s="123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15"/>
      <c r="AO300" s="115"/>
      <c r="AP300" s="115"/>
      <c r="AQ300" s="115"/>
      <c r="AR300" s="25"/>
      <c r="AS300" s="15"/>
      <c r="AV300" s="114"/>
    </row>
    <row r="301" spans="6:48" ht="19.5" x14ac:dyDescent="0.4"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26"/>
      <c r="U301" s="13"/>
      <c r="Z301" s="117"/>
      <c r="AA301" s="123"/>
      <c r="AB301" s="123"/>
      <c r="AC301" s="123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15"/>
      <c r="AO301" s="115"/>
      <c r="AP301" s="115"/>
      <c r="AQ301" s="115"/>
      <c r="AR301" s="25"/>
      <c r="AS301" s="15"/>
      <c r="AV301" s="114"/>
    </row>
    <row r="302" spans="6:48" ht="19.5" x14ac:dyDescent="0.4">
      <c r="T302" s="26"/>
      <c r="U302" s="13"/>
      <c r="Z302" s="117"/>
      <c r="AA302" s="123"/>
      <c r="AB302" s="123"/>
      <c r="AC302" s="123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  <c r="AO302" s="115"/>
      <c r="AP302" s="115"/>
      <c r="AQ302" s="115"/>
      <c r="AR302" s="25">
        <v>45272</v>
      </c>
      <c r="AS302" s="15" t="s">
        <v>162</v>
      </c>
      <c r="AV302" s="114"/>
    </row>
    <row r="303" spans="6:48" ht="19.5" x14ac:dyDescent="0.4">
      <c r="N303" s="115"/>
      <c r="O303" s="115"/>
      <c r="P303" s="115"/>
      <c r="Q303" s="115"/>
      <c r="R303" s="115"/>
      <c r="S303" s="115"/>
      <c r="T303" s="17"/>
      <c r="U303" s="13"/>
      <c r="Z303" s="117"/>
      <c r="AA303" s="123"/>
      <c r="AB303" s="123"/>
      <c r="AC303" s="123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115"/>
      <c r="AR303" s="25"/>
      <c r="AS303" s="15"/>
      <c r="AV303" s="114"/>
    </row>
    <row r="304" spans="6:48" ht="19.5" x14ac:dyDescent="0.4">
      <c r="M304" s="115"/>
      <c r="N304" s="115"/>
      <c r="O304" s="115"/>
      <c r="P304" s="115"/>
      <c r="Q304" s="115"/>
      <c r="R304" s="115"/>
      <c r="S304" s="115"/>
      <c r="T304" s="26"/>
      <c r="U304" s="13"/>
      <c r="Z304" s="117"/>
      <c r="AA304" s="123"/>
      <c r="AB304" s="123"/>
      <c r="AC304" s="123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15"/>
      <c r="AO304" s="115"/>
      <c r="AP304" s="115"/>
      <c r="AQ304" s="115"/>
      <c r="AR304" s="25"/>
      <c r="AS304" s="15"/>
      <c r="AV304" s="114"/>
    </row>
    <row r="305" spans="6:48" ht="19.5" x14ac:dyDescent="0.4">
      <c r="M305" s="115"/>
      <c r="N305" s="115"/>
      <c r="O305" s="115"/>
      <c r="P305" s="115"/>
      <c r="Q305" s="115"/>
      <c r="R305" s="115"/>
      <c r="S305" s="115"/>
      <c r="T305" s="17"/>
      <c r="U305" s="13"/>
      <c r="Z305" s="117"/>
      <c r="AA305" s="123"/>
      <c r="AB305" s="123"/>
      <c r="AC305" s="123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15"/>
      <c r="AO305" s="115"/>
      <c r="AP305" s="115"/>
      <c r="AQ305" s="115"/>
      <c r="AR305" s="25"/>
      <c r="AS305" s="15"/>
      <c r="AV305" s="114"/>
    </row>
    <row r="306" spans="6:48" ht="19.5" x14ac:dyDescent="0.4">
      <c r="M306" s="115"/>
      <c r="N306" s="115"/>
      <c r="O306" s="115"/>
      <c r="P306" s="115"/>
      <c r="Q306" s="115"/>
      <c r="R306" s="115"/>
      <c r="S306" s="115"/>
      <c r="T306" s="17"/>
      <c r="U306" s="13"/>
      <c r="Z306" s="117"/>
      <c r="AA306" s="123"/>
      <c r="AB306" s="123"/>
      <c r="AC306" s="123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115"/>
      <c r="AR306" s="25"/>
      <c r="AS306" s="15"/>
      <c r="AV306" s="114"/>
    </row>
    <row r="307" spans="6:48" ht="19.5" x14ac:dyDescent="0.4"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26"/>
      <c r="U307" s="13"/>
      <c r="Z307" s="117"/>
      <c r="AA307" s="123"/>
      <c r="AB307" s="123"/>
      <c r="AC307" s="123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5"/>
      <c r="AR307" s="25"/>
      <c r="AS307" s="15"/>
      <c r="AV307" s="114"/>
    </row>
    <row r="308" spans="6:48" ht="19.5" x14ac:dyDescent="0.4"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20"/>
      <c r="U308" s="13"/>
      <c r="Z308" s="117"/>
      <c r="AA308" s="123"/>
      <c r="AB308" s="123"/>
      <c r="AC308" s="123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5"/>
      <c r="AR308" s="25"/>
      <c r="AS308" s="15"/>
      <c r="AV308" s="114"/>
    </row>
    <row r="309" spans="6:48" ht="19.5" x14ac:dyDescent="0.4"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20"/>
      <c r="U309" s="13"/>
      <c r="Z309" s="117"/>
      <c r="AA309" s="123"/>
      <c r="AB309" s="123"/>
      <c r="AC309" s="123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115"/>
      <c r="AQ309" s="115"/>
      <c r="AR309" s="25"/>
      <c r="AS309" s="15"/>
      <c r="AV309" s="114"/>
    </row>
    <row r="310" spans="6:48" ht="19.5" x14ac:dyDescent="0.4"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25"/>
      <c r="U310" s="15"/>
      <c r="Z310" s="117"/>
      <c r="AA310" s="123"/>
      <c r="AB310" s="123"/>
      <c r="AC310" s="123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15"/>
      <c r="AP310" s="115"/>
      <c r="AQ310" s="115"/>
      <c r="AR310" s="25"/>
      <c r="AS310" s="15"/>
      <c r="AV310" s="114"/>
    </row>
    <row r="311" spans="6:48" ht="19.5" x14ac:dyDescent="0.4"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25"/>
      <c r="U311" s="15"/>
      <c r="Z311" s="117"/>
      <c r="AA311" s="123"/>
      <c r="AB311" s="123"/>
      <c r="AC311" s="123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15"/>
      <c r="AP311" s="115"/>
      <c r="AQ311" s="115"/>
      <c r="AR311" s="25"/>
      <c r="AS311" s="15"/>
      <c r="AV311" s="114"/>
    </row>
    <row r="312" spans="6:48" ht="19.5" x14ac:dyDescent="0.4"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25"/>
      <c r="U312" s="15"/>
      <c r="Z312" s="117"/>
      <c r="AA312" s="123"/>
      <c r="AB312" s="123"/>
      <c r="AC312" s="123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115"/>
      <c r="AO312" s="115"/>
      <c r="AP312" s="115"/>
      <c r="AQ312" s="115"/>
      <c r="AR312" s="25"/>
      <c r="AS312" s="15"/>
      <c r="AV312" s="114"/>
    </row>
    <row r="313" spans="6:48" ht="19.5" x14ac:dyDescent="0.4">
      <c r="T313" s="26"/>
      <c r="U313" s="15"/>
      <c r="Z313" s="117"/>
      <c r="AA313" s="123"/>
      <c r="AB313" s="123"/>
      <c r="AC313" s="123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115"/>
      <c r="AO313" s="115"/>
      <c r="AP313" s="115"/>
      <c r="AQ313" s="115"/>
      <c r="AR313" s="25">
        <v>45272</v>
      </c>
      <c r="AS313" s="15" t="s">
        <v>162</v>
      </c>
      <c r="AV313" s="114"/>
    </row>
    <row r="314" spans="6:48" ht="19.5" x14ac:dyDescent="0.4">
      <c r="T314" s="26"/>
      <c r="U314" s="13"/>
      <c r="Z314" s="117"/>
      <c r="AA314" s="123"/>
      <c r="AB314" s="123"/>
      <c r="AC314" s="123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115"/>
      <c r="AO314" s="115"/>
      <c r="AP314" s="115"/>
      <c r="AQ314" s="115"/>
      <c r="AR314" s="25"/>
      <c r="AS314" s="15"/>
      <c r="AV314" s="114"/>
    </row>
    <row r="315" spans="6:48" ht="19.5" x14ac:dyDescent="0.4"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26"/>
      <c r="U315" s="13"/>
      <c r="Z315" s="117"/>
      <c r="AA315" s="123"/>
      <c r="AB315" s="123"/>
      <c r="AC315" s="123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15"/>
      <c r="AP315" s="115"/>
      <c r="AQ315" s="115"/>
      <c r="AR315" s="25"/>
      <c r="AS315" s="15"/>
      <c r="AV315" s="114"/>
    </row>
    <row r="316" spans="6:48" ht="19.5" x14ac:dyDescent="0.4">
      <c r="T316" s="26"/>
      <c r="U316" s="13"/>
      <c r="Z316" s="117"/>
      <c r="AA316" s="123"/>
      <c r="AB316" s="123"/>
      <c r="AC316" s="123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15"/>
      <c r="AP316" s="115"/>
      <c r="AQ316" s="115"/>
      <c r="AR316" s="25">
        <v>45272</v>
      </c>
      <c r="AS316" s="15" t="s">
        <v>162</v>
      </c>
      <c r="AV316" s="114"/>
    </row>
    <row r="317" spans="6:48" ht="19.5" x14ac:dyDescent="0.4">
      <c r="L317" s="115"/>
      <c r="M317" s="115"/>
      <c r="N317" s="115"/>
      <c r="O317" s="115"/>
      <c r="P317" s="115"/>
      <c r="Q317" s="115"/>
      <c r="R317" s="115"/>
      <c r="S317" s="115"/>
      <c r="T317" s="17"/>
      <c r="U317" s="13"/>
      <c r="Z317" s="117"/>
      <c r="AA317" s="123"/>
      <c r="AB317" s="123"/>
      <c r="AC317" s="123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15"/>
      <c r="AR317" s="25"/>
      <c r="AS317" s="15"/>
      <c r="AV317" s="114"/>
    </row>
    <row r="318" spans="6:48" ht="19.5" x14ac:dyDescent="0.4">
      <c r="T318" s="26"/>
      <c r="U318" s="13"/>
      <c r="Z318" s="117"/>
      <c r="AA318" s="123"/>
      <c r="AB318" s="123"/>
      <c r="AC318" s="123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115"/>
      <c r="AO318" s="115"/>
      <c r="AP318" s="115"/>
      <c r="AQ318" s="115"/>
      <c r="AR318" s="25"/>
      <c r="AS318" s="15"/>
      <c r="AV318" s="114"/>
    </row>
    <row r="319" spans="6:48" ht="19.5" x14ac:dyDescent="0.4"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26"/>
      <c r="U319" s="13"/>
      <c r="Z319" s="117"/>
      <c r="AA319" s="123"/>
      <c r="AB319" s="123"/>
      <c r="AC319" s="123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15"/>
      <c r="AP319" s="115"/>
      <c r="AQ319" s="115"/>
      <c r="AR319" s="25"/>
      <c r="AS319" s="15"/>
      <c r="AV319" s="114"/>
    </row>
    <row r="320" spans="6:48" ht="19.5" x14ac:dyDescent="0.4">
      <c r="T320" s="26"/>
      <c r="U320" s="13"/>
      <c r="Z320" s="117"/>
      <c r="AA320" s="123"/>
      <c r="AB320" s="123"/>
      <c r="AC320" s="123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15"/>
      <c r="AP320" s="115"/>
      <c r="AQ320" s="115"/>
      <c r="AR320" s="25">
        <v>45272</v>
      </c>
      <c r="AS320" s="15" t="s">
        <v>162</v>
      </c>
      <c r="AV320" s="114"/>
    </row>
    <row r="321" spans="9:48" ht="19.5" x14ac:dyDescent="0.4">
      <c r="T321" s="26"/>
      <c r="U321" s="13"/>
      <c r="Z321" s="117"/>
      <c r="AA321" s="123"/>
      <c r="AB321" s="123"/>
      <c r="AC321" s="123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15"/>
      <c r="AP321" s="115"/>
      <c r="AQ321" s="115" t="s">
        <v>166</v>
      </c>
      <c r="AR321" s="13">
        <f>SUBTOTAL(3,AR269:AR320)</f>
        <v>13</v>
      </c>
      <c r="AS321" s="15">
        <f>SUBTOTAL(3,AS269:AS320)</f>
        <v>13</v>
      </c>
      <c r="AV321" s="114"/>
    </row>
    <row r="322" spans="9:48" ht="19.5" x14ac:dyDescent="0.4">
      <c r="L322" s="115"/>
      <c r="M322" s="115"/>
      <c r="N322" s="115"/>
      <c r="O322" s="115"/>
      <c r="P322" s="115"/>
      <c r="Q322" s="115"/>
      <c r="R322" s="115"/>
      <c r="S322" s="115"/>
      <c r="T322" s="17"/>
      <c r="U322" s="13"/>
      <c r="Z322" s="117"/>
      <c r="AA322" s="123"/>
      <c r="AB322" s="123"/>
      <c r="AC322" s="123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15"/>
      <c r="AP322" s="115"/>
      <c r="AQ322" s="115"/>
      <c r="AR322" s="13"/>
      <c r="AS322" s="15"/>
      <c r="AV322" s="114"/>
    </row>
    <row r="323" spans="9:48" ht="19.5" x14ac:dyDescent="0.4">
      <c r="T323" s="26"/>
      <c r="U323" s="13"/>
      <c r="Z323" s="117"/>
      <c r="AA323" s="123"/>
      <c r="AB323" s="123"/>
      <c r="AC323" s="123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25">
        <v>45273</v>
      </c>
      <c r="AS323" s="105" t="s">
        <v>164</v>
      </c>
      <c r="AV323" s="114"/>
    </row>
    <row r="324" spans="9:48" ht="19.5" x14ac:dyDescent="0.4">
      <c r="T324" s="26"/>
      <c r="U324" s="13"/>
      <c r="Z324" s="117"/>
      <c r="AA324" s="123"/>
      <c r="AB324" s="123"/>
      <c r="AC324" s="123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15"/>
      <c r="AP324" s="115"/>
      <c r="AQ324" s="115"/>
      <c r="AR324" s="25">
        <v>45273</v>
      </c>
      <c r="AS324" s="15" t="s">
        <v>164</v>
      </c>
      <c r="AV324" s="114"/>
    </row>
    <row r="325" spans="9:48" ht="19.5" x14ac:dyDescent="0.4"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26"/>
      <c r="U325" s="13"/>
      <c r="Z325" s="117"/>
      <c r="AA325" s="123"/>
      <c r="AB325" s="123"/>
      <c r="AC325" s="123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115"/>
      <c r="AR325" s="25"/>
      <c r="AS325" s="13"/>
      <c r="AV325" s="114"/>
    </row>
    <row r="326" spans="9:48" ht="19.5" x14ac:dyDescent="0.4">
      <c r="T326" s="26"/>
      <c r="U326" s="13"/>
      <c r="Z326" s="117"/>
      <c r="AA326" s="123"/>
      <c r="AB326" s="123"/>
      <c r="AC326" s="123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115"/>
      <c r="AO326" s="115"/>
      <c r="AP326" s="115"/>
      <c r="AQ326" s="115"/>
      <c r="AR326" s="25">
        <v>45273</v>
      </c>
      <c r="AS326" s="13" t="s">
        <v>164</v>
      </c>
      <c r="AV326" s="114"/>
    </row>
    <row r="327" spans="9:48" ht="19.5" x14ac:dyDescent="0.4">
      <c r="T327" s="26"/>
      <c r="U327" s="13"/>
      <c r="Z327" s="117"/>
      <c r="AA327" s="123"/>
      <c r="AB327" s="123"/>
      <c r="AC327" s="123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115"/>
      <c r="AQ327" s="115"/>
      <c r="AR327" s="25">
        <v>45273</v>
      </c>
      <c r="AS327" s="15" t="s">
        <v>164</v>
      </c>
      <c r="AV327" s="114"/>
    </row>
    <row r="328" spans="9:48" ht="19.5" x14ac:dyDescent="0.4">
      <c r="T328" s="26"/>
      <c r="U328" s="13"/>
      <c r="Z328" s="117"/>
      <c r="AA328" s="123"/>
      <c r="AB328" s="123"/>
      <c r="AC328" s="123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15"/>
      <c r="AP328" s="115"/>
      <c r="AQ328" s="115"/>
      <c r="AR328" s="25">
        <v>45273</v>
      </c>
      <c r="AS328" s="15" t="s">
        <v>162</v>
      </c>
      <c r="AV328" s="114"/>
    </row>
    <row r="329" spans="9:48" ht="19.5" x14ac:dyDescent="0.4">
      <c r="K329" s="115"/>
      <c r="L329" s="115"/>
      <c r="M329" s="115"/>
      <c r="N329" s="115"/>
      <c r="O329" s="115"/>
      <c r="P329" s="115"/>
      <c r="Q329" s="115"/>
      <c r="R329" s="115"/>
      <c r="S329" s="115"/>
      <c r="T329" s="26"/>
      <c r="U329" s="13"/>
      <c r="Z329" s="117"/>
      <c r="AA329" s="123"/>
      <c r="AB329" s="123"/>
      <c r="AC329" s="123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115"/>
      <c r="AO329" s="115"/>
      <c r="AP329" s="115"/>
      <c r="AQ329" s="115"/>
      <c r="AR329" s="25"/>
      <c r="AS329" s="15"/>
      <c r="AV329" s="114"/>
    </row>
    <row r="330" spans="9:48" ht="19.5" x14ac:dyDescent="0.4">
      <c r="T330" s="26"/>
      <c r="U330" s="13"/>
      <c r="Z330" s="117"/>
      <c r="AA330" s="123"/>
      <c r="AB330" s="123"/>
      <c r="AC330" s="123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15"/>
      <c r="AO330" s="115"/>
      <c r="AP330" s="115"/>
      <c r="AQ330" s="115"/>
      <c r="AR330" s="25">
        <v>45273</v>
      </c>
      <c r="AS330" s="15" t="s">
        <v>162</v>
      </c>
      <c r="AV330" s="114"/>
    </row>
    <row r="331" spans="9:48" ht="19.5" x14ac:dyDescent="0.4">
      <c r="T331" s="26"/>
      <c r="U331" s="13"/>
      <c r="Z331" s="117"/>
      <c r="AA331" s="123"/>
      <c r="AB331" s="123"/>
      <c r="AC331" s="123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  <c r="AO331" s="115"/>
      <c r="AP331" s="115"/>
      <c r="AQ331" s="115"/>
      <c r="AR331" s="25">
        <v>45273</v>
      </c>
      <c r="AS331" s="15" t="s">
        <v>162</v>
      </c>
      <c r="AV331" s="114"/>
    </row>
    <row r="332" spans="9:48" ht="19.5" x14ac:dyDescent="0.4">
      <c r="T332" s="26"/>
      <c r="U332" s="13"/>
      <c r="Z332" s="117"/>
      <c r="AA332" s="123"/>
      <c r="AB332" s="123"/>
      <c r="AC332" s="123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115"/>
      <c r="AR332" s="25">
        <v>45273</v>
      </c>
      <c r="AS332" s="15" t="s">
        <v>162</v>
      </c>
      <c r="AV332" s="114"/>
    </row>
    <row r="333" spans="9:48" ht="19.5" x14ac:dyDescent="0.4"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26"/>
      <c r="U333" s="13"/>
      <c r="Z333" s="117"/>
      <c r="AA333" s="123"/>
      <c r="AB333" s="123"/>
      <c r="AC333" s="123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15"/>
      <c r="AO333" s="115"/>
      <c r="AP333" s="115"/>
      <c r="AQ333" s="115"/>
      <c r="AR333" s="25"/>
      <c r="AS333" s="15"/>
      <c r="AV333" s="114"/>
    </row>
    <row r="334" spans="9:48" ht="19.5" x14ac:dyDescent="0.4">
      <c r="T334" s="26"/>
      <c r="U334" s="13"/>
      <c r="Z334" s="117"/>
      <c r="AA334" s="123"/>
      <c r="AB334" s="123"/>
      <c r="AC334" s="123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115"/>
      <c r="AO334" s="115"/>
      <c r="AP334" s="115"/>
      <c r="AQ334" s="115"/>
      <c r="AR334" s="25">
        <v>45273</v>
      </c>
      <c r="AS334" s="15" t="s">
        <v>162</v>
      </c>
      <c r="AV334" s="114"/>
    </row>
    <row r="335" spans="9:48" ht="19.5" x14ac:dyDescent="0.4">
      <c r="T335" s="26"/>
      <c r="U335" s="13"/>
      <c r="Z335" s="117"/>
      <c r="AA335" s="123"/>
      <c r="AB335" s="123"/>
      <c r="AC335" s="123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15"/>
      <c r="AO335" s="115"/>
      <c r="AP335" s="115"/>
      <c r="AQ335" s="115"/>
      <c r="AR335" s="25">
        <v>45273</v>
      </c>
      <c r="AS335" s="15" t="s">
        <v>162</v>
      </c>
      <c r="AV335" s="114"/>
    </row>
    <row r="336" spans="9:48" ht="19.5" x14ac:dyDescent="0.4">
      <c r="T336" s="26"/>
      <c r="U336" s="13"/>
      <c r="Z336" s="117"/>
      <c r="AA336" s="123"/>
      <c r="AB336" s="123"/>
      <c r="AC336" s="123"/>
      <c r="AD336" s="115"/>
      <c r="AE336" s="115"/>
      <c r="AF336" s="115"/>
      <c r="AG336" s="115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25">
        <v>45273</v>
      </c>
      <c r="AS336" s="15" t="s">
        <v>162</v>
      </c>
      <c r="AV336" s="114"/>
    </row>
    <row r="337" spans="6:48" ht="19.5" x14ac:dyDescent="0.4">
      <c r="T337" s="26"/>
      <c r="U337" s="13"/>
      <c r="Z337" s="117"/>
      <c r="AA337" s="123"/>
      <c r="AB337" s="123"/>
      <c r="AC337" s="123"/>
      <c r="AD337" s="115"/>
      <c r="AE337" s="115"/>
      <c r="AF337" s="115"/>
      <c r="AG337" s="115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25">
        <v>45273</v>
      </c>
      <c r="AS337" s="15" t="s">
        <v>162</v>
      </c>
      <c r="AV337" s="114"/>
    </row>
    <row r="338" spans="6:48" ht="19.5" x14ac:dyDescent="0.4">
      <c r="L338" s="115"/>
      <c r="M338" s="115"/>
      <c r="N338" s="115"/>
      <c r="O338" s="115"/>
      <c r="P338" s="115"/>
      <c r="Q338" s="115"/>
      <c r="R338" s="115"/>
      <c r="S338" s="115"/>
      <c r="T338" s="17"/>
      <c r="U338" s="13"/>
      <c r="Z338" s="117"/>
      <c r="AA338" s="123"/>
      <c r="AB338" s="123"/>
      <c r="AC338" s="123"/>
      <c r="AD338" s="115"/>
      <c r="AE338" s="115"/>
      <c r="AF338" s="115"/>
      <c r="AG338" s="115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25"/>
      <c r="AS338" s="15"/>
      <c r="AV338" s="114"/>
    </row>
    <row r="339" spans="6:48" ht="19.5" x14ac:dyDescent="0.4">
      <c r="T339" s="26"/>
      <c r="U339" s="13"/>
      <c r="Z339" s="117"/>
      <c r="AA339" s="123"/>
      <c r="AB339" s="123"/>
      <c r="AC339" s="123"/>
      <c r="AD339" s="115"/>
      <c r="AE339" s="115"/>
      <c r="AF339" s="115"/>
      <c r="AG339" s="115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25">
        <v>45273</v>
      </c>
      <c r="AS339" s="15" t="s">
        <v>162</v>
      </c>
      <c r="AV339" s="114"/>
    </row>
    <row r="340" spans="6:48" ht="19.5" x14ac:dyDescent="0.4">
      <c r="L340" s="115"/>
      <c r="M340" s="115"/>
      <c r="N340" s="115"/>
      <c r="O340" s="115"/>
      <c r="P340" s="115"/>
      <c r="Q340" s="115"/>
      <c r="R340" s="115"/>
      <c r="S340" s="115"/>
      <c r="T340" s="17"/>
      <c r="U340" s="13"/>
      <c r="Z340" s="117"/>
      <c r="AA340" s="123"/>
      <c r="AB340" s="123"/>
      <c r="AC340" s="123"/>
      <c r="AD340" s="115"/>
      <c r="AE340" s="115"/>
      <c r="AF340" s="115"/>
      <c r="AG340" s="115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25"/>
      <c r="AS340" s="15"/>
      <c r="AV340" s="114"/>
    </row>
    <row r="341" spans="6:48" ht="19.5" x14ac:dyDescent="0.4">
      <c r="T341" s="26"/>
      <c r="U341" s="13"/>
      <c r="Z341" s="117"/>
      <c r="AA341" s="123"/>
      <c r="AB341" s="123"/>
      <c r="AC341" s="123"/>
      <c r="AD341" s="115"/>
      <c r="AE341" s="115"/>
      <c r="AF341" s="115"/>
      <c r="AG341" s="115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25">
        <v>45273</v>
      </c>
      <c r="AS341" s="15" t="s">
        <v>162</v>
      </c>
      <c r="AV341" s="114"/>
    </row>
    <row r="342" spans="6:48" ht="19.5" x14ac:dyDescent="0.4">
      <c r="T342" s="26"/>
      <c r="U342" s="13"/>
      <c r="Z342" s="117"/>
      <c r="AA342" s="123"/>
      <c r="AB342" s="123"/>
      <c r="AC342" s="123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15"/>
      <c r="AQ342" s="115"/>
      <c r="AR342" s="25">
        <v>45273</v>
      </c>
      <c r="AS342" s="13" t="s">
        <v>162</v>
      </c>
      <c r="AV342" s="114"/>
    </row>
    <row r="343" spans="6:48" ht="19.5" x14ac:dyDescent="0.4">
      <c r="T343" s="26"/>
      <c r="U343" s="13"/>
      <c r="Z343" s="117"/>
      <c r="AA343" s="123"/>
      <c r="AB343" s="123"/>
      <c r="AC343" s="123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15"/>
      <c r="AQ343" s="115"/>
      <c r="AR343" s="25">
        <v>45273</v>
      </c>
      <c r="AS343" s="15" t="s">
        <v>162</v>
      </c>
      <c r="AV343" s="114"/>
    </row>
    <row r="344" spans="6:48" ht="19.5" x14ac:dyDescent="0.4">
      <c r="T344" s="26"/>
      <c r="U344" s="13"/>
      <c r="Z344" s="117"/>
      <c r="AA344" s="123"/>
      <c r="AB344" s="123"/>
      <c r="AC344" s="123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115"/>
      <c r="AQ344" s="115"/>
      <c r="AR344" s="25">
        <v>45273</v>
      </c>
      <c r="AS344" s="15" t="s">
        <v>162</v>
      </c>
      <c r="AV344" s="114"/>
    </row>
    <row r="345" spans="6:48" ht="19.5" x14ac:dyDescent="0.4"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26"/>
      <c r="U345" s="25"/>
      <c r="Z345" s="117"/>
      <c r="AA345" s="123"/>
      <c r="AB345" s="123"/>
      <c r="AC345" s="123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15"/>
      <c r="AQ345" s="115"/>
      <c r="AR345" s="25"/>
      <c r="AS345" s="15"/>
      <c r="AV345" s="114"/>
    </row>
    <row r="346" spans="6:48" ht="19.5" x14ac:dyDescent="0.4">
      <c r="T346" s="26"/>
      <c r="U346" s="25"/>
      <c r="Z346" s="117"/>
      <c r="AA346" s="123"/>
      <c r="AB346" s="123"/>
      <c r="AC346" s="123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115"/>
      <c r="AQ346" s="115"/>
      <c r="AR346" s="25">
        <v>45273</v>
      </c>
      <c r="AS346" s="15" t="s">
        <v>162</v>
      </c>
      <c r="AV346" s="114"/>
    </row>
    <row r="347" spans="6:48" ht="19.5" x14ac:dyDescent="0.4">
      <c r="T347" s="26"/>
      <c r="U347" s="13"/>
      <c r="Z347" s="117"/>
      <c r="AA347" s="123"/>
      <c r="AB347" s="123"/>
      <c r="AC347" s="123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115"/>
      <c r="AR347" s="25">
        <v>45273</v>
      </c>
      <c r="AS347" s="15" t="s">
        <v>162</v>
      </c>
      <c r="AV347" s="114"/>
    </row>
    <row r="348" spans="6:48" ht="19.5" x14ac:dyDescent="0.4"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26"/>
      <c r="U348" s="13"/>
      <c r="Z348" s="117"/>
      <c r="AA348" s="123"/>
      <c r="AB348" s="123"/>
      <c r="AC348" s="123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15"/>
      <c r="AR348" s="25"/>
      <c r="AS348" s="15"/>
      <c r="AV348" s="114"/>
    </row>
    <row r="349" spans="6:48" ht="19.5" x14ac:dyDescent="0.4"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26"/>
      <c r="U349" s="13"/>
      <c r="Z349" s="117"/>
      <c r="AA349" s="123"/>
      <c r="AB349" s="123"/>
      <c r="AC349" s="123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5"/>
      <c r="AR349" s="25"/>
      <c r="AS349" s="15"/>
      <c r="AV349" s="114"/>
    </row>
    <row r="350" spans="6:48" ht="19.5" x14ac:dyDescent="0.4">
      <c r="T350" s="26"/>
      <c r="U350" s="13"/>
      <c r="Z350" s="117"/>
      <c r="AA350" s="123"/>
      <c r="AB350" s="123"/>
      <c r="AC350" s="123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15"/>
      <c r="AR350" s="25">
        <v>45273</v>
      </c>
      <c r="AS350" s="15" t="s">
        <v>162</v>
      </c>
      <c r="AV350" s="114"/>
    </row>
    <row r="351" spans="6:48" ht="19.5" x14ac:dyDescent="0.4">
      <c r="T351" s="26"/>
      <c r="U351" s="13"/>
      <c r="Z351" s="117"/>
      <c r="AA351" s="123"/>
      <c r="AB351" s="123"/>
      <c r="AC351" s="123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15"/>
      <c r="AR351" s="25">
        <v>45273</v>
      </c>
      <c r="AS351" s="15" t="s">
        <v>162</v>
      </c>
      <c r="AV351" s="114"/>
    </row>
    <row r="352" spans="6:48" ht="19.5" x14ac:dyDescent="0.4">
      <c r="T352" s="26"/>
      <c r="U352" s="13"/>
      <c r="Z352" s="117"/>
      <c r="AA352" s="123"/>
      <c r="AB352" s="123"/>
      <c r="AC352" s="123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15"/>
      <c r="AR352" s="25">
        <v>45273</v>
      </c>
      <c r="AS352" s="13" t="s">
        <v>163</v>
      </c>
      <c r="AV352" s="114"/>
    </row>
    <row r="353" spans="6:48" ht="19.5" x14ac:dyDescent="0.4">
      <c r="T353" s="26"/>
      <c r="U353" s="13"/>
      <c r="Z353" s="117"/>
      <c r="AA353" s="123"/>
      <c r="AB353" s="123"/>
      <c r="AC353" s="123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15"/>
      <c r="AR353" s="25"/>
      <c r="AS353" s="13"/>
      <c r="AV353" s="114"/>
    </row>
    <row r="354" spans="6:48" ht="19.5" x14ac:dyDescent="0.4">
      <c r="T354" s="26"/>
      <c r="U354" s="13"/>
      <c r="Z354" s="117"/>
      <c r="AA354" s="123"/>
      <c r="AB354" s="123"/>
      <c r="AC354" s="123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15" t="s">
        <v>152</v>
      </c>
      <c r="AR354" s="13">
        <f>SUBTOTAL(3,AR323:AR352)</f>
        <v>22</v>
      </c>
      <c r="AS354" s="13">
        <f>SUBTOTAL(3,AS323:AS352)</f>
        <v>22</v>
      </c>
      <c r="AV354" s="114"/>
    </row>
    <row r="355" spans="6:48" ht="19.5" x14ac:dyDescent="0.4">
      <c r="T355" s="26"/>
      <c r="U355" s="13"/>
      <c r="Z355" s="117"/>
      <c r="AA355" s="123"/>
      <c r="AB355" s="123"/>
      <c r="AC355" s="123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5"/>
      <c r="AR355" s="25">
        <v>45274</v>
      </c>
      <c r="AS355" s="15" t="s">
        <v>162</v>
      </c>
      <c r="AV355" s="114"/>
    </row>
    <row r="356" spans="6:48" ht="19.5" x14ac:dyDescent="0.4"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26"/>
      <c r="U356" s="13"/>
      <c r="Z356" s="117"/>
      <c r="AA356" s="123"/>
      <c r="AB356" s="123"/>
      <c r="AC356" s="123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115"/>
      <c r="AR356" s="25"/>
      <c r="AS356" s="15"/>
      <c r="AV356" s="114"/>
    </row>
    <row r="357" spans="6:48" ht="19.5" x14ac:dyDescent="0.4"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26"/>
      <c r="U357" s="13"/>
      <c r="Z357" s="117"/>
      <c r="AA357" s="123"/>
      <c r="AB357" s="123"/>
      <c r="AC357" s="123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115"/>
      <c r="AR357" s="25"/>
      <c r="AS357" s="15"/>
      <c r="AV357" s="114"/>
    </row>
    <row r="358" spans="6:48" ht="19.5" x14ac:dyDescent="0.4">
      <c r="T358" s="26"/>
      <c r="U358" s="13"/>
      <c r="Z358" s="117"/>
      <c r="AA358" s="123"/>
      <c r="AB358" s="123"/>
      <c r="AC358" s="123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115"/>
      <c r="AR358" s="25">
        <v>45274</v>
      </c>
      <c r="AS358" s="15" t="s">
        <v>162</v>
      </c>
      <c r="AV358" s="114"/>
    </row>
    <row r="359" spans="6:48" ht="19.5" x14ac:dyDescent="0.4">
      <c r="K359" s="115"/>
      <c r="L359" s="115"/>
      <c r="M359" s="115"/>
      <c r="N359" s="115"/>
      <c r="O359" s="115"/>
      <c r="P359" s="115"/>
      <c r="Q359" s="115"/>
      <c r="R359" s="115"/>
      <c r="S359" s="115"/>
      <c r="T359" s="26"/>
      <c r="U359" s="13"/>
      <c r="Z359" s="117"/>
      <c r="AA359" s="123"/>
      <c r="AB359" s="123"/>
      <c r="AC359" s="123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115"/>
      <c r="AQ359" s="115"/>
      <c r="AR359" s="25"/>
      <c r="AS359" s="15"/>
      <c r="AV359" s="114"/>
    </row>
    <row r="360" spans="6:48" ht="19.5" x14ac:dyDescent="0.4"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26"/>
      <c r="U360" s="13"/>
      <c r="Z360" s="117"/>
      <c r="AA360" s="123"/>
      <c r="AB360" s="123"/>
      <c r="AC360" s="123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115"/>
      <c r="AO360" s="115"/>
      <c r="AP360" s="115"/>
      <c r="AQ360" s="115"/>
      <c r="AR360" s="25"/>
      <c r="AS360" s="15"/>
      <c r="AV360" s="114"/>
    </row>
    <row r="361" spans="6:48" ht="19.5" x14ac:dyDescent="0.4"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26"/>
      <c r="U361" s="13"/>
      <c r="Z361" s="117"/>
      <c r="AA361" s="123"/>
      <c r="AB361" s="123"/>
      <c r="AC361" s="123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115"/>
      <c r="AQ361" s="115"/>
      <c r="AR361" s="25"/>
      <c r="AS361" s="15"/>
      <c r="AV361" s="114"/>
    </row>
    <row r="362" spans="6:48" ht="19.5" x14ac:dyDescent="0.4">
      <c r="T362" s="26"/>
      <c r="U362" s="13"/>
      <c r="Z362" s="117"/>
      <c r="AA362" s="123"/>
      <c r="AB362" s="123"/>
      <c r="AC362" s="123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115"/>
      <c r="AO362" s="115"/>
      <c r="AP362" s="115"/>
      <c r="AQ362" s="115"/>
      <c r="AR362" s="25">
        <v>45274</v>
      </c>
      <c r="AS362" s="15" t="s">
        <v>162</v>
      </c>
      <c r="AV362" s="114"/>
    </row>
    <row r="363" spans="6:48" ht="19.5" x14ac:dyDescent="0.4"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26"/>
      <c r="U363" s="13"/>
      <c r="Z363" s="117"/>
      <c r="AA363" s="123"/>
      <c r="AB363" s="123"/>
      <c r="AC363" s="123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115"/>
      <c r="AR363" s="25"/>
      <c r="AS363" s="15"/>
      <c r="AV363" s="114"/>
    </row>
    <row r="364" spans="6:48" ht="19.5" x14ac:dyDescent="0.4">
      <c r="T364" s="26"/>
      <c r="U364" s="13"/>
      <c r="Z364" s="117"/>
      <c r="AA364" s="123"/>
      <c r="AB364" s="123"/>
      <c r="AC364" s="123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115"/>
      <c r="AO364" s="115"/>
      <c r="AP364" s="115"/>
      <c r="AQ364" s="115"/>
      <c r="AR364" s="25">
        <v>45274</v>
      </c>
      <c r="AS364" s="15" t="s">
        <v>162</v>
      </c>
      <c r="AV364" s="114"/>
    </row>
    <row r="365" spans="6:48" ht="19.5" x14ac:dyDescent="0.4">
      <c r="T365" s="26"/>
      <c r="U365" s="13"/>
      <c r="Z365" s="117"/>
      <c r="AA365" s="123"/>
      <c r="AB365" s="123"/>
      <c r="AC365" s="123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15"/>
      <c r="AR365" s="25">
        <v>45274</v>
      </c>
      <c r="AS365" s="15" t="s">
        <v>163</v>
      </c>
      <c r="AV365" s="114"/>
    </row>
    <row r="366" spans="6:48" ht="19.5" x14ac:dyDescent="0.4">
      <c r="L366" s="115"/>
      <c r="M366" s="115"/>
      <c r="N366" s="115"/>
      <c r="O366" s="115"/>
      <c r="P366" s="115"/>
      <c r="Q366" s="115"/>
      <c r="R366" s="115"/>
      <c r="S366" s="115"/>
      <c r="T366" s="17"/>
      <c r="U366" s="13"/>
      <c r="Z366" s="117"/>
      <c r="AA366" s="123"/>
      <c r="AB366" s="123"/>
      <c r="AC366" s="123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15"/>
      <c r="AR366" s="25"/>
      <c r="AS366" s="15"/>
      <c r="AV366" s="114"/>
    </row>
    <row r="367" spans="6:48" ht="19.5" x14ac:dyDescent="0.4"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26"/>
      <c r="U367" s="13"/>
      <c r="Z367" s="117"/>
      <c r="AA367" s="123"/>
      <c r="AB367" s="123"/>
      <c r="AC367" s="123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5"/>
      <c r="AR367" s="25"/>
      <c r="AS367" s="15"/>
      <c r="AV367" s="114"/>
    </row>
    <row r="368" spans="6:48" ht="19.5" x14ac:dyDescent="0.4">
      <c r="T368" s="26"/>
      <c r="U368" s="25"/>
      <c r="Z368" s="117"/>
      <c r="AA368" s="123"/>
      <c r="AB368" s="123"/>
      <c r="AC368" s="123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15" t="s">
        <v>167</v>
      </c>
      <c r="AR368" s="13">
        <f>SUBTOTAL(3,AR355:AR365)</f>
        <v>5</v>
      </c>
      <c r="AS368" s="15">
        <f>SUBTOTAL(3,AS355:AS365)</f>
        <v>5</v>
      </c>
      <c r="AV368" s="114"/>
    </row>
    <row r="369" spans="6:48" ht="19.5" x14ac:dyDescent="0.4"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26"/>
      <c r="U369" s="105"/>
      <c r="Z369" s="117"/>
      <c r="AA369" s="123"/>
      <c r="AB369" s="123"/>
      <c r="AC369" s="123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3"/>
      <c r="AS369" s="15"/>
      <c r="AV369" s="114"/>
    </row>
    <row r="370" spans="6:48" ht="19.5" x14ac:dyDescent="0.4">
      <c r="T370" s="26"/>
      <c r="U370" s="105"/>
      <c r="Z370" s="117"/>
      <c r="AA370" s="123"/>
      <c r="AB370" s="123"/>
      <c r="AC370" s="123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15"/>
      <c r="AR370" s="13"/>
      <c r="AS370" s="15"/>
      <c r="AV370" s="114"/>
    </row>
    <row r="371" spans="6:48" ht="19.5" x14ac:dyDescent="0.4">
      <c r="L371" s="115"/>
      <c r="M371" s="115"/>
      <c r="N371" s="115"/>
      <c r="O371" s="115"/>
      <c r="P371" s="115"/>
      <c r="Q371" s="115"/>
      <c r="R371" s="115"/>
      <c r="S371" s="115"/>
      <c r="T371" s="17"/>
      <c r="U371" s="15"/>
      <c r="Z371" s="117"/>
      <c r="AA371" s="123"/>
      <c r="AB371" s="123"/>
      <c r="AC371" s="123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15"/>
      <c r="AR371" s="13"/>
      <c r="AS371" s="15"/>
      <c r="AV371" s="114"/>
    </row>
    <row r="372" spans="6:48" ht="19.5" x14ac:dyDescent="0.4"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26"/>
      <c r="U372" s="15"/>
      <c r="Z372" s="117"/>
      <c r="AA372" s="123"/>
      <c r="AB372" s="123"/>
      <c r="AC372" s="123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15"/>
      <c r="AR372" s="13"/>
      <c r="AS372" s="15"/>
      <c r="AV372" s="114"/>
    </row>
    <row r="373" spans="6:48" ht="19.5" x14ac:dyDescent="0.4"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26"/>
      <c r="U373" s="15"/>
      <c r="Z373" s="117"/>
      <c r="AA373" s="123"/>
      <c r="AB373" s="123"/>
      <c r="AC373" s="123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15"/>
      <c r="AR373" s="13"/>
      <c r="AS373" s="15"/>
      <c r="AV373" s="114"/>
    </row>
    <row r="374" spans="6:48" ht="19.5" x14ac:dyDescent="0.4"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26"/>
      <c r="U374" s="15"/>
      <c r="Z374" s="117"/>
      <c r="AA374" s="123"/>
      <c r="AB374" s="123"/>
      <c r="AC374" s="123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15"/>
      <c r="AR374" s="13"/>
      <c r="AS374" s="15"/>
      <c r="AV374" s="114"/>
    </row>
    <row r="375" spans="6:48" ht="19.5" x14ac:dyDescent="0.4"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26"/>
      <c r="U375" s="15"/>
      <c r="Z375" s="117"/>
      <c r="AA375" s="123"/>
      <c r="AB375" s="123"/>
      <c r="AC375" s="123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115"/>
      <c r="AR375" s="13"/>
      <c r="AS375" s="15"/>
      <c r="AV375" s="114"/>
    </row>
    <row r="376" spans="6:48" ht="19.5" x14ac:dyDescent="0.4">
      <c r="T376" s="26"/>
      <c r="U376" s="15"/>
      <c r="Z376" s="117"/>
      <c r="AA376" s="123"/>
      <c r="AB376" s="123"/>
      <c r="AC376" s="123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15"/>
      <c r="AR376" s="25">
        <v>45275</v>
      </c>
      <c r="AS376" s="15" t="s">
        <v>163</v>
      </c>
      <c r="AV376" s="114"/>
    </row>
    <row r="377" spans="6:48" ht="19.5" x14ac:dyDescent="0.4">
      <c r="T377" s="26"/>
      <c r="U377" s="15"/>
      <c r="Z377" s="117"/>
      <c r="AA377" s="123"/>
      <c r="AB377" s="123"/>
      <c r="AC377" s="123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115" t="s">
        <v>168</v>
      </c>
      <c r="AR377" s="13">
        <f>SUBTOTAL(3,AR376:AR376)</f>
        <v>1</v>
      </c>
      <c r="AS377" s="15">
        <f>SUBTOTAL(3,AS376:AS376)</f>
        <v>1</v>
      </c>
      <c r="AV377" s="114"/>
    </row>
    <row r="378" spans="6:48" ht="19.5" x14ac:dyDescent="0.4">
      <c r="T378" s="26"/>
      <c r="U378" s="15"/>
      <c r="Z378" s="117"/>
      <c r="AA378" s="123"/>
      <c r="AB378" s="123"/>
      <c r="AC378" s="123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115"/>
      <c r="AQ378" s="115"/>
      <c r="AR378" s="25">
        <v>45276</v>
      </c>
      <c r="AS378" s="15" t="s">
        <v>164</v>
      </c>
      <c r="AV378" s="114"/>
    </row>
    <row r="379" spans="6:48" ht="19.5" x14ac:dyDescent="0.4">
      <c r="T379" s="26"/>
      <c r="U379" s="15"/>
      <c r="Z379" s="117"/>
      <c r="AA379" s="123"/>
      <c r="AB379" s="123"/>
      <c r="AC379" s="123"/>
      <c r="AD379" s="115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115"/>
      <c r="AQ379" s="115"/>
      <c r="AR379" s="25">
        <v>45276</v>
      </c>
      <c r="AS379" s="15" t="s">
        <v>162</v>
      </c>
      <c r="AV379" s="114"/>
    </row>
    <row r="380" spans="6:48" ht="19.5" x14ac:dyDescent="0.4">
      <c r="T380" s="26"/>
      <c r="U380" s="15"/>
      <c r="Z380" s="117"/>
      <c r="AA380" s="123"/>
      <c r="AB380" s="123"/>
      <c r="AC380" s="123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115"/>
      <c r="AQ380" s="115"/>
      <c r="AR380" s="25">
        <v>45276</v>
      </c>
      <c r="AS380" s="15" t="s">
        <v>162</v>
      </c>
      <c r="AV380" s="114"/>
    </row>
    <row r="381" spans="6:48" ht="19.5" x14ac:dyDescent="0.4">
      <c r="T381" s="26"/>
      <c r="U381" s="15"/>
      <c r="Z381" s="117"/>
      <c r="AA381" s="123"/>
      <c r="AB381" s="123"/>
      <c r="AC381" s="123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115"/>
      <c r="AQ381" s="115"/>
      <c r="AR381" s="25">
        <v>45276</v>
      </c>
      <c r="AS381" s="15" t="s">
        <v>162</v>
      </c>
      <c r="AV381" s="114"/>
    </row>
    <row r="382" spans="6:48" ht="19.5" x14ac:dyDescent="0.4">
      <c r="T382" s="26"/>
      <c r="U382" s="15"/>
      <c r="Z382" s="117"/>
      <c r="AA382" s="123"/>
      <c r="AB382" s="123"/>
      <c r="AC382" s="123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115"/>
      <c r="AQ382" s="115"/>
      <c r="AR382" s="25">
        <v>45276</v>
      </c>
      <c r="AS382" s="15" t="s">
        <v>162</v>
      </c>
      <c r="AV382" s="114"/>
    </row>
    <row r="383" spans="6:48" ht="19.5" x14ac:dyDescent="0.4"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26"/>
      <c r="U383" s="15"/>
      <c r="Z383" s="117"/>
      <c r="AA383" s="123"/>
      <c r="AB383" s="123"/>
      <c r="AC383" s="123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115"/>
      <c r="AQ383" s="115"/>
      <c r="AR383" s="25"/>
      <c r="AS383" s="15"/>
      <c r="AV383" s="114"/>
    </row>
    <row r="384" spans="6:48" ht="19.5" x14ac:dyDescent="0.4">
      <c r="T384" s="26"/>
      <c r="U384" s="15"/>
      <c r="Z384" s="117"/>
      <c r="AA384" s="123"/>
      <c r="AB384" s="123"/>
      <c r="AC384" s="123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115"/>
      <c r="AR384" s="25">
        <v>45276</v>
      </c>
      <c r="AS384" s="15" t="s">
        <v>162</v>
      </c>
      <c r="AV384" s="114"/>
    </row>
    <row r="385" spans="6:48" ht="19.5" x14ac:dyDescent="0.4">
      <c r="T385" s="26"/>
      <c r="U385" s="15"/>
      <c r="Z385" s="117"/>
      <c r="AA385" s="123"/>
      <c r="AB385" s="123"/>
      <c r="AC385" s="123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115"/>
      <c r="AR385" s="25">
        <v>45276</v>
      </c>
      <c r="AS385" s="15" t="s">
        <v>162</v>
      </c>
      <c r="AV385" s="114"/>
    </row>
    <row r="386" spans="6:48" ht="19.5" x14ac:dyDescent="0.4">
      <c r="L386" s="115"/>
      <c r="M386" s="115"/>
      <c r="N386" s="115"/>
      <c r="O386" s="115"/>
      <c r="P386" s="115"/>
      <c r="Q386" s="115"/>
      <c r="R386" s="115"/>
      <c r="S386" s="115"/>
      <c r="T386" s="17"/>
      <c r="U386" s="15"/>
      <c r="Z386" s="117"/>
      <c r="AA386" s="123"/>
      <c r="AB386" s="123"/>
      <c r="AC386" s="123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15"/>
      <c r="AR386" s="25"/>
      <c r="AS386" s="15"/>
      <c r="AV386" s="114"/>
    </row>
    <row r="387" spans="6:48" ht="19.5" x14ac:dyDescent="0.4"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26"/>
      <c r="U387" s="15"/>
      <c r="Z387" s="117"/>
      <c r="AA387" s="123"/>
      <c r="AB387" s="123"/>
      <c r="AC387" s="123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15"/>
      <c r="AR387" s="25"/>
      <c r="AS387" s="15"/>
      <c r="AV387" s="114"/>
    </row>
    <row r="388" spans="6:48" ht="19.5" x14ac:dyDescent="0.4"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26"/>
      <c r="U388" s="15"/>
      <c r="Z388" s="117"/>
      <c r="AA388" s="123"/>
      <c r="AB388" s="123"/>
      <c r="AC388" s="123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115"/>
      <c r="AR388" s="25"/>
      <c r="AS388" s="15"/>
      <c r="AV388" s="114"/>
    </row>
    <row r="389" spans="6:48" ht="19.5" x14ac:dyDescent="0.4"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26"/>
      <c r="U389" s="15"/>
      <c r="Z389" s="117"/>
      <c r="AA389" s="123"/>
      <c r="AB389" s="123"/>
      <c r="AC389" s="123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115"/>
      <c r="AR389" s="25"/>
      <c r="AS389" s="15"/>
      <c r="AV389" s="114"/>
    </row>
    <row r="390" spans="6:48" ht="19.5" x14ac:dyDescent="0.4">
      <c r="T390" s="26"/>
      <c r="U390" s="15"/>
      <c r="Y390" s="115"/>
      <c r="Z390" s="117"/>
      <c r="AA390" s="123"/>
      <c r="AB390" s="123"/>
      <c r="AC390" s="123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115"/>
      <c r="AR390" s="25">
        <v>45276</v>
      </c>
      <c r="AS390" s="15" t="s">
        <v>162</v>
      </c>
      <c r="AV390" s="114"/>
    </row>
    <row r="391" spans="6:48" ht="19.5" x14ac:dyDescent="0.4">
      <c r="T391" s="26"/>
      <c r="U391" s="15"/>
      <c r="Y391" s="115"/>
      <c r="Z391" s="117"/>
      <c r="AA391" s="123"/>
      <c r="AB391" s="123"/>
      <c r="AC391" s="123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15"/>
      <c r="AR391" s="25">
        <v>45276</v>
      </c>
      <c r="AS391" s="15" t="s">
        <v>162</v>
      </c>
      <c r="AV391" s="114"/>
    </row>
    <row r="392" spans="6:48" ht="19.5" x14ac:dyDescent="0.4">
      <c r="T392" s="26"/>
      <c r="U392" s="15"/>
      <c r="Y392" s="115"/>
      <c r="Z392" s="117"/>
      <c r="AA392" s="123"/>
      <c r="AB392" s="123"/>
      <c r="AC392" s="123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115"/>
      <c r="AR392" s="25">
        <v>45276</v>
      </c>
      <c r="AS392" s="15" t="s">
        <v>162</v>
      </c>
      <c r="AV392" s="114"/>
    </row>
    <row r="393" spans="6:48" ht="19.5" x14ac:dyDescent="0.4">
      <c r="L393" s="115"/>
      <c r="M393" s="115"/>
      <c r="N393" s="115"/>
      <c r="O393" s="115"/>
      <c r="P393" s="115"/>
      <c r="Q393" s="115"/>
      <c r="R393" s="115"/>
      <c r="S393" s="115"/>
      <c r="T393" s="17"/>
      <c r="U393" s="15"/>
      <c r="Y393" s="115"/>
      <c r="Z393" s="117"/>
      <c r="AA393" s="123"/>
      <c r="AB393" s="123"/>
      <c r="AC393" s="123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15"/>
      <c r="AR393" s="25"/>
      <c r="AS393" s="15"/>
      <c r="AV393" s="114"/>
    </row>
    <row r="394" spans="6:48" ht="19.5" x14ac:dyDescent="0.4"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26"/>
      <c r="U394" s="15"/>
      <c r="Y394" s="115"/>
      <c r="Z394" s="117"/>
      <c r="AA394" s="123"/>
      <c r="AB394" s="123"/>
      <c r="AC394" s="123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115"/>
      <c r="AR394" s="25"/>
      <c r="AS394" s="15"/>
      <c r="AV394" s="114"/>
    </row>
    <row r="395" spans="6:48" ht="19.5" x14ac:dyDescent="0.4"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7"/>
      <c r="U395" s="15"/>
      <c r="Y395" s="115"/>
      <c r="Z395" s="117"/>
      <c r="AA395" s="123"/>
      <c r="AB395" s="123"/>
      <c r="AC395" s="123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115"/>
      <c r="AR395" s="25"/>
      <c r="AS395" s="15"/>
      <c r="AV395" s="114"/>
    </row>
    <row r="396" spans="6:48" ht="19.5" x14ac:dyDescent="0.4">
      <c r="T396" s="26"/>
      <c r="U396" s="15"/>
      <c r="Y396" s="115"/>
      <c r="Z396" s="117"/>
      <c r="AA396" s="123"/>
      <c r="AB396" s="123"/>
      <c r="AC396" s="123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115"/>
      <c r="AR396" s="25"/>
      <c r="AS396" s="15"/>
      <c r="AV396" s="114"/>
    </row>
    <row r="397" spans="6:48" ht="19.5" x14ac:dyDescent="0.4"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26"/>
      <c r="U397" s="15"/>
      <c r="Y397" s="115"/>
      <c r="Z397" s="117"/>
      <c r="AA397" s="123"/>
      <c r="AB397" s="123"/>
      <c r="AC397" s="123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25"/>
      <c r="AS397" s="15"/>
      <c r="AV397" s="114"/>
    </row>
    <row r="398" spans="6:48" ht="19.5" x14ac:dyDescent="0.4">
      <c r="T398" s="26"/>
      <c r="U398" s="15"/>
      <c r="Y398" s="115"/>
      <c r="Z398" s="117"/>
      <c r="AA398" s="123"/>
      <c r="AB398" s="123"/>
      <c r="AC398" s="123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15"/>
      <c r="AR398" s="25">
        <v>45276</v>
      </c>
      <c r="AS398" s="15" t="s">
        <v>162</v>
      </c>
      <c r="AV398" s="114"/>
    </row>
    <row r="399" spans="6:48" ht="19.5" x14ac:dyDescent="0.4">
      <c r="L399" s="115"/>
      <c r="M399" s="115"/>
      <c r="N399" s="115"/>
      <c r="O399" s="115"/>
      <c r="P399" s="115"/>
      <c r="Q399" s="115"/>
      <c r="R399" s="115"/>
      <c r="S399" s="115"/>
      <c r="T399" s="17"/>
      <c r="U399" s="15"/>
      <c r="Y399" s="115"/>
      <c r="Z399" s="117"/>
      <c r="AA399" s="123"/>
      <c r="AB399" s="123"/>
      <c r="AC399" s="123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15"/>
      <c r="AR399" s="25"/>
      <c r="AS399" s="15"/>
      <c r="AV399" s="114"/>
    </row>
    <row r="400" spans="6:48" ht="19.5" x14ac:dyDescent="0.4">
      <c r="T400" s="26"/>
      <c r="U400" s="15"/>
      <c r="Y400" s="115"/>
      <c r="Z400" s="117"/>
      <c r="AA400" s="123"/>
      <c r="AB400" s="123"/>
      <c r="AC400" s="123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15"/>
      <c r="AR400" s="25">
        <v>45276</v>
      </c>
      <c r="AS400" s="15" t="s">
        <v>162</v>
      </c>
      <c r="AV400" s="114"/>
    </row>
    <row r="401" spans="9:48" ht="19.5" x14ac:dyDescent="0.4">
      <c r="L401" s="115"/>
      <c r="M401" s="115"/>
      <c r="N401" s="115"/>
      <c r="O401" s="115"/>
      <c r="P401" s="115"/>
      <c r="Q401" s="115"/>
      <c r="R401" s="115"/>
      <c r="S401" s="115"/>
      <c r="T401" s="17"/>
      <c r="U401" s="15"/>
      <c r="Y401" s="115"/>
      <c r="Z401" s="117"/>
      <c r="AA401" s="123"/>
      <c r="AB401" s="123"/>
      <c r="AC401" s="123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115"/>
      <c r="AR401" s="25"/>
      <c r="AS401" s="15"/>
      <c r="AV401" s="114"/>
    </row>
    <row r="402" spans="9:48" ht="19.5" x14ac:dyDescent="0.4">
      <c r="K402" s="115"/>
      <c r="L402" s="115"/>
      <c r="M402" s="115"/>
      <c r="N402" s="115"/>
      <c r="O402" s="115"/>
      <c r="P402" s="115"/>
      <c r="Q402" s="115"/>
      <c r="R402" s="115"/>
      <c r="S402" s="115"/>
      <c r="T402" s="26"/>
      <c r="U402" s="15"/>
      <c r="Y402" s="115"/>
      <c r="Z402" s="117"/>
      <c r="AA402" s="123"/>
      <c r="AB402" s="123"/>
      <c r="AC402" s="123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115"/>
      <c r="AR402" s="25"/>
      <c r="AS402" s="15"/>
      <c r="AV402" s="114"/>
    </row>
    <row r="403" spans="9:48" ht="19.5" x14ac:dyDescent="0.4">
      <c r="K403" s="115"/>
      <c r="L403" s="115"/>
      <c r="M403" s="115"/>
      <c r="N403" s="115"/>
      <c r="O403" s="115"/>
      <c r="P403" s="115"/>
      <c r="Q403" s="115"/>
      <c r="R403" s="115"/>
      <c r="S403" s="115"/>
      <c r="T403" s="17"/>
      <c r="U403" s="15"/>
      <c r="Y403" s="115"/>
      <c r="Z403" s="117"/>
      <c r="AA403" s="123"/>
      <c r="AB403" s="123"/>
      <c r="AC403" s="123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25"/>
      <c r="AS403" s="15"/>
      <c r="AV403" s="114"/>
    </row>
    <row r="404" spans="9:48" ht="19.5" x14ac:dyDescent="0.4">
      <c r="T404" s="26"/>
      <c r="U404" s="15"/>
      <c r="Y404" s="115"/>
      <c r="Z404" s="117"/>
      <c r="AA404" s="123"/>
      <c r="AB404" s="123"/>
      <c r="AC404" s="123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25">
        <v>45276</v>
      </c>
      <c r="AS404" s="15" t="s">
        <v>162</v>
      </c>
      <c r="AV404" s="114"/>
    </row>
    <row r="405" spans="9:48" ht="19.5" x14ac:dyDescent="0.4">
      <c r="T405" s="26"/>
      <c r="U405" s="15"/>
      <c r="Y405" s="115"/>
      <c r="Z405" s="117"/>
      <c r="AA405" s="123"/>
      <c r="AB405" s="123"/>
      <c r="AC405" s="123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115"/>
      <c r="AR405" s="25">
        <v>45276</v>
      </c>
      <c r="AS405" s="15" t="s">
        <v>162</v>
      </c>
      <c r="AV405" s="114"/>
    </row>
    <row r="406" spans="9:48" ht="19.5" x14ac:dyDescent="0.4">
      <c r="T406" s="26"/>
      <c r="U406" s="15"/>
      <c r="Y406" s="115"/>
      <c r="Z406" s="117"/>
      <c r="AA406" s="123"/>
      <c r="AB406" s="123"/>
      <c r="AC406" s="123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15"/>
      <c r="AR406" s="25">
        <v>45276</v>
      </c>
      <c r="AS406" s="15" t="s">
        <v>162</v>
      </c>
      <c r="AV406" s="114"/>
    </row>
    <row r="407" spans="9:48" ht="19.5" x14ac:dyDescent="0.4">
      <c r="T407" s="26"/>
      <c r="U407" s="15"/>
      <c r="Y407" s="115"/>
      <c r="Z407" s="117"/>
      <c r="AA407" s="123"/>
      <c r="AB407" s="123"/>
      <c r="AC407" s="123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15"/>
      <c r="AR407" s="25"/>
      <c r="AS407" s="15"/>
      <c r="AV407" s="114"/>
    </row>
    <row r="408" spans="9:48" ht="19.5" x14ac:dyDescent="0.4">
      <c r="L408" s="115"/>
      <c r="M408" s="115"/>
      <c r="N408" s="115"/>
      <c r="O408" s="115"/>
      <c r="P408" s="115"/>
      <c r="Q408" s="115"/>
      <c r="R408" s="115"/>
      <c r="S408" s="115"/>
      <c r="T408" s="17"/>
      <c r="U408" s="15"/>
      <c r="Y408" s="115"/>
      <c r="Z408" s="117"/>
      <c r="AA408" s="123"/>
      <c r="AB408" s="123"/>
      <c r="AC408" s="123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115"/>
      <c r="AR408" s="25"/>
      <c r="AS408" s="15"/>
      <c r="AV408" s="114"/>
    </row>
    <row r="409" spans="9:48" ht="19.5" x14ac:dyDescent="0.4">
      <c r="T409" s="26"/>
      <c r="U409" s="15"/>
      <c r="Y409" s="115"/>
      <c r="Z409" s="117"/>
      <c r="AA409" s="123"/>
      <c r="AB409" s="123"/>
      <c r="AC409" s="123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115"/>
      <c r="AR409" s="25">
        <v>45276</v>
      </c>
      <c r="AS409" s="15" t="s">
        <v>162</v>
      </c>
      <c r="AV409" s="114"/>
    </row>
    <row r="410" spans="9:48" ht="19.5" x14ac:dyDescent="0.4">
      <c r="T410" s="26"/>
      <c r="U410" s="15"/>
      <c r="Y410" s="115"/>
      <c r="Z410" s="117"/>
      <c r="AA410" s="123"/>
      <c r="AB410" s="123"/>
      <c r="AC410" s="123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15"/>
      <c r="AR410" s="25">
        <v>45276</v>
      </c>
      <c r="AS410" s="15" t="s">
        <v>162</v>
      </c>
      <c r="AV410" s="114"/>
    </row>
    <row r="411" spans="9:48" ht="19.5" x14ac:dyDescent="0.4">
      <c r="L411" s="115"/>
      <c r="M411" s="115"/>
      <c r="N411" s="115"/>
      <c r="O411" s="115"/>
      <c r="P411" s="115"/>
      <c r="Q411" s="115"/>
      <c r="R411" s="115"/>
      <c r="S411" s="115"/>
      <c r="T411" s="17"/>
      <c r="U411" s="15"/>
      <c r="Y411" s="115"/>
      <c r="Z411" s="117"/>
      <c r="AA411" s="123"/>
      <c r="AB411" s="123"/>
      <c r="AC411" s="123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25"/>
      <c r="AS411" s="15"/>
      <c r="AV411" s="114"/>
    </row>
    <row r="412" spans="9:48" ht="19.5" x14ac:dyDescent="0.4"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26"/>
      <c r="U412" s="15"/>
      <c r="Y412" s="115"/>
      <c r="Z412" s="117"/>
      <c r="AA412" s="123"/>
      <c r="AB412" s="123"/>
      <c r="AC412" s="123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15"/>
      <c r="AR412" s="25"/>
      <c r="AS412" s="15"/>
      <c r="AV412" s="114"/>
    </row>
    <row r="413" spans="9:48" ht="19.5" x14ac:dyDescent="0.4"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7"/>
      <c r="U413" s="15"/>
      <c r="Y413" s="115"/>
      <c r="Z413" s="117"/>
      <c r="AA413" s="123"/>
      <c r="AB413" s="123"/>
      <c r="AC413" s="123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25"/>
      <c r="AS413" s="15"/>
      <c r="AV413" s="114"/>
    </row>
    <row r="414" spans="9:48" ht="19.5" x14ac:dyDescent="0.4"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26"/>
      <c r="U414" s="15"/>
      <c r="Y414" s="115"/>
      <c r="Z414" s="117"/>
      <c r="AA414" s="123"/>
      <c r="AB414" s="123"/>
      <c r="AC414" s="123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15"/>
      <c r="AR414" s="25"/>
      <c r="AS414" s="15"/>
      <c r="AV414" s="114"/>
    </row>
    <row r="415" spans="9:48" ht="19.5" x14ac:dyDescent="0.4">
      <c r="T415" s="26"/>
      <c r="U415" s="15"/>
      <c r="Y415" s="115"/>
      <c r="Z415" s="117"/>
      <c r="AA415" s="123"/>
      <c r="AB415" s="123"/>
      <c r="AC415" s="123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 t="s">
        <v>169</v>
      </c>
      <c r="AR415" s="13">
        <f>SUBTOTAL(3,AR378:AR410)</f>
        <v>17</v>
      </c>
      <c r="AS415" s="15">
        <f>SUBTOTAL(3,AS378:AS410)</f>
        <v>17</v>
      </c>
      <c r="AV415" s="114"/>
    </row>
    <row r="416" spans="9:48" ht="19.5" x14ac:dyDescent="0.4"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26"/>
      <c r="U416" s="15"/>
      <c r="Y416" s="115"/>
      <c r="Z416" s="117"/>
      <c r="AA416" s="123"/>
      <c r="AB416" s="123"/>
      <c r="AC416" s="123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15"/>
      <c r="AR416" s="13"/>
      <c r="AS416" s="15"/>
      <c r="AV416" s="114"/>
    </row>
    <row r="417" spans="6:48" ht="19.5" x14ac:dyDescent="0.4">
      <c r="T417" s="26"/>
      <c r="U417" s="15"/>
      <c r="Y417" s="115"/>
      <c r="Z417" s="117"/>
      <c r="AA417" s="123"/>
      <c r="AB417" s="123"/>
      <c r="AC417" s="123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25">
        <v>45277</v>
      </c>
      <c r="AS417" s="15" t="s">
        <v>162</v>
      </c>
      <c r="AV417" s="114"/>
    </row>
    <row r="418" spans="6:48" ht="19.5" x14ac:dyDescent="0.4">
      <c r="L418" s="115"/>
      <c r="M418" s="115"/>
      <c r="N418" s="115"/>
      <c r="O418" s="115"/>
      <c r="P418" s="115"/>
      <c r="Q418" s="115"/>
      <c r="R418" s="115"/>
      <c r="S418" s="115"/>
      <c r="T418" s="17"/>
      <c r="U418" s="15"/>
      <c r="Y418" s="115"/>
      <c r="Z418" s="117"/>
      <c r="AA418" s="123"/>
      <c r="AB418" s="123"/>
      <c r="AC418" s="123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25"/>
      <c r="AS418" s="15"/>
      <c r="AV418" s="114"/>
    </row>
    <row r="419" spans="6:48" ht="19.5" x14ac:dyDescent="0.4"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26"/>
      <c r="U419" s="15"/>
      <c r="Y419" s="115"/>
      <c r="Z419" s="117"/>
      <c r="AA419" s="123"/>
      <c r="AB419" s="123"/>
      <c r="AC419" s="123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25"/>
      <c r="AS419" s="15"/>
      <c r="AV419" s="114"/>
    </row>
    <row r="420" spans="6:48" ht="19.5" x14ac:dyDescent="0.4"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7"/>
      <c r="U420" s="15"/>
      <c r="Y420" s="115"/>
      <c r="Z420" s="117"/>
      <c r="AA420" s="123"/>
      <c r="AB420" s="123"/>
      <c r="AC420" s="123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15"/>
      <c r="AR420" s="25"/>
      <c r="AS420" s="15"/>
      <c r="AV420" s="114"/>
    </row>
    <row r="421" spans="6:48" ht="19.5" x14ac:dyDescent="0.4"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7"/>
      <c r="U421" s="15"/>
      <c r="Y421" s="115"/>
      <c r="Z421" s="117"/>
      <c r="AA421" s="123"/>
      <c r="AB421" s="123"/>
      <c r="AC421" s="123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25"/>
      <c r="AS421" s="15"/>
      <c r="AV421" s="114"/>
    </row>
    <row r="422" spans="6:48" ht="19.5" x14ac:dyDescent="0.4">
      <c r="T422" s="26"/>
      <c r="U422" s="15"/>
      <c r="Y422" s="115"/>
      <c r="Z422" s="117"/>
      <c r="AA422" s="123"/>
      <c r="AB422" s="123"/>
      <c r="AC422" s="123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25">
        <v>45277</v>
      </c>
      <c r="AS422" s="15" t="s">
        <v>162</v>
      </c>
      <c r="AV422" s="114"/>
    </row>
    <row r="423" spans="6:48" ht="19.5" x14ac:dyDescent="0.4">
      <c r="K423" s="115"/>
      <c r="L423" s="115"/>
      <c r="M423" s="115"/>
      <c r="N423" s="115"/>
      <c r="O423" s="115"/>
      <c r="P423" s="115"/>
      <c r="Q423" s="115"/>
      <c r="R423" s="115"/>
      <c r="S423" s="115"/>
      <c r="T423" s="17"/>
      <c r="U423" s="15"/>
      <c r="Y423" s="115"/>
      <c r="Z423" s="117"/>
      <c r="AA423" s="123"/>
      <c r="AB423" s="123"/>
      <c r="AC423" s="123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115"/>
      <c r="AR423" s="131"/>
      <c r="AS423" s="13"/>
      <c r="AV423" s="114"/>
    </row>
    <row r="424" spans="6:48" ht="19.5" x14ac:dyDescent="0.4">
      <c r="T424" s="26"/>
      <c r="U424" s="15"/>
      <c r="Y424" s="115"/>
      <c r="Z424" s="117"/>
      <c r="AA424" s="123"/>
      <c r="AB424" s="123"/>
      <c r="AC424" s="123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5"/>
      <c r="AR424" s="26">
        <v>45277</v>
      </c>
      <c r="AS424" s="13" t="s">
        <v>162</v>
      </c>
      <c r="AV424" s="114"/>
    </row>
    <row r="425" spans="6:48" ht="19.5" x14ac:dyDescent="0.4">
      <c r="T425" s="26"/>
      <c r="U425" s="15"/>
      <c r="Y425" s="115"/>
      <c r="Z425" s="117"/>
      <c r="AA425" s="123"/>
      <c r="AB425" s="123"/>
      <c r="AC425" s="123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26">
        <v>45277</v>
      </c>
      <c r="AS425" s="15" t="s">
        <v>162</v>
      </c>
      <c r="AV425" s="114"/>
    </row>
    <row r="426" spans="6:48" ht="19.5" x14ac:dyDescent="0.4"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26"/>
      <c r="U426" s="15"/>
      <c r="Y426" s="115"/>
      <c r="Z426" s="117"/>
      <c r="AA426" s="123"/>
      <c r="AB426" s="123"/>
      <c r="AC426" s="123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26"/>
      <c r="AS426" s="15"/>
      <c r="AV426" s="114"/>
    </row>
    <row r="427" spans="6:48" ht="19.5" x14ac:dyDescent="0.4">
      <c r="T427" s="26"/>
      <c r="U427" s="15"/>
      <c r="Y427" s="115"/>
      <c r="Z427" s="117"/>
      <c r="AA427" s="123"/>
      <c r="AB427" s="123"/>
      <c r="AC427" s="123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26">
        <v>45277</v>
      </c>
      <c r="AS427" s="15" t="s">
        <v>162</v>
      </c>
      <c r="AV427" s="114"/>
    </row>
    <row r="428" spans="6:48" ht="19.5" x14ac:dyDescent="0.4">
      <c r="T428" s="26"/>
      <c r="U428" s="15"/>
      <c r="Y428" s="115"/>
      <c r="Z428" s="117"/>
      <c r="AA428" s="123"/>
      <c r="AB428" s="123"/>
      <c r="AC428" s="123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5" t="s">
        <v>160</v>
      </c>
      <c r="AR428" s="17">
        <f>SUBTOTAL(3,AR417:AR427)</f>
        <v>5</v>
      </c>
      <c r="AS428" s="15">
        <f>SUBTOTAL(3,AS417:AS427)</f>
        <v>5</v>
      </c>
      <c r="AV428" s="114"/>
    </row>
    <row r="429" spans="6:48" ht="19.5" x14ac:dyDescent="0.4"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26"/>
      <c r="U429" s="15"/>
      <c r="Y429" s="115"/>
      <c r="Z429" s="117"/>
      <c r="AA429" s="123"/>
      <c r="AB429" s="123"/>
      <c r="AC429" s="123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7"/>
      <c r="AS429" s="15"/>
      <c r="AV429" s="114"/>
    </row>
    <row r="430" spans="6:48" ht="19.5" x14ac:dyDescent="0.4"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26"/>
      <c r="U430" s="15"/>
      <c r="Y430" s="115"/>
      <c r="Z430" s="117"/>
      <c r="AA430" s="123"/>
      <c r="AB430" s="123"/>
      <c r="AC430" s="123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7"/>
      <c r="AS430" s="15"/>
      <c r="AV430" s="114"/>
    </row>
    <row r="431" spans="6:48" ht="19.5" x14ac:dyDescent="0.4">
      <c r="T431" s="26"/>
      <c r="U431" s="15"/>
      <c r="Y431" s="115"/>
      <c r="Z431" s="117"/>
      <c r="AA431" s="123"/>
      <c r="AB431" s="123"/>
      <c r="AC431" s="123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115"/>
      <c r="AR431" s="26">
        <v>45278</v>
      </c>
      <c r="AS431" s="15" t="s">
        <v>164</v>
      </c>
      <c r="AV431" s="114"/>
    </row>
    <row r="432" spans="6:48" ht="19.5" x14ac:dyDescent="0.4">
      <c r="T432" s="26"/>
      <c r="U432" s="15"/>
      <c r="Y432" s="115"/>
      <c r="Z432" s="117"/>
      <c r="AA432" s="123"/>
      <c r="AB432" s="123"/>
      <c r="AC432" s="123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26">
        <v>45278</v>
      </c>
      <c r="AS432" s="15" t="s">
        <v>164</v>
      </c>
      <c r="AV432" s="114"/>
    </row>
    <row r="433" spans="6:48" ht="19.5" x14ac:dyDescent="0.4"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26"/>
      <c r="U433" s="15"/>
      <c r="Y433" s="115"/>
      <c r="Z433" s="117"/>
      <c r="AA433" s="123"/>
      <c r="AB433" s="123"/>
      <c r="AC433" s="123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115"/>
      <c r="AR433" s="26"/>
      <c r="AS433" s="15"/>
      <c r="AV433" s="114"/>
    </row>
    <row r="434" spans="6:48" ht="19.5" x14ac:dyDescent="0.4">
      <c r="T434" s="26"/>
      <c r="U434" s="15"/>
      <c r="Y434" s="115"/>
      <c r="Z434" s="117"/>
      <c r="AA434" s="123"/>
      <c r="AB434" s="123"/>
      <c r="AC434" s="123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115"/>
      <c r="AR434" s="26">
        <v>45278</v>
      </c>
      <c r="AS434" s="15" t="s">
        <v>162</v>
      </c>
      <c r="AV434" s="114"/>
    </row>
    <row r="435" spans="6:48" ht="19.5" x14ac:dyDescent="0.4">
      <c r="K435" s="115"/>
      <c r="L435" s="115"/>
      <c r="M435" s="115"/>
      <c r="N435" s="115"/>
      <c r="O435" s="115"/>
      <c r="P435" s="115"/>
      <c r="Q435" s="115"/>
      <c r="R435" s="115"/>
      <c r="S435" s="115"/>
      <c r="T435" s="17"/>
      <c r="U435" s="15"/>
      <c r="Y435" s="115"/>
      <c r="Z435" s="117"/>
      <c r="AA435" s="123"/>
      <c r="AB435" s="123"/>
      <c r="AC435" s="123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26"/>
      <c r="AS435" s="15"/>
      <c r="AV435" s="114"/>
    </row>
    <row r="436" spans="6:48" ht="19.5" x14ac:dyDescent="0.4"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26"/>
      <c r="U436" s="15"/>
      <c r="Y436" s="115"/>
      <c r="Z436" s="117"/>
      <c r="AA436" s="123"/>
      <c r="AB436" s="123"/>
      <c r="AC436" s="123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26"/>
      <c r="AS436" s="15"/>
      <c r="AV436" s="114"/>
    </row>
    <row r="437" spans="6:48" ht="19.5" x14ac:dyDescent="0.4"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7"/>
      <c r="U437" s="15"/>
      <c r="Y437" s="115"/>
      <c r="Z437" s="117"/>
      <c r="AA437" s="123"/>
      <c r="AB437" s="123"/>
      <c r="AC437" s="123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26"/>
      <c r="AS437" s="15"/>
      <c r="AV437" s="114"/>
    </row>
    <row r="438" spans="6:48" ht="19.5" x14ac:dyDescent="0.4">
      <c r="T438" s="26"/>
      <c r="U438" s="15"/>
      <c r="Y438" s="115"/>
      <c r="Z438" s="117"/>
      <c r="AA438" s="123"/>
      <c r="AB438" s="123"/>
      <c r="AC438" s="123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26">
        <v>45278</v>
      </c>
      <c r="AS438" s="15" t="s">
        <v>142</v>
      </c>
      <c r="AV438" s="114"/>
    </row>
    <row r="439" spans="6:48" ht="19.5" x14ac:dyDescent="0.4">
      <c r="T439" s="26"/>
      <c r="U439" s="15"/>
      <c r="Y439" s="115"/>
      <c r="Z439" s="117"/>
      <c r="AA439" s="123"/>
      <c r="AB439" s="123"/>
      <c r="AC439" s="123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26">
        <v>45278</v>
      </c>
      <c r="AS439" s="15" t="s">
        <v>162</v>
      </c>
      <c r="AV439" s="114"/>
    </row>
    <row r="440" spans="6:48" ht="19.5" x14ac:dyDescent="0.4">
      <c r="T440" s="26"/>
      <c r="U440" s="15"/>
      <c r="Y440" s="115"/>
      <c r="Z440" s="117"/>
      <c r="AA440" s="123"/>
      <c r="AB440" s="123"/>
      <c r="AC440" s="123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26">
        <v>45278</v>
      </c>
      <c r="AS440" s="15" t="s">
        <v>162</v>
      </c>
      <c r="AV440" s="114"/>
    </row>
    <row r="441" spans="6:48" ht="19.5" x14ac:dyDescent="0.4">
      <c r="K441" s="115"/>
      <c r="L441" s="115"/>
      <c r="M441" s="115"/>
      <c r="N441" s="115"/>
      <c r="O441" s="115"/>
      <c r="P441" s="115"/>
      <c r="Q441" s="115"/>
      <c r="R441" s="115"/>
      <c r="S441" s="115"/>
      <c r="T441" s="17"/>
      <c r="U441" s="15"/>
      <c r="Y441" s="115"/>
      <c r="Z441" s="117"/>
      <c r="AA441" s="123"/>
      <c r="AB441" s="123"/>
      <c r="AC441" s="123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26"/>
      <c r="AS441" s="15"/>
      <c r="AV441" s="114"/>
    </row>
    <row r="442" spans="6:48" ht="19.5" x14ac:dyDescent="0.4"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26"/>
      <c r="U442" s="15"/>
      <c r="Y442" s="115"/>
      <c r="Z442" s="117"/>
      <c r="AA442" s="123"/>
      <c r="AB442" s="123"/>
      <c r="AC442" s="123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26"/>
      <c r="AS442" s="15"/>
      <c r="AV442" s="114"/>
    </row>
    <row r="443" spans="6:48" ht="19.5" x14ac:dyDescent="0.4"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26"/>
      <c r="U443" s="15"/>
      <c r="Y443" s="115"/>
      <c r="Z443" s="117"/>
      <c r="AA443" s="123"/>
      <c r="AB443" s="123"/>
      <c r="AC443" s="123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26"/>
      <c r="AS443" s="15"/>
      <c r="AV443" s="114"/>
    </row>
    <row r="444" spans="6:48" ht="19.5" x14ac:dyDescent="0.4"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7"/>
      <c r="U444" s="15"/>
      <c r="Y444" s="115"/>
      <c r="Z444" s="117"/>
      <c r="AA444" s="123"/>
      <c r="AB444" s="123"/>
      <c r="AC444" s="123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26"/>
      <c r="AS444" s="15"/>
      <c r="AV444" s="114"/>
    </row>
    <row r="445" spans="6:48" ht="19.5" x14ac:dyDescent="0.4"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26"/>
      <c r="U445" s="15"/>
      <c r="Y445" s="115"/>
      <c r="Z445" s="117"/>
      <c r="AA445" s="123"/>
      <c r="AB445" s="123"/>
      <c r="AC445" s="123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26"/>
      <c r="AS445" s="15"/>
      <c r="AV445" s="114"/>
    </row>
    <row r="446" spans="6:48" ht="19.5" x14ac:dyDescent="0.4">
      <c r="T446" s="26"/>
      <c r="U446" s="15"/>
      <c r="Y446" s="115"/>
      <c r="Z446" s="117"/>
      <c r="AA446" s="123"/>
      <c r="AB446" s="123"/>
      <c r="AC446" s="123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26">
        <v>45278</v>
      </c>
      <c r="AS446" s="15" t="s">
        <v>162</v>
      </c>
      <c r="AV446" s="114"/>
    </row>
    <row r="447" spans="6:48" ht="19.5" x14ac:dyDescent="0.4"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26"/>
      <c r="U447" s="15"/>
      <c r="Y447" s="115"/>
      <c r="Z447" s="117"/>
      <c r="AA447" s="123"/>
      <c r="AB447" s="123"/>
      <c r="AC447" s="123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26"/>
      <c r="AS447" s="15"/>
      <c r="AV447" s="114"/>
    </row>
    <row r="448" spans="6:48" ht="19.5" x14ac:dyDescent="0.4">
      <c r="T448" s="26"/>
      <c r="U448" s="15"/>
      <c r="Y448" s="115"/>
      <c r="Z448" s="117"/>
      <c r="AA448" s="123"/>
      <c r="AB448" s="123"/>
      <c r="AC448" s="123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26">
        <v>45278</v>
      </c>
      <c r="AS448" s="15" t="s">
        <v>163</v>
      </c>
      <c r="AV448" s="114"/>
    </row>
    <row r="449" spans="6:48" ht="19.5" x14ac:dyDescent="0.4">
      <c r="T449" s="26"/>
      <c r="U449" s="15"/>
      <c r="Y449" s="115"/>
      <c r="Z449" s="117"/>
      <c r="AA449" s="123"/>
      <c r="AB449" s="123"/>
      <c r="AC449" s="123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26">
        <v>45278</v>
      </c>
      <c r="AS449" s="105" t="s">
        <v>163</v>
      </c>
      <c r="AV449" s="114"/>
    </row>
    <row r="450" spans="6:48" ht="19.5" x14ac:dyDescent="0.4">
      <c r="T450" s="25"/>
      <c r="U450" s="13"/>
      <c r="Y450" s="115"/>
      <c r="Z450" s="117"/>
      <c r="AA450" s="123"/>
      <c r="AB450" s="123"/>
      <c r="AC450" s="123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26">
        <v>45278</v>
      </c>
      <c r="AS450" s="15" t="s">
        <v>163</v>
      </c>
      <c r="AV450" s="114"/>
    </row>
    <row r="451" spans="6:48" ht="19.5" x14ac:dyDescent="0.4"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25"/>
      <c r="U451" s="13"/>
      <c r="Y451" s="115"/>
      <c r="Z451" s="117"/>
      <c r="AA451" s="123"/>
      <c r="AB451" s="123"/>
      <c r="AC451" s="123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26"/>
      <c r="AS451" s="15"/>
      <c r="AV451" s="114"/>
    </row>
    <row r="452" spans="6:48" ht="19.5" x14ac:dyDescent="0.4"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25"/>
      <c r="U452" s="13"/>
      <c r="Y452" s="115"/>
      <c r="Z452" s="117"/>
      <c r="AA452" s="123"/>
      <c r="AB452" s="123"/>
      <c r="AC452" s="123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26"/>
      <c r="AS452" s="15"/>
      <c r="AV452" s="114"/>
    </row>
    <row r="453" spans="6:48" ht="19.5" x14ac:dyDescent="0.4"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25"/>
      <c r="U453" s="13"/>
      <c r="Y453" s="115"/>
      <c r="Z453" s="117"/>
      <c r="AA453" s="123"/>
      <c r="AB453" s="123"/>
      <c r="AC453" s="123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26"/>
      <c r="AS453" s="15"/>
      <c r="AV453" s="114"/>
    </row>
    <row r="454" spans="6:48" ht="19.5" x14ac:dyDescent="0.4"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25"/>
      <c r="U454" s="13"/>
      <c r="Y454" s="115"/>
      <c r="Z454" s="117"/>
      <c r="AA454" s="123"/>
      <c r="AB454" s="123"/>
      <c r="AC454" s="123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26"/>
      <c r="AS454" s="15"/>
      <c r="AV454" s="114"/>
    </row>
    <row r="455" spans="6:48" ht="19.5" x14ac:dyDescent="0.4"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25"/>
      <c r="U455" s="13"/>
      <c r="Y455" s="115"/>
      <c r="Z455" s="117"/>
      <c r="AA455" s="123"/>
      <c r="AB455" s="123"/>
      <c r="AC455" s="123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26"/>
      <c r="AS455" s="15"/>
      <c r="AV455" s="114"/>
    </row>
    <row r="456" spans="6:48" ht="19.5" x14ac:dyDescent="0.4"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25"/>
      <c r="U456" s="13"/>
      <c r="Y456" s="115"/>
      <c r="Z456" s="117"/>
      <c r="AA456" s="123"/>
      <c r="AB456" s="123"/>
      <c r="AC456" s="123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26"/>
      <c r="AS456" s="15"/>
      <c r="AV456" s="114"/>
    </row>
    <row r="457" spans="6:48" ht="19.5" x14ac:dyDescent="0.4">
      <c r="T457" s="25"/>
      <c r="U457" s="13"/>
      <c r="Y457" s="115"/>
      <c r="Z457" s="117"/>
      <c r="AA457" s="123"/>
      <c r="AB457" s="123"/>
      <c r="AC457" s="123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26">
        <v>45278</v>
      </c>
      <c r="AS457" s="15" t="s">
        <v>163</v>
      </c>
      <c r="AV457" s="114"/>
    </row>
    <row r="458" spans="6:48" ht="19.5" x14ac:dyDescent="0.4">
      <c r="T458" s="25"/>
      <c r="U458" s="13"/>
      <c r="Y458" s="115"/>
      <c r="Z458" s="117"/>
      <c r="AA458" s="123"/>
      <c r="AB458" s="123"/>
      <c r="AC458" s="123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26"/>
      <c r="AS458" s="15"/>
      <c r="AV458" s="114"/>
    </row>
    <row r="459" spans="6:48" ht="19.5" x14ac:dyDescent="0.4">
      <c r="K459" s="115"/>
      <c r="L459" s="115"/>
      <c r="M459" s="115"/>
      <c r="N459" s="115"/>
      <c r="O459" s="115"/>
      <c r="P459" s="115"/>
      <c r="Q459" s="115"/>
      <c r="R459" s="115"/>
      <c r="S459" s="115"/>
      <c r="T459" s="13"/>
      <c r="U459" s="13"/>
      <c r="Y459" s="115"/>
      <c r="Z459" s="117"/>
      <c r="AA459" s="123"/>
      <c r="AB459" s="123"/>
      <c r="AC459" s="123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26"/>
      <c r="AS459" s="15"/>
      <c r="AV459" s="114"/>
    </row>
    <row r="460" spans="6:48" ht="19.5" x14ac:dyDescent="0.4">
      <c r="T460" s="25"/>
      <c r="U460" s="13"/>
      <c r="Y460" s="115"/>
      <c r="Z460" s="117"/>
      <c r="AA460" s="123"/>
      <c r="AB460" s="123"/>
      <c r="AC460" s="123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26">
        <v>45278</v>
      </c>
      <c r="AS460" s="15" t="s">
        <v>163</v>
      </c>
      <c r="AV460" s="114"/>
    </row>
    <row r="461" spans="6:48" ht="19.5" x14ac:dyDescent="0.4">
      <c r="K461" s="115"/>
      <c r="L461" s="115"/>
      <c r="M461" s="115"/>
      <c r="N461" s="115"/>
      <c r="O461" s="115"/>
      <c r="P461" s="115"/>
      <c r="Q461" s="115"/>
      <c r="R461" s="115"/>
      <c r="S461" s="115"/>
      <c r="T461" s="13"/>
      <c r="U461" s="13"/>
      <c r="Y461" s="115"/>
      <c r="Z461" s="117"/>
      <c r="AA461" s="123"/>
      <c r="AB461" s="123"/>
      <c r="AC461" s="123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26"/>
      <c r="AS461" s="13"/>
      <c r="AV461" s="114"/>
    </row>
    <row r="462" spans="6:48" ht="19.5" x14ac:dyDescent="0.4">
      <c r="T462" s="25"/>
      <c r="U462" s="13"/>
      <c r="Y462" s="115"/>
      <c r="Z462" s="117"/>
      <c r="AA462" s="123"/>
      <c r="AB462" s="123"/>
      <c r="AC462" s="123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 t="s">
        <v>153</v>
      </c>
      <c r="AR462" s="17">
        <f>SUBTOTAL(3,AR431:AR460)</f>
        <v>12</v>
      </c>
      <c r="AS462" s="13">
        <f>SUBTOTAL(3,AS431:AS460)</f>
        <v>12</v>
      </c>
      <c r="AV462" s="114"/>
    </row>
    <row r="463" spans="6:48" ht="19.5" x14ac:dyDescent="0.4">
      <c r="K463" s="115"/>
      <c r="L463" s="115"/>
      <c r="M463" s="115"/>
      <c r="N463" s="115"/>
      <c r="O463" s="115"/>
      <c r="P463" s="115"/>
      <c r="Q463" s="115"/>
      <c r="R463" s="115"/>
      <c r="S463" s="115"/>
      <c r="T463" s="13"/>
      <c r="U463" s="13"/>
      <c r="Y463" s="115"/>
      <c r="Z463" s="117"/>
      <c r="AA463" s="123"/>
      <c r="AB463" s="123"/>
      <c r="AC463" s="123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7"/>
      <c r="AS463" s="13"/>
      <c r="AV463" s="114"/>
    </row>
    <row r="464" spans="6:48" ht="19.5" x14ac:dyDescent="0.4">
      <c r="T464" s="25"/>
      <c r="U464" s="13"/>
      <c r="Y464" s="115"/>
      <c r="Z464" s="117"/>
      <c r="AA464" s="123"/>
      <c r="AB464" s="123"/>
      <c r="AC464" s="123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26">
        <v>45279</v>
      </c>
      <c r="AS464" s="25" t="s">
        <v>162</v>
      </c>
      <c r="AV464" s="114"/>
    </row>
    <row r="465" spans="11:48" ht="19.5" x14ac:dyDescent="0.4">
      <c r="T465" s="25"/>
      <c r="U465" s="13"/>
      <c r="Y465" s="115"/>
      <c r="Z465" s="117"/>
      <c r="AA465" s="123"/>
      <c r="AB465" s="123"/>
      <c r="AC465" s="123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26">
        <v>45279</v>
      </c>
      <c r="AS465" s="13" t="s">
        <v>162</v>
      </c>
      <c r="AV465" s="114"/>
    </row>
    <row r="466" spans="11:48" ht="19.5" x14ac:dyDescent="0.4">
      <c r="K466" s="115"/>
      <c r="L466" s="115"/>
      <c r="M466" s="115"/>
      <c r="N466" s="115"/>
      <c r="O466" s="115"/>
      <c r="P466" s="115"/>
      <c r="Q466" s="115"/>
      <c r="R466" s="115"/>
      <c r="S466" s="115"/>
      <c r="T466" s="20"/>
      <c r="U466" s="13"/>
      <c r="Y466" s="115"/>
      <c r="Z466" s="117"/>
      <c r="AA466" s="123"/>
      <c r="AB466" s="123"/>
      <c r="AC466" s="123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26"/>
      <c r="AS466" s="13"/>
      <c r="AV466" s="114"/>
    </row>
    <row r="467" spans="11:48" ht="19.5" x14ac:dyDescent="0.4">
      <c r="K467" s="115"/>
      <c r="L467" s="115"/>
      <c r="M467" s="115"/>
      <c r="N467" s="115"/>
      <c r="O467" s="115"/>
      <c r="P467" s="115"/>
      <c r="Q467" s="115"/>
      <c r="R467" s="115"/>
      <c r="S467" s="115"/>
      <c r="T467" s="20"/>
      <c r="U467" s="13"/>
      <c r="Y467" s="115"/>
      <c r="Z467" s="117"/>
      <c r="AA467" s="123"/>
      <c r="AB467" s="123"/>
      <c r="AC467" s="123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26"/>
      <c r="AS467" s="13"/>
      <c r="AV467" s="114"/>
    </row>
    <row r="468" spans="11:48" ht="19.5" x14ac:dyDescent="0.4">
      <c r="T468" s="26"/>
      <c r="U468" s="13"/>
      <c r="Y468" s="115"/>
      <c r="Z468" s="117"/>
      <c r="AA468" s="123"/>
      <c r="AB468" s="123"/>
      <c r="AC468" s="123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26">
        <v>45279</v>
      </c>
      <c r="AS468" s="13" t="s">
        <v>162</v>
      </c>
      <c r="AV468" s="114"/>
    </row>
    <row r="469" spans="11:48" ht="19.5" x14ac:dyDescent="0.4">
      <c r="T469" s="26"/>
      <c r="U469" s="13"/>
      <c r="Y469" s="115"/>
      <c r="Z469" s="117"/>
      <c r="AA469" s="123"/>
      <c r="AB469" s="123"/>
      <c r="AC469" s="123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26">
        <v>45279</v>
      </c>
      <c r="AS469" s="13" t="s">
        <v>162</v>
      </c>
      <c r="AV469" s="114"/>
    </row>
    <row r="470" spans="11:48" ht="19.5" x14ac:dyDescent="0.4">
      <c r="T470" s="129"/>
      <c r="U470" s="13"/>
      <c r="Y470" s="115"/>
      <c r="Z470" s="117"/>
      <c r="AA470" s="123"/>
      <c r="AB470" s="123"/>
      <c r="AC470" s="123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26"/>
      <c r="AS470" s="13"/>
      <c r="AV470" s="114"/>
    </row>
    <row r="471" spans="11:48" ht="19.5" x14ac:dyDescent="0.4">
      <c r="T471" s="26"/>
      <c r="U471" s="13"/>
      <c r="Y471" s="115"/>
      <c r="Z471" s="117"/>
      <c r="AA471" s="123"/>
      <c r="AB471" s="123"/>
      <c r="AC471" s="123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26">
        <v>45279</v>
      </c>
      <c r="AS471" s="13" t="s">
        <v>162</v>
      </c>
      <c r="AV471" s="114"/>
    </row>
    <row r="472" spans="11:48" ht="19.5" x14ac:dyDescent="0.4">
      <c r="T472" s="26"/>
      <c r="U472" s="13"/>
      <c r="Y472" s="115"/>
      <c r="Z472" s="117"/>
      <c r="AA472" s="123"/>
      <c r="AB472" s="123"/>
      <c r="AC472" s="123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26">
        <v>45279</v>
      </c>
      <c r="AS472" s="13" t="s">
        <v>162</v>
      </c>
      <c r="AV472" s="114"/>
    </row>
    <row r="473" spans="11:48" ht="19.5" x14ac:dyDescent="0.4">
      <c r="T473" s="26"/>
      <c r="U473" s="13"/>
      <c r="Y473" s="115"/>
      <c r="Z473" s="117"/>
      <c r="AA473" s="123"/>
      <c r="AB473" s="123"/>
      <c r="AC473" s="123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 t="s">
        <v>170</v>
      </c>
      <c r="AR473" s="17">
        <f>SUBTOTAL(3,AR464:AR472)</f>
        <v>6</v>
      </c>
      <c r="AS473" s="13">
        <f>SUBTOTAL(3,AS464:AS472)</f>
        <v>6</v>
      </c>
      <c r="AV473" s="114"/>
    </row>
    <row r="474" spans="11:48" ht="19.5" x14ac:dyDescent="0.4">
      <c r="T474" s="129"/>
      <c r="U474" s="13"/>
      <c r="Y474" s="115"/>
      <c r="Z474" s="117"/>
      <c r="AA474" s="123"/>
      <c r="AB474" s="123"/>
      <c r="AC474" s="123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7"/>
      <c r="AS474" s="13"/>
      <c r="AV474" s="114"/>
    </row>
    <row r="475" spans="11:48" ht="19.5" x14ac:dyDescent="0.4">
      <c r="T475" s="26"/>
      <c r="U475" s="13"/>
      <c r="Y475" s="115"/>
      <c r="Z475" s="117"/>
      <c r="AA475" s="123"/>
      <c r="AB475" s="123"/>
      <c r="AC475" s="123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26">
        <v>45280</v>
      </c>
      <c r="AS475" s="13" t="s">
        <v>162</v>
      </c>
      <c r="AV475" s="114"/>
    </row>
    <row r="476" spans="11:48" ht="19.5" x14ac:dyDescent="0.4">
      <c r="T476" s="26"/>
      <c r="U476" s="13"/>
      <c r="Y476" s="115"/>
      <c r="Z476" s="116"/>
      <c r="AA476" s="123"/>
      <c r="AB476" s="123"/>
      <c r="AC476" s="123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26">
        <v>45280</v>
      </c>
      <c r="AS476" s="13" t="s">
        <v>162</v>
      </c>
      <c r="AV476" s="114"/>
    </row>
    <row r="477" spans="11:48" ht="19.5" x14ac:dyDescent="0.4">
      <c r="T477" s="26"/>
      <c r="U477" s="13"/>
      <c r="Y477" s="115"/>
      <c r="Z477" s="116"/>
      <c r="AA477" s="123"/>
      <c r="AB477" s="123"/>
      <c r="AC477" s="123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26">
        <v>45280</v>
      </c>
      <c r="AS477" s="13" t="s">
        <v>162</v>
      </c>
      <c r="AV477" s="114"/>
    </row>
    <row r="478" spans="11:48" ht="19.5" x14ac:dyDescent="0.4">
      <c r="T478" s="26"/>
      <c r="U478" s="13"/>
      <c r="Y478" s="115"/>
      <c r="Z478" s="116"/>
      <c r="AA478" s="123"/>
      <c r="AB478" s="123"/>
      <c r="AC478" s="123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26">
        <v>45280</v>
      </c>
      <c r="AS478" s="13" t="s">
        <v>162</v>
      </c>
      <c r="AV478" s="114"/>
    </row>
    <row r="479" spans="11:48" ht="19.5" x14ac:dyDescent="0.4">
      <c r="T479" s="129"/>
      <c r="U479" s="13"/>
      <c r="Y479" s="115"/>
      <c r="Z479" s="116"/>
      <c r="AA479" s="123"/>
      <c r="AB479" s="123"/>
      <c r="AC479" s="123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26"/>
      <c r="AS479" s="13"/>
      <c r="AV479" s="114"/>
    </row>
    <row r="480" spans="11:48" ht="19.5" x14ac:dyDescent="0.4">
      <c r="T480" s="26"/>
      <c r="U480" s="13"/>
      <c r="Y480" s="115"/>
      <c r="Z480" s="116"/>
      <c r="AA480" s="123"/>
      <c r="AB480" s="123"/>
      <c r="AC480" s="123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26">
        <v>45280</v>
      </c>
      <c r="AS480" s="13" t="s">
        <v>162</v>
      </c>
      <c r="AV480" s="114"/>
    </row>
    <row r="481" spans="20:48" ht="19.5" x14ac:dyDescent="0.4">
      <c r="T481" s="130"/>
      <c r="U481" s="119"/>
      <c r="Y481" s="115"/>
      <c r="Z481" s="116"/>
      <c r="AA481" s="123"/>
      <c r="AB481" s="123"/>
      <c r="AC481" s="123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26"/>
      <c r="AS481" s="13"/>
      <c r="AV481" s="114"/>
    </row>
    <row r="482" spans="20:48" ht="19.5" x14ac:dyDescent="0.4">
      <c r="T482" s="130"/>
      <c r="U482" s="119"/>
      <c r="Y482" s="115"/>
      <c r="Z482" s="116"/>
      <c r="AA482" s="123"/>
      <c r="AB482" s="123"/>
      <c r="AC482" s="123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26"/>
      <c r="AS482" s="13"/>
      <c r="AV482" s="114"/>
    </row>
    <row r="483" spans="20:48" ht="19.5" x14ac:dyDescent="0.4">
      <c r="Y483" s="115"/>
      <c r="Z483" s="116"/>
      <c r="AA483" s="123"/>
      <c r="AB483" s="123"/>
      <c r="AC483" s="123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26">
        <v>45280</v>
      </c>
      <c r="AS483" s="13" t="s">
        <v>162</v>
      </c>
      <c r="AV483" s="114"/>
    </row>
    <row r="484" spans="20:48" ht="19.5" x14ac:dyDescent="0.4">
      <c r="Y484" s="115"/>
      <c r="Z484" s="116"/>
      <c r="AA484" s="123"/>
      <c r="AB484" s="123"/>
      <c r="AC484" s="123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26">
        <v>45280</v>
      </c>
      <c r="AS484" s="13" t="s">
        <v>162</v>
      </c>
      <c r="AV484" s="114"/>
    </row>
    <row r="485" spans="20:48" ht="19.5" x14ac:dyDescent="0.4">
      <c r="Y485" s="115"/>
      <c r="Z485" s="116"/>
      <c r="AA485" s="123"/>
      <c r="AB485" s="123"/>
      <c r="AC485" s="123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26">
        <v>45280</v>
      </c>
      <c r="AS485" s="13" t="s">
        <v>162</v>
      </c>
      <c r="AV485" s="114"/>
    </row>
    <row r="486" spans="20:48" ht="19.5" x14ac:dyDescent="0.4">
      <c r="X486" s="115"/>
      <c r="Y486" s="115"/>
      <c r="Z486" s="116"/>
      <c r="AA486" s="123"/>
      <c r="AB486" s="123"/>
      <c r="AC486" s="123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26">
        <v>45280</v>
      </c>
      <c r="AS486" s="13" t="s">
        <v>162</v>
      </c>
      <c r="AV486" s="114"/>
    </row>
    <row r="487" spans="20:48" ht="19.5" x14ac:dyDescent="0.4">
      <c r="X487" s="115"/>
      <c r="Y487" s="115"/>
      <c r="Z487" s="116"/>
      <c r="AA487" s="123"/>
      <c r="AB487" s="123"/>
      <c r="AC487" s="123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26">
        <v>45280</v>
      </c>
      <c r="AS487" s="13" t="s">
        <v>162</v>
      </c>
      <c r="AV487" s="114"/>
    </row>
    <row r="488" spans="20:48" ht="19.5" x14ac:dyDescent="0.4">
      <c r="V488" s="115"/>
      <c r="W488" s="115"/>
      <c r="X488" s="115"/>
      <c r="Y488" s="115"/>
      <c r="Z488" s="116"/>
      <c r="AA488" s="123"/>
      <c r="AB488" s="123"/>
      <c r="AC488" s="123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26">
        <v>45280</v>
      </c>
      <c r="AS488" s="13" t="s">
        <v>162</v>
      </c>
      <c r="AV488" s="114"/>
    </row>
    <row r="489" spans="20:48" x14ac:dyDescent="0.4">
      <c r="V489" s="115"/>
      <c r="W489" s="115"/>
      <c r="X489" s="115"/>
      <c r="Y489" s="115"/>
      <c r="Z489" s="115"/>
      <c r="AA489" s="122"/>
      <c r="AB489" s="122"/>
      <c r="AC489" s="122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26">
        <v>45280</v>
      </c>
      <c r="AS489" s="13" t="s">
        <v>162</v>
      </c>
      <c r="AV489" s="114"/>
    </row>
    <row r="490" spans="20:48" x14ac:dyDescent="0.4">
      <c r="V490" s="115"/>
      <c r="W490" s="115"/>
      <c r="X490" s="115"/>
      <c r="Y490" s="115"/>
      <c r="Z490" s="115"/>
      <c r="AA490" s="122"/>
      <c r="AB490" s="122"/>
      <c r="AC490" s="122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26">
        <v>45280</v>
      </c>
      <c r="AS490" s="13" t="s">
        <v>162</v>
      </c>
      <c r="AV490" s="114"/>
    </row>
    <row r="491" spans="20:48" x14ac:dyDescent="0.4">
      <c r="V491" s="115"/>
      <c r="W491" s="115"/>
      <c r="X491" s="115"/>
      <c r="Y491" s="115"/>
      <c r="Z491" s="115"/>
      <c r="AA491" s="122"/>
      <c r="AB491" s="122"/>
      <c r="AC491" s="122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 t="s">
        <v>171</v>
      </c>
      <c r="AR491" s="17">
        <f>SUBTOTAL(3,AR475:AR490)</f>
        <v>13</v>
      </c>
      <c r="AS491" s="13">
        <f>SUBTOTAL(3,AS475:AS490)</f>
        <v>13</v>
      </c>
      <c r="AV491" s="114"/>
    </row>
    <row r="492" spans="20:48" x14ac:dyDescent="0.4">
      <c r="V492" s="115"/>
      <c r="W492" s="115"/>
      <c r="X492" s="115"/>
      <c r="Y492" s="115"/>
      <c r="Z492" s="115"/>
      <c r="AA492" s="122"/>
      <c r="AB492" s="122"/>
      <c r="AC492" s="122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26">
        <v>45283</v>
      </c>
      <c r="AS492" s="13" t="s">
        <v>162</v>
      </c>
      <c r="AV492" s="114"/>
    </row>
    <row r="493" spans="20:48" x14ac:dyDescent="0.4">
      <c r="V493" s="115"/>
      <c r="W493" s="115"/>
      <c r="X493" s="115"/>
      <c r="Y493" s="115"/>
      <c r="Z493" s="115"/>
      <c r="AA493" s="122"/>
      <c r="AB493" s="122"/>
      <c r="AC493" s="122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26">
        <v>45283</v>
      </c>
      <c r="AS493" s="13" t="s">
        <v>162</v>
      </c>
      <c r="AV493" s="114"/>
    </row>
    <row r="494" spans="20:48" x14ac:dyDescent="0.4">
      <c r="V494" s="115"/>
      <c r="W494" s="115"/>
      <c r="X494" s="115"/>
      <c r="Y494" s="115"/>
      <c r="Z494" s="115"/>
      <c r="AA494" s="122"/>
      <c r="AB494" s="122"/>
      <c r="AC494" s="122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26">
        <v>45283</v>
      </c>
      <c r="AS494" s="13" t="s">
        <v>162</v>
      </c>
      <c r="AV494" s="114"/>
    </row>
    <row r="495" spans="20:48" x14ac:dyDescent="0.4">
      <c r="V495" s="115"/>
      <c r="W495" s="115"/>
      <c r="X495" s="115"/>
      <c r="Y495" s="115"/>
      <c r="Z495" s="115"/>
      <c r="AA495" s="122"/>
      <c r="AB495" s="122"/>
      <c r="AC495" s="122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26">
        <v>45283</v>
      </c>
      <c r="AS495" s="13" t="s">
        <v>162</v>
      </c>
      <c r="AV495" s="114"/>
    </row>
    <row r="496" spans="20:48" x14ac:dyDescent="0.4">
      <c r="V496" s="115"/>
      <c r="W496" s="115"/>
      <c r="X496" s="115"/>
      <c r="Y496" s="115"/>
      <c r="Z496" s="115"/>
      <c r="AA496" s="122"/>
      <c r="AB496" s="122"/>
      <c r="AC496" s="122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26">
        <v>45283</v>
      </c>
      <c r="AS496" s="13" t="s">
        <v>162</v>
      </c>
      <c r="AV496" s="114"/>
    </row>
    <row r="497" spans="22:48" x14ac:dyDescent="0.4">
      <c r="V497" s="115"/>
      <c r="W497" s="115"/>
      <c r="X497" s="115"/>
      <c r="Y497" s="115"/>
      <c r="Z497" s="115"/>
      <c r="AA497" s="122"/>
      <c r="AB497" s="122"/>
      <c r="AC497" s="122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26">
        <v>45283</v>
      </c>
      <c r="AS497" s="13" t="s">
        <v>162</v>
      </c>
      <c r="AV497" s="114"/>
    </row>
    <row r="498" spans="22:48" x14ac:dyDescent="0.4">
      <c r="V498" s="115"/>
      <c r="W498" s="115"/>
      <c r="X498" s="115"/>
      <c r="Y498" s="115"/>
      <c r="Z498" s="115"/>
      <c r="AA498" s="122"/>
      <c r="AB498" s="122"/>
      <c r="AC498" s="122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26">
        <v>45283</v>
      </c>
      <c r="AS498" s="13" t="s">
        <v>162</v>
      </c>
      <c r="AV498" s="114"/>
    </row>
    <row r="499" spans="22:48" x14ac:dyDescent="0.4">
      <c r="V499" s="115"/>
      <c r="W499" s="115"/>
      <c r="X499" s="115"/>
      <c r="Y499" s="115"/>
      <c r="Z499" s="115"/>
      <c r="AA499" s="122"/>
      <c r="AB499" s="122"/>
      <c r="AC499" s="122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26">
        <v>45283</v>
      </c>
      <c r="AS499" s="13" t="s">
        <v>162</v>
      </c>
      <c r="AV499" s="114"/>
    </row>
    <row r="500" spans="22:48" x14ac:dyDescent="0.4">
      <c r="V500" s="115"/>
      <c r="W500" s="115"/>
      <c r="X500" s="115"/>
      <c r="Y500" s="115"/>
      <c r="Z500" s="115"/>
      <c r="AA500" s="122"/>
      <c r="AB500" s="122"/>
      <c r="AC500" s="122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26">
        <v>45283</v>
      </c>
      <c r="AS500" s="13" t="s">
        <v>162</v>
      </c>
      <c r="AV500" s="114"/>
    </row>
    <row r="501" spans="22:48" x14ac:dyDescent="0.4">
      <c r="V501" s="115"/>
      <c r="W501" s="115"/>
      <c r="X501" s="115"/>
      <c r="Y501" s="115"/>
      <c r="Z501" s="115"/>
      <c r="AA501" s="122"/>
      <c r="AB501" s="122"/>
      <c r="AC501" s="122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26">
        <v>45283</v>
      </c>
      <c r="AS501" s="13" t="s">
        <v>162</v>
      </c>
      <c r="AV501" s="114"/>
    </row>
    <row r="502" spans="22:48" x14ac:dyDescent="0.4">
      <c r="V502" s="115"/>
      <c r="W502" s="115"/>
      <c r="X502" s="115"/>
      <c r="Y502" s="115"/>
      <c r="Z502" s="115"/>
      <c r="AA502" s="122"/>
      <c r="AB502" s="122"/>
      <c r="AC502" s="122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26">
        <v>45283</v>
      </c>
      <c r="AS502" s="13" t="s">
        <v>163</v>
      </c>
      <c r="AV502" s="114"/>
    </row>
    <row r="503" spans="22:48" x14ac:dyDescent="0.4">
      <c r="V503" s="115"/>
      <c r="W503" s="115"/>
      <c r="X503" s="115"/>
      <c r="Y503" s="115"/>
      <c r="Z503" s="115"/>
      <c r="AA503" s="122"/>
      <c r="AB503" s="122"/>
      <c r="AC503" s="122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26">
        <v>45283</v>
      </c>
      <c r="AS503" s="13" t="s">
        <v>163</v>
      </c>
      <c r="AV503" s="114"/>
    </row>
    <row r="504" spans="22:48" x14ac:dyDescent="0.4">
      <c r="V504" s="115"/>
      <c r="W504" s="115"/>
      <c r="X504" s="115"/>
      <c r="Y504" s="115"/>
      <c r="Z504" s="115"/>
      <c r="AA504" s="122"/>
      <c r="AB504" s="122"/>
      <c r="AC504" s="122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26">
        <v>45283</v>
      </c>
      <c r="AS504" s="13" t="s">
        <v>163</v>
      </c>
      <c r="AV504" s="114"/>
    </row>
    <row r="505" spans="22:48" x14ac:dyDescent="0.4">
      <c r="V505" s="115"/>
      <c r="W505" s="115"/>
      <c r="X505" s="115"/>
      <c r="Y505" s="115"/>
      <c r="Z505" s="115"/>
      <c r="AA505" s="122"/>
      <c r="AB505" s="122"/>
      <c r="AC505" s="122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 t="s">
        <v>161</v>
      </c>
      <c r="AR505" s="17">
        <f>SUBTOTAL(3,AR492:AR504)</f>
        <v>13</v>
      </c>
      <c r="AS505" s="13">
        <f>SUBTOTAL(3,AS492:AS504)</f>
        <v>13</v>
      </c>
      <c r="AV505" s="114"/>
    </row>
    <row r="506" spans="22:48" x14ac:dyDescent="0.4">
      <c r="V506" s="115"/>
      <c r="W506" s="115"/>
      <c r="X506" s="115"/>
      <c r="Y506" s="115"/>
      <c r="Z506" s="115"/>
      <c r="AA506" s="122"/>
      <c r="AB506" s="122"/>
      <c r="AC506" s="122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26">
        <v>45285</v>
      </c>
      <c r="AS506" s="13" t="s">
        <v>163</v>
      </c>
      <c r="AV506" s="114"/>
    </row>
    <row r="507" spans="22:48" x14ac:dyDescent="0.4">
      <c r="V507" s="115"/>
      <c r="W507" s="115"/>
      <c r="X507" s="115"/>
      <c r="Y507" s="115"/>
      <c r="Z507" s="115"/>
      <c r="AA507" s="122"/>
      <c r="AB507" s="122"/>
      <c r="AC507" s="122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 t="s">
        <v>172</v>
      </c>
      <c r="AR507" s="17">
        <f>SUBTOTAL(3,AR506:AR506)</f>
        <v>1</v>
      </c>
      <c r="AS507" s="13">
        <f>SUBTOTAL(3,AS506:AS506)</f>
        <v>1</v>
      </c>
      <c r="AV507" s="114"/>
    </row>
    <row r="508" spans="22:48" x14ac:dyDescent="0.4">
      <c r="V508" s="115"/>
      <c r="W508" s="115"/>
      <c r="X508" s="115"/>
      <c r="Y508" s="115"/>
      <c r="Z508" s="115"/>
      <c r="AA508" s="122"/>
      <c r="AB508" s="122"/>
      <c r="AC508" s="122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26">
        <v>45299</v>
      </c>
      <c r="AS508" s="13" t="s">
        <v>164</v>
      </c>
      <c r="AV508" s="114"/>
    </row>
    <row r="509" spans="22:48" x14ac:dyDescent="0.4">
      <c r="V509" s="115"/>
      <c r="W509" s="115"/>
      <c r="X509" s="115"/>
      <c r="Y509" s="115"/>
      <c r="Z509" s="115"/>
      <c r="AA509" s="122"/>
      <c r="AB509" s="122"/>
      <c r="AC509" s="122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26">
        <v>45299</v>
      </c>
      <c r="AS509" s="13" t="s">
        <v>162</v>
      </c>
      <c r="AV509" s="114"/>
    </row>
    <row r="510" spans="22:48" x14ac:dyDescent="0.4">
      <c r="V510" s="115"/>
      <c r="W510" s="115"/>
      <c r="X510" s="115"/>
      <c r="Y510" s="115"/>
      <c r="Z510" s="115"/>
      <c r="AA510" s="122"/>
      <c r="AB510" s="122"/>
      <c r="AC510" s="122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26">
        <v>45299</v>
      </c>
      <c r="AS510" s="13" t="s">
        <v>162</v>
      </c>
      <c r="AV510" s="114"/>
    </row>
    <row r="511" spans="22:48" x14ac:dyDescent="0.4">
      <c r="V511" s="115"/>
      <c r="W511" s="115"/>
      <c r="X511" s="115"/>
      <c r="Y511" s="115"/>
      <c r="Z511" s="115"/>
      <c r="AA511" s="122"/>
      <c r="AB511" s="122"/>
      <c r="AC511" s="122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26">
        <v>45299</v>
      </c>
      <c r="AS511" s="15" t="s">
        <v>162</v>
      </c>
      <c r="AV511" s="114"/>
    </row>
    <row r="512" spans="22:48" x14ac:dyDescent="0.4">
      <c r="V512" s="115"/>
      <c r="W512" s="115"/>
      <c r="X512" s="115"/>
      <c r="Y512" s="115"/>
      <c r="Z512" s="115"/>
      <c r="AA512" s="122"/>
      <c r="AB512" s="122"/>
      <c r="AC512" s="122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 t="s">
        <v>173</v>
      </c>
      <c r="AR512" s="17">
        <f>SUBTOTAL(3,AR508:AR511)</f>
        <v>4</v>
      </c>
      <c r="AS512" s="13">
        <f>SUBTOTAL(3,AS508:AS511)</f>
        <v>4</v>
      </c>
      <c r="AV512" s="114"/>
    </row>
    <row r="513" spans="22:48" x14ac:dyDescent="0.4">
      <c r="V513" s="115"/>
      <c r="W513" s="115"/>
      <c r="X513" s="115"/>
      <c r="Y513" s="115"/>
      <c r="Z513" s="115"/>
      <c r="AA513" s="122"/>
      <c r="AB513" s="122"/>
      <c r="AC513" s="122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 t="s">
        <v>145</v>
      </c>
      <c r="AR513" s="17">
        <f>SUBTOTAL(3,AR2:AR511)</f>
        <v>136</v>
      </c>
      <c r="AS513" s="13">
        <f>SUBTOTAL(3,AS2:AS511)</f>
        <v>136</v>
      </c>
      <c r="AV513" s="114"/>
    </row>
    <row r="514" spans="22:48" x14ac:dyDescent="0.4">
      <c r="V514" s="115"/>
      <c r="W514" s="115"/>
      <c r="X514" s="115"/>
      <c r="Y514" s="115"/>
      <c r="Z514" s="115"/>
      <c r="AA514" s="122"/>
      <c r="AB514" s="122"/>
      <c r="AC514" s="122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 t="s">
        <v>145</v>
      </c>
      <c r="AP514" s="115"/>
      <c r="AQ514" s="115"/>
      <c r="AR514" s="26"/>
      <c r="AS514" s="13"/>
      <c r="AV514" s="114"/>
    </row>
    <row r="515" spans="22:48" x14ac:dyDescent="0.4">
      <c r="V515" s="115"/>
      <c r="W515" s="115"/>
      <c r="X515" s="115"/>
      <c r="Y515" s="115"/>
      <c r="Z515" s="115"/>
      <c r="AA515" s="122"/>
      <c r="AB515" s="122"/>
      <c r="AC515" s="122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7"/>
      <c r="AS515" s="13"/>
      <c r="AV515" s="114"/>
    </row>
    <row r="516" spans="22:48" x14ac:dyDescent="0.4">
      <c r="V516" s="115"/>
      <c r="W516" s="115"/>
      <c r="X516" s="115"/>
      <c r="Y516" s="115"/>
      <c r="Z516" s="115"/>
      <c r="AA516" s="122"/>
      <c r="AB516" s="122"/>
      <c r="AC516" s="122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26"/>
      <c r="AS516" s="13"/>
      <c r="AV516" s="114"/>
    </row>
    <row r="517" spans="22:48" x14ac:dyDescent="0.4">
      <c r="V517" s="115"/>
      <c r="W517" s="115"/>
      <c r="X517" s="115"/>
      <c r="Y517" s="115"/>
      <c r="Z517" s="115"/>
      <c r="AA517" s="122"/>
      <c r="AB517" s="122"/>
      <c r="AC517" s="122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7"/>
      <c r="AS517" s="13"/>
      <c r="AV517" s="114"/>
    </row>
    <row r="518" spans="22:48" x14ac:dyDescent="0.4">
      <c r="V518" s="115"/>
      <c r="W518" s="115"/>
      <c r="X518" s="115"/>
      <c r="Y518" s="115"/>
      <c r="Z518" s="115"/>
      <c r="AA518" s="122"/>
      <c r="AB518" s="122"/>
      <c r="AC518" s="122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26"/>
      <c r="AS518" s="13"/>
      <c r="AV518" s="114"/>
    </row>
    <row r="519" spans="22:48" x14ac:dyDescent="0.4">
      <c r="V519" s="115"/>
      <c r="W519" s="115"/>
      <c r="X519" s="115"/>
      <c r="Y519" s="115"/>
      <c r="Z519" s="115"/>
      <c r="AA519" s="122"/>
      <c r="AB519" s="122"/>
      <c r="AC519" s="122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26"/>
      <c r="AS519" s="13"/>
      <c r="AV519" s="114"/>
    </row>
    <row r="520" spans="22:48" x14ac:dyDescent="0.4">
      <c r="V520" s="115"/>
      <c r="W520" s="115"/>
      <c r="X520" s="115"/>
      <c r="Y520" s="115"/>
      <c r="Z520" s="115"/>
      <c r="AA520" s="122"/>
      <c r="AB520" s="122"/>
      <c r="AC520" s="122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26"/>
      <c r="AS520" s="13"/>
      <c r="AV520" s="114"/>
    </row>
    <row r="521" spans="22:48" x14ac:dyDescent="0.4">
      <c r="V521" s="115"/>
      <c r="W521" s="115"/>
      <c r="X521" s="115"/>
      <c r="Y521" s="115"/>
      <c r="Z521" s="115"/>
      <c r="AA521" s="122"/>
      <c r="AB521" s="122"/>
      <c r="AC521" s="122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7"/>
      <c r="AS521" s="13"/>
      <c r="AV521" s="114"/>
    </row>
    <row r="522" spans="22:48" x14ac:dyDescent="0.4">
      <c r="V522" s="115"/>
      <c r="W522" s="115"/>
      <c r="X522" s="115"/>
      <c r="Y522" s="115"/>
      <c r="Z522" s="115"/>
      <c r="AA522" s="122"/>
      <c r="AB522" s="122"/>
      <c r="AC522" s="122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26"/>
      <c r="AS522" s="13"/>
      <c r="AV522" s="114"/>
    </row>
    <row r="523" spans="22:48" x14ac:dyDescent="0.4">
      <c r="V523" s="115"/>
      <c r="W523" s="115"/>
      <c r="X523" s="115"/>
      <c r="Y523" s="115"/>
      <c r="Z523" s="115"/>
      <c r="AA523" s="122"/>
      <c r="AB523" s="122"/>
      <c r="AC523" s="122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7"/>
      <c r="AS523" s="13"/>
      <c r="AV523" s="114"/>
    </row>
    <row r="524" spans="22:48" x14ac:dyDescent="0.4">
      <c r="V524" s="115"/>
      <c r="W524" s="115"/>
      <c r="X524" s="115"/>
      <c r="Y524" s="115"/>
      <c r="Z524" s="115"/>
      <c r="AA524" s="122"/>
      <c r="AB524" s="122"/>
      <c r="AC524" s="122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26"/>
      <c r="AS524" s="13"/>
      <c r="AV524" s="114"/>
    </row>
    <row r="525" spans="22:48" x14ac:dyDescent="0.4">
      <c r="V525" s="115"/>
      <c r="W525" s="115"/>
      <c r="X525" s="115"/>
      <c r="Y525" s="115"/>
      <c r="Z525" s="115"/>
      <c r="AA525" s="122"/>
      <c r="AB525" s="122"/>
      <c r="AC525" s="122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7"/>
      <c r="AS525" s="13"/>
      <c r="AV525" s="114"/>
    </row>
    <row r="526" spans="22:48" x14ac:dyDescent="0.4">
      <c r="V526" s="115"/>
      <c r="W526" s="115"/>
      <c r="X526" s="115"/>
      <c r="Y526" s="115"/>
      <c r="Z526" s="115"/>
      <c r="AA526" s="122"/>
      <c r="AB526" s="122"/>
      <c r="AC526" s="122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7"/>
      <c r="AS526" s="13"/>
      <c r="AV526" s="114"/>
    </row>
    <row r="527" spans="22:48" x14ac:dyDescent="0.4">
      <c r="V527" s="115"/>
      <c r="W527" s="115"/>
      <c r="X527" s="115"/>
      <c r="Y527" s="115"/>
      <c r="Z527" s="115"/>
      <c r="AA527" s="122"/>
      <c r="AB527" s="122"/>
      <c r="AC527" s="122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7"/>
      <c r="AS527" s="13"/>
      <c r="AV527" s="114"/>
    </row>
    <row r="528" spans="22:48" x14ac:dyDescent="0.4">
      <c r="V528" s="115"/>
      <c r="W528" s="115"/>
      <c r="X528" s="115"/>
      <c r="Y528" s="115"/>
      <c r="Z528" s="115"/>
      <c r="AA528" s="122"/>
      <c r="AB528" s="122"/>
      <c r="AC528" s="122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26"/>
      <c r="AS528" s="13"/>
      <c r="AV528" s="114"/>
    </row>
    <row r="529" spans="22:48" x14ac:dyDescent="0.4">
      <c r="V529" s="115"/>
      <c r="W529" s="115"/>
      <c r="X529" s="115"/>
      <c r="Y529" s="115"/>
      <c r="Z529" s="115"/>
      <c r="AA529" s="122"/>
      <c r="AB529" s="122"/>
      <c r="AC529" s="122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7"/>
      <c r="AS529" s="13"/>
      <c r="AV529" s="114"/>
    </row>
    <row r="530" spans="22:48" x14ac:dyDescent="0.4">
      <c r="V530" s="115"/>
      <c r="W530" s="115"/>
      <c r="X530" s="115"/>
      <c r="Y530" s="115"/>
      <c r="Z530" s="115"/>
      <c r="AA530" s="122"/>
      <c r="AB530" s="122"/>
      <c r="AC530" s="122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26"/>
      <c r="AS530" s="13"/>
      <c r="AV530" s="114"/>
    </row>
    <row r="531" spans="22:48" x14ac:dyDescent="0.4">
      <c r="V531" s="115"/>
      <c r="W531" s="115"/>
      <c r="X531" s="115"/>
      <c r="Y531" s="115"/>
      <c r="Z531" s="115"/>
      <c r="AA531" s="122"/>
      <c r="AB531" s="122"/>
      <c r="AC531" s="122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7"/>
      <c r="AS531" s="13"/>
      <c r="AV531" s="114"/>
    </row>
    <row r="532" spans="22:48" x14ac:dyDescent="0.4">
      <c r="V532" s="115"/>
      <c r="W532" s="115"/>
      <c r="X532" s="115"/>
      <c r="Y532" s="115"/>
      <c r="Z532" s="115"/>
      <c r="AA532" s="122"/>
      <c r="AB532" s="122"/>
      <c r="AC532" s="122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26"/>
      <c r="AS532" s="25"/>
      <c r="AV532" s="114"/>
    </row>
    <row r="533" spans="22:48" x14ac:dyDescent="0.4">
      <c r="V533" s="115"/>
      <c r="W533" s="115"/>
      <c r="X533" s="115"/>
      <c r="Y533" s="115"/>
      <c r="Z533" s="115"/>
      <c r="AA533" s="122"/>
      <c r="AB533" s="122"/>
      <c r="AC533" s="122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7"/>
      <c r="AS533" s="13"/>
      <c r="AV533" s="114"/>
    </row>
    <row r="534" spans="22:48" x14ac:dyDescent="0.4">
      <c r="V534" s="115"/>
      <c r="W534" s="115"/>
      <c r="X534" s="115"/>
      <c r="Y534" s="115"/>
      <c r="Z534" s="115"/>
      <c r="AA534" s="122"/>
      <c r="AB534" s="122"/>
      <c r="AC534" s="122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7"/>
      <c r="AS534" s="13"/>
      <c r="AV534" s="114"/>
    </row>
    <row r="535" spans="22:48" x14ac:dyDescent="0.4">
      <c r="V535" s="115"/>
      <c r="W535" s="115"/>
      <c r="X535" s="115"/>
      <c r="Y535" s="115"/>
      <c r="Z535" s="115"/>
      <c r="AA535" s="122"/>
      <c r="AB535" s="122"/>
      <c r="AC535" s="122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26"/>
      <c r="AS535" s="15"/>
      <c r="AV535" s="114"/>
    </row>
    <row r="536" spans="22:48" x14ac:dyDescent="0.4">
      <c r="V536" s="115"/>
      <c r="W536" s="115"/>
      <c r="X536" s="115"/>
      <c r="Y536" s="115"/>
      <c r="Z536" s="115"/>
      <c r="AA536" s="122"/>
      <c r="AB536" s="122"/>
      <c r="AC536" s="122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26"/>
      <c r="AS536" s="15"/>
      <c r="AV536" s="114"/>
    </row>
    <row r="537" spans="22:48" x14ac:dyDescent="0.4">
      <c r="V537" s="115"/>
      <c r="W537" s="115"/>
      <c r="X537" s="115"/>
      <c r="Y537" s="115"/>
      <c r="Z537" s="115"/>
      <c r="AA537" s="122"/>
      <c r="AB537" s="122"/>
      <c r="AC537" s="122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26"/>
      <c r="AS537" s="15"/>
      <c r="AV537" s="114"/>
    </row>
    <row r="538" spans="22:48" x14ac:dyDescent="0.4">
      <c r="V538" s="115"/>
      <c r="W538" s="115"/>
      <c r="X538" s="115"/>
      <c r="Y538" s="115"/>
      <c r="Z538" s="115"/>
      <c r="AA538" s="122"/>
      <c r="AB538" s="122"/>
      <c r="AC538" s="122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26"/>
      <c r="AS538" s="15"/>
      <c r="AV538" s="114"/>
    </row>
    <row r="539" spans="22:48" x14ac:dyDescent="0.4">
      <c r="V539" s="115"/>
      <c r="W539" s="115"/>
      <c r="X539" s="115"/>
      <c r="Y539" s="115"/>
      <c r="Z539" s="115"/>
      <c r="AA539" s="122"/>
      <c r="AB539" s="122"/>
      <c r="AC539" s="122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26"/>
      <c r="AS539" s="15"/>
      <c r="AV539" s="114"/>
    </row>
    <row r="540" spans="22:48" x14ac:dyDescent="0.4">
      <c r="V540" s="115"/>
      <c r="W540" s="115"/>
      <c r="X540" s="115"/>
      <c r="Y540" s="115"/>
      <c r="Z540" s="115"/>
      <c r="AA540" s="122"/>
      <c r="AB540" s="122"/>
      <c r="AC540" s="122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26"/>
      <c r="AS540" s="15"/>
      <c r="AV540" s="114"/>
    </row>
    <row r="541" spans="22:48" x14ac:dyDescent="0.4">
      <c r="V541" s="115"/>
      <c r="W541" s="115"/>
      <c r="X541" s="115"/>
      <c r="Y541" s="115"/>
      <c r="Z541" s="115"/>
      <c r="AA541" s="122"/>
      <c r="AB541" s="122"/>
      <c r="AC541" s="122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26"/>
      <c r="AS541" s="15"/>
      <c r="AV541" s="114"/>
    </row>
    <row r="542" spans="22:48" x14ac:dyDescent="0.4">
      <c r="V542" s="115"/>
      <c r="W542" s="115"/>
      <c r="X542" s="115"/>
      <c r="Y542" s="115"/>
      <c r="Z542" s="115"/>
      <c r="AA542" s="122"/>
      <c r="AB542" s="122"/>
      <c r="AC542" s="122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26"/>
      <c r="AS542" s="15"/>
      <c r="AV542" s="114"/>
    </row>
    <row r="543" spans="22:48" x14ac:dyDescent="0.4">
      <c r="V543" s="115"/>
      <c r="W543" s="115"/>
      <c r="X543" s="115"/>
      <c r="Y543" s="115"/>
      <c r="Z543" s="115"/>
      <c r="AA543" s="122"/>
      <c r="AB543" s="122"/>
      <c r="AC543" s="122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7"/>
      <c r="AS543" s="15"/>
      <c r="AV543" s="114"/>
    </row>
    <row r="544" spans="22:48" x14ac:dyDescent="0.4">
      <c r="V544" s="115"/>
      <c r="W544" s="115"/>
      <c r="X544" s="115"/>
      <c r="Y544" s="115"/>
      <c r="Z544" s="115"/>
      <c r="AA544" s="122"/>
      <c r="AB544" s="122"/>
      <c r="AC544" s="122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26"/>
      <c r="AS544" s="15"/>
      <c r="AV544" s="114"/>
    </row>
    <row r="545" spans="22:48" x14ac:dyDescent="0.4">
      <c r="V545" s="115"/>
      <c r="W545" s="115"/>
      <c r="X545" s="115"/>
      <c r="Y545" s="115"/>
      <c r="Z545" s="115"/>
      <c r="AA545" s="122"/>
      <c r="AB545" s="122"/>
      <c r="AC545" s="122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26"/>
      <c r="AS545" s="13"/>
      <c r="AV545" s="114"/>
    </row>
    <row r="546" spans="22:48" x14ac:dyDescent="0.4">
      <c r="V546" s="115"/>
      <c r="W546" s="115"/>
      <c r="X546" s="115"/>
      <c r="Y546" s="115"/>
      <c r="Z546" s="115"/>
      <c r="AA546" s="122"/>
      <c r="AB546" s="122"/>
      <c r="AC546" s="122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26"/>
      <c r="AS546" s="13"/>
      <c r="AV546" s="114"/>
    </row>
    <row r="547" spans="22:48" x14ac:dyDescent="0.4">
      <c r="V547" s="115"/>
      <c r="W547" s="115"/>
      <c r="X547" s="115"/>
      <c r="Y547" s="115"/>
      <c r="Z547" s="115"/>
      <c r="AA547" s="122"/>
      <c r="AB547" s="122"/>
      <c r="AC547" s="122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26"/>
      <c r="AS547" s="13"/>
      <c r="AV547" s="114"/>
    </row>
    <row r="548" spans="22:48" x14ac:dyDescent="0.4">
      <c r="V548" s="115"/>
      <c r="W548" s="115"/>
      <c r="X548" s="115"/>
      <c r="Y548" s="115"/>
      <c r="Z548" s="115"/>
      <c r="AA548" s="122"/>
      <c r="AB548" s="122"/>
      <c r="AC548" s="122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26"/>
      <c r="AS548" s="13"/>
      <c r="AV548" s="114"/>
    </row>
    <row r="549" spans="22:48" x14ac:dyDescent="0.4">
      <c r="V549" s="115"/>
      <c r="W549" s="115"/>
      <c r="X549" s="115"/>
      <c r="Y549" s="115"/>
      <c r="Z549" s="115"/>
      <c r="AA549" s="122"/>
      <c r="AB549" s="122"/>
      <c r="AC549" s="122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26"/>
      <c r="AS549" s="13"/>
      <c r="AV549" s="114"/>
    </row>
    <row r="550" spans="22:48" x14ac:dyDescent="0.4">
      <c r="V550" s="115"/>
      <c r="W550" s="115"/>
      <c r="X550" s="115"/>
      <c r="Y550" s="115"/>
      <c r="Z550" s="115"/>
      <c r="AA550" s="122"/>
      <c r="AB550" s="122"/>
      <c r="AC550" s="122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26"/>
      <c r="AS550" s="13"/>
      <c r="AV550" s="114"/>
    </row>
    <row r="551" spans="22:48" x14ac:dyDescent="0.4">
      <c r="V551" s="115"/>
      <c r="W551" s="115"/>
      <c r="X551" s="115"/>
      <c r="Y551" s="115"/>
      <c r="Z551" s="115"/>
      <c r="AA551" s="122"/>
      <c r="AB551" s="122"/>
      <c r="AC551" s="122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26"/>
      <c r="AS551" s="13"/>
      <c r="AV551" s="114"/>
    </row>
    <row r="552" spans="22:48" x14ac:dyDescent="0.4">
      <c r="V552" s="115"/>
      <c r="W552" s="115"/>
      <c r="X552" s="115"/>
      <c r="Y552" s="115"/>
      <c r="Z552" s="115"/>
      <c r="AA552" s="122"/>
      <c r="AB552" s="122"/>
      <c r="AC552" s="122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26"/>
      <c r="AS552" s="13"/>
      <c r="AV552" s="114"/>
    </row>
    <row r="553" spans="22:48" x14ac:dyDescent="0.4">
      <c r="V553" s="115"/>
      <c r="W553" s="115"/>
      <c r="X553" s="115"/>
      <c r="Y553" s="115"/>
      <c r="Z553" s="115"/>
      <c r="AA553" s="122"/>
      <c r="AB553" s="122"/>
      <c r="AC553" s="122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26"/>
      <c r="AS553" s="13"/>
      <c r="AV553" s="114"/>
    </row>
    <row r="554" spans="22:48" x14ac:dyDescent="0.4">
      <c r="V554" s="115"/>
      <c r="W554" s="115"/>
      <c r="X554" s="115"/>
      <c r="Y554" s="115"/>
      <c r="Z554" s="115"/>
      <c r="AA554" s="122"/>
      <c r="AB554" s="122"/>
      <c r="AC554" s="122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26"/>
      <c r="AS554" s="13"/>
      <c r="AV554" s="114"/>
    </row>
    <row r="555" spans="22:48" x14ac:dyDescent="0.4">
      <c r="V555" s="115"/>
      <c r="W555" s="115"/>
      <c r="X555" s="115"/>
      <c r="Y555" s="115"/>
      <c r="Z555" s="115"/>
      <c r="AA555" s="122"/>
      <c r="AB555" s="122"/>
      <c r="AC555" s="122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26"/>
      <c r="AS555" s="13"/>
      <c r="AV555" s="114"/>
    </row>
    <row r="556" spans="22:48" x14ac:dyDescent="0.4">
      <c r="V556" s="115"/>
      <c r="W556" s="115"/>
      <c r="X556" s="115"/>
      <c r="Y556" s="115"/>
      <c r="Z556" s="115"/>
      <c r="AA556" s="122"/>
      <c r="AB556" s="122"/>
      <c r="AC556" s="122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7"/>
      <c r="AS556" s="13"/>
      <c r="AV556" s="114"/>
    </row>
    <row r="557" spans="22:48" x14ac:dyDescent="0.4">
      <c r="V557" s="115"/>
      <c r="W557" s="115"/>
      <c r="X557" s="115"/>
      <c r="Y557" s="115"/>
      <c r="Z557" s="115"/>
      <c r="AA557" s="122"/>
      <c r="AB557" s="122"/>
      <c r="AC557" s="122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26"/>
      <c r="AS557" s="13"/>
      <c r="AV557" s="114"/>
    </row>
    <row r="558" spans="22:48" x14ac:dyDescent="0.4">
      <c r="V558" s="115"/>
      <c r="W558" s="115"/>
      <c r="X558" s="115"/>
      <c r="Y558" s="115"/>
      <c r="Z558" s="115"/>
      <c r="AA558" s="122"/>
      <c r="AB558" s="122"/>
      <c r="AC558" s="122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26"/>
      <c r="AS558" s="13"/>
      <c r="AV558" s="114"/>
    </row>
    <row r="559" spans="22:48" x14ac:dyDescent="0.4">
      <c r="V559" s="115"/>
      <c r="W559" s="115"/>
      <c r="X559" s="115"/>
      <c r="Y559" s="115"/>
      <c r="Z559" s="115"/>
      <c r="AA559" s="122"/>
      <c r="AB559" s="122"/>
      <c r="AC559" s="122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26"/>
      <c r="AS559" s="13"/>
      <c r="AV559" s="114"/>
    </row>
    <row r="560" spans="22:48" x14ac:dyDescent="0.4">
      <c r="V560" s="115"/>
      <c r="W560" s="115"/>
      <c r="X560" s="115"/>
      <c r="Y560" s="115"/>
      <c r="Z560" s="115"/>
      <c r="AA560" s="122"/>
      <c r="AB560" s="122"/>
      <c r="AC560" s="122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7"/>
      <c r="AS560" s="13"/>
      <c r="AV560" s="114"/>
    </row>
    <row r="561" spans="21:48" x14ac:dyDescent="0.4">
      <c r="V561" s="115"/>
      <c r="W561" s="115"/>
      <c r="X561" s="115"/>
      <c r="Y561" s="115"/>
      <c r="Z561" s="115"/>
      <c r="AA561" s="122"/>
      <c r="AB561" s="122"/>
      <c r="AC561" s="122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26"/>
      <c r="AS561" s="13"/>
      <c r="AV561" s="114"/>
    </row>
    <row r="562" spans="21:48" x14ac:dyDescent="0.4">
      <c r="V562" s="115"/>
      <c r="W562" s="115"/>
      <c r="X562" s="115"/>
      <c r="Y562" s="115"/>
      <c r="Z562" s="115"/>
      <c r="AA562" s="122"/>
      <c r="AB562" s="122"/>
      <c r="AC562" s="122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7"/>
      <c r="AS562" s="13"/>
      <c r="AV562" s="114"/>
    </row>
    <row r="563" spans="21:48" x14ac:dyDescent="0.4">
      <c r="V563" s="115"/>
      <c r="W563" s="115"/>
      <c r="X563" s="115"/>
      <c r="Y563" s="115"/>
      <c r="Z563" s="115"/>
      <c r="AA563" s="122"/>
      <c r="AB563" s="122"/>
      <c r="AC563" s="122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26"/>
      <c r="AS563" s="13"/>
      <c r="AV563" s="114"/>
    </row>
    <row r="564" spans="21:48" x14ac:dyDescent="0.4">
      <c r="V564" s="115"/>
      <c r="W564" s="115"/>
      <c r="X564" s="115"/>
      <c r="Y564" s="115"/>
      <c r="Z564" s="115"/>
      <c r="AA564" s="122"/>
      <c r="AB564" s="122"/>
      <c r="AC564" s="122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26"/>
      <c r="AS564" s="15"/>
      <c r="AV564" s="114"/>
    </row>
    <row r="565" spans="21:48" x14ac:dyDescent="0.4">
      <c r="V565" s="115"/>
      <c r="W565" s="115"/>
      <c r="X565" s="115"/>
      <c r="Y565" s="115"/>
      <c r="Z565" s="115"/>
      <c r="AA565" s="122"/>
      <c r="AB565" s="122"/>
      <c r="AC565" s="122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7"/>
      <c r="AS565" s="15"/>
      <c r="AV565" s="114"/>
    </row>
    <row r="566" spans="21:48" x14ac:dyDescent="0.4">
      <c r="V566" s="115"/>
      <c r="W566" s="115"/>
      <c r="X566" s="115"/>
      <c r="Y566" s="115"/>
      <c r="Z566" s="115"/>
      <c r="AA566" s="122"/>
      <c r="AB566" s="122"/>
      <c r="AC566" s="122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7"/>
      <c r="AS566" s="15"/>
      <c r="AV566" s="114"/>
    </row>
    <row r="567" spans="21:48" x14ac:dyDescent="0.4">
      <c r="U567" s="115"/>
      <c r="V567" s="115"/>
      <c r="W567" s="115"/>
      <c r="X567" s="115"/>
      <c r="Y567" s="115"/>
      <c r="Z567" s="115"/>
      <c r="AA567" s="122"/>
      <c r="AB567" s="122"/>
      <c r="AC567" s="122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26"/>
      <c r="AS567" s="15"/>
      <c r="AV567" s="114"/>
    </row>
    <row r="568" spans="21:48" x14ac:dyDescent="0.4">
      <c r="U568" s="115"/>
      <c r="V568" s="115"/>
      <c r="W568" s="115"/>
      <c r="X568" s="115"/>
      <c r="Y568" s="115"/>
      <c r="Z568" s="115"/>
      <c r="AA568" s="122"/>
      <c r="AB568" s="122"/>
      <c r="AC568" s="122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7"/>
      <c r="AS568" s="15"/>
      <c r="AV568" s="114"/>
    </row>
    <row r="569" spans="21:48" x14ac:dyDescent="0.4">
      <c r="U569" s="115"/>
      <c r="V569" s="115"/>
      <c r="W569" s="115"/>
      <c r="X569" s="115"/>
      <c r="Y569" s="115"/>
      <c r="Z569" s="115"/>
      <c r="AA569" s="122"/>
      <c r="AB569" s="122"/>
      <c r="AC569" s="122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26"/>
      <c r="AS569" s="15"/>
      <c r="AV569" s="114"/>
    </row>
    <row r="570" spans="21:48" x14ac:dyDescent="0.4">
      <c r="U570" s="115"/>
      <c r="V570" s="115"/>
      <c r="W570" s="115"/>
      <c r="X570" s="115"/>
      <c r="Y570" s="115"/>
      <c r="Z570" s="115"/>
      <c r="AA570" s="122"/>
      <c r="AB570" s="122"/>
      <c r="AC570" s="122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26"/>
      <c r="AS570" s="15"/>
      <c r="AV570" s="114"/>
    </row>
    <row r="571" spans="21:48" x14ac:dyDescent="0.4">
      <c r="U571" s="115"/>
      <c r="V571" s="115"/>
      <c r="W571" s="115"/>
      <c r="X571" s="115"/>
      <c r="Y571" s="115"/>
      <c r="Z571" s="115"/>
      <c r="AA571" s="122"/>
      <c r="AB571" s="122"/>
      <c r="AC571" s="122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7"/>
      <c r="AS571" s="15"/>
      <c r="AV571" s="114"/>
    </row>
    <row r="572" spans="21:48" x14ac:dyDescent="0.4">
      <c r="U572" s="115"/>
      <c r="V572" s="115"/>
      <c r="W572" s="115"/>
      <c r="X572" s="115"/>
      <c r="Y572" s="115"/>
      <c r="Z572" s="115"/>
      <c r="AA572" s="122"/>
      <c r="AB572" s="122"/>
      <c r="AC572" s="122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26"/>
      <c r="AS572" s="15"/>
      <c r="AV572" s="114"/>
    </row>
    <row r="573" spans="21:48" x14ac:dyDescent="0.4">
      <c r="U573" s="115"/>
      <c r="V573" s="115"/>
      <c r="W573" s="115"/>
      <c r="X573" s="115"/>
      <c r="Y573" s="115"/>
      <c r="Z573" s="115"/>
      <c r="AA573" s="122"/>
      <c r="AB573" s="122"/>
      <c r="AC573" s="122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7"/>
      <c r="AS573" s="15"/>
      <c r="AV573" s="114"/>
    </row>
    <row r="574" spans="21:48" x14ac:dyDescent="0.4">
      <c r="U574" s="115"/>
      <c r="V574" s="115"/>
      <c r="W574" s="115"/>
      <c r="X574" s="115"/>
      <c r="Y574" s="115"/>
      <c r="Z574" s="115"/>
      <c r="AA574" s="122"/>
      <c r="AB574" s="122"/>
      <c r="AC574" s="122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7"/>
      <c r="AS574" s="15"/>
      <c r="AV574" s="114"/>
    </row>
    <row r="575" spans="21:48" x14ac:dyDescent="0.4">
      <c r="U575" s="115"/>
      <c r="V575" s="115"/>
      <c r="W575" s="115"/>
      <c r="X575" s="115"/>
      <c r="Y575" s="115"/>
      <c r="Z575" s="115"/>
      <c r="AA575" s="122"/>
      <c r="AB575" s="122"/>
      <c r="AC575" s="122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26"/>
      <c r="AS575" s="15"/>
      <c r="AV575" s="114"/>
    </row>
    <row r="576" spans="21:48" x14ac:dyDescent="0.4">
      <c r="U576" s="115"/>
      <c r="V576" s="115"/>
      <c r="W576" s="115"/>
      <c r="X576" s="115"/>
      <c r="Y576" s="115"/>
      <c r="Z576" s="115"/>
      <c r="AA576" s="122"/>
      <c r="AB576" s="122"/>
      <c r="AC576" s="122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26"/>
      <c r="AS576" s="15"/>
      <c r="AV576" s="114"/>
    </row>
    <row r="577" spans="21:48" x14ac:dyDescent="0.4">
      <c r="U577" s="115"/>
      <c r="V577" s="115"/>
      <c r="W577" s="115"/>
      <c r="X577" s="115"/>
      <c r="Y577" s="115"/>
      <c r="Z577" s="115"/>
      <c r="AA577" s="122"/>
      <c r="AB577" s="122"/>
      <c r="AC577" s="122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26"/>
      <c r="AS577" s="15"/>
      <c r="AV577" s="114"/>
    </row>
    <row r="578" spans="21:48" x14ac:dyDescent="0.4">
      <c r="U578" s="115"/>
      <c r="V578" s="115"/>
      <c r="W578" s="115"/>
      <c r="X578" s="115"/>
      <c r="Y578" s="115"/>
      <c r="Z578" s="115"/>
      <c r="AA578" s="122"/>
      <c r="AB578" s="122"/>
      <c r="AC578" s="122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26"/>
      <c r="AS578" s="15"/>
      <c r="AV578" s="114"/>
    </row>
    <row r="579" spans="21:48" x14ac:dyDescent="0.4">
      <c r="U579" s="115"/>
      <c r="V579" s="115"/>
      <c r="W579" s="115"/>
      <c r="X579" s="115"/>
      <c r="Y579" s="115"/>
      <c r="Z579" s="115"/>
      <c r="AA579" s="122"/>
      <c r="AB579" s="122"/>
      <c r="AC579" s="122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26"/>
      <c r="AS579" s="15"/>
      <c r="AV579" s="114"/>
    </row>
    <row r="580" spans="21:48" x14ac:dyDescent="0.4">
      <c r="U580" s="115"/>
      <c r="V580" s="115"/>
      <c r="W580" s="115"/>
      <c r="X580" s="115"/>
      <c r="Y580" s="115"/>
      <c r="Z580" s="115"/>
      <c r="AA580" s="122"/>
      <c r="AB580" s="122"/>
      <c r="AC580" s="122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26"/>
      <c r="AS580" s="15"/>
      <c r="AV580" s="114"/>
    </row>
    <row r="581" spans="21:48" x14ac:dyDescent="0.4">
      <c r="U581" s="115"/>
      <c r="V581" s="115"/>
      <c r="W581" s="115"/>
      <c r="X581" s="115"/>
      <c r="Y581" s="115"/>
      <c r="Z581" s="115"/>
      <c r="AA581" s="122"/>
      <c r="AB581" s="122"/>
      <c r="AC581" s="122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26"/>
      <c r="AS581" s="15"/>
      <c r="AV581" s="114"/>
    </row>
    <row r="582" spans="21:48" x14ac:dyDescent="0.4">
      <c r="U582" s="115"/>
      <c r="V582" s="115"/>
      <c r="W582" s="115"/>
      <c r="X582" s="115"/>
      <c r="Y582" s="115"/>
      <c r="Z582" s="115"/>
      <c r="AA582" s="122"/>
      <c r="AB582" s="122"/>
      <c r="AC582" s="122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7"/>
      <c r="AS582" s="15"/>
      <c r="AV582" s="114"/>
    </row>
    <row r="583" spans="21:48" x14ac:dyDescent="0.4">
      <c r="U583" s="115"/>
      <c r="V583" s="115"/>
      <c r="W583" s="115"/>
      <c r="X583" s="115"/>
      <c r="Y583" s="115"/>
      <c r="Z583" s="115"/>
      <c r="AA583" s="122"/>
      <c r="AB583" s="122"/>
      <c r="AC583" s="122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26"/>
      <c r="AS583" s="15"/>
      <c r="AV583" s="114"/>
    </row>
    <row r="584" spans="21:48" x14ac:dyDescent="0.4">
      <c r="U584" s="115"/>
      <c r="V584" s="115"/>
      <c r="W584" s="115"/>
      <c r="X584" s="115"/>
      <c r="Y584" s="115"/>
      <c r="Z584" s="115"/>
      <c r="AA584" s="122"/>
      <c r="AB584" s="122"/>
      <c r="AC584" s="122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26"/>
      <c r="AS584" s="15"/>
      <c r="AV584" s="114"/>
    </row>
    <row r="585" spans="21:48" x14ac:dyDescent="0.4">
      <c r="U585" s="115"/>
      <c r="V585" s="115"/>
      <c r="W585" s="115"/>
      <c r="X585" s="115"/>
      <c r="Y585" s="115"/>
      <c r="Z585" s="115"/>
      <c r="AA585" s="122"/>
      <c r="AB585" s="122"/>
      <c r="AC585" s="122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26"/>
      <c r="AS585" s="15"/>
      <c r="AV585" s="114"/>
    </row>
    <row r="586" spans="21:48" x14ac:dyDescent="0.4">
      <c r="U586" s="115"/>
      <c r="V586" s="115"/>
      <c r="W586" s="115"/>
      <c r="X586" s="115"/>
      <c r="Y586" s="115"/>
      <c r="Z586" s="115"/>
      <c r="AA586" s="122"/>
      <c r="AB586" s="122"/>
      <c r="AC586" s="122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26"/>
      <c r="AS586" s="13"/>
      <c r="AV586" s="114"/>
    </row>
    <row r="587" spans="21:48" x14ac:dyDescent="0.4">
      <c r="U587" s="115"/>
      <c r="V587" s="115"/>
      <c r="W587" s="115"/>
      <c r="X587" s="115"/>
      <c r="Y587" s="115"/>
      <c r="Z587" s="115"/>
      <c r="AA587" s="122"/>
      <c r="AB587" s="122"/>
      <c r="AC587" s="122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7"/>
      <c r="AS587" s="13"/>
      <c r="AV587" s="114"/>
    </row>
    <row r="588" spans="21:48" x14ac:dyDescent="0.4">
      <c r="U588" s="115"/>
      <c r="V588" s="115"/>
      <c r="W588" s="115"/>
      <c r="X588" s="115"/>
      <c r="Y588" s="115"/>
      <c r="Z588" s="115"/>
      <c r="AA588" s="122"/>
      <c r="AB588" s="122"/>
      <c r="AC588" s="122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26"/>
      <c r="AS588" s="13"/>
      <c r="AV588" s="114"/>
    </row>
    <row r="589" spans="21:48" x14ac:dyDescent="0.4">
      <c r="U589" s="115"/>
      <c r="V589" s="115"/>
      <c r="W589" s="115"/>
      <c r="X589" s="115"/>
      <c r="Y589" s="115"/>
      <c r="Z589" s="115"/>
      <c r="AA589" s="122"/>
      <c r="AB589" s="122"/>
      <c r="AC589" s="122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26"/>
      <c r="AS589" s="13"/>
      <c r="AV589" s="114"/>
    </row>
    <row r="590" spans="21:48" x14ac:dyDescent="0.4">
      <c r="U590" s="115"/>
      <c r="V590" s="115"/>
      <c r="W590" s="115"/>
      <c r="X590" s="115"/>
      <c r="Y590" s="115"/>
      <c r="Z590" s="115"/>
      <c r="AA590" s="122"/>
      <c r="AB590" s="122"/>
      <c r="AC590" s="122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26"/>
      <c r="AS590" s="13"/>
      <c r="AV590" s="114"/>
    </row>
    <row r="591" spans="21:48" x14ac:dyDescent="0.4">
      <c r="U591" s="115"/>
      <c r="V591" s="115"/>
      <c r="W591" s="115"/>
      <c r="X591" s="115"/>
      <c r="Y591" s="115"/>
      <c r="Z591" s="115"/>
      <c r="AA591" s="122"/>
      <c r="AB591" s="122"/>
      <c r="AC591" s="122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26"/>
      <c r="AS591" s="13"/>
      <c r="AV591" s="114"/>
    </row>
    <row r="592" spans="21:48" x14ac:dyDescent="0.4">
      <c r="U592" s="115"/>
      <c r="V592" s="115"/>
      <c r="W592" s="115"/>
      <c r="X592" s="115"/>
      <c r="Y592" s="115"/>
      <c r="Z592" s="115"/>
      <c r="AA592" s="122"/>
      <c r="AB592" s="122"/>
      <c r="AC592" s="122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26"/>
      <c r="AS592" s="13"/>
      <c r="AV592" s="114"/>
    </row>
    <row r="593" spans="5:48" x14ac:dyDescent="0.4">
      <c r="U593" s="115"/>
      <c r="V593" s="115"/>
      <c r="W593" s="115"/>
      <c r="X593" s="115"/>
      <c r="Y593" s="115"/>
      <c r="Z593" s="115"/>
      <c r="AA593" s="122"/>
      <c r="AB593" s="122"/>
      <c r="AC593" s="122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26"/>
      <c r="AS593" s="13"/>
      <c r="AV593" s="114"/>
    </row>
    <row r="594" spans="5:48" x14ac:dyDescent="0.4">
      <c r="U594" s="115"/>
      <c r="V594" s="115"/>
      <c r="W594" s="115"/>
      <c r="X594" s="115"/>
      <c r="Y594" s="115"/>
      <c r="Z594" s="115"/>
      <c r="AA594" s="122"/>
      <c r="AB594" s="122"/>
      <c r="AC594" s="122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7"/>
      <c r="AS594" s="13"/>
      <c r="AV594" s="114"/>
    </row>
    <row r="595" spans="5:48" x14ac:dyDescent="0.4">
      <c r="U595" s="115"/>
      <c r="V595" s="115"/>
      <c r="W595" s="115"/>
      <c r="X595" s="115"/>
      <c r="Y595" s="115"/>
      <c r="Z595" s="115"/>
      <c r="AA595" s="122"/>
      <c r="AB595" s="122"/>
      <c r="AC595" s="122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26"/>
      <c r="AS595" s="13"/>
      <c r="AV595" s="114"/>
    </row>
    <row r="596" spans="5:48" x14ac:dyDescent="0.4">
      <c r="U596" s="115"/>
      <c r="V596" s="115"/>
      <c r="W596" s="115"/>
      <c r="X596" s="115"/>
      <c r="Y596" s="115"/>
      <c r="Z596" s="115"/>
      <c r="AA596" s="122"/>
      <c r="AB596" s="122"/>
      <c r="AC596" s="122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26"/>
      <c r="AS596" s="13"/>
      <c r="AV596" s="114"/>
    </row>
    <row r="597" spans="5:48" x14ac:dyDescent="0.4"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22"/>
      <c r="AB597" s="122"/>
      <c r="AC597" s="122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26"/>
      <c r="AS597" s="13"/>
      <c r="AV597" s="114"/>
    </row>
    <row r="598" spans="5:48" x14ac:dyDescent="0.4"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22"/>
      <c r="AB598" s="122"/>
      <c r="AC598" s="122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26"/>
      <c r="AS598" s="13"/>
      <c r="AV598" s="114"/>
    </row>
    <row r="599" spans="5:48" x14ac:dyDescent="0.4"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22"/>
      <c r="AB599" s="122"/>
      <c r="AC599" s="122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26"/>
      <c r="AS599" s="13"/>
      <c r="AV599" s="114"/>
    </row>
    <row r="600" spans="5:48" x14ac:dyDescent="0.4"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22"/>
      <c r="AB600" s="122"/>
      <c r="AC600" s="122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26"/>
      <c r="AS600" s="13"/>
      <c r="AV600" s="114"/>
    </row>
    <row r="601" spans="5:48" x14ac:dyDescent="0.4"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22"/>
      <c r="AB601" s="122"/>
      <c r="AC601" s="122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26"/>
      <c r="AS601" s="13"/>
      <c r="AV601" s="114"/>
    </row>
    <row r="602" spans="5:48" x14ac:dyDescent="0.4"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22"/>
      <c r="AB602" s="122"/>
      <c r="AC602" s="122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26"/>
      <c r="AS602" s="13"/>
      <c r="AV602" s="114"/>
    </row>
    <row r="603" spans="5:48" x14ac:dyDescent="0.4"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22"/>
      <c r="AB603" s="122"/>
      <c r="AC603" s="122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26"/>
      <c r="AS603" s="13"/>
      <c r="AV603" s="114"/>
    </row>
    <row r="604" spans="5:48" x14ac:dyDescent="0.4"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22"/>
      <c r="AB604" s="122"/>
      <c r="AC604" s="122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26"/>
      <c r="AS604" s="13"/>
      <c r="AV604" s="114"/>
    </row>
    <row r="605" spans="5:48" x14ac:dyDescent="0.4"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22"/>
      <c r="AB605" s="122"/>
      <c r="AC605" s="122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26"/>
      <c r="AS605" s="13"/>
      <c r="AV605" s="114"/>
    </row>
    <row r="606" spans="5:48" x14ac:dyDescent="0.4"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22"/>
      <c r="AB606" s="122"/>
      <c r="AC606" s="122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26"/>
      <c r="AS606" s="13"/>
      <c r="AV606" s="114"/>
    </row>
    <row r="607" spans="5:48" x14ac:dyDescent="0.4"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22"/>
      <c r="AB607" s="122"/>
      <c r="AC607" s="122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26"/>
      <c r="AS607" s="13"/>
      <c r="AV607" s="114"/>
    </row>
    <row r="608" spans="5:48" x14ac:dyDescent="0.4"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22"/>
      <c r="AB608" s="122"/>
      <c r="AC608" s="122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26"/>
      <c r="AS608" s="13"/>
      <c r="AV608" s="114"/>
    </row>
    <row r="609" spans="3:48" x14ac:dyDescent="0.4"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22"/>
      <c r="AB609" s="122"/>
      <c r="AC609" s="122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26"/>
      <c r="AS609" s="13"/>
      <c r="AV609" s="114"/>
    </row>
    <row r="610" spans="3:48" x14ac:dyDescent="0.4"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22"/>
      <c r="AB610" s="122"/>
      <c r="AC610" s="122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26"/>
      <c r="AS610" s="13"/>
      <c r="AV610" s="114"/>
    </row>
    <row r="611" spans="3:48" x14ac:dyDescent="0.4"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22"/>
      <c r="AB611" s="122"/>
      <c r="AC611" s="122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26"/>
      <c r="AS611" s="13"/>
      <c r="AV611" s="114"/>
    </row>
    <row r="612" spans="3:48" x14ac:dyDescent="0.4"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22"/>
      <c r="AB612" s="122"/>
      <c r="AC612" s="122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26"/>
      <c r="AS612" s="13"/>
      <c r="AV612" s="114"/>
    </row>
    <row r="613" spans="3:48" x14ac:dyDescent="0.4"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22"/>
      <c r="AB613" s="122"/>
      <c r="AC613" s="122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7"/>
      <c r="AS613" s="13"/>
      <c r="AV613" s="114"/>
    </row>
    <row r="614" spans="3:48" x14ac:dyDescent="0.4"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22"/>
      <c r="AB614" s="122"/>
      <c r="AC614" s="122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26"/>
      <c r="AS614" s="13"/>
      <c r="AV614" s="114"/>
    </row>
    <row r="615" spans="3:48" x14ac:dyDescent="0.4"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22"/>
      <c r="AB615" s="122"/>
      <c r="AC615" s="122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26"/>
      <c r="AS615" s="13"/>
      <c r="AV615" s="114"/>
    </row>
    <row r="616" spans="3:48" x14ac:dyDescent="0.4"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22"/>
      <c r="AB616" s="122"/>
      <c r="AC616" s="122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26"/>
      <c r="AS616" s="13"/>
      <c r="AV616" s="114"/>
    </row>
    <row r="617" spans="3:48" x14ac:dyDescent="0.4"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22"/>
      <c r="AB617" s="122"/>
      <c r="AC617" s="122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26"/>
      <c r="AS617" s="15"/>
      <c r="AV617" s="114"/>
    </row>
    <row r="618" spans="3:48" x14ac:dyDescent="0.4"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22"/>
      <c r="AB618" s="122"/>
      <c r="AC618" s="122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26"/>
      <c r="AS618" s="15"/>
      <c r="AV618" s="114"/>
    </row>
    <row r="619" spans="3:48" x14ac:dyDescent="0.4"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22"/>
      <c r="AB619" s="122"/>
      <c r="AC619" s="122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26"/>
      <c r="AS619" s="15"/>
      <c r="AV619" s="114"/>
    </row>
    <row r="620" spans="3:48" x14ac:dyDescent="0.4"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22"/>
      <c r="AB620" s="122"/>
      <c r="AC620" s="122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26"/>
      <c r="AS620" s="13"/>
      <c r="AV620" s="114"/>
    </row>
    <row r="621" spans="3:48" x14ac:dyDescent="0.4"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22"/>
      <c r="AB621" s="122"/>
      <c r="AC621" s="122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26"/>
      <c r="AS621" s="13"/>
      <c r="AV621" s="114"/>
    </row>
    <row r="622" spans="3:48" x14ac:dyDescent="0.4"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22"/>
      <c r="AB622" s="122"/>
      <c r="AC622" s="122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26"/>
      <c r="AS622" s="13"/>
      <c r="AV622" s="114"/>
    </row>
    <row r="623" spans="3:48" x14ac:dyDescent="0.4"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22"/>
      <c r="AB623" s="122"/>
      <c r="AC623" s="122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7"/>
      <c r="AS623" s="13"/>
      <c r="AV623" s="114"/>
    </row>
    <row r="624" spans="3:48" x14ac:dyDescent="0.4"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22"/>
      <c r="AB624" s="122"/>
      <c r="AC624" s="122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26"/>
      <c r="AS624" s="13"/>
      <c r="AV624" s="114"/>
    </row>
    <row r="625" spans="1:48" x14ac:dyDescent="0.4"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22"/>
      <c r="AB625" s="122"/>
      <c r="AC625" s="122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26"/>
      <c r="AS625" s="25"/>
      <c r="AV625" s="114"/>
    </row>
    <row r="626" spans="1:48" x14ac:dyDescent="0.4"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22"/>
      <c r="AB626" s="122"/>
      <c r="AC626" s="122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26"/>
      <c r="AS626" s="13"/>
      <c r="AV626" s="114"/>
    </row>
    <row r="627" spans="1:48" x14ac:dyDescent="0.4"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22"/>
      <c r="AB627" s="122"/>
      <c r="AC627" s="122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26"/>
      <c r="AS627" s="13"/>
      <c r="AV627" s="114"/>
    </row>
    <row r="628" spans="1:48" x14ac:dyDescent="0.4"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22"/>
      <c r="AB628" s="122"/>
      <c r="AC628" s="122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26"/>
      <c r="AS628" s="13"/>
      <c r="AV628" s="114"/>
    </row>
    <row r="629" spans="1:48" x14ac:dyDescent="0.4"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22"/>
      <c r="AB629" s="122"/>
      <c r="AC629" s="122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26"/>
      <c r="AS629" s="13"/>
      <c r="AV629" s="114"/>
    </row>
    <row r="630" spans="1:48" x14ac:dyDescent="0.4"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22"/>
      <c r="AB630" s="122"/>
      <c r="AC630" s="122"/>
      <c r="AD630" s="115"/>
      <c r="AE630" s="115"/>
      <c r="AF630" s="115"/>
      <c r="AG630" s="115"/>
      <c r="AR630" s="26"/>
      <c r="AS630" s="13"/>
      <c r="AV630" s="114"/>
    </row>
    <row r="631" spans="1:48" x14ac:dyDescent="0.4"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22"/>
      <c r="AB631" s="122"/>
      <c r="AC631" s="122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26"/>
      <c r="AS631" s="13"/>
      <c r="AV631" s="114"/>
    </row>
    <row r="632" spans="1:48" x14ac:dyDescent="0.4"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22"/>
      <c r="AB632" s="122"/>
      <c r="AC632" s="122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7"/>
      <c r="AS632" s="13"/>
      <c r="AV632" s="114"/>
    </row>
    <row r="633" spans="1:48" x14ac:dyDescent="0.4"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22"/>
      <c r="AB633" s="122"/>
      <c r="AC633" s="122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26"/>
      <c r="AS633" s="13"/>
      <c r="AV633" s="114"/>
    </row>
    <row r="634" spans="1:48" x14ac:dyDescent="0.4"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22"/>
      <c r="AB634" s="122"/>
      <c r="AC634" s="122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26"/>
      <c r="AS634" s="15"/>
      <c r="AV634" s="114"/>
    </row>
    <row r="635" spans="1:48" x14ac:dyDescent="0.4"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22"/>
      <c r="AB635" s="122"/>
      <c r="AC635" s="122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7"/>
      <c r="AS635" s="15"/>
      <c r="AV635" s="114"/>
    </row>
    <row r="636" spans="1:48" x14ac:dyDescent="0.4"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22"/>
      <c r="AB636" s="122"/>
      <c r="AC636" s="122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26"/>
      <c r="AS636" s="15"/>
      <c r="AV636" s="114"/>
    </row>
    <row r="637" spans="1:48" x14ac:dyDescent="0.4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22"/>
      <c r="AB637" s="122"/>
      <c r="AC637" s="122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26"/>
      <c r="AS637" s="15"/>
      <c r="AV637" s="114"/>
    </row>
    <row r="638" spans="1:48" x14ac:dyDescent="0.4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22"/>
      <c r="AB638" s="122"/>
      <c r="AC638" s="122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7"/>
      <c r="AS638" s="13"/>
      <c r="AV638" s="114"/>
    </row>
    <row r="639" spans="1:48" x14ac:dyDescent="0.4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22"/>
      <c r="AB639" s="122"/>
      <c r="AC639" s="122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7"/>
      <c r="AS639" s="13"/>
      <c r="AV639" s="114"/>
    </row>
    <row r="640" spans="1:48" x14ac:dyDescent="0.4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22"/>
      <c r="AB640" s="122"/>
      <c r="AC640" s="122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26"/>
      <c r="AS640" s="13"/>
      <c r="AV640" s="114"/>
    </row>
    <row r="641" spans="1:48" x14ac:dyDescent="0.4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22"/>
      <c r="AB641" s="122"/>
      <c r="AC641" s="122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26"/>
      <c r="AS641" s="13"/>
      <c r="AV641" s="114"/>
    </row>
    <row r="642" spans="1:48" x14ac:dyDescent="0.4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22"/>
      <c r="AB642" s="122"/>
      <c r="AC642" s="122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7"/>
      <c r="AS642" s="13"/>
      <c r="AV642" s="114"/>
    </row>
    <row r="643" spans="1:48" x14ac:dyDescent="0.4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22"/>
      <c r="AB643" s="122"/>
      <c r="AC643" s="122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26"/>
      <c r="AS643" s="15"/>
      <c r="AV643" s="114"/>
    </row>
    <row r="644" spans="1:48" x14ac:dyDescent="0.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22"/>
      <c r="AB644" s="122"/>
      <c r="AC644" s="122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26"/>
      <c r="AS644" s="15"/>
      <c r="AV644" s="114"/>
    </row>
    <row r="645" spans="1:48" x14ac:dyDescent="0.4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22"/>
      <c r="AB645" s="122"/>
      <c r="AC645" s="122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26"/>
      <c r="AS645" s="15"/>
      <c r="AV645" s="114"/>
    </row>
    <row r="646" spans="1:48" x14ac:dyDescent="0.4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22"/>
      <c r="AB646" s="122"/>
      <c r="AC646" s="122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26"/>
      <c r="AS646" s="13"/>
      <c r="AV646" s="114"/>
    </row>
    <row r="647" spans="1:48" x14ac:dyDescent="0.4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22"/>
      <c r="AB647" s="122"/>
      <c r="AC647" s="122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26"/>
      <c r="AS647" s="25"/>
      <c r="AV647" s="114"/>
    </row>
    <row r="648" spans="1:48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22"/>
      <c r="AB648" s="122"/>
      <c r="AC648" s="122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26"/>
      <c r="AS648" s="13"/>
      <c r="AV648" s="114"/>
    </row>
    <row r="649" spans="1:48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22"/>
      <c r="AB649" s="122"/>
      <c r="AC649" s="122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26"/>
      <c r="AS649" s="13"/>
      <c r="AV649" s="114"/>
    </row>
    <row r="650" spans="1:48" x14ac:dyDescent="0.4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22"/>
      <c r="AB650" s="122"/>
      <c r="AC650" s="122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26"/>
      <c r="AS650" s="13"/>
      <c r="AV650" s="114"/>
    </row>
    <row r="651" spans="1:48" x14ac:dyDescent="0.4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22"/>
      <c r="AB651" s="122"/>
      <c r="AC651" s="122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26"/>
      <c r="AS651" s="13"/>
      <c r="AV651" s="114"/>
    </row>
    <row r="652" spans="1:48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22"/>
      <c r="AB652" s="122"/>
      <c r="AC652" s="122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26"/>
      <c r="AS652" s="13"/>
      <c r="AV652" s="114"/>
    </row>
    <row r="653" spans="1:48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22"/>
      <c r="AB653" s="122"/>
      <c r="AC653" s="122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26"/>
      <c r="AS653" s="13"/>
      <c r="AV653" s="114"/>
    </row>
    <row r="654" spans="1:48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22"/>
      <c r="AB654" s="122"/>
      <c r="AC654" s="122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26"/>
      <c r="AS654" s="13"/>
      <c r="AV654" s="114"/>
    </row>
    <row r="655" spans="1:48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22"/>
      <c r="AB655" s="122"/>
      <c r="AC655" s="122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26"/>
      <c r="AS655" s="13"/>
      <c r="AV655" s="114"/>
    </row>
    <row r="656" spans="1:48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22"/>
      <c r="AB656" s="122"/>
      <c r="AC656" s="122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26"/>
      <c r="AS656" s="13"/>
      <c r="AV656" s="114"/>
    </row>
    <row r="657" spans="1:48" x14ac:dyDescent="0.4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22"/>
      <c r="AB657" s="122"/>
      <c r="AC657" s="122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26"/>
      <c r="AS657" s="13"/>
      <c r="AV657" s="114"/>
    </row>
    <row r="658" spans="1:48" x14ac:dyDescent="0.4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22"/>
      <c r="AB658" s="122"/>
      <c r="AC658" s="122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26"/>
      <c r="AS658" s="15"/>
      <c r="AV658" s="114"/>
    </row>
    <row r="659" spans="1:48" x14ac:dyDescent="0.4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22"/>
      <c r="AB659" s="122"/>
      <c r="AC659" s="122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26"/>
      <c r="AS659" s="15"/>
      <c r="AV659" s="114"/>
    </row>
    <row r="660" spans="1:48" x14ac:dyDescent="0.4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22"/>
      <c r="AB660" s="122"/>
      <c r="AC660" s="122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26"/>
      <c r="AS660" s="15"/>
      <c r="AV660" s="114"/>
    </row>
    <row r="661" spans="1:48" x14ac:dyDescent="0.4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22"/>
      <c r="AB661" s="122"/>
      <c r="AC661" s="122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26"/>
      <c r="AS661" s="15"/>
      <c r="AV661" s="114"/>
    </row>
    <row r="662" spans="1:48" x14ac:dyDescent="0.4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22"/>
      <c r="AB662" s="122"/>
      <c r="AC662" s="122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26"/>
      <c r="AS662" s="13"/>
      <c r="AV662" s="114"/>
    </row>
    <row r="663" spans="1:48" x14ac:dyDescent="0.4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22"/>
      <c r="AB663" s="122"/>
      <c r="AC663" s="122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26"/>
      <c r="AS663" s="15"/>
      <c r="AV663" s="114"/>
    </row>
    <row r="664" spans="1:48" x14ac:dyDescent="0.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22"/>
      <c r="AB664" s="122"/>
      <c r="AC664" s="122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26"/>
      <c r="AS664" s="15"/>
      <c r="AV664" s="114"/>
    </row>
    <row r="665" spans="1:48" x14ac:dyDescent="0.4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22"/>
      <c r="AB665" s="122"/>
      <c r="AC665" s="122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26"/>
      <c r="AS665" s="15"/>
      <c r="AV665" s="114"/>
    </row>
    <row r="666" spans="1:48" x14ac:dyDescent="0.4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22"/>
      <c r="AB666" s="122"/>
      <c r="AC666" s="122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26"/>
      <c r="AS666" s="15"/>
      <c r="AV666" s="114"/>
    </row>
    <row r="667" spans="1:48" x14ac:dyDescent="0.4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22"/>
      <c r="AB667" s="122"/>
      <c r="AC667" s="122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26"/>
      <c r="AS667" s="15"/>
      <c r="AV667" s="114"/>
    </row>
    <row r="668" spans="1:48" x14ac:dyDescent="0.4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22"/>
      <c r="AB668" s="122"/>
      <c r="AC668" s="122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26"/>
      <c r="AS668" s="105"/>
      <c r="AV668" s="114"/>
    </row>
    <row r="669" spans="1:48" x14ac:dyDescent="0.4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22"/>
      <c r="AB669" s="122"/>
      <c r="AC669" s="122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7"/>
      <c r="AS669" s="15"/>
      <c r="AV669" s="114"/>
    </row>
    <row r="670" spans="1:48" x14ac:dyDescent="0.4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22"/>
      <c r="AB670" s="122"/>
      <c r="AC670" s="122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26"/>
      <c r="AS670" s="15"/>
      <c r="AV670" s="114"/>
    </row>
    <row r="671" spans="1:48" x14ac:dyDescent="0.4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22"/>
      <c r="AB671" s="122"/>
      <c r="AC671" s="122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26"/>
      <c r="AS671" s="15"/>
      <c r="AV671" s="114"/>
    </row>
    <row r="672" spans="1:48" x14ac:dyDescent="0.4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22"/>
      <c r="AB672" s="122"/>
      <c r="AC672" s="122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26"/>
      <c r="AS672" s="105"/>
      <c r="AV672" s="114"/>
    </row>
    <row r="673" spans="2:48" x14ac:dyDescent="0.4">
      <c r="AR673" s="26"/>
      <c r="AS673" s="15"/>
      <c r="AV673" s="114"/>
    </row>
    <row r="674" spans="2:48" x14ac:dyDescent="0.4">
      <c r="AB674" s="122"/>
      <c r="AC674" s="122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26"/>
      <c r="AS674" s="15"/>
      <c r="AV674" s="114"/>
    </row>
    <row r="675" spans="2:48" x14ac:dyDescent="0.4">
      <c r="X675" s="115"/>
      <c r="Y675" s="115"/>
      <c r="Z675" s="115"/>
      <c r="AA675" s="122"/>
      <c r="AB675" s="122"/>
      <c r="AC675" s="122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26"/>
      <c r="AS675" s="15"/>
      <c r="AV675" s="114"/>
    </row>
    <row r="676" spans="2:48" x14ac:dyDescent="0.4"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22"/>
      <c r="AB676" s="122"/>
      <c r="AC676" s="122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26"/>
      <c r="AS676" s="15"/>
      <c r="AV676" s="114"/>
    </row>
    <row r="677" spans="2:48" x14ac:dyDescent="0.4"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22"/>
      <c r="AB677" s="122"/>
      <c r="AC677" s="122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7"/>
      <c r="AS677" s="15"/>
      <c r="AV677" s="114"/>
    </row>
    <row r="678" spans="2:48" x14ac:dyDescent="0.4"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22"/>
      <c r="AB678" s="122"/>
      <c r="AC678" s="122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26"/>
      <c r="AS678" s="15"/>
      <c r="AV678" s="114"/>
    </row>
    <row r="679" spans="2:48" x14ac:dyDescent="0.4"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22"/>
      <c r="AB679" s="122"/>
      <c r="AC679" s="122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26"/>
      <c r="AS679" s="15"/>
      <c r="AV679" s="114"/>
    </row>
    <row r="680" spans="2:48" x14ac:dyDescent="0.4"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22"/>
      <c r="AB680" s="122"/>
      <c r="AC680" s="122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26"/>
      <c r="AS680" s="15"/>
      <c r="AV680" s="114"/>
    </row>
    <row r="681" spans="2:48" x14ac:dyDescent="0.4"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22"/>
      <c r="AB681" s="122"/>
      <c r="AC681" s="122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26"/>
      <c r="AS681" s="15"/>
      <c r="AV681" s="114"/>
    </row>
    <row r="682" spans="2:48" x14ac:dyDescent="0.4"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22"/>
      <c r="AB682" s="122"/>
      <c r="AC682" s="122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26"/>
      <c r="AS682" s="15"/>
      <c r="AV682" s="114"/>
    </row>
    <row r="683" spans="2:48" x14ac:dyDescent="0.4"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22"/>
      <c r="AB683" s="122"/>
      <c r="AC683" s="122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26"/>
      <c r="AS683" s="15"/>
      <c r="AV683" s="114"/>
    </row>
    <row r="684" spans="2:48" x14ac:dyDescent="0.4"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22"/>
      <c r="AB684" s="122"/>
      <c r="AC684" s="122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26"/>
      <c r="AS684" s="15"/>
      <c r="AV684" s="114"/>
    </row>
    <row r="685" spans="2:48" x14ac:dyDescent="0.4"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22"/>
      <c r="AB685" s="122"/>
      <c r="AC685" s="122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7"/>
      <c r="AS685" s="15"/>
      <c r="AV685" s="114"/>
    </row>
    <row r="686" spans="2:48" x14ac:dyDescent="0.4"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22"/>
      <c r="AB686" s="122"/>
      <c r="AC686" s="122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26"/>
      <c r="AS686" s="15"/>
      <c r="AV686" s="114"/>
    </row>
    <row r="687" spans="2:48" x14ac:dyDescent="0.4"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22"/>
      <c r="AB687" s="122"/>
      <c r="AC687" s="122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26"/>
      <c r="AS687" s="15"/>
      <c r="AV687" s="114"/>
    </row>
    <row r="688" spans="2:48" x14ac:dyDescent="0.4"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22"/>
      <c r="AB688" s="122"/>
      <c r="AC688" s="122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26"/>
      <c r="AS688" s="15"/>
      <c r="AV688" s="114"/>
    </row>
    <row r="689" spans="2:48" x14ac:dyDescent="0.4"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22"/>
      <c r="AB689" s="122"/>
      <c r="AC689" s="122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26"/>
      <c r="AS689" s="15"/>
      <c r="AV689" s="114"/>
    </row>
    <row r="690" spans="2:48" x14ac:dyDescent="0.4"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22"/>
      <c r="AB690" s="122"/>
      <c r="AC690" s="122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26"/>
      <c r="AS690" s="15"/>
      <c r="AV690" s="114"/>
    </row>
    <row r="691" spans="2:48" x14ac:dyDescent="0.4"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22"/>
      <c r="AB691" s="122"/>
      <c r="AC691" s="122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26"/>
      <c r="AS691" s="15"/>
      <c r="AV691" s="114"/>
    </row>
    <row r="692" spans="2:48" x14ac:dyDescent="0.4"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22"/>
      <c r="AB692" s="122"/>
      <c r="AC692" s="122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26"/>
      <c r="AS692" s="15"/>
      <c r="AV692" s="114"/>
    </row>
    <row r="693" spans="2:48" x14ac:dyDescent="0.4"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22"/>
      <c r="AB693" s="122"/>
      <c r="AC693" s="122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7"/>
      <c r="AS693" s="15"/>
      <c r="AV693" s="114"/>
    </row>
    <row r="694" spans="2:48" x14ac:dyDescent="0.4"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22"/>
      <c r="AB694" s="122"/>
      <c r="AC694" s="122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26"/>
      <c r="AS694" s="15"/>
      <c r="AV694" s="114"/>
    </row>
    <row r="695" spans="2:48" x14ac:dyDescent="0.4"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22"/>
      <c r="AB695" s="122"/>
      <c r="AC695" s="122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26"/>
      <c r="AS695" s="15"/>
      <c r="AV695" s="114"/>
    </row>
    <row r="696" spans="2:48" x14ac:dyDescent="0.4"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22"/>
      <c r="AB696" s="122"/>
      <c r="AC696" s="122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26"/>
      <c r="AS696" s="15"/>
      <c r="AV696" s="114"/>
    </row>
    <row r="697" spans="2:48" x14ac:dyDescent="0.4"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22"/>
      <c r="AB697" s="122"/>
      <c r="AC697" s="122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26"/>
      <c r="AS697" s="15"/>
      <c r="AV697" s="114"/>
    </row>
    <row r="698" spans="2:48" x14ac:dyDescent="0.4"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22"/>
      <c r="AB698" s="122"/>
      <c r="AC698" s="122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26"/>
      <c r="AS698" s="15"/>
      <c r="AV698" s="114"/>
    </row>
    <row r="699" spans="2:48" x14ac:dyDescent="0.4"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22"/>
      <c r="AB699" s="122"/>
      <c r="AC699" s="122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26"/>
      <c r="AS699" s="15"/>
      <c r="AV699" s="114"/>
    </row>
    <row r="700" spans="2:48" x14ac:dyDescent="0.4"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22"/>
      <c r="AB700" s="122"/>
      <c r="AC700" s="122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5"/>
      <c r="AR700" s="26"/>
      <c r="AS700" s="15"/>
      <c r="AV700" s="114"/>
    </row>
    <row r="701" spans="2:48" x14ac:dyDescent="0.4"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22"/>
      <c r="AB701" s="122"/>
      <c r="AC701" s="122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115"/>
      <c r="AR701" s="26"/>
      <c r="AS701" s="15"/>
      <c r="AV701" s="114"/>
    </row>
    <row r="702" spans="2:48" x14ac:dyDescent="0.4"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22"/>
      <c r="AB702" s="122"/>
      <c r="AC702" s="122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7"/>
      <c r="AS702" s="15"/>
      <c r="AV702" s="114"/>
    </row>
    <row r="703" spans="2:48" x14ac:dyDescent="0.4"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22"/>
      <c r="AB703" s="122"/>
      <c r="AC703" s="122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26"/>
      <c r="AS703" s="15"/>
      <c r="AV703" s="114"/>
    </row>
    <row r="704" spans="2:48" x14ac:dyDescent="0.4"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22"/>
      <c r="AB704" s="122"/>
      <c r="AC704" s="122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7"/>
      <c r="AS704" s="15"/>
      <c r="AV704" s="114"/>
    </row>
    <row r="705" spans="1:48" x14ac:dyDescent="0.4"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22"/>
      <c r="AB705" s="122"/>
      <c r="AC705" s="122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26"/>
      <c r="AS705" s="15"/>
      <c r="AV705" s="114"/>
    </row>
    <row r="706" spans="1:48" x14ac:dyDescent="0.4"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22"/>
      <c r="AB706" s="122"/>
      <c r="AC706" s="122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7"/>
      <c r="AS706" s="15"/>
      <c r="AV706" s="114"/>
    </row>
    <row r="707" spans="1:48" x14ac:dyDescent="0.4"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22"/>
      <c r="AB707" s="122"/>
      <c r="AC707" s="122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26"/>
      <c r="AS707" s="15"/>
      <c r="AV707" s="114"/>
    </row>
    <row r="708" spans="1:48" x14ac:dyDescent="0.4"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22"/>
      <c r="AB708" s="122"/>
      <c r="AC708" s="122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26"/>
      <c r="AS708" s="15"/>
      <c r="AV708" s="114"/>
    </row>
    <row r="709" spans="1:48" x14ac:dyDescent="0.4"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22"/>
      <c r="AB709" s="122"/>
      <c r="AC709" s="122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7"/>
      <c r="AS709" s="15"/>
      <c r="AV709" s="114"/>
    </row>
    <row r="710" spans="1:48" x14ac:dyDescent="0.4"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22"/>
      <c r="AB710" s="122"/>
      <c r="AC710" s="122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26"/>
      <c r="AS710" s="15"/>
      <c r="AV710" s="114"/>
    </row>
    <row r="711" spans="1:48" x14ac:dyDescent="0.4"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22"/>
      <c r="AB711" s="122"/>
      <c r="AC711" s="122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26"/>
      <c r="AS711" s="15"/>
      <c r="AV711" s="114"/>
    </row>
    <row r="712" spans="1:48" x14ac:dyDescent="0.4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22"/>
      <c r="AB712" s="122"/>
      <c r="AC712" s="122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26"/>
      <c r="AS712" s="105"/>
      <c r="AV712" s="114"/>
    </row>
    <row r="713" spans="1:48" x14ac:dyDescent="0.4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22"/>
      <c r="AB713" s="122"/>
      <c r="AC713" s="122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7"/>
      <c r="AS713" s="15"/>
      <c r="AV713" s="114"/>
    </row>
    <row r="714" spans="1:48" x14ac:dyDescent="0.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22"/>
      <c r="AB714" s="122"/>
      <c r="AC714" s="122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7"/>
      <c r="AS714" s="15"/>
      <c r="AV714" s="114"/>
    </row>
    <row r="715" spans="1:48" x14ac:dyDescent="0.4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22"/>
      <c r="AB715" s="122"/>
      <c r="AC715" s="122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26"/>
      <c r="AS715" s="15"/>
      <c r="AV715" s="114"/>
    </row>
    <row r="716" spans="1:48" x14ac:dyDescent="0.4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22"/>
      <c r="AB716" s="122"/>
      <c r="AC716" s="122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26"/>
      <c r="AS716" s="15"/>
      <c r="AV716" s="114"/>
    </row>
    <row r="717" spans="1:48" x14ac:dyDescent="0.4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22"/>
      <c r="AB717" s="122"/>
      <c r="AC717" s="122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26"/>
      <c r="AS717" s="15"/>
      <c r="AV717" s="114"/>
    </row>
    <row r="718" spans="1:48" x14ac:dyDescent="0.4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22"/>
      <c r="AB718" s="122"/>
      <c r="AC718" s="122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26"/>
      <c r="AS718" s="15"/>
      <c r="AV718" s="114"/>
    </row>
    <row r="719" spans="1:48" x14ac:dyDescent="0.4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22"/>
      <c r="AB719" s="122"/>
      <c r="AC719" s="122"/>
      <c r="AD719" s="11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26"/>
      <c r="AS719" s="15"/>
      <c r="AV719" s="114"/>
    </row>
    <row r="720" spans="1:48" x14ac:dyDescent="0.4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22"/>
      <c r="AB720" s="122"/>
      <c r="AC720" s="122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26"/>
      <c r="AS720" s="15"/>
      <c r="AV720" s="114"/>
    </row>
    <row r="721" spans="1:48" x14ac:dyDescent="0.4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22"/>
      <c r="AB721" s="122"/>
      <c r="AC721" s="122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26"/>
      <c r="AS721" s="15"/>
      <c r="AV721" s="114"/>
    </row>
    <row r="722" spans="1:48" x14ac:dyDescent="0.4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22"/>
      <c r="AB722" s="122"/>
      <c r="AC722" s="122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26"/>
      <c r="AS722" s="15"/>
      <c r="AV722" s="114"/>
    </row>
    <row r="723" spans="1:48" x14ac:dyDescent="0.4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22"/>
      <c r="AB723" s="122"/>
      <c r="AC723" s="122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26"/>
      <c r="AS723" s="105"/>
      <c r="AV723" s="114"/>
    </row>
    <row r="724" spans="1:48" x14ac:dyDescent="0.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22"/>
      <c r="AB724" s="122"/>
      <c r="AC724" s="122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26"/>
      <c r="AS724" s="15"/>
      <c r="AV724" s="114"/>
    </row>
    <row r="725" spans="1:48" x14ac:dyDescent="0.4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22"/>
      <c r="AB725" s="122"/>
      <c r="AC725" s="122"/>
      <c r="AD725" s="11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26"/>
      <c r="AS725" s="15"/>
      <c r="AV725" s="114"/>
    </row>
    <row r="726" spans="1:48" x14ac:dyDescent="0.4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22"/>
      <c r="AB726" s="122"/>
      <c r="AC726" s="122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26"/>
      <c r="AS726" s="13"/>
      <c r="AV726" s="114"/>
    </row>
    <row r="727" spans="1:48" x14ac:dyDescent="0.4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22"/>
      <c r="AB727" s="122"/>
      <c r="AC727" s="122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15"/>
      <c r="AR727" s="17"/>
      <c r="AS727" s="13"/>
      <c r="AV727" s="114"/>
    </row>
    <row r="728" spans="1:48" x14ac:dyDescent="0.4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22"/>
      <c r="AB728" s="122"/>
      <c r="AC728" s="122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26"/>
      <c r="AS728" s="13"/>
      <c r="AV728" s="114"/>
    </row>
    <row r="729" spans="1:48" x14ac:dyDescent="0.4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22"/>
      <c r="AB729" s="122"/>
      <c r="AC729" s="122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26"/>
      <c r="AS729" s="13"/>
      <c r="AV729" s="114"/>
    </row>
    <row r="730" spans="1:48" x14ac:dyDescent="0.4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22"/>
      <c r="AB730" s="122"/>
      <c r="AC730" s="122"/>
      <c r="AD730" s="115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26"/>
      <c r="AS730" s="13"/>
      <c r="AV730" s="114"/>
    </row>
    <row r="731" spans="1:48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22"/>
      <c r="AB731" s="122"/>
      <c r="AC731" s="122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26"/>
      <c r="AS731" s="13"/>
      <c r="AV731" s="114"/>
    </row>
    <row r="732" spans="1:48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22"/>
      <c r="AB732" s="122"/>
      <c r="AC732" s="122"/>
      <c r="AD732" s="115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26"/>
      <c r="AS732" s="13"/>
      <c r="AV732" s="114"/>
    </row>
    <row r="733" spans="1:48" x14ac:dyDescent="0.4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22"/>
      <c r="AB733" s="122"/>
      <c r="AC733" s="122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26"/>
      <c r="AS733" s="13"/>
      <c r="AV733" s="114"/>
    </row>
    <row r="734" spans="1:48" x14ac:dyDescent="0.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22"/>
      <c r="AB734" s="122"/>
      <c r="AC734" s="122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17"/>
      <c r="AS734" s="13"/>
      <c r="AV734" s="114"/>
    </row>
    <row r="735" spans="1:48" x14ac:dyDescent="0.4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22"/>
      <c r="AB735" s="122"/>
      <c r="AC735" s="122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26"/>
      <c r="AS735" s="13"/>
      <c r="AV735" s="114"/>
    </row>
    <row r="736" spans="1:48" x14ac:dyDescent="0.4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22"/>
      <c r="AB736" s="122"/>
      <c r="AC736" s="122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26"/>
      <c r="AS736" s="13"/>
      <c r="AV736" s="114"/>
    </row>
    <row r="737" spans="1:48" x14ac:dyDescent="0.4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22"/>
      <c r="AB737" s="122"/>
      <c r="AC737" s="122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26"/>
      <c r="AS737" s="13"/>
      <c r="AV737" s="114"/>
    </row>
    <row r="738" spans="1:48" x14ac:dyDescent="0.4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22"/>
      <c r="AB738" s="122"/>
      <c r="AC738" s="122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26"/>
      <c r="AS738" s="13"/>
      <c r="AV738" s="114"/>
    </row>
    <row r="739" spans="1:48" x14ac:dyDescent="0.4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22"/>
      <c r="AB739" s="122"/>
      <c r="AC739" s="122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26"/>
      <c r="AS739" s="25"/>
      <c r="AV739" s="114"/>
    </row>
    <row r="740" spans="1:48" x14ac:dyDescent="0.4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22"/>
      <c r="AB740" s="122"/>
      <c r="AC740" s="122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17"/>
      <c r="AS740" s="13"/>
      <c r="AV740" s="114"/>
    </row>
    <row r="741" spans="1:48" x14ac:dyDescent="0.4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22"/>
      <c r="AB741" s="122"/>
      <c r="AC741" s="122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26"/>
      <c r="AS741" s="15"/>
      <c r="AV741" s="114"/>
    </row>
    <row r="742" spans="1:48" x14ac:dyDescent="0.4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22"/>
      <c r="AB742" s="122"/>
      <c r="AC742" s="122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26"/>
      <c r="AS742" s="15"/>
      <c r="AV742" s="114"/>
    </row>
    <row r="743" spans="1:48" x14ac:dyDescent="0.4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22"/>
      <c r="AB743" s="122"/>
      <c r="AC743" s="122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7"/>
      <c r="AS743" s="15"/>
      <c r="AV743" s="114"/>
    </row>
    <row r="744" spans="1:48" x14ac:dyDescent="0.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22"/>
      <c r="AB744" s="122"/>
      <c r="AC744" s="122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26"/>
      <c r="AS744" s="15"/>
      <c r="AV744" s="114"/>
    </row>
    <row r="745" spans="1:48" x14ac:dyDescent="0.4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22"/>
      <c r="AB745" s="122"/>
      <c r="AC745" s="122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26"/>
      <c r="AS745" s="15"/>
      <c r="AV745" s="114"/>
    </row>
    <row r="746" spans="1:48" x14ac:dyDescent="0.4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22"/>
      <c r="AB746" s="122"/>
      <c r="AC746" s="122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26"/>
      <c r="AS746" s="13"/>
      <c r="AV746" s="114"/>
    </row>
    <row r="747" spans="1:48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22"/>
      <c r="AB747" s="122"/>
      <c r="AC747" s="122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26"/>
      <c r="AS747" s="13"/>
      <c r="AV747" s="114"/>
    </row>
    <row r="748" spans="1:48" x14ac:dyDescent="0.4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22"/>
      <c r="AB748" s="122"/>
      <c r="AC748" s="122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26"/>
      <c r="AS748" s="13"/>
      <c r="AV748" s="114"/>
    </row>
    <row r="749" spans="1:48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22"/>
      <c r="AB749" s="122"/>
      <c r="AC749" s="122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26"/>
      <c r="AS749" s="13"/>
      <c r="AV749" s="114"/>
    </row>
    <row r="750" spans="1:48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22"/>
      <c r="AB750" s="122"/>
      <c r="AC750" s="122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26"/>
      <c r="AS750" s="13"/>
      <c r="AV750" s="114"/>
    </row>
    <row r="751" spans="1:48" x14ac:dyDescent="0.4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22"/>
      <c r="AB751" s="122"/>
      <c r="AC751" s="122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115"/>
      <c r="AR751" s="26"/>
      <c r="AS751" s="13"/>
      <c r="AV751" s="114"/>
    </row>
    <row r="752" spans="1:48" x14ac:dyDescent="0.4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22"/>
      <c r="AB752" s="122"/>
      <c r="AC752" s="122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26"/>
      <c r="AS752" s="13"/>
      <c r="AV752" s="114"/>
    </row>
    <row r="753" spans="1:49" x14ac:dyDescent="0.4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22"/>
      <c r="AB753" s="122"/>
      <c r="AC753" s="122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26"/>
      <c r="AS753" s="13"/>
      <c r="AV753" s="114"/>
    </row>
    <row r="754" spans="1:49" x14ac:dyDescent="0.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22"/>
      <c r="AB754" s="122"/>
      <c r="AC754" s="122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115"/>
      <c r="AR754" s="17"/>
      <c r="AS754" s="13"/>
      <c r="AV754" s="114"/>
    </row>
    <row r="755" spans="1:49" x14ac:dyDescent="0.4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22"/>
      <c r="AB755" s="122"/>
      <c r="AC755" s="122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26"/>
      <c r="AS755" s="13"/>
      <c r="AV755" s="114"/>
    </row>
    <row r="756" spans="1:49" x14ac:dyDescent="0.4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22"/>
      <c r="AB756" s="122"/>
      <c r="AC756" s="122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17"/>
      <c r="AS756" s="13"/>
      <c r="AV756" s="114"/>
    </row>
    <row r="757" spans="1:49" x14ac:dyDescent="0.4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22"/>
      <c r="AB757" s="122"/>
      <c r="AC757" s="122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26"/>
      <c r="AS757" s="13"/>
      <c r="AV757" s="114"/>
    </row>
    <row r="758" spans="1:49" x14ac:dyDescent="0.4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22"/>
      <c r="AB758" s="122"/>
      <c r="AC758" s="122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26"/>
      <c r="AS758" s="13"/>
      <c r="AV758" s="114"/>
    </row>
    <row r="759" spans="1:49" x14ac:dyDescent="0.4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22"/>
      <c r="AB759" s="122"/>
      <c r="AC759" s="122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26"/>
      <c r="AS759" s="13"/>
      <c r="AV759" s="114"/>
    </row>
    <row r="760" spans="1:49" x14ac:dyDescent="0.4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22"/>
      <c r="AB760" s="122"/>
      <c r="AC760" s="122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26"/>
      <c r="AS760" s="15"/>
      <c r="AV760" s="114"/>
    </row>
    <row r="761" spans="1:49" x14ac:dyDescent="0.4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22"/>
      <c r="AB761" s="122"/>
      <c r="AC761" s="122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26"/>
      <c r="AS761" s="15"/>
      <c r="AV761" s="114"/>
    </row>
    <row r="762" spans="1:49" x14ac:dyDescent="0.4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22"/>
      <c r="AB762" s="122"/>
      <c r="AC762" s="122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26"/>
      <c r="AS762" s="15"/>
      <c r="AV762" s="114"/>
    </row>
    <row r="763" spans="1:49" x14ac:dyDescent="0.4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22"/>
      <c r="AB763" s="122"/>
      <c r="AC763" s="122"/>
      <c r="AD763" s="115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26"/>
      <c r="AS763" s="13"/>
      <c r="AV763" s="114"/>
    </row>
    <row r="764" spans="1:49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22"/>
      <c r="AB764" s="122"/>
      <c r="AC764" s="122"/>
      <c r="AD764" s="115"/>
      <c r="AE764" s="115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26"/>
      <c r="AS764" s="15"/>
      <c r="AV764" s="114"/>
    </row>
    <row r="765" spans="1:49" x14ac:dyDescent="0.4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22"/>
      <c r="AB765" s="122"/>
      <c r="AC765" s="122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26"/>
      <c r="AS765" s="15"/>
      <c r="AV765" s="114"/>
      <c r="AW765" s="120"/>
    </row>
    <row r="766" spans="1:49" x14ac:dyDescent="0.4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22"/>
      <c r="AB766" s="122"/>
      <c r="AC766" s="122"/>
      <c r="AD766" s="115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26"/>
      <c r="AS766" s="15"/>
      <c r="AV766" s="114"/>
      <c r="AW766" s="120"/>
    </row>
    <row r="767" spans="1:49" x14ac:dyDescent="0.4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22"/>
      <c r="AB767" s="122"/>
      <c r="AC767" s="122"/>
      <c r="AD767" s="115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26"/>
      <c r="AS767" s="15"/>
      <c r="AV767" s="114"/>
      <c r="AW767" s="120"/>
    </row>
    <row r="768" spans="1:49" x14ac:dyDescent="0.4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22"/>
      <c r="AB768" s="122"/>
      <c r="AC768" s="122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26"/>
      <c r="AS768" s="15"/>
      <c r="AV768" s="114"/>
      <c r="AW768" s="120"/>
    </row>
    <row r="769" spans="1:49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22"/>
      <c r="AB769" s="122"/>
      <c r="AC769" s="122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26"/>
      <c r="AS769" s="15"/>
      <c r="AV769" s="114"/>
      <c r="AW769" s="120"/>
    </row>
    <row r="770" spans="1:49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22"/>
      <c r="AB770" s="122"/>
      <c r="AC770" s="122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26"/>
      <c r="AS770" s="15"/>
      <c r="AV770" s="114"/>
      <c r="AW770" s="120"/>
    </row>
    <row r="771" spans="1:49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22"/>
      <c r="AB771" s="122"/>
      <c r="AC771" s="122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26"/>
      <c r="AS771" s="15"/>
      <c r="AV771" s="114"/>
      <c r="AW771" s="120"/>
    </row>
    <row r="772" spans="1:49" x14ac:dyDescent="0.4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22"/>
      <c r="AB772" s="122"/>
      <c r="AC772" s="122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7"/>
      <c r="AS772" s="15"/>
      <c r="AV772" s="114"/>
      <c r="AW772" s="120"/>
    </row>
    <row r="773" spans="1:49" x14ac:dyDescent="0.4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22"/>
      <c r="AB773" s="122"/>
      <c r="AC773" s="122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26"/>
      <c r="AS773" s="15"/>
      <c r="AV773" s="114"/>
      <c r="AW773" s="120"/>
    </row>
    <row r="774" spans="1:49" x14ac:dyDescent="0.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22"/>
      <c r="AB774" s="122"/>
      <c r="AC774" s="122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26"/>
      <c r="AS774" s="15"/>
      <c r="AV774" s="114"/>
    </row>
    <row r="775" spans="1:49" x14ac:dyDescent="0.4">
      <c r="AR775" s="26"/>
      <c r="AS775" s="15"/>
      <c r="AV775" s="114"/>
    </row>
    <row r="776" spans="1:49" x14ac:dyDescent="0.4"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7"/>
      <c r="AS776" s="15"/>
      <c r="AV776" s="114"/>
    </row>
    <row r="777" spans="1:49" x14ac:dyDescent="0.4"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7"/>
      <c r="AS777" s="15"/>
      <c r="AV777" s="114"/>
    </row>
    <row r="778" spans="1:49" x14ac:dyDescent="0.4">
      <c r="AC778" s="122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7"/>
      <c r="AS778" s="15"/>
      <c r="AV778" s="114"/>
    </row>
    <row r="779" spans="1:49" x14ac:dyDescent="0.4">
      <c r="X779" s="115"/>
      <c r="Y779" s="115"/>
      <c r="Z779" s="115"/>
      <c r="AA779" s="122"/>
      <c r="AB779" s="122"/>
      <c r="AC779" s="122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26"/>
      <c r="AS779" s="15"/>
      <c r="AV779" s="114"/>
    </row>
    <row r="780" spans="1:49" x14ac:dyDescent="0.4">
      <c r="X780" s="115"/>
      <c r="Y780" s="115"/>
      <c r="Z780" s="115"/>
      <c r="AA780" s="122"/>
      <c r="AB780" s="122"/>
      <c r="AC780" s="122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7"/>
      <c r="AS780" s="15"/>
      <c r="AV780" s="114"/>
    </row>
    <row r="781" spans="1:49" x14ac:dyDescent="0.4">
      <c r="W781" s="115"/>
      <c r="X781" s="115"/>
      <c r="Y781" s="115"/>
      <c r="Z781" s="115"/>
      <c r="AA781" s="122"/>
      <c r="AB781" s="122"/>
      <c r="AC781" s="122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115"/>
      <c r="AR781" s="26"/>
      <c r="AS781" s="15"/>
      <c r="AV781" s="114"/>
    </row>
    <row r="782" spans="1:49" x14ac:dyDescent="0.4">
      <c r="W782" s="115"/>
      <c r="X782" s="115"/>
      <c r="Y782" s="115"/>
      <c r="Z782" s="115"/>
      <c r="AA782" s="122"/>
      <c r="AB782" s="122"/>
      <c r="AC782" s="122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15"/>
      <c r="AR782" s="17"/>
      <c r="AS782" s="15"/>
      <c r="AV782" s="114"/>
    </row>
    <row r="783" spans="1:49" x14ac:dyDescent="0.4">
      <c r="W783" s="115"/>
      <c r="X783" s="115"/>
      <c r="Y783" s="115"/>
      <c r="Z783" s="115"/>
      <c r="AA783" s="122"/>
      <c r="AB783" s="122"/>
      <c r="AC783" s="122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7"/>
      <c r="AS783" s="15"/>
      <c r="AV783" s="114"/>
    </row>
    <row r="784" spans="1:49" x14ac:dyDescent="0.4">
      <c r="W784" s="115"/>
      <c r="X784" s="115"/>
      <c r="Y784" s="115"/>
      <c r="Z784" s="115"/>
      <c r="AA784" s="122"/>
      <c r="AB784" s="122"/>
      <c r="AC784" s="122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7"/>
      <c r="AS784" s="15"/>
      <c r="AV784" s="114"/>
    </row>
    <row r="785" spans="4:52" x14ac:dyDescent="0.4">
      <c r="W785" s="115"/>
      <c r="X785" s="115"/>
      <c r="Y785" s="115"/>
      <c r="Z785" s="115"/>
      <c r="AA785" s="122"/>
      <c r="AB785" s="122"/>
      <c r="AC785" s="122"/>
      <c r="AD785" s="115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15"/>
      <c r="AR785" s="26"/>
      <c r="AS785" s="15"/>
      <c r="AV785" s="114"/>
    </row>
    <row r="786" spans="4:52" x14ac:dyDescent="0.4">
      <c r="W786" s="115"/>
      <c r="X786" s="115"/>
      <c r="Y786" s="115"/>
      <c r="Z786" s="115"/>
      <c r="AA786" s="122"/>
      <c r="AB786" s="122"/>
      <c r="AC786" s="122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7"/>
      <c r="AS786" s="15"/>
      <c r="AV786" s="114"/>
    </row>
    <row r="787" spans="4:52" ht="19.5" x14ac:dyDescent="0.4">
      <c r="AR787" s="26"/>
      <c r="AS787" s="15"/>
      <c r="AW787" s="116"/>
      <c r="AX787" s="116"/>
      <c r="AY787" s="116"/>
      <c r="AZ787" s="116"/>
    </row>
    <row r="788" spans="4:52" ht="19.5" x14ac:dyDescent="0.4">
      <c r="AB788" s="122"/>
      <c r="AC788" s="122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7"/>
      <c r="AS788" s="15"/>
      <c r="AW788" s="117"/>
      <c r="AX788" s="116"/>
      <c r="AY788" s="116"/>
      <c r="AZ788" s="116"/>
    </row>
    <row r="789" spans="4:52" ht="19.5" x14ac:dyDescent="0.4">
      <c r="T789" s="115"/>
      <c r="U789" s="115"/>
      <c r="V789" s="115"/>
      <c r="W789" s="115"/>
      <c r="X789" s="115"/>
      <c r="Y789" s="115"/>
      <c r="Z789" s="115"/>
      <c r="AA789" s="122"/>
      <c r="AB789" s="122"/>
      <c r="AC789" s="122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26"/>
      <c r="AS789" s="15"/>
      <c r="AW789" s="117"/>
      <c r="AX789" s="116"/>
      <c r="AY789" s="116"/>
      <c r="AZ789" s="116"/>
    </row>
    <row r="790" spans="4:52" ht="19.5" x14ac:dyDescent="0.4"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22"/>
      <c r="AB790" s="122"/>
      <c r="AC790" s="122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26"/>
      <c r="AS790" s="13"/>
      <c r="AW790" s="117"/>
      <c r="AX790" s="116"/>
      <c r="AY790" s="116"/>
      <c r="AZ790" s="116"/>
    </row>
    <row r="791" spans="4:52" ht="19.5" x14ac:dyDescent="0.4"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22"/>
      <c r="AB791" s="122"/>
      <c r="AC791" s="122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26"/>
      <c r="AS791" s="15"/>
      <c r="AW791" s="117"/>
      <c r="AX791" s="116"/>
      <c r="AY791" s="116"/>
      <c r="AZ791" s="116"/>
    </row>
    <row r="792" spans="4:52" ht="19.5" x14ac:dyDescent="0.4"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22"/>
      <c r="AB792" s="122"/>
      <c r="AC792" s="122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7"/>
      <c r="AS792" s="15"/>
      <c r="AW792" s="117"/>
      <c r="AX792" s="116"/>
      <c r="AY792" s="116"/>
      <c r="AZ792" s="116"/>
    </row>
    <row r="793" spans="4:52" ht="19.5" x14ac:dyDescent="0.4"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22"/>
      <c r="AB793" s="122"/>
      <c r="AC793" s="122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26"/>
      <c r="AS793" s="15"/>
      <c r="AW793" s="117"/>
      <c r="AX793" s="116"/>
      <c r="AY793" s="116"/>
      <c r="AZ793" s="116"/>
    </row>
    <row r="794" spans="4:52" ht="19.5" x14ac:dyDescent="0.4"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22"/>
      <c r="AB794" s="122"/>
      <c r="AC794" s="122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26"/>
      <c r="AS794" s="15"/>
      <c r="AW794" s="117"/>
      <c r="AX794" s="116"/>
      <c r="AY794" s="116"/>
      <c r="AZ794" s="116"/>
    </row>
    <row r="795" spans="4:52" ht="19.5" x14ac:dyDescent="0.4"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22"/>
      <c r="AB795" s="122"/>
      <c r="AC795" s="122"/>
      <c r="AD795" s="115"/>
      <c r="AE795" s="115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7"/>
      <c r="AS795" s="15"/>
      <c r="AW795" s="117"/>
      <c r="AX795" s="116"/>
      <c r="AY795" s="116"/>
      <c r="AZ795" s="116"/>
    </row>
    <row r="796" spans="4:52" ht="19.5" x14ac:dyDescent="0.4"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22"/>
      <c r="AB796" s="122"/>
      <c r="AC796" s="122"/>
      <c r="AD796" s="115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26"/>
      <c r="AS796" s="15"/>
      <c r="AW796" s="117"/>
      <c r="AX796" s="116"/>
      <c r="AY796" s="116"/>
      <c r="AZ796" s="116"/>
    </row>
    <row r="797" spans="4:52" ht="19.5" x14ac:dyDescent="0.4">
      <c r="AR797" s="26"/>
      <c r="AS797" s="15"/>
      <c r="AW797" s="117"/>
      <c r="AX797" s="116"/>
      <c r="AY797" s="116"/>
      <c r="AZ797" s="116"/>
    </row>
    <row r="798" spans="4:52" ht="19.5" x14ac:dyDescent="0.4">
      <c r="AB798" s="122"/>
      <c r="AC798" s="122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7"/>
      <c r="AS798" s="15"/>
      <c r="AW798" s="117"/>
      <c r="AX798" s="116"/>
      <c r="AY798" s="116"/>
      <c r="AZ798" s="116"/>
    </row>
    <row r="799" spans="4:52" ht="19.5" x14ac:dyDescent="0.4">
      <c r="Y799" s="115"/>
      <c r="Z799" s="115"/>
      <c r="AA799" s="122"/>
      <c r="AB799" s="122"/>
      <c r="AC799" s="122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26"/>
      <c r="AS799" s="15"/>
      <c r="AW799" s="117"/>
      <c r="AX799" s="116"/>
      <c r="AY799" s="116"/>
      <c r="AZ799" s="116"/>
    </row>
    <row r="800" spans="4:52" ht="19.5" x14ac:dyDescent="0.4">
      <c r="Y800" s="115"/>
      <c r="Z800" s="115"/>
      <c r="AA800" s="122"/>
      <c r="AB800" s="122"/>
      <c r="AC800" s="122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7"/>
      <c r="AS800" s="15"/>
      <c r="AW800" s="117"/>
      <c r="AX800" s="116"/>
      <c r="AY800" s="116"/>
      <c r="AZ800" s="116"/>
    </row>
    <row r="801" spans="1:52" ht="19.5" x14ac:dyDescent="0.4">
      <c r="X801" s="115"/>
      <c r="Y801" s="115"/>
      <c r="Z801" s="115"/>
      <c r="AA801" s="122"/>
      <c r="AB801" s="122"/>
      <c r="AC801" s="122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26"/>
      <c r="AS801" s="15"/>
      <c r="AW801" s="117"/>
      <c r="AX801" s="116"/>
      <c r="AY801" s="116"/>
      <c r="AZ801" s="116"/>
    </row>
    <row r="802" spans="1:52" ht="19.5" x14ac:dyDescent="0.4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22"/>
      <c r="AB802" s="122"/>
      <c r="AC802" s="122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26"/>
      <c r="AS802" s="15"/>
      <c r="AW802" s="117"/>
      <c r="AX802" s="116"/>
      <c r="AY802" s="116"/>
      <c r="AZ802" s="116"/>
    </row>
    <row r="803" spans="1:52" ht="19.5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22"/>
      <c r="AB803" s="122"/>
      <c r="AC803" s="122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26"/>
      <c r="AS803" s="15"/>
      <c r="AW803" s="117"/>
      <c r="AX803" s="116"/>
      <c r="AY803" s="116"/>
      <c r="AZ803" s="116"/>
    </row>
    <row r="804" spans="1:52" ht="19.5" x14ac:dyDescent="0.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22"/>
      <c r="AB804" s="122"/>
      <c r="AC804" s="122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26"/>
      <c r="AS804" s="15"/>
      <c r="AW804" s="117"/>
      <c r="AX804" s="116"/>
      <c r="AY804" s="116"/>
      <c r="AZ804" s="116"/>
    </row>
    <row r="805" spans="1:52" ht="19.5" x14ac:dyDescent="0.4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22"/>
      <c r="AB805" s="122"/>
      <c r="AC805" s="122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26"/>
      <c r="AS805" s="105"/>
      <c r="AW805" s="117"/>
      <c r="AX805" s="116"/>
      <c r="AY805" s="116"/>
      <c r="AZ805" s="116"/>
    </row>
    <row r="806" spans="1:52" ht="19.5" x14ac:dyDescent="0.4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22"/>
      <c r="AB806" s="122"/>
      <c r="AC806" s="122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26"/>
      <c r="AS806" s="105"/>
      <c r="AW806" s="117"/>
      <c r="AX806" s="116"/>
      <c r="AY806" s="116"/>
      <c r="AZ806" s="116"/>
    </row>
    <row r="807" spans="1:52" ht="19.5" x14ac:dyDescent="0.4">
      <c r="AR807" s="26"/>
      <c r="AS807" s="13"/>
      <c r="AW807" s="117"/>
      <c r="AX807" s="116"/>
      <c r="AY807" s="116"/>
      <c r="AZ807" s="116"/>
    </row>
    <row r="808" spans="1:52" ht="19.5" x14ac:dyDescent="0.4">
      <c r="Y808" s="115"/>
      <c r="Z808" s="115"/>
      <c r="AA808" s="122"/>
      <c r="AB808" s="122"/>
      <c r="AC808" s="122"/>
      <c r="AD808" s="115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115"/>
      <c r="AR808" s="26"/>
      <c r="AS808" s="13"/>
      <c r="AW808" s="117"/>
      <c r="AX808" s="116"/>
      <c r="AY808" s="116"/>
      <c r="AZ808" s="116"/>
    </row>
    <row r="809" spans="1:52" ht="19.5" x14ac:dyDescent="0.4">
      <c r="T809" s="115"/>
      <c r="U809" s="115"/>
      <c r="V809" s="115"/>
      <c r="W809" s="115"/>
      <c r="X809" s="115"/>
      <c r="Y809" s="115"/>
      <c r="Z809" s="115"/>
      <c r="AA809" s="122"/>
      <c r="AB809" s="122"/>
      <c r="AC809" s="122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26"/>
      <c r="AS809" s="13"/>
      <c r="AW809" s="117"/>
      <c r="AX809" s="116"/>
      <c r="AY809" s="116"/>
      <c r="AZ809" s="116"/>
    </row>
    <row r="810" spans="1:52" ht="19.5" x14ac:dyDescent="0.4">
      <c r="AR810" s="26"/>
      <c r="AS810" s="13"/>
      <c r="AW810" s="117"/>
      <c r="AX810" s="116"/>
      <c r="AY810" s="116"/>
      <c r="AZ810" s="116"/>
    </row>
    <row r="811" spans="1:52" ht="19.5" x14ac:dyDescent="0.4"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22"/>
      <c r="AB811" s="122"/>
      <c r="AC811" s="122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26"/>
      <c r="AS811" s="13"/>
      <c r="AW811" s="117"/>
      <c r="AX811" s="116"/>
      <c r="AY811" s="116"/>
      <c r="AZ811" s="116"/>
    </row>
    <row r="812" spans="1:52" ht="19.5" x14ac:dyDescent="0.4"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22"/>
      <c r="AB812" s="122"/>
      <c r="AC812" s="122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26"/>
      <c r="AS812" s="13"/>
      <c r="AW812" s="117"/>
      <c r="AX812" s="116"/>
      <c r="AY812" s="116"/>
      <c r="AZ812" s="116"/>
    </row>
    <row r="813" spans="1:52" ht="19.5" x14ac:dyDescent="0.4"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22"/>
      <c r="AB813" s="122"/>
      <c r="AC813" s="122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26"/>
      <c r="AS813" s="13"/>
      <c r="AW813" s="117"/>
      <c r="AX813" s="116"/>
      <c r="AY813" s="116"/>
      <c r="AZ813" s="116"/>
    </row>
    <row r="814" spans="1:52" ht="19.5" x14ac:dyDescent="0.4"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22"/>
      <c r="AB814" s="122"/>
      <c r="AC814" s="122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26"/>
      <c r="AS814" s="13"/>
      <c r="AW814" s="117"/>
      <c r="AX814" s="116"/>
      <c r="AY814" s="116"/>
      <c r="AZ814" s="116"/>
    </row>
    <row r="815" spans="1:52" ht="19.5" x14ac:dyDescent="0.4"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22"/>
      <c r="AB815" s="122"/>
      <c r="AC815" s="122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26"/>
      <c r="AS815" s="13"/>
      <c r="AW815" s="117"/>
      <c r="AX815" s="116"/>
      <c r="AY815" s="116"/>
      <c r="AZ815" s="116"/>
    </row>
    <row r="816" spans="1:52" ht="19.5" x14ac:dyDescent="0.4"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22"/>
      <c r="AB816" s="122"/>
      <c r="AC816" s="122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26"/>
      <c r="AS816" s="13"/>
      <c r="AW816" s="117"/>
      <c r="AX816" s="116"/>
      <c r="AY816" s="116"/>
      <c r="AZ816" s="116"/>
    </row>
    <row r="817" spans="1:52" ht="19.5" x14ac:dyDescent="0.4"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22"/>
      <c r="AB817" s="122"/>
      <c r="AC817" s="122"/>
      <c r="AD817" s="115"/>
      <c r="AE817" s="115"/>
      <c r="AF817" s="115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115"/>
      <c r="AR817" s="26"/>
      <c r="AS817" s="13"/>
      <c r="AW817" s="117"/>
      <c r="AX817" s="116"/>
      <c r="AY817" s="116"/>
      <c r="AZ817" s="116"/>
    </row>
    <row r="818" spans="1:52" ht="19.5" x14ac:dyDescent="0.4"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22"/>
      <c r="AB818" s="122"/>
      <c r="AC818" s="122"/>
      <c r="AD818" s="115"/>
      <c r="AE818" s="115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26"/>
      <c r="AS818" s="13"/>
      <c r="AW818" s="117"/>
      <c r="AX818" s="116"/>
      <c r="AY818" s="116"/>
      <c r="AZ818" s="116"/>
    </row>
    <row r="819" spans="1:52" ht="19.5" x14ac:dyDescent="0.4">
      <c r="AR819" s="26"/>
      <c r="AS819" s="15"/>
      <c r="AW819" s="117"/>
      <c r="AX819" s="116"/>
      <c r="AY819" s="116"/>
      <c r="AZ819" s="116"/>
    </row>
    <row r="820" spans="1:52" ht="19.5" x14ac:dyDescent="0.4"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22"/>
      <c r="AB820" s="122"/>
      <c r="AC820" s="122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26"/>
      <c r="AS820" s="15"/>
      <c r="AW820" s="117"/>
      <c r="AX820" s="116"/>
      <c r="AY820" s="116"/>
      <c r="AZ820" s="116"/>
    </row>
    <row r="821" spans="1:52" ht="19.5" x14ac:dyDescent="0.4"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22"/>
      <c r="AB821" s="122"/>
      <c r="AC821" s="122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7"/>
      <c r="AS821" s="15"/>
      <c r="AW821" s="117"/>
      <c r="AX821" s="116"/>
      <c r="AY821" s="116"/>
      <c r="AZ821" s="116"/>
    </row>
    <row r="822" spans="1:52" ht="19.5" x14ac:dyDescent="0.4">
      <c r="AR822" s="26"/>
      <c r="AS822" s="15"/>
      <c r="AW822" s="117"/>
      <c r="AX822" s="116"/>
      <c r="AY822" s="116"/>
      <c r="AZ822" s="116"/>
    </row>
    <row r="823" spans="1:52" ht="19.5" x14ac:dyDescent="0.4">
      <c r="AR823" s="26"/>
      <c r="AS823" s="13"/>
      <c r="AW823" s="117"/>
      <c r="AX823" s="116"/>
      <c r="AY823" s="116"/>
      <c r="AZ823" s="116"/>
    </row>
    <row r="824" spans="1:52" ht="19.5" x14ac:dyDescent="0.4">
      <c r="X824" s="115"/>
      <c r="Y824" s="115"/>
      <c r="Z824" s="115"/>
      <c r="AA824" s="122"/>
      <c r="AB824" s="122"/>
      <c r="AC824" s="122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26"/>
      <c r="AS824" s="13"/>
      <c r="AW824" s="117"/>
      <c r="AX824" s="116"/>
      <c r="AY824" s="116"/>
      <c r="AZ824" s="116"/>
    </row>
    <row r="825" spans="1:52" ht="19.5" x14ac:dyDescent="0.4"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22"/>
      <c r="AB825" s="122"/>
      <c r="AC825" s="122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26"/>
      <c r="AS825" s="13"/>
      <c r="AW825" s="117"/>
      <c r="AX825" s="116"/>
      <c r="AY825" s="116"/>
      <c r="AZ825" s="116"/>
    </row>
    <row r="826" spans="1:52" ht="19.5" x14ac:dyDescent="0.4"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22"/>
      <c r="AB826" s="122"/>
      <c r="AC826" s="122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7"/>
      <c r="AS826" s="13"/>
      <c r="AW826" s="117"/>
      <c r="AX826" s="116"/>
      <c r="AY826" s="116"/>
      <c r="AZ826" s="116"/>
    </row>
    <row r="827" spans="1:52" ht="19.5" x14ac:dyDescent="0.4"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22"/>
      <c r="AB827" s="122"/>
      <c r="AC827" s="122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26"/>
      <c r="AS827" s="25"/>
      <c r="AW827" s="117"/>
      <c r="AX827" s="116"/>
      <c r="AY827" s="116"/>
      <c r="AZ827" s="116"/>
    </row>
    <row r="828" spans="1:52" ht="19.5" x14ac:dyDescent="0.4"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22"/>
      <c r="AB828" s="122"/>
      <c r="AC828" s="122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7"/>
      <c r="AS828" s="13"/>
      <c r="AW828" s="117"/>
      <c r="AX828" s="116"/>
      <c r="AY828" s="116"/>
      <c r="AZ828" s="116"/>
    </row>
    <row r="829" spans="1:52" ht="19.5" x14ac:dyDescent="0.4"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22"/>
      <c r="AB829" s="122"/>
      <c r="AC829" s="122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26"/>
      <c r="AS829" s="13"/>
      <c r="AW829" s="117"/>
      <c r="AX829" s="116"/>
      <c r="AY829" s="116"/>
      <c r="AZ829" s="116"/>
    </row>
    <row r="830" spans="1:52" ht="19.5" x14ac:dyDescent="0.4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22"/>
      <c r="AB830" s="122"/>
      <c r="AC830" s="122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26"/>
      <c r="AS830" s="13"/>
      <c r="AW830" s="117"/>
      <c r="AX830" s="116"/>
      <c r="AY830" s="116"/>
      <c r="AZ830" s="116"/>
    </row>
    <row r="831" spans="1:52" ht="19.5" x14ac:dyDescent="0.4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22"/>
      <c r="AB831" s="122"/>
      <c r="AC831" s="122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26"/>
      <c r="AS831" s="13"/>
      <c r="AW831" s="117"/>
      <c r="AX831" s="116"/>
      <c r="AY831" s="116"/>
      <c r="AZ831" s="116"/>
    </row>
    <row r="832" spans="1:52" ht="19.5" x14ac:dyDescent="0.4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22"/>
      <c r="AB832" s="122"/>
      <c r="AC832" s="122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26"/>
      <c r="AS832" s="13"/>
      <c r="AW832" s="117"/>
      <c r="AX832" s="116"/>
      <c r="AY832" s="116"/>
      <c r="AZ832" s="116"/>
    </row>
    <row r="833" spans="1:52" ht="19.5" x14ac:dyDescent="0.4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22"/>
      <c r="AB833" s="122"/>
      <c r="AC833" s="122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26"/>
      <c r="AS833" s="13"/>
      <c r="AW833" s="117"/>
      <c r="AX833" s="116"/>
      <c r="AY833" s="116"/>
      <c r="AZ833" s="116"/>
    </row>
    <row r="834" spans="1:52" ht="19.5" x14ac:dyDescent="0.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22"/>
      <c r="AB834" s="122"/>
      <c r="AC834" s="122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15"/>
      <c r="AR834" s="26"/>
      <c r="AS834" s="13"/>
      <c r="AW834" s="117"/>
      <c r="AX834" s="116"/>
      <c r="AY834" s="116"/>
      <c r="AZ834" s="116"/>
    </row>
    <row r="835" spans="1:52" ht="19.5" x14ac:dyDescent="0.4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22"/>
      <c r="AB835" s="122"/>
      <c r="AC835" s="122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26"/>
      <c r="AS835" s="13"/>
      <c r="AW835" s="117"/>
      <c r="AX835" s="116"/>
      <c r="AY835" s="116"/>
      <c r="AZ835" s="116"/>
    </row>
    <row r="836" spans="1:52" ht="19.5" x14ac:dyDescent="0.4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22"/>
      <c r="AB836" s="122"/>
      <c r="AC836" s="122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26"/>
      <c r="AS836" s="13"/>
      <c r="AW836" s="117"/>
      <c r="AX836" s="116"/>
      <c r="AY836" s="116"/>
      <c r="AZ836" s="116"/>
    </row>
    <row r="837" spans="1:52" ht="19.5" x14ac:dyDescent="0.4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22"/>
      <c r="AB837" s="122"/>
      <c r="AC837" s="122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26"/>
      <c r="AS837" s="15"/>
      <c r="AW837" s="117"/>
      <c r="AX837" s="116"/>
      <c r="AY837" s="116"/>
      <c r="AZ837" s="116"/>
    </row>
    <row r="838" spans="1:52" ht="19.5" x14ac:dyDescent="0.4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22"/>
      <c r="AB838" s="122"/>
      <c r="AC838" s="122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15"/>
      <c r="AR838" s="26"/>
      <c r="AS838" s="15"/>
      <c r="AW838" s="117"/>
      <c r="AX838" s="116"/>
      <c r="AY838" s="116"/>
      <c r="AZ838" s="116"/>
    </row>
    <row r="839" spans="1:52" ht="19.5" x14ac:dyDescent="0.4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22"/>
      <c r="AB839" s="122"/>
      <c r="AC839" s="122"/>
      <c r="AD839" s="115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115"/>
      <c r="AO839" s="115"/>
      <c r="AP839" s="115"/>
      <c r="AQ839" s="115"/>
      <c r="AR839" s="26"/>
      <c r="AS839" s="15"/>
      <c r="AW839" s="117"/>
      <c r="AX839" s="116"/>
      <c r="AY839" s="116"/>
      <c r="AZ839" s="116"/>
    </row>
    <row r="840" spans="1:52" ht="19.5" x14ac:dyDescent="0.4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22"/>
      <c r="AB840" s="122"/>
      <c r="AC840" s="122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26"/>
      <c r="AS840" s="15"/>
      <c r="AW840" s="117"/>
      <c r="AX840" s="116"/>
      <c r="AY840" s="116"/>
      <c r="AZ840" s="116"/>
    </row>
    <row r="841" spans="1:52" ht="19.5" x14ac:dyDescent="0.4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22"/>
      <c r="AB841" s="122"/>
      <c r="AC841" s="122"/>
      <c r="AD841" s="115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15"/>
      <c r="AR841" s="26"/>
      <c r="AS841" s="25"/>
      <c r="AW841" s="117"/>
      <c r="AX841" s="116"/>
      <c r="AY841" s="116"/>
      <c r="AZ841" s="116"/>
    </row>
    <row r="842" spans="1:52" ht="19.5" x14ac:dyDescent="0.4">
      <c r="AR842" s="26"/>
      <c r="AS842" s="15"/>
      <c r="AW842" s="117"/>
      <c r="AX842" s="116"/>
      <c r="AY842" s="116"/>
      <c r="AZ842" s="116"/>
    </row>
    <row r="843" spans="1:52" ht="19.5" x14ac:dyDescent="0.4">
      <c r="Z843" s="115"/>
      <c r="AA843" s="122"/>
      <c r="AB843" s="122"/>
      <c r="AC843" s="122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26"/>
      <c r="AS843" s="15"/>
      <c r="AW843" s="117"/>
      <c r="AX843" s="116"/>
      <c r="AY843" s="116"/>
      <c r="AZ843" s="116"/>
    </row>
    <row r="844" spans="1:52" ht="19.5" x14ac:dyDescent="0.4">
      <c r="X844" s="115"/>
      <c r="Y844" s="115"/>
      <c r="Z844" s="115"/>
      <c r="AA844" s="122"/>
      <c r="AB844" s="122"/>
      <c r="AC844" s="122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26"/>
      <c r="AS844" s="15"/>
      <c r="AW844" s="117"/>
      <c r="AX844" s="116"/>
      <c r="AY844" s="116"/>
      <c r="AZ844" s="116"/>
    </row>
    <row r="845" spans="1:52" ht="19.5" x14ac:dyDescent="0.4">
      <c r="X845" s="115"/>
      <c r="Y845" s="115"/>
      <c r="Z845" s="115"/>
      <c r="AA845" s="122"/>
      <c r="AB845" s="122"/>
      <c r="AC845" s="122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115"/>
      <c r="AQ845" s="115"/>
      <c r="AR845" s="17"/>
      <c r="AS845" s="15"/>
      <c r="AW845" s="117"/>
      <c r="AX845" s="116"/>
      <c r="AY845" s="116"/>
      <c r="AZ845" s="116"/>
    </row>
    <row r="846" spans="1:52" ht="19.5" x14ac:dyDescent="0.4">
      <c r="U846" s="115"/>
      <c r="V846" s="115"/>
      <c r="W846" s="115"/>
      <c r="X846" s="115"/>
      <c r="Y846" s="115"/>
      <c r="Z846" s="115"/>
      <c r="AA846" s="122"/>
      <c r="AB846" s="122"/>
      <c r="AC846" s="122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26"/>
      <c r="AS846" s="15"/>
      <c r="AW846" s="117"/>
      <c r="AX846" s="116"/>
      <c r="AY846" s="116"/>
      <c r="AZ846" s="116"/>
    </row>
    <row r="847" spans="1:52" ht="19.5" x14ac:dyDescent="0.4">
      <c r="U847" s="115"/>
      <c r="V847" s="115"/>
      <c r="W847" s="115"/>
      <c r="X847" s="115"/>
      <c r="Y847" s="115"/>
      <c r="Z847" s="115"/>
      <c r="AA847" s="122"/>
      <c r="AB847" s="122"/>
      <c r="AC847" s="122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7"/>
      <c r="AS847" s="15"/>
      <c r="AW847" s="117"/>
      <c r="AX847" s="116"/>
      <c r="AY847" s="116"/>
      <c r="AZ847" s="116"/>
    </row>
    <row r="848" spans="1:52" ht="19.5" x14ac:dyDescent="0.4">
      <c r="U848" s="115"/>
      <c r="V848" s="115"/>
      <c r="W848" s="115"/>
      <c r="X848" s="115"/>
      <c r="Y848" s="115"/>
      <c r="Z848" s="115"/>
      <c r="AA848" s="122"/>
      <c r="AB848" s="122"/>
      <c r="AC848" s="122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26"/>
      <c r="AS848" s="15"/>
      <c r="AW848" s="117"/>
      <c r="AX848" s="116"/>
      <c r="AY848" s="116"/>
      <c r="AZ848" s="116"/>
    </row>
    <row r="849" spans="1:52" ht="19.5" x14ac:dyDescent="0.4">
      <c r="U849" s="115"/>
      <c r="V849" s="115"/>
      <c r="W849" s="115"/>
      <c r="X849" s="115"/>
      <c r="Y849" s="115"/>
      <c r="Z849" s="115"/>
      <c r="AA849" s="122"/>
      <c r="AB849" s="122"/>
      <c r="AC849" s="122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115"/>
      <c r="AQ849" s="115"/>
      <c r="AR849" s="17"/>
      <c r="AS849" s="13"/>
      <c r="AW849" s="117"/>
      <c r="AX849" s="116"/>
      <c r="AY849" s="116"/>
      <c r="AZ849" s="116"/>
    </row>
    <row r="850" spans="1:52" ht="19.5" x14ac:dyDescent="0.4">
      <c r="U850" s="115"/>
      <c r="V850" s="115"/>
      <c r="W850" s="115"/>
      <c r="X850" s="115"/>
      <c r="Y850" s="115"/>
      <c r="Z850" s="115"/>
      <c r="AA850" s="122"/>
      <c r="AB850" s="122"/>
      <c r="AC850" s="122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7"/>
      <c r="AS850" s="13"/>
      <c r="AW850" s="117"/>
      <c r="AX850" s="116"/>
      <c r="AY850" s="116"/>
      <c r="AZ850" s="116"/>
    </row>
    <row r="851" spans="1:52" ht="19.5" x14ac:dyDescent="0.4">
      <c r="AR851" s="26"/>
      <c r="AS851" s="13"/>
      <c r="AW851" s="117"/>
      <c r="AX851" s="116"/>
      <c r="AY851" s="116"/>
      <c r="AZ851" s="116"/>
    </row>
    <row r="852" spans="1:52" ht="19.5" x14ac:dyDescent="0.4">
      <c r="Z852" s="115"/>
      <c r="AA852" s="122"/>
      <c r="AB852" s="122"/>
      <c r="AC852" s="122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17"/>
      <c r="AS852" s="13"/>
      <c r="AW852" s="117"/>
      <c r="AX852" s="116"/>
      <c r="AY852" s="116"/>
      <c r="AZ852" s="116"/>
    </row>
    <row r="853" spans="1:52" ht="19.5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22"/>
      <c r="AB853" s="122"/>
      <c r="AC853" s="122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26"/>
      <c r="AS853" s="13"/>
      <c r="AW853" s="117"/>
      <c r="AX853" s="116"/>
      <c r="AY853" s="116"/>
      <c r="AZ853" s="116"/>
    </row>
    <row r="854" spans="1:52" ht="19.5" x14ac:dyDescent="0.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22"/>
      <c r="AB854" s="122"/>
      <c r="AC854" s="122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26"/>
      <c r="AS854" s="13"/>
      <c r="AW854" s="117"/>
      <c r="AX854" s="116"/>
      <c r="AY854" s="116"/>
      <c r="AZ854" s="116"/>
    </row>
    <row r="855" spans="1:52" ht="19.5" x14ac:dyDescent="0.4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22"/>
      <c r="AB855" s="122"/>
      <c r="AC855" s="122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26"/>
      <c r="AS855" s="13"/>
      <c r="AW855" s="117"/>
      <c r="AX855" s="116"/>
      <c r="AY855" s="116"/>
      <c r="AZ855" s="116"/>
    </row>
    <row r="856" spans="1:52" ht="19.5" x14ac:dyDescent="0.4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22"/>
      <c r="AB856" s="122"/>
      <c r="AC856" s="122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26"/>
      <c r="AS856" s="13"/>
      <c r="AW856" s="117"/>
      <c r="AX856" s="116"/>
      <c r="AY856" s="116"/>
      <c r="AZ856" s="116"/>
    </row>
    <row r="857" spans="1:52" ht="19.5" x14ac:dyDescent="0.4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22"/>
      <c r="AB857" s="122"/>
      <c r="AC857" s="122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7"/>
      <c r="AS857" s="13"/>
      <c r="AW857" s="117"/>
      <c r="AX857" s="116"/>
      <c r="AY857" s="116"/>
      <c r="AZ857" s="116"/>
    </row>
    <row r="858" spans="1:52" ht="19.5" x14ac:dyDescent="0.4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22"/>
      <c r="AB858" s="122"/>
      <c r="AC858" s="122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26"/>
      <c r="AS858" s="13"/>
      <c r="AW858" s="117"/>
      <c r="AX858" s="116"/>
      <c r="AY858" s="116"/>
      <c r="AZ858" s="116"/>
    </row>
    <row r="859" spans="1:52" ht="19.5" x14ac:dyDescent="0.4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22"/>
      <c r="AB859" s="122"/>
      <c r="AC859" s="122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26"/>
      <c r="AS859" s="15"/>
      <c r="AW859" s="117"/>
      <c r="AX859" s="116"/>
      <c r="AY859" s="116"/>
      <c r="AZ859" s="116"/>
    </row>
    <row r="860" spans="1:52" ht="19.5" x14ac:dyDescent="0.4">
      <c r="AR860" s="26"/>
      <c r="AS860" s="15"/>
      <c r="AW860" s="117"/>
      <c r="AX860" s="116"/>
      <c r="AY860" s="116"/>
      <c r="AZ860" s="116"/>
    </row>
    <row r="861" spans="1:52" ht="19.5" x14ac:dyDescent="0.4">
      <c r="Y861" s="115"/>
      <c r="Z861" s="115"/>
      <c r="AA861" s="122"/>
      <c r="AB861" s="122"/>
      <c r="AC861" s="122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26"/>
      <c r="AS861" s="13"/>
      <c r="AW861" s="117"/>
      <c r="AX861" s="116"/>
      <c r="AY861" s="116"/>
      <c r="AZ861" s="116"/>
    </row>
    <row r="862" spans="1:52" ht="19.5" x14ac:dyDescent="0.4">
      <c r="W862" s="115"/>
      <c r="X862" s="115"/>
      <c r="Y862" s="115"/>
      <c r="Z862" s="115"/>
      <c r="AA862" s="122"/>
      <c r="AB862" s="122"/>
      <c r="AC862" s="122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26"/>
      <c r="AS862" s="15"/>
      <c r="AW862" s="117"/>
      <c r="AX862" s="116"/>
      <c r="AY862" s="116"/>
      <c r="AZ862" s="116"/>
    </row>
    <row r="863" spans="1:52" ht="19.5" x14ac:dyDescent="0.4">
      <c r="W863" s="115"/>
      <c r="X863" s="115"/>
      <c r="Y863" s="115"/>
      <c r="Z863" s="115"/>
      <c r="AA863" s="122"/>
      <c r="AB863" s="122"/>
      <c r="AC863" s="122"/>
      <c r="AD863" s="115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26"/>
      <c r="AS863" s="15"/>
      <c r="AW863" s="117"/>
      <c r="AX863" s="116"/>
      <c r="AY863" s="116"/>
      <c r="AZ863" s="116"/>
    </row>
    <row r="864" spans="1:52" ht="19.5" x14ac:dyDescent="0.4">
      <c r="W864" s="115"/>
      <c r="X864" s="115"/>
      <c r="Y864" s="115"/>
      <c r="Z864" s="115"/>
      <c r="AA864" s="122"/>
      <c r="AB864" s="122"/>
      <c r="AC864" s="122"/>
      <c r="AD864" s="115"/>
      <c r="AE864" s="115"/>
      <c r="AF864" s="115"/>
      <c r="AG864" s="115"/>
      <c r="AH864" s="115"/>
      <c r="AI864" s="115"/>
      <c r="AJ864" s="115"/>
      <c r="AK864" s="115"/>
      <c r="AL864" s="115"/>
      <c r="AM864" s="115"/>
      <c r="AN864" s="115"/>
      <c r="AO864" s="115"/>
      <c r="AP864" s="115"/>
      <c r="AQ864" s="115"/>
      <c r="AR864" s="17"/>
      <c r="AS864" s="15"/>
      <c r="AW864" s="117"/>
      <c r="AX864" s="116"/>
      <c r="AY864" s="116"/>
      <c r="AZ864" s="116"/>
    </row>
    <row r="865" spans="1:52" ht="19.5" x14ac:dyDescent="0.4">
      <c r="V865" s="115"/>
      <c r="W865" s="115"/>
      <c r="X865" s="115"/>
      <c r="Y865" s="115"/>
      <c r="Z865" s="115"/>
      <c r="AA865" s="122"/>
      <c r="AB865" s="122"/>
      <c r="AC865" s="122"/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115"/>
      <c r="AP865" s="115"/>
      <c r="AQ865" s="115"/>
      <c r="AR865" s="26"/>
      <c r="AS865" s="15"/>
      <c r="AW865" s="117"/>
      <c r="AX865" s="116"/>
      <c r="AY865" s="116"/>
      <c r="AZ865" s="116"/>
    </row>
    <row r="866" spans="1:52" ht="19.5" x14ac:dyDescent="0.4">
      <c r="V866" s="115"/>
      <c r="W866" s="115"/>
      <c r="X866" s="115"/>
      <c r="Y866" s="115"/>
      <c r="Z866" s="115"/>
      <c r="AA866" s="122"/>
      <c r="AB866" s="122"/>
      <c r="AC866" s="122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26"/>
      <c r="AS866" s="15"/>
      <c r="AW866" s="117"/>
      <c r="AX866" s="116"/>
      <c r="AY866" s="116"/>
      <c r="AZ866" s="116"/>
    </row>
    <row r="867" spans="1:52" ht="19.5" x14ac:dyDescent="0.4">
      <c r="V867" s="115"/>
      <c r="W867" s="115"/>
      <c r="X867" s="115"/>
      <c r="Y867" s="115"/>
      <c r="Z867" s="115"/>
      <c r="AA867" s="122"/>
      <c r="AB867" s="122"/>
      <c r="AC867" s="122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26"/>
      <c r="AS867" s="105"/>
      <c r="AW867" s="117"/>
      <c r="AX867" s="116"/>
      <c r="AY867" s="116"/>
      <c r="AZ867" s="116"/>
    </row>
    <row r="868" spans="1:52" ht="19.5" x14ac:dyDescent="0.4">
      <c r="V868" s="115"/>
      <c r="W868" s="115"/>
      <c r="X868" s="115"/>
      <c r="Y868" s="115"/>
      <c r="Z868" s="115"/>
      <c r="AA868" s="122"/>
      <c r="AB868" s="122"/>
      <c r="AC868" s="122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7"/>
      <c r="AS868" s="15"/>
      <c r="AW868" s="117"/>
      <c r="AX868" s="116"/>
      <c r="AY868" s="116"/>
      <c r="AZ868" s="116"/>
    </row>
    <row r="869" spans="1:52" ht="19.5" x14ac:dyDescent="0.4">
      <c r="V869" s="115"/>
      <c r="W869" s="115"/>
      <c r="X869" s="115"/>
      <c r="Y869" s="115"/>
      <c r="Z869" s="115"/>
      <c r="AA869" s="122"/>
      <c r="AB869" s="122"/>
      <c r="AC869" s="122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115"/>
      <c r="AQ869" s="115"/>
      <c r="AR869" s="26"/>
      <c r="AS869" s="15"/>
      <c r="AW869" s="117"/>
      <c r="AX869" s="116"/>
      <c r="AY869" s="116"/>
      <c r="AZ869" s="116"/>
    </row>
    <row r="870" spans="1:52" ht="19.5" x14ac:dyDescent="0.4">
      <c r="V870" s="115"/>
      <c r="W870" s="115"/>
      <c r="X870" s="115"/>
      <c r="Y870" s="115"/>
      <c r="Z870" s="115"/>
      <c r="AA870" s="122"/>
      <c r="AB870" s="122"/>
      <c r="AC870" s="122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7"/>
      <c r="AS870" s="15"/>
      <c r="AW870" s="117"/>
      <c r="AX870" s="116"/>
      <c r="AY870" s="116"/>
      <c r="AZ870" s="116"/>
    </row>
    <row r="871" spans="1:52" ht="19.5" x14ac:dyDescent="0.4"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22"/>
      <c r="AB871" s="122"/>
      <c r="AC871" s="122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115"/>
      <c r="AR871" s="26"/>
      <c r="AS871" s="15"/>
      <c r="AW871" s="117"/>
      <c r="AX871" s="116"/>
      <c r="AY871" s="116"/>
      <c r="AZ871" s="116"/>
    </row>
    <row r="872" spans="1:52" ht="19.5" x14ac:dyDescent="0.4"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22"/>
      <c r="AB872" s="122"/>
      <c r="AC872" s="122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15"/>
      <c r="AR872" s="17"/>
      <c r="AS872" s="15"/>
      <c r="AW872" s="117"/>
      <c r="AX872" s="116"/>
      <c r="AY872" s="116"/>
      <c r="AZ872" s="116"/>
    </row>
    <row r="873" spans="1:52" ht="19.5" x14ac:dyDescent="0.4"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22"/>
      <c r="AB873" s="122"/>
      <c r="AC873" s="122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26"/>
      <c r="AS873" s="15"/>
      <c r="AW873" s="117"/>
      <c r="AX873" s="116"/>
      <c r="AY873" s="116"/>
      <c r="AZ873" s="116"/>
    </row>
    <row r="874" spans="1:52" ht="19.5" x14ac:dyDescent="0.4"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22"/>
      <c r="AB874" s="122"/>
      <c r="AC874" s="122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7"/>
      <c r="AS874" s="15"/>
      <c r="AW874" s="117"/>
      <c r="AX874" s="116"/>
      <c r="AY874" s="116"/>
      <c r="AZ874" s="116"/>
    </row>
    <row r="875" spans="1:52" ht="19.5" x14ac:dyDescent="0.4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22"/>
      <c r="AB875" s="122"/>
      <c r="AC875" s="122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26"/>
      <c r="AS875" s="15"/>
      <c r="AW875" s="117"/>
      <c r="AX875" s="116"/>
      <c r="AY875" s="116"/>
      <c r="AZ875" s="116"/>
    </row>
    <row r="876" spans="1:52" ht="19.5" x14ac:dyDescent="0.4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22"/>
      <c r="AB876" s="122"/>
      <c r="AC876" s="122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26"/>
      <c r="AS876" s="15"/>
      <c r="AW876" s="117"/>
      <c r="AX876" s="116"/>
      <c r="AY876" s="116"/>
      <c r="AZ876" s="116"/>
    </row>
    <row r="877" spans="1:52" ht="19.5" x14ac:dyDescent="0.4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22"/>
      <c r="AB877" s="122"/>
      <c r="AC877" s="122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26"/>
      <c r="AS877" s="15"/>
      <c r="AW877" s="117"/>
      <c r="AX877" s="116"/>
      <c r="AY877" s="116"/>
      <c r="AZ877" s="116"/>
    </row>
    <row r="878" spans="1:52" ht="19.5" x14ac:dyDescent="0.4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22"/>
      <c r="AB878" s="122"/>
      <c r="AC878" s="122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26"/>
      <c r="AS878" s="15"/>
      <c r="AW878" s="117"/>
      <c r="AX878" s="116"/>
      <c r="AY878" s="116"/>
      <c r="AZ878" s="116"/>
    </row>
    <row r="879" spans="1:52" ht="19.5" x14ac:dyDescent="0.4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22"/>
      <c r="AB879" s="122"/>
      <c r="AC879" s="122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26"/>
      <c r="AS879" s="15"/>
      <c r="AW879" s="117"/>
      <c r="AX879" s="116"/>
      <c r="AY879" s="116"/>
      <c r="AZ879" s="116"/>
    </row>
    <row r="880" spans="1:52" ht="19.5" x14ac:dyDescent="0.4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22"/>
      <c r="AB880" s="122"/>
      <c r="AC880" s="122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26"/>
      <c r="AS880" s="15"/>
      <c r="AW880" s="117"/>
      <c r="AX880" s="116"/>
      <c r="AY880" s="116"/>
      <c r="AZ880" s="116"/>
    </row>
    <row r="881" spans="1:52" ht="19.5" x14ac:dyDescent="0.4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22"/>
      <c r="AB881" s="122"/>
      <c r="AC881" s="122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7"/>
      <c r="AS881" s="15"/>
      <c r="AW881" s="117"/>
      <c r="AX881" s="116"/>
      <c r="AY881" s="116"/>
      <c r="AZ881" s="116"/>
    </row>
    <row r="882" spans="1:52" ht="19.5" x14ac:dyDescent="0.4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22"/>
      <c r="AB882" s="122"/>
      <c r="AC882" s="122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26"/>
      <c r="AS882" s="15"/>
      <c r="AW882" s="117"/>
      <c r="AX882" s="116"/>
      <c r="AY882" s="116"/>
      <c r="AZ882" s="116"/>
    </row>
    <row r="883" spans="1:52" ht="19.5" x14ac:dyDescent="0.4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22"/>
      <c r="AB883" s="122"/>
      <c r="AC883" s="122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7"/>
      <c r="AS883" s="15"/>
      <c r="AW883" s="117"/>
      <c r="AX883" s="116"/>
      <c r="AY883" s="116"/>
      <c r="AZ883" s="116"/>
    </row>
    <row r="884" spans="1:52" ht="19.5" x14ac:dyDescent="0.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22"/>
      <c r="AB884" s="122"/>
      <c r="AC884" s="122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26"/>
      <c r="AS884" s="15"/>
      <c r="AW884" s="117"/>
      <c r="AX884" s="116"/>
      <c r="AY884" s="116"/>
      <c r="AZ884" s="116"/>
    </row>
    <row r="885" spans="1:52" ht="19.5" x14ac:dyDescent="0.4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22"/>
      <c r="AB885" s="122"/>
      <c r="AC885" s="122"/>
      <c r="AD885" s="115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15"/>
      <c r="AR885" s="20"/>
      <c r="AS885" s="15"/>
      <c r="AW885" s="117"/>
      <c r="AX885" s="116"/>
      <c r="AY885" s="116"/>
      <c r="AZ885" s="116"/>
    </row>
    <row r="886" spans="1:52" ht="19.5" x14ac:dyDescent="0.4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22"/>
      <c r="AB886" s="122"/>
      <c r="AC886" s="122"/>
      <c r="AD886" s="115"/>
      <c r="AE886" s="115"/>
      <c r="AF886" s="115"/>
      <c r="AG886" s="115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20"/>
      <c r="AS886" s="15"/>
      <c r="AW886" s="117"/>
      <c r="AX886" s="116"/>
      <c r="AY886" s="116"/>
      <c r="AZ886" s="116"/>
    </row>
    <row r="887" spans="1:52" ht="19.5" x14ac:dyDescent="0.4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22"/>
      <c r="AB887" s="122"/>
      <c r="AC887" s="122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20"/>
      <c r="AS887" s="15"/>
      <c r="AW887" s="117"/>
      <c r="AX887" s="116"/>
      <c r="AY887" s="116"/>
      <c r="AZ887" s="116"/>
    </row>
    <row r="888" spans="1:52" ht="19.5" x14ac:dyDescent="0.4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22"/>
      <c r="AB888" s="122"/>
      <c r="AC888" s="122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20"/>
      <c r="AS888" s="15"/>
      <c r="AW888" s="117"/>
      <c r="AX888" s="116"/>
      <c r="AY888" s="116"/>
      <c r="AZ888" s="116"/>
    </row>
    <row r="889" spans="1:52" ht="19.5" x14ac:dyDescent="0.4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22"/>
      <c r="AB889" s="122"/>
      <c r="AC889" s="122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25"/>
      <c r="AS889" s="15"/>
      <c r="AW889" s="117"/>
      <c r="AX889" s="116"/>
      <c r="AY889" s="116"/>
      <c r="AZ889" s="116"/>
    </row>
    <row r="890" spans="1:52" ht="19.5" x14ac:dyDescent="0.4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22"/>
      <c r="AB890" s="122"/>
      <c r="AC890" s="122"/>
      <c r="AD890" s="115"/>
      <c r="AE890" s="115"/>
      <c r="AF890" s="115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115"/>
      <c r="AR890" s="13"/>
      <c r="AS890" s="15"/>
      <c r="AW890" s="117"/>
      <c r="AX890" s="116"/>
      <c r="AY890" s="116"/>
      <c r="AZ890" s="116"/>
    </row>
    <row r="891" spans="1:52" ht="19.5" x14ac:dyDescent="0.4">
      <c r="AR891" s="25"/>
      <c r="AS891" s="15"/>
      <c r="AW891" s="117"/>
      <c r="AX891" s="116"/>
      <c r="AY891" s="116"/>
      <c r="AZ891" s="116"/>
    </row>
    <row r="892" spans="1:52" ht="19.5" x14ac:dyDescent="0.4">
      <c r="X892" s="115"/>
      <c r="Y892" s="115"/>
      <c r="Z892" s="115"/>
      <c r="AA892" s="122"/>
      <c r="AB892" s="122"/>
      <c r="AC892" s="122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3"/>
      <c r="AS892" s="15"/>
      <c r="AW892" s="117"/>
      <c r="AX892" s="116"/>
      <c r="AY892" s="116"/>
      <c r="AZ892" s="116"/>
    </row>
    <row r="893" spans="1:52" ht="19.5" x14ac:dyDescent="0.4"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22"/>
      <c r="AB893" s="122"/>
      <c r="AC893" s="122"/>
      <c r="AD893" s="115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25"/>
      <c r="AS893" s="15"/>
      <c r="AW893" s="117"/>
      <c r="AX893" s="116"/>
      <c r="AY893" s="116"/>
      <c r="AZ893" s="116"/>
    </row>
    <row r="894" spans="1:52" ht="19.5" x14ac:dyDescent="0.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22"/>
      <c r="AB894" s="122"/>
      <c r="AC894" s="122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25"/>
      <c r="AS894" s="15"/>
      <c r="AW894" s="117"/>
      <c r="AX894" s="116"/>
      <c r="AY894" s="116"/>
      <c r="AZ894" s="116"/>
    </row>
    <row r="895" spans="1:52" ht="19.5" x14ac:dyDescent="0.4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22"/>
      <c r="AB895" s="122"/>
      <c r="AC895" s="122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3"/>
      <c r="AS895" s="15"/>
      <c r="AW895" s="117"/>
      <c r="AX895" s="116"/>
      <c r="AY895" s="116"/>
      <c r="AZ895" s="116"/>
    </row>
    <row r="896" spans="1:52" ht="19.5" x14ac:dyDescent="0.4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22"/>
      <c r="AB896" s="122"/>
      <c r="AC896" s="122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25"/>
      <c r="AS896" s="15"/>
      <c r="AW896" s="117"/>
      <c r="AX896" s="116"/>
      <c r="AY896" s="116"/>
      <c r="AZ896" s="116"/>
    </row>
    <row r="897" spans="1:52" ht="19.5" x14ac:dyDescent="0.4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22"/>
      <c r="AB897" s="122"/>
      <c r="AC897" s="122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115"/>
      <c r="AQ897" s="115"/>
      <c r="AR897" s="13"/>
      <c r="AS897" s="15"/>
      <c r="AW897" s="117"/>
      <c r="AX897" s="116"/>
      <c r="AY897" s="116"/>
      <c r="AZ897" s="116"/>
    </row>
    <row r="898" spans="1:52" ht="19.5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22"/>
      <c r="AB898" s="122"/>
      <c r="AC898" s="122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25"/>
      <c r="AS898" s="15"/>
      <c r="AW898" s="117"/>
      <c r="AX898" s="116"/>
      <c r="AY898" s="116"/>
      <c r="AZ898" s="116"/>
    </row>
    <row r="899" spans="1:52" ht="19.5" x14ac:dyDescent="0.4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22"/>
      <c r="AB899" s="122"/>
      <c r="AC899" s="122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26"/>
      <c r="AS899" s="15"/>
      <c r="AW899" s="117"/>
      <c r="AX899" s="116"/>
      <c r="AY899" s="116"/>
      <c r="AZ899" s="116"/>
    </row>
    <row r="900" spans="1:52" ht="19.5" x14ac:dyDescent="0.4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22"/>
      <c r="AB900" s="122"/>
      <c r="AC900" s="122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7"/>
      <c r="AS900" s="13"/>
      <c r="AW900" s="117"/>
      <c r="AX900" s="116"/>
      <c r="AY900" s="116"/>
      <c r="AZ900" s="116"/>
    </row>
    <row r="901" spans="1:52" ht="19.5" x14ac:dyDescent="0.4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22"/>
      <c r="AB901" s="122"/>
      <c r="AC901" s="122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26"/>
      <c r="AS901" s="13"/>
      <c r="AW901" s="117"/>
      <c r="AX901" s="116"/>
      <c r="AY901" s="116"/>
      <c r="AZ901" s="116"/>
    </row>
    <row r="902" spans="1:52" ht="19.5" x14ac:dyDescent="0.4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22"/>
      <c r="AB902" s="122"/>
      <c r="AC902" s="122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7"/>
      <c r="AS902" s="13"/>
      <c r="AW902" s="117"/>
      <c r="AX902" s="116"/>
      <c r="AY902" s="116"/>
      <c r="AZ902" s="116"/>
    </row>
    <row r="903" spans="1:52" ht="19.5" x14ac:dyDescent="0.4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22"/>
      <c r="AB903" s="122"/>
      <c r="AC903" s="122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26"/>
      <c r="AS903" s="15"/>
      <c r="AW903" s="117"/>
      <c r="AX903" s="116"/>
      <c r="AY903" s="116"/>
      <c r="AZ903" s="116"/>
    </row>
    <row r="904" spans="1:52" ht="19.5" x14ac:dyDescent="0.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22"/>
      <c r="AB904" s="122"/>
      <c r="AC904" s="122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7"/>
      <c r="AS904" s="15"/>
      <c r="AW904" s="117"/>
      <c r="AX904" s="116"/>
      <c r="AY904" s="116"/>
      <c r="AZ904" s="116"/>
    </row>
    <row r="905" spans="1:52" ht="19.5" x14ac:dyDescent="0.4">
      <c r="AR905" s="26"/>
      <c r="AS905" s="105"/>
      <c r="AW905" s="117"/>
      <c r="AX905" s="116"/>
      <c r="AY905" s="116"/>
      <c r="AZ905" s="116"/>
    </row>
    <row r="906" spans="1:52" ht="19.5" x14ac:dyDescent="0.4">
      <c r="X906" s="115"/>
      <c r="Y906" s="115"/>
      <c r="Z906" s="115"/>
      <c r="AA906" s="122"/>
      <c r="AB906" s="122"/>
      <c r="AC906" s="122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7"/>
      <c r="AS906" s="15"/>
      <c r="AW906" s="117"/>
      <c r="AX906" s="116"/>
      <c r="AY906" s="116"/>
      <c r="AZ906" s="116"/>
    </row>
    <row r="907" spans="1:52" ht="19.5" x14ac:dyDescent="0.4">
      <c r="U907" s="115"/>
      <c r="V907" s="115"/>
      <c r="W907" s="115"/>
      <c r="X907" s="115"/>
      <c r="Y907" s="115"/>
      <c r="Z907" s="115"/>
      <c r="AA907" s="122"/>
      <c r="AB907" s="122"/>
      <c r="AC907" s="122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26"/>
      <c r="AS907" s="15"/>
      <c r="AW907" s="117"/>
      <c r="AX907" s="116"/>
      <c r="AY907" s="116"/>
      <c r="AZ907" s="116"/>
    </row>
    <row r="908" spans="1:52" ht="19.5" x14ac:dyDescent="0.4">
      <c r="U908" s="115"/>
      <c r="V908" s="115"/>
      <c r="W908" s="115"/>
      <c r="X908" s="115"/>
      <c r="Y908" s="115"/>
      <c r="Z908" s="115"/>
      <c r="AA908" s="122"/>
      <c r="AB908" s="122"/>
      <c r="AC908" s="122"/>
      <c r="AD908" s="115"/>
      <c r="AE908" s="115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7"/>
      <c r="AS908" s="15"/>
      <c r="AW908" s="117"/>
      <c r="AX908" s="116"/>
      <c r="AY908" s="116"/>
      <c r="AZ908" s="116"/>
    </row>
    <row r="909" spans="1:52" ht="19.5" x14ac:dyDescent="0.4"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22"/>
      <c r="AB909" s="122"/>
      <c r="AC909" s="122"/>
      <c r="AD909" s="115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26"/>
      <c r="AS909" s="15"/>
      <c r="AW909" s="117"/>
      <c r="AX909" s="116"/>
      <c r="AY909" s="116"/>
      <c r="AZ909" s="116"/>
    </row>
    <row r="910" spans="1:52" ht="19.5" x14ac:dyDescent="0.4"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22"/>
      <c r="AB910" s="122"/>
      <c r="AC910" s="122"/>
      <c r="AD910" s="115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7"/>
      <c r="AS910" s="15"/>
      <c r="AW910" s="117"/>
      <c r="AX910" s="116"/>
      <c r="AY910" s="116"/>
      <c r="AZ910" s="116"/>
    </row>
    <row r="911" spans="1:52" ht="19.5" x14ac:dyDescent="0.4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22"/>
      <c r="AB911" s="122"/>
      <c r="AC911" s="122"/>
      <c r="AD911" s="115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26"/>
      <c r="AS911" s="15"/>
      <c r="AW911" s="117"/>
      <c r="AX911" s="116"/>
      <c r="AY911" s="116"/>
      <c r="AZ911" s="116"/>
    </row>
    <row r="912" spans="1:52" ht="19.5" x14ac:dyDescent="0.4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22"/>
      <c r="AB912" s="122"/>
      <c r="AC912" s="122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26"/>
      <c r="AS912" s="15"/>
      <c r="AW912" s="117"/>
      <c r="AX912" s="116"/>
      <c r="AY912" s="116"/>
      <c r="AZ912" s="116"/>
    </row>
    <row r="913" spans="1:52" ht="19.5" x14ac:dyDescent="0.4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22"/>
      <c r="AB913" s="122"/>
      <c r="AC913" s="122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7"/>
      <c r="AS913" s="15"/>
      <c r="AW913" s="117"/>
      <c r="AX913" s="116"/>
      <c r="AY913" s="116"/>
      <c r="AZ913" s="116"/>
    </row>
    <row r="914" spans="1:52" ht="19.5" x14ac:dyDescent="0.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22"/>
      <c r="AB914" s="122"/>
      <c r="AC914" s="122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26"/>
      <c r="AS914" s="15"/>
      <c r="AW914" s="117"/>
      <c r="AX914" s="116"/>
      <c r="AY914" s="116"/>
      <c r="AZ914" s="116"/>
    </row>
    <row r="915" spans="1:52" ht="19.5" x14ac:dyDescent="0.4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22"/>
      <c r="AB915" s="122"/>
      <c r="AC915" s="122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7"/>
      <c r="AS915" s="15"/>
      <c r="AW915" s="117"/>
      <c r="AX915" s="116"/>
      <c r="AY915" s="116"/>
      <c r="AZ915" s="116"/>
    </row>
    <row r="916" spans="1:52" ht="19.5" x14ac:dyDescent="0.4">
      <c r="AR916" s="26"/>
      <c r="AS916" s="15"/>
      <c r="AW916" s="117"/>
      <c r="AX916" s="116"/>
      <c r="AY916" s="116"/>
      <c r="AZ916" s="116"/>
    </row>
    <row r="917" spans="1:52" ht="19.5" x14ac:dyDescent="0.4">
      <c r="X917" s="115"/>
      <c r="Y917" s="115"/>
      <c r="Z917" s="115"/>
      <c r="AA917" s="122"/>
      <c r="AB917" s="122"/>
      <c r="AC917" s="122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17"/>
      <c r="AS917" s="15"/>
      <c r="AW917" s="117"/>
      <c r="AX917" s="116"/>
      <c r="AY917" s="116"/>
      <c r="AZ917" s="116"/>
    </row>
    <row r="918" spans="1:52" ht="19.5" x14ac:dyDescent="0.4">
      <c r="AR918" s="26"/>
      <c r="AS918" s="15"/>
      <c r="AW918" s="117"/>
      <c r="AX918" s="116"/>
      <c r="AY918" s="116"/>
      <c r="AZ918" s="116"/>
    </row>
    <row r="919" spans="1:52" ht="19.5" x14ac:dyDescent="0.4">
      <c r="X919" s="115"/>
      <c r="Y919" s="115"/>
      <c r="Z919" s="115"/>
      <c r="AA919" s="122"/>
      <c r="AB919" s="122"/>
      <c r="AC919" s="122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7"/>
      <c r="AS919" s="15"/>
      <c r="AW919" s="117"/>
      <c r="AX919" s="116"/>
      <c r="AY919" s="116"/>
      <c r="AZ919" s="116"/>
    </row>
    <row r="920" spans="1:52" ht="19.5" x14ac:dyDescent="0.4">
      <c r="AR920" s="26"/>
      <c r="AS920" s="15"/>
      <c r="AW920" s="117"/>
      <c r="AX920" s="116"/>
      <c r="AY920" s="116"/>
      <c r="AZ920" s="116"/>
    </row>
    <row r="921" spans="1:52" ht="19.5" x14ac:dyDescent="0.4">
      <c r="X921" s="115"/>
      <c r="Y921" s="115"/>
      <c r="Z921" s="115"/>
      <c r="AA921" s="122"/>
      <c r="AB921" s="122"/>
      <c r="AC921" s="122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7"/>
      <c r="AS921" s="15"/>
      <c r="AW921" s="117"/>
      <c r="AX921" s="116"/>
      <c r="AY921" s="116"/>
      <c r="AZ921" s="116"/>
    </row>
    <row r="922" spans="1:52" ht="19.5" x14ac:dyDescent="0.4"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22"/>
      <c r="AB922" s="122"/>
      <c r="AC922" s="122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26"/>
      <c r="AS922" s="15"/>
      <c r="AW922" s="117"/>
      <c r="AX922" s="116"/>
      <c r="AY922" s="116"/>
      <c r="AZ922" s="116"/>
    </row>
    <row r="923" spans="1:52" ht="19.5" x14ac:dyDescent="0.4"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22"/>
      <c r="AB923" s="122"/>
      <c r="AC923" s="122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7"/>
      <c r="AS923" s="15"/>
      <c r="AW923" s="117"/>
      <c r="AX923" s="116"/>
      <c r="AY923" s="116"/>
      <c r="AZ923" s="116"/>
    </row>
    <row r="924" spans="1:52" ht="19.5" x14ac:dyDescent="0.4"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22"/>
      <c r="AB924" s="122"/>
      <c r="AC924" s="122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26"/>
      <c r="AS924" s="15"/>
      <c r="AW924" s="117"/>
      <c r="AX924" s="116"/>
      <c r="AY924" s="116"/>
      <c r="AZ924" s="116"/>
    </row>
    <row r="925" spans="1:52" ht="19.5" x14ac:dyDescent="0.4">
      <c r="AR925" s="26"/>
      <c r="AS925" s="15"/>
      <c r="AW925" s="117"/>
      <c r="AX925" s="116"/>
      <c r="AY925" s="116"/>
      <c r="AZ925" s="116"/>
    </row>
    <row r="926" spans="1:52" ht="19.5" x14ac:dyDescent="0.4">
      <c r="X926" s="115"/>
      <c r="Y926" s="115"/>
      <c r="Z926" s="115"/>
      <c r="AA926" s="122"/>
      <c r="AB926" s="122"/>
      <c r="AC926" s="122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17"/>
      <c r="AS926" s="15"/>
      <c r="AW926" s="117"/>
      <c r="AX926" s="116"/>
      <c r="AY926" s="116"/>
      <c r="AZ926" s="116"/>
    </row>
    <row r="927" spans="1:52" ht="19.5" x14ac:dyDescent="0.4">
      <c r="V927" s="115"/>
      <c r="W927" s="115"/>
      <c r="X927" s="115"/>
      <c r="Y927" s="115"/>
      <c r="Z927" s="115"/>
      <c r="AA927" s="122"/>
      <c r="AB927" s="122"/>
      <c r="AC927" s="122"/>
      <c r="AD927" s="115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26"/>
      <c r="AS927" s="15"/>
      <c r="AW927" s="117"/>
      <c r="AX927" s="116"/>
      <c r="AY927" s="116"/>
      <c r="AZ927" s="116"/>
    </row>
    <row r="928" spans="1:52" ht="19.5" x14ac:dyDescent="0.4">
      <c r="V928" s="115"/>
      <c r="W928" s="115"/>
      <c r="X928" s="115"/>
      <c r="Y928" s="115"/>
      <c r="Z928" s="115"/>
      <c r="AA928" s="122"/>
      <c r="AB928" s="122"/>
      <c r="AC928" s="122"/>
      <c r="AD928" s="115"/>
      <c r="AE928" s="115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7"/>
      <c r="AS928" s="13"/>
      <c r="AW928" s="117"/>
      <c r="AX928" s="116"/>
      <c r="AY928" s="116"/>
      <c r="AZ928" s="116"/>
    </row>
    <row r="929" spans="1:52" ht="19.5" x14ac:dyDescent="0.4">
      <c r="U929" s="115"/>
      <c r="V929" s="115"/>
      <c r="W929" s="115"/>
      <c r="X929" s="115"/>
      <c r="Y929" s="115"/>
      <c r="Z929" s="115"/>
      <c r="AA929" s="122"/>
      <c r="AB929" s="122"/>
      <c r="AC929" s="122"/>
      <c r="AD929" s="115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26"/>
      <c r="AS929" s="13"/>
      <c r="AW929" s="117"/>
      <c r="AX929" s="116"/>
      <c r="AY929" s="116"/>
      <c r="AZ929" s="116"/>
    </row>
    <row r="930" spans="1:52" ht="19.5" x14ac:dyDescent="0.4">
      <c r="U930" s="115"/>
      <c r="V930" s="115"/>
      <c r="W930" s="115"/>
      <c r="X930" s="115"/>
      <c r="Y930" s="115"/>
      <c r="Z930" s="115"/>
      <c r="AA930" s="122"/>
      <c r="AB930" s="122"/>
      <c r="AC930" s="122"/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7"/>
      <c r="AS930" s="13"/>
      <c r="AW930" s="117"/>
      <c r="AX930" s="116"/>
      <c r="AY930" s="116"/>
      <c r="AZ930" s="116"/>
    </row>
    <row r="931" spans="1:52" ht="19.5" x14ac:dyDescent="0.4"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22"/>
      <c r="AB931" s="122"/>
      <c r="AC931" s="122"/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26"/>
      <c r="AS931" s="15"/>
      <c r="AW931" s="117"/>
      <c r="AX931" s="116"/>
      <c r="AY931" s="116"/>
      <c r="AZ931" s="116"/>
    </row>
    <row r="932" spans="1:52" ht="19.5" x14ac:dyDescent="0.4"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22"/>
      <c r="AB932" s="122"/>
      <c r="AC932" s="122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7"/>
      <c r="AS932" s="15"/>
      <c r="AW932" s="117"/>
      <c r="AX932" s="116"/>
      <c r="AY932" s="116"/>
      <c r="AZ932" s="116"/>
    </row>
    <row r="933" spans="1:52" ht="19.5" x14ac:dyDescent="0.4"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22"/>
      <c r="AB933" s="122"/>
      <c r="AC933" s="122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26"/>
      <c r="AS933" s="105"/>
      <c r="AW933" s="117"/>
      <c r="AX933" s="116"/>
      <c r="AY933" s="116"/>
      <c r="AZ933" s="116"/>
    </row>
    <row r="934" spans="1:52" ht="19.5" x14ac:dyDescent="0.4"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22"/>
      <c r="AB934" s="122"/>
      <c r="AC934" s="122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7"/>
      <c r="AS934" s="15"/>
      <c r="AW934" s="117"/>
      <c r="AX934" s="116"/>
      <c r="AY934" s="116"/>
      <c r="AZ934" s="116"/>
    </row>
    <row r="935" spans="1:52" ht="19.5" x14ac:dyDescent="0.4"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22"/>
      <c r="AB935" s="122"/>
      <c r="AC935" s="122"/>
      <c r="AD935" s="115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26"/>
      <c r="AS935" s="15"/>
      <c r="AW935" s="117"/>
      <c r="AX935" s="116"/>
      <c r="AY935" s="116"/>
      <c r="AZ935" s="116"/>
    </row>
    <row r="936" spans="1:52" ht="19.5" x14ac:dyDescent="0.4"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22"/>
      <c r="AB936" s="122"/>
      <c r="AC936" s="122"/>
      <c r="AD936" s="115"/>
      <c r="AE936" s="115"/>
      <c r="AF936" s="115"/>
      <c r="AG936" s="115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26"/>
      <c r="AS936" s="15"/>
      <c r="AW936" s="117"/>
      <c r="AX936" s="116"/>
      <c r="AY936" s="116"/>
      <c r="AZ936" s="116"/>
    </row>
    <row r="937" spans="1:52" ht="19.5" x14ac:dyDescent="0.4">
      <c r="AR937" s="26"/>
      <c r="AS937" s="15"/>
      <c r="AW937" s="117"/>
      <c r="AX937" s="116"/>
      <c r="AY937" s="116"/>
      <c r="AZ937" s="116"/>
    </row>
    <row r="938" spans="1:52" ht="19.5" x14ac:dyDescent="0.4">
      <c r="W938" s="115"/>
      <c r="X938" s="115"/>
      <c r="Y938" s="115"/>
      <c r="Z938" s="115"/>
      <c r="AA938" s="122"/>
      <c r="AB938" s="122"/>
      <c r="AC938" s="122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26"/>
      <c r="AS938" s="15"/>
      <c r="AW938" s="117"/>
      <c r="AX938" s="116"/>
      <c r="AY938" s="116"/>
      <c r="AZ938" s="116"/>
    </row>
    <row r="939" spans="1:52" ht="19.5" x14ac:dyDescent="0.4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22"/>
      <c r="AB939" s="122"/>
      <c r="AC939" s="122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26"/>
      <c r="AS939" s="15"/>
      <c r="AW939" s="117"/>
      <c r="AX939" s="116"/>
      <c r="AY939" s="116"/>
      <c r="AZ939" s="116"/>
    </row>
    <row r="940" spans="1:52" ht="19.5" x14ac:dyDescent="0.4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22"/>
      <c r="AB940" s="122"/>
      <c r="AC940" s="122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26"/>
      <c r="AS940" s="15"/>
      <c r="AW940" s="117"/>
      <c r="AX940" s="116"/>
      <c r="AY940" s="116"/>
      <c r="AZ940" s="116"/>
    </row>
    <row r="941" spans="1:52" ht="19.5" x14ac:dyDescent="0.4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22"/>
      <c r="AB941" s="122"/>
      <c r="AC941" s="122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17"/>
      <c r="AS941" s="15"/>
      <c r="AW941" s="117"/>
      <c r="AX941" s="116"/>
      <c r="AY941" s="116"/>
      <c r="AZ941" s="116"/>
    </row>
    <row r="942" spans="1:52" ht="19.5" x14ac:dyDescent="0.4">
      <c r="AR942" s="26"/>
      <c r="AS942" s="15"/>
      <c r="AW942" s="117"/>
      <c r="AX942" s="116"/>
      <c r="AY942" s="116"/>
      <c r="AZ942" s="116"/>
    </row>
    <row r="943" spans="1:52" ht="19.5" x14ac:dyDescent="0.4">
      <c r="X943" s="115"/>
      <c r="Y943" s="115"/>
      <c r="Z943" s="115"/>
      <c r="AA943" s="122"/>
      <c r="AB943" s="122"/>
      <c r="AC943" s="122"/>
      <c r="AD943" s="115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7"/>
      <c r="AS943" s="15"/>
      <c r="AW943" s="117"/>
      <c r="AX943" s="116"/>
      <c r="AY943" s="116"/>
      <c r="AZ943" s="116"/>
    </row>
    <row r="944" spans="1:52" ht="19.5" x14ac:dyDescent="0.4">
      <c r="W944" s="115"/>
      <c r="X944" s="115"/>
      <c r="Y944" s="115"/>
      <c r="Z944" s="115"/>
      <c r="AA944" s="122"/>
      <c r="AB944" s="122"/>
      <c r="AC944" s="122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26"/>
      <c r="AS944" s="15"/>
      <c r="AW944" s="117"/>
      <c r="AX944" s="116"/>
      <c r="AY944" s="116"/>
      <c r="AZ944" s="116"/>
    </row>
    <row r="945" spans="1:52" ht="19.5" x14ac:dyDescent="0.4"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22"/>
      <c r="AB945" s="122"/>
      <c r="AC945" s="122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26"/>
      <c r="AS945" s="15"/>
      <c r="AW945" s="117"/>
      <c r="AX945" s="116"/>
      <c r="AY945" s="116"/>
      <c r="AZ945" s="116"/>
    </row>
    <row r="946" spans="1:52" ht="19.5" x14ac:dyDescent="0.4"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22"/>
      <c r="AB946" s="122"/>
      <c r="AC946" s="122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26"/>
      <c r="AS946" s="15"/>
      <c r="AW946" s="117"/>
      <c r="AX946" s="116"/>
      <c r="AY946" s="116"/>
      <c r="AZ946" s="116"/>
    </row>
    <row r="947" spans="1:52" ht="19.5" x14ac:dyDescent="0.4"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22"/>
      <c r="AB947" s="122"/>
      <c r="AC947" s="122"/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26"/>
      <c r="AS947" s="15"/>
      <c r="AW947" s="117"/>
      <c r="AX947" s="116"/>
      <c r="AY947" s="116"/>
      <c r="AZ947" s="116"/>
    </row>
    <row r="948" spans="1:52" ht="19.5" x14ac:dyDescent="0.4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22"/>
      <c r="AB948" s="122"/>
      <c r="AC948" s="122"/>
      <c r="AD948" s="115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26"/>
      <c r="AS948" s="15"/>
      <c r="AW948" s="117"/>
      <c r="AX948" s="116"/>
      <c r="AY948" s="116"/>
      <c r="AZ948" s="116"/>
    </row>
    <row r="949" spans="1:52" ht="19.5" x14ac:dyDescent="0.4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22"/>
      <c r="AB949" s="122"/>
      <c r="AC949" s="122"/>
      <c r="AD949" s="115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26"/>
      <c r="AS949" s="15"/>
      <c r="AW949" s="117"/>
      <c r="AX949" s="116"/>
      <c r="AY949" s="116"/>
      <c r="AZ949" s="116"/>
    </row>
    <row r="950" spans="1:52" ht="19.5" x14ac:dyDescent="0.4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22"/>
      <c r="AB950" s="122"/>
      <c r="AC950" s="122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7"/>
      <c r="AS950" s="15"/>
      <c r="AW950" s="117"/>
      <c r="AX950" s="116"/>
      <c r="AY950" s="116"/>
      <c r="AZ950" s="116"/>
    </row>
    <row r="951" spans="1:52" ht="19.5" x14ac:dyDescent="0.4">
      <c r="AR951" s="26"/>
      <c r="AS951" s="15"/>
      <c r="AW951" s="117"/>
      <c r="AX951" s="116"/>
      <c r="AY951" s="116"/>
      <c r="AZ951" s="116"/>
    </row>
    <row r="952" spans="1:52" ht="19.5" x14ac:dyDescent="0.4">
      <c r="X952" s="115"/>
      <c r="Y952" s="115"/>
      <c r="Z952" s="115"/>
      <c r="AA952" s="122"/>
      <c r="AB952" s="122"/>
      <c r="AC952" s="122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7"/>
      <c r="AS952" s="13"/>
      <c r="AW952" s="117"/>
      <c r="AX952" s="116"/>
      <c r="AY952" s="116"/>
      <c r="AZ952" s="116"/>
    </row>
    <row r="953" spans="1:52" ht="19.5" x14ac:dyDescent="0.4">
      <c r="X953" s="115"/>
      <c r="Y953" s="115"/>
      <c r="Z953" s="115"/>
      <c r="AA953" s="122"/>
      <c r="AB953" s="122"/>
      <c r="AC953" s="122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7"/>
      <c r="AS953" s="13"/>
      <c r="AW953" s="117"/>
      <c r="AX953" s="116"/>
      <c r="AY953" s="116"/>
      <c r="AZ953" s="116"/>
    </row>
    <row r="954" spans="1:52" ht="19.5" x14ac:dyDescent="0.4">
      <c r="AR954" s="26"/>
      <c r="AS954" s="13"/>
      <c r="AW954" s="117"/>
      <c r="AX954" s="116"/>
      <c r="AY954" s="116"/>
      <c r="AZ954" s="116"/>
    </row>
    <row r="955" spans="1:52" ht="19.5" x14ac:dyDescent="0.4">
      <c r="AR955" s="26"/>
      <c r="AS955" s="13"/>
      <c r="AW955" s="116"/>
      <c r="AX955" s="116"/>
      <c r="AY955" s="116"/>
      <c r="AZ955" s="116"/>
    </row>
    <row r="956" spans="1:52" ht="19.5" x14ac:dyDescent="0.4"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22"/>
      <c r="AB956" s="122"/>
      <c r="AC956" s="122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26"/>
      <c r="AS956" s="13"/>
      <c r="AW956" s="118"/>
      <c r="AX956" s="118"/>
      <c r="AY956" s="118"/>
      <c r="AZ956" s="118"/>
    </row>
    <row r="957" spans="1:52" ht="19.5" x14ac:dyDescent="0.4"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22"/>
      <c r="AB957" s="122"/>
      <c r="AC957" s="122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26"/>
      <c r="AS957" s="13"/>
      <c r="AW957" s="118"/>
      <c r="AX957" s="118"/>
      <c r="AY957" s="118"/>
      <c r="AZ957" s="118"/>
    </row>
    <row r="958" spans="1:52" ht="19.5" x14ac:dyDescent="0.4"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22"/>
      <c r="AB958" s="122"/>
      <c r="AC958" s="122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15"/>
      <c r="AQ958" s="115"/>
      <c r="AR958" s="26"/>
      <c r="AS958" s="13"/>
      <c r="AW958" s="118"/>
      <c r="AX958" s="118"/>
      <c r="AY958" s="118"/>
      <c r="AZ958" s="118"/>
    </row>
    <row r="959" spans="1:52" ht="19.5" x14ac:dyDescent="0.4"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22"/>
      <c r="AB959" s="122"/>
      <c r="AC959" s="122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26"/>
      <c r="AS959" s="15"/>
      <c r="AW959" s="118"/>
      <c r="AX959" s="118"/>
      <c r="AY959" s="118"/>
      <c r="AZ959" s="118"/>
    </row>
    <row r="960" spans="1:52" ht="19.5" x14ac:dyDescent="0.4"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22"/>
      <c r="AB960" s="122"/>
      <c r="AC960" s="122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115"/>
      <c r="AN960" s="115"/>
      <c r="AO960" s="115"/>
      <c r="AP960" s="115"/>
      <c r="AQ960" s="115"/>
      <c r="AR960" s="26"/>
      <c r="AS960" s="15"/>
      <c r="AW960" s="118"/>
      <c r="AX960" s="118"/>
      <c r="AY960" s="118"/>
      <c r="AZ960" s="118"/>
    </row>
    <row r="961" spans="1:52" ht="19.5" x14ac:dyDescent="0.4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22"/>
      <c r="AB961" s="122"/>
      <c r="AC961" s="122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26"/>
      <c r="AS961" s="15"/>
      <c r="AW961" s="118"/>
      <c r="AX961" s="118"/>
      <c r="AY961" s="118"/>
      <c r="AZ961" s="118"/>
    </row>
    <row r="962" spans="1:52" ht="19.5" x14ac:dyDescent="0.4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22"/>
      <c r="AB962" s="122"/>
      <c r="AC962" s="122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26"/>
      <c r="AS962" s="15"/>
      <c r="AW962" s="118"/>
      <c r="AX962" s="118"/>
      <c r="AY962" s="118"/>
      <c r="AZ962" s="118"/>
    </row>
    <row r="963" spans="1:52" ht="20.25" customHeight="1" x14ac:dyDescent="0.4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22"/>
      <c r="AB963" s="122"/>
      <c r="AC963" s="122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26"/>
      <c r="AS963" s="15"/>
      <c r="AW963" s="118"/>
      <c r="AX963" s="118"/>
      <c r="AY963" s="118"/>
      <c r="AZ963" s="118"/>
    </row>
    <row r="964" spans="1:52" x14ac:dyDescent="0.4">
      <c r="AR964" s="26"/>
      <c r="AS964" s="15"/>
    </row>
    <row r="965" spans="1:52" x14ac:dyDescent="0.4">
      <c r="AR965" s="26"/>
      <c r="AS965" s="13"/>
    </row>
    <row r="966" spans="1:52" x14ac:dyDescent="0.4">
      <c r="V966" s="115"/>
      <c r="W966" s="115"/>
      <c r="X966" s="115"/>
      <c r="Y966" s="115"/>
      <c r="Z966" s="115"/>
      <c r="AA966" s="122"/>
      <c r="AB966" s="122"/>
      <c r="AC966" s="122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26"/>
      <c r="AS966" s="13"/>
    </row>
    <row r="967" spans="1:52" x14ac:dyDescent="0.4">
      <c r="V967" s="115"/>
      <c r="W967" s="115"/>
      <c r="X967" s="115"/>
      <c r="Y967" s="115"/>
      <c r="Z967" s="115"/>
      <c r="AA967" s="122"/>
      <c r="AB967" s="122"/>
      <c r="AC967" s="122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115"/>
      <c r="AQ967" s="115"/>
      <c r="AR967" s="17"/>
      <c r="AS967" s="13"/>
    </row>
    <row r="968" spans="1:52" x14ac:dyDescent="0.4"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22"/>
      <c r="AB968" s="122"/>
      <c r="AC968" s="122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26"/>
      <c r="AS968" s="13"/>
    </row>
    <row r="969" spans="1:52" x14ac:dyDescent="0.4"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22"/>
      <c r="AB969" s="122"/>
      <c r="AC969" s="122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26"/>
      <c r="AS969" s="13"/>
    </row>
    <row r="970" spans="1:52" x14ac:dyDescent="0.4">
      <c r="AR970" s="26"/>
      <c r="AS970" s="13"/>
    </row>
    <row r="971" spans="1:52" x14ac:dyDescent="0.4"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22"/>
      <c r="AB971" s="122"/>
      <c r="AC971" s="122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26"/>
      <c r="AS971" s="13"/>
    </row>
    <row r="972" spans="1:52" x14ac:dyDescent="0.4"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22"/>
      <c r="AB972" s="122"/>
      <c r="AC972" s="122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26"/>
      <c r="AS972" s="13"/>
    </row>
    <row r="973" spans="1:52" x14ac:dyDescent="0.4">
      <c r="AR973" s="26"/>
      <c r="AS973" s="13"/>
    </row>
    <row r="974" spans="1:52" x14ac:dyDescent="0.4"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22"/>
      <c r="AB974" s="122"/>
      <c r="AC974" s="122"/>
      <c r="AD974" s="115"/>
      <c r="AE974" s="115"/>
      <c r="AF974" s="115"/>
      <c r="AG974" s="115"/>
      <c r="AH974" s="115"/>
      <c r="AI974" s="115"/>
      <c r="AJ974" s="115"/>
      <c r="AK974" s="115"/>
      <c r="AL974" s="115"/>
      <c r="AM974" s="115"/>
      <c r="AN974" s="115"/>
      <c r="AO974" s="115"/>
      <c r="AP974" s="115"/>
      <c r="AQ974" s="115"/>
      <c r="AR974" s="26"/>
      <c r="AS974" s="13"/>
    </row>
    <row r="975" spans="1:52" x14ac:dyDescent="0.4">
      <c r="AR975" s="26"/>
      <c r="AS975" s="13"/>
    </row>
    <row r="976" spans="1:52" x14ac:dyDescent="0.4">
      <c r="U976" s="115"/>
      <c r="V976" s="115"/>
      <c r="W976" s="115"/>
      <c r="X976" s="115"/>
      <c r="Y976" s="115"/>
      <c r="Z976" s="115"/>
      <c r="AA976" s="122"/>
      <c r="AB976" s="122"/>
      <c r="AC976" s="122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26"/>
      <c r="AS976" s="13"/>
    </row>
    <row r="977" spans="1:45" x14ac:dyDescent="0.4">
      <c r="AR977" s="26"/>
      <c r="AS977" s="13"/>
    </row>
    <row r="978" spans="1:45" x14ac:dyDescent="0.4"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22"/>
      <c r="AB978" s="122"/>
      <c r="AC978" s="122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26"/>
      <c r="AS978" s="15"/>
    </row>
    <row r="979" spans="1:45" x14ac:dyDescent="0.4"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22"/>
      <c r="AB979" s="122"/>
      <c r="AC979" s="122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26"/>
      <c r="AS979" s="15"/>
    </row>
    <row r="980" spans="1:45" x14ac:dyDescent="0.4"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22"/>
      <c r="AB980" s="122"/>
      <c r="AC980" s="122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26"/>
      <c r="AS980" s="15"/>
    </row>
    <row r="981" spans="1:45" x14ac:dyDescent="0.4">
      <c r="AR981" s="26"/>
      <c r="AS981" s="13"/>
    </row>
    <row r="982" spans="1:45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22"/>
      <c r="AB982" s="122"/>
      <c r="AC982" s="122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26"/>
      <c r="AS982" s="15"/>
    </row>
    <row r="983" spans="1:45" x14ac:dyDescent="0.4">
      <c r="AR983" s="26"/>
      <c r="AS983" s="15"/>
    </row>
    <row r="984" spans="1:45" x14ac:dyDescent="0.4">
      <c r="AR984" s="26"/>
      <c r="AS984" s="15"/>
    </row>
    <row r="985" spans="1:45" x14ac:dyDescent="0.4"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22"/>
      <c r="AB985" s="122"/>
      <c r="AC985" s="122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26"/>
      <c r="AS985" s="15"/>
    </row>
    <row r="986" spans="1:45" x14ac:dyDescent="0.4"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22"/>
      <c r="AB986" s="122"/>
      <c r="AC986" s="122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26"/>
      <c r="AS986" s="15"/>
    </row>
    <row r="987" spans="1:45" x14ac:dyDescent="0.4">
      <c r="AR987" s="26"/>
      <c r="AS987" s="15"/>
    </row>
    <row r="988" spans="1:45" x14ac:dyDescent="0.4">
      <c r="T988" s="115"/>
      <c r="U988" s="115"/>
      <c r="V988" s="115"/>
      <c r="W988" s="115"/>
      <c r="X988" s="115"/>
      <c r="Y988" s="115"/>
      <c r="Z988" s="115"/>
      <c r="AA988" s="122"/>
      <c r="AB988" s="122"/>
      <c r="AC988" s="122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26"/>
      <c r="AS988" s="15"/>
    </row>
    <row r="989" spans="1:45" x14ac:dyDescent="0.4"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22"/>
      <c r="AB989" s="122"/>
      <c r="AC989" s="122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26"/>
      <c r="AS989" s="15"/>
    </row>
    <row r="990" spans="1:45" x14ac:dyDescent="0.4"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22"/>
      <c r="AB990" s="122"/>
      <c r="AC990" s="122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26"/>
      <c r="AS990" s="15"/>
    </row>
    <row r="991" spans="1:45" x14ac:dyDescent="0.4"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22"/>
      <c r="AB991" s="122"/>
      <c r="AC991" s="122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26"/>
      <c r="AS991" s="15"/>
    </row>
    <row r="992" spans="1:45" x14ac:dyDescent="0.4"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22"/>
      <c r="AB992" s="122"/>
      <c r="AC992" s="122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26"/>
      <c r="AS992" s="15"/>
    </row>
    <row r="993" spans="1:45" x14ac:dyDescent="0.4">
      <c r="AR993" s="26"/>
      <c r="AS993" s="15"/>
    </row>
    <row r="994" spans="1:45" x14ac:dyDescent="0.4">
      <c r="W994" s="115"/>
      <c r="X994" s="115"/>
      <c r="Y994" s="115"/>
      <c r="Z994" s="115"/>
      <c r="AA994" s="122"/>
      <c r="AB994" s="122"/>
      <c r="AC994" s="122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7"/>
      <c r="AS994" s="15"/>
    </row>
    <row r="995" spans="1:45" x14ac:dyDescent="0.4">
      <c r="AR995" s="26"/>
      <c r="AS995" s="15"/>
    </row>
    <row r="996" spans="1:45" x14ac:dyDescent="0.4">
      <c r="U996" s="115"/>
      <c r="V996" s="115"/>
      <c r="W996" s="115"/>
      <c r="X996" s="115"/>
      <c r="Y996" s="115"/>
      <c r="Z996" s="115"/>
      <c r="AA996" s="122"/>
      <c r="AB996" s="122"/>
      <c r="AC996" s="122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26"/>
      <c r="AS996" s="15"/>
    </row>
    <row r="997" spans="1:45" x14ac:dyDescent="0.4">
      <c r="AR997" s="26"/>
      <c r="AS997" s="15"/>
    </row>
    <row r="998" spans="1:45" x14ac:dyDescent="0.4">
      <c r="AR998" s="26"/>
      <c r="AS998" s="15"/>
    </row>
    <row r="999" spans="1:45" x14ac:dyDescent="0.4"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22"/>
      <c r="AB999" s="122"/>
      <c r="AC999" s="122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26"/>
      <c r="AS999" s="15"/>
    </row>
    <row r="1000" spans="1:45" x14ac:dyDescent="0.4"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22"/>
      <c r="AB1000" s="122"/>
      <c r="AC1000" s="122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26"/>
      <c r="AS1000" s="15"/>
    </row>
    <row r="1001" spans="1:45" x14ac:dyDescent="0.4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22"/>
      <c r="AB1001" s="122"/>
      <c r="AC1001" s="122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26"/>
      <c r="AS1001" s="15"/>
    </row>
    <row r="1002" spans="1:45" x14ac:dyDescent="0.4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22"/>
      <c r="AB1002" s="122"/>
      <c r="AC1002" s="122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26"/>
      <c r="AS1002" s="15"/>
    </row>
    <row r="1003" spans="1:45" x14ac:dyDescent="0.4">
      <c r="AR1003" s="26"/>
      <c r="AS1003" s="15"/>
    </row>
    <row r="1004" spans="1:45" x14ac:dyDescent="0.4">
      <c r="W1004" s="115"/>
      <c r="X1004" s="115"/>
      <c r="Y1004" s="115"/>
      <c r="Z1004" s="115"/>
      <c r="AA1004" s="122"/>
      <c r="AB1004" s="122"/>
      <c r="AC1004" s="122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7"/>
      <c r="AS1004" s="15"/>
    </row>
    <row r="1005" spans="1:45" x14ac:dyDescent="0.4">
      <c r="AR1005" s="26"/>
      <c r="AS1005" s="15"/>
    </row>
    <row r="1006" spans="1:45" x14ac:dyDescent="0.4"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22"/>
      <c r="AB1006" s="122"/>
      <c r="AC1006" s="122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26"/>
      <c r="AS1006" s="15"/>
    </row>
    <row r="1007" spans="1:45" x14ac:dyDescent="0.4"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22"/>
      <c r="AB1007" s="122"/>
      <c r="AC1007" s="122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26"/>
      <c r="AS1007" s="15"/>
    </row>
    <row r="1008" spans="1:45" x14ac:dyDescent="0.4"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22"/>
      <c r="AB1008" s="122"/>
      <c r="AC1008" s="122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7"/>
      <c r="AS1008" s="15"/>
    </row>
    <row r="1009" spans="3:45" x14ac:dyDescent="0.4">
      <c r="AR1009" s="26"/>
      <c r="AS1009" s="15"/>
    </row>
    <row r="1010" spans="3:45" x14ac:dyDescent="0.4"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22"/>
      <c r="AB1010" s="122"/>
      <c r="AC1010" s="122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115"/>
      <c r="AP1010" s="115"/>
      <c r="AQ1010" s="115"/>
      <c r="AR1010" s="26"/>
      <c r="AS1010" s="15"/>
    </row>
    <row r="1011" spans="3:45" x14ac:dyDescent="0.4"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22"/>
      <c r="AB1011" s="122"/>
      <c r="AC1011" s="122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7"/>
      <c r="AS1011" s="15"/>
    </row>
    <row r="1012" spans="3:45" x14ac:dyDescent="0.4">
      <c r="AR1012" s="26"/>
      <c r="AS1012" s="15"/>
    </row>
    <row r="1013" spans="3:45" x14ac:dyDescent="0.4">
      <c r="W1013" s="115"/>
      <c r="X1013" s="115"/>
      <c r="Y1013" s="115"/>
      <c r="Z1013" s="115"/>
      <c r="AA1013" s="122"/>
      <c r="AB1013" s="122"/>
      <c r="AC1013" s="122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7"/>
      <c r="AS1013" s="15"/>
    </row>
    <row r="1014" spans="3:45" x14ac:dyDescent="0.4"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22"/>
      <c r="AB1014" s="122"/>
      <c r="AC1014" s="122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26"/>
      <c r="AS1014" s="15"/>
    </row>
    <row r="1015" spans="3:45" x14ac:dyDescent="0.4"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22"/>
      <c r="AB1015" s="122"/>
      <c r="AC1015" s="122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7"/>
      <c r="AS1015" s="15"/>
    </row>
    <row r="1016" spans="3:45" x14ac:dyDescent="0.4">
      <c r="AR1016" s="26"/>
      <c r="AS1016" s="15"/>
    </row>
    <row r="1017" spans="3:45" x14ac:dyDescent="0.4">
      <c r="AR1017" s="26"/>
      <c r="AS1017" s="15"/>
    </row>
    <row r="1018" spans="3:45" x14ac:dyDescent="0.4">
      <c r="V1018" s="115"/>
      <c r="W1018" s="115"/>
      <c r="X1018" s="115"/>
      <c r="Y1018" s="115"/>
      <c r="Z1018" s="115"/>
      <c r="AA1018" s="122"/>
      <c r="AB1018" s="122"/>
      <c r="AC1018" s="122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26"/>
      <c r="AS1018" s="15"/>
    </row>
    <row r="1019" spans="3:45" x14ac:dyDescent="0.4">
      <c r="T1019" s="115"/>
      <c r="U1019" s="115"/>
      <c r="V1019" s="115"/>
      <c r="W1019" s="115"/>
      <c r="X1019" s="115"/>
      <c r="Y1019" s="115"/>
      <c r="Z1019" s="115"/>
      <c r="AA1019" s="122"/>
      <c r="AB1019" s="122"/>
      <c r="AC1019" s="122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26"/>
      <c r="AS1019" s="15"/>
    </row>
    <row r="1020" spans="3:45" x14ac:dyDescent="0.4">
      <c r="T1020" s="115"/>
      <c r="U1020" s="115"/>
      <c r="V1020" s="115"/>
      <c r="W1020" s="115"/>
      <c r="X1020" s="115"/>
      <c r="Y1020" s="115"/>
      <c r="Z1020" s="115"/>
      <c r="AA1020" s="122"/>
      <c r="AB1020" s="122"/>
      <c r="AC1020" s="122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115"/>
      <c r="AQ1020" s="115"/>
      <c r="AR1020" s="26"/>
      <c r="AS1020" s="15"/>
    </row>
    <row r="1021" spans="3:45" x14ac:dyDescent="0.4"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22"/>
      <c r="AB1021" s="122"/>
      <c r="AC1021" s="122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26"/>
      <c r="AS1021" s="15"/>
    </row>
    <row r="1022" spans="3:45" x14ac:dyDescent="0.4"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22"/>
      <c r="AB1022" s="122"/>
      <c r="AC1022" s="122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26"/>
      <c r="AS1022" s="15"/>
    </row>
    <row r="1023" spans="3:45" x14ac:dyDescent="0.4">
      <c r="AR1023" s="26"/>
      <c r="AS1023" s="15"/>
    </row>
    <row r="1024" spans="3:45" x14ac:dyDescent="0.4">
      <c r="V1024" s="115"/>
      <c r="W1024" s="115"/>
      <c r="X1024" s="115"/>
      <c r="Y1024" s="115"/>
      <c r="Z1024" s="115"/>
      <c r="AA1024" s="122"/>
      <c r="AB1024" s="122"/>
      <c r="AC1024" s="122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26"/>
      <c r="AS1024" s="15"/>
    </row>
    <row r="1025" spans="3:45" x14ac:dyDescent="0.4">
      <c r="AR1025" s="26"/>
      <c r="AS1025" s="15"/>
    </row>
    <row r="1026" spans="3:45" x14ac:dyDescent="0.4">
      <c r="W1026" s="115"/>
      <c r="X1026" s="115"/>
      <c r="Y1026" s="115"/>
      <c r="Z1026" s="115"/>
      <c r="AA1026" s="122"/>
      <c r="AB1026" s="122"/>
      <c r="AC1026" s="122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15"/>
      <c r="AR1026" s="17"/>
      <c r="AS1026" s="15"/>
    </row>
    <row r="1027" spans="3:45" x14ac:dyDescent="0.4">
      <c r="V1027" s="115"/>
      <c r="W1027" s="115"/>
      <c r="X1027" s="115"/>
      <c r="Y1027" s="115"/>
      <c r="Z1027" s="115"/>
      <c r="AA1027" s="122"/>
      <c r="AB1027" s="122"/>
      <c r="AC1027" s="122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26"/>
      <c r="AS1027" s="15"/>
    </row>
    <row r="1028" spans="3:45" x14ac:dyDescent="0.4"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22"/>
      <c r="AB1028" s="122"/>
      <c r="AC1028" s="122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26"/>
      <c r="AS1028" s="15"/>
    </row>
    <row r="1029" spans="3:45" x14ac:dyDescent="0.4"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22"/>
      <c r="AB1029" s="122"/>
      <c r="AC1029" s="122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17"/>
      <c r="AS1029" s="15"/>
    </row>
    <row r="1030" spans="3:45" x14ac:dyDescent="0.4">
      <c r="AR1030" s="26"/>
      <c r="AS1030" s="15"/>
    </row>
    <row r="1031" spans="3:45" x14ac:dyDescent="0.4">
      <c r="W1031" s="115"/>
      <c r="X1031" s="115"/>
      <c r="Y1031" s="115"/>
      <c r="Z1031" s="115"/>
      <c r="AA1031" s="122"/>
      <c r="AB1031" s="122"/>
      <c r="AC1031" s="122"/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115"/>
      <c r="AP1031" s="115"/>
      <c r="AQ1031" s="115"/>
      <c r="AR1031" s="17"/>
      <c r="AS1031" s="15"/>
    </row>
    <row r="1032" spans="3:45" x14ac:dyDescent="0.4">
      <c r="V1032" s="115"/>
      <c r="W1032" s="115"/>
      <c r="X1032" s="115"/>
      <c r="Y1032" s="115"/>
      <c r="Z1032" s="115"/>
      <c r="AA1032" s="122"/>
      <c r="AB1032" s="122"/>
      <c r="AC1032" s="122"/>
      <c r="AD1032" s="115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15"/>
      <c r="AP1032" s="115"/>
      <c r="AQ1032" s="115"/>
      <c r="AR1032" s="26"/>
      <c r="AS1032" s="15"/>
    </row>
    <row r="1033" spans="3:45" x14ac:dyDescent="0.4">
      <c r="V1033" s="115"/>
      <c r="W1033" s="115"/>
      <c r="X1033" s="115"/>
      <c r="Y1033" s="115"/>
      <c r="Z1033" s="115"/>
      <c r="AA1033" s="122"/>
      <c r="AB1033" s="122"/>
      <c r="AC1033" s="122"/>
      <c r="AD1033" s="115"/>
      <c r="AE1033" s="115"/>
      <c r="AF1033" s="115"/>
      <c r="AG1033" s="115"/>
      <c r="AH1033" s="115"/>
      <c r="AI1033" s="115"/>
      <c r="AJ1033" s="115"/>
      <c r="AK1033" s="115"/>
      <c r="AL1033" s="115"/>
      <c r="AM1033" s="115"/>
      <c r="AN1033" s="115"/>
      <c r="AO1033" s="115"/>
      <c r="AP1033" s="115"/>
      <c r="AQ1033" s="115"/>
      <c r="AR1033" s="17"/>
      <c r="AS1033" s="15"/>
    </row>
    <row r="1034" spans="3:45" x14ac:dyDescent="0.4">
      <c r="V1034" s="115"/>
      <c r="W1034" s="115"/>
      <c r="X1034" s="115"/>
      <c r="Y1034" s="115"/>
      <c r="Z1034" s="115"/>
      <c r="AA1034" s="122"/>
      <c r="AB1034" s="122"/>
      <c r="AC1034" s="122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7"/>
      <c r="AS1034" s="15"/>
    </row>
    <row r="1035" spans="3:45" x14ac:dyDescent="0.4"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22"/>
      <c r="AB1035" s="122"/>
      <c r="AC1035" s="122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115"/>
      <c r="AR1035" s="26"/>
      <c r="AS1035" s="15"/>
    </row>
    <row r="1036" spans="3:45" x14ac:dyDescent="0.4"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22"/>
      <c r="AB1036" s="122"/>
      <c r="AC1036" s="122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26"/>
      <c r="AS1036" s="15"/>
    </row>
    <row r="1037" spans="3:45" x14ac:dyDescent="0.4"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22"/>
      <c r="AB1037" s="122"/>
      <c r="AC1037" s="122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115"/>
      <c r="AR1037" s="26"/>
      <c r="AS1037" s="15"/>
    </row>
    <row r="1038" spans="3:45" x14ac:dyDescent="0.4"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22"/>
      <c r="AB1038" s="122"/>
      <c r="AC1038" s="122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26"/>
      <c r="AS1038" s="15"/>
    </row>
    <row r="1039" spans="3:45" x14ac:dyDescent="0.4"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22"/>
      <c r="AB1039" s="122"/>
      <c r="AC1039" s="122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26"/>
      <c r="AS1039" s="15"/>
    </row>
    <row r="1040" spans="3:45" x14ac:dyDescent="0.4"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22"/>
      <c r="AB1040" s="122"/>
      <c r="AC1040" s="122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7"/>
      <c r="AS1040" s="15"/>
    </row>
    <row r="1041" spans="3:45" x14ac:dyDescent="0.4">
      <c r="AR1041" s="26"/>
      <c r="AS1041" s="15"/>
    </row>
    <row r="1042" spans="3:45" x14ac:dyDescent="0.4">
      <c r="V1042" s="115"/>
      <c r="W1042" s="115"/>
      <c r="X1042" s="115"/>
      <c r="Y1042" s="115"/>
      <c r="Z1042" s="115"/>
      <c r="AA1042" s="122"/>
      <c r="AB1042" s="122"/>
      <c r="AC1042" s="122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7"/>
      <c r="AS1042" s="13"/>
    </row>
    <row r="1043" spans="3:45" x14ac:dyDescent="0.4">
      <c r="V1043" s="115"/>
      <c r="W1043" s="115"/>
      <c r="X1043" s="115"/>
      <c r="Y1043" s="115"/>
      <c r="Z1043" s="115"/>
      <c r="AA1043" s="122"/>
      <c r="AB1043" s="122"/>
      <c r="AC1043" s="122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7"/>
      <c r="AS1043" s="13"/>
    </row>
    <row r="1044" spans="3:45" x14ac:dyDescent="0.4">
      <c r="T1044" s="115"/>
      <c r="U1044" s="115"/>
      <c r="V1044" s="115"/>
      <c r="W1044" s="115"/>
      <c r="X1044" s="115"/>
      <c r="Y1044" s="115"/>
      <c r="Z1044" s="115"/>
      <c r="AA1044" s="122"/>
      <c r="AB1044" s="122"/>
      <c r="AC1044" s="122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26"/>
      <c r="AS1044" s="13"/>
    </row>
    <row r="1045" spans="3:45" x14ac:dyDescent="0.4">
      <c r="T1045" s="115"/>
      <c r="U1045" s="115"/>
      <c r="V1045" s="115"/>
      <c r="W1045" s="115"/>
      <c r="X1045" s="115"/>
      <c r="Y1045" s="115"/>
      <c r="Z1045" s="115"/>
      <c r="AA1045" s="122"/>
      <c r="AB1045" s="122"/>
      <c r="AC1045" s="122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7"/>
      <c r="AS1045" s="13"/>
    </row>
    <row r="1046" spans="3:45" x14ac:dyDescent="0.4">
      <c r="AR1046" s="26"/>
      <c r="AS1046" s="13"/>
    </row>
    <row r="1047" spans="3:45" x14ac:dyDescent="0.4">
      <c r="U1047" s="115"/>
      <c r="V1047" s="115"/>
      <c r="W1047" s="115"/>
      <c r="X1047" s="115"/>
      <c r="Y1047" s="115"/>
      <c r="Z1047" s="115"/>
      <c r="AA1047" s="122"/>
      <c r="AB1047" s="122"/>
      <c r="AC1047" s="122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7"/>
      <c r="AS1047" s="13"/>
    </row>
    <row r="1048" spans="3:45" x14ac:dyDescent="0.4">
      <c r="AR1048" s="26"/>
      <c r="AS1048" s="13"/>
    </row>
    <row r="1049" spans="3:45" x14ac:dyDescent="0.4">
      <c r="AR1049" s="26"/>
      <c r="AS1049" s="13"/>
    </row>
    <row r="1050" spans="3:45" x14ac:dyDescent="0.4"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22"/>
      <c r="AB1050" s="122"/>
      <c r="AC1050" s="122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26"/>
      <c r="AS1050" s="13"/>
    </row>
    <row r="1051" spans="3:45" x14ac:dyDescent="0.4"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22"/>
      <c r="AB1051" s="122"/>
      <c r="AC1051" s="122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26"/>
      <c r="AS1051" s="13"/>
    </row>
    <row r="1052" spans="3:45" x14ac:dyDescent="0.4">
      <c r="AR1052" s="26"/>
      <c r="AS1052" s="13"/>
    </row>
    <row r="1053" spans="3:45" x14ac:dyDescent="0.4">
      <c r="AR1053" s="26"/>
      <c r="AS1053" s="13"/>
    </row>
    <row r="1054" spans="3:45" x14ac:dyDescent="0.4"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22"/>
      <c r="AB1054" s="122"/>
      <c r="AC1054" s="122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26"/>
      <c r="AS1054" s="13"/>
    </row>
    <row r="1055" spans="3:45" x14ac:dyDescent="0.4">
      <c r="AR1055" s="26"/>
      <c r="AS1055" s="105"/>
    </row>
    <row r="1056" spans="3:45" x14ac:dyDescent="0.4"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22"/>
      <c r="AB1056" s="122"/>
      <c r="AC1056" s="122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26"/>
      <c r="AS1056" s="15"/>
    </row>
    <row r="1057" spans="2:45" x14ac:dyDescent="0.4"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22"/>
      <c r="AB1057" s="122"/>
      <c r="AC1057" s="122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7"/>
      <c r="AS1057" s="15"/>
    </row>
    <row r="1058" spans="2:45" x14ac:dyDescent="0.4">
      <c r="AR1058" s="26"/>
      <c r="AS1058" s="15"/>
    </row>
    <row r="1059" spans="2:45" x14ac:dyDescent="0.4"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22"/>
      <c r="AB1059" s="122"/>
      <c r="AC1059" s="122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26"/>
      <c r="AS1059" s="15"/>
    </row>
    <row r="1060" spans="2:45" x14ac:dyDescent="0.4"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22"/>
      <c r="AB1060" s="122"/>
      <c r="AC1060" s="122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26"/>
      <c r="AS1060" s="15"/>
    </row>
    <row r="1061" spans="2:45" x14ac:dyDescent="0.4"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22"/>
      <c r="AB1061" s="122"/>
      <c r="AC1061" s="122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26"/>
      <c r="AS1061" s="13"/>
    </row>
    <row r="1062" spans="2:45" x14ac:dyDescent="0.4">
      <c r="AR1062" s="26"/>
      <c r="AS1062" s="15"/>
    </row>
    <row r="1063" spans="2:45" x14ac:dyDescent="0.4"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22"/>
      <c r="AB1063" s="122"/>
      <c r="AC1063" s="122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26"/>
      <c r="AS1063" s="15"/>
    </row>
    <row r="1064" spans="2:45" x14ac:dyDescent="0.4"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22"/>
      <c r="AB1064" s="122"/>
      <c r="AC1064" s="122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26"/>
      <c r="AS1064" s="15"/>
    </row>
    <row r="1065" spans="2:45" x14ac:dyDescent="0.4"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22"/>
      <c r="AB1065" s="122"/>
      <c r="AC1065" s="122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26"/>
      <c r="AS1065" s="15"/>
    </row>
    <row r="1066" spans="2:45" x14ac:dyDescent="0.4"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22"/>
      <c r="AB1066" s="122"/>
      <c r="AC1066" s="122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26"/>
      <c r="AS1066" s="15"/>
    </row>
    <row r="1067" spans="2:45" x14ac:dyDescent="0.4"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22"/>
      <c r="AB1067" s="122"/>
      <c r="AC1067" s="122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26"/>
      <c r="AS1067" s="15"/>
    </row>
    <row r="1068" spans="2:45" x14ac:dyDescent="0.4"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22"/>
      <c r="AB1068" s="122"/>
      <c r="AC1068" s="122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26"/>
      <c r="AS1068" s="15"/>
    </row>
    <row r="1069" spans="2:45" ht="19.5" customHeight="1" x14ac:dyDescent="0.4"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22"/>
      <c r="AB1069" s="122"/>
      <c r="AC1069" s="122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26"/>
      <c r="AS1069" s="15"/>
    </row>
    <row r="1070" spans="2:45" ht="19.5" customHeight="1" x14ac:dyDescent="0.4"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22"/>
      <c r="AB1070" s="122"/>
      <c r="AC1070" s="122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26"/>
      <c r="AS1070" s="15"/>
    </row>
    <row r="1071" spans="2:45" x14ac:dyDescent="0.4">
      <c r="AR1071" s="26"/>
      <c r="AS1071" s="15"/>
    </row>
    <row r="1072" spans="2:45" x14ac:dyDescent="0.4"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22"/>
      <c r="AB1072" s="122"/>
      <c r="AC1072" s="122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115"/>
      <c r="AQ1072" s="115"/>
      <c r="AR1072" s="26"/>
      <c r="AS1072" s="15"/>
    </row>
    <row r="1073" spans="1:45" x14ac:dyDescent="0.4"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22"/>
      <c r="AB1073" s="122"/>
      <c r="AC1073" s="122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115"/>
      <c r="AR1073" s="26"/>
      <c r="AS1073" s="15"/>
    </row>
    <row r="1074" spans="1:45" x14ac:dyDescent="0.4"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22"/>
      <c r="AB1074" s="122"/>
      <c r="AC1074" s="122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115"/>
      <c r="AR1074" s="17"/>
      <c r="AS1074" s="15"/>
    </row>
    <row r="1075" spans="1:45" x14ac:dyDescent="0.4">
      <c r="AR1075" s="26"/>
      <c r="AS1075" s="15"/>
    </row>
    <row r="1076" spans="1:45" x14ac:dyDescent="0.4">
      <c r="U1076" s="115"/>
      <c r="V1076" s="115"/>
      <c r="W1076" s="115"/>
      <c r="X1076" s="115"/>
      <c r="Y1076" s="115"/>
      <c r="Z1076" s="115"/>
      <c r="AA1076" s="122"/>
      <c r="AB1076" s="122"/>
      <c r="AC1076" s="122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7"/>
      <c r="AS1076" s="15"/>
    </row>
    <row r="1077" spans="1:45" x14ac:dyDescent="0.4"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22"/>
      <c r="AB1077" s="122"/>
      <c r="AC1077" s="122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26"/>
      <c r="AS1077" s="15"/>
    </row>
    <row r="1078" spans="1:45" x14ac:dyDescent="0.4">
      <c r="AR1078" s="26"/>
      <c r="AS1078" s="15"/>
    </row>
    <row r="1079" spans="1:45" x14ac:dyDescent="0.4">
      <c r="AR1079" s="26"/>
      <c r="AS1079" s="15"/>
    </row>
    <row r="1080" spans="1:45" x14ac:dyDescent="0.4">
      <c r="T1080" s="115"/>
      <c r="U1080" s="115"/>
      <c r="V1080" s="115"/>
      <c r="W1080" s="115"/>
      <c r="X1080" s="115"/>
      <c r="Y1080" s="115"/>
      <c r="Z1080" s="115"/>
      <c r="AA1080" s="122"/>
      <c r="AB1080" s="122"/>
      <c r="AC1080" s="122"/>
      <c r="AD1080" s="115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15"/>
      <c r="AP1080" s="115"/>
      <c r="AQ1080" s="115"/>
      <c r="AR1080" s="26"/>
      <c r="AS1080" s="15"/>
    </row>
    <row r="1081" spans="1:45" x14ac:dyDescent="0.4">
      <c r="AR1081" s="26"/>
      <c r="AS1081" s="15"/>
    </row>
    <row r="1082" spans="1:45" x14ac:dyDescent="0.4">
      <c r="U1082" s="115"/>
      <c r="V1082" s="115"/>
      <c r="W1082" s="115"/>
      <c r="X1082" s="115"/>
      <c r="Y1082" s="115"/>
      <c r="Z1082" s="115"/>
      <c r="AA1082" s="122"/>
      <c r="AB1082" s="122"/>
      <c r="AC1082" s="122"/>
      <c r="AD1082" s="115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7"/>
      <c r="AS1082" s="15"/>
    </row>
    <row r="1083" spans="1:45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22"/>
      <c r="AB1083" s="122"/>
      <c r="AC1083" s="122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26"/>
      <c r="AS1083" s="15"/>
    </row>
    <row r="1084" spans="1:45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22"/>
      <c r="AB1084" s="122"/>
      <c r="AC1084" s="122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7"/>
      <c r="AS1084" s="13"/>
    </row>
    <row r="1085" spans="1:45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22"/>
      <c r="AB1085" s="122"/>
      <c r="AC1085" s="122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7"/>
      <c r="AS1085" s="13"/>
    </row>
    <row r="1086" spans="1:45" x14ac:dyDescent="0.4">
      <c r="AR1086" s="26"/>
      <c r="AS1086" s="13"/>
    </row>
    <row r="1087" spans="1:45" x14ac:dyDescent="0.4"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22"/>
      <c r="AB1087" s="122"/>
      <c r="AC1087" s="122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15"/>
      <c r="AQ1087" s="115"/>
      <c r="AR1087" s="26"/>
      <c r="AS1087" s="15"/>
    </row>
    <row r="1088" spans="1:45" x14ac:dyDescent="0.4"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22"/>
      <c r="AB1088" s="122"/>
      <c r="AC1088" s="122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15"/>
      <c r="AQ1088" s="115"/>
      <c r="AR1088" s="26"/>
      <c r="AS1088" s="15"/>
    </row>
    <row r="1089" spans="1:45" x14ac:dyDescent="0.4">
      <c r="AR1089" s="26"/>
      <c r="AS1089" s="15"/>
    </row>
    <row r="1090" spans="1:45" x14ac:dyDescent="0.4"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22"/>
      <c r="AB1090" s="122"/>
      <c r="AC1090" s="122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26"/>
      <c r="AS1090" s="15"/>
    </row>
    <row r="1091" spans="1:45" x14ac:dyDescent="0.4"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22"/>
      <c r="AB1091" s="122"/>
      <c r="AC1091" s="122"/>
      <c r="AD1091" s="115"/>
      <c r="AE1091" s="115"/>
      <c r="AF1091" s="115"/>
      <c r="AG1091" s="115"/>
      <c r="AH1091" s="115"/>
      <c r="AI1091" s="115"/>
      <c r="AJ1091" s="115"/>
      <c r="AK1091" s="115"/>
      <c r="AL1091" s="115"/>
      <c r="AM1091" s="115"/>
      <c r="AN1091" s="115"/>
      <c r="AO1091" s="115"/>
      <c r="AP1091" s="115"/>
      <c r="AQ1091" s="115"/>
      <c r="AR1091" s="26"/>
      <c r="AS1091" s="15"/>
    </row>
    <row r="1092" spans="1:45" x14ac:dyDescent="0.4"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22"/>
      <c r="AB1092" s="122"/>
      <c r="AC1092" s="122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26"/>
      <c r="AS1092" s="15"/>
    </row>
    <row r="1093" spans="1:45" x14ac:dyDescent="0.4"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22"/>
      <c r="AB1093" s="122"/>
      <c r="AC1093" s="122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26"/>
      <c r="AS1093" s="15"/>
    </row>
    <row r="1094" spans="1:45" x14ac:dyDescent="0.4">
      <c r="AR1094" s="26"/>
      <c r="AS1094" s="15"/>
    </row>
    <row r="1095" spans="1:45" x14ac:dyDescent="0.4"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22"/>
      <c r="AB1095" s="122"/>
      <c r="AC1095" s="122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26"/>
      <c r="AS1095" s="15"/>
    </row>
    <row r="1096" spans="1:45" x14ac:dyDescent="0.4">
      <c r="AR1096" s="26"/>
      <c r="AS1096" s="15"/>
    </row>
    <row r="1097" spans="1:45" x14ac:dyDescent="0.4"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22"/>
      <c r="AB1097" s="122"/>
      <c r="AC1097" s="122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15"/>
      <c r="AR1097" s="26"/>
      <c r="AS1097" s="15"/>
    </row>
    <row r="1098" spans="1:45" x14ac:dyDescent="0.4"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22"/>
      <c r="AB1098" s="122"/>
      <c r="AC1098" s="122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26"/>
      <c r="AS1098" s="15"/>
    </row>
    <row r="1099" spans="1:45" x14ac:dyDescent="0.4"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22"/>
      <c r="AB1099" s="122"/>
      <c r="AC1099" s="122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7"/>
      <c r="AS1099" s="15"/>
    </row>
    <row r="1100" spans="1:45" x14ac:dyDescent="0.4">
      <c r="AR1100" s="26"/>
      <c r="AS1100" s="15"/>
    </row>
    <row r="1101" spans="1:45" x14ac:dyDescent="0.4">
      <c r="AR1101" s="26"/>
      <c r="AS1101" s="15"/>
    </row>
    <row r="1102" spans="1:45" x14ac:dyDescent="0.4">
      <c r="A1102" s="115"/>
      <c r="B1102" s="115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22"/>
      <c r="AB1102" s="122"/>
      <c r="AC1102" s="122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15"/>
      <c r="AQ1102" s="115"/>
      <c r="AR1102" s="26"/>
      <c r="AS1102" s="15"/>
    </row>
    <row r="1103" spans="1:45" x14ac:dyDescent="0.4">
      <c r="A1103" s="115"/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22"/>
      <c r="AB1103" s="122"/>
      <c r="AC1103" s="122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7"/>
      <c r="AS1103" s="15"/>
    </row>
    <row r="1104" spans="1:45" x14ac:dyDescent="0.4">
      <c r="AR1104" s="26"/>
      <c r="AS1104" s="15"/>
    </row>
    <row r="1105" spans="1:45" ht="17.25" customHeight="1" x14ac:dyDescent="0.4"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22"/>
      <c r="AB1105" s="122"/>
      <c r="AC1105" s="122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26"/>
      <c r="AS1105" s="15"/>
    </row>
    <row r="1106" spans="1:45" x14ac:dyDescent="0.4">
      <c r="AR1106" s="26"/>
      <c r="AS1106" s="15"/>
    </row>
    <row r="1107" spans="1:45" x14ac:dyDescent="0.4">
      <c r="T1107" s="115"/>
      <c r="U1107" s="115"/>
      <c r="V1107" s="115"/>
      <c r="W1107" s="115"/>
      <c r="X1107" s="115"/>
      <c r="Y1107" s="115"/>
      <c r="Z1107" s="115"/>
      <c r="AA1107" s="122"/>
      <c r="AB1107" s="122"/>
      <c r="AC1107" s="122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7"/>
      <c r="AS1107" s="15"/>
    </row>
    <row r="1108" spans="1:45" ht="16.5" customHeight="1" x14ac:dyDescent="0.4">
      <c r="A1108" s="115"/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22"/>
      <c r="AB1108" s="122"/>
      <c r="AC1108" s="122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26"/>
      <c r="AS1108" s="15"/>
    </row>
    <row r="1109" spans="1:45" ht="22.5" customHeight="1" x14ac:dyDescent="0.4">
      <c r="A1109" s="115"/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22"/>
      <c r="AB1109" s="122"/>
      <c r="AC1109" s="122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26"/>
      <c r="AS1109" s="15"/>
    </row>
    <row r="1110" spans="1:45" x14ac:dyDescent="0.4">
      <c r="AR1110" s="26"/>
      <c r="AS1110" s="15"/>
    </row>
    <row r="1111" spans="1:45" x14ac:dyDescent="0.4">
      <c r="AR1111" s="26"/>
      <c r="AS1111" s="105"/>
    </row>
    <row r="1112" spans="1:45" x14ac:dyDescent="0.4">
      <c r="A1112" s="115"/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22"/>
      <c r="AB1112" s="122"/>
      <c r="AC1112" s="122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26"/>
      <c r="AS1112" s="15"/>
    </row>
    <row r="1113" spans="1:45" x14ac:dyDescent="0.4">
      <c r="AR1113" s="26"/>
      <c r="AS1113" s="15"/>
    </row>
    <row r="1114" spans="1:45" x14ac:dyDescent="0.4">
      <c r="AR1114" s="26"/>
      <c r="AS1114" s="15"/>
    </row>
    <row r="1115" spans="1:45" x14ac:dyDescent="0.4">
      <c r="AR1115" s="26"/>
      <c r="AS1115" s="15"/>
    </row>
    <row r="1116" spans="1:45" x14ac:dyDescent="0.4">
      <c r="AR1116" s="26"/>
      <c r="AS1116" s="15"/>
    </row>
    <row r="1117" spans="1:45" x14ac:dyDescent="0.4">
      <c r="A1117" s="115"/>
      <c r="B1117" s="115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22"/>
      <c r="AB1117" s="122"/>
      <c r="AC1117" s="122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26"/>
      <c r="AS1117" s="15"/>
    </row>
    <row r="1118" spans="1:45" x14ac:dyDescent="0.4">
      <c r="AR1118" s="26"/>
      <c r="AS1118" s="15"/>
    </row>
    <row r="1119" spans="1:45" x14ac:dyDescent="0.4">
      <c r="AR1119" s="26"/>
      <c r="AS1119" s="15"/>
    </row>
    <row r="1120" spans="1:45" x14ac:dyDescent="0.4">
      <c r="AR1120" s="26"/>
      <c r="AS1120" s="15"/>
    </row>
    <row r="1121" spans="1:45" x14ac:dyDescent="0.4">
      <c r="AR1121" s="26"/>
      <c r="AS1121" s="15"/>
    </row>
    <row r="1122" spans="1:45" ht="18.75" customHeight="1" x14ac:dyDescent="0.4">
      <c r="B1122" s="115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22"/>
      <c r="AB1122" s="122"/>
      <c r="AC1122" s="122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26"/>
      <c r="AS1122" s="15"/>
    </row>
    <row r="1123" spans="1:45" x14ac:dyDescent="0.4">
      <c r="AR1123" s="26"/>
      <c r="AS1123" s="15"/>
    </row>
    <row r="1124" spans="1:45" x14ac:dyDescent="0.4">
      <c r="AR1124" s="26"/>
      <c r="AS1124" s="15"/>
    </row>
    <row r="1125" spans="1:45" x14ac:dyDescent="0.4"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22"/>
      <c r="AB1125" s="122"/>
      <c r="AC1125" s="122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26"/>
      <c r="AS1125" s="15"/>
    </row>
    <row r="1126" spans="1:45" x14ac:dyDescent="0.4">
      <c r="A1126" s="115"/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22"/>
      <c r="AB1126" s="122"/>
      <c r="AC1126" s="122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26"/>
      <c r="AS1126" s="15"/>
    </row>
    <row r="1127" spans="1:45" x14ac:dyDescent="0.4">
      <c r="AR1127" s="26"/>
      <c r="AS1127" s="15"/>
    </row>
    <row r="1128" spans="1:45" x14ac:dyDescent="0.4">
      <c r="T1128" s="115"/>
      <c r="U1128" s="115"/>
      <c r="V1128" s="115"/>
      <c r="W1128" s="115"/>
      <c r="X1128" s="115"/>
      <c r="Y1128" s="115"/>
      <c r="Z1128" s="115"/>
      <c r="AA1128" s="122"/>
      <c r="AB1128" s="122"/>
      <c r="AC1128" s="122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7"/>
      <c r="AS1128" s="15"/>
    </row>
    <row r="1129" spans="1:45" x14ac:dyDescent="0.4">
      <c r="A1129" s="115"/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22"/>
      <c r="AB1129" s="122"/>
      <c r="AC1129" s="122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26"/>
      <c r="AS1129" s="15"/>
    </row>
    <row r="1130" spans="1:45" x14ac:dyDescent="0.4">
      <c r="AR1130" s="26"/>
      <c r="AS1130" s="15"/>
    </row>
    <row r="1131" spans="1:45" x14ac:dyDescent="0.4">
      <c r="T1131" s="115"/>
      <c r="U1131" s="115"/>
      <c r="V1131" s="115"/>
      <c r="W1131" s="115"/>
      <c r="X1131" s="115"/>
      <c r="Y1131" s="115"/>
      <c r="Z1131" s="115"/>
      <c r="AA1131" s="122"/>
      <c r="AB1131" s="122"/>
      <c r="AC1131" s="122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7"/>
      <c r="AS1131" s="15"/>
    </row>
    <row r="1132" spans="1:45" x14ac:dyDescent="0.4">
      <c r="AR1132" s="26"/>
      <c r="AS1132" s="15"/>
    </row>
    <row r="1133" spans="1:45" x14ac:dyDescent="0.4"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22"/>
      <c r="AB1133" s="122"/>
      <c r="AC1133" s="122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26"/>
      <c r="AS1133" s="15"/>
    </row>
    <row r="1134" spans="1:45" x14ac:dyDescent="0.4">
      <c r="A1134" s="115"/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22"/>
      <c r="AB1134" s="122"/>
      <c r="AC1134" s="122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26"/>
      <c r="AS1134" s="15"/>
    </row>
    <row r="1135" spans="1:45" x14ac:dyDescent="0.4">
      <c r="A1135" s="115"/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22"/>
      <c r="AB1135" s="122"/>
      <c r="AC1135" s="122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15"/>
      <c r="AR1135" s="26"/>
      <c r="AS1135" s="15"/>
    </row>
    <row r="1136" spans="1:45" x14ac:dyDescent="0.4">
      <c r="AR1136" s="26"/>
      <c r="AS1136" s="15"/>
    </row>
    <row r="1137" spans="1:45" x14ac:dyDescent="0.4">
      <c r="B1137" s="115"/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22"/>
      <c r="AB1137" s="122"/>
      <c r="AC1137" s="122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26"/>
      <c r="AS1137" s="15"/>
    </row>
    <row r="1138" spans="1:45" x14ac:dyDescent="0.4">
      <c r="AR1138" s="26"/>
      <c r="AS1138" s="15"/>
    </row>
    <row r="1139" spans="1:45" x14ac:dyDescent="0.4"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22"/>
      <c r="AB1139" s="122"/>
      <c r="AC1139" s="122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26"/>
      <c r="AS1139" s="15"/>
    </row>
    <row r="1140" spans="1:45" x14ac:dyDescent="0.4">
      <c r="AR1140" s="26"/>
      <c r="AS1140" s="15"/>
    </row>
    <row r="1141" spans="1:45" x14ac:dyDescent="0.4">
      <c r="AR1141" s="26"/>
      <c r="AS1141" s="15"/>
    </row>
    <row r="1142" spans="1:45" x14ac:dyDescent="0.4">
      <c r="AR1142" s="26"/>
      <c r="AS1142" s="15"/>
    </row>
    <row r="1143" spans="1:45" x14ac:dyDescent="0.4">
      <c r="AR1143" s="26"/>
      <c r="AS1143" s="15"/>
    </row>
    <row r="1144" spans="1:45" x14ac:dyDescent="0.4">
      <c r="AR1144" s="26"/>
      <c r="AS1144" s="15"/>
    </row>
    <row r="1145" spans="1:45" x14ac:dyDescent="0.4">
      <c r="AR1145" s="26"/>
      <c r="AS1145" s="15"/>
    </row>
    <row r="1146" spans="1:45" x14ac:dyDescent="0.4">
      <c r="A1146" s="115"/>
      <c r="B1146" s="115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22"/>
      <c r="AB1146" s="122"/>
      <c r="AC1146" s="122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15"/>
      <c r="AQ1146" s="115"/>
      <c r="AR1146" s="26"/>
      <c r="AS1146" s="15"/>
    </row>
    <row r="1147" spans="1:45" x14ac:dyDescent="0.4">
      <c r="AR1147" s="26"/>
      <c r="AS1147" s="15"/>
    </row>
    <row r="1148" spans="1:45" x14ac:dyDescent="0.4">
      <c r="AR1148" s="26"/>
      <c r="AS1148" s="15"/>
    </row>
    <row r="1149" spans="1:45" x14ac:dyDescent="0.4">
      <c r="AR1149" s="26"/>
      <c r="AS1149" s="15"/>
    </row>
    <row r="1150" spans="1:45" x14ac:dyDescent="0.4">
      <c r="AR1150" s="26"/>
      <c r="AS1150" s="15"/>
    </row>
    <row r="1151" spans="1:45" x14ac:dyDescent="0.4">
      <c r="AR1151" s="26"/>
      <c r="AS1151" s="15"/>
    </row>
    <row r="1152" spans="1:45" x14ac:dyDescent="0.4">
      <c r="T1152" s="115"/>
      <c r="U1152" s="115"/>
      <c r="V1152" s="115"/>
      <c r="W1152" s="115"/>
      <c r="X1152" s="115"/>
      <c r="Y1152" s="115"/>
      <c r="Z1152" s="115"/>
      <c r="AA1152" s="122"/>
      <c r="AB1152" s="122"/>
      <c r="AC1152" s="122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7"/>
      <c r="AS1152" s="15"/>
    </row>
    <row r="1153" spans="1:45" x14ac:dyDescent="0.4">
      <c r="T1153" s="115"/>
      <c r="U1153" s="115"/>
      <c r="V1153" s="115"/>
      <c r="W1153" s="115"/>
      <c r="X1153" s="115"/>
      <c r="Y1153" s="115"/>
      <c r="Z1153" s="115"/>
      <c r="AA1153" s="122"/>
      <c r="AB1153" s="122"/>
      <c r="AC1153" s="122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7"/>
      <c r="AS1153" s="15"/>
    </row>
    <row r="1154" spans="1:45" x14ac:dyDescent="0.4">
      <c r="AR1154" s="26"/>
      <c r="AS1154" s="15"/>
    </row>
    <row r="1155" spans="1:45" x14ac:dyDescent="0.4">
      <c r="AR1155" s="26"/>
      <c r="AS1155" s="15"/>
    </row>
    <row r="1156" spans="1:45" x14ac:dyDescent="0.4">
      <c r="A1156" s="115"/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22"/>
      <c r="AB1156" s="122"/>
      <c r="AC1156" s="122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26"/>
      <c r="AS1156" s="15"/>
    </row>
    <row r="1157" spans="1:45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22"/>
      <c r="AB1157" s="122"/>
      <c r="AC1157" s="122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26"/>
      <c r="AS1157" s="13"/>
    </row>
    <row r="1158" spans="1:45" x14ac:dyDescent="0.4">
      <c r="AR1158" s="26"/>
      <c r="AS1158" s="15"/>
    </row>
    <row r="1159" spans="1:45" x14ac:dyDescent="0.4"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22"/>
      <c r="AB1159" s="122"/>
      <c r="AC1159" s="122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26"/>
      <c r="AS1159" s="15"/>
    </row>
    <row r="1160" spans="1:45" x14ac:dyDescent="0.4">
      <c r="AR1160" s="26"/>
      <c r="AS1160" s="15"/>
    </row>
    <row r="1161" spans="1:45" x14ac:dyDescent="0.4">
      <c r="AR1161" s="26"/>
      <c r="AS1161" s="15"/>
    </row>
    <row r="1162" spans="1:45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22"/>
      <c r="AB1162" s="122"/>
      <c r="AC1162" s="122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26"/>
      <c r="AS1162" s="15"/>
    </row>
    <row r="1163" spans="1:45" x14ac:dyDescent="0.4">
      <c r="AR1163" s="26"/>
      <c r="AS1163" s="13"/>
    </row>
    <row r="1164" spans="1:45" x14ac:dyDescent="0.4">
      <c r="AR1164" s="26"/>
      <c r="AS1164" s="13"/>
    </row>
    <row r="1165" spans="1:45" x14ac:dyDescent="0.4">
      <c r="A1165" s="115"/>
      <c r="B1165" s="115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22"/>
      <c r="AB1165" s="122"/>
      <c r="AC1165" s="122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26"/>
      <c r="AS1165" s="13"/>
    </row>
    <row r="1166" spans="1:45" x14ac:dyDescent="0.4">
      <c r="AR1166" s="26"/>
      <c r="AS1166" s="13"/>
    </row>
    <row r="1167" spans="1:45" x14ac:dyDescent="0.4">
      <c r="AR1167" s="26"/>
      <c r="AS1167" s="13"/>
    </row>
    <row r="1168" spans="1:45" x14ac:dyDescent="0.4">
      <c r="AR1168" s="26"/>
      <c r="AS1168" s="13"/>
    </row>
    <row r="1169" spans="1:45" x14ac:dyDescent="0.4">
      <c r="AR1169" s="26"/>
      <c r="AS1169" s="13"/>
    </row>
    <row r="1170" spans="1:45" x14ac:dyDescent="0.4">
      <c r="AR1170" s="26"/>
      <c r="AS1170" s="13"/>
    </row>
    <row r="1171" spans="1:45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22"/>
      <c r="AB1171" s="122"/>
      <c r="AC1171" s="122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26"/>
      <c r="AS1171" s="25"/>
    </row>
    <row r="1172" spans="1:45" x14ac:dyDescent="0.4">
      <c r="AR1172" s="26"/>
      <c r="AS1172" s="13"/>
    </row>
    <row r="1173" spans="1:45" x14ac:dyDescent="0.4">
      <c r="A1173" s="115"/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22"/>
      <c r="AB1173" s="122"/>
      <c r="AC1173" s="122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26"/>
      <c r="AS1173" s="13"/>
    </row>
    <row r="1174" spans="1:45" x14ac:dyDescent="0.4">
      <c r="A1174" s="115"/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22"/>
      <c r="AB1174" s="122"/>
      <c r="AC1174" s="122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26"/>
      <c r="AS1174" s="13"/>
    </row>
    <row r="1175" spans="1:45" x14ac:dyDescent="0.4">
      <c r="AR1175" s="26"/>
      <c r="AS1175" s="15"/>
    </row>
    <row r="1176" spans="1:45" x14ac:dyDescent="0.4">
      <c r="AR1176" s="26"/>
      <c r="AS1176" s="15"/>
    </row>
    <row r="1177" spans="1:45" x14ac:dyDescent="0.4">
      <c r="AR1177" s="26"/>
      <c r="AS1177" s="15"/>
    </row>
    <row r="1178" spans="1:45" x14ac:dyDescent="0.4">
      <c r="AR1178" s="26"/>
      <c r="AS1178" s="13"/>
    </row>
    <row r="1179" spans="1:45" x14ac:dyDescent="0.4">
      <c r="AR1179" s="26"/>
      <c r="AS1179" s="15"/>
    </row>
    <row r="1180" spans="1:45" x14ac:dyDescent="0.4">
      <c r="B1180" s="115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22"/>
      <c r="AB1180" s="122"/>
      <c r="AC1180" s="122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7"/>
      <c r="AS1180" s="15"/>
    </row>
    <row r="1181" spans="1:45" x14ac:dyDescent="0.4">
      <c r="AR1181" s="26"/>
      <c r="AS1181" s="15"/>
    </row>
    <row r="1182" spans="1:45" x14ac:dyDescent="0.4"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22"/>
      <c r="AB1182" s="122"/>
      <c r="AC1182" s="122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15"/>
      <c r="AR1182" s="17"/>
      <c r="AS1182" s="15"/>
    </row>
    <row r="1183" spans="1:45" x14ac:dyDescent="0.4">
      <c r="AR1183" s="26"/>
      <c r="AS1183" s="15"/>
    </row>
    <row r="1184" spans="1:45" x14ac:dyDescent="0.4">
      <c r="AR1184" s="26"/>
      <c r="AS1184" s="15"/>
    </row>
    <row r="1185" spans="2:45" x14ac:dyDescent="0.4"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22"/>
      <c r="AB1185" s="122"/>
      <c r="AC1185" s="122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7"/>
      <c r="AS1185" s="15"/>
    </row>
    <row r="1186" spans="2:45" x14ac:dyDescent="0.4">
      <c r="AR1186" s="26"/>
      <c r="AS1186" s="15"/>
    </row>
    <row r="1187" spans="2:45" x14ac:dyDescent="0.4">
      <c r="AR1187" s="26"/>
      <c r="AS1187" s="15"/>
    </row>
    <row r="1188" spans="2:45" x14ac:dyDescent="0.4">
      <c r="AR1188" s="26"/>
      <c r="AS1188" s="105"/>
    </row>
    <row r="1189" spans="2:45" x14ac:dyDescent="0.4">
      <c r="AR1189" s="26"/>
      <c r="AS1189" s="15"/>
    </row>
    <row r="1190" spans="2:45" x14ac:dyDescent="0.4">
      <c r="AR1190" s="26"/>
      <c r="AS1190" s="15"/>
    </row>
    <row r="1191" spans="2:45" x14ac:dyDescent="0.4">
      <c r="AR1191" s="26"/>
      <c r="AS1191" s="15"/>
    </row>
    <row r="1192" spans="2:45" x14ac:dyDescent="0.4">
      <c r="AR1192" s="26"/>
      <c r="AS1192" s="15"/>
    </row>
    <row r="1193" spans="2:45" x14ac:dyDescent="0.4">
      <c r="AR1193" s="26"/>
      <c r="AS1193" s="15"/>
    </row>
    <row r="1194" spans="2:45" x14ac:dyDescent="0.4"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22"/>
      <c r="AB1194" s="122"/>
      <c r="AC1194" s="122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9"/>
      <c r="AS1194" s="119"/>
    </row>
    <row r="1195" spans="2:45" x14ac:dyDescent="0.4"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22"/>
      <c r="AB1195" s="122"/>
      <c r="AC1195" s="122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9"/>
      <c r="AS1195" s="119"/>
    </row>
  </sheetData>
  <sortState xmlns:xlrd2="http://schemas.microsoft.com/office/spreadsheetml/2017/richdata2" ref="I2:J195">
    <sortCondition ref="I2:I195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2025-01-30T08:08:11Z</cp:lastPrinted>
  <dcterms:created xsi:type="dcterms:W3CDTF">2020-05-08T06:29:04Z</dcterms:created>
  <dcterms:modified xsi:type="dcterms:W3CDTF">2025-01-31T00:47:12Z</dcterms:modified>
</cp:coreProperties>
</file>