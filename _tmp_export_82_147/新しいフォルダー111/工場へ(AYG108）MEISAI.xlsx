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A8712291-CC15-44E8-9A3E-CE30307AB7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3" l="1"/>
  <c r="D33" i="3"/>
  <c r="C33" i="3"/>
  <c r="B33" i="3"/>
  <c r="Q179" i="3"/>
  <c r="P179" i="3"/>
  <c r="Q177" i="3"/>
  <c r="P177" i="3"/>
  <c r="Q175" i="3"/>
  <c r="P175" i="3"/>
  <c r="Q171" i="3"/>
  <c r="P171" i="3"/>
  <c r="Q169" i="3"/>
  <c r="P169" i="3"/>
  <c r="Q167" i="3"/>
  <c r="P167" i="3"/>
  <c r="Q163" i="3"/>
  <c r="P163" i="3"/>
  <c r="Q149" i="3"/>
  <c r="P149" i="3"/>
  <c r="Q147" i="3"/>
  <c r="P147" i="3"/>
  <c r="Q145" i="3"/>
  <c r="P145" i="3"/>
  <c r="Q139" i="3"/>
  <c r="P139" i="3"/>
  <c r="Q122" i="3"/>
  <c r="P122" i="3"/>
  <c r="Q120" i="3"/>
  <c r="P120" i="3"/>
  <c r="Q115" i="3"/>
  <c r="P115" i="3"/>
  <c r="Q94" i="3"/>
  <c r="P94" i="3"/>
  <c r="Q88" i="3"/>
  <c r="P88" i="3"/>
  <c r="Q77" i="3"/>
  <c r="P77" i="3"/>
  <c r="Q69" i="3"/>
  <c r="P69" i="3"/>
  <c r="Q64" i="3"/>
  <c r="P64" i="3"/>
  <c r="Q50" i="3"/>
  <c r="P50" i="3"/>
  <c r="Q44" i="3"/>
  <c r="P44" i="3"/>
  <c r="Q38" i="3"/>
  <c r="P38" i="3"/>
  <c r="Q26" i="3"/>
  <c r="P26" i="3"/>
  <c r="Q24" i="3"/>
  <c r="P24" i="3"/>
  <c r="Q18" i="3"/>
  <c r="P18" i="3"/>
  <c r="Q16" i="3"/>
  <c r="P16" i="3"/>
  <c r="Q12" i="3"/>
  <c r="P12" i="3"/>
  <c r="Q8" i="3"/>
  <c r="P8" i="3"/>
  <c r="Q6" i="3"/>
  <c r="P6" i="3"/>
  <c r="Q4" i="3"/>
  <c r="Q180" i="3" s="1"/>
  <c r="P4" i="3"/>
  <c r="P180" i="3" s="1"/>
  <c r="A241" i="1"/>
  <c r="AB477" i="3"/>
  <c r="Z477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Z759" i="3"/>
  <c r="AY759" i="3"/>
  <c r="AZ754" i="3"/>
  <c r="AY754" i="3"/>
  <c r="AZ752" i="3"/>
  <c r="AY752" i="3"/>
  <c r="AZ738" i="3"/>
  <c r="AY738" i="3"/>
  <c r="AZ720" i="3"/>
  <c r="AY720" i="3"/>
  <c r="AZ709" i="3"/>
  <c r="AY709" i="3"/>
  <c r="AZ675" i="3"/>
  <c r="AY675" i="3"/>
  <c r="AZ662" i="3"/>
  <c r="AY662" i="3"/>
  <c r="AZ624" i="3"/>
  <c r="AY624" i="3"/>
  <c r="AZ615" i="3"/>
  <c r="AY615" i="3"/>
  <c r="AZ601" i="3"/>
  <c r="AY601" i="3"/>
  <c r="AZ568" i="3"/>
  <c r="AY568" i="3"/>
  <c r="AZ515" i="3"/>
  <c r="AY515" i="3"/>
  <c r="AZ503" i="3"/>
  <c r="AY503" i="3"/>
  <c r="AZ480" i="3"/>
  <c r="AY480" i="3"/>
  <c r="AZ465" i="3"/>
  <c r="AY465" i="3"/>
  <c r="AZ441" i="3"/>
  <c r="AY441" i="3"/>
  <c r="AZ423" i="3"/>
  <c r="AY423" i="3"/>
  <c r="AZ403" i="3"/>
  <c r="AY403" i="3"/>
  <c r="AZ389" i="3"/>
  <c r="AY389" i="3"/>
  <c r="AZ380" i="3"/>
  <c r="AY380" i="3"/>
  <c r="AZ306" i="3"/>
  <c r="AY306" i="3"/>
  <c r="B61" i="1"/>
  <c r="A151" i="1"/>
  <c r="AB43" i="1"/>
  <c r="AY760" i="3" l="1"/>
  <c r="AZ760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<sst xmlns="http://schemas.openxmlformats.org/spreadsheetml/2006/main" count="2672" uniqueCount="394">
  <si>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</si>
  <si>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</si>
  <si>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</si>
  <si>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</si>
  <si>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</si>
  <si>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</si>
  <si>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</si>
  <si>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</si>
  <si>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</si>
  <si>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</si>
  <si>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</si>
  <si>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</si>
  <si>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</si>
  <si>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</si>
  <si>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</si>
  <si>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</si>
  <si>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</si>
  <si>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</si>
  <si>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</si>
  <si>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</si>
  <si>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</si>
  <si>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</si>
  <si>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</si>
  <si>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</si>
  <si>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</si>
  <si>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</si>
  <si>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</si>
  <si>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</si>
  <si>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</si>
  <si>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</si>
  <si>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</si>
  <si>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</si>
  <si>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</si>
  <si>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</si>
  <si>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</si>
  <si>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</si>
  <si>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</si>
  <si>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</si>
  <si>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</si>
  <si>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</si>
  <si>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</si>
  <si>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</si>
  <si>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</si>
  <si>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</si>
  <si>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</si>
  <si>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</si>
  <si>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</si>
  <si>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</si>
  <si>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</si>
  <si>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</si>
  <si>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</si>
  <si>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</si>
  <si>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</si>
  <si>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</si>
  <si>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</si>
  <si>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</si>
  <si>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</si>
  <si>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</si>
  <si>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</si>
  <si>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</si>
  <si>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</si>
  <si>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</si>
  <si>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</si>
  <si>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</si>
  <si>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</si>
  <si>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</si>
  <si>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</si>
  <si>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</si>
  <si>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</si>
  <si>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</si>
  <si>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</si>
  <si>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</si>
  <si>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</si>
  <si>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</si>
  <si>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</si>
  <si>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</si>
  <si>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</si>
  <si>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</si>
  <si>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</si>
  <si>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</si>
  <si>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</si>
  <si>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</si>
  <si>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</si>
  <si>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</si>
  <si>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</si>
  <si>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</si>
  <si>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</si>
  <si>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</si>
  <si>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</si>
  <si>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</si>
  <si>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</si>
  <si>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</si>
  <si>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</si>
  <si>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</si>
  <si>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</si>
  <si>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</si>
  <si>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</si>
  <si>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</si>
  <si>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</si>
  <si>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</si>
  <si>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</si>
  <si>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</si>
  <si>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</si>
  <si>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</si>
  <si>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</si>
  <si>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</si>
  <si>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</si>
  <si>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</si>
  <si>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</si>
  <si>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</si>
  <si>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</si>
  <si>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</si>
  <si>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</si>
  <si>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</si>
  <si>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</si>
  <si>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</si>
  <si>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</si>
  <si>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</si>
  <si>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</si>
  <si>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</si>
  <si>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</si>
  <si>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</si>
  <si>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</si>
  <si>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</si>
  <si>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</si>
  <si>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</si>
  <si>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</si>
  <si>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</si>
  <si>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</si>
  <si>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</si>
  <si>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</si>
  <si>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</si>
  <si>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</si>
  <si>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</si>
  <si>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</si>
  <si>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</si>
  <si>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</si>
  <si>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</si>
  <si>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</si>
  <si>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</si>
  <si>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</si>
  <si>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</si>
  <si>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</si>
  <si>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</si>
  <si>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</si>
  <si>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</si>
  <si>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</si>
  <si>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</si>
  <si>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</si>
  <si>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</si>
  <si>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</si>
  <si>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</si>
  <si>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</si>
  <si>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</si>
  <si>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</si>
  <si>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</si>
  <si>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</si>
  <si>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</si>
  <si>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</si>
  <si>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</si>
  <si>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</si>
  <si>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</si>
  <si>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</si>
  <si>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</si>
  <si>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</si>
  <si>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</si>
  <si>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</si>
  <si>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</si>
  <si>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</si>
  <si>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</si>
  <si>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</si>
  <si>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</si>
  <si>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</si>
  <si>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</si>
  <si>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</si>
  <si>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</si>
  <si>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</si>
  <si>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</si>
  <si>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2025/5/28 個数</t>
  </si>
  <si>
    <t>2025/6/16 個数</t>
  </si>
  <si>
    <t>2025/5/22 個数</t>
  </si>
  <si>
    <t>2025/5/25 個数</t>
  </si>
  <si>
    <t>2025/5/27 個数</t>
  </si>
  <si>
    <t>2025/6/2 個数</t>
  </si>
  <si>
    <t>2025/5/30 個数</t>
  </si>
  <si>
    <t>2025/6/1 個数</t>
  </si>
  <si>
    <t>2025/6/3 個数</t>
  </si>
  <si>
    <t>2025/6/4 個数</t>
  </si>
  <si>
    <t>2025/6/8 個数</t>
  </si>
  <si>
    <t>2025/6/13 個数</t>
  </si>
  <si>
    <t>2025/6/18 個数</t>
  </si>
  <si>
    <t>2025/6/28 個数</t>
  </si>
  <si>
    <t>AYG108</t>
    <phoneticPr fontId="1"/>
  </si>
  <si>
    <t>AYG109</t>
    <phoneticPr fontId="1"/>
  </si>
  <si>
    <t>07040346</t>
    <phoneticPr fontId="1"/>
  </si>
  <si>
    <t>M032</t>
    <phoneticPr fontId="1"/>
  </si>
  <si>
    <t>S</t>
    <phoneticPr fontId="1"/>
  </si>
  <si>
    <t>07040612</t>
    <phoneticPr fontId="1"/>
  </si>
  <si>
    <t>M070</t>
    <phoneticPr fontId="1"/>
  </si>
  <si>
    <t>07040609</t>
    <phoneticPr fontId="1"/>
  </si>
  <si>
    <t>07040672</t>
    <phoneticPr fontId="1"/>
  </si>
  <si>
    <t>A250</t>
    <phoneticPr fontId="1"/>
  </si>
  <si>
    <t>07040673</t>
    <phoneticPr fontId="1"/>
  </si>
  <si>
    <t>07040678</t>
    <phoneticPr fontId="1"/>
  </si>
  <si>
    <t>A700</t>
    <phoneticPr fontId="1"/>
  </si>
  <si>
    <t>07040679</t>
    <phoneticPr fontId="1"/>
  </si>
  <si>
    <t>07040680</t>
    <phoneticPr fontId="1"/>
  </si>
  <si>
    <t>07040681</t>
    <phoneticPr fontId="1"/>
  </si>
  <si>
    <t>07040682</t>
    <phoneticPr fontId="1"/>
  </si>
  <si>
    <t>P</t>
    <phoneticPr fontId="1"/>
  </si>
  <si>
    <t>C</t>
    <phoneticPr fontId="1"/>
  </si>
  <si>
    <t>A732</t>
    <phoneticPr fontId="1"/>
  </si>
  <si>
    <t>07040689</t>
    <phoneticPr fontId="1"/>
  </si>
  <si>
    <t>07040692</t>
    <phoneticPr fontId="1"/>
  </si>
  <si>
    <t>A307</t>
    <phoneticPr fontId="1"/>
  </si>
  <si>
    <t>07040693</t>
    <phoneticPr fontId="1"/>
  </si>
  <si>
    <t>07040694</t>
    <phoneticPr fontId="1"/>
  </si>
  <si>
    <t>07040695</t>
    <phoneticPr fontId="1"/>
  </si>
  <si>
    <t>07040698</t>
    <phoneticPr fontId="1"/>
  </si>
  <si>
    <t>07040699</t>
  </si>
  <si>
    <t>07040700</t>
  </si>
  <si>
    <t>07040701</t>
  </si>
  <si>
    <t>07040702</t>
  </si>
  <si>
    <t>07040703</t>
  </si>
  <si>
    <t>07040709</t>
    <phoneticPr fontId="1"/>
  </si>
  <si>
    <t>07040710</t>
    <phoneticPr fontId="1"/>
  </si>
  <si>
    <t>07040711</t>
    <phoneticPr fontId="1"/>
  </si>
  <si>
    <t>M037</t>
    <phoneticPr fontId="1"/>
  </si>
  <si>
    <t>07040712</t>
    <phoneticPr fontId="1"/>
  </si>
  <si>
    <t>07040718</t>
    <phoneticPr fontId="1"/>
  </si>
  <si>
    <t>A120</t>
    <phoneticPr fontId="1"/>
  </si>
  <si>
    <t>A123</t>
    <phoneticPr fontId="1"/>
  </si>
  <si>
    <t>07040719</t>
    <phoneticPr fontId="1"/>
  </si>
  <si>
    <t>07040720</t>
    <phoneticPr fontId="1"/>
  </si>
  <si>
    <t>A997</t>
    <phoneticPr fontId="1"/>
  </si>
  <si>
    <t>07040722</t>
    <phoneticPr fontId="1"/>
  </si>
  <si>
    <t>07040723</t>
    <phoneticPr fontId="1"/>
  </si>
  <si>
    <t>07040725</t>
    <phoneticPr fontId="1"/>
  </si>
  <si>
    <t>A328</t>
    <phoneticPr fontId="1"/>
  </si>
  <si>
    <t>07040728</t>
    <phoneticPr fontId="1"/>
  </si>
  <si>
    <t>07040730</t>
    <phoneticPr fontId="1"/>
  </si>
  <si>
    <t>07040732</t>
    <phoneticPr fontId="1"/>
  </si>
  <si>
    <t>07040733</t>
    <phoneticPr fontId="1"/>
  </si>
  <si>
    <t>E</t>
    <phoneticPr fontId="1"/>
  </si>
  <si>
    <t>07040734</t>
    <phoneticPr fontId="1"/>
  </si>
  <si>
    <t>07040735</t>
    <phoneticPr fontId="1"/>
  </si>
  <si>
    <t>07030076</t>
    <phoneticPr fontId="1"/>
  </si>
  <si>
    <t>M025</t>
    <phoneticPr fontId="1"/>
  </si>
  <si>
    <t>07040636</t>
    <phoneticPr fontId="1"/>
  </si>
  <si>
    <t>07040684</t>
    <phoneticPr fontId="1"/>
  </si>
  <si>
    <t>A913</t>
    <phoneticPr fontId="1"/>
  </si>
  <si>
    <t>07040660</t>
    <phoneticPr fontId="1"/>
  </si>
  <si>
    <t>07040716</t>
    <phoneticPr fontId="1"/>
  </si>
  <si>
    <t>07040724</t>
    <phoneticPr fontId="1"/>
  </si>
  <si>
    <t>07040726</t>
    <phoneticPr fontId="1"/>
  </si>
  <si>
    <t>07040727</t>
    <phoneticPr fontId="1"/>
  </si>
  <si>
    <t>07040731</t>
    <phoneticPr fontId="1"/>
  </si>
  <si>
    <t>A730</t>
    <phoneticPr fontId="1"/>
  </si>
  <si>
    <t>07040577</t>
    <phoneticPr fontId="1"/>
  </si>
  <si>
    <t>07050001</t>
    <phoneticPr fontId="1"/>
  </si>
  <si>
    <t>M074</t>
    <phoneticPr fontId="1"/>
  </si>
  <si>
    <t>07050012</t>
    <phoneticPr fontId="1"/>
  </si>
  <si>
    <t>07050014</t>
    <phoneticPr fontId="1"/>
  </si>
  <si>
    <t>07050015</t>
    <phoneticPr fontId="1"/>
  </si>
  <si>
    <t>07050018</t>
    <phoneticPr fontId="1"/>
  </si>
  <si>
    <t>M079</t>
    <phoneticPr fontId="1"/>
  </si>
  <si>
    <t>07050020</t>
    <phoneticPr fontId="1"/>
  </si>
  <si>
    <t>07040696</t>
    <phoneticPr fontId="1"/>
  </si>
  <si>
    <t>07040697</t>
    <phoneticPr fontId="1"/>
  </si>
  <si>
    <t>07040729</t>
    <phoneticPr fontId="1"/>
  </si>
  <si>
    <t>07050013</t>
    <phoneticPr fontId="1"/>
  </si>
  <si>
    <t>07050016</t>
    <phoneticPr fontId="1"/>
  </si>
  <si>
    <t>07050019</t>
    <phoneticPr fontId="1"/>
  </si>
  <si>
    <t>07050027</t>
    <phoneticPr fontId="1"/>
  </si>
  <si>
    <t>07050029</t>
    <phoneticPr fontId="1"/>
  </si>
  <si>
    <t>07050039</t>
    <phoneticPr fontId="1"/>
  </si>
  <si>
    <t>A156</t>
    <phoneticPr fontId="1"/>
  </si>
  <si>
    <t>07050045</t>
    <phoneticPr fontId="1"/>
  </si>
  <si>
    <t>07050050</t>
    <phoneticPr fontId="1"/>
  </si>
  <si>
    <t>07050052</t>
    <phoneticPr fontId="1"/>
  </si>
  <si>
    <t>07050055</t>
    <phoneticPr fontId="1"/>
  </si>
  <si>
    <t>A640</t>
    <phoneticPr fontId="1"/>
  </si>
  <si>
    <t>07050056</t>
    <phoneticPr fontId="1"/>
  </si>
  <si>
    <t>07050057</t>
    <phoneticPr fontId="1"/>
  </si>
  <si>
    <t>07050058</t>
    <phoneticPr fontId="1"/>
  </si>
  <si>
    <t>07050059</t>
    <phoneticPr fontId="1"/>
  </si>
  <si>
    <t>07050079</t>
    <phoneticPr fontId="1"/>
  </si>
  <si>
    <t>07050080</t>
    <phoneticPr fontId="1"/>
  </si>
  <si>
    <t>07050060</t>
    <phoneticPr fontId="1"/>
  </si>
  <si>
    <t>A623</t>
    <phoneticPr fontId="1"/>
  </si>
  <si>
    <t>07050061</t>
    <phoneticPr fontId="1"/>
  </si>
  <si>
    <t>07050064</t>
    <phoneticPr fontId="1"/>
  </si>
  <si>
    <t>07050065</t>
    <phoneticPr fontId="1"/>
  </si>
  <si>
    <t>07050066</t>
    <phoneticPr fontId="1"/>
  </si>
  <si>
    <t>07050067</t>
    <phoneticPr fontId="1"/>
  </si>
  <si>
    <t>07050069</t>
    <phoneticPr fontId="1"/>
  </si>
  <si>
    <t>07050068</t>
    <phoneticPr fontId="1"/>
  </si>
  <si>
    <t>07050070</t>
    <phoneticPr fontId="1"/>
  </si>
  <si>
    <t>07050071</t>
    <phoneticPr fontId="1"/>
  </si>
  <si>
    <t>07050072</t>
    <phoneticPr fontId="1"/>
  </si>
  <si>
    <t>07050073</t>
    <phoneticPr fontId="1"/>
  </si>
  <si>
    <t>07050076</t>
    <phoneticPr fontId="1"/>
  </si>
  <si>
    <t>07050077</t>
    <phoneticPr fontId="1"/>
  </si>
  <si>
    <t>07050078</t>
    <phoneticPr fontId="1"/>
  </si>
  <si>
    <t>07050081</t>
    <phoneticPr fontId="1"/>
  </si>
  <si>
    <t>M100</t>
    <phoneticPr fontId="1"/>
  </si>
  <si>
    <t>07050082</t>
    <phoneticPr fontId="1"/>
  </si>
  <si>
    <t>07050083</t>
    <phoneticPr fontId="1"/>
  </si>
  <si>
    <t>07050105</t>
    <phoneticPr fontId="1"/>
  </si>
  <si>
    <t>07050106</t>
  </si>
  <si>
    <t>07050107</t>
  </si>
  <si>
    <t>07050109</t>
    <phoneticPr fontId="1"/>
  </si>
  <si>
    <t>07050110</t>
    <phoneticPr fontId="1"/>
  </si>
  <si>
    <t>07050111</t>
    <phoneticPr fontId="1"/>
  </si>
  <si>
    <t>07040121</t>
    <phoneticPr fontId="1"/>
  </si>
  <si>
    <t>07040123</t>
    <phoneticPr fontId="1"/>
  </si>
  <si>
    <t>07040438</t>
    <phoneticPr fontId="1"/>
  </si>
  <si>
    <t>A755</t>
    <phoneticPr fontId="1"/>
  </si>
  <si>
    <t>07040685</t>
    <phoneticPr fontId="1"/>
  </si>
  <si>
    <t>07040686</t>
    <phoneticPr fontId="1"/>
  </si>
  <si>
    <t>07040713</t>
    <phoneticPr fontId="1"/>
  </si>
  <si>
    <t>07040714</t>
    <phoneticPr fontId="1"/>
  </si>
  <si>
    <t>07040715</t>
    <phoneticPr fontId="1"/>
  </si>
  <si>
    <t>07050074</t>
    <phoneticPr fontId="1"/>
  </si>
  <si>
    <t>A611</t>
    <phoneticPr fontId="1"/>
  </si>
  <si>
    <t>07050075</t>
    <phoneticPr fontId="1"/>
  </si>
  <si>
    <t>07050103</t>
    <phoneticPr fontId="1"/>
  </si>
  <si>
    <t>M078</t>
    <phoneticPr fontId="1"/>
  </si>
  <si>
    <t>A255</t>
    <phoneticPr fontId="1"/>
  </si>
  <si>
    <t>07050117</t>
    <phoneticPr fontId="1"/>
  </si>
  <si>
    <t>07050121</t>
    <phoneticPr fontId="1"/>
  </si>
  <si>
    <t>A335</t>
    <phoneticPr fontId="1"/>
  </si>
  <si>
    <t>07050122</t>
    <phoneticPr fontId="1"/>
  </si>
  <si>
    <t>07050123</t>
    <phoneticPr fontId="1"/>
  </si>
  <si>
    <t>07050124</t>
    <phoneticPr fontId="1"/>
  </si>
  <si>
    <t>07050125</t>
    <phoneticPr fontId="1"/>
  </si>
  <si>
    <t>07040345</t>
    <phoneticPr fontId="1"/>
  </si>
  <si>
    <t>07050035</t>
    <phoneticPr fontId="1"/>
  </si>
  <si>
    <t>07050038</t>
    <phoneticPr fontId="1"/>
  </si>
  <si>
    <t>A545</t>
    <phoneticPr fontId="1"/>
  </si>
  <si>
    <t>07050048</t>
    <phoneticPr fontId="1"/>
  </si>
  <si>
    <t>07050010</t>
    <phoneticPr fontId="1"/>
  </si>
  <si>
    <t>A505</t>
    <phoneticPr fontId="1"/>
  </si>
  <si>
    <t>07050054</t>
    <phoneticPr fontId="1"/>
  </si>
  <si>
    <t>07050108</t>
    <phoneticPr fontId="1"/>
  </si>
  <si>
    <t>A199</t>
    <phoneticPr fontId="1"/>
  </si>
  <si>
    <t>07050119</t>
    <phoneticPr fontId="1"/>
  </si>
  <si>
    <t>07050120</t>
    <phoneticPr fontId="1"/>
  </si>
  <si>
    <t>07050126</t>
    <phoneticPr fontId="1"/>
  </si>
  <si>
    <t>07050134</t>
    <phoneticPr fontId="1"/>
  </si>
  <si>
    <t>07050135</t>
    <phoneticPr fontId="1"/>
  </si>
  <si>
    <t>07050139</t>
    <phoneticPr fontId="1"/>
  </si>
  <si>
    <t>07050147</t>
    <phoneticPr fontId="1"/>
  </si>
  <si>
    <t>07050148</t>
    <phoneticPr fontId="1"/>
  </si>
  <si>
    <t>07050149</t>
    <phoneticPr fontId="1"/>
  </si>
  <si>
    <t>07050150</t>
    <phoneticPr fontId="1"/>
  </si>
  <si>
    <t>A336</t>
    <phoneticPr fontId="1"/>
  </si>
  <si>
    <t>07050153</t>
    <phoneticPr fontId="1"/>
  </si>
  <si>
    <t>07050154</t>
    <phoneticPr fontId="1"/>
  </si>
  <si>
    <t>A550</t>
    <phoneticPr fontId="1"/>
  </si>
  <si>
    <t>07050155</t>
    <phoneticPr fontId="1"/>
  </si>
  <si>
    <t>07040401</t>
    <phoneticPr fontId="1"/>
  </si>
  <si>
    <t>07050025</t>
    <phoneticPr fontId="1"/>
  </si>
  <si>
    <t>07050026</t>
    <phoneticPr fontId="1"/>
  </si>
  <si>
    <t>07050142</t>
    <phoneticPr fontId="1"/>
  </si>
  <si>
    <t>07050143</t>
    <phoneticPr fontId="1"/>
  </si>
  <si>
    <t>07050144</t>
    <phoneticPr fontId="1"/>
  </si>
  <si>
    <t>07050145</t>
    <phoneticPr fontId="1"/>
  </si>
  <si>
    <t>07050146</t>
    <phoneticPr fontId="1"/>
  </si>
  <si>
    <t>07050151</t>
    <phoneticPr fontId="1"/>
  </si>
  <si>
    <t>07050152</t>
    <phoneticPr fontId="1"/>
  </si>
  <si>
    <t>07050156</t>
    <phoneticPr fontId="1"/>
  </si>
  <si>
    <t>A318</t>
    <phoneticPr fontId="1"/>
  </si>
  <si>
    <t>07050160</t>
    <phoneticPr fontId="1"/>
  </si>
  <si>
    <t>07050161</t>
    <phoneticPr fontId="1"/>
  </si>
  <si>
    <t>A529</t>
    <phoneticPr fontId="1"/>
  </si>
  <si>
    <t>07040240</t>
    <phoneticPr fontId="1"/>
  </si>
  <si>
    <t>07040241</t>
    <phoneticPr fontId="1"/>
  </si>
  <si>
    <t>2025/5/26 個数</t>
  </si>
  <si>
    <t>2025/6/5 個数</t>
  </si>
  <si>
    <t>2025/6/9 個数</t>
  </si>
  <si>
    <t>2025/6/10 個数</t>
  </si>
  <si>
    <t>2025/6/11 個数</t>
  </si>
  <si>
    <t>2025/6/14 個数</t>
  </si>
  <si>
    <t>2025/6/15 個数</t>
  </si>
  <si>
    <t>2025/6/17 個数</t>
  </si>
  <si>
    <t>2025/6/19 個数</t>
  </si>
  <si>
    <t>2025/6/20 個数</t>
  </si>
  <si>
    <t>2025/6/21 個数</t>
  </si>
  <si>
    <t>2025/6/22 個数</t>
  </si>
  <si>
    <t>2025/6/24 個数</t>
  </si>
  <si>
    <t>2025/6/26 個数</t>
  </si>
  <si>
    <t>2025/7/18 個数</t>
  </si>
  <si>
    <t>2025/7/21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</si>
</sst>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2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A260" zoomScale="106" zoomScaleNormal="106" workbookViewId="0">
      <selection activeCell="N287" sqref="N287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193</v>
      </c>
      <c r="B1" s="24">
        <v>45789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8" t="s">
        <v>105</v>
      </c>
      <c r="Y2" s="144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5">
        <v>1</v>
      </c>
      <c r="B3" s="135">
        <v>22.8</v>
      </c>
      <c r="C3" s="85" t="s">
        <v>194</v>
      </c>
      <c r="D3" s="109" t="s">
        <v>195</v>
      </c>
      <c r="E3" s="15" t="s">
        <v>40</v>
      </c>
      <c r="F3" s="14"/>
      <c r="G3" s="12" t="s">
        <v>196</v>
      </c>
      <c r="H3" s="13"/>
      <c r="I3" s="13"/>
      <c r="J3" s="13"/>
      <c r="K3" s="13"/>
      <c r="L3" s="13"/>
      <c r="M3" s="13"/>
      <c r="N3" s="13"/>
      <c r="O3" s="13">
        <v>1</v>
      </c>
      <c r="P3" s="13">
        <v>1</v>
      </c>
      <c r="Q3" s="13">
        <v>1</v>
      </c>
      <c r="R3" s="13">
        <v>1</v>
      </c>
      <c r="S3" s="13"/>
      <c r="T3" s="25">
        <v>45805</v>
      </c>
      <c r="U3" s="13" t="s">
        <v>148</v>
      </c>
      <c r="V3">
        <v>1</v>
      </c>
      <c r="X3" s="51" t="s">
        <v>106</v>
      </c>
      <c r="Y3" s="52">
        <f>COUNTIF(U3:U27,"K")</f>
        <v>9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6"/>
      <c r="B4" s="136"/>
      <c r="C4" s="85" t="s">
        <v>197</v>
      </c>
      <c r="D4" s="109" t="s">
        <v>198</v>
      </c>
      <c r="E4" s="15" t="s">
        <v>58</v>
      </c>
      <c r="F4" s="16"/>
      <c r="G4" s="12" t="s">
        <v>196</v>
      </c>
      <c r="H4" s="15"/>
      <c r="I4" s="13"/>
      <c r="J4" s="15"/>
      <c r="K4" s="15"/>
      <c r="L4" s="17"/>
      <c r="M4" s="17"/>
      <c r="N4" s="13"/>
      <c r="O4" s="17"/>
      <c r="P4" s="17"/>
      <c r="Q4" s="17"/>
      <c r="R4" s="17"/>
      <c r="S4" s="15"/>
      <c r="T4" s="25">
        <v>45803</v>
      </c>
      <c r="U4" s="13" t="s">
        <v>147</v>
      </c>
      <c r="V4">
        <v>2</v>
      </c>
      <c r="X4" s="51" t="s">
        <v>107</v>
      </c>
      <c r="Y4" s="52">
        <f>COUNTIF(U3:U27,"R")</f>
        <v>4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6"/>
      <c r="B5" s="136"/>
      <c r="C5" s="85" t="s">
        <v>199</v>
      </c>
      <c r="D5" s="109" t="s">
        <v>195</v>
      </c>
      <c r="E5" s="15" t="s">
        <v>37</v>
      </c>
      <c r="F5" s="16"/>
      <c r="G5" s="12" t="s">
        <v>196</v>
      </c>
      <c r="H5" s="13"/>
      <c r="I5" s="13"/>
      <c r="J5" s="15"/>
      <c r="K5" s="15"/>
      <c r="L5" s="17"/>
      <c r="M5" s="17">
        <v>1</v>
      </c>
      <c r="N5" s="13">
        <v>1</v>
      </c>
      <c r="O5" s="17"/>
      <c r="P5" s="17"/>
      <c r="Q5" s="17">
        <v>1</v>
      </c>
      <c r="R5" s="17"/>
      <c r="S5" s="15"/>
      <c r="T5" s="25">
        <v>45809</v>
      </c>
      <c r="U5" s="13" t="s">
        <v>147</v>
      </c>
      <c r="V5">
        <v>3</v>
      </c>
      <c r="X5" s="53" t="s">
        <v>108</v>
      </c>
      <c r="Y5" s="54">
        <f>COUNTIF(U3:U27,"J")</f>
        <v>2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6"/>
      <c r="B6" s="136"/>
      <c r="C6" s="85" t="s">
        <v>200</v>
      </c>
      <c r="D6" s="109" t="s">
        <v>201</v>
      </c>
      <c r="E6" s="15" t="s">
        <v>38</v>
      </c>
      <c r="F6" s="16"/>
      <c r="G6" s="12" t="s">
        <v>196</v>
      </c>
      <c r="H6" s="15"/>
      <c r="I6" s="13"/>
      <c r="J6" s="13"/>
      <c r="K6" s="15">
        <v>1</v>
      </c>
      <c r="L6" s="17"/>
      <c r="M6" s="17">
        <v>1</v>
      </c>
      <c r="N6" s="13"/>
      <c r="O6" s="17"/>
      <c r="P6" s="17"/>
      <c r="Q6" s="17">
        <v>1</v>
      </c>
      <c r="R6" s="17"/>
      <c r="S6" s="15"/>
      <c r="T6" s="25">
        <v>45812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6"/>
      <c r="B7" s="136"/>
      <c r="C7" s="85" t="s">
        <v>202</v>
      </c>
      <c r="D7" s="109" t="s">
        <v>201</v>
      </c>
      <c r="E7" s="15" t="s">
        <v>38</v>
      </c>
      <c r="F7" s="16"/>
      <c r="G7" s="12" t="s">
        <v>196</v>
      </c>
      <c r="H7" s="15"/>
      <c r="I7" s="13"/>
      <c r="J7" s="15">
        <v>1</v>
      </c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45812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6"/>
      <c r="B8" s="136"/>
      <c r="C8" s="85" t="s">
        <v>203</v>
      </c>
      <c r="D8" s="109" t="s">
        <v>204</v>
      </c>
      <c r="E8" s="15" t="s">
        <v>42</v>
      </c>
      <c r="F8" s="16"/>
      <c r="G8" s="12" t="s">
        <v>196</v>
      </c>
      <c r="H8" s="13"/>
      <c r="I8" s="13"/>
      <c r="J8" s="15"/>
      <c r="K8" s="15"/>
      <c r="L8" s="17"/>
      <c r="M8" s="17"/>
      <c r="N8" s="13"/>
      <c r="O8" s="17"/>
      <c r="P8" s="17"/>
      <c r="Q8" s="17"/>
      <c r="R8" s="17"/>
      <c r="S8" s="15">
        <v>1</v>
      </c>
      <c r="T8" s="25">
        <v>45816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6"/>
      <c r="B9" s="136"/>
      <c r="C9" s="85" t="s">
        <v>205</v>
      </c>
      <c r="D9" s="109" t="s">
        <v>204</v>
      </c>
      <c r="E9" s="15" t="s">
        <v>41</v>
      </c>
      <c r="F9" s="16"/>
      <c r="G9" s="12" t="s">
        <v>196</v>
      </c>
      <c r="H9" s="15"/>
      <c r="I9" s="13"/>
      <c r="J9" s="15">
        <v>1</v>
      </c>
      <c r="K9" s="15"/>
      <c r="L9" s="17"/>
      <c r="M9" s="17"/>
      <c r="N9" s="13"/>
      <c r="O9" s="17"/>
      <c r="P9" s="17"/>
      <c r="Q9" s="17"/>
      <c r="R9" s="17"/>
      <c r="S9" s="15"/>
      <c r="T9" s="25">
        <v>45816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6"/>
      <c r="B10" s="136"/>
      <c r="C10" s="85" t="s">
        <v>206</v>
      </c>
      <c r="D10" s="109" t="s">
        <v>204</v>
      </c>
      <c r="E10" s="15" t="s">
        <v>42</v>
      </c>
      <c r="F10" s="16"/>
      <c r="G10" s="12" t="s">
        <v>196</v>
      </c>
      <c r="H10" s="15"/>
      <c r="I10" s="13"/>
      <c r="J10" s="15"/>
      <c r="K10" s="15"/>
      <c r="L10" s="17"/>
      <c r="M10" s="17"/>
      <c r="N10" s="13"/>
      <c r="O10" s="17"/>
      <c r="P10" s="17"/>
      <c r="Q10" s="17"/>
      <c r="R10" s="17"/>
      <c r="S10" s="15">
        <v>1</v>
      </c>
      <c r="T10" s="25">
        <v>45816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6"/>
      <c r="B11" s="136"/>
      <c r="C11" s="85" t="s">
        <v>207</v>
      </c>
      <c r="D11" s="109" t="s">
        <v>204</v>
      </c>
      <c r="E11" s="15" t="s">
        <v>41</v>
      </c>
      <c r="F11" s="16"/>
      <c r="G11" s="12" t="s">
        <v>196</v>
      </c>
      <c r="H11" s="15"/>
      <c r="I11" s="13"/>
      <c r="J11" s="15">
        <v>1</v>
      </c>
      <c r="K11" s="15"/>
      <c r="L11" s="17"/>
      <c r="M11" s="17"/>
      <c r="N11" s="13"/>
      <c r="O11" s="17"/>
      <c r="P11" s="17"/>
      <c r="Q11" s="17"/>
      <c r="R11" s="17"/>
      <c r="S11" s="15"/>
      <c r="T11" s="25">
        <v>45816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6"/>
      <c r="B12" s="136"/>
      <c r="C12" s="85" t="s">
        <v>208</v>
      </c>
      <c r="D12" s="109" t="s">
        <v>204</v>
      </c>
      <c r="E12" s="15" t="s">
        <v>39</v>
      </c>
      <c r="F12" s="16"/>
      <c r="G12" s="12" t="s">
        <v>209</v>
      </c>
      <c r="H12" s="15"/>
      <c r="I12" s="15"/>
      <c r="J12" s="15">
        <v>1</v>
      </c>
      <c r="K12" s="15"/>
      <c r="L12" s="17">
        <v>1</v>
      </c>
      <c r="M12" s="17"/>
      <c r="N12" s="17"/>
      <c r="O12" s="17"/>
      <c r="P12" s="17"/>
      <c r="Q12" s="17"/>
      <c r="R12" s="17"/>
      <c r="S12" s="15"/>
      <c r="T12" s="25">
        <v>45816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6"/>
      <c r="B13" s="136"/>
      <c r="C13" s="85" t="s">
        <v>212</v>
      </c>
      <c r="D13" s="109" t="s">
        <v>211</v>
      </c>
      <c r="E13" s="15" t="s">
        <v>57</v>
      </c>
      <c r="F13" s="16"/>
      <c r="G13" s="12" t="s">
        <v>210</v>
      </c>
      <c r="H13" s="15"/>
      <c r="I13" s="15"/>
      <c r="J13" s="15"/>
      <c r="K13" s="15"/>
      <c r="L13" s="17"/>
      <c r="M13" s="17"/>
      <c r="N13" s="17"/>
      <c r="O13" s="17"/>
      <c r="P13" s="17"/>
      <c r="Q13" s="17"/>
      <c r="R13" s="17"/>
      <c r="S13" s="15"/>
      <c r="T13" s="25">
        <v>45832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6"/>
      <c r="B14" s="136"/>
      <c r="C14" s="85" t="s">
        <v>213</v>
      </c>
      <c r="D14" s="109" t="s">
        <v>214</v>
      </c>
      <c r="E14" s="15" t="s">
        <v>39</v>
      </c>
      <c r="F14" s="16"/>
      <c r="G14" s="12" t="s">
        <v>196</v>
      </c>
      <c r="H14" s="15"/>
      <c r="I14" s="15"/>
      <c r="J14" s="15">
        <v>1</v>
      </c>
      <c r="K14" s="15">
        <v>1</v>
      </c>
      <c r="L14" s="17"/>
      <c r="M14" s="17"/>
      <c r="N14" s="17"/>
      <c r="O14" s="17"/>
      <c r="P14" s="17"/>
      <c r="Q14" s="17"/>
      <c r="R14" s="17"/>
      <c r="S14" s="15"/>
      <c r="T14" s="25">
        <v>45819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6"/>
      <c r="B15" s="136"/>
      <c r="C15" s="85" t="s">
        <v>215</v>
      </c>
      <c r="D15" s="109" t="s">
        <v>214</v>
      </c>
      <c r="E15" s="15" t="s">
        <v>37</v>
      </c>
      <c r="F15" s="16"/>
      <c r="G15" s="12" t="s">
        <v>196</v>
      </c>
      <c r="H15" s="15"/>
      <c r="I15" s="15"/>
      <c r="J15" s="15">
        <v>1</v>
      </c>
      <c r="K15" s="15">
        <v>1</v>
      </c>
      <c r="L15" s="17"/>
      <c r="M15" s="17"/>
      <c r="N15" s="17"/>
      <c r="O15" s="17"/>
      <c r="P15" s="17"/>
      <c r="Q15" s="17"/>
      <c r="R15" s="17"/>
      <c r="S15" s="15"/>
      <c r="T15" s="25">
        <v>45819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6"/>
      <c r="B16" s="136"/>
      <c r="C16" s="85" t="s">
        <v>216</v>
      </c>
      <c r="D16" s="109" t="s">
        <v>214</v>
      </c>
      <c r="E16" s="15" t="s">
        <v>38</v>
      </c>
      <c r="F16" s="16"/>
      <c r="G16" s="12" t="s">
        <v>196</v>
      </c>
      <c r="H16" s="15"/>
      <c r="I16" s="15"/>
      <c r="J16" s="15">
        <v>1</v>
      </c>
      <c r="K16" s="15">
        <v>1</v>
      </c>
      <c r="L16" s="17"/>
      <c r="M16" s="17"/>
      <c r="N16" s="17"/>
      <c r="O16" s="17"/>
      <c r="P16" s="17"/>
      <c r="Q16" s="17"/>
      <c r="R16" s="17"/>
      <c r="S16" s="15"/>
      <c r="T16" s="25">
        <v>45819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6"/>
      <c r="B17" s="136"/>
      <c r="C17" s="85" t="s">
        <v>217</v>
      </c>
      <c r="D17" s="106" t="s">
        <v>214</v>
      </c>
      <c r="E17" s="15" t="s">
        <v>40</v>
      </c>
      <c r="F17" s="16"/>
      <c r="G17" s="15" t="s">
        <v>196</v>
      </c>
      <c r="H17" s="15"/>
      <c r="I17" s="15"/>
      <c r="J17" s="15"/>
      <c r="K17" s="15"/>
      <c r="L17" s="17"/>
      <c r="M17" s="17"/>
      <c r="N17" s="17"/>
      <c r="O17" s="17">
        <v>1</v>
      </c>
      <c r="P17" s="17">
        <v>1</v>
      </c>
      <c r="Q17" s="17">
        <v>1</v>
      </c>
      <c r="R17" s="17">
        <v>1</v>
      </c>
      <c r="S17" s="15"/>
      <c r="T17" s="25">
        <v>45819</v>
      </c>
      <c r="U17" s="15" t="s">
        <v>148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6"/>
      <c r="B18" s="136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6"/>
      <c r="B19" s="136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6"/>
      <c r="B20" s="136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6"/>
      <c r="B21" s="136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6"/>
      <c r="B22" s="136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6"/>
      <c r="B23" s="136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6"/>
      <c r="B24" s="136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6"/>
      <c r="B25" s="136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258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6"/>
      <c r="B26" s="136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7"/>
      <c r="B27" s="137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148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13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7</v>
      </c>
      <c r="K28" s="29">
        <f t="shared" si="0"/>
        <v>5</v>
      </c>
      <c r="L28" s="29">
        <f t="shared" si="0"/>
        <v>1</v>
      </c>
      <c r="M28" s="29">
        <f t="shared" si="0"/>
        <v>2</v>
      </c>
      <c r="N28" s="29">
        <f t="shared" si="0"/>
        <v>1</v>
      </c>
      <c r="O28" s="29">
        <f t="shared" si="0"/>
        <v>2</v>
      </c>
      <c r="P28" s="29">
        <f t="shared" si="0"/>
        <v>2</v>
      </c>
      <c r="Q28" s="29">
        <f t="shared" si="0"/>
        <v>4</v>
      </c>
      <c r="R28" s="29">
        <f t="shared" si="0"/>
        <v>2</v>
      </c>
      <c r="S28" s="29">
        <f t="shared" si="0"/>
        <v>2</v>
      </c>
      <c r="T28" s="29" t="s">
        <v>64</v>
      </c>
      <c r="U28" s="29">
        <f>COUNTIF(H3:H27,"M")</f>
        <v>0</v>
      </c>
      <c r="AA28" s="140" t="s">
        <v>104</v>
      </c>
      <c r="AB28" s="141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1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28</v>
      </c>
      <c r="T29" s="29"/>
      <c r="U29" s="29"/>
      <c r="X29" t="s">
        <v>136</v>
      </c>
      <c r="AA29" s="142"/>
      <c r="AB29" s="143"/>
      <c r="AC29" s="156">
        <f>SUM(AC28:AE28)</f>
        <v>0</v>
      </c>
      <c r="AD29" s="157"/>
      <c r="AE29" s="158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AYG109</v>
      </c>
      <c r="B31" s="24">
        <f>B1</f>
        <v>45789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8" t="s">
        <v>119</v>
      </c>
      <c r="Y32" s="144"/>
      <c r="AA32" s="151" t="s">
        <v>47</v>
      </c>
      <c r="AB32" s="152"/>
    </row>
    <row r="33" spans="1:29" ht="19.5" thickTop="1" x14ac:dyDescent="0.4">
      <c r="A33" s="145">
        <v>2</v>
      </c>
      <c r="B33" s="135">
        <v>24.4</v>
      </c>
      <c r="C33" s="85" t="s">
        <v>218</v>
      </c>
      <c r="D33" s="109" t="s">
        <v>204</v>
      </c>
      <c r="E33" s="15" t="s">
        <v>42</v>
      </c>
      <c r="F33" s="14"/>
      <c r="G33" s="12" t="s">
        <v>196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>
        <v>1</v>
      </c>
      <c r="T33" s="25">
        <v>45818</v>
      </c>
      <c r="U33" s="13" t="s">
        <v>146</v>
      </c>
      <c r="V33">
        <v>1</v>
      </c>
      <c r="X33" s="51" t="s">
        <v>106</v>
      </c>
      <c r="Y33" s="52">
        <f>COUNTIF(U33:U57,"K")</f>
        <v>11</v>
      </c>
      <c r="AA33" s="31" t="s">
        <v>46</v>
      </c>
      <c r="AB33" s="32">
        <f>J28+J178+J148+J118+J208+J238+J268+J298+J328+J358</f>
        <v>53</v>
      </c>
    </row>
    <row r="34" spans="1:29" x14ac:dyDescent="0.4">
      <c r="A34" s="146"/>
      <c r="B34" s="136"/>
      <c r="C34" s="85" t="s">
        <v>219</v>
      </c>
      <c r="D34" s="109" t="s">
        <v>204</v>
      </c>
      <c r="E34" s="15" t="s">
        <v>41</v>
      </c>
      <c r="F34" s="16"/>
      <c r="G34" s="12" t="s">
        <v>196</v>
      </c>
      <c r="H34" s="15"/>
      <c r="I34" s="13"/>
      <c r="J34" s="15">
        <v>1</v>
      </c>
      <c r="K34" s="15"/>
      <c r="L34" s="17"/>
      <c r="M34" s="17"/>
      <c r="N34" s="13"/>
      <c r="O34" s="17"/>
      <c r="P34" s="17"/>
      <c r="Q34" s="17"/>
      <c r="R34" s="17"/>
      <c r="S34" s="15"/>
      <c r="T34" s="25">
        <v>45818</v>
      </c>
      <c r="U34" s="13" t="s">
        <v>146</v>
      </c>
      <c r="V34">
        <v>2</v>
      </c>
      <c r="X34" s="51" t="s">
        <v>107</v>
      </c>
      <c r="Y34" s="52">
        <f>COUNTIF(U33:U57,"R")</f>
        <v>2</v>
      </c>
      <c r="AA34" s="31" t="s">
        <v>48</v>
      </c>
      <c r="AB34" s="32">
        <f>K28+K178+K148+K118+K208+K238+K268+K298+K328+K358</f>
        <v>43</v>
      </c>
    </row>
    <row r="35" spans="1:29" ht="19.5" thickBot="1" x14ac:dyDescent="0.45">
      <c r="A35" s="146"/>
      <c r="B35" s="136"/>
      <c r="C35" s="85" t="s">
        <v>220</v>
      </c>
      <c r="D35" s="109" t="s">
        <v>204</v>
      </c>
      <c r="E35" s="15" t="s">
        <v>42</v>
      </c>
      <c r="F35" s="16"/>
      <c r="G35" s="12" t="s">
        <v>196</v>
      </c>
      <c r="H35" s="13"/>
      <c r="I35" s="13"/>
      <c r="J35" s="15"/>
      <c r="K35" s="15"/>
      <c r="L35" s="17"/>
      <c r="M35" s="17"/>
      <c r="N35" s="13"/>
      <c r="O35" s="17"/>
      <c r="P35" s="17"/>
      <c r="Q35" s="17"/>
      <c r="R35" s="17"/>
      <c r="S35" s="15">
        <v>1</v>
      </c>
      <c r="T35" s="25">
        <v>45818</v>
      </c>
      <c r="U35" s="13" t="s">
        <v>146</v>
      </c>
      <c r="V35">
        <v>3</v>
      </c>
      <c r="X35" s="53" t="s">
        <v>108</v>
      </c>
      <c r="Y35" s="54">
        <f>COUNTIF(U33:U57,"J")</f>
        <v>2</v>
      </c>
      <c r="AA35" s="31" t="s">
        <v>49</v>
      </c>
      <c r="AB35" s="32">
        <f>L28+L178+L148+L118+L208+L238+L268+L298+L328+L358</f>
        <v>4</v>
      </c>
    </row>
    <row r="36" spans="1:29" x14ac:dyDescent="0.4">
      <c r="A36" s="146"/>
      <c r="B36" s="136"/>
      <c r="C36" s="85" t="s">
        <v>221</v>
      </c>
      <c r="D36" s="109" t="s">
        <v>204</v>
      </c>
      <c r="E36" s="15" t="s">
        <v>41</v>
      </c>
      <c r="F36" s="16"/>
      <c r="G36" s="12" t="s">
        <v>196</v>
      </c>
      <c r="H36" s="15"/>
      <c r="I36" s="13"/>
      <c r="J36" s="13">
        <v>1</v>
      </c>
      <c r="K36" s="15"/>
      <c r="L36" s="17"/>
      <c r="M36" s="17"/>
      <c r="N36" s="13"/>
      <c r="O36" s="17"/>
      <c r="P36" s="17"/>
      <c r="Q36" s="17"/>
      <c r="R36" s="17"/>
      <c r="S36" s="15"/>
      <c r="T36" s="25">
        <v>45818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22</v>
      </c>
    </row>
    <row r="37" spans="1:29" x14ac:dyDescent="0.4">
      <c r="A37" s="146"/>
      <c r="B37" s="136"/>
      <c r="C37" s="85" t="s">
        <v>222</v>
      </c>
      <c r="D37" s="109" t="s">
        <v>204</v>
      </c>
      <c r="E37" s="15" t="s">
        <v>42</v>
      </c>
      <c r="F37" s="16"/>
      <c r="G37" s="12" t="s">
        <v>196</v>
      </c>
      <c r="H37" s="15"/>
      <c r="I37" s="13"/>
      <c r="J37" s="15"/>
      <c r="K37" s="15"/>
      <c r="L37" s="17"/>
      <c r="M37" s="17"/>
      <c r="N37" s="13"/>
      <c r="O37" s="17"/>
      <c r="P37" s="17"/>
      <c r="Q37" s="17"/>
      <c r="R37" s="17"/>
      <c r="S37" s="15">
        <v>1</v>
      </c>
      <c r="T37" s="25">
        <v>45818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17</v>
      </c>
    </row>
    <row r="38" spans="1:29" x14ac:dyDescent="0.4">
      <c r="A38" s="146"/>
      <c r="B38" s="136"/>
      <c r="C38" s="85" t="s">
        <v>223</v>
      </c>
      <c r="D38" s="109" t="s">
        <v>204</v>
      </c>
      <c r="E38" s="15" t="s">
        <v>41</v>
      </c>
      <c r="F38" s="16"/>
      <c r="G38" s="12" t="s">
        <v>196</v>
      </c>
      <c r="H38" s="13"/>
      <c r="I38" s="13"/>
      <c r="J38" s="15">
        <v>1</v>
      </c>
      <c r="K38" s="15"/>
      <c r="L38" s="17"/>
      <c r="M38" s="17"/>
      <c r="N38" s="13"/>
      <c r="O38" s="17"/>
      <c r="P38" s="17"/>
      <c r="Q38" s="17"/>
      <c r="R38" s="17"/>
      <c r="S38" s="15"/>
      <c r="T38" s="25">
        <v>45818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21</v>
      </c>
    </row>
    <row r="39" spans="1:29" x14ac:dyDescent="0.4">
      <c r="A39" s="146"/>
      <c r="B39" s="136"/>
      <c r="C39" s="85" t="s">
        <v>224</v>
      </c>
      <c r="D39" s="109" t="s">
        <v>195</v>
      </c>
      <c r="E39" s="15" t="s">
        <v>74</v>
      </c>
      <c r="F39" s="16"/>
      <c r="G39" s="12" t="s">
        <v>196</v>
      </c>
      <c r="H39" s="15"/>
      <c r="I39" s="13"/>
      <c r="J39" s="15">
        <v>1</v>
      </c>
      <c r="K39" s="15">
        <v>1</v>
      </c>
      <c r="L39" s="17"/>
      <c r="M39" s="17"/>
      <c r="N39" s="13"/>
      <c r="O39" s="17"/>
      <c r="P39" s="17"/>
      <c r="Q39" s="17"/>
      <c r="R39" s="17"/>
      <c r="S39" s="15"/>
      <c r="T39" s="25">
        <v>45802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21</v>
      </c>
    </row>
    <row r="40" spans="1:29" x14ac:dyDescent="0.4">
      <c r="A40" s="146"/>
      <c r="B40" s="136"/>
      <c r="C40" s="85" t="s">
        <v>225</v>
      </c>
      <c r="D40" s="109" t="s">
        <v>195</v>
      </c>
      <c r="E40" s="15" t="s">
        <v>40</v>
      </c>
      <c r="F40" s="16"/>
      <c r="G40" s="12" t="s">
        <v>196</v>
      </c>
      <c r="H40" s="15"/>
      <c r="I40" s="13"/>
      <c r="J40" s="15"/>
      <c r="K40" s="15"/>
      <c r="L40" s="17"/>
      <c r="M40" s="17"/>
      <c r="N40" s="13"/>
      <c r="O40" s="17">
        <v>1</v>
      </c>
      <c r="P40" s="17">
        <v>1</v>
      </c>
      <c r="Q40" s="17">
        <v>1</v>
      </c>
      <c r="R40" s="17">
        <v>1</v>
      </c>
      <c r="S40" s="15"/>
      <c r="T40" s="25">
        <v>45809</v>
      </c>
      <c r="U40" s="13" t="s">
        <v>148</v>
      </c>
      <c r="V40">
        <v>8</v>
      </c>
      <c r="AA40" s="31" t="s">
        <v>54</v>
      </c>
      <c r="AB40" s="32">
        <f>Q28+Q178+Q148+Q118+Q208+Q238+Q268+Q298+Q328+Q358</f>
        <v>34</v>
      </c>
    </row>
    <row r="41" spans="1:29" x14ac:dyDescent="0.4">
      <c r="A41" s="146"/>
      <c r="B41" s="136"/>
      <c r="C41" s="85" t="s">
        <v>226</v>
      </c>
      <c r="D41" s="109" t="s">
        <v>227</v>
      </c>
      <c r="E41" s="15" t="s">
        <v>36</v>
      </c>
      <c r="F41" s="16"/>
      <c r="G41" s="12" t="s">
        <v>196</v>
      </c>
      <c r="H41" s="15"/>
      <c r="I41" s="13"/>
      <c r="J41" s="15"/>
      <c r="K41" s="15"/>
      <c r="L41" s="17"/>
      <c r="M41" s="17">
        <v>1</v>
      </c>
      <c r="N41" s="13">
        <v>1</v>
      </c>
      <c r="O41" s="17"/>
      <c r="P41" s="17"/>
      <c r="Q41" s="17">
        <v>1</v>
      </c>
      <c r="R41" s="17"/>
      <c r="S41" s="15"/>
      <c r="T41" s="25">
        <v>45812</v>
      </c>
      <c r="U41" s="13" t="s">
        <v>147</v>
      </c>
      <c r="V41">
        <v>9</v>
      </c>
      <c r="AA41" s="31" t="s">
        <v>55</v>
      </c>
      <c r="AB41" s="32">
        <f>R28+R178+R148+R118+R208+R238+R268+R298+R328+R358</f>
        <v>9</v>
      </c>
      <c r="AC41" t="s">
        <v>123</v>
      </c>
    </row>
    <row r="42" spans="1:29" ht="19.5" thickBot="1" x14ac:dyDescent="0.45">
      <c r="A42" s="146"/>
      <c r="B42" s="136"/>
      <c r="C42" s="85" t="s">
        <v>228</v>
      </c>
      <c r="D42" s="109" t="s">
        <v>227</v>
      </c>
      <c r="E42" s="15" t="s">
        <v>40</v>
      </c>
      <c r="F42" s="16"/>
      <c r="G42" s="12" t="s">
        <v>196</v>
      </c>
      <c r="H42" s="15"/>
      <c r="I42" s="15"/>
      <c r="J42" s="15"/>
      <c r="K42" s="15"/>
      <c r="L42" s="17"/>
      <c r="M42" s="17"/>
      <c r="N42" s="17"/>
      <c r="O42" s="17">
        <v>1</v>
      </c>
      <c r="P42" s="17">
        <v>1</v>
      </c>
      <c r="Q42" s="17"/>
      <c r="R42" s="17"/>
      <c r="S42" s="15"/>
      <c r="T42" s="25">
        <v>45812</v>
      </c>
      <c r="U42" s="13" t="s">
        <v>148</v>
      </c>
      <c r="V42">
        <v>10</v>
      </c>
      <c r="AA42" s="33" t="s">
        <v>56</v>
      </c>
      <c r="AB42" s="34">
        <f>S28+S178+S148+S118+S208+S238+S268+S298+S328+S358</f>
        <v>2</v>
      </c>
      <c r="AC42" s="73">
        <f>SUM(AB33:AB42)</f>
        <v>226</v>
      </c>
    </row>
    <row r="43" spans="1:29" ht="19.5" thickBot="1" x14ac:dyDescent="0.45">
      <c r="A43" s="146"/>
      <c r="B43" s="136"/>
      <c r="C43" s="85" t="s">
        <v>229</v>
      </c>
      <c r="D43" s="109" t="s">
        <v>230</v>
      </c>
      <c r="E43" s="15" t="s">
        <v>74</v>
      </c>
      <c r="F43" s="16"/>
      <c r="G43" s="12" t="s">
        <v>196</v>
      </c>
      <c r="H43" s="15"/>
      <c r="I43" s="15"/>
      <c r="J43" s="15">
        <v>1</v>
      </c>
      <c r="K43" s="15">
        <v>1</v>
      </c>
      <c r="L43" s="17"/>
      <c r="M43" s="17"/>
      <c r="N43" s="17"/>
      <c r="O43" s="17"/>
      <c r="P43" s="17"/>
      <c r="Q43" s="17"/>
      <c r="R43" s="17"/>
      <c r="S43" s="15"/>
      <c r="T43" s="25">
        <v>45822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6"/>
      <c r="B44" s="136"/>
      <c r="C44" s="85" t="s">
        <v>232</v>
      </c>
      <c r="D44" s="109" t="s">
        <v>231</v>
      </c>
      <c r="E44" s="15" t="s">
        <v>38</v>
      </c>
      <c r="F44" s="16"/>
      <c r="G44" s="12" t="s">
        <v>196</v>
      </c>
      <c r="H44" s="15"/>
      <c r="I44" s="15"/>
      <c r="J44" s="15">
        <v>1</v>
      </c>
      <c r="K44" s="15">
        <v>1</v>
      </c>
      <c r="L44" s="17"/>
      <c r="M44" s="17"/>
      <c r="N44" s="17"/>
      <c r="O44" s="17"/>
      <c r="P44" s="17"/>
      <c r="Q44" s="17"/>
      <c r="R44" s="17"/>
      <c r="S44" s="15"/>
      <c r="T44" s="25">
        <v>45822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6</v>
      </c>
    </row>
    <row r="45" spans="1:29" x14ac:dyDescent="0.4">
      <c r="A45" s="146"/>
      <c r="B45" s="136"/>
      <c r="C45" s="85" t="s">
        <v>233</v>
      </c>
      <c r="D45" s="109" t="s">
        <v>230</v>
      </c>
      <c r="E45" s="15" t="s">
        <v>37</v>
      </c>
      <c r="F45" s="16"/>
      <c r="G45" s="12" t="s">
        <v>196</v>
      </c>
      <c r="H45" s="15"/>
      <c r="I45" s="15"/>
      <c r="J45" s="15">
        <v>1</v>
      </c>
      <c r="K45" s="15">
        <v>1</v>
      </c>
      <c r="L45" s="17"/>
      <c r="M45" s="17"/>
      <c r="N45" s="17"/>
      <c r="O45" s="17"/>
      <c r="P45" s="17"/>
      <c r="Q45" s="17"/>
      <c r="R45" s="17"/>
      <c r="S45" s="15"/>
      <c r="T45" s="25">
        <v>45822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5</v>
      </c>
    </row>
    <row r="46" spans="1:29" x14ac:dyDescent="0.4">
      <c r="A46" s="146"/>
      <c r="B46" s="136"/>
      <c r="C46" s="85" t="s">
        <v>235</v>
      </c>
      <c r="D46" s="109" t="s">
        <v>234</v>
      </c>
      <c r="E46" s="15" t="s">
        <v>36</v>
      </c>
      <c r="F46" s="16"/>
      <c r="G46" s="12" t="s">
        <v>196</v>
      </c>
      <c r="H46" s="15"/>
      <c r="I46" s="15"/>
      <c r="J46" s="15">
        <v>1</v>
      </c>
      <c r="K46" s="15">
        <v>1</v>
      </c>
      <c r="L46" s="17"/>
      <c r="M46" s="17"/>
      <c r="N46" s="17"/>
      <c r="O46" s="17"/>
      <c r="P46" s="17"/>
      <c r="Q46" s="17"/>
      <c r="R46" s="17"/>
      <c r="S46" s="15"/>
      <c r="T46" s="25">
        <v>45822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6"/>
      <c r="B47" s="136"/>
      <c r="C47" s="85" t="s">
        <v>236</v>
      </c>
      <c r="D47" s="106" t="s">
        <v>234</v>
      </c>
      <c r="E47" s="15" t="s">
        <v>37</v>
      </c>
      <c r="F47" s="16"/>
      <c r="G47" s="15" t="s">
        <v>196</v>
      </c>
      <c r="H47" s="15"/>
      <c r="I47" s="15"/>
      <c r="J47" s="15"/>
      <c r="K47" s="15"/>
      <c r="L47" s="17"/>
      <c r="M47" s="17">
        <v>1</v>
      </c>
      <c r="N47" s="17">
        <v>1</v>
      </c>
      <c r="O47" s="17"/>
      <c r="P47" s="17"/>
      <c r="Q47" s="17">
        <v>1</v>
      </c>
      <c r="R47" s="17"/>
      <c r="S47" s="15"/>
      <c r="T47" s="25">
        <v>45822</v>
      </c>
      <c r="U47" s="15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6"/>
      <c r="B48" s="136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46"/>
      <c r="B49" s="136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140</v>
      </c>
    </row>
    <row r="50" spans="1:28" ht="19.5" thickBot="1" x14ac:dyDescent="0.45">
      <c r="A50" s="146"/>
      <c r="B50" s="136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6</v>
      </c>
    </row>
    <row r="51" spans="1:28" ht="19.5" thickBot="1" x14ac:dyDescent="0.45">
      <c r="A51" s="146"/>
      <c r="B51" s="136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6"/>
      <c r="B52" s="136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3">
        <v>76</v>
      </c>
    </row>
    <row r="53" spans="1:28" ht="19.5" thickBot="1" x14ac:dyDescent="0.45">
      <c r="A53" s="146"/>
      <c r="B53" s="136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4"/>
    </row>
    <row r="54" spans="1:28" ht="19.5" thickBot="1" x14ac:dyDescent="0.45">
      <c r="A54" s="146"/>
      <c r="B54" s="136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6"/>
      <c r="B55" s="136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8" t="s">
        <v>73</v>
      </c>
      <c r="AB55" s="45"/>
    </row>
    <row r="56" spans="1:28" ht="19.5" thickBot="1" x14ac:dyDescent="0.45">
      <c r="A56" s="146"/>
      <c r="B56" s="136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9"/>
      <c r="AB56" s="46"/>
    </row>
    <row r="57" spans="1:28" ht="19.5" thickBot="1" x14ac:dyDescent="0.45">
      <c r="A57" s="147"/>
      <c r="B57" s="137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8"/>
      <c r="AB57" s="45">
        <v>7</v>
      </c>
    </row>
    <row r="58" spans="1:28" ht="19.5" thickBot="1" x14ac:dyDescent="0.45">
      <c r="A58" s="27"/>
      <c r="B58" s="28"/>
      <c r="C58" s="88">
        <f>COUNTA(C33:C57)</f>
        <v>15</v>
      </c>
      <c r="D58" s="112"/>
      <c r="E58" s="29"/>
      <c r="F58" s="29" t="s">
        <v>34</v>
      </c>
      <c r="G58" s="29">
        <f>COUNTIF(G33:G57,"S")</f>
        <v>15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8</v>
      </c>
      <c r="K58" s="29">
        <f t="shared" si="1"/>
        <v>5</v>
      </c>
      <c r="L58" s="29">
        <f t="shared" si="1"/>
        <v>0</v>
      </c>
      <c r="M58" s="29">
        <f t="shared" si="1"/>
        <v>2</v>
      </c>
      <c r="N58" s="29">
        <f t="shared" si="1"/>
        <v>2</v>
      </c>
      <c r="O58" s="29">
        <f t="shared" si="1"/>
        <v>2</v>
      </c>
      <c r="P58" s="29">
        <f t="shared" si="1"/>
        <v>2</v>
      </c>
      <c r="Q58" s="29">
        <f t="shared" si="1"/>
        <v>3</v>
      </c>
      <c r="R58" s="29">
        <f t="shared" si="1"/>
        <v>1</v>
      </c>
      <c r="S58" s="29">
        <f t="shared" si="1"/>
        <v>3</v>
      </c>
      <c r="T58" s="29" t="s">
        <v>64</v>
      </c>
      <c r="U58" s="29">
        <f>COUNTIF(H33:H57,"M")</f>
        <v>0</v>
      </c>
      <c r="AA58" s="139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28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AYG109</v>
      </c>
      <c r="B61" s="24">
        <f>B1</f>
        <v>45789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8" t="s">
        <v>118</v>
      </c>
      <c r="Y62" s="144"/>
    </row>
    <row r="63" spans="1:28" ht="20.25" thickTop="1" thickBot="1" x14ac:dyDescent="0.45">
      <c r="A63" s="145">
        <v>3</v>
      </c>
      <c r="B63" s="148">
        <v>21.4</v>
      </c>
      <c r="C63" s="85" t="s">
        <v>237</v>
      </c>
      <c r="D63" s="109" t="s">
        <v>238</v>
      </c>
      <c r="E63" s="15" t="s">
        <v>39</v>
      </c>
      <c r="F63" s="14"/>
      <c r="G63" s="12" t="s">
        <v>196</v>
      </c>
      <c r="H63" s="13"/>
      <c r="I63" s="13"/>
      <c r="J63" s="13">
        <v>1</v>
      </c>
      <c r="K63" s="13">
        <v>1</v>
      </c>
      <c r="L63" s="13"/>
      <c r="M63" s="13"/>
      <c r="N63" s="13"/>
      <c r="O63" s="13"/>
      <c r="P63" s="13"/>
      <c r="Q63" s="13"/>
      <c r="R63" s="13"/>
      <c r="S63" s="13"/>
      <c r="T63" s="25">
        <v>45822</v>
      </c>
      <c r="U63" s="13" t="s">
        <v>146</v>
      </c>
      <c r="V63">
        <v>1</v>
      </c>
      <c r="X63" s="51" t="s">
        <v>106</v>
      </c>
      <c r="Y63" s="52">
        <f>COUNTIF(U63:U87,"K")</f>
        <v>7</v>
      </c>
      <c r="AA63" s="59" t="s">
        <v>120</v>
      </c>
      <c r="AB63" s="60" t="s">
        <v>121</v>
      </c>
    </row>
    <row r="64" spans="1:28" x14ac:dyDescent="0.4">
      <c r="A64" s="146"/>
      <c r="B64" s="149"/>
      <c r="C64" s="85" t="s">
        <v>239</v>
      </c>
      <c r="D64" s="109" t="s">
        <v>238</v>
      </c>
      <c r="E64" s="15" t="s">
        <v>39</v>
      </c>
      <c r="F64" s="16"/>
      <c r="G64" s="12" t="s">
        <v>196</v>
      </c>
      <c r="H64" s="15"/>
      <c r="I64" s="15"/>
      <c r="J64" s="13">
        <v>1</v>
      </c>
      <c r="K64" s="15">
        <v>1</v>
      </c>
      <c r="L64" s="13"/>
      <c r="M64" s="17"/>
      <c r="N64" s="17"/>
      <c r="O64" s="17"/>
      <c r="P64" s="17"/>
      <c r="Q64" s="17"/>
      <c r="R64" s="17"/>
      <c r="S64" s="15"/>
      <c r="T64" s="25">
        <v>45822</v>
      </c>
      <c r="U64" s="13" t="s">
        <v>146</v>
      </c>
      <c r="V64">
        <v>2</v>
      </c>
      <c r="X64" s="51" t="s">
        <v>107</v>
      </c>
      <c r="Y64" s="52">
        <f>COUNTIF(U63:U87,"R")</f>
        <v>0</v>
      </c>
      <c r="AA64" s="47" t="s">
        <v>81</v>
      </c>
      <c r="AB64" s="48" t="s">
        <v>60</v>
      </c>
    </row>
    <row r="65" spans="1:28" ht="19.5" thickBot="1" x14ac:dyDescent="0.45">
      <c r="A65" s="146"/>
      <c r="B65" s="149"/>
      <c r="C65" s="85" t="s">
        <v>240</v>
      </c>
      <c r="D65" s="109" t="s">
        <v>238</v>
      </c>
      <c r="E65" s="15" t="s">
        <v>39</v>
      </c>
      <c r="F65" s="16"/>
      <c r="G65" s="12" t="s">
        <v>196</v>
      </c>
      <c r="H65" s="15"/>
      <c r="I65" s="15"/>
      <c r="J65" s="13">
        <v>1</v>
      </c>
      <c r="K65" s="15">
        <v>1</v>
      </c>
      <c r="L65" s="13"/>
      <c r="M65" s="17"/>
      <c r="N65" s="17"/>
      <c r="O65" s="17"/>
      <c r="P65" s="17"/>
      <c r="Q65" s="17"/>
      <c r="R65" s="17"/>
      <c r="S65" s="15"/>
      <c r="T65" s="25">
        <v>45821</v>
      </c>
      <c r="U65" s="13" t="s">
        <v>146</v>
      </c>
      <c r="V65">
        <v>3</v>
      </c>
      <c r="X65" s="53" t="s">
        <v>108</v>
      </c>
      <c r="Y65" s="54">
        <f>COUNTIF(U63:U87,"J")</f>
        <v>0</v>
      </c>
      <c r="AA65" s="49" t="s">
        <v>82</v>
      </c>
      <c r="AB65" s="50" t="s">
        <v>39</v>
      </c>
    </row>
    <row r="66" spans="1:28" x14ac:dyDescent="0.4">
      <c r="A66" s="146"/>
      <c r="B66" s="149"/>
      <c r="C66" s="85" t="s">
        <v>241</v>
      </c>
      <c r="D66" s="109" t="s">
        <v>238</v>
      </c>
      <c r="E66" s="15" t="s">
        <v>39</v>
      </c>
      <c r="F66" s="16"/>
      <c r="G66" s="12" t="s">
        <v>196</v>
      </c>
      <c r="H66" s="13"/>
      <c r="I66" s="15"/>
      <c r="J66" s="13">
        <v>1</v>
      </c>
      <c r="K66" s="15">
        <v>1</v>
      </c>
      <c r="L66" s="13"/>
      <c r="M66" s="17"/>
      <c r="N66" s="17"/>
      <c r="O66" s="17"/>
      <c r="P66" s="17"/>
      <c r="Q66" s="17"/>
      <c r="R66" s="17"/>
      <c r="S66" s="15"/>
      <c r="T66" s="25">
        <v>45822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46"/>
      <c r="B67" s="149"/>
      <c r="C67" s="85" t="s">
        <v>242</v>
      </c>
      <c r="D67" s="109" t="s">
        <v>204</v>
      </c>
      <c r="E67" s="15" t="s">
        <v>59</v>
      </c>
      <c r="F67" s="16"/>
      <c r="G67" s="12" t="s">
        <v>196</v>
      </c>
      <c r="H67" s="15" t="s">
        <v>243</v>
      </c>
      <c r="I67" s="15"/>
      <c r="J67" s="13">
        <v>2</v>
      </c>
      <c r="K67" s="15"/>
      <c r="L67" s="13"/>
      <c r="M67" s="17"/>
      <c r="N67" s="17"/>
      <c r="O67" s="17"/>
      <c r="P67" s="17"/>
      <c r="Q67" s="17"/>
      <c r="R67" s="17"/>
      <c r="S67" s="15"/>
      <c r="T67" s="25">
        <v>45822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46"/>
      <c r="B68" s="149"/>
      <c r="C68" s="85" t="s">
        <v>244</v>
      </c>
      <c r="D68" s="109" t="s">
        <v>204</v>
      </c>
      <c r="E68" s="15" t="s">
        <v>59</v>
      </c>
      <c r="F68" s="16"/>
      <c r="G68" s="12" t="s">
        <v>196</v>
      </c>
      <c r="H68" s="15" t="s">
        <v>243</v>
      </c>
      <c r="I68" s="15"/>
      <c r="J68" s="13">
        <v>2</v>
      </c>
      <c r="K68" s="15"/>
      <c r="L68" s="13"/>
      <c r="M68" s="17"/>
      <c r="N68" s="17"/>
      <c r="O68" s="17"/>
      <c r="P68" s="17"/>
      <c r="Q68" s="17"/>
      <c r="R68" s="17"/>
      <c r="S68" s="15"/>
      <c r="T68" s="25">
        <v>45822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46"/>
      <c r="B69" s="149"/>
      <c r="C69" s="85" t="s">
        <v>245</v>
      </c>
      <c r="D69" s="109" t="s">
        <v>204</v>
      </c>
      <c r="E69" s="15" t="s">
        <v>59</v>
      </c>
      <c r="F69" s="16"/>
      <c r="G69" s="12" t="s">
        <v>196</v>
      </c>
      <c r="H69" s="15" t="s">
        <v>243</v>
      </c>
      <c r="I69" s="15"/>
      <c r="J69" s="13">
        <v>2</v>
      </c>
      <c r="K69" s="15"/>
      <c r="L69" s="13"/>
      <c r="M69" s="17"/>
      <c r="N69" s="17"/>
      <c r="O69" s="17"/>
      <c r="P69" s="17"/>
      <c r="Q69" s="17"/>
      <c r="R69" s="17"/>
      <c r="S69" s="15"/>
      <c r="T69" s="25">
        <v>45822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46"/>
      <c r="B70" s="149"/>
      <c r="C70" s="85"/>
      <c r="D70" s="109"/>
      <c r="E70" s="15"/>
      <c r="F70" s="16"/>
      <c r="G70" s="12"/>
      <c r="H70" s="15"/>
      <c r="I70" s="15"/>
      <c r="J70" s="13"/>
      <c r="K70" s="15"/>
      <c r="L70" s="13"/>
      <c r="M70" s="17"/>
      <c r="N70" s="17"/>
      <c r="O70" s="17"/>
      <c r="P70" s="17"/>
      <c r="Q70" s="17"/>
      <c r="R70" s="17"/>
      <c r="S70" s="15"/>
      <c r="T70" s="25"/>
      <c r="U70" s="13"/>
      <c r="V70">
        <v>8</v>
      </c>
      <c r="AA70" s="49" t="s">
        <v>87</v>
      </c>
      <c r="AB70" s="50" t="s">
        <v>37</v>
      </c>
    </row>
    <row r="71" spans="1:28" x14ac:dyDescent="0.4">
      <c r="A71" s="146"/>
      <c r="B71" s="149"/>
      <c r="C71" s="85"/>
      <c r="D71" s="109"/>
      <c r="E71" s="15"/>
      <c r="F71" s="16"/>
      <c r="G71" s="12"/>
      <c r="H71" s="15"/>
      <c r="I71" s="15"/>
      <c r="J71" s="13"/>
      <c r="K71" s="15"/>
      <c r="L71" s="13"/>
      <c r="M71" s="17"/>
      <c r="N71" s="17"/>
      <c r="O71" s="17"/>
      <c r="P71" s="17"/>
      <c r="Q71" s="17"/>
      <c r="R71" s="17"/>
      <c r="S71" s="15"/>
      <c r="T71" s="25"/>
      <c r="U71" s="13"/>
      <c r="V71">
        <v>9</v>
      </c>
      <c r="AA71" s="49" t="s">
        <v>88</v>
      </c>
      <c r="AB71" s="50" t="s">
        <v>74</v>
      </c>
    </row>
    <row r="72" spans="1:28" x14ac:dyDescent="0.4">
      <c r="A72" s="146"/>
      <c r="B72" s="149"/>
      <c r="C72" s="85"/>
      <c r="D72" s="109"/>
      <c r="E72" s="15"/>
      <c r="F72" s="16"/>
      <c r="G72" s="12"/>
      <c r="H72" s="15"/>
      <c r="I72" s="15"/>
      <c r="J72" s="13"/>
      <c r="K72" s="15"/>
      <c r="L72" s="13"/>
      <c r="M72" s="17"/>
      <c r="N72" s="17"/>
      <c r="O72" s="17"/>
      <c r="P72" s="17"/>
      <c r="Q72" s="17"/>
      <c r="R72" s="17"/>
      <c r="S72" s="15"/>
      <c r="T72" s="25"/>
      <c r="U72" s="13"/>
      <c r="V72">
        <v>10</v>
      </c>
      <c r="AA72" s="49" t="s">
        <v>89</v>
      </c>
      <c r="AB72" s="50" t="s">
        <v>36</v>
      </c>
    </row>
    <row r="73" spans="1:28" x14ac:dyDescent="0.4">
      <c r="A73" s="146"/>
      <c r="B73" s="149"/>
      <c r="C73" s="85"/>
      <c r="D73" s="109"/>
      <c r="E73" s="15"/>
      <c r="F73" s="16"/>
      <c r="G73" s="15"/>
      <c r="H73" s="15"/>
      <c r="I73" s="15"/>
      <c r="J73" s="15"/>
      <c r="K73" s="15"/>
      <c r="L73" s="17"/>
      <c r="M73" s="17"/>
      <c r="N73" s="17"/>
      <c r="O73" s="17"/>
      <c r="P73" s="17"/>
      <c r="Q73" s="17"/>
      <c r="R73" s="17"/>
      <c r="S73" s="15"/>
      <c r="T73" s="25"/>
      <c r="U73" s="15"/>
      <c r="V73">
        <v>11</v>
      </c>
      <c r="AA73" s="49" t="s">
        <v>90</v>
      </c>
      <c r="AB73" s="50" t="s">
        <v>58</v>
      </c>
    </row>
    <row r="74" spans="1:28" x14ac:dyDescent="0.4">
      <c r="A74" s="146"/>
      <c r="B74" s="149"/>
      <c r="C74" s="85"/>
      <c r="D74" s="109"/>
      <c r="E74" s="15"/>
      <c r="F74" s="16"/>
      <c r="G74" s="15"/>
      <c r="H74" s="15"/>
      <c r="I74" s="15"/>
      <c r="J74" s="15"/>
      <c r="K74" s="15"/>
      <c r="L74" s="17"/>
      <c r="M74" s="17"/>
      <c r="N74" s="17"/>
      <c r="O74" s="17"/>
      <c r="P74" s="17"/>
      <c r="Q74" s="17"/>
      <c r="R74" s="17"/>
      <c r="S74" s="15"/>
      <c r="T74" s="25"/>
      <c r="U74" s="15"/>
      <c r="V74">
        <v>12</v>
      </c>
      <c r="AA74" s="49" t="s">
        <v>91</v>
      </c>
      <c r="AB74" s="50" t="s">
        <v>75</v>
      </c>
    </row>
    <row r="75" spans="1:28" x14ac:dyDescent="0.4">
      <c r="A75" s="146"/>
      <c r="B75" s="149"/>
      <c r="C75" s="85"/>
      <c r="D75" s="109"/>
      <c r="E75" s="15"/>
      <c r="F75" s="16"/>
      <c r="G75" s="15"/>
      <c r="H75" s="15"/>
      <c r="I75" s="15"/>
      <c r="J75" s="15"/>
      <c r="K75" s="15"/>
      <c r="L75" s="17"/>
      <c r="M75" s="17"/>
      <c r="N75" s="17"/>
      <c r="O75" s="17"/>
      <c r="P75" s="17"/>
      <c r="Q75" s="17"/>
      <c r="R75" s="17"/>
      <c r="S75" s="15"/>
      <c r="T75" s="25"/>
      <c r="U75" s="15"/>
      <c r="V75">
        <v>13</v>
      </c>
      <c r="AA75" s="49" t="s">
        <v>92</v>
      </c>
      <c r="AB75" s="50" t="s">
        <v>40</v>
      </c>
    </row>
    <row r="76" spans="1:28" x14ac:dyDescent="0.4">
      <c r="A76" s="146"/>
      <c r="B76" s="149"/>
      <c r="C76" s="85"/>
      <c r="D76" s="109"/>
      <c r="E76" s="15"/>
      <c r="F76" s="16"/>
      <c r="G76" s="15"/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5"/>
      <c r="T76" s="25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46"/>
      <c r="B77" s="149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46"/>
      <c r="B78" s="149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6"/>
      <c r="B79" s="149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6"/>
      <c r="B80" s="149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6"/>
      <c r="B81" s="149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6"/>
      <c r="B82" s="149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6"/>
      <c r="B83" s="149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6"/>
      <c r="B84" s="149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6"/>
      <c r="B85" s="149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6"/>
      <c r="B86" s="149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7"/>
      <c r="B87" s="150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7</v>
      </c>
      <c r="D88" s="112"/>
      <c r="E88" s="29"/>
      <c r="F88" s="29" t="s">
        <v>34</v>
      </c>
      <c r="G88" s="29">
        <f>COUNTIF(G63:G87,"S")</f>
        <v>7</v>
      </c>
      <c r="H88" s="29">
        <f>COUNTIF(H63:H87,"E")</f>
        <v>3</v>
      </c>
      <c r="I88" s="29">
        <f>SUM(I63:I87)</f>
        <v>0</v>
      </c>
      <c r="J88" s="29"/>
      <c r="K88" s="29">
        <f t="shared" ref="K88:S88" si="2">SUM(K63:K87)</f>
        <v>4</v>
      </c>
      <c r="L88" s="29">
        <f t="shared" si="2"/>
        <v>0</v>
      </c>
      <c r="M88" s="29">
        <f t="shared" si="2"/>
        <v>0</v>
      </c>
      <c r="N88" s="29">
        <f t="shared" si="2"/>
        <v>0</v>
      </c>
      <c r="O88" s="29">
        <f t="shared" si="2"/>
        <v>0</v>
      </c>
      <c r="P88" s="29">
        <f t="shared" si="2"/>
        <v>0</v>
      </c>
      <c r="Q88" s="29">
        <f t="shared" si="2"/>
        <v>0</v>
      </c>
      <c r="R88" s="29">
        <f t="shared" si="2"/>
        <v>0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4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AYG109</v>
      </c>
      <c r="B91" s="24">
        <f>B1</f>
        <v>45789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8" t="s">
        <v>117</v>
      </c>
      <c r="Y92" s="144"/>
    </row>
    <row r="93" spans="1:28" ht="20.25" thickTop="1" thickBot="1" x14ac:dyDescent="0.45">
      <c r="A93" s="145">
        <v>4</v>
      </c>
      <c r="B93" s="135">
        <v>23.6</v>
      </c>
      <c r="C93" s="85" t="s">
        <v>246</v>
      </c>
      <c r="D93" s="109" t="s">
        <v>247</v>
      </c>
      <c r="E93" s="15" t="s">
        <v>74</v>
      </c>
      <c r="F93" s="14"/>
      <c r="G93" s="12" t="s">
        <v>196</v>
      </c>
      <c r="H93" s="13"/>
      <c r="I93" s="13"/>
      <c r="J93" s="13">
        <v>1</v>
      </c>
      <c r="K93" s="13">
        <v>1</v>
      </c>
      <c r="L93" s="13"/>
      <c r="M93" s="13"/>
      <c r="N93" s="13"/>
      <c r="O93" s="13"/>
      <c r="P93" s="13"/>
      <c r="Q93" s="13"/>
      <c r="R93" s="13"/>
      <c r="S93" s="13"/>
      <c r="T93" s="25">
        <v>45823</v>
      </c>
      <c r="U93" s="13" t="s">
        <v>146</v>
      </c>
      <c r="V93">
        <v>1</v>
      </c>
      <c r="X93" s="51" t="s">
        <v>106</v>
      </c>
      <c r="Y93" s="52">
        <f>COUNTIF(U93:U117,"K")</f>
        <v>8</v>
      </c>
      <c r="AA93" s="59" t="s">
        <v>120</v>
      </c>
      <c r="AB93" s="60" t="s">
        <v>121</v>
      </c>
    </row>
    <row r="94" spans="1:28" x14ac:dyDescent="0.4">
      <c r="A94" s="146"/>
      <c r="B94" s="136"/>
      <c r="C94" s="85" t="s">
        <v>248</v>
      </c>
      <c r="D94" s="109" t="s">
        <v>198</v>
      </c>
      <c r="E94" s="15" t="s">
        <v>38</v>
      </c>
      <c r="F94" s="16"/>
      <c r="G94" s="12" t="s">
        <v>196</v>
      </c>
      <c r="H94" s="15"/>
      <c r="I94" s="15"/>
      <c r="J94" s="15">
        <v>1</v>
      </c>
      <c r="K94" s="15"/>
      <c r="L94" s="17"/>
      <c r="M94" s="17"/>
      <c r="N94" s="17"/>
      <c r="O94" s="17"/>
      <c r="P94" s="17"/>
      <c r="Q94" s="17"/>
      <c r="R94" s="17"/>
      <c r="S94" s="15"/>
      <c r="T94" s="25">
        <v>45804</v>
      </c>
      <c r="U94" s="13" t="s">
        <v>146</v>
      </c>
      <c r="V94">
        <v>2</v>
      </c>
      <c r="X94" s="51" t="s">
        <v>107</v>
      </c>
      <c r="Y94" s="52">
        <f>COUNTIF(U93:U117,"R")</f>
        <v>3</v>
      </c>
      <c r="AA94" s="47" t="s">
        <v>81</v>
      </c>
      <c r="AB94" s="48" t="s">
        <v>60</v>
      </c>
    </row>
    <row r="95" spans="1:28" ht="19.5" thickBot="1" x14ac:dyDescent="0.45">
      <c r="A95" s="146"/>
      <c r="B95" s="136"/>
      <c r="C95" s="85" t="s">
        <v>249</v>
      </c>
      <c r="D95" s="109" t="s">
        <v>250</v>
      </c>
      <c r="E95" s="15" t="s">
        <v>37</v>
      </c>
      <c r="F95" s="16"/>
      <c r="G95" s="12" t="s">
        <v>196</v>
      </c>
      <c r="H95" s="15"/>
      <c r="I95" s="15"/>
      <c r="J95" s="15"/>
      <c r="K95" s="15">
        <v>1</v>
      </c>
      <c r="L95" s="17"/>
      <c r="M95" s="17"/>
      <c r="N95" s="17"/>
      <c r="O95" s="17"/>
      <c r="P95" s="17"/>
      <c r="Q95" s="17"/>
      <c r="R95" s="17"/>
      <c r="S95" s="15"/>
      <c r="T95" s="25">
        <v>45816</v>
      </c>
      <c r="U95" s="13" t="s">
        <v>146</v>
      </c>
      <c r="V95">
        <v>3</v>
      </c>
      <c r="X95" s="53" t="s">
        <v>108</v>
      </c>
      <c r="Y95" s="54">
        <f>COUNTIF(U93:U117,"J")</f>
        <v>5</v>
      </c>
      <c r="AA95" s="49" t="s">
        <v>122</v>
      </c>
      <c r="AB95" s="50" t="s">
        <v>39</v>
      </c>
    </row>
    <row r="96" spans="1:28" x14ac:dyDescent="0.4">
      <c r="A96" s="146"/>
      <c r="B96" s="136"/>
      <c r="C96" s="85" t="s">
        <v>251</v>
      </c>
      <c r="D96" s="109" t="s">
        <v>195</v>
      </c>
      <c r="E96" s="15" t="s">
        <v>37</v>
      </c>
      <c r="F96" s="16"/>
      <c r="G96" s="12" t="s">
        <v>196</v>
      </c>
      <c r="H96" s="15" t="s">
        <v>147</v>
      </c>
      <c r="I96" s="15"/>
      <c r="J96" s="15"/>
      <c r="K96" s="15"/>
      <c r="L96" s="17"/>
      <c r="M96" s="17"/>
      <c r="N96" s="17"/>
      <c r="O96" s="17"/>
      <c r="P96" s="17"/>
      <c r="Q96" s="17"/>
      <c r="R96" s="17"/>
      <c r="S96" s="15"/>
      <c r="T96" s="25">
        <v>45809</v>
      </c>
      <c r="U96" s="13" t="s">
        <v>147</v>
      </c>
      <c r="V96">
        <v>4</v>
      </c>
      <c r="AA96" s="49" t="s">
        <v>83</v>
      </c>
      <c r="AB96" s="50" t="s">
        <v>38</v>
      </c>
    </row>
    <row r="97" spans="1:28" x14ac:dyDescent="0.4">
      <c r="A97" s="146"/>
      <c r="B97" s="136"/>
      <c r="C97" s="85" t="s">
        <v>252</v>
      </c>
      <c r="D97" s="109" t="s">
        <v>250</v>
      </c>
      <c r="E97" s="15" t="s">
        <v>36</v>
      </c>
      <c r="F97" s="16"/>
      <c r="G97" s="12" t="s">
        <v>196</v>
      </c>
      <c r="H97" s="15"/>
      <c r="I97" s="15"/>
      <c r="J97" s="15"/>
      <c r="K97" s="15"/>
      <c r="L97" s="17"/>
      <c r="M97" s="17">
        <v>1</v>
      </c>
      <c r="N97" s="17">
        <v>1</v>
      </c>
      <c r="O97" s="17"/>
      <c r="P97" s="17"/>
      <c r="Q97" s="17">
        <v>1</v>
      </c>
      <c r="R97" s="17"/>
      <c r="S97" s="15"/>
      <c r="T97" s="25">
        <v>45822</v>
      </c>
      <c r="U97" s="13" t="s">
        <v>147</v>
      </c>
      <c r="V97">
        <v>5</v>
      </c>
      <c r="AA97" s="49" t="s">
        <v>84</v>
      </c>
      <c r="AB97" s="50" t="s">
        <v>44</v>
      </c>
    </row>
    <row r="98" spans="1:28" x14ac:dyDescent="0.4">
      <c r="A98" s="146"/>
      <c r="B98" s="136"/>
      <c r="C98" s="85" t="s">
        <v>253</v>
      </c>
      <c r="D98" s="109" t="s">
        <v>238</v>
      </c>
      <c r="E98" s="15" t="s">
        <v>39</v>
      </c>
      <c r="F98" s="16"/>
      <c r="G98" s="12" t="s">
        <v>196</v>
      </c>
      <c r="H98" s="13"/>
      <c r="I98" s="15"/>
      <c r="J98" s="15">
        <v>1</v>
      </c>
      <c r="K98" s="15">
        <v>1</v>
      </c>
      <c r="L98" s="17"/>
      <c r="M98" s="17"/>
      <c r="N98" s="17"/>
      <c r="O98" s="17"/>
      <c r="P98" s="17"/>
      <c r="Q98" s="17"/>
      <c r="R98" s="17"/>
      <c r="S98" s="15"/>
      <c r="T98" s="25">
        <v>45822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6"/>
      <c r="B99" s="136"/>
      <c r="C99" s="85" t="s">
        <v>254</v>
      </c>
      <c r="D99" s="109" t="s">
        <v>238</v>
      </c>
      <c r="E99" s="15" t="s">
        <v>39</v>
      </c>
      <c r="F99" s="16"/>
      <c r="G99" s="12" t="s">
        <v>196</v>
      </c>
      <c r="H99" s="15"/>
      <c r="I99" s="15"/>
      <c r="J99" s="15">
        <v>1</v>
      </c>
      <c r="K99" s="15">
        <v>1</v>
      </c>
      <c r="L99" s="17"/>
      <c r="M99" s="17"/>
      <c r="N99" s="17"/>
      <c r="O99" s="17"/>
      <c r="P99" s="17"/>
      <c r="Q99" s="17"/>
      <c r="R99" s="17"/>
      <c r="S99" s="15"/>
      <c r="T99" s="25">
        <v>45822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46"/>
      <c r="B100" s="136"/>
      <c r="C100" s="85" t="s">
        <v>255</v>
      </c>
      <c r="D100" s="109" t="s">
        <v>238</v>
      </c>
      <c r="E100" s="15" t="s">
        <v>39</v>
      </c>
      <c r="F100" s="16"/>
      <c r="G100" s="12" t="s">
        <v>196</v>
      </c>
      <c r="H100" s="15"/>
      <c r="I100" s="15"/>
      <c r="J100" s="15">
        <v>1</v>
      </c>
      <c r="K100" s="15">
        <v>1</v>
      </c>
      <c r="L100" s="17"/>
      <c r="M100" s="17"/>
      <c r="N100" s="17"/>
      <c r="O100" s="17"/>
      <c r="P100" s="17"/>
      <c r="Q100" s="17"/>
      <c r="R100" s="17"/>
      <c r="S100" s="15"/>
      <c r="T100" s="25">
        <v>45822</v>
      </c>
      <c r="U100" s="15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46"/>
      <c r="B101" s="136"/>
      <c r="C101" s="85" t="s">
        <v>256</v>
      </c>
      <c r="D101" s="109" t="s">
        <v>238</v>
      </c>
      <c r="E101" s="15" t="s">
        <v>39</v>
      </c>
      <c r="F101" s="16"/>
      <c r="G101" s="12" t="s">
        <v>196</v>
      </c>
      <c r="H101" s="15"/>
      <c r="I101" s="15"/>
      <c r="J101" s="15">
        <v>1</v>
      </c>
      <c r="K101" s="15">
        <v>1</v>
      </c>
      <c r="L101" s="17"/>
      <c r="M101" s="17"/>
      <c r="N101" s="17"/>
      <c r="O101" s="17"/>
      <c r="P101" s="17"/>
      <c r="Q101" s="17"/>
      <c r="R101" s="17"/>
      <c r="S101" s="15"/>
      <c r="T101" s="25">
        <v>45822</v>
      </c>
      <c r="U101" s="15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46"/>
      <c r="B102" s="136"/>
      <c r="C102" s="85" t="s">
        <v>258</v>
      </c>
      <c r="D102" s="109" t="s">
        <v>257</v>
      </c>
      <c r="E102" s="15" t="s">
        <v>38</v>
      </c>
      <c r="F102" s="16"/>
      <c r="G102" s="12" t="s">
        <v>196</v>
      </c>
      <c r="H102" s="15"/>
      <c r="I102" s="15"/>
      <c r="J102" s="15">
        <v>1</v>
      </c>
      <c r="K102" s="15">
        <v>1</v>
      </c>
      <c r="L102" s="17"/>
      <c r="M102" s="17"/>
      <c r="N102" s="17"/>
      <c r="O102" s="17"/>
      <c r="P102" s="17"/>
      <c r="Q102" s="17"/>
      <c r="R102" s="17"/>
      <c r="S102" s="15"/>
      <c r="T102" s="25">
        <v>45819</v>
      </c>
      <c r="U102" s="15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46"/>
      <c r="B103" s="136"/>
      <c r="C103" s="85" t="s">
        <v>259</v>
      </c>
      <c r="D103" s="109" t="s">
        <v>195</v>
      </c>
      <c r="E103" s="15" t="s">
        <v>36</v>
      </c>
      <c r="F103" s="16"/>
      <c r="G103" s="12" t="s">
        <v>196</v>
      </c>
      <c r="H103" s="15"/>
      <c r="I103" s="15"/>
      <c r="J103" s="15"/>
      <c r="K103" s="15"/>
      <c r="L103" s="17"/>
      <c r="M103" s="17">
        <v>1</v>
      </c>
      <c r="N103" s="17">
        <v>1</v>
      </c>
      <c r="O103" s="17"/>
      <c r="P103" s="17"/>
      <c r="Q103" s="17">
        <v>1</v>
      </c>
      <c r="R103" s="17"/>
      <c r="S103" s="15"/>
      <c r="T103" s="25">
        <v>45816</v>
      </c>
      <c r="U103" s="15" t="s">
        <v>147</v>
      </c>
      <c r="V103">
        <v>11</v>
      </c>
      <c r="AA103" s="49" t="s">
        <v>90</v>
      </c>
      <c r="AB103" s="50" t="s">
        <v>58</v>
      </c>
    </row>
    <row r="104" spans="1:28" x14ac:dyDescent="0.4">
      <c r="A104" s="146"/>
      <c r="B104" s="136"/>
      <c r="C104" s="85" t="s">
        <v>261</v>
      </c>
      <c r="D104" s="109" t="s">
        <v>260</v>
      </c>
      <c r="E104" s="15" t="s">
        <v>40</v>
      </c>
      <c r="F104" s="16"/>
      <c r="G104" s="12" t="s">
        <v>209</v>
      </c>
      <c r="H104" s="15"/>
      <c r="I104" s="15"/>
      <c r="J104" s="15"/>
      <c r="K104" s="15"/>
      <c r="L104" s="17"/>
      <c r="M104" s="17"/>
      <c r="N104" s="17"/>
      <c r="O104" s="17">
        <v>1</v>
      </c>
      <c r="P104" s="17">
        <v>1</v>
      </c>
      <c r="Q104" s="17"/>
      <c r="R104" s="17"/>
      <c r="S104" s="15"/>
      <c r="T104" s="25">
        <v>45804</v>
      </c>
      <c r="U104" s="15" t="s">
        <v>148</v>
      </c>
      <c r="V104">
        <v>12</v>
      </c>
      <c r="AA104" s="49" t="s">
        <v>91</v>
      </c>
      <c r="AB104" s="50" t="s">
        <v>75</v>
      </c>
    </row>
    <row r="105" spans="1:28" x14ac:dyDescent="0.4">
      <c r="A105" s="146"/>
      <c r="B105" s="136"/>
      <c r="C105" s="85" t="s">
        <v>262</v>
      </c>
      <c r="D105" s="109" t="s">
        <v>260</v>
      </c>
      <c r="E105" s="15" t="s">
        <v>40</v>
      </c>
      <c r="F105" s="16"/>
      <c r="G105" s="12" t="s">
        <v>209</v>
      </c>
      <c r="H105" s="15"/>
      <c r="I105" s="15"/>
      <c r="J105" s="15"/>
      <c r="K105" s="15"/>
      <c r="L105" s="17"/>
      <c r="M105" s="17"/>
      <c r="N105" s="17"/>
      <c r="O105" s="17">
        <v>1</v>
      </c>
      <c r="P105" s="17">
        <v>1</v>
      </c>
      <c r="Q105" s="17"/>
      <c r="R105" s="17"/>
      <c r="S105" s="15"/>
      <c r="T105" s="25">
        <v>45805</v>
      </c>
      <c r="U105" s="132" t="s">
        <v>148</v>
      </c>
      <c r="V105">
        <v>13</v>
      </c>
      <c r="AA105" s="49" t="s">
        <v>92</v>
      </c>
      <c r="AB105" s="50" t="s">
        <v>40</v>
      </c>
    </row>
    <row r="106" spans="1:28" x14ac:dyDescent="0.4">
      <c r="A106" s="146"/>
      <c r="B106" s="136"/>
      <c r="C106" s="85" t="s">
        <v>263</v>
      </c>
      <c r="D106" s="109" t="s">
        <v>260</v>
      </c>
      <c r="E106" s="15" t="s">
        <v>40</v>
      </c>
      <c r="F106" s="16"/>
      <c r="G106" s="12" t="s">
        <v>209</v>
      </c>
      <c r="H106" s="15"/>
      <c r="I106" s="15"/>
      <c r="J106" s="15"/>
      <c r="K106" s="15"/>
      <c r="L106" s="17"/>
      <c r="M106" s="17"/>
      <c r="N106" s="17"/>
      <c r="O106" s="17">
        <v>1</v>
      </c>
      <c r="P106" s="17">
        <v>1</v>
      </c>
      <c r="Q106" s="17"/>
      <c r="R106" s="17"/>
      <c r="S106" s="15"/>
      <c r="T106" s="25">
        <v>45804</v>
      </c>
      <c r="U106" s="15" t="s">
        <v>148</v>
      </c>
      <c r="V106">
        <v>14</v>
      </c>
      <c r="AA106" s="49" t="s">
        <v>93</v>
      </c>
      <c r="AB106" s="50" t="s">
        <v>57</v>
      </c>
    </row>
    <row r="107" spans="1:28" x14ac:dyDescent="0.4">
      <c r="A107" s="146"/>
      <c r="B107" s="136"/>
      <c r="C107" s="85" t="s">
        <v>264</v>
      </c>
      <c r="D107" s="109" t="s">
        <v>265</v>
      </c>
      <c r="E107" s="15" t="s">
        <v>40</v>
      </c>
      <c r="F107" s="16"/>
      <c r="G107" s="15" t="s">
        <v>209</v>
      </c>
      <c r="H107" s="15"/>
      <c r="I107" s="15"/>
      <c r="J107" s="15"/>
      <c r="K107" s="15"/>
      <c r="L107" s="17"/>
      <c r="M107" s="17"/>
      <c r="N107" s="17"/>
      <c r="O107" s="17">
        <v>1</v>
      </c>
      <c r="P107" s="17">
        <v>1</v>
      </c>
      <c r="Q107" s="17"/>
      <c r="R107" s="17"/>
      <c r="S107" s="15"/>
      <c r="T107" s="25">
        <v>45829</v>
      </c>
      <c r="U107" s="15" t="s">
        <v>148</v>
      </c>
      <c r="V107">
        <v>15</v>
      </c>
      <c r="AA107" s="49" t="s">
        <v>94</v>
      </c>
      <c r="AB107" s="50" t="s">
        <v>41</v>
      </c>
    </row>
    <row r="108" spans="1:28" x14ac:dyDescent="0.4">
      <c r="A108" s="146"/>
      <c r="B108" s="136"/>
      <c r="C108" s="85" t="s">
        <v>266</v>
      </c>
      <c r="D108" s="109" t="s">
        <v>265</v>
      </c>
      <c r="E108" s="15" t="s">
        <v>40</v>
      </c>
      <c r="F108" s="16"/>
      <c r="G108" s="15" t="s">
        <v>209</v>
      </c>
      <c r="H108" s="15"/>
      <c r="I108" s="15"/>
      <c r="J108" s="18"/>
      <c r="K108" s="15"/>
      <c r="L108" s="19"/>
      <c r="M108" s="19"/>
      <c r="N108" s="19"/>
      <c r="O108" s="19">
        <v>1</v>
      </c>
      <c r="P108" s="19">
        <v>1</v>
      </c>
      <c r="Q108" s="19"/>
      <c r="R108" s="19"/>
      <c r="S108" s="15"/>
      <c r="T108" s="25">
        <v>45829</v>
      </c>
      <c r="U108" s="15" t="s">
        <v>148</v>
      </c>
      <c r="V108">
        <v>16</v>
      </c>
      <c r="AA108" s="49" t="s">
        <v>95</v>
      </c>
      <c r="AB108" s="50" t="s">
        <v>42</v>
      </c>
    </row>
    <row r="109" spans="1:28" x14ac:dyDescent="0.4">
      <c r="A109" s="146"/>
      <c r="B109" s="136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6"/>
      <c r="B110" s="136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6"/>
      <c r="B111" s="136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6"/>
      <c r="B112" s="136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6"/>
      <c r="B113" s="136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6"/>
      <c r="B114" s="136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6"/>
      <c r="B115" s="136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6"/>
      <c r="B116" s="136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7"/>
      <c r="B117" s="137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16</v>
      </c>
      <c r="D118" s="112"/>
      <c r="E118" s="29"/>
      <c r="F118" s="29" t="s">
        <v>34</v>
      </c>
      <c r="G118" s="29">
        <f>COUNTIF(G93:G117,"S")</f>
        <v>11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7</v>
      </c>
      <c r="K118" s="29">
        <f t="shared" ref="K118" si="4">SUM(K93:K117)</f>
        <v>7</v>
      </c>
      <c r="L118" s="29">
        <f t="shared" ref="L118" si="5">SUM(L93:L117)</f>
        <v>0</v>
      </c>
      <c r="M118" s="29">
        <f t="shared" ref="M118" si="6">SUM(M93:M117)</f>
        <v>2</v>
      </c>
      <c r="N118" s="29">
        <f t="shared" ref="N118" si="7">SUM(N93:N117)</f>
        <v>2</v>
      </c>
      <c r="O118" s="29">
        <f t="shared" ref="O118" si="8">SUM(O93:O117)</f>
        <v>5</v>
      </c>
      <c r="P118" s="29">
        <f t="shared" ref="P118" si="9">SUM(P93:P117)</f>
        <v>5</v>
      </c>
      <c r="Q118" s="29">
        <f t="shared" ref="Q118" si="10">SUM(Q93:Q117)</f>
        <v>2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5</v>
      </c>
      <c r="H119" s="29">
        <f>COUNTIF(H93:H117,"R")</f>
        <v>1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30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AYG109</v>
      </c>
      <c r="B121" s="24">
        <f>B1</f>
        <v>45789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8" t="s">
        <v>116</v>
      </c>
      <c r="Y122" s="144"/>
    </row>
    <row r="123" spans="1:28" ht="20.25" thickTop="1" thickBot="1" x14ac:dyDescent="0.45">
      <c r="A123" s="145">
        <v>5</v>
      </c>
      <c r="B123" s="135">
        <v>19</v>
      </c>
      <c r="C123" s="85" t="s">
        <v>267</v>
      </c>
      <c r="D123" s="106" t="s">
        <v>238</v>
      </c>
      <c r="E123" s="15" t="s">
        <v>74</v>
      </c>
      <c r="F123" s="14"/>
      <c r="G123" s="12" t="s">
        <v>196</v>
      </c>
      <c r="H123" s="13"/>
      <c r="I123" s="13"/>
      <c r="J123" s="13">
        <v>1</v>
      </c>
      <c r="K123" s="13">
        <v>1</v>
      </c>
      <c r="L123" s="13"/>
      <c r="M123" s="13"/>
      <c r="N123" s="13"/>
      <c r="O123" s="13"/>
      <c r="P123" s="13"/>
      <c r="Q123" s="13"/>
      <c r="R123" s="13"/>
      <c r="S123" s="13"/>
      <c r="T123" s="25">
        <v>45819</v>
      </c>
      <c r="U123" s="13" t="s">
        <v>146</v>
      </c>
      <c r="V123">
        <v>1</v>
      </c>
      <c r="X123" s="51" t="s">
        <v>106</v>
      </c>
      <c r="Y123" s="52">
        <f>COUNTIF(U123:U147,"K")</f>
        <v>2</v>
      </c>
      <c r="AA123" s="59" t="s">
        <v>120</v>
      </c>
      <c r="AB123" s="60" t="s">
        <v>121</v>
      </c>
    </row>
    <row r="124" spans="1:28" x14ac:dyDescent="0.4">
      <c r="A124" s="146"/>
      <c r="B124" s="136"/>
      <c r="C124" s="85" t="s">
        <v>268</v>
      </c>
      <c r="D124" s="106" t="s">
        <v>238</v>
      </c>
      <c r="E124" s="15" t="s">
        <v>40</v>
      </c>
      <c r="F124" s="16"/>
      <c r="G124" s="12" t="s">
        <v>196</v>
      </c>
      <c r="H124" s="15"/>
      <c r="I124" s="15"/>
      <c r="J124" s="15"/>
      <c r="K124" s="15"/>
      <c r="L124" s="17"/>
      <c r="M124" s="17"/>
      <c r="N124" s="13"/>
      <c r="O124" s="17">
        <v>1</v>
      </c>
      <c r="P124" s="17">
        <v>1</v>
      </c>
      <c r="Q124" s="17"/>
      <c r="R124" s="17">
        <v>1</v>
      </c>
      <c r="S124" s="15"/>
      <c r="T124" s="25">
        <v>45819</v>
      </c>
      <c r="U124" s="13" t="s">
        <v>148</v>
      </c>
      <c r="V124">
        <v>2</v>
      </c>
      <c r="X124" s="51" t="s">
        <v>107</v>
      </c>
      <c r="Y124" s="52">
        <f>COUNTIF(U123:U147,"R")</f>
        <v>13</v>
      </c>
      <c r="AA124" s="47" t="s">
        <v>81</v>
      </c>
      <c r="AB124" s="48" t="s">
        <v>60</v>
      </c>
    </row>
    <row r="125" spans="1:28" ht="19.5" thickBot="1" x14ac:dyDescent="0.45">
      <c r="A125" s="146"/>
      <c r="B125" s="136"/>
      <c r="C125" s="85" t="s">
        <v>269</v>
      </c>
      <c r="D125" s="106" t="s">
        <v>238</v>
      </c>
      <c r="E125" s="15" t="s">
        <v>37</v>
      </c>
      <c r="F125" s="16"/>
      <c r="G125" s="12" t="s">
        <v>196</v>
      </c>
      <c r="H125" s="13"/>
      <c r="I125" s="15"/>
      <c r="J125" s="15"/>
      <c r="K125" s="15"/>
      <c r="L125" s="17"/>
      <c r="M125" s="17">
        <v>1</v>
      </c>
      <c r="N125" s="13">
        <v>1</v>
      </c>
      <c r="O125" s="17"/>
      <c r="P125" s="17"/>
      <c r="Q125" s="17"/>
      <c r="R125" s="17"/>
      <c r="S125" s="15"/>
      <c r="T125" s="25">
        <v>45822</v>
      </c>
      <c r="U125" s="13" t="s">
        <v>147</v>
      </c>
      <c r="V125">
        <v>3</v>
      </c>
      <c r="X125" s="53" t="s">
        <v>108</v>
      </c>
      <c r="Y125" s="54">
        <f>COUNTIF(U123:U147,"J")</f>
        <v>4</v>
      </c>
      <c r="AA125" s="49" t="s">
        <v>82</v>
      </c>
      <c r="AB125" s="50" t="s">
        <v>39</v>
      </c>
    </row>
    <row r="126" spans="1:28" x14ac:dyDescent="0.4">
      <c r="A126" s="146"/>
      <c r="B126" s="136"/>
      <c r="C126" s="85" t="s">
        <v>270</v>
      </c>
      <c r="D126" s="106" t="s">
        <v>260</v>
      </c>
      <c r="E126" s="15" t="s">
        <v>40</v>
      </c>
      <c r="F126" s="16"/>
      <c r="G126" s="12" t="s">
        <v>196</v>
      </c>
      <c r="H126" s="15"/>
      <c r="I126" s="15"/>
      <c r="J126" s="15"/>
      <c r="K126" s="15"/>
      <c r="L126" s="17"/>
      <c r="M126" s="17"/>
      <c r="N126" s="13">
        <v>1</v>
      </c>
      <c r="O126" s="17">
        <v>1</v>
      </c>
      <c r="P126" s="17">
        <v>1</v>
      </c>
      <c r="Q126" s="17"/>
      <c r="R126" s="17"/>
      <c r="S126" s="15"/>
      <c r="T126" s="25">
        <v>45811</v>
      </c>
      <c r="U126" s="13" t="s">
        <v>148</v>
      </c>
      <c r="V126">
        <v>4</v>
      </c>
      <c r="AA126" s="49" t="s">
        <v>83</v>
      </c>
      <c r="AB126" s="50" t="s">
        <v>38</v>
      </c>
    </row>
    <row r="127" spans="1:28" x14ac:dyDescent="0.4">
      <c r="A127" s="146"/>
      <c r="B127" s="136"/>
      <c r="C127" s="85" t="s">
        <v>271</v>
      </c>
      <c r="D127" s="106" t="s">
        <v>265</v>
      </c>
      <c r="E127" s="15" t="s">
        <v>74</v>
      </c>
      <c r="F127" s="16"/>
      <c r="G127" s="12" t="s">
        <v>196</v>
      </c>
      <c r="H127" s="15"/>
      <c r="I127" s="15"/>
      <c r="J127" s="15"/>
      <c r="K127" s="15"/>
      <c r="L127" s="17"/>
      <c r="M127" s="17">
        <v>1</v>
      </c>
      <c r="N127" s="13">
        <v>1</v>
      </c>
      <c r="O127" s="17"/>
      <c r="P127" s="17"/>
      <c r="Q127" s="17"/>
      <c r="R127" s="17"/>
      <c r="S127" s="15"/>
      <c r="T127" s="25">
        <v>45829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46"/>
      <c r="B128" s="136"/>
      <c r="C128" s="85" t="s">
        <v>272</v>
      </c>
      <c r="D128" s="106" t="s">
        <v>265</v>
      </c>
      <c r="E128" s="15" t="s">
        <v>75</v>
      </c>
      <c r="F128" s="16"/>
      <c r="G128" s="12" t="s">
        <v>196</v>
      </c>
      <c r="H128" s="13"/>
      <c r="I128" s="15"/>
      <c r="J128" s="15"/>
      <c r="K128" s="15"/>
      <c r="L128" s="17"/>
      <c r="M128" s="17"/>
      <c r="N128" s="13"/>
      <c r="O128" s="17"/>
      <c r="P128" s="17"/>
      <c r="Q128" s="17"/>
      <c r="R128" s="17"/>
      <c r="S128" s="15"/>
      <c r="T128" s="25">
        <v>45818</v>
      </c>
      <c r="U128" s="13" t="s">
        <v>147</v>
      </c>
      <c r="V128">
        <v>6</v>
      </c>
      <c r="AA128" s="49" t="s">
        <v>85</v>
      </c>
      <c r="AB128" s="50" t="s">
        <v>43</v>
      </c>
    </row>
    <row r="129" spans="1:28" x14ac:dyDescent="0.4">
      <c r="A129" s="146"/>
      <c r="B129" s="136"/>
      <c r="C129" s="85" t="s">
        <v>273</v>
      </c>
      <c r="D129" s="106" t="s">
        <v>265</v>
      </c>
      <c r="E129" s="15" t="s">
        <v>38</v>
      </c>
      <c r="F129" s="16"/>
      <c r="G129" s="12" t="s">
        <v>196</v>
      </c>
      <c r="H129" s="15"/>
      <c r="I129" s="15"/>
      <c r="J129" s="15">
        <v>1</v>
      </c>
      <c r="K129" s="15">
        <v>1</v>
      </c>
      <c r="L129" s="17"/>
      <c r="M129" s="17"/>
      <c r="N129" s="13"/>
      <c r="O129" s="17"/>
      <c r="P129" s="17"/>
      <c r="Q129" s="17"/>
      <c r="R129" s="17"/>
      <c r="S129" s="15"/>
      <c r="T129" s="25">
        <v>45819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46"/>
      <c r="B130" s="136"/>
      <c r="C130" s="85" t="s">
        <v>274</v>
      </c>
      <c r="D130" s="106" t="s">
        <v>265</v>
      </c>
      <c r="E130" s="15" t="s">
        <v>58</v>
      </c>
      <c r="F130" s="16"/>
      <c r="G130" s="12" t="s">
        <v>196</v>
      </c>
      <c r="H130" s="15"/>
      <c r="I130" s="15"/>
      <c r="J130" s="15"/>
      <c r="K130" s="15"/>
      <c r="L130" s="17"/>
      <c r="M130" s="17"/>
      <c r="N130" s="13"/>
      <c r="O130" s="17"/>
      <c r="P130" s="17"/>
      <c r="Q130" s="17"/>
      <c r="R130" s="17"/>
      <c r="S130" s="15"/>
      <c r="T130" s="25">
        <v>45819</v>
      </c>
      <c r="U130" s="13" t="s">
        <v>147</v>
      </c>
      <c r="V130">
        <v>8</v>
      </c>
      <c r="AA130" s="49" t="s">
        <v>87</v>
      </c>
      <c r="AB130" s="50" t="s">
        <v>37</v>
      </c>
    </row>
    <row r="131" spans="1:28" x14ac:dyDescent="0.4">
      <c r="A131" s="146"/>
      <c r="B131" s="136"/>
      <c r="C131" s="85" t="s">
        <v>275</v>
      </c>
      <c r="D131" s="106" t="s">
        <v>276</v>
      </c>
      <c r="E131" s="15" t="s">
        <v>36</v>
      </c>
      <c r="F131" s="16"/>
      <c r="G131" s="12" t="s">
        <v>196</v>
      </c>
      <c r="H131" s="15"/>
      <c r="I131" s="15"/>
      <c r="J131" s="15"/>
      <c r="K131" s="15"/>
      <c r="L131" s="17"/>
      <c r="M131" s="17">
        <v>1</v>
      </c>
      <c r="N131" s="13">
        <v>1</v>
      </c>
      <c r="O131" s="17"/>
      <c r="P131" s="17"/>
      <c r="Q131" s="17">
        <v>1</v>
      </c>
      <c r="R131" s="17"/>
      <c r="S131" s="86"/>
      <c r="T131" s="25">
        <v>45816</v>
      </c>
      <c r="U131" s="13" t="s">
        <v>147</v>
      </c>
      <c r="V131">
        <v>9</v>
      </c>
      <c r="AA131" s="49" t="s">
        <v>88</v>
      </c>
      <c r="AB131" s="50" t="s">
        <v>74</v>
      </c>
    </row>
    <row r="132" spans="1:28" x14ac:dyDescent="0.4">
      <c r="A132" s="146"/>
      <c r="B132" s="136"/>
      <c r="C132" s="85" t="s">
        <v>277</v>
      </c>
      <c r="D132" s="106">
        <v>1183</v>
      </c>
      <c r="E132" s="15" t="s">
        <v>40</v>
      </c>
      <c r="F132" s="16"/>
      <c r="G132" s="12" t="s">
        <v>196</v>
      </c>
      <c r="H132" s="15"/>
      <c r="I132" s="15"/>
      <c r="J132" s="15"/>
      <c r="K132" s="15"/>
      <c r="L132" s="17"/>
      <c r="M132" s="17"/>
      <c r="N132" s="13"/>
      <c r="O132" s="17">
        <v>1</v>
      </c>
      <c r="P132" s="17">
        <v>1</v>
      </c>
      <c r="Q132" s="17">
        <v>1</v>
      </c>
      <c r="R132" s="17"/>
      <c r="S132" s="15"/>
      <c r="T132" s="25">
        <v>45856</v>
      </c>
      <c r="U132" s="13" t="s">
        <v>148</v>
      </c>
      <c r="V132">
        <v>10</v>
      </c>
      <c r="AA132" s="49" t="s">
        <v>89</v>
      </c>
      <c r="AB132" s="50" t="s">
        <v>36</v>
      </c>
    </row>
    <row r="133" spans="1:28" x14ac:dyDescent="0.4">
      <c r="A133" s="146"/>
      <c r="B133" s="136"/>
      <c r="C133" s="85" t="s">
        <v>278</v>
      </c>
      <c r="D133" s="106" t="s">
        <v>195</v>
      </c>
      <c r="E133" s="15" t="s">
        <v>36</v>
      </c>
      <c r="F133" s="16"/>
      <c r="G133" s="12" t="s">
        <v>196</v>
      </c>
      <c r="H133" s="15"/>
      <c r="I133" s="15"/>
      <c r="J133" s="15"/>
      <c r="K133" s="15"/>
      <c r="L133" s="17"/>
      <c r="M133" s="17">
        <v>1</v>
      </c>
      <c r="N133" s="13"/>
      <c r="O133" s="17"/>
      <c r="P133" s="17"/>
      <c r="Q133" s="17"/>
      <c r="R133" s="17"/>
      <c r="S133" s="15"/>
      <c r="T133" s="25">
        <v>45817</v>
      </c>
      <c r="U133" s="13" t="s">
        <v>147</v>
      </c>
      <c r="V133">
        <v>11</v>
      </c>
      <c r="AA133" s="49" t="s">
        <v>90</v>
      </c>
      <c r="AB133" s="50" t="s">
        <v>58</v>
      </c>
    </row>
    <row r="134" spans="1:28" x14ac:dyDescent="0.4">
      <c r="A134" s="146"/>
      <c r="B134" s="136"/>
      <c r="C134" s="85" t="s">
        <v>279</v>
      </c>
      <c r="D134" s="106" t="s">
        <v>195</v>
      </c>
      <c r="E134" s="15" t="s">
        <v>37</v>
      </c>
      <c r="F134" s="16"/>
      <c r="G134" s="12" t="s">
        <v>196</v>
      </c>
      <c r="H134" s="15"/>
      <c r="I134" s="15"/>
      <c r="J134" s="15"/>
      <c r="K134" s="15"/>
      <c r="L134" s="17"/>
      <c r="M134" s="17">
        <v>1</v>
      </c>
      <c r="N134" s="13">
        <v>1</v>
      </c>
      <c r="O134" s="17"/>
      <c r="P134" s="17"/>
      <c r="Q134" s="17">
        <v>1</v>
      </c>
      <c r="R134" s="17"/>
      <c r="S134" s="15"/>
      <c r="T134" s="25">
        <v>45817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46"/>
      <c r="B135" s="136"/>
      <c r="C135" s="85" t="s">
        <v>280</v>
      </c>
      <c r="D135" s="106" t="s">
        <v>281</v>
      </c>
      <c r="E135" s="15" t="s">
        <v>37</v>
      </c>
      <c r="F135" s="16"/>
      <c r="G135" s="12" t="s">
        <v>196</v>
      </c>
      <c r="H135" s="15"/>
      <c r="I135" s="15"/>
      <c r="J135" s="15"/>
      <c r="K135" s="15"/>
      <c r="L135" s="17"/>
      <c r="M135" s="17"/>
      <c r="N135" s="13"/>
      <c r="O135" s="17"/>
      <c r="P135" s="17"/>
      <c r="Q135" s="17">
        <v>1</v>
      </c>
      <c r="R135" s="17"/>
      <c r="S135" s="15"/>
      <c r="T135" s="25">
        <v>45813</v>
      </c>
      <c r="U135" s="13" t="s">
        <v>147</v>
      </c>
      <c r="V135">
        <v>13</v>
      </c>
      <c r="AA135" s="49" t="s">
        <v>92</v>
      </c>
      <c r="AB135" s="50" t="s">
        <v>40</v>
      </c>
    </row>
    <row r="136" spans="1:28" x14ac:dyDescent="0.4">
      <c r="A136" s="146"/>
      <c r="B136" s="136"/>
      <c r="C136" s="85" t="s">
        <v>282</v>
      </c>
      <c r="D136" s="106" t="s">
        <v>281</v>
      </c>
      <c r="E136" s="15" t="s">
        <v>37</v>
      </c>
      <c r="F136" s="16"/>
      <c r="G136" s="12" t="s">
        <v>196</v>
      </c>
      <c r="H136" s="15"/>
      <c r="I136" s="15"/>
      <c r="J136" s="15"/>
      <c r="K136" s="15"/>
      <c r="L136" s="17"/>
      <c r="M136" s="17"/>
      <c r="N136" s="13"/>
      <c r="O136" s="17"/>
      <c r="P136" s="17"/>
      <c r="Q136" s="17">
        <v>1</v>
      </c>
      <c r="R136" s="17"/>
      <c r="S136" s="15"/>
      <c r="T136" s="25">
        <v>45813</v>
      </c>
      <c r="U136" s="13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46"/>
      <c r="B137" s="136"/>
      <c r="C137" s="85" t="s">
        <v>283</v>
      </c>
      <c r="D137" s="106" t="s">
        <v>281</v>
      </c>
      <c r="E137" s="15" t="s">
        <v>37</v>
      </c>
      <c r="F137" s="16"/>
      <c r="G137" s="12" t="s">
        <v>196</v>
      </c>
      <c r="H137" s="15"/>
      <c r="I137" s="15"/>
      <c r="J137" s="15"/>
      <c r="K137" s="15"/>
      <c r="L137" s="17"/>
      <c r="M137" s="17">
        <v>1</v>
      </c>
      <c r="N137" s="13"/>
      <c r="O137" s="17"/>
      <c r="P137" s="17"/>
      <c r="Q137" s="17">
        <v>1</v>
      </c>
      <c r="R137" s="17"/>
      <c r="S137" s="15"/>
      <c r="T137" s="25">
        <v>45813</v>
      </c>
      <c r="U137" s="13" t="s">
        <v>147</v>
      </c>
      <c r="V137">
        <v>15</v>
      </c>
      <c r="AA137" s="49" t="s">
        <v>94</v>
      </c>
      <c r="AB137" s="50" t="s">
        <v>41</v>
      </c>
    </row>
    <row r="138" spans="1:28" x14ac:dyDescent="0.4">
      <c r="A138" s="146"/>
      <c r="B138" s="136"/>
      <c r="C138" s="85" t="s">
        <v>284</v>
      </c>
      <c r="D138" s="106" t="s">
        <v>281</v>
      </c>
      <c r="E138" s="15" t="s">
        <v>37</v>
      </c>
      <c r="F138" s="16"/>
      <c r="G138" s="12" t="s">
        <v>196</v>
      </c>
      <c r="H138" s="15"/>
      <c r="I138" s="15"/>
      <c r="J138" s="18"/>
      <c r="K138" s="15"/>
      <c r="L138" s="19"/>
      <c r="M138" s="19"/>
      <c r="N138" s="13"/>
      <c r="O138" s="19"/>
      <c r="P138" s="19"/>
      <c r="Q138" s="19">
        <v>1</v>
      </c>
      <c r="R138" s="19"/>
      <c r="S138" s="15"/>
      <c r="T138" s="25">
        <v>45813</v>
      </c>
      <c r="U138" s="13" t="s">
        <v>147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46"/>
      <c r="B139" s="136"/>
      <c r="C139" s="85" t="s">
        <v>285</v>
      </c>
      <c r="D139" s="106" t="s">
        <v>281</v>
      </c>
      <c r="E139" s="15" t="s">
        <v>41</v>
      </c>
      <c r="F139" s="16"/>
      <c r="G139" s="12" t="s">
        <v>196</v>
      </c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>
        <v>45813</v>
      </c>
      <c r="U139" s="13" t="s">
        <v>147</v>
      </c>
      <c r="V139">
        <v>17</v>
      </c>
      <c r="AA139" s="49" t="s">
        <v>96</v>
      </c>
      <c r="AB139" s="50" t="s">
        <v>61</v>
      </c>
    </row>
    <row r="140" spans="1:28" x14ac:dyDescent="0.4">
      <c r="A140" s="146"/>
      <c r="B140" s="136"/>
      <c r="C140" s="85" t="s">
        <v>286</v>
      </c>
      <c r="D140" s="106" t="s">
        <v>238</v>
      </c>
      <c r="E140" s="15" t="s">
        <v>40</v>
      </c>
      <c r="F140" s="16"/>
      <c r="G140" s="12" t="s">
        <v>196</v>
      </c>
      <c r="H140" s="15"/>
      <c r="I140" s="15"/>
      <c r="J140" s="18"/>
      <c r="K140" s="15"/>
      <c r="L140" s="19"/>
      <c r="M140" s="19"/>
      <c r="N140" s="13"/>
      <c r="O140" s="19">
        <v>1</v>
      </c>
      <c r="P140" s="19">
        <v>1</v>
      </c>
      <c r="Q140" s="19"/>
      <c r="R140" s="19">
        <v>1</v>
      </c>
      <c r="S140" s="15"/>
      <c r="T140" s="26">
        <v>45822</v>
      </c>
      <c r="U140" s="13" t="s">
        <v>148</v>
      </c>
      <c r="V140">
        <v>18</v>
      </c>
      <c r="AA140" s="49" t="s">
        <v>97</v>
      </c>
      <c r="AB140" s="50" t="s">
        <v>76</v>
      </c>
    </row>
    <row r="141" spans="1:28" x14ac:dyDescent="0.4">
      <c r="A141" s="146"/>
      <c r="B141" s="136"/>
      <c r="C141" s="85" t="s">
        <v>287</v>
      </c>
      <c r="D141" s="106" t="s">
        <v>238</v>
      </c>
      <c r="E141" s="106" t="s">
        <v>75</v>
      </c>
      <c r="F141" s="16"/>
      <c r="G141" s="12" t="s">
        <v>196</v>
      </c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>
        <v>45822</v>
      </c>
      <c r="U141" s="13" t="s">
        <v>147</v>
      </c>
      <c r="V141">
        <v>19</v>
      </c>
      <c r="AA141" s="49" t="s">
        <v>98</v>
      </c>
      <c r="AB141" s="50" t="s">
        <v>77</v>
      </c>
    </row>
    <row r="142" spans="1:28" x14ac:dyDescent="0.4">
      <c r="A142" s="146"/>
      <c r="B142" s="136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6"/>
      <c r="B143" s="136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6"/>
      <c r="B144" s="136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6"/>
      <c r="B145" s="136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6"/>
      <c r="B146" s="136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7"/>
      <c r="B147" s="137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19</v>
      </c>
      <c r="D148" s="112"/>
      <c r="E148" s="29"/>
      <c r="F148" s="29" t="s">
        <v>34</v>
      </c>
      <c r="G148" s="29">
        <f>COUNTIF(G123:G147,"S")</f>
        <v>19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2</v>
      </c>
      <c r="K148" s="29">
        <f t="shared" ref="K148" si="14">SUM(K123:K147)</f>
        <v>2</v>
      </c>
      <c r="L148" s="29">
        <f t="shared" ref="L148" si="15">SUM(L123:L147)</f>
        <v>0</v>
      </c>
      <c r="M148" s="29">
        <f t="shared" ref="M148" si="16">SUM(M123:M147)</f>
        <v>6</v>
      </c>
      <c r="N148" s="29">
        <f t="shared" ref="N148" si="17">SUM(N123:N147)</f>
        <v>5</v>
      </c>
      <c r="O148" s="29">
        <f t="shared" ref="O148" si="18">SUM(O123:O147)</f>
        <v>4</v>
      </c>
      <c r="P148" s="29">
        <f t="shared" ref="P148" si="19">SUM(P123:P147)</f>
        <v>4</v>
      </c>
      <c r="Q148" s="29">
        <f t="shared" ref="Q148" si="20">SUM(Q123:Q147)</f>
        <v>7</v>
      </c>
      <c r="R148" s="29">
        <f t="shared" ref="R148" si="21">SUM(R123:R147)</f>
        <v>2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32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AYG109</v>
      </c>
      <c r="B151" s="24">
        <f>B1</f>
        <v>45789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8" t="s">
        <v>115</v>
      </c>
      <c r="Y152" s="144"/>
    </row>
    <row r="153" spans="1:28" ht="20.25" thickTop="1" thickBot="1" x14ac:dyDescent="0.45">
      <c r="A153" s="145">
        <v>6</v>
      </c>
      <c r="B153" s="148">
        <v>23</v>
      </c>
      <c r="C153" s="85" t="s">
        <v>288</v>
      </c>
      <c r="D153" s="109" t="s">
        <v>289</v>
      </c>
      <c r="E153" s="13" t="s">
        <v>39</v>
      </c>
      <c r="F153" s="14"/>
      <c r="G153" s="12" t="s">
        <v>196</v>
      </c>
      <c r="H153" s="13"/>
      <c r="I153" s="13"/>
      <c r="J153" s="13">
        <v>1</v>
      </c>
      <c r="K153" s="13">
        <v>1</v>
      </c>
      <c r="L153" s="13"/>
      <c r="M153" s="13"/>
      <c r="N153" s="13"/>
      <c r="O153" s="13"/>
      <c r="P153" s="13"/>
      <c r="Q153" s="13"/>
      <c r="R153" s="13"/>
      <c r="S153" s="13"/>
      <c r="T153" s="26">
        <v>45825</v>
      </c>
      <c r="U153" s="13" t="s">
        <v>142</v>
      </c>
      <c r="V153">
        <v>1</v>
      </c>
      <c r="X153" s="51" t="s">
        <v>106</v>
      </c>
      <c r="Y153" s="52">
        <f>COUNTIF(U153:U177,"K")</f>
        <v>6</v>
      </c>
      <c r="AA153" s="59" t="s">
        <v>120</v>
      </c>
      <c r="AB153" s="60" t="s">
        <v>121</v>
      </c>
    </row>
    <row r="154" spans="1:28" x14ac:dyDescent="0.4">
      <c r="A154" s="146"/>
      <c r="B154" s="149"/>
      <c r="C154" s="85" t="s">
        <v>290</v>
      </c>
      <c r="D154" s="109" t="s">
        <v>289</v>
      </c>
      <c r="E154" s="13" t="s">
        <v>133</v>
      </c>
      <c r="F154" s="16"/>
      <c r="G154" s="12" t="s">
        <v>196</v>
      </c>
      <c r="H154" s="15"/>
      <c r="I154" s="15"/>
      <c r="J154" s="15"/>
      <c r="K154" s="15"/>
      <c r="L154" s="17"/>
      <c r="M154" s="17"/>
      <c r="N154" s="17"/>
      <c r="O154" s="17">
        <v>1</v>
      </c>
      <c r="P154" s="17">
        <v>1</v>
      </c>
      <c r="Q154" s="17">
        <v>1</v>
      </c>
      <c r="R154" s="17">
        <v>1</v>
      </c>
      <c r="S154" s="15"/>
      <c r="T154" s="26">
        <v>45825</v>
      </c>
      <c r="U154" s="13" t="s">
        <v>148</v>
      </c>
      <c r="V154">
        <v>2</v>
      </c>
      <c r="X154" s="51" t="s">
        <v>107</v>
      </c>
      <c r="Y154" s="52">
        <f>COUNTIF(U153:U177,"R")</f>
        <v>4</v>
      </c>
      <c r="AA154" s="47" t="s">
        <v>81</v>
      </c>
      <c r="AB154" s="48" t="s">
        <v>60</v>
      </c>
    </row>
    <row r="155" spans="1:28" ht="19.5" thickBot="1" x14ac:dyDescent="0.45">
      <c r="A155" s="146"/>
      <c r="B155" s="149"/>
      <c r="C155" s="85" t="s">
        <v>291</v>
      </c>
      <c r="D155" s="106" t="s">
        <v>289</v>
      </c>
      <c r="E155" s="106" t="s">
        <v>39</v>
      </c>
      <c r="F155" s="16"/>
      <c r="G155" s="12" t="s">
        <v>196</v>
      </c>
      <c r="H155" s="13"/>
      <c r="I155" s="15"/>
      <c r="J155" s="13">
        <v>1</v>
      </c>
      <c r="K155" s="15">
        <v>1</v>
      </c>
      <c r="L155" s="13"/>
      <c r="M155" s="17"/>
      <c r="N155" s="17"/>
      <c r="O155" s="17"/>
      <c r="P155" s="17"/>
      <c r="Q155" s="17"/>
      <c r="R155" s="17"/>
      <c r="S155" s="15"/>
      <c r="T155" s="25">
        <v>45825</v>
      </c>
      <c r="U155" s="13" t="s">
        <v>146</v>
      </c>
      <c r="V155">
        <v>3</v>
      </c>
      <c r="X155" s="53" t="s">
        <v>108</v>
      </c>
      <c r="Y155" s="54">
        <f>COUNTIF(U153:U177,"J")</f>
        <v>5</v>
      </c>
      <c r="AA155" s="49" t="s">
        <v>82</v>
      </c>
      <c r="AB155" s="50" t="s">
        <v>39</v>
      </c>
    </row>
    <row r="156" spans="1:28" x14ac:dyDescent="0.4">
      <c r="A156" s="146"/>
      <c r="B156" s="149"/>
      <c r="C156" s="85" t="s">
        <v>292</v>
      </c>
      <c r="D156" s="106" t="s">
        <v>289</v>
      </c>
      <c r="E156" s="106" t="s">
        <v>133</v>
      </c>
      <c r="F156" s="16"/>
      <c r="G156" s="12" t="s">
        <v>196</v>
      </c>
      <c r="H156" s="15"/>
      <c r="I156" s="15"/>
      <c r="J156" s="13"/>
      <c r="K156" s="15"/>
      <c r="L156" s="13"/>
      <c r="M156" s="17"/>
      <c r="N156" s="17"/>
      <c r="O156" s="17">
        <v>1</v>
      </c>
      <c r="P156" s="17">
        <v>1</v>
      </c>
      <c r="Q156" s="17">
        <v>1</v>
      </c>
      <c r="R156" s="17">
        <v>1</v>
      </c>
      <c r="S156" s="15"/>
      <c r="T156" s="25">
        <v>45825</v>
      </c>
      <c r="U156" s="13" t="s">
        <v>148</v>
      </c>
      <c r="V156">
        <v>4</v>
      </c>
      <c r="AA156" s="49" t="s">
        <v>83</v>
      </c>
      <c r="AB156" s="50" t="s">
        <v>38</v>
      </c>
    </row>
    <row r="157" spans="1:28" x14ac:dyDescent="0.4">
      <c r="A157" s="146"/>
      <c r="B157" s="149"/>
      <c r="C157" s="85" t="s">
        <v>293</v>
      </c>
      <c r="D157" s="106" t="s">
        <v>289</v>
      </c>
      <c r="E157" s="106" t="s">
        <v>38</v>
      </c>
      <c r="F157" s="16"/>
      <c r="G157" s="12" t="s">
        <v>196</v>
      </c>
      <c r="H157" s="15"/>
      <c r="I157" s="15"/>
      <c r="J157" s="13">
        <v>1</v>
      </c>
      <c r="K157" s="15">
        <v>1</v>
      </c>
      <c r="L157" s="13"/>
      <c r="M157" s="17"/>
      <c r="N157" s="17"/>
      <c r="O157" s="17"/>
      <c r="P157" s="17"/>
      <c r="Q157" s="17"/>
      <c r="R157" s="17"/>
      <c r="S157" s="15"/>
      <c r="T157" s="25">
        <v>45825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46"/>
      <c r="B158" s="149"/>
      <c r="C158" s="85" t="s">
        <v>294</v>
      </c>
      <c r="D158" s="106" t="s">
        <v>289</v>
      </c>
      <c r="E158" s="106" t="s">
        <v>40</v>
      </c>
      <c r="F158" s="16"/>
      <c r="G158" s="12" t="s">
        <v>196</v>
      </c>
      <c r="H158" s="13"/>
      <c r="I158" s="15"/>
      <c r="J158" s="13"/>
      <c r="K158" s="15"/>
      <c r="L158" s="13"/>
      <c r="M158" s="17"/>
      <c r="N158" s="17"/>
      <c r="O158" s="17">
        <v>1</v>
      </c>
      <c r="P158" s="17">
        <v>1</v>
      </c>
      <c r="Q158" s="17">
        <v>1</v>
      </c>
      <c r="R158" s="17">
        <v>1</v>
      </c>
      <c r="S158" s="15"/>
      <c r="T158" s="25">
        <v>45825</v>
      </c>
      <c r="U158" s="13" t="s">
        <v>148</v>
      </c>
      <c r="V158">
        <v>6</v>
      </c>
      <c r="AA158" s="49" t="s">
        <v>85</v>
      </c>
      <c r="AB158" s="50" t="s">
        <v>43</v>
      </c>
    </row>
    <row r="159" spans="1:28" x14ac:dyDescent="0.4">
      <c r="A159" s="146"/>
      <c r="B159" s="149"/>
      <c r="C159" s="85" t="s">
        <v>295</v>
      </c>
      <c r="D159" s="106" t="s">
        <v>289</v>
      </c>
      <c r="E159" s="106" t="s">
        <v>39</v>
      </c>
      <c r="F159" s="16"/>
      <c r="G159" s="12" t="s">
        <v>196</v>
      </c>
      <c r="H159" s="15"/>
      <c r="I159" s="15"/>
      <c r="J159" s="13">
        <v>1</v>
      </c>
      <c r="K159" s="15">
        <v>1</v>
      </c>
      <c r="L159" s="13"/>
      <c r="M159" s="17"/>
      <c r="N159" s="17"/>
      <c r="O159" s="17"/>
      <c r="P159" s="17"/>
      <c r="Q159" s="17"/>
      <c r="R159" s="17"/>
      <c r="S159" s="15"/>
      <c r="T159" s="25">
        <v>45825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46"/>
      <c r="B160" s="149"/>
      <c r="C160" s="85" t="s">
        <v>296</v>
      </c>
      <c r="D160" s="106" t="s">
        <v>289</v>
      </c>
      <c r="E160" s="106" t="s">
        <v>36</v>
      </c>
      <c r="F160" s="16"/>
      <c r="G160" s="12" t="s">
        <v>196</v>
      </c>
      <c r="H160" s="15"/>
      <c r="I160" s="15"/>
      <c r="J160" s="13"/>
      <c r="K160" s="15"/>
      <c r="L160" s="13"/>
      <c r="M160" s="17">
        <v>1</v>
      </c>
      <c r="N160" s="17"/>
      <c r="O160" s="17"/>
      <c r="P160" s="17"/>
      <c r="Q160" s="17">
        <v>1</v>
      </c>
      <c r="R160" s="17"/>
      <c r="S160" s="15"/>
      <c r="T160" s="25">
        <v>45825</v>
      </c>
      <c r="U160" s="13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46"/>
      <c r="B161" s="149"/>
      <c r="C161" s="85" t="s">
        <v>297</v>
      </c>
      <c r="D161" s="106" t="s">
        <v>289</v>
      </c>
      <c r="E161" s="106" t="s">
        <v>133</v>
      </c>
      <c r="F161" s="16"/>
      <c r="G161" s="12" t="s">
        <v>196</v>
      </c>
      <c r="H161" s="15"/>
      <c r="I161" s="15"/>
      <c r="J161" s="13"/>
      <c r="K161" s="15"/>
      <c r="L161" s="13"/>
      <c r="M161" s="17"/>
      <c r="N161" s="17"/>
      <c r="O161" s="17">
        <v>1</v>
      </c>
      <c r="P161" s="17">
        <v>1</v>
      </c>
      <c r="Q161" s="17">
        <v>1</v>
      </c>
      <c r="R161" s="17">
        <v>1</v>
      </c>
      <c r="S161" s="15"/>
      <c r="T161" s="25">
        <v>45825</v>
      </c>
      <c r="U161" s="13" t="s">
        <v>148</v>
      </c>
      <c r="V161">
        <v>9</v>
      </c>
      <c r="AA161" s="49" t="s">
        <v>88</v>
      </c>
      <c r="AB161" s="50" t="s">
        <v>74</v>
      </c>
    </row>
    <row r="162" spans="1:28" x14ac:dyDescent="0.4">
      <c r="A162" s="146"/>
      <c r="B162" s="149"/>
      <c r="C162" s="85" t="s">
        <v>298</v>
      </c>
      <c r="D162" s="106" t="s">
        <v>289</v>
      </c>
      <c r="E162" s="106" t="s">
        <v>37</v>
      </c>
      <c r="F162" s="106"/>
      <c r="G162" s="12" t="s">
        <v>196</v>
      </c>
      <c r="H162" s="15"/>
      <c r="I162" s="15"/>
      <c r="J162" s="13"/>
      <c r="K162" s="15"/>
      <c r="L162" s="13"/>
      <c r="M162" s="17">
        <v>1</v>
      </c>
      <c r="N162" s="17"/>
      <c r="O162" s="17"/>
      <c r="P162" s="17"/>
      <c r="Q162" s="17">
        <v>1</v>
      </c>
      <c r="R162" s="17"/>
      <c r="S162" s="15"/>
      <c r="T162" s="25">
        <v>45825</v>
      </c>
      <c r="U162" s="13" t="s">
        <v>147</v>
      </c>
      <c r="V162">
        <v>10</v>
      </c>
      <c r="AA162" s="49" t="s">
        <v>89</v>
      </c>
      <c r="AB162" s="50" t="s">
        <v>36</v>
      </c>
    </row>
    <row r="163" spans="1:28" x14ac:dyDescent="0.4">
      <c r="A163" s="146"/>
      <c r="B163" s="149"/>
      <c r="C163" s="85" t="s">
        <v>299</v>
      </c>
      <c r="D163" s="106" t="s">
        <v>289</v>
      </c>
      <c r="E163" s="106" t="s">
        <v>39</v>
      </c>
      <c r="F163" s="16"/>
      <c r="G163" s="12" t="s">
        <v>196</v>
      </c>
      <c r="H163" s="15"/>
      <c r="I163" s="15"/>
      <c r="J163" s="15">
        <v>1</v>
      </c>
      <c r="K163" s="15">
        <v>1</v>
      </c>
      <c r="L163" s="17"/>
      <c r="M163" s="17"/>
      <c r="N163" s="17"/>
      <c r="O163" s="17"/>
      <c r="P163" s="17"/>
      <c r="Q163" s="17"/>
      <c r="R163" s="17"/>
      <c r="S163" s="15"/>
      <c r="T163" s="25">
        <v>45825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46"/>
      <c r="B164" s="149"/>
      <c r="C164" s="85" t="s">
        <v>300</v>
      </c>
      <c r="D164" s="106" t="s">
        <v>289</v>
      </c>
      <c r="E164" s="106" t="s">
        <v>133</v>
      </c>
      <c r="F164" s="16"/>
      <c r="G164" s="12" t="s">
        <v>196</v>
      </c>
      <c r="H164" s="15"/>
      <c r="I164" s="15"/>
      <c r="J164" s="15"/>
      <c r="K164" s="15"/>
      <c r="L164" s="17"/>
      <c r="M164" s="17"/>
      <c r="N164" s="17"/>
      <c r="O164" s="17">
        <v>1</v>
      </c>
      <c r="P164" s="17">
        <v>1</v>
      </c>
      <c r="Q164" s="17">
        <v>1</v>
      </c>
      <c r="R164" s="17">
        <v>1</v>
      </c>
      <c r="S164" s="15"/>
      <c r="T164" s="25">
        <v>45825</v>
      </c>
      <c r="U164" s="13" t="s">
        <v>148</v>
      </c>
      <c r="V164">
        <v>12</v>
      </c>
      <c r="AA164" s="49" t="s">
        <v>91</v>
      </c>
      <c r="AB164" s="50" t="s">
        <v>75</v>
      </c>
    </row>
    <row r="165" spans="1:28" x14ac:dyDescent="0.4">
      <c r="A165" s="146"/>
      <c r="B165" s="149"/>
      <c r="C165" s="85" t="s">
        <v>301</v>
      </c>
      <c r="D165" s="106" t="s">
        <v>289</v>
      </c>
      <c r="E165" s="106" t="s">
        <v>43</v>
      </c>
      <c r="F165" s="16"/>
      <c r="G165" s="12" t="s">
        <v>196</v>
      </c>
      <c r="H165" s="15"/>
      <c r="I165" s="15"/>
      <c r="J165" s="15">
        <v>1</v>
      </c>
      <c r="K165" s="15">
        <v>1</v>
      </c>
      <c r="L165" s="17"/>
      <c r="M165" s="17"/>
      <c r="N165" s="17"/>
      <c r="O165" s="17"/>
      <c r="P165" s="17"/>
      <c r="Q165" s="17"/>
      <c r="R165" s="17"/>
      <c r="S165" s="15"/>
      <c r="T165" s="25">
        <v>45824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46"/>
      <c r="B166" s="149"/>
      <c r="C166" s="85" t="s">
        <v>302</v>
      </c>
      <c r="D166" s="106" t="s">
        <v>289</v>
      </c>
      <c r="E166" s="106" t="s">
        <v>37</v>
      </c>
      <c r="F166" s="16"/>
      <c r="G166" s="12" t="s">
        <v>196</v>
      </c>
      <c r="H166" s="15"/>
      <c r="I166" s="15"/>
      <c r="J166" s="15"/>
      <c r="K166" s="15"/>
      <c r="L166" s="17"/>
      <c r="M166" s="17">
        <v>1</v>
      </c>
      <c r="N166" s="17"/>
      <c r="O166" s="17"/>
      <c r="P166" s="17"/>
      <c r="Q166" s="17">
        <v>1</v>
      </c>
      <c r="R166" s="17"/>
      <c r="S166" s="15"/>
      <c r="T166" s="25">
        <v>45825</v>
      </c>
      <c r="U166" s="13" t="s">
        <v>147</v>
      </c>
      <c r="V166">
        <v>14</v>
      </c>
      <c r="AA166" s="49" t="s">
        <v>93</v>
      </c>
      <c r="AB166" s="50" t="s">
        <v>57</v>
      </c>
    </row>
    <row r="167" spans="1:28" x14ac:dyDescent="0.4">
      <c r="A167" s="146"/>
      <c r="B167" s="149"/>
      <c r="C167" s="85" t="s">
        <v>303</v>
      </c>
      <c r="D167" s="106" t="s">
        <v>289</v>
      </c>
      <c r="E167" s="106" t="s">
        <v>36</v>
      </c>
      <c r="F167" s="16"/>
      <c r="G167" s="12" t="s">
        <v>196</v>
      </c>
      <c r="H167" s="15"/>
      <c r="I167" s="15"/>
      <c r="J167" s="15"/>
      <c r="K167" s="15"/>
      <c r="L167" s="17"/>
      <c r="M167" s="17">
        <v>1</v>
      </c>
      <c r="N167" s="17"/>
      <c r="O167" s="17"/>
      <c r="P167" s="17"/>
      <c r="Q167" s="17">
        <v>1</v>
      </c>
      <c r="R167" s="17"/>
      <c r="S167" s="15"/>
      <c r="T167" s="25">
        <v>45825</v>
      </c>
      <c r="U167" s="13" t="s">
        <v>147</v>
      </c>
      <c r="V167">
        <v>15</v>
      </c>
      <c r="AA167" s="49" t="s">
        <v>94</v>
      </c>
      <c r="AB167" s="50" t="s">
        <v>41</v>
      </c>
    </row>
    <row r="168" spans="1:28" x14ac:dyDescent="0.4">
      <c r="A168" s="146"/>
      <c r="B168" s="149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46"/>
      <c r="B169" s="149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6"/>
      <c r="B170" s="149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6"/>
      <c r="B171" s="149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6"/>
      <c r="B172" s="149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6"/>
      <c r="B173" s="149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6"/>
      <c r="B174" s="149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6"/>
      <c r="B175" s="149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6"/>
      <c r="B176" s="149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7"/>
      <c r="B177" s="150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6</v>
      </c>
      <c r="K178" s="29">
        <f t="shared" ref="K178" si="24">SUM(K153:K177)</f>
        <v>6</v>
      </c>
      <c r="L178" s="29">
        <f t="shared" ref="L178" si="25">SUM(L153:L177)</f>
        <v>0</v>
      </c>
      <c r="M178" s="29">
        <f t="shared" ref="M178" si="26">SUM(M153:M177)</f>
        <v>4</v>
      </c>
      <c r="N178" s="29">
        <f t="shared" ref="N178" si="27">SUM(N153:N177)</f>
        <v>0</v>
      </c>
      <c r="O178" s="29">
        <f t="shared" ref="O178" si="28">SUM(O153:O177)</f>
        <v>5</v>
      </c>
      <c r="P178" s="29">
        <f t="shared" ref="P178" si="29">SUM(P153:P177)</f>
        <v>5</v>
      </c>
      <c r="Q178" s="29">
        <f t="shared" ref="Q178" si="30">SUM(Q153:Q177)</f>
        <v>9</v>
      </c>
      <c r="R178" s="29">
        <f t="shared" ref="R178" si="31">SUM(R153:R177)</f>
        <v>5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40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192</v>
      </c>
      <c r="B181" s="24">
        <v>45789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8" t="s">
        <v>114</v>
      </c>
      <c r="Y182" s="144"/>
    </row>
    <row r="183" spans="1:28" ht="20.25" thickTop="1" thickBot="1" x14ac:dyDescent="0.45">
      <c r="A183" s="145">
        <v>7</v>
      </c>
      <c r="B183" s="148">
        <v>21.2</v>
      </c>
      <c r="C183" s="85" t="s">
        <v>304</v>
      </c>
      <c r="D183" s="110" t="s">
        <v>305</v>
      </c>
      <c r="E183" s="18" t="s">
        <v>42</v>
      </c>
      <c r="F183" s="16"/>
      <c r="G183" s="18" t="s">
        <v>196</v>
      </c>
      <c r="H183" s="15" t="s">
        <v>147</v>
      </c>
      <c r="I183" s="15"/>
      <c r="J183" s="18"/>
      <c r="K183" s="15"/>
      <c r="L183" s="19"/>
      <c r="M183" s="19"/>
      <c r="N183" s="19"/>
      <c r="O183" s="19"/>
      <c r="P183" s="19"/>
      <c r="Q183" s="19"/>
      <c r="R183" s="19"/>
      <c r="S183" s="15"/>
      <c r="T183" s="25">
        <v>45830</v>
      </c>
      <c r="U183" s="15" t="s">
        <v>147</v>
      </c>
      <c r="V183">
        <v>1</v>
      </c>
      <c r="X183" s="51" t="s">
        <v>106</v>
      </c>
      <c r="Y183" s="52">
        <f>COUNTIF(U183:U207,"K")</f>
        <v>3</v>
      </c>
      <c r="AA183" s="59" t="s">
        <v>120</v>
      </c>
      <c r="AB183" s="60" t="s">
        <v>121</v>
      </c>
    </row>
    <row r="184" spans="1:28" x14ac:dyDescent="0.4">
      <c r="A184" s="146"/>
      <c r="B184" s="149"/>
      <c r="C184" s="85" t="s">
        <v>306</v>
      </c>
      <c r="D184" s="110" t="s">
        <v>305</v>
      </c>
      <c r="E184" s="15" t="s">
        <v>42</v>
      </c>
      <c r="F184" s="16"/>
      <c r="G184" s="18" t="s">
        <v>196</v>
      </c>
      <c r="H184" s="15" t="s">
        <v>147</v>
      </c>
      <c r="I184" s="15"/>
      <c r="J184" s="18"/>
      <c r="K184" s="15"/>
      <c r="L184" s="19"/>
      <c r="M184" s="19"/>
      <c r="N184" s="19"/>
      <c r="O184" s="19"/>
      <c r="P184" s="19"/>
      <c r="Q184" s="19"/>
      <c r="R184" s="19"/>
      <c r="S184" s="15"/>
      <c r="T184" s="25">
        <v>45830</v>
      </c>
      <c r="U184" s="15" t="s">
        <v>147</v>
      </c>
      <c r="V184">
        <v>2</v>
      </c>
      <c r="X184" s="51" t="s">
        <v>107</v>
      </c>
      <c r="Y184" s="52">
        <f>COUNTIF(U183:U207,"R")</f>
        <v>6</v>
      </c>
      <c r="AA184" s="47" t="s">
        <v>81</v>
      </c>
      <c r="AB184" s="48" t="s">
        <v>60</v>
      </c>
    </row>
    <row r="185" spans="1:28" ht="19.5" thickBot="1" x14ac:dyDescent="0.45">
      <c r="A185" s="146"/>
      <c r="B185" s="149"/>
      <c r="C185" s="85" t="s">
        <v>307</v>
      </c>
      <c r="D185" s="110" t="s">
        <v>305</v>
      </c>
      <c r="E185" s="15" t="s">
        <v>41</v>
      </c>
      <c r="F185" s="16"/>
      <c r="G185" s="18" t="s">
        <v>196</v>
      </c>
      <c r="H185" s="15" t="s">
        <v>147</v>
      </c>
      <c r="I185" s="15"/>
      <c r="J185" s="15"/>
      <c r="K185" s="15"/>
      <c r="L185" s="17"/>
      <c r="M185" s="17"/>
      <c r="N185" s="17">
        <v>1</v>
      </c>
      <c r="O185" s="17"/>
      <c r="P185" s="17"/>
      <c r="Q185" s="17">
        <v>1</v>
      </c>
      <c r="R185" s="17"/>
      <c r="S185" s="15"/>
      <c r="T185" s="25">
        <v>45830</v>
      </c>
      <c r="U185" s="15" t="s">
        <v>147</v>
      </c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46"/>
      <c r="B186" s="149"/>
      <c r="C186" s="85" t="s">
        <v>308</v>
      </c>
      <c r="D186" s="110" t="s">
        <v>204</v>
      </c>
      <c r="E186" s="15" t="s">
        <v>39</v>
      </c>
      <c r="F186" s="16"/>
      <c r="G186" s="18" t="s">
        <v>196</v>
      </c>
      <c r="H186" s="15" t="s">
        <v>243</v>
      </c>
      <c r="I186" s="15"/>
      <c r="J186" s="15"/>
      <c r="K186" s="15"/>
      <c r="L186" s="17"/>
      <c r="M186" s="17"/>
      <c r="N186" s="17"/>
      <c r="O186" s="17"/>
      <c r="P186" s="17"/>
      <c r="Q186" s="17"/>
      <c r="R186" s="17"/>
      <c r="S186" s="15"/>
      <c r="T186" s="25">
        <v>45826</v>
      </c>
      <c r="U186" s="25" t="s">
        <v>142</v>
      </c>
      <c r="V186">
        <v>4</v>
      </c>
      <c r="AA186" s="49" t="s">
        <v>83</v>
      </c>
      <c r="AB186" s="50" t="s">
        <v>38</v>
      </c>
    </row>
    <row r="187" spans="1:28" x14ac:dyDescent="0.4">
      <c r="A187" s="146"/>
      <c r="B187" s="149"/>
      <c r="C187" s="85" t="s">
        <v>309</v>
      </c>
      <c r="D187" s="106" t="s">
        <v>204</v>
      </c>
      <c r="E187" s="13" t="s">
        <v>59</v>
      </c>
      <c r="F187" s="16"/>
      <c r="G187" s="18" t="s">
        <v>196</v>
      </c>
      <c r="H187" s="15" t="s">
        <v>243</v>
      </c>
      <c r="I187" s="15"/>
      <c r="J187" s="15">
        <v>2</v>
      </c>
      <c r="K187" s="15"/>
      <c r="L187" s="17"/>
      <c r="M187" s="17"/>
      <c r="N187" s="17"/>
      <c r="O187" s="17"/>
      <c r="P187" s="17"/>
      <c r="Q187" s="17"/>
      <c r="R187" s="17"/>
      <c r="S187" s="15"/>
      <c r="T187" s="25">
        <v>45826</v>
      </c>
      <c r="U187" s="2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46"/>
      <c r="B188" s="149"/>
      <c r="C188" s="85" t="s">
        <v>310</v>
      </c>
      <c r="D188" s="106" t="s">
        <v>204</v>
      </c>
      <c r="E188" s="13" t="s">
        <v>59</v>
      </c>
      <c r="F188" s="16"/>
      <c r="G188" s="18" t="s">
        <v>196</v>
      </c>
      <c r="H188" s="13" t="s">
        <v>243</v>
      </c>
      <c r="I188" s="15"/>
      <c r="J188" s="15">
        <v>2</v>
      </c>
      <c r="K188" s="15"/>
      <c r="L188" s="17"/>
      <c r="M188" s="17"/>
      <c r="N188" s="17"/>
      <c r="O188" s="17"/>
      <c r="P188" s="17"/>
      <c r="Q188" s="17"/>
      <c r="R188" s="17"/>
      <c r="S188" s="15"/>
      <c r="T188" s="25">
        <v>45826</v>
      </c>
      <c r="U188" s="2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46"/>
      <c r="B189" s="149"/>
      <c r="C189" s="85" t="s">
        <v>311</v>
      </c>
      <c r="D189" s="106" t="s">
        <v>195</v>
      </c>
      <c r="E189" s="13" t="s">
        <v>37</v>
      </c>
      <c r="F189" s="16"/>
      <c r="G189" s="18" t="s">
        <v>196</v>
      </c>
      <c r="H189" s="15"/>
      <c r="I189" s="15"/>
      <c r="J189" s="15"/>
      <c r="K189" s="15"/>
      <c r="L189" s="17"/>
      <c r="M189" s="17">
        <v>1</v>
      </c>
      <c r="N189" s="17">
        <v>1</v>
      </c>
      <c r="O189" s="17"/>
      <c r="P189" s="17"/>
      <c r="Q189" s="17">
        <v>1</v>
      </c>
      <c r="R189" s="17"/>
      <c r="S189" s="15"/>
      <c r="T189" s="25">
        <v>45816</v>
      </c>
      <c r="U189" s="2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46"/>
      <c r="B190" s="149"/>
      <c r="C190" s="85" t="s">
        <v>312</v>
      </c>
      <c r="D190" s="106" t="s">
        <v>195</v>
      </c>
      <c r="E190" s="13" t="s">
        <v>75</v>
      </c>
      <c r="F190" s="16"/>
      <c r="G190" s="18" t="s">
        <v>196</v>
      </c>
      <c r="H190" s="15"/>
      <c r="I190" s="15"/>
      <c r="J190" s="15"/>
      <c r="K190" s="15"/>
      <c r="L190" s="17"/>
      <c r="M190" s="17"/>
      <c r="N190" s="17"/>
      <c r="O190" s="17"/>
      <c r="P190" s="17"/>
      <c r="Q190" s="17"/>
      <c r="R190" s="17"/>
      <c r="S190" s="15"/>
      <c r="T190" s="25">
        <v>45816</v>
      </c>
      <c r="U190" s="2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46"/>
      <c r="B191" s="149"/>
      <c r="C191" s="85" t="s">
        <v>313</v>
      </c>
      <c r="D191" s="106" t="s">
        <v>195</v>
      </c>
      <c r="E191" s="13" t="s">
        <v>37</v>
      </c>
      <c r="F191" s="16"/>
      <c r="G191" s="18" t="s">
        <v>196</v>
      </c>
      <c r="H191" s="15"/>
      <c r="I191" s="15"/>
      <c r="J191" s="15"/>
      <c r="K191" s="15"/>
      <c r="L191" s="17"/>
      <c r="M191" s="17"/>
      <c r="N191" s="17"/>
      <c r="O191" s="17"/>
      <c r="P191" s="17"/>
      <c r="Q191" s="17"/>
      <c r="R191" s="17"/>
      <c r="S191" s="15"/>
      <c r="T191" s="25">
        <v>45816</v>
      </c>
      <c r="U191" s="2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46"/>
      <c r="B192" s="149"/>
      <c r="C192" s="85"/>
      <c r="D192" s="106"/>
      <c r="E192" s="13"/>
      <c r="F192" s="16"/>
      <c r="G192" s="18"/>
      <c r="H192" s="15"/>
      <c r="I192" s="15"/>
      <c r="J192" s="15"/>
      <c r="K192" s="15"/>
      <c r="L192" s="17"/>
      <c r="M192" s="17"/>
      <c r="N192" s="17"/>
      <c r="O192" s="17"/>
      <c r="P192" s="17"/>
      <c r="Q192" s="17"/>
      <c r="R192" s="17"/>
      <c r="S192" s="15"/>
      <c r="T192" s="25"/>
      <c r="U192" s="15"/>
      <c r="V192">
        <v>10</v>
      </c>
      <c r="AA192" s="49" t="s">
        <v>89</v>
      </c>
      <c r="AB192" s="50" t="s">
        <v>36</v>
      </c>
    </row>
    <row r="193" spans="1:28" x14ac:dyDescent="0.4">
      <c r="A193" s="146"/>
      <c r="B193" s="149"/>
      <c r="C193" s="85"/>
      <c r="D193" s="106"/>
      <c r="E193" s="13"/>
      <c r="F193" s="16"/>
      <c r="G193" s="18"/>
      <c r="H193" s="15"/>
      <c r="I193" s="15"/>
      <c r="J193" s="15"/>
      <c r="K193" s="15"/>
      <c r="L193" s="17"/>
      <c r="M193" s="17"/>
      <c r="N193" s="17"/>
      <c r="O193" s="17"/>
      <c r="P193" s="17"/>
      <c r="Q193" s="17"/>
      <c r="R193" s="17"/>
      <c r="S193" s="15"/>
      <c r="T193" s="25"/>
      <c r="U193" s="15"/>
      <c r="V193">
        <v>11</v>
      </c>
      <c r="AA193" s="49" t="s">
        <v>90</v>
      </c>
      <c r="AB193" s="50" t="s">
        <v>58</v>
      </c>
    </row>
    <row r="194" spans="1:28" x14ac:dyDescent="0.4">
      <c r="A194" s="146"/>
      <c r="B194" s="149"/>
      <c r="C194" s="85"/>
      <c r="D194" s="106"/>
      <c r="E194" s="13"/>
      <c r="F194" s="16"/>
      <c r="G194" s="18"/>
      <c r="H194" s="15"/>
      <c r="I194" s="15"/>
      <c r="J194" s="15"/>
      <c r="K194" s="15"/>
      <c r="L194" s="17"/>
      <c r="M194" s="17"/>
      <c r="N194" s="17"/>
      <c r="O194" s="17"/>
      <c r="P194" s="17"/>
      <c r="Q194" s="17"/>
      <c r="R194" s="17"/>
      <c r="S194" s="15"/>
      <c r="T194" s="25"/>
      <c r="U194" s="15"/>
      <c r="V194">
        <v>12</v>
      </c>
      <c r="AA194" s="49" t="s">
        <v>91</v>
      </c>
      <c r="AB194" s="50" t="s">
        <v>75</v>
      </c>
    </row>
    <row r="195" spans="1:28" x14ac:dyDescent="0.4">
      <c r="A195" s="146"/>
      <c r="B195" s="149"/>
      <c r="C195" s="85"/>
      <c r="D195" s="106"/>
      <c r="E195" s="15"/>
      <c r="F195" s="16"/>
      <c r="G195" s="18"/>
      <c r="H195" s="15"/>
      <c r="I195" s="15"/>
      <c r="J195" s="15"/>
      <c r="K195" s="15"/>
      <c r="L195" s="17"/>
      <c r="M195" s="17"/>
      <c r="N195" s="17"/>
      <c r="O195" s="17"/>
      <c r="P195" s="17"/>
      <c r="Q195" s="17"/>
      <c r="R195" s="17"/>
      <c r="S195" s="15"/>
      <c r="T195" s="25"/>
      <c r="U195" s="15"/>
      <c r="V195">
        <v>13</v>
      </c>
      <c r="AA195" s="49" t="s">
        <v>92</v>
      </c>
      <c r="AB195" s="50" t="s">
        <v>40</v>
      </c>
    </row>
    <row r="196" spans="1:28" x14ac:dyDescent="0.4">
      <c r="A196" s="146"/>
      <c r="B196" s="149"/>
      <c r="C196" s="85"/>
      <c r="D196" s="106"/>
      <c r="E196" s="15"/>
      <c r="F196" s="16"/>
      <c r="G196" s="18"/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/>
      <c r="U196" s="15"/>
      <c r="V196">
        <v>14</v>
      </c>
      <c r="AA196" s="49" t="s">
        <v>93</v>
      </c>
      <c r="AB196" s="50" t="s">
        <v>57</v>
      </c>
    </row>
    <row r="197" spans="1:28" x14ac:dyDescent="0.4">
      <c r="A197" s="146"/>
      <c r="B197" s="149"/>
      <c r="C197" s="85"/>
      <c r="D197" s="106"/>
      <c r="E197" s="15"/>
      <c r="F197" s="16"/>
      <c r="G197" s="15"/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46"/>
      <c r="B198" s="149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46"/>
      <c r="B199" s="149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6"/>
      <c r="B200" s="149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6"/>
      <c r="B201" s="149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6"/>
      <c r="B202" s="149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6"/>
      <c r="B203" s="149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6"/>
      <c r="B204" s="149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6"/>
      <c r="B205" s="149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6"/>
      <c r="B206" s="149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7"/>
      <c r="B207" s="150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9</v>
      </c>
      <c r="D208" s="112"/>
      <c r="E208" s="29"/>
      <c r="F208" s="29" t="s">
        <v>34</v>
      </c>
      <c r="G208" s="29">
        <f>COUNTIF(G183:G207,"S")</f>
        <v>9</v>
      </c>
      <c r="H208" s="29">
        <f>COUNTIF(H183:H207,"E")</f>
        <v>3</v>
      </c>
      <c r="I208" s="29">
        <f>SUM(I183:I207)</f>
        <v>0</v>
      </c>
      <c r="J208" s="29">
        <f t="shared" ref="J208" si="33">SUM(J183:J207)</f>
        <v>4</v>
      </c>
      <c r="K208" s="29">
        <f t="shared" ref="K208" si="34">SUM(K183:K207)</f>
        <v>0</v>
      </c>
      <c r="L208" s="29">
        <f t="shared" ref="L208" si="35">SUM(L183:L207)</f>
        <v>0</v>
      </c>
      <c r="M208" s="29">
        <f t="shared" ref="M208" si="36">SUM(M183:M207)</f>
        <v>1</v>
      </c>
      <c r="N208" s="29">
        <f t="shared" ref="N208" si="37">SUM(N183:N207)</f>
        <v>2</v>
      </c>
      <c r="O208" s="29">
        <f t="shared" ref="O208" si="38">SUM(O183:O207)</f>
        <v>0</v>
      </c>
      <c r="P208" s="29">
        <f t="shared" ref="P208" si="39">SUM(P183:P207)</f>
        <v>0</v>
      </c>
      <c r="Q208" s="29">
        <f t="shared" ref="Q208" si="40">SUM(Q183:Q207)</f>
        <v>2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3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9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AYG109</v>
      </c>
      <c r="B211" s="24">
        <f>B1</f>
        <v>45789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8" t="s">
        <v>113</v>
      </c>
      <c r="Y212" s="144"/>
    </row>
    <row r="213" spans="1:28" ht="20.25" thickTop="1" thickBot="1" x14ac:dyDescent="0.45">
      <c r="A213" s="145">
        <v>8</v>
      </c>
      <c r="B213" s="148">
        <v>22</v>
      </c>
      <c r="C213" s="85" t="s">
        <v>314</v>
      </c>
      <c r="D213" s="106" t="s">
        <v>265</v>
      </c>
      <c r="E213" s="106" t="s">
        <v>38</v>
      </c>
      <c r="F213" s="14"/>
      <c r="G213" s="12" t="s">
        <v>196</v>
      </c>
      <c r="H213" s="13"/>
      <c r="I213" s="13"/>
      <c r="J213" s="13">
        <v>1</v>
      </c>
      <c r="K213" s="13">
        <v>1</v>
      </c>
      <c r="L213" s="13"/>
      <c r="M213" s="13"/>
      <c r="N213" s="13"/>
      <c r="O213" s="13"/>
      <c r="P213" s="13"/>
      <c r="Q213" s="13"/>
      <c r="R213" s="13"/>
      <c r="S213" s="13"/>
      <c r="T213" s="25">
        <v>45817</v>
      </c>
      <c r="U213" s="13" t="s">
        <v>146</v>
      </c>
      <c r="V213">
        <v>1</v>
      </c>
      <c r="X213" s="51" t="s">
        <v>106</v>
      </c>
      <c r="Y213" s="52">
        <f>COUNTIF(U213:U237,"K")</f>
        <v>12</v>
      </c>
      <c r="AA213" s="59" t="s">
        <v>120</v>
      </c>
      <c r="AB213" s="60" t="s">
        <v>121</v>
      </c>
    </row>
    <row r="214" spans="1:28" x14ac:dyDescent="0.4">
      <c r="A214" s="146"/>
      <c r="B214" s="149"/>
      <c r="C214" s="85" t="s">
        <v>315</v>
      </c>
      <c r="D214" s="106" t="s">
        <v>265</v>
      </c>
      <c r="E214" s="106" t="s">
        <v>40</v>
      </c>
      <c r="F214" s="16"/>
      <c r="G214" s="12" t="s">
        <v>196</v>
      </c>
      <c r="H214" s="15"/>
      <c r="I214" s="15"/>
      <c r="J214" s="13"/>
      <c r="K214" s="15"/>
      <c r="L214" s="13"/>
      <c r="M214" s="17"/>
      <c r="N214" s="17"/>
      <c r="O214" s="17">
        <v>1</v>
      </c>
      <c r="P214" s="17">
        <v>1</v>
      </c>
      <c r="Q214" s="17">
        <v>1</v>
      </c>
      <c r="R214" s="17"/>
      <c r="S214" s="15"/>
      <c r="T214" s="25">
        <v>45817</v>
      </c>
      <c r="U214" s="13" t="s">
        <v>148</v>
      </c>
      <c r="V214">
        <v>2</v>
      </c>
      <c r="X214" s="51" t="s">
        <v>107</v>
      </c>
      <c r="Y214" s="52">
        <f>COUNTIF(U213:U237,"R")</f>
        <v>3</v>
      </c>
      <c r="AA214" s="47" t="s">
        <v>81</v>
      </c>
      <c r="AB214" s="48" t="s">
        <v>60</v>
      </c>
    </row>
    <row r="215" spans="1:28" ht="19.5" thickBot="1" x14ac:dyDescent="0.45">
      <c r="A215" s="146"/>
      <c r="B215" s="149"/>
      <c r="C215" s="85" t="s">
        <v>316</v>
      </c>
      <c r="D215" s="106" t="s">
        <v>317</v>
      </c>
      <c r="E215" s="106" t="s">
        <v>36</v>
      </c>
      <c r="F215" s="16"/>
      <c r="G215" s="12" t="s">
        <v>196</v>
      </c>
      <c r="H215" s="13"/>
      <c r="I215" s="15"/>
      <c r="J215" s="13">
        <v>1</v>
      </c>
      <c r="K215" s="15">
        <v>1</v>
      </c>
      <c r="L215" s="13">
        <v>1</v>
      </c>
      <c r="M215" s="17"/>
      <c r="N215" s="17"/>
      <c r="O215" s="17"/>
      <c r="P215" s="17"/>
      <c r="Q215" s="17"/>
      <c r="R215" s="17"/>
      <c r="S215" s="15"/>
      <c r="T215" s="25">
        <v>45836</v>
      </c>
      <c r="U215" s="13" t="s">
        <v>146</v>
      </c>
      <c r="V215">
        <v>3</v>
      </c>
      <c r="X215" s="53" t="s">
        <v>108</v>
      </c>
      <c r="Y215" s="54">
        <f>COUNTIF(U213:U237,"J")</f>
        <v>2</v>
      </c>
      <c r="AA215" s="49" t="s">
        <v>82</v>
      </c>
      <c r="AB215" s="50" t="s">
        <v>39</v>
      </c>
    </row>
    <row r="216" spans="1:28" x14ac:dyDescent="0.4">
      <c r="A216" s="146"/>
      <c r="B216" s="149"/>
      <c r="C216" s="85" t="s">
        <v>318</v>
      </c>
      <c r="D216" s="106" t="s">
        <v>227</v>
      </c>
      <c r="E216" s="106" t="s">
        <v>36</v>
      </c>
      <c r="F216" s="16"/>
      <c r="G216" s="12" t="s">
        <v>196</v>
      </c>
      <c r="H216" s="15"/>
      <c r="I216" s="15"/>
      <c r="J216" s="13"/>
      <c r="K216" s="15"/>
      <c r="L216" s="13"/>
      <c r="M216" s="17">
        <v>1</v>
      </c>
      <c r="N216" s="17">
        <v>1</v>
      </c>
      <c r="O216" s="17"/>
      <c r="P216" s="17"/>
      <c r="Q216" s="17">
        <v>1</v>
      </c>
      <c r="R216" s="17"/>
      <c r="S216" s="15"/>
      <c r="T216" s="25">
        <v>45809</v>
      </c>
      <c r="U216" s="13" t="s">
        <v>147</v>
      </c>
      <c r="V216">
        <v>4</v>
      </c>
      <c r="AA216" s="49" t="s">
        <v>83</v>
      </c>
      <c r="AB216" s="50" t="s">
        <v>38</v>
      </c>
    </row>
    <row r="217" spans="1:28" x14ac:dyDescent="0.4">
      <c r="A217" s="146"/>
      <c r="B217" s="149"/>
      <c r="C217" s="85" t="s">
        <v>319</v>
      </c>
      <c r="D217" s="106" t="s">
        <v>227</v>
      </c>
      <c r="E217" s="106" t="s">
        <v>40</v>
      </c>
      <c r="F217" s="16"/>
      <c r="G217" s="12" t="s">
        <v>196</v>
      </c>
      <c r="H217" s="15"/>
      <c r="I217" s="15"/>
      <c r="J217" s="13"/>
      <c r="K217" s="15"/>
      <c r="L217" s="13"/>
      <c r="M217" s="17"/>
      <c r="N217" s="17"/>
      <c r="O217" s="17">
        <v>1</v>
      </c>
      <c r="P217" s="17">
        <v>1</v>
      </c>
      <c r="Q217" s="17"/>
      <c r="R217" s="17"/>
      <c r="S217" s="15"/>
      <c r="T217" s="25">
        <v>45809</v>
      </c>
      <c r="U217" s="13" t="s">
        <v>148</v>
      </c>
      <c r="V217">
        <v>5</v>
      </c>
      <c r="AA217" s="49" t="s">
        <v>84</v>
      </c>
      <c r="AB217" s="50" t="s">
        <v>44</v>
      </c>
    </row>
    <row r="218" spans="1:28" x14ac:dyDescent="0.4">
      <c r="A218" s="146"/>
      <c r="B218" s="149"/>
      <c r="C218" s="85" t="s">
        <v>320</v>
      </c>
      <c r="D218" s="106" t="s">
        <v>195</v>
      </c>
      <c r="E218" s="106" t="s">
        <v>37</v>
      </c>
      <c r="F218" s="16"/>
      <c r="G218" s="12" t="s">
        <v>196</v>
      </c>
      <c r="H218" s="13"/>
      <c r="I218" s="15"/>
      <c r="J218" s="13">
        <v>1</v>
      </c>
      <c r="K218" s="15">
        <v>1</v>
      </c>
      <c r="L218" s="13"/>
      <c r="M218" s="17"/>
      <c r="N218" s="17"/>
      <c r="O218" s="17"/>
      <c r="P218" s="17"/>
      <c r="Q218" s="17"/>
      <c r="R218" s="17"/>
      <c r="S218" s="15"/>
      <c r="T218" s="25">
        <v>45807</v>
      </c>
      <c r="U218" s="13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46"/>
      <c r="B219" s="149"/>
      <c r="C219" s="85" t="s">
        <v>321</v>
      </c>
      <c r="D219" s="106" t="s">
        <v>227</v>
      </c>
      <c r="E219" s="106" t="s">
        <v>37</v>
      </c>
      <c r="F219" s="16"/>
      <c r="G219" s="12" t="s">
        <v>196</v>
      </c>
      <c r="H219" s="15"/>
      <c r="I219" s="15"/>
      <c r="J219" s="13"/>
      <c r="K219" s="15"/>
      <c r="L219" s="13"/>
      <c r="M219" s="17">
        <v>1</v>
      </c>
      <c r="N219" s="17">
        <v>1</v>
      </c>
      <c r="O219" s="17"/>
      <c r="P219" s="17"/>
      <c r="Q219" s="17">
        <v>1</v>
      </c>
      <c r="R219" s="17"/>
      <c r="S219" s="15"/>
      <c r="T219" s="25">
        <v>45810</v>
      </c>
      <c r="U219" s="13" t="s">
        <v>147</v>
      </c>
      <c r="V219">
        <v>7</v>
      </c>
      <c r="AA219" s="49" t="s">
        <v>86</v>
      </c>
      <c r="AB219" s="50" t="s">
        <v>45</v>
      </c>
    </row>
    <row r="220" spans="1:28" x14ac:dyDescent="0.4">
      <c r="A220" s="146"/>
      <c r="B220" s="149"/>
      <c r="C220" s="85" t="s">
        <v>322</v>
      </c>
      <c r="D220" s="106" t="s">
        <v>250</v>
      </c>
      <c r="E220" s="106" t="s">
        <v>38</v>
      </c>
      <c r="F220" s="16"/>
      <c r="G220" s="12" t="s">
        <v>196</v>
      </c>
      <c r="H220" s="15"/>
      <c r="I220" s="15"/>
      <c r="J220" s="13"/>
      <c r="K220" s="15">
        <v>1</v>
      </c>
      <c r="L220" s="13"/>
      <c r="M220" s="17"/>
      <c r="N220" s="17"/>
      <c r="O220" s="17"/>
      <c r="P220" s="17"/>
      <c r="Q220" s="17"/>
      <c r="R220" s="17"/>
      <c r="S220" s="15"/>
      <c r="T220" s="25">
        <v>45812</v>
      </c>
      <c r="U220" s="13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46"/>
      <c r="B221" s="149"/>
      <c r="C221" s="85" t="s">
        <v>323</v>
      </c>
      <c r="D221" s="106" t="s">
        <v>324</v>
      </c>
      <c r="E221" s="106" t="s">
        <v>41</v>
      </c>
      <c r="F221" s="16"/>
      <c r="G221" s="12" t="s">
        <v>196</v>
      </c>
      <c r="H221" s="15"/>
      <c r="I221" s="15"/>
      <c r="J221" s="13">
        <v>1</v>
      </c>
      <c r="K221" s="15"/>
      <c r="L221" s="13"/>
      <c r="M221" s="17"/>
      <c r="N221" s="17"/>
      <c r="O221" s="17"/>
      <c r="P221" s="17"/>
      <c r="Q221" s="17"/>
      <c r="R221" s="17"/>
      <c r="S221" s="15"/>
      <c r="T221" s="25">
        <v>45825</v>
      </c>
      <c r="U221" s="13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46"/>
      <c r="B222" s="149"/>
      <c r="C222" s="85" t="s">
        <v>325</v>
      </c>
      <c r="D222" s="106" t="s">
        <v>324</v>
      </c>
      <c r="E222" s="106" t="s">
        <v>42</v>
      </c>
      <c r="F222" s="106"/>
      <c r="G222" s="12" t="s">
        <v>196</v>
      </c>
      <c r="H222" s="15"/>
      <c r="I222" s="15"/>
      <c r="J222" s="13"/>
      <c r="K222" s="15"/>
      <c r="L222" s="13"/>
      <c r="M222" s="17"/>
      <c r="N222" s="17"/>
      <c r="O222" s="17"/>
      <c r="P222" s="17"/>
      <c r="Q222" s="17"/>
      <c r="R222" s="17"/>
      <c r="S222" s="15"/>
      <c r="T222" s="25">
        <v>45825</v>
      </c>
      <c r="U222" s="13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46"/>
      <c r="B223" s="149"/>
      <c r="C223" s="85" t="s">
        <v>326</v>
      </c>
      <c r="D223" s="106" t="s">
        <v>327</v>
      </c>
      <c r="E223" s="106" t="s">
        <v>41</v>
      </c>
      <c r="F223" s="16"/>
      <c r="G223" s="12" t="s">
        <v>196</v>
      </c>
      <c r="H223" s="15"/>
      <c r="I223" s="15"/>
      <c r="J223" s="15"/>
      <c r="K223" s="15"/>
      <c r="L223" s="17"/>
      <c r="M223" s="17"/>
      <c r="N223" s="17">
        <v>1</v>
      </c>
      <c r="O223" s="17"/>
      <c r="P223" s="17"/>
      <c r="Q223" s="17"/>
      <c r="R223" s="17"/>
      <c r="S223" s="15"/>
      <c r="T223" s="25">
        <v>45834</v>
      </c>
      <c r="U223" s="13" t="s">
        <v>147</v>
      </c>
      <c r="V223">
        <v>11</v>
      </c>
      <c r="AA223" s="49" t="s">
        <v>90</v>
      </c>
      <c r="AB223" s="50" t="s">
        <v>58</v>
      </c>
    </row>
    <row r="224" spans="1:28" x14ac:dyDescent="0.4">
      <c r="A224" s="146"/>
      <c r="B224" s="149"/>
      <c r="C224" s="85" t="s">
        <v>329</v>
      </c>
      <c r="D224" s="106" t="s">
        <v>328</v>
      </c>
      <c r="E224" s="106" t="s">
        <v>39</v>
      </c>
      <c r="F224" s="16"/>
      <c r="G224" s="12" t="s">
        <v>196</v>
      </c>
      <c r="H224" s="15"/>
      <c r="I224" s="15"/>
      <c r="J224" s="15">
        <v>1</v>
      </c>
      <c r="K224" s="15">
        <v>1</v>
      </c>
      <c r="L224" s="17"/>
      <c r="M224" s="17"/>
      <c r="N224" s="17"/>
      <c r="O224" s="17"/>
      <c r="P224" s="17"/>
      <c r="Q224" s="17"/>
      <c r="R224" s="17"/>
      <c r="S224" s="15"/>
      <c r="T224" s="25">
        <v>45827</v>
      </c>
      <c r="U224" s="13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46"/>
      <c r="B225" s="149"/>
      <c r="C225" s="85" t="s">
        <v>330</v>
      </c>
      <c r="D225" s="106" t="s">
        <v>331</v>
      </c>
      <c r="E225" s="106" t="s">
        <v>36</v>
      </c>
      <c r="F225" s="16"/>
      <c r="G225" s="12" t="s">
        <v>196</v>
      </c>
      <c r="H225" s="15"/>
      <c r="I225" s="15"/>
      <c r="J225" s="15">
        <v>1</v>
      </c>
      <c r="K225" s="15">
        <v>1</v>
      </c>
      <c r="L225" s="17"/>
      <c r="M225" s="17"/>
      <c r="N225" s="17"/>
      <c r="O225" s="17"/>
      <c r="P225" s="17"/>
      <c r="Q225" s="17"/>
      <c r="R225" s="17"/>
      <c r="S225" s="15"/>
      <c r="T225" s="25">
        <v>45811</v>
      </c>
      <c r="U225" s="13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46"/>
      <c r="B226" s="149"/>
      <c r="C226" s="85" t="s">
        <v>332</v>
      </c>
      <c r="D226" s="106" t="s">
        <v>331</v>
      </c>
      <c r="E226" s="106" t="s">
        <v>60</v>
      </c>
      <c r="F226" s="16"/>
      <c r="G226" s="12" t="s">
        <v>196</v>
      </c>
      <c r="H226" s="15"/>
      <c r="I226" s="15"/>
      <c r="J226" s="15">
        <v>1</v>
      </c>
      <c r="K226" s="15">
        <v>1</v>
      </c>
      <c r="L226" s="17">
        <v>1</v>
      </c>
      <c r="M226" s="17"/>
      <c r="N226" s="17"/>
      <c r="O226" s="17"/>
      <c r="P226" s="17"/>
      <c r="Q226" s="17"/>
      <c r="R226" s="17"/>
      <c r="S226" s="15"/>
      <c r="T226" s="25">
        <v>45829</v>
      </c>
      <c r="U226" s="13" t="s">
        <v>146</v>
      </c>
      <c r="V226">
        <v>14</v>
      </c>
      <c r="AA226" s="49" t="s">
        <v>93</v>
      </c>
      <c r="AB226" s="50" t="s">
        <v>57</v>
      </c>
    </row>
    <row r="227" spans="1:28" x14ac:dyDescent="0.4">
      <c r="A227" s="146"/>
      <c r="B227" s="149"/>
      <c r="C227" s="85" t="s">
        <v>333</v>
      </c>
      <c r="D227" s="106" t="s">
        <v>331</v>
      </c>
      <c r="E227" s="106" t="s">
        <v>38</v>
      </c>
      <c r="F227" s="16"/>
      <c r="G227" s="12" t="s">
        <v>196</v>
      </c>
      <c r="H227" s="15"/>
      <c r="I227" s="15"/>
      <c r="J227" s="15">
        <v>1</v>
      </c>
      <c r="K227" s="15">
        <v>1</v>
      </c>
      <c r="L227" s="17"/>
      <c r="M227" s="17"/>
      <c r="N227" s="17"/>
      <c r="O227" s="17"/>
      <c r="P227" s="17"/>
      <c r="Q227" s="17"/>
      <c r="R227" s="17"/>
      <c r="S227" s="15"/>
      <c r="T227" s="25">
        <v>45829</v>
      </c>
      <c r="U227" s="13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46"/>
      <c r="B228" s="149"/>
      <c r="C228" s="85" t="s">
        <v>334</v>
      </c>
      <c r="D228" s="106" t="s">
        <v>331</v>
      </c>
      <c r="E228" s="106" t="s">
        <v>74</v>
      </c>
      <c r="F228" s="16"/>
      <c r="G228" s="12" t="s">
        <v>196</v>
      </c>
      <c r="H228" s="15"/>
      <c r="I228" s="15"/>
      <c r="J228" s="18">
        <v>1</v>
      </c>
      <c r="K228" s="15">
        <v>1</v>
      </c>
      <c r="L228" s="19"/>
      <c r="M228" s="19"/>
      <c r="N228" s="19"/>
      <c r="O228" s="19"/>
      <c r="P228" s="19"/>
      <c r="Q228" s="19"/>
      <c r="R228" s="19"/>
      <c r="S228" s="15"/>
      <c r="T228" s="25">
        <v>45829</v>
      </c>
      <c r="U228" s="13" t="s">
        <v>146</v>
      </c>
      <c r="V228">
        <v>16</v>
      </c>
      <c r="AA228" s="49" t="s">
        <v>95</v>
      </c>
      <c r="AB228" s="50" t="s">
        <v>42</v>
      </c>
    </row>
    <row r="229" spans="1:28" x14ac:dyDescent="0.4">
      <c r="A229" s="146"/>
      <c r="B229" s="149"/>
      <c r="C229" s="85" t="s">
        <v>335</v>
      </c>
      <c r="D229" s="106" t="s">
        <v>331</v>
      </c>
      <c r="E229" s="106" t="s">
        <v>74</v>
      </c>
      <c r="F229" s="16"/>
      <c r="G229" s="12" t="s">
        <v>196</v>
      </c>
      <c r="H229" s="15"/>
      <c r="I229" s="15"/>
      <c r="J229" s="18">
        <v>1</v>
      </c>
      <c r="K229" s="15">
        <v>1</v>
      </c>
      <c r="L229" s="19"/>
      <c r="M229" s="19"/>
      <c r="N229" s="19"/>
      <c r="O229" s="19"/>
      <c r="P229" s="19"/>
      <c r="Q229" s="19"/>
      <c r="R229" s="19"/>
      <c r="S229" s="15"/>
      <c r="T229" s="25">
        <v>45829</v>
      </c>
      <c r="U229" s="13" t="s">
        <v>146</v>
      </c>
      <c r="V229">
        <v>17</v>
      </c>
      <c r="AA229" s="49" t="s">
        <v>96</v>
      </c>
      <c r="AB229" s="50" t="s">
        <v>61</v>
      </c>
    </row>
    <row r="230" spans="1:28" x14ac:dyDescent="0.4">
      <c r="A230" s="146"/>
      <c r="B230" s="149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6"/>
      <c r="B231" s="149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6"/>
      <c r="B232" s="149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6"/>
      <c r="B233" s="149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6"/>
      <c r="B234" s="149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6"/>
      <c r="B235" s="149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6"/>
      <c r="B236" s="149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7"/>
      <c r="B237" s="150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17</v>
      </c>
      <c r="D238" s="112"/>
      <c r="E238" s="29"/>
      <c r="F238" s="29" t="s">
        <v>34</v>
      </c>
      <c r="G238" s="29">
        <f>COUNTIF(G213:G237,"S")</f>
        <v>17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10</v>
      </c>
      <c r="K238" s="29">
        <f t="shared" ref="K238" si="44">SUM(K213:K237)</f>
        <v>10</v>
      </c>
      <c r="L238" s="29">
        <f t="shared" ref="L238" si="45">SUM(L213:L237)</f>
        <v>2</v>
      </c>
      <c r="M238" s="29">
        <f t="shared" ref="M238" si="46">SUM(M213:M237)</f>
        <v>2</v>
      </c>
      <c r="N238" s="29">
        <f t="shared" ref="N238" si="47">SUM(N213:N237)</f>
        <v>3</v>
      </c>
      <c r="O238" s="29">
        <f t="shared" ref="O238" si="48">SUM(O213:O237)</f>
        <v>2</v>
      </c>
      <c r="P238" s="29">
        <f t="shared" ref="P238" si="49">SUM(P213:P237)</f>
        <v>2</v>
      </c>
      <c r="Q238" s="29">
        <f t="shared" ref="Q238" si="50">SUM(Q213:Q237)</f>
        <v>3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34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AYG109</v>
      </c>
      <c r="B241" s="24">
        <f>B1</f>
        <v>45789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5" t="s">
        <v>112</v>
      </c>
      <c r="Y242" s="155"/>
    </row>
    <row r="243" spans="1:28" ht="20.25" thickTop="1" thickBot="1" x14ac:dyDescent="0.45">
      <c r="A243" s="145">
        <v>9</v>
      </c>
      <c r="B243" s="148">
        <v>21</v>
      </c>
      <c r="C243" s="85" t="s">
        <v>336</v>
      </c>
      <c r="D243" s="109" t="s">
        <v>195</v>
      </c>
      <c r="E243" s="13" t="s">
        <v>38</v>
      </c>
      <c r="F243" s="14"/>
      <c r="G243" s="12" t="s">
        <v>196</v>
      </c>
      <c r="H243" s="13"/>
      <c r="I243" s="13"/>
      <c r="J243" s="13">
        <v>1</v>
      </c>
      <c r="K243" s="13">
        <v>1</v>
      </c>
      <c r="L243" s="13"/>
      <c r="M243" s="13"/>
      <c r="N243" s="13"/>
      <c r="O243" s="13"/>
      <c r="P243" s="13"/>
      <c r="Q243" s="13"/>
      <c r="R243" s="13"/>
      <c r="S243" s="13"/>
      <c r="T243" s="26">
        <v>45805</v>
      </c>
      <c r="U243" s="13" t="s">
        <v>146</v>
      </c>
      <c r="V243">
        <v>1</v>
      </c>
      <c r="X243" t="s">
        <v>106</v>
      </c>
      <c r="Y243">
        <f>COUNTIF(U243:U267,"K")</f>
        <v>11</v>
      </c>
      <c r="AA243" s="59" t="s">
        <v>120</v>
      </c>
      <c r="AB243" s="60" t="s">
        <v>121</v>
      </c>
    </row>
    <row r="244" spans="1:28" x14ac:dyDescent="0.4">
      <c r="A244" s="146"/>
      <c r="B244" s="149"/>
      <c r="C244" s="85" t="s">
        <v>337</v>
      </c>
      <c r="D244" s="109" t="s">
        <v>250</v>
      </c>
      <c r="E244" s="13" t="s">
        <v>38</v>
      </c>
      <c r="F244" s="16"/>
      <c r="G244" s="12" t="s">
        <v>196</v>
      </c>
      <c r="H244" s="15"/>
      <c r="I244" s="15"/>
      <c r="J244" s="15"/>
      <c r="K244" s="15">
        <v>1</v>
      </c>
      <c r="L244" s="17"/>
      <c r="M244" s="17"/>
      <c r="N244" s="17"/>
      <c r="O244" s="17"/>
      <c r="P244" s="17"/>
      <c r="Q244" s="17"/>
      <c r="R244" s="17"/>
      <c r="S244" s="15"/>
      <c r="T244" s="26">
        <v>45823</v>
      </c>
      <c r="U244" s="13" t="s">
        <v>146</v>
      </c>
      <c r="V244">
        <v>2</v>
      </c>
      <c r="X244" t="s">
        <v>107</v>
      </c>
      <c r="Y244">
        <f>COUNTIF(U243:U267,"R")</f>
        <v>8</v>
      </c>
      <c r="AA244" s="47" t="s">
        <v>81</v>
      </c>
      <c r="AB244" s="48" t="s">
        <v>60</v>
      </c>
    </row>
    <row r="245" spans="1:28" x14ac:dyDescent="0.4">
      <c r="A245" s="146"/>
      <c r="B245" s="149"/>
      <c r="C245" s="85" t="s">
        <v>338</v>
      </c>
      <c r="D245" s="109" t="s">
        <v>339</v>
      </c>
      <c r="E245" s="13" t="s">
        <v>44</v>
      </c>
      <c r="F245" s="16"/>
      <c r="G245" s="12" t="s">
        <v>196</v>
      </c>
      <c r="H245" s="15"/>
      <c r="I245" s="15"/>
      <c r="J245" s="15">
        <v>1</v>
      </c>
      <c r="K245" s="15">
        <v>1</v>
      </c>
      <c r="L245" s="17"/>
      <c r="M245" s="17"/>
      <c r="N245" s="17"/>
      <c r="O245" s="17"/>
      <c r="P245" s="17"/>
      <c r="Q245" s="17"/>
      <c r="R245" s="17"/>
      <c r="S245" s="15"/>
      <c r="T245" s="26">
        <v>45826</v>
      </c>
      <c r="U245" s="13" t="s">
        <v>146</v>
      </c>
      <c r="V245">
        <v>3</v>
      </c>
      <c r="X245" t="s">
        <v>108</v>
      </c>
      <c r="Y245">
        <f>COUNTIF(U243:U267,"J")</f>
        <v>1</v>
      </c>
      <c r="AA245" s="49" t="s">
        <v>82</v>
      </c>
      <c r="AB245" s="50" t="s">
        <v>39</v>
      </c>
    </row>
    <row r="246" spans="1:28" x14ac:dyDescent="0.4">
      <c r="A246" s="146"/>
      <c r="B246" s="149"/>
      <c r="C246" s="85" t="s">
        <v>340</v>
      </c>
      <c r="D246" s="109" t="s">
        <v>195</v>
      </c>
      <c r="E246" s="13" t="s">
        <v>74</v>
      </c>
      <c r="F246" s="16"/>
      <c r="G246" s="12" t="s">
        <v>196</v>
      </c>
      <c r="H246" s="15"/>
      <c r="I246" s="15"/>
      <c r="J246" s="15">
        <v>1</v>
      </c>
      <c r="K246" s="15">
        <v>1</v>
      </c>
      <c r="L246" s="17"/>
      <c r="M246" s="17"/>
      <c r="N246" s="17"/>
      <c r="O246" s="17"/>
      <c r="P246" s="17"/>
      <c r="Q246" s="17"/>
      <c r="R246" s="17"/>
      <c r="S246" s="15"/>
      <c r="T246" s="26">
        <v>45819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46"/>
      <c r="B247" s="149"/>
      <c r="C247" s="85" t="s">
        <v>341</v>
      </c>
      <c r="D247" s="109" t="s">
        <v>260</v>
      </c>
      <c r="E247" s="13" t="s">
        <v>40</v>
      </c>
      <c r="F247" s="16"/>
      <c r="G247" s="12" t="s">
        <v>196</v>
      </c>
      <c r="H247" s="15"/>
      <c r="I247" s="15"/>
      <c r="J247" s="15"/>
      <c r="K247" s="15"/>
      <c r="L247" s="17"/>
      <c r="M247" s="17"/>
      <c r="N247" s="17"/>
      <c r="O247" s="17">
        <v>1</v>
      </c>
      <c r="P247" s="17">
        <v>1</v>
      </c>
      <c r="Q247" s="17"/>
      <c r="R247" s="17"/>
      <c r="S247" s="15"/>
      <c r="T247" s="26">
        <v>45821</v>
      </c>
      <c r="U247" s="13" t="s">
        <v>148</v>
      </c>
      <c r="V247">
        <v>5</v>
      </c>
      <c r="AA247" s="49" t="s">
        <v>84</v>
      </c>
      <c r="AB247" s="50" t="s">
        <v>44</v>
      </c>
    </row>
    <row r="248" spans="1:28" x14ac:dyDescent="0.4">
      <c r="A248" s="146"/>
      <c r="B248" s="149"/>
      <c r="C248" s="85" t="s">
        <v>343</v>
      </c>
      <c r="D248" s="109" t="s">
        <v>342</v>
      </c>
      <c r="E248" s="13" t="s">
        <v>37</v>
      </c>
      <c r="F248" s="16"/>
      <c r="G248" s="12" t="s">
        <v>196</v>
      </c>
      <c r="H248" s="13"/>
      <c r="I248" s="15"/>
      <c r="J248" s="15"/>
      <c r="K248" s="15"/>
      <c r="L248" s="17"/>
      <c r="M248" s="17">
        <v>1</v>
      </c>
      <c r="N248" s="17">
        <v>1</v>
      </c>
      <c r="O248" s="17"/>
      <c r="P248" s="17"/>
      <c r="Q248" s="17">
        <v>1</v>
      </c>
      <c r="R248" s="17"/>
      <c r="S248" s="15"/>
      <c r="T248" s="26">
        <v>45816</v>
      </c>
      <c r="U248" s="1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46"/>
      <c r="B249" s="149"/>
      <c r="C249" s="85" t="s">
        <v>344</v>
      </c>
      <c r="D249" s="109" t="s">
        <v>195</v>
      </c>
      <c r="E249" s="13" t="s">
        <v>36</v>
      </c>
      <c r="F249" s="16"/>
      <c r="G249" s="12" t="s">
        <v>196</v>
      </c>
      <c r="H249" s="15"/>
      <c r="I249" s="15"/>
      <c r="J249" s="15">
        <v>1</v>
      </c>
      <c r="K249" s="15">
        <v>1</v>
      </c>
      <c r="L249" s="17"/>
      <c r="M249" s="17"/>
      <c r="N249" s="17"/>
      <c r="O249" s="17"/>
      <c r="P249" s="17"/>
      <c r="Q249" s="17"/>
      <c r="R249" s="17"/>
      <c r="S249" s="15"/>
      <c r="T249" s="26">
        <v>45821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46"/>
      <c r="B250" s="149"/>
      <c r="C250" s="85" t="s">
        <v>346</v>
      </c>
      <c r="D250" s="109" t="s">
        <v>345</v>
      </c>
      <c r="E250" s="13" t="s">
        <v>75</v>
      </c>
      <c r="F250" s="16"/>
      <c r="G250" s="12" t="s">
        <v>196</v>
      </c>
      <c r="H250" s="15"/>
      <c r="I250" s="15"/>
      <c r="J250" s="15"/>
      <c r="K250" s="15"/>
      <c r="L250" s="17"/>
      <c r="M250" s="17"/>
      <c r="N250" s="17"/>
      <c r="O250" s="17"/>
      <c r="P250" s="17"/>
      <c r="Q250" s="17"/>
      <c r="R250" s="17"/>
      <c r="S250" s="15"/>
      <c r="T250" s="26">
        <v>45823</v>
      </c>
      <c r="U250" s="13" t="s">
        <v>147</v>
      </c>
      <c r="V250">
        <v>8</v>
      </c>
      <c r="AA250" s="49" t="s">
        <v>87</v>
      </c>
      <c r="AB250" s="50" t="s">
        <v>37</v>
      </c>
    </row>
    <row r="251" spans="1:28" x14ac:dyDescent="0.4">
      <c r="A251" s="146"/>
      <c r="B251" s="149"/>
      <c r="C251" s="85" t="s">
        <v>347</v>
      </c>
      <c r="D251" s="109" t="s">
        <v>345</v>
      </c>
      <c r="E251" s="13" t="s">
        <v>75</v>
      </c>
      <c r="F251" s="16"/>
      <c r="G251" s="12" t="s">
        <v>196</v>
      </c>
      <c r="H251" s="15"/>
      <c r="I251" s="15"/>
      <c r="J251" s="15"/>
      <c r="K251" s="15"/>
      <c r="L251" s="17"/>
      <c r="M251" s="17"/>
      <c r="N251" s="17"/>
      <c r="O251" s="17"/>
      <c r="P251" s="17"/>
      <c r="Q251" s="17"/>
      <c r="R251" s="17"/>
      <c r="S251" s="15"/>
      <c r="T251" s="26">
        <v>45823</v>
      </c>
      <c r="U251" s="13" t="s">
        <v>147</v>
      </c>
      <c r="V251">
        <v>9</v>
      </c>
      <c r="AA251" s="49" t="s">
        <v>88</v>
      </c>
      <c r="AB251" s="50" t="s">
        <v>74</v>
      </c>
    </row>
    <row r="252" spans="1:28" x14ac:dyDescent="0.4">
      <c r="A252" s="146"/>
      <c r="B252" s="149"/>
      <c r="C252" s="85" t="s">
        <v>348</v>
      </c>
      <c r="D252" s="109" t="s">
        <v>339</v>
      </c>
      <c r="E252" s="13" t="s">
        <v>36</v>
      </c>
      <c r="F252" s="16"/>
      <c r="G252" s="12" t="s">
        <v>196</v>
      </c>
      <c r="H252" s="15"/>
      <c r="I252" s="15"/>
      <c r="J252" s="15">
        <v>1</v>
      </c>
      <c r="K252" s="15">
        <v>1</v>
      </c>
      <c r="L252" s="17"/>
      <c r="M252" s="17"/>
      <c r="N252" s="17"/>
      <c r="O252" s="17"/>
      <c r="P252" s="17"/>
      <c r="Q252" s="17"/>
      <c r="R252" s="17"/>
      <c r="S252" s="15"/>
      <c r="T252" s="26">
        <v>45829</v>
      </c>
      <c r="U252" s="13" t="s">
        <v>146</v>
      </c>
      <c r="V252">
        <v>10</v>
      </c>
      <c r="AA252" s="49" t="s">
        <v>89</v>
      </c>
      <c r="AB252" s="50" t="s">
        <v>36</v>
      </c>
    </row>
    <row r="253" spans="1:28" x14ac:dyDescent="0.4">
      <c r="A253" s="146"/>
      <c r="B253" s="149"/>
      <c r="C253" s="85" t="s">
        <v>349</v>
      </c>
      <c r="D253" s="109" t="s">
        <v>234</v>
      </c>
      <c r="E253" s="13" t="s">
        <v>36</v>
      </c>
      <c r="F253" s="16"/>
      <c r="G253" s="12" t="s">
        <v>196</v>
      </c>
      <c r="H253" s="15"/>
      <c r="I253" s="15"/>
      <c r="J253" s="15">
        <v>1</v>
      </c>
      <c r="K253" s="15">
        <v>1</v>
      </c>
      <c r="L253" s="17"/>
      <c r="M253" s="17"/>
      <c r="N253" s="17"/>
      <c r="O253" s="17"/>
      <c r="P253" s="17"/>
      <c r="Q253" s="17"/>
      <c r="R253" s="17"/>
      <c r="S253" s="15"/>
      <c r="T253" s="26">
        <v>45829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46"/>
      <c r="B254" s="149"/>
      <c r="C254" s="85" t="s">
        <v>350</v>
      </c>
      <c r="D254" s="109" t="s">
        <v>234</v>
      </c>
      <c r="E254" s="13" t="s">
        <v>44</v>
      </c>
      <c r="F254" s="16"/>
      <c r="G254" s="12" t="s">
        <v>196</v>
      </c>
      <c r="H254" s="15"/>
      <c r="I254" s="15"/>
      <c r="J254" s="15"/>
      <c r="K254" s="15"/>
      <c r="L254" s="17"/>
      <c r="M254" s="17">
        <v>1</v>
      </c>
      <c r="N254" s="17">
        <v>1</v>
      </c>
      <c r="O254" s="17"/>
      <c r="P254" s="17"/>
      <c r="Q254" s="17">
        <v>1</v>
      </c>
      <c r="R254" s="17"/>
      <c r="S254" s="15"/>
      <c r="T254" s="26">
        <v>45829</v>
      </c>
      <c r="U254" s="13" t="s">
        <v>147</v>
      </c>
      <c r="V254">
        <v>12</v>
      </c>
      <c r="AA254" s="49" t="s">
        <v>91</v>
      </c>
      <c r="AB254" s="50" t="s">
        <v>75</v>
      </c>
    </row>
    <row r="255" spans="1:28" x14ac:dyDescent="0.4">
      <c r="A255" s="146"/>
      <c r="B255" s="149"/>
      <c r="C255" s="85" t="s">
        <v>351</v>
      </c>
      <c r="D255" s="109" t="s">
        <v>339</v>
      </c>
      <c r="E255" s="13" t="s">
        <v>36</v>
      </c>
      <c r="F255" s="16"/>
      <c r="G255" s="12" t="s">
        <v>196</v>
      </c>
      <c r="H255" s="15"/>
      <c r="I255" s="15"/>
      <c r="J255" s="15">
        <v>1</v>
      </c>
      <c r="K255" s="15">
        <v>1</v>
      </c>
      <c r="L255" s="17"/>
      <c r="M255" s="17"/>
      <c r="N255" s="17"/>
      <c r="O255" s="17"/>
      <c r="P255" s="17"/>
      <c r="Q255" s="17"/>
      <c r="R255" s="17"/>
      <c r="S255" s="15"/>
      <c r="T255" s="26">
        <v>45826</v>
      </c>
      <c r="U255" s="13" t="s">
        <v>146</v>
      </c>
      <c r="V255">
        <v>13</v>
      </c>
      <c r="AA255" s="49" t="s">
        <v>92</v>
      </c>
      <c r="AB255" s="50" t="s">
        <v>40</v>
      </c>
    </row>
    <row r="256" spans="1:28" x14ac:dyDescent="0.4">
      <c r="A256" s="146"/>
      <c r="B256" s="149"/>
      <c r="C256" s="85" t="s">
        <v>352</v>
      </c>
      <c r="D256" s="109" t="s">
        <v>331</v>
      </c>
      <c r="E256" s="13" t="s">
        <v>44</v>
      </c>
      <c r="F256" s="16"/>
      <c r="G256" s="15" t="s">
        <v>196</v>
      </c>
      <c r="H256" s="15"/>
      <c r="I256" s="15"/>
      <c r="J256" s="15">
        <v>1</v>
      </c>
      <c r="K256" s="15">
        <v>1</v>
      </c>
      <c r="L256" s="17"/>
      <c r="M256" s="17"/>
      <c r="N256" s="17"/>
      <c r="O256" s="17"/>
      <c r="P256" s="17"/>
      <c r="Q256" s="17"/>
      <c r="R256" s="17"/>
      <c r="S256" s="15"/>
      <c r="T256" s="26">
        <v>45811</v>
      </c>
      <c r="U256" s="13" t="s">
        <v>146</v>
      </c>
      <c r="V256">
        <v>14</v>
      </c>
      <c r="AA256" s="49" t="s">
        <v>93</v>
      </c>
      <c r="AB256" s="50" t="s">
        <v>57</v>
      </c>
    </row>
    <row r="257" spans="1:28" x14ac:dyDescent="0.4">
      <c r="A257" s="146"/>
      <c r="B257" s="149"/>
      <c r="C257" s="85" t="s">
        <v>353</v>
      </c>
      <c r="D257" s="109" t="s">
        <v>331</v>
      </c>
      <c r="E257" s="13" t="s">
        <v>37</v>
      </c>
      <c r="F257" s="16"/>
      <c r="G257" s="15" t="s">
        <v>196</v>
      </c>
      <c r="H257" s="15"/>
      <c r="I257" s="15"/>
      <c r="J257" s="15">
        <v>1</v>
      </c>
      <c r="K257" s="15">
        <v>1</v>
      </c>
      <c r="L257" s="17"/>
      <c r="M257" s="17"/>
      <c r="N257" s="17"/>
      <c r="O257" s="17"/>
      <c r="P257" s="17"/>
      <c r="Q257" s="17"/>
      <c r="R257" s="17"/>
      <c r="S257" s="15"/>
      <c r="T257" s="26">
        <v>45811</v>
      </c>
      <c r="U257" s="13" t="s">
        <v>146</v>
      </c>
      <c r="V257">
        <v>15</v>
      </c>
      <c r="AA257" s="49" t="s">
        <v>94</v>
      </c>
      <c r="AB257" s="50" t="s">
        <v>41</v>
      </c>
    </row>
    <row r="258" spans="1:28" x14ac:dyDescent="0.4">
      <c r="A258" s="146"/>
      <c r="B258" s="149"/>
      <c r="C258" s="85" t="s">
        <v>354</v>
      </c>
      <c r="D258" s="109" t="s">
        <v>331</v>
      </c>
      <c r="E258" s="15" t="s">
        <v>37</v>
      </c>
      <c r="F258" s="16"/>
      <c r="G258" s="15" t="s">
        <v>196</v>
      </c>
      <c r="H258" s="15"/>
      <c r="I258" s="15"/>
      <c r="J258" s="15">
        <v>1</v>
      </c>
      <c r="K258" s="15">
        <v>1</v>
      </c>
      <c r="L258" s="19"/>
      <c r="M258" s="19"/>
      <c r="N258" s="19"/>
      <c r="O258" s="19"/>
      <c r="P258" s="19"/>
      <c r="Q258" s="19"/>
      <c r="R258" s="19"/>
      <c r="S258" s="15"/>
      <c r="T258" s="26">
        <v>45811</v>
      </c>
      <c r="U258" s="13" t="s">
        <v>146</v>
      </c>
      <c r="V258">
        <v>16</v>
      </c>
      <c r="AA258" s="49" t="s">
        <v>95</v>
      </c>
      <c r="AB258" s="50" t="s">
        <v>42</v>
      </c>
    </row>
    <row r="259" spans="1:28" x14ac:dyDescent="0.4">
      <c r="A259" s="146"/>
      <c r="B259" s="149"/>
      <c r="C259" s="85" t="s">
        <v>355</v>
      </c>
      <c r="D259" s="110" t="s">
        <v>331</v>
      </c>
      <c r="E259" s="18" t="s">
        <v>37</v>
      </c>
      <c r="F259" s="16"/>
      <c r="G259" s="18" t="s">
        <v>196</v>
      </c>
      <c r="H259" s="15"/>
      <c r="I259" s="15"/>
      <c r="J259" s="18"/>
      <c r="K259" s="15"/>
      <c r="L259" s="19"/>
      <c r="M259" s="19">
        <v>1</v>
      </c>
      <c r="N259" s="19">
        <v>1</v>
      </c>
      <c r="O259" s="19"/>
      <c r="P259" s="19"/>
      <c r="Q259" s="19">
        <v>1</v>
      </c>
      <c r="R259" s="19"/>
      <c r="S259" s="15"/>
      <c r="T259" s="26">
        <v>45811</v>
      </c>
      <c r="U259" s="15" t="s">
        <v>147</v>
      </c>
      <c r="V259">
        <v>17</v>
      </c>
      <c r="AA259" s="49" t="s">
        <v>96</v>
      </c>
      <c r="AB259" s="50" t="s">
        <v>61</v>
      </c>
    </row>
    <row r="260" spans="1:28" x14ac:dyDescent="0.4">
      <c r="A260" s="146"/>
      <c r="B260" s="149"/>
      <c r="C260" s="85" t="s">
        <v>357</v>
      </c>
      <c r="D260" s="110" t="s">
        <v>356</v>
      </c>
      <c r="E260" s="18" t="s">
        <v>57</v>
      </c>
      <c r="F260" s="16"/>
      <c r="G260" s="18" t="s">
        <v>210</v>
      </c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>
        <v>45811</v>
      </c>
      <c r="U260" s="15" t="s">
        <v>147</v>
      </c>
      <c r="V260">
        <v>18</v>
      </c>
      <c r="AA260" s="49" t="s">
        <v>97</v>
      </c>
      <c r="AB260" s="50" t="s">
        <v>76</v>
      </c>
    </row>
    <row r="261" spans="1:28" x14ac:dyDescent="0.4">
      <c r="A261" s="146"/>
      <c r="B261" s="149"/>
      <c r="C261" s="85" t="s">
        <v>358</v>
      </c>
      <c r="D261" s="110" t="s">
        <v>359</v>
      </c>
      <c r="E261" s="18" t="s">
        <v>36</v>
      </c>
      <c r="F261" s="16"/>
      <c r="G261" s="18" t="s">
        <v>196</v>
      </c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>
        <v>45821</v>
      </c>
      <c r="U261" s="15" t="s">
        <v>147</v>
      </c>
      <c r="V261">
        <v>19</v>
      </c>
      <c r="AA261" s="49" t="s">
        <v>98</v>
      </c>
      <c r="AB261" s="50" t="s">
        <v>77</v>
      </c>
    </row>
    <row r="262" spans="1:28" x14ac:dyDescent="0.4">
      <c r="A262" s="146"/>
      <c r="B262" s="149"/>
      <c r="C262" s="86" t="s">
        <v>360</v>
      </c>
      <c r="D262" s="110" t="s">
        <v>359</v>
      </c>
      <c r="E262" s="18" t="s">
        <v>36</v>
      </c>
      <c r="F262" s="16"/>
      <c r="G262" s="18" t="s">
        <v>196</v>
      </c>
      <c r="H262" s="15"/>
      <c r="I262" s="15"/>
      <c r="J262" s="18"/>
      <c r="K262" s="15"/>
      <c r="L262" s="19"/>
      <c r="M262" s="19">
        <v>1</v>
      </c>
      <c r="N262" s="19"/>
      <c r="O262" s="19"/>
      <c r="P262" s="19"/>
      <c r="Q262" s="19"/>
      <c r="R262" s="19"/>
      <c r="S262" s="15"/>
      <c r="T262" s="26">
        <v>45821</v>
      </c>
      <c r="U262" s="15" t="s">
        <v>147</v>
      </c>
      <c r="V262">
        <v>20</v>
      </c>
      <c r="AA262" s="49" t="s">
        <v>99</v>
      </c>
      <c r="AB262" s="50" t="s">
        <v>78</v>
      </c>
    </row>
    <row r="263" spans="1:28" x14ac:dyDescent="0.4">
      <c r="A263" s="146"/>
      <c r="B263" s="149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6"/>
      <c r="B264" s="149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6"/>
      <c r="B265" s="149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6"/>
      <c r="B266" s="149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7"/>
      <c r="B267" s="150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20</v>
      </c>
      <c r="D268" s="112"/>
      <c r="E268" s="29"/>
      <c r="F268" s="29" t="s">
        <v>34</v>
      </c>
      <c r="G268" s="29">
        <f>COUNTIF(G243:G267,"S")</f>
        <v>19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10</v>
      </c>
      <c r="K268" s="29">
        <f t="shared" ref="K268" si="54">SUM(K243:K267)</f>
        <v>11</v>
      </c>
      <c r="L268" s="29">
        <f t="shared" ref="L268" si="55">SUM(L243:L267)</f>
        <v>0</v>
      </c>
      <c r="M268" s="29">
        <f t="shared" ref="M268" si="56">SUM(M243:M267)</f>
        <v>4</v>
      </c>
      <c r="N268" s="29">
        <f t="shared" ref="N268" si="57">SUM(N243:N267)</f>
        <v>3</v>
      </c>
      <c r="O268" s="29">
        <f t="shared" ref="O268" si="58">SUM(O243:O267)</f>
        <v>1</v>
      </c>
      <c r="P268" s="29">
        <f t="shared" ref="P268" si="59">SUM(P243:P267)</f>
        <v>1</v>
      </c>
      <c r="Q268" s="29">
        <f t="shared" ref="Q268" si="60">SUM(Q243:Q267)</f>
        <v>3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33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AYG109</v>
      </c>
      <c r="B271" s="24">
        <f>B1</f>
        <v>45789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8" t="s">
        <v>111</v>
      </c>
      <c r="Y272" s="144"/>
    </row>
    <row r="273" spans="1:28" ht="20.25" thickTop="1" thickBot="1" x14ac:dyDescent="0.45">
      <c r="A273" s="145">
        <v>10</v>
      </c>
      <c r="B273" s="148">
        <v>24.6</v>
      </c>
      <c r="C273" s="85" t="s">
        <v>361</v>
      </c>
      <c r="D273" s="109" t="s">
        <v>339</v>
      </c>
      <c r="E273" s="13" t="s">
        <v>37</v>
      </c>
      <c r="F273" s="14"/>
      <c r="G273" s="12" t="s">
        <v>196</v>
      </c>
      <c r="H273" s="13"/>
      <c r="I273" s="13"/>
      <c r="J273" s="13">
        <v>1</v>
      </c>
      <c r="K273" s="13">
        <v>1</v>
      </c>
      <c r="L273" s="13"/>
      <c r="M273" s="13"/>
      <c r="N273" s="13"/>
      <c r="O273" s="13"/>
      <c r="P273" s="13"/>
      <c r="Q273" s="13"/>
      <c r="R273" s="13"/>
      <c r="S273" s="13"/>
      <c r="T273" s="26">
        <v>45836</v>
      </c>
      <c r="U273" s="13" t="s">
        <v>147</v>
      </c>
      <c r="V273">
        <v>1</v>
      </c>
      <c r="X273" s="51" t="s">
        <v>106</v>
      </c>
      <c r="Y273" s="52">
        <f>COUNTIF(U273:U297,"K")</f>
        <v>7</v>
      </c>
      <c r="AA273" s="59" t="s">
        <v>120</v>
      </c>
      <c r="AB273" s="60" t="s">
        <v>121</v>
      </c>
    </row>
    <row r="274" spans="1:28" x14ac:dyDescent="0.4">
      <c r="A274" s="146"/>
      <c r="B274" s="149"/>
      <c r="C274" s="85" t="s">
        <v>362</v>
      </c>
      <c r="D274" s="109" t="s">
        <v>265</v>
      </c>
      <c r="E274" s="13" t="s">
        <v>58</v>
      </c>
      <c r="F274" s="16"/>
      <c r="G274" s="12" t="s">
        <v>196</v>
      </c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>
        <v>45859</v>
      </c>
      <c r="U274" s="13" t="s">
        <v>147</v>
      </c>
      <c r="V274">
        <v>2</v>
      </c>
      <c r="X274" s="51" t="s">
        <v>107</v>
      </c>
      <c r="Y274" s="52">
        <f>COUNTIF(U273:U297,"R")</f>
        <v>6</v>
      </c>
      <c r="AA274" s="47" t="s">
        <v>81</v>
      </c>
      <c r="AB274" s="48" t="s">
        <v>60</v>
      </c>
    </row>
    <row r="275" spans="1:28" ht="19.5" thickBot="1" x14ac:dyDescent="0.45">
      <c r="A275" s="146"/>
      <c r="B275" s="149"/>
      <c r="C275" s="85" t="s">
        <v>363</v>
      </c>
      <c r="D275" s="109" t="s">
        <v>265</v>
      </c>
      <c r="E275" s="13" t="s">
        <v>74</v>
      </c>
      <c r="F275" s="16"/>
      <c r="G275" s="12" t="s">
        <v>196</v>
      </c>
      <c r="H275" s="15"/>
      <c r="I275" s="15"/>
      <c r="J275" s="15">
        <v>1</v>
      </c>
      <c r="K275" s="15">
        <v>1</v>
      </c>
      <c r="L275" s="17"/>
      <c r="M275" s="17"/>
      <c r="N275" s="17"/>
      <c r="O275" s="17"/>
      <c r="P275" s="17"/>
      <c r="Q275" s="17"/>
      <c r="R275" s="17"/>
      <c r="S275" s="15"/>
      <c r="T275" s="26">
        <v>45829</v>
      </c>
      <c r="U275" s="13" t="s">
        <v>142</v>
      </c>
      <c r="V275">
        <v>3</v>
      </c>
      <c r="X275" s="53" t="s">
        <v>108</v>
      </c>
      <c r="Y275" s="54">
        <f>COUNTIF(U273:U297,"J")</f>
        <v>2</v>
      </c>
      <c r="AA275" s="49" t="s">
        <v>82</v>
      </c>
      <c r="AB275" s="50" t="s">
        <v>39</v>
      </c>
    </row>
    <row r="276" spans="1:28" x14ac:dyDescent="0.4">
      <c r="A276" s="146"/>
      <c r="B276" s="149"/>
      <c r="C276" s="85" t="s">
        <v>364</v>
      </c>
      <c r="D276" s="109" t="s">
        <v>331</v>
      </c>
      <c r="E276" s="13" t="s">
        <v>40</v>
      </c>
      <c r="F276" s="16"/>
      <c r="G276" s="12" t="s">
        <v>196</v>
      </c>
      <c r="H276" s="15"/>
      <c r="I276" s="15"/>
      <c r="J276" s="15"/>
      <c r="K276" s="15"/>
      <c r="L276" s="17"/>
      <c r="M276" s="17"/>
      <c r="N276" s="17"/>
      <c r="O276" s="17">
        <v>1</v>
      </c>
      <c r="P276" s="17">
        <v>1</v>
      </c>
      <c r="Q276" s="17">
        <v>1</v>
      </c>
      <c r="R276" s="17"/>
      <c r="S276" s="15"/>
      <c r="T276" s="26">
        <v>45828</v>
      </c>
      <c r="U276" s="13" t="s">
        <v>148</v>
      </c>
      <c r="V276">
        <v>4</v>
      </c>
      <c r="AA276" s="49" t="s">
        <v>83</v>
      </c>
      <c r="AB276" s="50" t="s">
        <v>38</v>
      </c>
    </row>
    <row r="277" spans="1:28" x14ac:dyDescent="0.4">
      <c r="A277" s="146"/>
      <c r="B277" s="149"/>
      <c r="C277" s="85" t="s">
        <v>365</v>
      </c>
      <c r="D277" s="109" t="s">
        <v>331</v>
      </c>
      <c r="E277" s="13" t="s">
        <v>60</v>
      </c>
      <c r="F277" s="16"/>
      <c r="G277" s="12" t="s">
        <v>196</v>
      </c>
      <c r="H277" s="15"/>
      <c r="I277" s="15"/>
      <c r="J277" s="15">
        <v>1</v>
      </c>
      <c r="K277" s="15"/>
      <c r="L277" s="17">
        <v>1</v>
      </c>
      <c r="M277" s="17"/>
      <c r="N277" s="17"/>
      <c r="O277" s="17"/>
      <c r="P277" s="17"/>
      <c r="Q277" s="17"/>
      <c r="R277" s="17"/>
      <c r="S277" s="15"/>
      <c r="T277" s="26">
        <v>45811</v>
      </c>
      <c r="U277" s="13" t="s">
        <v>146</v>
      </c>
      <c r="V277">
        <v>5</v>
      </c>
      <c r="AA277" s="49" t="s">
        <v>84</v>
      </c>
      <c r="AB277" s="50" t="s">
        <v>44</v>
      </c>
    </row>
    <row r="278" spans="1:28" x14ac:dyDescent="0.4">
      <c r="A278" s="146"/>
      <c r="B278" s="149"/>
      <c r="C278" s="85" t="s">
        <v>366</v>
      </c>
      <c r="D278" s="109" t="s">
        <v>331</v>
      </c>
      <c r="E278" s="13" t="s">
        <v>39</v>
      </c>
      <c r="F278" s="16"/>
      <c r="G278" s="12" t="s">
        <v>196</v>
      </c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>
        <v>45811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46"/>
      <c r="B279" s="149"/>
      <c r="C279" s="85" t="s">
        <v>367</v>
      </c>
      <c r="D279" s="109" t="s">
        <v>331</v>
      </c>
      <c r="E279" s="13" t="s">
        <v>39</v>
      </c>
      <c r="F279" s="16"/>
      <c r="G279" s="12" t="s">
        <v>196</v>
      </c>
      <c r="H279" s="15"/>
      <c r="I279" s="15"/>
      <c r="J279" s="15">
        <v>1</v>
      </c>
      <c r="K279" s="15"/>
      <c r="L279" s="17"/>
      <c r="M279" s="17"/>
      <c r="N279" s="17"/>
      <c r="O279" s="17"/>
      <c r="P279" s="17"/>
      <c r="Q279" s="17"/>
      <c r="R279" s="17"/>
      <c r="S279" s="15"/>
      <c r="T279" s="26">
        <v>45811</v>
      </c>
      <c r="U279" s="13" t="s">
        <v>146</v>
      </c>
      <c r="V279">
        <v>7</v>
      </c>
      <c r="AA279" s="49" t="s">
        <v>86</v>
      </c>
      <c r="AB279" s="50" t="s">
        <v>45</v>
      </c>
    </row>
    <row r="280" spans="1:28" x14ac:dyDescent="0.4">
      <c r="A280" s="146"/>
      <c r="B280" s="149"/>
      <c r="C280" s="85" t="s">
        <v>368</v>
      </c>
      <c r="D280" s="109" t="s">
        <v>331</v>
      </c>
      <c r="E280" s="13" t="s">
        <v>39</v>
      </c>
      <c r="F280" s="16"/>
      <c r="G280" s="12" t="s">
        <v>196</v>
      </c>
      <c r="H280" s="15"/>
      <c r="I280" s="15"/>
      <c r="J280" s="15">
        <v>1</v>
      </c>
      <c r="K280" s="15"/>
      <c r="L280" s="17"/>
      <c r="M280" s="17"/>
      <c r="N280" s="17"/>
      <c r="O280" s="17"/>
      <c r="P280" s="17"/>
      <c r="Q280" s="17"/>
      <c r="R280" s="17"/>
      <c r="S280" s="15"/>
      <c r="T280" s="26">
        <v>45811</v>
      </c>
      <c r="U280" s="13" t="s">
        <v>146</v>
      </c>
      <c r="V280">
        <v>8</v>
      </c>
      <c r="AA280" s="49" t="s">
        <v>87</v>
      </c>
      <c r="AB280" s="50" t="s">
        <v>37</v>
      </c>
    </row>
    <row r="281" spans="1:28" x14ac:dyDescent="0.4">
      <c r="A281" s="146"/>
      <c r="B281" s="149"/>
      <c r="C281" s="85" t="s">
        <v>369</v>
      </c>
      <c r="D281" s="109" t="s">
        <v>331</v>
      </c>
      <c r="E281" s="13" t="s">
        <v>44</v>
      </c>
      <c r="F281" s="16"/>
      <c r="G281" s="12" t="s">
        <v>196</v>
      </c>
      <c r="H281" s="15"/>
      <c r="I281" s="15"/>
      <c r="J281" s="15">
        <v>1</v>
      </c>
      <c r="K281" s="15"/>
      <c r="L281" s="17"/>
      <c r="M281" s="17"/>
      <c r="N281" s="17"/>
      <c r="O281" s="17"/>
      <c r="P281" s="17"/>
      <c r="Q281" s="17"/>
      <c r="R281" s="17"/>
      <c r="S281" s="15"/>
      <c r="T281" s="26">
        <v>45829</v>
      </c>
      <c r="U281" s="13" t="s">
        <v>146</v>
      </c>
      <c r="V281">
        <v>9</v>
      </c>
      <c r="AA281" s="49" t="s">
        <v>88</v>
      </c>
      <c r="AB281" s="50" t="s">
        <v>74</v>
      </c>
    </row>
    <row r="282" spans="1:28" x14ac:dyDescent="0.4">
      <c r="A282" s="146"/>
      <c r="B282" s="149"/>
      <c r="C282" s="85" t="s">
        <v>370</v>
      </c>
      <c r="D282" s="109" t="s">
        <v>331</v>
      </c>
      <c r="E282" s="13" t="s">
        <v>40</v>
      </c>
      <c r="F282" s="16"/>
      <c r="G282" s="12" t="s">
        <v>196</v>
      </c>
      <c r="H282" s="15"/>
      <c r="I282" s="15"/>
      <c r="J282" s="15"/>
      <c r="K282" s="15"/>
      <c r="L282" s="17"/>
      <c r="M282" s="17"/>
      <c r="N282" s="17"/>
      <c r="O282" s="17">
        <v>1</v>
      </c>
      <c r="P282" s="17">
        <v>1</v>
      </c>
      <c r="Q282" s="17">
        <v>1</v>
      </c>
      <c r="R282" s="17"/>
      <c r="S282" s="15"/>
      <c r="T282" s="26">
        <v>45829</v>
      </c>
      <c r="U282" s="13" t="s">
        <v>148</v>
      </c>
      <c r="V282">
        <v>10</v>
      </c>
      <c r="AA282" s="49" t="s">
        <v>89</v>
      </c>
      <c r="AB282" s="50" t="s">
        <v>36</v>
      </c>
    </row>
    <row r="283" spans="1:28" x14ac:dyDescent="0.4">
      <c r="A283" s="146"/>
      <c r="B283" s="149"/>
      <c r="C283" s="85" t="s">
        <v>371</v>
      </c>
      <c r="D283" s="109" t="s">
        <v>281</v>
      </c>
      <c r="E283" s="13" t="s">
        <v>37</v>
      </c>
      <c r="F283" s="16"/>
      <c r="G283" s="12" t="s">
        <v>196</v>
      </c>
      <c r="H283" s="15"/>
      <c r="I283" s="15"/>
      <c r="J283" s="15"/>
      <c r="K283" s="15"/>
      <c r="L283" s="17"/>
      <c r="M283" s="17"/>
      <c r="N283" s="17"/>
      <c r="O283" s="17"/>
      <c r="P283" s="17"/>
      <c r="Q283" s="17">
        <v>1</v>
      </c>
      <c r="R283" s="17"/>
      <c r="S283" s="15"/>
      <c r="T283" s="26">
        <v>45822</v>
      </c>
      <c r="U283" s="13" t="s">
        <v>147</v>
      </c>
      <c r="V283">
        <v>11</v>
      </c>
      <c r="AA283" s="49" t="s">
        <v>90</v>
      </c>
      <c r="AB283" s="50" t="s">
        <v>58</v>
      </c>
    </row>
    <row r="284" spans="1:28" x14ac:dyDescent="0.4">
      <c r="A284" s="146"/>
      <c r="B284" s="149"/>
      <c r="C284" s="85" t="s">
        <v>373</v>
      </c>
      <c r="D284" s="109" t="s">
        <v>372</v>
      </c>
      <c r="E284" s="13" t="s">
        <v>44</v>
      </c>
      <c r="F284" s="16"/>
      <c r="G284" s="12" t="s">
        <v>196</v>
      </c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>
        <v>45836</v>
      </c>
      <c r="U284" s="13" t="s">
        <v>147</v>
      </c>
      <c r="V284">
        <v>12</v>
      </c>
      <c r="AA284" s="49" t="s">
        <v>91</v>
      </c>
      <c r="AB284" s="50" t="s">
        <v>75</v>
      </c>
    </row>
    <row r="285" spans="1:28" x14ac:dyDescent="0.4">
      <c r="A285" s="146"/>
      <c r="B285" s="149"/>
      <c r="C285" s="85" t="s">
        <v>374</v>
      </c>
      <c r="D285" s="109" t="s">
        <v>375</v>
      </c>
      <c r="E285" s="13" t="s">
        <v>75</v>
      </c>
      <c r="F285" s="16"/>
      <c r="G285" s="12" t="s">
        <v>196</v>
      </c>
      <c r="H285" s="15" t="s">
        <v>147</v>
      </c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>
        <v>45816</v>
      </c>
      <c r="U285" s="13" t="s">
        <v>147</v>
      </c>
      <c r="V285">
        <v>13</v>
      </c>
      <c r="AA285" s="49" t="s">
        <v>92</v>
      </c>
      <c r="AB285" s="50" t="s">
        <v>40</v>
      </c>
    </row>
    <row r="286" spans="1:28" x14ac:dyDescent="0.4">
      <c r="A286" s="146"/>
      <c r="B286" s="149"/>
      <c r="C286" s="85" t="s">
        <v>376</v>
      </c>
      <c r="D286" s="109" t="s">
        <v>195</v>
      </c>
      <c r="E286" s="15" t="s">
        <v>74</v>
      </c>
      <c r="F286" s="16"/>
      <c r="G286" s="12" t="s">
        <v>196</v>
      </c>
      <c r="H286" s="15"/>
      <c r="I286" s="15"/>
      <c r="J286" s="15">
        <v>1</v>
      </c>
      <c r="K286" s="15"/>
      <c r="L286" s="17"/>
      <c r="M286" s="17"/>
      <c r="N286" s="17"/>
      <c r="O286" s="17"/>
      <c r="P286" s="17"/>
      <c r="Q286" s="17"/>
      <c r="R286" s="17"/>
      <c r="S286" s="15"/>
      <c r="T286" s="26">
        <v>45799</v>
      </c>
      <c r="U286" s="15" t="s">
        <v>146</v>
      </c>
      <c r="V286">
        <v>14</v>
      </c>
      <c r="AA286" s="49" t="s">
        <v>93</v>
      </c>
      <c r="AB286" s="50" t="s">
        <v>57</v>
      </c>
    </row>
    <row r="287" spans="1:28" x14ac:dyDescent="0.4">
      <c r="A287" s="146"/>
      <c r="B287" s="149"/>
      <c r="C287" s="85" t="s">
        <v>377</v>
      </c>
      <c r="D287" s="109" t="s">
        <v>195</v>
      </c>
      <c r="E287" s="15" t="s">
        <v>37</v>
      </c>
      <c r="F287" s="16"/>
      <c r="G287" s="15" t="s">
        <v>196</v>
      </c>
      <c r="H287" s="15"/>
      <c r="I287" s="15"/>
      <c r="J287" s="15"/>
      <c r="K287" s="15"/>
      <c r="L287" s="17"/>
      <c r="M287" s="17">
        <v>1</v>
      </c>
      <c r="N287" s="17">
        <v>1</v>
      </c>
      <c r="O287" s="17"/>
      <c r="P287" s="17"/>
      <c r="Q287" s="17">
        <v>1</v>
      </c>
      <c r="R287" s="17"/>
      <c r="S287" s="15"/>
      <c r="T287" s="26">
        <v>45799</v>
      </c>
      <c r="U287" s="15" t="s">
        <v>147</v>
      </c>
      <c r="V287">
        <v>15</v>
      </c>
      <c r="AA287" s="49" t="s">
        <v>94</v>
      </c>
      <c r="AB287" s="50" t="s">
        <v>41</v>
      </c>
    </row>
    <row r="288" spans="1:28" x14ac:dyDescent="0.4">
      <c r="A288" s="146"/>
      <c r="B288" s="149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6"/>
      <c r="B289" s="149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6"/>
      <c r="B290" s="149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6"/>
      <c r="B291" s="149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6"/>
      <c r="B292" s="149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6"/>
      <c r="B293" s="149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6"/>
      <c r="B294" s="149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6"/>
      <c r="B295" s="149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6"/>
      <c r="B296" s="149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7"/>
      <c r="B297" s="150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15</v>
      </c>
      <c r="D298" s="112"/>
      <c r="E298" s="29"/>
      <c r="F298" s="29" t="s">
        <v>34</v>
      </c>
      <c r="G298" s="29">
        <f>COUNTIF(G273:G297,"S")</f>
        <v>15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7</v>
      </c>
      <c r="K298" s="29">
        <f t="shared" ref="K298" si="64">SUM(K273:K297)</f>
        <v>2</v>
      </c>
      <c r="L298" s="29">
        <f t="shared" ref="L298" si="65">SUM(L273:L297)</f>
        <v>1</v>
      </c>
      <c r="M298" s="29">
        <f t="shared" ref="M298" si="66">SUM(M273:M297)</f>
        <v>1</v>
      </c>
      <c r="N298" s="29">
        <f t="shared" ref="N298" si="67">SUM(N273:N297)</f>
        <v>1</v>
      </c>
      <c r="O298" s="29">
        <f t="shared" ref="O298" si="68">SUM(O273:O297)</f>
        <v>2</v>
      </c>
      <c r="P298" s="29">
        <f t="shared" ref="P298" si="69">SUM(P273:P297)</f>
        <v>2</v>
      </c>
      <c r="Q298" s="29">
        <f t="shared" ref="Q298" si="70">SUM(Q273:Q297)</f>
        <v>4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1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20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AYG109</v>
      </c>
      <c r="B301" s="24">
        <f>B1</f>
        <v>45789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8" t="s">
        <v>110</v>
      </c>
      <c r="Y302" s="144"/>
    </row>
    <row r="303" spans="1:28" ht="20.25" thickTop="1" thickBot="1" x14ac:dyDescent="0.45">
      <c r="A303" s="145">
        <v>11</v>
      </c>
      <c r="B303" s="148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6"/>
      <c r="B304" s="149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6"/>
      <c r="B305" s="149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6"/>
      <c r="B306" s="149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6"/>
      <c r="B307" s="149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6"/>
      <c r="B308" s="149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6"/>
      <c r="B309" s="149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6"/>
      <c r="B310" s="149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6"/>
      <c r="B311" s="149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6"/>
      <c r="B312" s="149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6"/>
      <c r="B313" s="149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6"/>
      <c r="B314" s="149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6"/>
      <c r="B315" s="149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6"/>
      <c r="B316" s="149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6"/>
      <c r="B317" s="149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6"/>
      <c r="B318" s="149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6"/>
      <c r="B319" s="149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6"/>
      <c r="B320" s="149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6"/>
      <c r="B321" s="149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6"/>
      <c r="B322" s="149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6"/>
      <c r="B323" s="149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6"/>
      <c r="B324" s="149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6"/>
      <c r="B325" s="149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6"/>
      <c r="B326" s="149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7"/>
      <c r="B327" s="150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AYG109</v>
      </c>
      <c r="B331" s="24">
        <f>B151</f>
        <v>45789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8" t="s">
        <v>109</v>
      </c>
      <c r="Y332" s="144"/>
    </row>
    <row r="333" spans="1:28" ht="20.25" thickTop="1" thickBot="1" x14ac:dyDescent="0.45">
      <c r="A333" s="145">
        <v>12</v>
      </c>
      <c r="B333" s="148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6"/>
      <c r="B334" s="149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6"/>
      <c r="B335" s="149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6"/>
      <c r="B336" s="149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6"/>
      <c r="B337" s="149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6"/>
      <c r="B338" s="149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6"/>
      <c r="B339" s="149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6"/>
      <c r="B340" s="149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6"/>
      <c r="B341" s="149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6"/>
      <c r="B342" s="149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6"/>
      <c r="B343" s="149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6"/>
      <c r="B344" s="149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6"/>
      <c r="B345" s="149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6"/>
      <c r="B346" s="149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6"/>
      <c r="B347" s="149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6"/>
      <c r="B348" s="149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6"/>
      <c r="B349" s="149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6"/>
      <c r="B350" s="149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6"/>
      <c r="B351" s="149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6"/>
      <c r="B352" s="149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6"/>
      <c r="B353" s="149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6"/>
      <c r="B354" s="149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6"/>
      <c r="B355" s="149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6"/>
      <c r="B356" s="149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7"/>
      <c r="B357" s="150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192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8" t="s">
        <v>138</v>
      </c>
      <c r="Y362" s="144"/>
    </row>
    <row r="363" spans="1:28" ht="19.5" thickTop="1" x14ac:dyDescent="0.4">
      <c r="A363" s="145">
        <v>13</v>
      </c>
      <c r="B363" s="148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6"/>
      <c r="B364" s="149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6"/>
      <c r="B365" s="149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6"/>
      <c r="B366" s="149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6"/>
      <c r="B367" s="149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6"/>
      <c r="B368" s="149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6"/>
      <c r="B369" s="149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6"/>
      <c r="B370" s="149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6"/>
      <c r="B371" s="149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6"/>
      <c r="B372" s="149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6"/>
      <c r="B373" s="149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6"/>
      <c r="B374" s="149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6"/>
      <c r="B375" s="149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6"/>
      <c r="B376" s="149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6"/>
      <c r="B377" s="149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6"/>
      <c r="B378" s="149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6"/>
      <c r="B379" s="149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6"/>
      <c r="B380" s="149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6"/>
      <c r="B381" s="149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6"/>
      <c r="B382" s="149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6"/>
      <c r="B383" s="149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6"/>
      <c r="B384" s="149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6"/>
      <c r="B385" s="149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6"/>
      <c r="B386" s="149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7"/>
      <c r="B387" s="150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8" t="s">
        <v>139</v>
      </c>
      <c r="Y392" s="144"/>
    </row>
    <row r="393" spans="1:25" ht="19.5" thickTop="1" x14ac:dyDescent="0.4">
      <c r="A393" s="145">
        <v>14</v>
      </c>
      <c r="B393" s="148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6"/>
      <c r="B394" s="149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6"/>
      <c r="B395" s="149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6"/>
      <c r="B396" s="149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6"/>
      <c r="B397" s="149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6"/>
      <c r="B398" s="149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6"/>
      <c r="B399" s="149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6"/>
      <c r="B400" s="149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6"/>
      <c r="B401" s="149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6"/>
      <c r="B402" s="149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6"/>
      <c r="B403" s="149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6"/>
      <c r="B404" s="149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6"/>
      <c r="B405" s="149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6"/>
      <c r="B406" s="149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6"/>
      <c r="B407" s="149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6"/>
      <c r="B408" s="149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6"/>
      <c r="B409" s="149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6"/>
      <c r="B410" s="149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6"/>
      <c r="B411" s="149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6"/>
      <c r="B412" s="149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6"/>
      <c r="B413" s="149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6"/>
      <c r="B414" s="149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6"/>
      <c r="B415" s="149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6"/>
      <c r="B416" s="149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7"/>
      <c r="B417" s="150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8" t="s">
        <v>140</v>
      </c>
      <c r="Y422" s="144"/>
    </row>
    <row r="423" spans="1:25" ht="19.5" thickTop="1" x14ac:dyDescent="0.4">
      <c r="A423" s="145">
        <v>15</v>
      </c>
      <c r="B423" s="148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6"/>
      <c r="B424" s="149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6"/>
      <c r="B425" s="149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6"/>
      <c r="B426" s="149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6"/>
      <c r="B427" s="149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6"/>
      <c r="B428" s="149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6"/>
      <c r="B429" s="149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6"/>
      <c r="B430" s="149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6"/>
      <c r="B431" s="149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6"/>
      <c r="B432" s="149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6"/>
      <c r="B433" s="149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6"/>
      <c r="B434" s="149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6"/>
      <c r="B435" s="149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6"/>
      <c r="B436" s="149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6"/>
      <c r="B437" s="149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6"/>
      <c r="B438" s="149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6"/>
      <c r="B439" s="149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6"/>
      <c r="B440" s="149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6"/>
      <c r="B441" s="149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6"/>
      <c r="B442" s="149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6"/>
      <c r="B443" s="149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6"/>
      <c r="B444" s="149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6"/>
      <c r="B445" s="149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6"/>
      <c r="B446" s="149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7"/>
      <c r="B447" s="150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8" t="s">
        <v>105</v>
      </c>
      <c r="Y451" s="144"/>
    </row>
    <row r="452" spans="1:25" ht="19.5" thickTop="1" x14ac:dyDescent="0.4">
      <c r="A452" s="145">
        <v>16</v>
      </c>
      <c r="B452" s="135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6"/>
      <c r="B453" s="136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6"/>
      <c r="B454" s="136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6"/>
      <c r="B455" s="136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6"/>
      <c r="B456" s="136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6"/>
      <c r="B457" s="136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6"/>
      <c r="B458" s="136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6"/>
      <c r="B459" s="136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6"/>
      <c r="B460" s="136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6"/>
      <c r="B461" s="136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6"/>
      <c r="B462" s="136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6"/>
      <c r="B463" s="136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6"/>
      <c r="B464" s="136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6"/>
      <c r="B465" s="136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6"/>
      <c r="B466" s="136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6"/>
      <c r="B467" s="136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6"/>
      <c r="B468" s="136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6"/>
      <c r="B469" s="136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6"/>
      <c r="B470" s="136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6"/>
      <c r="B471" s="136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6"/>
      <c r="B472" s="136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6"/>
      <c r="B473" s="136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6"/>
      <c r="B474" s="136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6"/>
      <c r="B475" s="136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7"/>
      <c r="B476" s="137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9" t="s">
        <v>47</v>
      </c>
      <c r="C26" s="159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0"/>
      <c r="C27" s="160"/>
      <c r="D27" s="161">
        <f>SUM(D26:F26)</f>
        <v>116</v>
      </c>
      <c r="E27" s="161"/>
      <c r="F27" s="161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G1442"/>
  <sheetViews>
    <sheetView topLeftCell="A9" zoomScaleNormal="100" workbookViewId="0">
      <selection sqref="A1:D35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32" width="16.625" customWidth="1"/>
    <col min="33" max="33" width="11" customWidth="1"/>
    <col min="34" max="34" width="10.5" style="121" customWidth="1"/>
    <col min="35" max="35" width="10.25" style="121" customWidth="1"/>
    <col min="36" max="36" width="10.875" style="121" customWidth="1"/>
    <col min="37" max="50" width="16.625" customWidth="1"/>
    <col min="51" max="51" width="20.5" customWidth="1"/>
    <col min="56" max="56" width="12.375" customWidth="1"/>
    <col min="57" max="57" width="11.25" customWidth="1"/>
    <col min="58" max="58" width="10.5" customWidth="1"/>
    <col min="59" max="59" width="10.25" customWidth="1"/>
  </cols>
  <sheetData>
    <row r="1" spans="1:55" x14ac:dyDescent="0.4">
      <c r="A1" s="120" t="s">
        <v>192</v>
      </c>
      <c r="B1" s="121"/>
      <c r="C1" s="121"/>
      <c r="D1" s="121"/>
      <c r="P1" t="s">
        <v>143</v>
      </c>
      <c r="Q1" t="s">
        <v>144</v>
      </c>
      <c r="AA1" t="s">
        <v>143</v>
      </c>
      <c r="AB1" t="s">
        <v>144</v>
      </c>
      <c r="AG1" s="120"/>
      <c r="AY1" t="s">
        <v>143</v>
      </c>
      <c r="AZ1" t="s">
        <v>144</v>
      </c>
    </row>
    <row r="2" spans="1:55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P2" s="25">
        <v>45799</v>
      </c>
      <c r="Q2" s="13" t="s">
        <v>146</v>
      </c>
      <c r="AA2" s="25">
        <v>45669</v>
      </c>
      <c r="AB2" s="13" t="s">
        <v>147</v>
      </c>
      <c r="AG2" s="116"/>
      <c r="AH2" s="123"/>
      <c r="AI2" s="123"/>
      <c r="AJ2" s="123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25">
        <v>45258</v>
      </c>
      <c r="AZ2" s="13" t="s">
        <v>162</v>
      </c>
      <c r="BC2" s="114"/>
    </row>
    <row r="3" spans="1:55" ht="20.100000000000001" customHeight="1" x14ac:dyDescent="0.4">
      <c r="A3" s="117">
        <v>45799</v>
      </c>
      <c r="B3" s="123">
        <v>1</v>
      </c>
      <c r="C3" s="123">
        <v>1</v>
      </c>
      <c r="D3" s="123"/>
      <c r="N3" s="115"/>
      <c r="O3" s="115"/>
      <c r="P3" s="25">
        <v>45799</v>
      </c>
      <c r="Q3" s="13" t="s">
        <v>147</v>
      </c>
      <c r="AA3" s="25"/>
      <c r="AB3" s="13"/>
      <c r="AG3" s="116"/>
      <c r="AH3" s="123"/>
      <c r="AI3" s="123"/>
      <c r="AJ3" s="123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25"/>
      <c r="AZ3" s="13"/>
      <c r="BC3" s="114"/>
    </row>
    <row r="4" spans="1:55" ht="20.100000000000001" customHeight="1" x14ac:dyDescent="0.4">
      <c r="A4" s="117">
        <v>45802</v>
      </c>
      <c r="B4" s="123">
        <v>1</v>
      </c>
      <c r="C4" s="123"/>
      <c r="D4" s="123"/>
      <c r="N4" s="115"/>
      <c r="O4" s="115" t="s">
        <v>180</v>
      </c>
      <c r="P4" s="13">
        <f>SUBTOTAL(3,P2:P3)</f>
        <v>2</v>
      </c>
      <c r="Q4" s="13">
        <f>SUBTOTAL(3,Q2:Q3)</f>
        <v>2</v>
      </c>
      <c r="AA4" s="25"/>
      <c r="AB4" s="13"/>
      <c r="AG4" s="116"/>
      <c r="AH4" s="123"/>
      <c r="AI4" s="123"/>
      <c r="AJ4" s="123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25"/>
      <c r="AZ4" s="13"/>
      <c r="BC4" s="114"/>
    </row>
    <row r="5" spans="1:55" ht="20.100000000000001" customHeight="1" x14ac:dyDescent="0.4">
      <c r="A5" s="117">
        <v>45803</v>
      </c>
      <c r="B5" s="123"/>
      <c r="C5" s="123">
        <v>1</v>
      </c>
      <c r="D5" s="123"/>
      <c r="K5" s="115"/>
      <c r="L5" s="115"/>
      <c r="M5" s="115"/>
      <c r="N5" s="115"/>
      <c r="O5" s="115"/>
      <c r="P5" s="25">
        <v>45802</v>
      </c>
      <c r="Q5" s="13" t="s">
        <v>146</v>
      </c>
      <c r="AA5" s="25"/>
      <c r="AB5" s="13"/>
      <c r="AG5" s="116"/>
      <c r="AH5" s="123"/>
      <c r="AI5" s="123"/>
      <c r="AJ5" s="123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25"/>
      <c r="AZ5" s="13"/>
      <c r="BC5" s="114"/>
    </row>
    <row r="6" spans="1:55" ht="20.100000000000001" customHeight="1" x14ac:dyDescent="0.4">
      <c r="A6" s="117">
        <v>45804</v>
      </c>
      <c r="B6" s="123">
        <v>1</v>
      </c>
      <c r="C6" s="123"/>
      <c r="D6" s="123">
        <v>2</v>
      </c>
      <c r="K6" s="115"/>
      <c r="L6" s="115"/>
      <c r="M6" s="115"/>
      <c r="N6" s="115"/>
      <c r="O6" s="115" t="s">
        <v>181</v>
      </c>
      <c r="P6" s="13">
        <f>SUBTOTAL(3,P5:P5)</f>
        <v>1</v>
      </c>
      <c r="Q6" s="13">
        <f>SUBTOTAL(3,Q5:Q5)</f>
        <v>1</v>
      </c>
      <c r="AA6" s="25"/>
      <c r="AB6" s="13"/>
      <c r="AG6" s="116"/>
      <c r="AH6" s="123"/>
      <c r="AI6" s="123"/>
      <c r="AJ6" s="123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25"/>
      <c r="AZ6" s="13"/>
      <c r="BC6" s="114"/>
    </row>
    <row r="7" spans="1:55" ht="20.100000000000001" customHeight="1" x14ac:dyDescent="0.4">
      <c r="A7" s="117">
        <v>45805</v>
      </c>
      <c r="B7" s="123">
        <v>1</v>
      </c>
      <c r="C7" s="123"/>
      <c r="D7" s="123">
        <v>2</v>
      </c>
      <c r="K7" s="115"/>
      <c r="L7" s="115"/>
      <c r="M7" s="115"/>
      <c r="N7" s="115"/>
      <c r="O7" s="115"/>
      <c r="P7" s="25">
        <v>45803</v>
      </c>
      <c r="Q7" s="13" t="s">
        <v>147</v>
      </c>
      <c r="AA7" s="25"/>
      <c r="AB7" s="13"/>
      <c r="AG7" s="116"/>
      <c r="AH7" s="123"/>
      <c r="AI7" s="123"/>
      <c r="AJ7" s="123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25"/>
      <c r="AZ7" s="13"/>
      <c r="BC7" s="114"/>
    </row>
    <row r="8" spans="1:55" ht="20.100000000000001" customHeight="1" x14ac:dyDescent="0.4">
      <c r="A8" s="117">
        <v>45807</v>
      </c>
      <c r="B8" s="123">
        <v>1</v>
      </c>
      <c r="C8" s="123"/>
      <c r="D8" s="123"/>
      <c r="K8" s="115"/>
      <c r="L8" s="115"/>
      <c r="M8" s="115"/>
      <c r="N8" s="115"/>
      <c r="O8" s="115" t="s">
        <v>378</v>
      </c>
      <c r="P8" s="13">
        <f>SUBTOTAL(3,P7:P7)</f>
        <v>1</v>
      </c>
      <c r="Q8" s="13">
        <f>SUBTOTAL(3,Q7:Q7)</f>
        <v>1</v>
      </c>
      <c r="AA8" s="25"/>
      <c r="AB8" s="13"/>
      <c r="AG8" s="116"/>
      <c r="AH8" s="123"/>
      <c r="AI8" s="123"/>
      <c r="AJ8" s="123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25"/>
      <c r="AZ8" s="13"/>
      <c r="BC8" s="114"/>
    </row>
    <row r="9" spans="1:55" ht="20.100000000000001" customHeight="1" x14ac:dyDescent="0.4">
      <c r="A9" s="117">
        <v>45809</v>
      </c>
      <c r="B9" s="123"/>
      <c r="C9" s="123">
        <v>3</v>
      </c>
      <c r="D9" s="123">
        <v>2</v>
      </c>
      <c r="J9" s="115"/>
      <c r="K9" s="115"/>
      <c r="L9" s="115"/>
      <c r="M9" s="115"/>
      <c r="N9" s="115"/>
      <c r="O9" s="115"/>
      <c r="P9" s="25">
        <v>45804</v>
      </c>
      <c r="Q9" s="13" t="s">
        <v>146</v>
      </c>
      <c r="AA9" s="25"/>
      <c r="AB9" s="13"/>
      <c r="AG9" s="116"/>
      <c r="AH9" s="123"/>
      <c r="AI9" s="123"/>
      <c r="AJ9" s="123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25"/>
      <c r="AZ9" s="13"/>
      <c r="BC9" s="114"/>
    </row>
    <row r="10" spans="1:55" ht="20.100000000000001" customHeight="1" x14ac:dyDescent="0.4">
      <c r="A10" s="117">
        <v>45810</v>
      </c>
      <c r="B10" s="123"/>
      <c r="C10" s="123">
        <v>1</v>
      </c>
      <c r="D10" s="123"/>
      <c r="J10" s="115"/>
      <c r="K10" s="115"/>
      <c r="L10" s="115"/>
      <c r="M10" s="115"/>
      <c r="N10" s="115"/>
      <c r="O10" s="115"/>
      <c r="P10" s="25">
        <v>45804</v>
      </c>
      <c r="Q10" s="13" t="s">
        <v>148</v>
      </c>
      <c r="AA10" s="25"/>
      <c r="AB10" s="13"/>
      <c r="AG10" s="116"/>
      <c r="AH10" s="123"/>
      <c r="AI10" s="123"/>
      <c r="AJ10" s="123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25"/>
      <c r="AZ10" s="13"/>
      <c r="BC10" s="114"/>
    </row>
    <row r="11" spans="1:55" ht="20.100000000000001" customHeight="1" x14ac:dyDescent="0.4">
      <c r="A11" s="117">
        <v>45811</v>
      </c>
      <c r="B11" s="123">
        <v>8</v>
      </c>
      <c r="C11" s="123">
        <v>2</v>
      </c>
      <c r="D11" s="123">
        <v>1</v>
      </c>
      <c r="P11" s="25">
        <v>45804</v>
      </c>
      <c r="Q11" s="13" t="s">
        <v>148</v>
      </c>
      <c r="AA11" s="25"/>
      <c r="AB11" s="13"/>
      <c r="AG11" s="116"/>
      <c r="AH11" s="123"/>
      <c r="AI11" s="123"/>
      <c r="AJ11" s="123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25"/>
      <c r="AZ11" s="13"/>
      <c r="BC11" s="114"/>
    </row>
    <row r="12" spans="1:55" ht="20.100000000000001" customHeight="1" x14ac:dyDescent="0.4">
      <c r="A12" s="117">
        <v>45812</v>
      </c>
      <c r="B12" s="123">
        <v>2</v>
      </c>
      <c r="C12" s="123">
        <v>2</v>
      </c>
      <c r="D12" s="123">
        <v>1</v>
      </c>
      <c r="O12" s="115" t="s">
        <v>182</v>
      </c>
      <c r="P12" s="13">
        <f>SUBTOTAL(3,P9:P11)</f>
        <v>3</v>
      </c>
      <c r="Q12" s="13">
        <f>SUBTOTAL(3,Q9:Q11)</f>
        <v>3</v>
      </c>
      <c r="AA12" s="25"/>
      <c r="AB12" s="13"/>
      <c r="AG12" s="116"/>
      <c r="AH12" s="123"/>
      <c r="AI12" s="123"/>
      <c r="AJ12" s="123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25"/>
      <c r="AZ12" s="13"/>
      <c r="BC12" s="114"/>
    </row>
    <row r="13" spans="1:55" ht="20.100000000000001" customHeight="1" x14ac:dyDescent="0.4">
      <c r="A13" s="117">
        <v>45813</v>
      </c>
      <c r="B13" s="123"/>
      <c r="C13" s="123">
        <v>5</v>
      </c>
      <c r="D13" s="123"/>
      <c r="N13" s="115"/>
      <c r="O13" s="115"/>
      <c r="P13" s="25">
        <v>45805</v>
      </c>
      <c r="Q13" s="13" t="s">
        <v>148</v>
      </c>
      <c r="AA13" s="25"/>
      <c r="AB13" s="13"/>
      <c r="AG13" s="116"/>
      <c r="AH13" s="123"/>
      <c r="AI13" s="123"/>
      <c r="AJ13" s="123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25"/>
      <c r="AZ13" s="13"/>
      <c r="BC13" s="114"/>
    </row>
    <row r="14" spans="1:55" ht="20.100000000000001" customHeight="1" x14ac:dyDescent="0.4">
      <c r="A14" s="117">
        <v>45816</v>
      </c>
      <c r="B14" s="123">
        <v>6</v>
      </c>
      <c r="C14" s="123">
        <v>7</v>
      </c>
      <c r="D14" s="123"/>
      <c r="M14" s="115"/>
      <c r="N14" s="115"/>
      <c r="O14" s="115"/>
      <c r="P14" s="25">
        <v>45805</v>
      </c>
      <c r="Q14" s="134" t="s">
        <v>148</v>
      </c>
      <c r="AA14" s="25"/>
      <c r="AB14" s="13"/>
      <c r="AG14" s="116"/>
      <c r="AH14" s="123"/>
      <c r="AI14" s="123"/>
      <c r="AJ14" s="123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25"/>
      <c r="AZ14" s="13"/>
      <c r="BC14" s="114"/>
    </row>
    <row r="15" spans="1:55" ht="20.100000000000001" customHeight="1" x14ac:dyDescent="0.4">
      <c r="A15" s="117">
        <v>45817</v>
      </c>
      <c r="B15" s="123">
        <v>1</v>
      </c>
      <c r="C15" s="123">
        <v>2</v>
      </c>
      <c r="D15" s="123">
        <v>1</v>
      </c>
      <c r="M15" s="115"/>
      <c r="N15" s="115"/>
      <c r="O15" s="115"/>
      <c r="P15" s="25">
        <v>45805</v>
      </c>
      <c r="Q15" s="13" t="s">
        <v>146</v>
      </c>
      <c r="AA15" s="25"/>
      <c r="AB15" s="13"/>
      <c r="AG15" s="116"/>
      <c r="AH15" s="123"/>
      <c r="AI15" s="123"/>
      <c r="AJ15" s="123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25"/>
      <c r="AZ15" s="13"/>
      <c r="BC15" s="114"/>
    </row>
    <row r="16" spans="1:55" ht="20.100000000000001" customHeight="1" x14ac:dyDescent="0.4">
      <c r="A16" s="117">
        <v>45818</v>
      </c>
      <c r="B16" s="123">
        <v>6</v>
      </c>
      <c r="C16" s="123">
        <v>1</v>
      </c>
      <c r="D16" s="123"/>
      <c r="M16" s="115"/>
      <c r="N16" s="115"/>
      <c r="O16" s="115" t="s">
        <v>178</v>
      </c>
      <c r="P16" s="13">
        <f>SUBTOTAL(3,P13:P15)</f>
        <v>3</v>
      </c>
      <c r="Q16" s="13">
        <f>SUBTOTAL(3,Q13:Q15)</f>
        <v>3</v>
      </c>
      <c r="AA16" s="25"/>
      <c r="AB16" s="13"/>
      <c r="AG16" s="116"/>
      <c r="AH16" s="123"/>
      <c r="AI16" s="123"/>
      <c r="AJ16" s="123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25"/>
      <c r="AZ16" s="13"/>
      <c r="BC16" s="114"/>
    </row>
    <row r="17" spans="1:55" ht="20.100000000000001" customHeight="1" x14ac:dyDescent="0.4">
      <c r="A17" s="117">
        <v>45819</v>
      </c>
      <c r="B17" s="123">
        <v>7</v>
      </c>
      <c r="C17" s="123">
        <v>1</v>
      </c>
      <c r="D17" s="123">
        <v>2</v>
      </c>
      <c r="L17" s="115"/>
      <c r="M17" s="115"/>
      <c r="N17" s="115"/>
      <c r="O17" s="115"/>
      <c r="P17" s="25">
        <v>45807</v>
      </c>
      <c r="Q17" s="13" t="s">
        <v>146</v>
      </c>
      <c r="AA17" s="25"/>
      <c r="AB17" s="13"/>
      <c r="AG17" s="116"/>
      <c r="AH17" s="123"/>
      <c r="AI17" s="123"/>
      <c r="AJ17" s="123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25"/>
      <c r="AZ17" s="13"/>
      <c r="BC17" s="114"/>
    </row>
    <row r="18" spans="1:55" ht="20.100000000000001" customHeight="1" x14ac:dyDescent="0.4">
      <c r="A18" s="117">
        <v>45821</v>
      </c>
      <c r="B18" s="123">
        <v>2</v>
      </c>
      <c r="C18" s="123">
        <v>2</v>
      </c>
      <c r="D18" s="123">
        <v>1</v>
      </c>
      <c r="L18" s="115"/>
      <c r="M18" s="115"/>
      <c r="N18" s="115"/>
      <c r="O18" s="115" t="s">
        <v>184</v>
      </c>
      <c r="P18" s="13">
        <f>SUBTOTAL(3,P17:P17)</f>
        <v>1</v>
      </c>
      <c r="Q18" s="13">
        <f>SUBTOTAL(3,Q17:Q17)</f>
        <v>1</v>
      </c>
      <c r="AA18" s="25"/>
      <c r="AB18" s="13"/>
      <c r="AG18" s="116"/>
      <c r="AH18" s="123"/>
      <c r="AI18" s="123"/>
      <c r="AJ18" s="123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25"/>
      <c r="AZ18" s="13"/>
      <c r="BC18" s="114"/>
    </row>
    <row r="19" spans="1:55" ht="20.100000000000001" customHeight="1" x14ac:dyDescent="0.4">
      <c r="A19" s="117">
        <v>45822</v>
      </c>
      <c r="B19" s="123">
        <v>15</v>
      </c>
      <c r="C19" s="123">
        <v>4</v>
      </c>
      <c r="D19" s="123">
        <v>1</v>
      </c>
      <c r="L19" s="115"/>
      <c r="M19" s="115"/>
      <c r="N19" s="115"/>
      <c r="O19" s="115"/>
      <c r="P19" s="25">
        <v>45809</v>
      </c>
      <c r="Q19" s="13" t="s">
        <v>147</v>
      </c>
      <c r="AA19" s="25"/>
      <c r="AB19" s="13"/>
      <c r="AG19" s="116"/>
      <c r="AH19" s="123"/>
      <c r="AI19" s="123"/>
      <c r="AJ19" s="123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25"/>
      <c r="AZ19" s="13"/>
      <c r="BC19" s="114"/>
    </row>
    <row r="20" spans="1:55" ht="20.100000000000001" customHeight="1" x14ac:dyDescent="0.4">
      <c r="A20" s="117">
        <v>45823</v>
      </c>
      <c r="B20" s="123">
        <v>2</v>
      </c>
      <c r="C20" s="123">
        <v>2</v>
      </c>
      <c r="D20" s="123"/>
      <c r="L20" s="115"/>
      <c r="M20" s="115"/>
      <c r="N20" s="115"/>
      <c r="O20" s="115"/>
      <c r="P20" s="25">
        <v>45809</v>
      </c>
      <c r="Q20" s="13" t="s">
        <v>148</v>
      </c>
      <c r="AA20" s="25"/>
      <c r="AB20" s="13"/>
      <c r="AG20" s="116"/>
      <c r="AH20" s="123"/>
      <c r="AI20" s="123"/>
      <c r="AJ20" s="123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25"/>
      <c r="AZ20" s="13"/>
      <c r="BC20" s="114"/>
    </row>
    <row r="21" spans="1:55" ht="20.100000000000001" customHeight="1" x14ac:dyDescent="0.4">
      <c r="A21" s="117">
        <v>45824</v>
      </c>
      <c r="B21" s="123">
        <v>1</v>
      </c>
      <c r="C21" s="123"/>
      <c r="D21" s="123"/>
      <c r="L21" s="115"/>
      <c r="M21" s="115"/>
      <c r="N21" s="115"/>
      <c r="O21" s="115"/>
      <c r="P21" s="25">
        <v>45809</v>
      </c>
      <c r="Q21" s="13" t="s">
        <v>147</v>
      </c>
      <c r="AA21" s="25"/>
      <c r="AB21" s="13"/>
      <c r="AG21" s="116"/>
      <c r="AH21" s="123"/>
      <c r="AI21" s="123"/>
      <c r="AJ21" s="123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25"/>
      <c r="AZ21" s="13"/>
      <c r="BC21" s="114"/>
    </row>
    <row r="22" spans="1:55" ht="20.100000000000001" customHeight="1" x14ac:dyDescent="0.4">
      <c r="A22" s="117">
        <v>45825</v>
      </c>
      <c r="B22" s="123">
        <v>7</v>
      </c>
      <c r="C22" s="123">
        <v>4</v>
      </c>
      <c r="D22" s="123">
        <v>5</v>
      </c>
      <c r="P22" s="25">
        <v>45809</v>
      </c>
      <c r="Q22" s="15" t="s">
        <v>147</v>
      </c>
      <c r="AA22" s="25"/>
      <c r="AB22" s="13"/>
      <c r="AG22" s="116"/>
      <c r="AH22" s="123"/>
      <c r="AI22" s="123"/>
      <c r="AJ22" s="123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25"/>
      <c r="AZ22" s="13"/>
      <c r="BC22" s="114"/>
    </row>
    <row r="23" spans="1:55" ht="20.100000000000001" customHeight="1" x14ac:dyDescent="0.4">
      <c r="A23" s="117">
        <v>45826</v>
      </c>
      <c r="B23" s="123">
        <v>5</v>
      </c>
      <c r="C23" s="123"/>
      <c r="D23" s="123"/>
      <c r="N23" s="115"/>
      <c r="O23" s="115"/>
      <c r="P23" s="25">
        <v>45809</v>
      </c>
      <c r="Q23" s="13" t="s">
        <v>148</v>
      </c>
      <c r="AA23" s="25"/>
      <c r="AB23" s="13"/>
      <c r="AG23" s="116"/>
      <c r="AH23" s="123"/>
      <c r="AI23" s="123"/>
      <c r="AJ23" s="123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25"/>
      <c r="AZ23" s="13"/>
      <c r="BC23" s="114"/>
    </row>
    <row r="24" spans="1:55" ht="20.100000000000001" customHeight="1" x14ac:dyDescent="0.4">
      <c r="A24" s="117">
        <v>45827</v>
      </c>
      <c r="B24" s="123">
        <v>1</v>
      </c>
      <c r="C24" s="123"/>
      <c r="D24" s="123"/>
      <c r="N24" s="115"/>
      <c r="O24" s="115" t="s">
        <v>185</v>
      </c>
      <c r="P24" s="13">
        <f>SUBTOTAL(3,P19:P23)</f>
        <v>5</v>
      </c>
      <c r="Q24" s="13">
        <f>SUBTOTAL(3,Q19:Q23)</f>
        <v>5</v>
      </c>
      <c r="AA24" s="25"/>
      <c r="AB24" s="13"/>
      <c r="AG24" s="116"/>
      <c r="AH24" s="123"/>
      <c r="AI24" s="123"/>
      <c r="AJ24" s="123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25"/>
      <c r="AZ24" s="13"/>
      <c r="BC24" s="114"/>
    </row>
    <row r="25" spans="1:55" ht="20.100000000000001" customHeight="1" x14ac:dyDescent="0.4">
      <c r="A25" s="117">
        <v>45828</v>
      </c>
      <c r="B25" s="123"/>
      <c r="C25" s="123"/>
      <c r="D25" s="123">
        <v>1</v>
      </c>
      <c r="L25" s="115"/>
      <c r="M25" s="115"/>
      <c r="N25" s="115"/>
      <c r="O25" s="115"/>
      <c r="P25" s="25">
        <v>45810</v>
      </c>
      <c r="Q25" s="13" t="s">
        <v>147</v>
      </c>
      <c r="AA25" s="25"/>
      <c r="AB25" s="13"/>
      <c r="AG25" s="116"/>
      <c r="AH25" s="123"/>
      <c r="AI25" s="123"/>
      <c r="AJ25" s="123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25"/>
      <c r="AZ25" s="13"/>
      <c r="BC25" s="114"/>
    </row>
    <row r="26" spans="1:55" ht="20.100000000000001" customHeight="1" x14ac:dyDescent="0.4">
      <c r="A26" s="117">
        <v>45829</v>
      </c>
      <c r="B26" s="123">
        <v>8</v>
      </c>
      <c r="C26" s="123">
        <v>2</v>
      </c>
      <c r="D26" s="123">
        <v>3</v>
      </c>
      <c r="L26" s="115"/>
      <c r="M26" s="115"/>
      <c r="N26" s="115"/>
      <c r="O26" s="115" t="s">
        <v>183</v>
      </c>
      <c r="P26" s="13">
        <f>SUBTOTAL(3,P25:P25)</f>
        <v>1</v>
      </c>
      <c r="Q26" s="13">
        <f>SUBTOTAL(3,Q25:Q25)</f>
        <v>1</v>
      </c>
      <c r="AA26" s="25"/>
      <c r="AB26" s="13"/>
      <c r="AG26" s="116"/>
      <c r="AH26" s="123"/>
      <c r="AI26" s="123"/>
      <c r="AJ26" s="123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25"/>
      <c r="AZ26" s="13"/>
      <c r="BC26" s="114"/>
    </row>
    <row r="27" spans="1:55" ht="20.100000000000001" customHeight="1" x14ac:dyDescent="0.4">
      <c r="A27" s="117">
        <v>45830</v>
      </c>
      <c r="B27" s="123"/>
      <c r="C27" s="123">
        <v>3</v>
      </c>
      <c r="D27" s="123"/>
      <c r="L27" s="115"/>
      <c r="M27" s="115"/>
      <c r="N27" s="115"/>
      <c r="O27" s="115"/>
      <c r="P27" s="25">
        <v>45811</v>
      </c>
      <c r="Q27" s="13" t="s">
        <v>148</v>
      </c>
      <c r="AA27" s="25"/>
      <c r="AB27" s="13"/>
      <c r="AG27" s="116"/>
      <c r="AH27" s="123"/>
      <c r="AI27" s="123"/>
      <c r="AJ27" s="123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25"/>
      <c r="AZ27" s="13"/>
      <c r="BC27" s="114"/>
    </row>
    <row r="28" spans="1:55" ht="20.100000000000001" customHeight="1" x14ac:dyDescent="0.4">
      <c r="A28" s="117">
        <v>45832</v>
      </c>
      <c r="B28" s="123"/>
      <c r="C28" s="123">
        <v>1</v>
      </c>
      <c r="D28" s="123"/>
      <c r="K28" s="115"/>
      <c r="L28" s="115"/>
      <c r="M28" s="115"/>
      <c r="N28" s="115"/>
      <c r="O28" s="115"/>
      <c r="P28" s="25">
        <v>45811</v>
      </c>
      <c r="Q28" s="13" t="s">
        <v>146</v>
      </c>
      <c r="AA28" s="25"/>
      <c r="AB28" s="13"/>
      <c r="AG28" s="116"/>
      <c r="AH28" s="123"/>
      <c r="AI28" s="123"/>
      <c r="AJ28" s="123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25"/>
      <c r="AZ28" s="13"/>
      <c r="BC28" s="114"/>
    </row>
    <row r="29" spans="1:55" ht="20.100000000000001" customHeight="1" x14ac:dyDescent="0.4">
      <c r="A29" s="117">
        <v>45834</v>
      </c>
      <c r="B29" s="123"/>
      <c r="C29" s="123">
        <v>1</v>
      </c>
      <c r="D29" s="123"/>
      <c r="K29" s="115"/>
      <c r="L29" s="115"/>
      <c r="M29" s="115"/>
      <c r="N29" s="115"/>
      <c r="O29" s="115"/>
      <c r="P29" s="25">
        <v>45811</v>
      </c>
      <c r="Q29" s="13" t="s">
        <v>146</v>
      </c>
      <c r="AA29" s="25"/>
      <c r="AB29" s="13"/>
      <c r="AG29" s="116"/>
      <c r="AH29" s="123"/>
      <c r="AI29" s="123"/>
      <c r="AJ29" s="123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25"/>
      <c r="AZ29" s="13"/>
      <c r="BC29" s="114"/>
    </row>
    <row r="30" spans="1:55" ht="20.100000000000001" customHeight="1" x14ac:dyDescent="0.4">
      <c r="A30" s="117">
        <v>45836</v>
      </c>
      <c r="B30" s="123">
        <v>1</v>
      </c>
      <c r="C30" s="123">
        <v>2</v>
      </c>
      <c r="D30" s="123"/>
      <c r="K30" s="115"/>
      <c r="L30" s="115"/>
      <c r="M30" s="115"/>
      <c r="N30" s="115"/>
      <c r="O30" s="115"/>
      <c r="P30" s="25">
        <v>45811</v>
      </c>
      <c r="Q30" s="13" t="s">
        <v>146</v>
      </c>
      <c r="AA30" s="25"/>
      <c r="AB30" s="13"/>
      <c r="AG30" s="116"/>
      <c r="AH30" s="123"/>
      <c r="AI30" s="123"/>
      <c r="AJ30" s="123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25"/>
      <c r="AZ30" s="13"/>
      <c r="BC30" s="114"/>
    </row>
    <row r="31" spans="1:55" ht="20.100000000000001" customHeight="1" x14ac:dyDescent="0.4">
      <c r="A31" s="117">
        <v>45856</v>
      </c>
      <c r="B31" s="123"/>
      <c r="C31" s="123"/>
      <c r="D31" s="123">
        <v>1</v>
      </c>
      <c r="K31" s="115"/>
      <c r="L31" s="115"/>
      <c r="M31" s="115"/>
      <c r="N31" s="115"/>
      <c r="O31" s="115"/>
      <c r="P31" s="25">
        <v>45811</v>
      </c>
      <c r="Q31" s="13" t="s">
        <v>146</v>
      </c>
      <c r="AA31" s="25"/>
      <c r="AB31" s="13"/>
      <c r="AG31" s="116"/>
      <c r="AH31" s="123"/>
      <c r="AI31" s="123"/>
      <c r="AJ31" s="123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25"/>
      <c r="AZ31" s="13"/>
      <c r="BC31" s="114"/>
    </row>
    <row r="32" spans="1:55" ht="20.100000000000001" customHeight="1" x14ac:dyDescent="0.4">
      <c r="A32" s="117">
        <v>45859</v>
      </c>
      <c r="B32" s="123"/>
      <c r="C32" s="123">
        <v>1</v>
      </c>
      <c r="D32" s="123"/>
      <c r="F32" s="125"/>
      <c r="P32" s="25">
        <v>45811</v>
      </c>
      <c r="Q32" s="13" t="s">
        <v>147</v>
      </c>
      <c r="AA32" s="25"/>
      <c r="AB32" s="13"/>
      <c r="AG32" s="116"/>
      <c r="AH32" s="123"/>
      <c r="AI32" s="123"/>
      <c r="AJ32" s="123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25"/>
      <c r="AZ32" s="13"/>
      <c r="BC32" s="114"/>
    </row>
    <row r="33" spans="1:55" ht="20.100000000000001" customHeight="1" x14ac:dyDescent="0.4">
      <c r="A33" s="117"/>
      <c r="B33" s="123">
        <f>SUM(B3:B32)</f>
        <v>77</v>
      </c>
      <c r="C33" s="123">
        <f>SUM(C3:C32)</f>
        <v>48</v>
      </c>
      <c r="D33" s="123">
        <f>SUM(D4:D32)</f>
        <v>23</v>
      </c>
      <c r="F33" s="117"/>
      <c r="J33" s="115"/>
      <c r="K33" s="115"/>
      <c r="L33" s="115"/>
      <c r="M33" s="115"/>
      <c r="N33" s="115"/>
      <c r="O33" s="115"/>
      <c r="P33" s="25">
        <v>45811</v>
      </c>
      <c r="Q33" s="13" t="s">
        <v>147</v>
      </c>
      <c r="AA33" s="25"/>
      <c r="AB33" s="13"/>
      <c r="AG33" s="116"/>
      <c r="AH33" s="123"/>
      <c r="AI33" s="123"/>
      <c r="AJ33" s="123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25"/>
      <c r="AZ33" s="13"/>
      <c r="BC33" s="114"/>
    </row>
    <row r="34" spans="1:55" ht="20.100000000000001" customHeight="1" x14ac:dyDescent="0.4">
      <c r="A34" s="117"/>
      <c r="B34" s="123"/>
      <c r="C34" s="123"/>
      <c r="D34" s="123">
        <f>SUM(B33:D33)</f>
        <v>148</v>
      </c>
      <c r="F34" s="117"/>
      <c r="J34" s="115"/>
      <c r="K34" s="115"/>
      <c r="L34" s="115"/>
      <c r="M34" s="115"/>
      <c r="N34" s="115"/>
      <c r="O34" s="115"/>
      <c r="P34" s="25">
        <v>45811</v>
      </c>
      <c r="Q34" s="13" t="s">
        <v>146</v>
      </c>
      <c r="AA34" s="25"/>
      <c r="AB34" s="13"/>
      <c r="AG34" s="116"/>
      <c r="AH34" s="123"/>
      <c r="AI34" s="123"/>
      <c r="AJ34" s="123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25"/>
      <c r="AZ34" s="13"/>
      <c r="BC34" s="114"/>
    </row>
    <row r="35" spans="1:55" ht="20.100000000000001" customHeight="1" x14ac:dyDescent="0.4">
      <c r="A35" s="117"/>
      <c r="B35" s="123"/>
      <c r="C35" s="123"/>
      <c r="D35" s="123"/>
      <c r="F35" s="117"/>
      <c r="J35" s="115"/>
      <c r="K35" s="115"/>
      <c r="L35" s="115"/>
      <c r="M35" s="115"/>
      <c r="N35" s="115"/>
      <c r="O35" s="115"/>
      <c r="P35" s="25">
        <v>45811</v>
      </c>
      <c r="Q35" s="13" t="s">
        <v>146</v>
      </c>
      <c r="AA35" s="25"/>
      <c r="AB35" s="13"/>
      <c r="AG35" s="116"/>
      <c r="AH35" s="123"/>
      <c r="AI35" s="123"/>
      <c r="AJ35" s="123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25"/>
      <c r="AZ35" s="13"/>
      <c r="BC35" s="114"/>
    </row>
    <row r="36" spans="1:55" ht="20.100000000000001" customHeight="1" x14ac:dyDescent="0.4">
      <c r="A36" s="117"/>
      <c r="B36" s="123"/>
      <c r="C36" s="123"/>
      <c r="D36" s="123"/>
      <c r="F36" s="117"/>
      <c r="H36" s="115"/>
      <c r="I36" s="115"/>
      <c r="J36" s="115"/>
      <c r="K36" s="115"/>
      <c r="L36" s="115"/>
      <c r="M36" s="115"/>
      <c r="N36" s="115"/>
      <c r="O36" s="115"/>
      <c r="P36" s="25">
        <v>45811</v>
      </c>
      <c r="Q36" s="13" t="s">
        <v>146</v>
      </c>
      <c r="AA36" s="25"/>
      <c r="AB36" s="13"/>
      <c r="AG36" s="116"/>
      <c r="AH36" s="123"/>
      <c r="AI36" s="123"/>
      <c r="AJ36" s="123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25"/>
      <c r="AZ36" s="13"/>
      <c r="BC36" s="114"/>
    </row>
    <row r="37" spans="1:55" ht="20.100000000000001" customHeight="1" x14ac:dyDescent="0.4">
      <c r="A37" s="117"/>
      <c r="B37" s="123"/>
      <c r="C37" s="123"/>
      <c r="D37" s="123"/>
      <c r="F37" s="117"/>
      <c r="H37" s="115"/>
      <c r="I37" s="115"/>
      <c r="J37" s="115"/>
      <c r="K37" s="115"/>
      <c r="L37" s="115"/>
      <c r="M37" s="115"/>
      <c r="N37" s="115"/>
      <c r="O37" s="115"/>
      <c r="P37" s="25">
        <v>45811</v>
      </c>
      <c r="Q37" s="13" t="s">
        <v>146</v>
      </c>
      <c r="AA37" s="25"/>
      <c r="AB37" s="13"/>
      <c r="AG37" s="116"/>
      <c r="AH37" s="123"/>
      <c r="AI37" s="123"/>
      <c r="AJ37" s="123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25"/>
      <c r="AZ37" s="13"/>
      <c r="BC37" s="114"/>
    </row>
    <row r="38" spans="1:55" ht="20.100000000000001" customHeight="1" x14ac:dyDescent="0.4">
      <c r="A38" s="117"/>
      <c r="B38" s="123"/>
      <c r="C38" s="123"/>
      <c r="D38" s="123"/>
      <c r="F38" s="117"/>
      <c r="H38" s="115"/>
      <c r="I38" s="115"/>
      <c r="J38" s="115"/>
      <c r="K38" s="115"/>
      <c r="L38" s="115"/>
      <c r="M38" s="115"/>
      <c r="N38" s="115"/>
      <c r="O38" s="115" t="s">
        <v>186</v>
      </c>
      <c r="P38" s="13">
        <f>SUBTOTAL(3,P27:P37)</f>
        <v>11</v>
      </c>
      <c r="Q38" s="13">
        <f>SUBTOTAL(3,Q27:Q37)</f>
        <v>11</v>
      </c>
      <c r="AA38" s="25"/>
      <c r="AB38" s="13"/>
      <c r="AG38" s="116"/>
      <c r="AH38" s="123"/>
      <c r="AI38" s="123"/>
      <c r="AJ38" s="123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25"/>
      <c r="AZ38" s="13"/>
      <c r="BC38" s="114"/>
    </row>
    <row r="39" spans="1:55" ht="20.100000000000001" customHeight="1" x14ac:dyDescent="0.4">
      <c r="A39" s="117"/>
      <c r="B39" s="123"/>
      <c r="C39" s="123"/>
      <c r="D39" s="123"/>
      <c r="F39" s="117"/>
      <c r="H39" s="115"/>
      <c r="I39" s="115"/>
      <c r="J39" s="115"/>
      <c r="K39" s="115"/>
      <c r="L39" s="115"/>
      <c r="M39" s="115"/>
      <c r="N39" s="115"/>
      <c r="O39" s="115"/>
      <c r="P39" s="25">
        <v>45812</v>
      </c>
      <c r="Q39" s="13" t="s">
        <v>147</v>
      </c>
      <c r="AA39" s="25"/>
      <c r="AB39" s="13"/>
      <c r="AG39" s="116"/>
      <c r="AH39" s="123"/>
      <c r="AI39" s="123"/>
      <c r="AJ39" s="123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25"/>
      <c r="AZ39" s="13"/>
      <c r="BC39" s="114"/>
    </row>
    <row r="40" spans="1:55" ht="20.100000000000001" customHeight="1" x14ac:dyDescent="0.4">
      <c r="A40" s="117"/>
      <c r="B40" s="123"/>
      <c r="C40" s="123"/>
      <c r="D40" s="123"/>
      <c r="F40" s="117"/>
      <c r="H40" s="115"/>
      <c r="I40" s="115"/>
      <c r="J40" s="115"/>
      <c r="K40" s="115"/>
      <c r="L40" s="115"/>
      <c r="M40" s="115"/>
      <c r="N40" s="115"/>
      <c r="O40" s="115"/>
      <c r="P40" s="25">
        <v>45812</v>
      </c>
      <c r="Q40" s="15" t="s">
        <v>146</v>
      </c>
      <c r="AA40" s="25"/>
      <c r="AB40" s="13"/>
      <c r="AG40" s="116"/>
      <c r="AH40" s="123"/>
      <c r="AI40" s="123"/>
      <c r="AJ40" s="123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25"/>
      <c r="AZ40" s="13"/>
      <c r="BC40" s="114"/>
    </row>
    <row r="41" spans="1:55" ht="20.100000000000001" customHeight="1" x14ac:dyDescent="0.4">
      <c r="A41" s="117"/>
      <c r="B41" s="123"/>
      <c r="C41" s="123"/>
      <c r="D41" s="123"/>
      <c r="F41" s="117"/>
      <c r="H41" s="115"/>
      <c r="I41" s="115"/>
      <c r="J41" s="115"/>
      <c r="K41" s="115"/>
      <c r="L41" s="115"/>
      <c r="M41" s="115"/>
      <c r="N41" s="115"/>
      <c r="O41" s="115"/>
      <c r="P41" s="25">
        <v>45812</v>
      </c>
      <c r="Q41" s="13" t="s">
        <v>147</v>
      </c>
      <c r="AA41" s="25"/>
      <c r="AB41" s="13"/>
      <c r="AG41" s="116"/>
      <c r="AH41" s="123"/>
      <c r="AI41" s="123"/>
      <c r="AJ41" s="123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25"/>
      <c r="AZ41" s="13"/>
      <c r="BC41" s="114"/>
    </row>
    <row r="42" spans="1:55" ht="20.100000000000001" customHeight="1" x14ac:dyDescent="0.4">
      <c r="A42" s="117"/>
      <c r="B42" s="123"/>
      <c r="C42" s="123"/>
      <c r="D42" s="123"/>
      <c r="F42" s="117"/>
      <c r="H42" s="115"/>
      <c r="I42" s="115"/>
      <c r="J42" s="115"/>
      <c r="K42" s="115"/>
      <c r="L42" s="115"/>
      <c r="M42" s="115"/>
      <c r="N42" s="115"/>
      <c r="O42" s="115"/>
      <c r="P42" s="25">
        <v>45812</v>
      </c>
      <c r="Q42" s="13" t="s">
        <v>148</v>
      </c>
      <c r="AA42" s="25"/>
      <c r="AB42" s="13"/>
      <c r="AG42" s="116"/>
      <c r="AH42" s="123"/>
      <c r="AI42" s="123"/>
      <c r="AJ42" s="123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25"/>
      <c r="AZ42" s="13"/>
      <c r="BC42" s="114"/>
    </row>
    <row r="43" spans="1:55" ht="20.100000000000001" customHeight="1" x14ac:dyDescent="0.4">
      <c r="A43" s="117"/>
      <c r="B43" s="123"/>
      <c r="C43" s="123"/>
      <c r="D43" s="123"/>
      <c r="F43" s="117"/>
      <c r="H43" s="115"/>
      <c r="I43" s="115"/>
      <c r="J43" s="115"/>
      <c r="K43" s="115"/>
      <c r="L43" s="115"/>
      <c r="M43" s="115"/>
      <c r="N43" s="115"/>
      <c r="O43" s="115"/>
      <c r="P43" s="25">
        <v>45812</v>
      </c>
      <c r="Q43" s="13" t="s">
        <v>146</v>
      </c>
      <c r="AA43" s="25"/>
      <c r="AB43" s="13"/>
      <c r="AG43" s="116"/>
      <c r="AH43" s="123"/>
      <c r="AI43" s="123"/>
      <c r="AJ43" s="123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25"/>
      <c r="AZ43" s="13"/>
      <c r="BC43" s="114"/>
    </row>
    <row r="44" spans="1:55" ht="20.100000000000001" customHeight="1" x14ac:dyDescent="0.4">
      <c r="A44" s="117"/>
      <c r="B44" s="123"/>
      <c r="C44" s="123"/>
      <c r="D44" s="123"/>
      <c r="F44" s="125"/>
      <c r="H44" s="115"/>
      <c r="I44" s="115"/>
      <c r="J44" s="115"/>
      <c r="K44" s="115"/>
      <c r="L44" s="115"/>
      <c r="M44" s="115"/>
      <c r="N44" s="115"/>
      <c r="O44" s="115" t="s">
        <v>187</v>
      </c>
      <c r="P44" s="13">
        <f>SUBTOTAL(3,P39:P43)</f>
        <v>5</v>
      </c>
      <c r="Q44" s="13">
        <f>SUBTOTAL(3,Q39:Q43)</f>
        <v>5</v>
      </c>
      <c r="AA44" s="25"/>
      <c r="AB44" s="13"/>
      <c r="AG44" s="116"/>
      <c r="AH44" s="123"/>
      <c r="AI44" s="123"/>
      <c r="AJ44" s="123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25"/>
      <c r="AZ44" s="13"/>
      <c r="BC44" s="114"/>
    </row>
    <row r="45" spans="1:55" ht="20.100000000000001" customHeight="1" x14ac:dyDescent="0.4">
      <c r="A45" s="117"/>
      <c r="B45" s="123"/>
      <c r="C45" s="123"/>
      <c r="D45" s="123"/>
      <c r="F45" s="125"/>
      <c r="H45" s="115"/>
      <c r="I45" s="115"/>
      <c r="J45" s="115"/>
      <c r="K45" s="115"/>
      <c r="L45" s="115"/>
      <c r="M45" s="115"/>
      <c r="N45" s="115"/>
      <c r="O45" s="115"/>
      <c r="P45" s="25">
        <v>45813</v>
      </c>
      <c r="Q45" s="13" t="s">
        <v>147</v>
      </c>
      <c r="AA45" s="25"/>
      <c r="AB45" s="13"/>
      <c r="AG45" s="116"/>
      <c r="AH45" s="123"/>
      <c r="AI45" s="123"/>
      <c r="AJ45" s="123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25"/>
      <c r="AZ45" s="13"/>
      <c r="BC45" s="114"/>
    </row>
    <row r="46" spans="1:55" ht="20.100000000000001" customHeight="1" x14ac:dyDescent="0.4">
      <c r="A46" s="117"/>
      <c r="B46" s="123"/>
      <c r="C46" s="123"/>
      <c r="D46" s="123"/>
      <c r="F46" s="125"/>
      <c r="H46" s="115"/>
      <c r="I46" s="115"/>
      <c r="J46" s="115"/>
      <c r="K46" s="115"/>
      <c r="L46" s="115"/>
      <c r="M46" s="115"/>
      <c r="N46" s="115"/>
      <c r="O46" s="115"/>
      <c r="P46" s="25">
        <v>45813</v>
      </c>
      <c r="Q46" s="13" t="s">
        <v>147</v>
      </c>
      <c r="AA46" s="25"/>
      <c r="AB46" s="13"/>
      <c r="AG46" s="116"/>
      <c r="AH46" s="123"/>
      <c r="AI46" s="123"/>
      <c r="AJ46" s="123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25"/>
      <c r="AZ46" s="13"/>
      <c r="BC46" s="114"/>
    </row>
    <row r="47" spans="1:55" ht="20.100000000000001" customHeight="1" x14ac:dyDescent="0.4">
      <c r="A47" s="117"/>
      <c r="B47" s="123"/>
      <c r="C47" s="123"/>
      <c r="D47" s="123"/>
      <c r="F47" s="125"/>
      <c r="H47" s="115"/>
      <c r="I47" s="115"/>
      <c r="J47" s="115"/>
      <c r="K47" s="115"/>
      <c r="L47" s="115"/>
      <c r="M47" s="115"/>
      <c r="N47" s="115"/>
      <c r="O47" s="115"/>
      <c r="P47" s="25">
        <v>45813</v>
      </c>
      <c r="Q47" s="13" t="s">
        <v>147</v>
      </c>
      <c r="AA47" s="25"/>
      <c r="AB47" s="13"/>
      <c r="AG47" s="116"/>
      <c r="AH47" s="123"/>
      <c r="AI47" s="123"/>
      <c r="AJ47" s="123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25"/>
      <c r="AZ47" s="13"/>
      <c r="BC47" s="114"/>
    </row>
    <row r="48" spans="1:55" ht="20.100000000000001" customHeight="1" x14ac:dyDescent="0.4">
      <c r="A48" s="117"/>
      <c r="B48" s="123"/>
      <c r="C48" s="123"/>
      <c r="D48" s="123"/>
      <c r="F48" s="125"/>
      <c r="H48" s="115"/>
      <c r="I48" s="115"/>
      <c r="J48" s="115"/>
      <c r="K48" s="115"/>
      <c r="L48" s="115"/>
      <c r="M48" s="115"/>
      <c r="N48" s="115"/>
      <c r="O48" s="115"/>
      <c r="P48" s="25">
        <v>45813</v>
      </c>
      <c r="Q48" s="13" t="s">
        <v>147</v>
      </c>
      <c r="AA48" s="25"/>
      <c r="AB48" s="13"/>
      <c r="AG48" s="116"/>
      <c r="AH48" s="123"/>
      <c r="AI48" s="123"/>
      <c r="AJ48" s="123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25"/>
      <c r="AZ48" s="13"/>
      <c r="BC48" s="114"/>
    </row>
    <row r="49" spans="1:55" ht="20.100000000000001" customHeight="1" x14ac:dyDescent="0.4">
      <c r="A49" s="117"/>
      <c r="B49" s="123"/>
      <c r="C49" s="123"/>
      <c r="D49" s="123"/>
      <c r="F49" s="125"/>
      <c r="H49" s="115"/>
      <c r="I49" s="115"/>
      <c r="J49" s="115"/>
      <c r="K49" s="115"/>
      <c r="L49" s="115"/>
      <c r="M49" s="115"/>
      <c r="N49" s="115"/>
      <c r="O49" s="115"/>
      <c r="P49" s="25">
        <v>45813</v>
      </c>
      <c r="Q49" s="13" t="s">
        <v>147</v>
      </c>
      <c r="AA49" s="25"/>
      <c r="AB49" s="13"/>
      <c r="AG49" s="116"/>
      <c r="AH49" s="123"/>
      <c r="AI49" s="123"/>
      <c r="AJ49" s="123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25"/>
      <c r="AZ49" s="13"/>
      <c r="BC49" s="114"/>
    </row>
    <row r="50" spans="1:55" ht="20.100000000000001" customHeight="1" x14ac:dyDescent="0.4">
      <c r="A50" s="117"/>
      <c r="B50" s="123"/>
      <c r="C50" s="123"/>
      <c r="D50" s="123"/>
      <c r="F50" s="125"/>
      <c r="H50" s="115"/>
      <c r="I50" s="115"/>
      <c r="J50" s="115"/>
      <c r="K50" s="115"/>
      <c r="L50" s="115"/>
      <c r="M50" s="115"/>
      <c r="N50" s="115"/>
      <c r="O50" s="115" t="s">
        <v>379</v>
      </c>
      <c r="P50" s="13">
        <f>SUBTOTAL(3,P45:P49)</f>
        <v>5</v>
      </c>
      <c r="Q50" s="13">
        <f>SUBTOTAL(3,Q45:Q49)</f>
        <v>5</v>
      </c>
      <c r="AA50" s="25"/>
      <c r="AB50" s="13"/>
      <c r="AG50" s="116"/>
      <c r="AH50" s="123"/>
      <c r="AI50" s="123"/>
      <c r="AJ50" s="123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25"/>
      <c r="AZ50" s="13"/>
      <c r="BC50" s="114"/>
    </row>
    <row r="51" spans="1:55" ht="20.100000000000001" customHeight="1" x14ac:dyDescent="0.4">
      <c r="A51" s="117"/>
      <c r="B51" s="123"/>
      <c r="C51" s="123"/>
      <c r="D51" s="123"/>
      <c r="F51" s="125"/>
      <c r="H51" s="115"/>
      <c r="I51" s="115"/>
      <c r="J51" s="115"/>
      <c r="K51" s="115"/>
      <c r="L51" s="115"/>
      <c r="M51" s="115"/>
      <c r="N51" s="115"/>
      <c r="O51" s="115"/>
      <c r="P51" s="25">
        <v>45816</v>
      </c>
      <c r="Q51" s="13" t="s">
        <v>146</v>
      </c>
      <c r="AA51" s="25"/>
      <c r="AB51" s="13"/>
      <c r="AG51" s="116"/>
      <c r="AH51" s="123"/>
      <c r="AI51" s="123"/>
      <c r="AJ51" s="123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25"/>
      <c r="AZ51" s="13"/>
      <c r="BC51" s="114"/>
    </row>
    <row r="52" spans="1:55" ht="20.100000000000001" customHeight="1" x14ac:dyDescent="0.4">
      <c r="A52" s="117"/>
      <c r="B52" s="123"/>
      <c r="C52" s="123"/>
      <c r="D52" s="123"/>
      <c r="F52" s="125"/>
      <c r="H52" s="115"/>
      <c r="I52" s="115"/>
      <c r="J52" s="115"/>
      <c r="K52" s="115"/>
      <c r="L52" s="115"/>
      <c r="M52" s="115"/>
      <c r="N52" s="115"/>
      <c r="O52" s="115"/>
      <c r="P52" s="25">
        <v>45816</v>
      </c>
      <c r="Q52" s="13" t="s">
        <v>146</v>
      </c>
      <c r="AA52" s="25"/>
      <c r="AB52" s="13"/>
      <c r="AG52" s="116"/>
      <c r="AH52" s="123"/>
      <c r="AI52" s="123"/>
      <c r="AJ52" s="123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25"/>
      <c r="AZ52" s="13"/>
      <c r="BC52" s="114"/>
    </row>
    <row r="53" spans="1:55" ht="20.100000000000001" customHeight="1" x14ac:dyDescent="0.4">
      <c r="A53" s="117"/>
      <c r="B53" s="123"/>
      <c r="C53" s="123"/>
      <c r="D53" s="123"/>
      <c r="F53" s="125"/>
      <c r="H53" s="115"/>
      <c r="I53" s="115"/>
      <c r="J53" s="115"/>
      <c r="K53" s="115"/>
      <c r="L53" s="115"/>
      <c r="M53" s="115"/>
      <c r="N53" s="115"/>
      <c r="O53" s="115"/>
      <c r="P53" s="25">
        <v>45816</v>
      </c>
      <c r="Q53" s="13" t="s">
        <v>146</v>
      </c>
      <c r="AA53" s="25"/>
      <c r="AB53" s="13"/>
      <c r="AG53" s="116"/>
      <c r="AH53" s="123"/>
      <c r="AI53" s="123"/>
      <c r="AJ53" s="123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25"/>
      <c r="AZ53" s="13"/>
      <c r="BC53" s="114"/>
    </row>
    <row r="54" spans="1:55" ht="20.100000000000001" customHeight="1" x14ac:dyDescent="0.4">
      <c r="A54" s="117"/>
      <c r="B54" s="123"/>
      <c r="C54" s="123"/>
      <c r="D54" s="123"/>
      <c r="F54" s="125"/>
      <c r="H54" s="115"/>
      <c r="I54" s="115"/>
      <c r="J54" s="115"/>
      <c r="K54" s="115"/>
      <c r="L54" s="115"/>
      <c r="M54" s="115"/>
      <c r="N54" s="115"/>
      <c r="O54" s="115"/>
      <c r="P54" s="25">
        <v>45816</v>
      </c>
      <c r="Q54" s="13" t="s">
        <v>146</v>
      </c>
      <c r="AA54" s="25"/>
      <c r="AB54" s="13"/>
      <c r="AG54" s="116"/>
      <c r="AH54" s="123"/>
      <c r="AI54" s="123"/>
      <c r="AJ54" s="123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25"/>
      <c r="AZ54" s="13"/>
      <c r="BC54" s="114"/>
    </row>
    <row r="55" spans="1:55" ht="20.100000000000001" customHeight="1" x14ac:dyDescent="0.4">
      <c r="A55" s="117"/>
      <c r="B55" s="123"/>
      <c r="C55" s="123"/>
      <c r="D55" s="123"/>
      <c r="F55" s="125"/>
      <c r="H55" s="115"/>
      <c r="I55" s="115"/>
      <c r="J55" s="115"/>
      <c r="K55" s="115"/>
      <c r="L55" s="115"/>
      <c r="M55" s="115"/>
      <c r="N55" s="115"/>
      <c r="O55" s="115"/>
      <c r="P55" s="25">
        <v>45816</v>
      </c>
      <c r="Q55" s="13" t="s">
        <v>146</v>
      </c>
      <c r="AA55" s="25"/>
      <c r="AB55" s="13"/>
      <c r="AG55" s="116"/>
      <c r="AH55" s="123"/>
      <c r="AI55" s="123"/>
      <c r="AJ55" s="123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25"/>
      <c r="AZ55" s="13"/>
      <c r="BC55" s="114"/>
    </row>
    <row r="56" spans="1:55" ht="20.100000000000001" customHeight="1" x14ac:dyDescent="0.4">
      <c r="A56" s="117"/>
      <c r="B56" s="123"/>
      <c r="C56" s="123"/>
      <c r="D56" s="123"/>
      <c r="F56" s="125"/>
      <c r="H56" s="115"/>
      <c r="I56" s="115"/>
      <c r="J56" s="115"/>
      <c r="K56" s="115"/>
      <c r="L56" s="115"/>
      <c r="M56" s="115"/>
      <c r="N56" s="115"/>
      <c r="O56" s="115"/>
      <c r="P56" s="25">
        <v>45816</v>
      </c>
      <c r="Q56" s="13" t="s">
        <v>146</v>
      </c>
      <c r="AA56" s="25"/>
      <c r="AB56" s="13"/>
      <c r="AG56" s="116"/>
      <c r="AH56" s="123"/>
      <c r="AI56" s="123"/>
      <c r="AJ56" s="123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25"/>
      <c r="AZ56" s="13"/>
      <c r="BC56" s="114"/>
    </row>
    <row r="57" spans="1:55" ht="20.100000000000001" customHeight="1" x14ac:dyDescent="0.4">
      <c r="A57" s="117"/>
      <c r="B57" s="123"/>
      <c r="C57" s="123"/>
      <c r="D57" s="123"/>
      <c r="F57" s="125"/>
      <c r="H57" s="115"/>
      <c r="I57" s="115"/>
      <c r="J57" s="115"/>
      <c r="K57" s="115"/>
      <c r="L57" s="115"/>
      <c r="M57" s="115"/>
      <c r="N57" s="115"/>
      <c r="O57" s="115"/>
      <c r="P57" s="25">
        <v>45816</v>
      </c>
      <c r="Q57" s="15" t="s">
        <v>147</v>
      </c>
      <c r="AA57" s="25"/>
      <c r="AB57" s="13"/>
      <c r="AG57" s="116"/>
      <c r="AH57" s="123"/>
      <c r="AI57" s="123"/>
      <c r="AJ57" s="123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25"/>
      <c r="AZ57" s="13"/>
      <c r="BC57" s="114"/>
    </row>
    <row r="58" spans="1:55" ht="20.100000000000001" customHeight="1" x14ac:dyDescent="0.4">
      <c r="A58" s="117"/>
      <c r="B58" s="123"/>
      <c r="C58" s="123"/>
      <c r="D58" s="123"/>
      <c r="F58" s="125"/>
      <c r="P58" s="25">
        <v>45816</v>
      </c>
      <c r="Q58" s="15" t="s">
        <v>147</v>
      </c>
      <c r="W58" s="115"/>
      <c r="X58" s="115"/>
      <c r="Y58" s="115"/>
      <c r="Z58" s="115"/>
      <c r="AA58" s="25">
        <v>45669</v>
      </c>
      <c r="AB58" s="13" t="s">
        <v>147</v>
      </c>
      <c r="AG58" s="116"/>
      <c r="AH58" s="123"/>
      <c r="AI58" s="123"/>
      <c r="AJ58" s="123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25"/>
      <c r="AZ58" s="13"/>
      <c r="BC58" s="114"/>
    </row>
    <row r="59" spans="1:55" ht="20.100000000000001" customHeight="1" x14ac:dyDescent="0.4">
      <c r="A59" s="117"/>
      <c r="B59" s="123"/>
      <c r="C59" s="123"/>
      <c r="D59" s="123"/>
      <c r="F59" s="125"/>
      <c r="N59" s="115"/>
      <c r="O59" s="115"/>
      <c r="P59" s="25">
        <v>45816</v>
      </c>
      <c r="Q59" s="105" t="s">
        <v>147</v>
      </c>
      <c r="W59" s="115"/>
      <c r="X59" s="115"/>
      <c r="Y59" s="115"/>
      <c r="Z59" s="115"/>
      <c r="AA59" s="25"/>
      <c r="AB59" s="13"/>
      <c r="AG59" s="116"/>
      <c r="AH59" s="123"/>
      <c r="AI59" s="123"/>
      <c r="AJ59" s="123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25"/>
      <c r="AZ59" s="13"/>
      <c r="BC59" s="114"/>
    </row>
    <row r="60" spans="1:55" ht="20.100000000000001" customHeight="1" x14ac:dyDescent="0.4">
      <c r="A60" s="117"/>
      <c r="B60" s="123"/>
      <c r="C60" s="123"/>
      <c r="D60" s="123"/>
      <c r="F60" s="125"/>
      <c r="P60" s="25">
        <v>45816</v>
      </c>
      <c r="Q60" s="105" t="s">
        <v>147</v>
      </c>
      <c r="W60" s="115"/>
      <c r="X60" s="115"/>
      <c r="Y60" s="115"/>
      <c r="Z60" s="115"/>
      <c r="AA60" s="25"/>
      <c r="AB60" s="13"/>
      <c r="AG60" s="116"/>
      <c r="AH60" s="123"/>
      <c r="AI60" s="123"/>
      <c r="AJ60" s="123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25"/>
      <c r="AZ60" s="13"/>
      <c r="BC60" s="114"/>
    </row>
    <row r="61" spans="1:55" ht="20.100000000000001" customHeight="1" x14ac:dyDescent="0.4">
      <c r="A61" s="117"/>
      <c r="B61" s="123"/>
      <c r="C61" s="123"/>
      <c r="D61" s="123"/>
      <c r="F61" s="125"/>
      <c r="I61" s="115"/>
      <c r="J61" s="115"/>
      <c r="K61" s="115"/>
      <c r="L61" s="115"/>
      <c r="M61" s="115"/>
      <c r="N61" s="115"/>
      <c r="O61" s="115"/>
      <c r="P61" s="25">
        <v>45816</v>
      </c>
      <c r="Q61" s="105" t="s">
        <v>147</v>
      </c>
      <c r="W61" s="115"/>
      <c r="X61" s="115"/>
      <c r="Y61" s="115"/>
      <c r="Z61" s="115"/>
      <c r="AA61" s="25"/>
      <c r="AB61" s="13"/>
      <c r="AG61" s="116"/>
      <c r="AH61" s="123"/>
      <c r="AI61" s="123"/>
      <c r="AJ61" s="123"/>
      <c r="AO61" s="115"/>
      <c r="AP61" s="115"/>
      <c r="AQ61" s="115"/>
      <c r="AR61" s="115"/>
      <c r="AS61" s="115"/>
      <c r="AT61" s="115"/>
      <c r="AU61" s="115"/>
      <c r="AV61" s="115"/>
      <c r="AW61" s="115"/>
      <c r="AX61" s="115"/>
      <c r="AY61" s="25"/>
      <c r="AZ61" s="13"/>
      <c r="BC61" s="114"/>
    </row>
    <row r="62" spans="1:55" ht="20.100000000000001" customHeight="1" x14ac:dyDescent="0.4">
      <c r="A62" s="117"/>
      <c r="B62" s="123"/>
      <c r="C62" s="123"/>
      <c r="D62" s="123"/>
      <c r="F62" s="125"/>
      <c r="H62" s="115"/>
      <c r="I62" s="115"/>
      <c r="J62" s="115"/>
      <c r="K62" s="115"/>
      <c r="L62" s="115"/>
      <c r="M62" s="115"/>
      <c r="N62" s="115"/>
      <c r="O62" s="115"/>
      <c r="P62" s="25">
        <v>45816</v>
      </c>
      <c r="Q62" s="15" t="s">
        <v>147</v>
      </c>
      <c r="W62" s="115"/>
      <c r="X62" s="115"/>
      <c r="Y62" s="115"/>
      <c r="Z62" s="115"/>
      <c r="AA62" s="25"/>
      <c r="AB62" s="13"/>
      <c r="AG62" s="116"/>
      <c r="AH62" s="123"/>
      <c r="AI62" s="123"/>
      <c r="AJ62" s="123"/>
      <c r="AO62" s="115"/>
      <c r="AP62" s="115"/>
      <c r="AQ62" s="115"/>
      <c r="AR62" s="115"/>
      <c r="AS62" s="115"/>
      <c r="AT62" s="115"/>
      <c r="AU62" s="115"/>
      <c r="AV62" s="115"/>
      <c r="AW62" s="115"/>
      <c r="AX62" s="115"/>
      <c r="AY62" s="25"/>
      <c r="AZ62" s="13"/>
      <c r="BC62" s="114"/>
    </row>
    <row r="63" spans="1:55" ht="20.100000000000001" customHeight="1" x14ac:dyDescent="0.4">
      <c r="A63" s="117"/>
      <c r="B63" s="123"/>
      <c r="C63" s="123"/>
      <c r="D63" s="123"/>
      <c r="F63" s="125"/>
      <c r="H63" s="115"/>
      <c r="I63" s="115"/>
      <c r="J63" s="115"/>
      <c r="K63" s="115"/>
      <c r="L63" s="115"/>
      <c r="M63" s="115"/>
      <c r="N63" s="115"/>
      <c r="O63" s="115"/>
      <c r="P63" s="25">
        <v>45816</v>
      </c>
      <c r="Q63" s="15" t="s">
        <v>147</v>
      </c>
      <c r="W63" s="115"/>
      <c r="X63" s="115"/>
      <c r="Y63" s="115"/>
      <c r="Z63" s="115"/>
      <c r="AA63" s="25"/>
      <c r="AB63" s="13"/>
      <c r="AG63" s="116"/>
      <c r="AH63" s="123"/>
      <c r="AI63" s="123"/>
      <c r="AJ63" s="123"/>
      <c r="AO63" s="115"/>
      <c r="AP63" s="115"/>
      <c r="AQ63" s="115"/>
      <c r="AR63" s="115"/>
      <c r="AS63" s="115"/>
      <c r="AT63" s="115"/>
      <c r="AU63" s="115"/>
      <c r="AV63" s="115"/>
      <c r="AW63" s="115"/>
      <c r="AX63" s="115"/>
      <c r="AY63" s="25"/>
      <c r="AZ63" s="13"/>
      <c r="BC63" s="114"/>
    </row>
    <row r="64" spans="1:55" ht="20.100000000000001" customHeight="1" x14ac:dyDescent="0.4">
      <c r="A64" s="117"/>
      <c r="B64" s="123"/>
      <c r="C64" s="123"/>
      <c r="D64" s="123"/>
      <c r="F64" s="125"/>
      <c r="H64" s="115"/>
      <c r="I64" s="115"/>
      <c r="J64" s="115"/>
      <c r="K64" s="115"/>
      <c r="L64" s="115"/>
      <c r="M64" s="115"/>
      <c r="N64" s="115"/>
      <c r="O64" s="115" t="s">
        <v>188</v>
      </c>
      <c r="P64" s="13">
        <f>SUBTOTAL(3,P51:P63)</f>
        <v>13</v>
      </c>
      <c r="Q64" s="15">
        <f>SUBTOTAL(3,Q51:Q63)</f>
        <v>13</v>
      </c>
      <c r="W64" s="115"/>
      <c r="X64" s="115"/>
      <c r="Y64" s="115"/>
      <c r="Z64" s="115"/>
      <c r="AA64" s="25"/>
      <c r="AB64" s="13"/>
      <c r="AG64" s="116"/>
      <c r="AH64" s="123"/>
      <c r="AI64" s="123"/>
      <c r="AJ64" s="123"/>
      <c r="AO64" s="115"/>
      <c r="AP64" s="115"/>
      <c r="AQ64" s="115"/>
      <c r="AR64" s="115"/>
      <c r="AS64" s="115"/>
      <c r="AT64" s="115"/>
      <c r="AU64" s="115"/>
      <c r="AV64" s="115"/>
      <c r="AW64" s="115"/>
      <c r="AX64" s="115"/>
      <c r="AY64" s="25"/>
      <c r="AZ64" s="13"/>
      <c r="BC64" s="114"/>
    </row>
    <row r="65" spans="1:55" ht="20.100000000000001" customHeight="1" x14ac:dyDescent="0.4">
      <c r="A65" s="117"/>
      <c r="B65" s="123"/>
      <c r="C65" s="123"/>
      <c r="D65" s="123"/>
      <c r="F65" s="125"/>
      <c r="H65" s="115"/>
      <c r="I65" s="115"/>
      <c r="J65" s="115"/>
      <c r="K65" s="115"/>
      <c r="L65" s="115"/>
      <c r="M65" s="115"/>
      <c r="N65" s="115"/>
      <c r="O65" s="115"/>
      <c r="P65" s="25">
        <v>45817</v>
      </c>
      <c r="Q65" s="15" t="s">
        <v>147</v>
      </c>
      <c r="W65" s="115"/>
      <c r="X65" s="115"/>
      <c r="Y65" s="115"/>
      <c r="Z65" s="115"/>
      <c r="AA65" s="25"/>
      <c r="AB65" s="13"/>
      <c r="AG65" s="116"/>
      <c r="AH65" s="123"/>
      <c r="AI65" s="123"/>
      <c r="AJ65" s="123"/>
      <c r="AO65" s="115"/>
      <c r="AP65" s="115"/>
      <c r="AQ65" s="115"/>
      <c r="AR65" s="115"/>
      <c r="AS65" s="115"/>
      <c r="AT65" s="115"/>
      <c r="AU65" s="115"/>
      <c r="AV65" s="115"/>
      <c r="AW65" s="115"/>
      <c r="AX65" s="115"/>
      <c r="AY65" s="25"/>
      <c r="AZ65" s="13"/>
      <c r="BC65" s="114"/>
    </row>
    <row r="66" spans="1:55" ht="20.100000000000001" customHeight="1" x14ac:dyDescent="0.4">
      <c r="A66" s="117"/>
      <c r="B66" s="123"/>
      <c r="C66" s="123"/>
      <c r="D66" s="123"/>
      <c r="F66" s="125"/>
      <c r="H66" s="115"/>
      <c r="I66" s="115"/>
      <c r="J66" s="115"/>
      <c r="K66" s="115"/>
      <c r="L66" s="115"/>
      <c r="M66" s="115"/>
      <c r="N66" s="115"/>
      <c r="O66" s="115"/>
      <c r="P66" s="25">
        <v>45817</v>
      </c>
      <c r="Q66" s="15" t="s">
        <v>147</v>
      </c>
      <c r="W66" s="115"/>
      <c r="X66" s="115"/>
      <c r="Y66" s="115"/>
      <c r="Z66" s="115"/>
      <c r="AA66" s="25"/>
      <c r="AB66" s="13"/>
      <c r="AG66" s="116"/>
      <c r="AH66" s="123"/>
      <c r="AI66" s="123"/>
      <c r="AJ66" s="123"/>
      <c r="AO66" s="115"/>
      <c r="AP66" s="115"/>
      <c r="AQ66" s="115"/>
      <c r="AR66" s="115"/>
      <c r="AS66" s="115"/>
      <c r="AT66" s="115"/>
      <c r="AU66" s="115"/>
      <c r="AV66" s="115"/>
      <c r="AW66" s="115"/>
      <c r="AX66" s="115"/>
      <c r="AY66" s="25"/>
      <c r="AZ66" s="13"/>
      <c r="BC66" s="114"/>
    </row>
    <row r="67" spans="1:55" ht="20.100000000000001" customHeight="1" x14ac:dyDescent="0.4">
      <c r="A67" s="117"/>
      <c r="B67" s="123"/>
      <c r="C67" s="123"/>
      <c r="D67" s="123"/>
      <c r="F67" s="125"/>
      <c r="H67" s="115"/>
      <c r="I67" s="115"/>
      <c r="J67" s="115"/>
      <c r="K67" s="115"/>
      <c r="L67" s="115"/>
      <c r="M67" s="115"/>
      <c r="N67" s="115"/>
      <c r="O67" s="115"/>
      <c r="P67" s="25">
        <v>45817</v>
      </c>
      <c r="Q67" s="13" t="s">
        <v>146</v>
      </c>
      <c r="W67" s="115"/>
      <c r="X67" s="115"/>
      <c r="Y67" s="115"/>
      <c r="Z67" s="115"/>
      <c r="AA67" s="25"/>
      <c r="AB67" s="13"/>
      <c r="AG67" s="116"/>
      <c r="AH67" s="123"/>
      <c r="AI67" s="123"/>
      <c r="AJ67" s="123"/>
      <c r="AO67" s="115"/>
      <c r="AP67" s="115"/>
      <c r="AQ67" s="115"/>
      <c r="AR67" s="115"/>
      <c r="AS67" s="115"/>
      <c r="AT67" s="115"/>
      <c r="AU67" s="115"/>
      <c r="AV67" s="115"/>
      <c r="AW67" s="115"/>
      <c r="AX67" s="115"/>
      <c r="AY67" s="25"/>
      <c r="AZ67" s="13"/>
      <c r="BC67" s="114"/>
    </row>
    <row r="68" spans="1:55" ht="20.100000000000001" customHeight="1" x14ac:dyDescent="0.4">
      <c r="A68" s="117"/>
      <c r="B68" s="123"/>
      <c r="C68" s="123"/>
      <c r="D68" s="123"/>
      <c r="F68" s="125"/>
      <c r="H68" s="115"/>
      <c r="I68" s="115"/>
      <c r="J68" s="115"/>
      <c r="K68" s="115"/>
      <c r="L68" s="115"/>
      <c r="M68" s="115"/>
      <c r="N68" s="115"/>
      <c r="O68" s="115"/>
      <c r="P68" s="25">
        <v>45817</v>
      </c>
      <c r="Q68" s="13" t="s">
        <v>148</v>
      </c>
      <c r="W68" s="115"/>
      <c r="X68" s="115"/>
      <c r="Y68" s="115"/>
      <c r="Z68" s="115"/>
      <c r="AA68" s="25"/>
      <c r="AB68" s="13"/>
      <c r="AG68" s="116"/>
      <c r="AH68" s="123"/>
      <c r="AI68" s="123"/>
      <c r="AJ68" s="123"/>
      <c r="AO68" s="115"/>
      <c r="AP68" s="115"/>
      <c r="AQ68" s="115"/>
      <c r="AR68" s="115"/>
      <c r="AS68" s="115"/>
      <c r="AT68" s="115"/>
      <c r="AU68" s="115"/>
      <c r="AV68" s="115"/>
      <c r="AW68" s="115"/>
      <c r="AX68" s="115"/>
      <c r="AY68" s="25"/>
      <c r="AZ68" s="13"/>
      <c r="BC68" s="114"/>
    </row>
    <row r="69" spans="1:55" ht="20.100000000000001" customHeight="1" x14ac:dyDescent="0.4">
      <c r="A69" s="117"/>
      <c r="B69" s="123"/>
      <c r="C69" s="123"/>
      <c r="D69" s="123"/>
      <c r="F69" s="125"/>
      <c r="H69" s="115"/>
      <c r="I69" s="115"/>
      <c r="J69" s="115"/>
      <c r="K69" s="115"/>
      <c r="L69" s="115"/>
      <c r="M69" s="115"/>
      <c r="N69" s="115"/>
      <c r="O69" s="115" t="s">
        <v>380</v>
      </c>
      <c r="P69" s="13">
        <f>SUBTOTAL(3,P65:P68)</f>
        <v>4</v>
      </c>
      <c r="Q69" s="13">
        <f>SUBTOTAL(3,Q65:Q68)</f>
        <v>4</v>
      </c>
      <c r="W69" s="115"/>
      <c r="X69" s="115"/>
      <c r="Y69" s="115"/>
      <c r="Z69" s="115"/>
      <c r="AA69" s="25"/>
      <c r="AB69" s="13"/>
      <c r="AG69" s="116"/>
      <c r="AH69" s="123"/>
      <c r="AI69" s="123"/>
      <c r="AJ69" s="123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25"/>
      <c r="AZ69" s="13"/>
      <c r="BC69" s="114"/>
    </row>
    <row r="70" spans="1:55" ht="20.100000000000001" customHeight="1" x14ac:dyDescent="0.4">
      <c r="A70" s="117"/>
      <c r="B70" s="123"/>
      <c r="C70" s="123"/>
      <c r="D70" s="123"/>
      <c r="F70" s="125"/>
      <c r="H70" s="115"/>
      <c r="I70" s="115"/>
      <c r="J70" s="115"/>
      <c r="K70" s="115"/>
      <c r="L70" s="115"/>
      <c r="M70" s="115"/>
      <c r="N70" s="115"/>
      <c r="O70" s="115"/>
      <c r="P70" s="25">
        <v>45818</v>
      </c>
      <c r="Q70" s="13" t="s">
        <v>146</v>
      </c>
      <c r="W70" s="115"/>
      <c r="X70" s="115"/>
      <c r="Y70" s="115"/>
      <c r="Z70" s="115"/>
      <c r="AA70" s="25"/>
      <c r="AB70" s="13"/>
      <c r="AG70" s="116"/>
      <c r="AH70" s="123"/>
      <c r="AI70" s="123"/>
      <c r="AJ70" s="123"/>
      <c r="AO70" s="115"/>
      <c r="AP70" s="115"/>
      <c r="AQ70" s="115"/>
      <c r="AR70" s="115"/>
      <c r="AS70" s="115"/>
      <c r="AT70" s="115"/>
      <c r="AU70" s="115"/>
      <c r="AV70" s="115"/>
      <c r="AW70" s="115"/>
      <c r="AX70" s="115"/>
      <c r="AY70" s="25"/>
      <c r="AZ70" s="13"/>
      <c r="BC70" s="114"/>
    </row>
    <row r="71" spans="1:55" ht="20.100000000000001" customHeight="1" x14ac:dyDescent="0.4">
      <c r="A71" s="117"/>
      <c r="B71" s="123"/>
      <c r="C71" s="123"/>
      <c r="D71" s="123"/>
      <c r="F71" s="125"/>
      <c r="P71" s="25">
        <v>45818</v>
      </c>
      <c r="Q71" s="13" t="s">
        <v>146</v>
      </c>
      <c r="W71" s="115"/>
      <c r="X71" s="115"/>
      <c r="Y71" s="115"/>
      <c r="Z71" s="115"/>
      <c r="AA71" s="25">
        <v>45671</v>
      </c>
      <c r="AB71" s="13" t="s">
        <v>146</v>
      </c>
      <c r="AG71" s="116"/>
      <c r="AH71" s="123"/>
      <c r="AI71" s="123"/>
      <c r="AJ71" s="123"/>
      <c r="AO71" s="115"/>
      <c r="AP71" s="115"/>
      <c r="AQ71" s="115"/>
      <c r="AR71" s="115"/>
      <c r="AS71" s="115"/>
      <c r="AT71" s="115"/>
      <c r="AU71" s="115"/>
      <c r="AV71" s="115"/>
      <c r="AW71" s="115"/>
      <c r="AX71" s="115"/>
      <c r="AY71" s="25"/>
      <c r="AZ71" s="13"/>
      <c r="BC71" s="114"/>
    </row>
    <row r="72" spans="1:55" ht="20.100000000000001" customHeight="1" x14ac:dyDescent="0.4">
      <c r="A72" s="117"/>
      <c r="B72" s="123"/>
      <c r="C72" s="123"/>
      <c r="D72" s="123"/>
      <c r="F72" s="125"/>
      <c r="J72" s="115"/>
      <c r="K72" s="115"/>
      <c r="L72" s="115"/>
      <c r="M72" s="115"/>
      <c r="N72" s="115"/>
      <c r="O72" s="115"/>
      <c r="P72" s="25">
        <v>45818</v>
      </c>
      <c r="Q72" s="13" t="s">
        <v>146</v>
      </c>
      <c r="W72" s="115"/>
      <c r="X72" s="115"/>
      <c r="Y72" s="115"/>
      <c r="Z72" s="115"/>
      <c r="AA72" s="25"/>
      <c r="AB72" s="13"/>
      <c r="AG72" s="116"/>
      <c r="AH72" s="123"/>
      <c r="AI72" s="123"/>
      <c r="AJ72" s="123"/>
      <c r="AO72" s="115"/>
      <c r="AP72" s="115"/>
      <c r="AQ72" s="115"/>
      <c r="AR72" s="115"/>
      <c r="AS72" s="115"/>
      <c r="AT72" s="115"/>
      <c r="AU72" s="115"/>
      <c r="AV72" s="115"/>
      <c r="AW72" s="115"/>
      <c r="AX72" s="115"/>
      <c r="AY72" s="25"/>
      <c r="AZ72" s="13"/>
      <c r="BC72" s="114"/>
    </row>
    <row r="73" spans="1:55" ht="20.100000000000001" customHeight="1" x14ac:dyDescent="0.4">
      <c r="A73" s="117"/>
      <c r="B73" s="123"/>
      <c r="C73" s="123"/>
      <c r="D73" s="123"/>
      <c r="F73" s="125"/>
      <c r="J73" s="115"/>
      <c r="K73" s="115"/>
      <c r="L73" s="115"/>
      <c r="M73" s="115"/>
      <c r="N73" s="115"/>
      <c r="O73" s="115"/>
      <c r="P73" s="25">
        <v>45818</v>
      </c>
      <c r="Q73" s="13" t="s">
        <v>146</v>
      </c>
      <c r="W73" s="115"/>
      <c r="X73" s="115"/>
      <c r="Y73" s="115"/>
      <c r="Z73" s="115"/>
      <c r="AA73" s="25"/>
      <c r="AB73" s="13"/>
      <c r="AG73" s="116"/>
      <c r="AH73" s="123"/>
      <c r="AI73" s="123"/>
      <c r="AJ73" s="123"/>
      <c r="AO73" s="115"/>
      <c r="AP73" s="115"/>
      <c r="AQ73" s="115"/>
      <c r="AR73" s="115"/>
      <c r="AS73" s="115"/>
      <c r="AT73" s="115"/>
      <c r="AU73" s="115"/>
      <c r="AV73" s="115"/>
      <c r="AW73" s="115"/>
      <c r="AX73" s="115"/>
      <c r="AY73" s="25"/>
      <c r="AZ73" s="13"/>
      <c r="BC73" s="114"/>
    </row>
    <row r="74" spans="1:55" ht="20.100000000000001" customHeight="1" x14ac:dyDescent="0.4">
      <c r="A74" s="117"/>
      <c r="B74" s="123"/>
      <c r="C74" s="123"/>
      <c r="D74" s="123"/>
      <c r="F74" s="125"/>
      <c r="P74" s="25">
        <v>45818</v>
      </c>
      <c r="Q74" s="13" t="s">
        <v>146</v>
      </c>
      <c r="U74" s="115"/>
      <c r="V74" s="115"/>
      <c r="W74" s="115"/>
      <c r="X74" s="115"/>
      <c r="Y74" s="115"/>
      <c r="Z74" s="115"/>
      <c r="AA74" s="25">
        <v>45671</v>
      </c>
      <c r="AB74" s="13" t="s">
        <v>148</v>
      </c>
      <c r="AG74" s="116"/>
      <c r="AH74" s="123"/>
      <c r="AI74" s="123"/>
      <c r="AJ74" s="123"/>
      <c r="AO74" s="115"/>
      <c r="AP74" s="115"/>
      <c r="AQ74" s="115"/>
      <c r="AR74" s="115"/>
      <c r="AS74" s="115"/>
      <c r="AT74" s="115"/>
      <c r="AU74" s="115"/>
      <c r="AV74" s="115"/>
      <c r="AW74" s="115"/>
      <c r="AX74" s="115"/>
      <c r="AY74" s="25"/>
      <c r="AZ74" s="13"/>
      <c r="BC74" s="114"/>
    </row>
    <row r="75" spans="1:55" ht="20.100000000000001" customHeight="1" x14ac:dyDescent="0.4">
      <c r="A75" s="117"/>
      <c r="B75" s="123"/>
      <c r="C75" s="123"/>
      <c r="D75" s="123"/>
      <c r="P75" s="25">
        <v>45818</v>
      </c>
      <c r="Q75" s="13" t="s">
        <v>146</v>
      </c>
      <c r="U75" s="115"/>
      <c r="V75" s="115"/>
      <c r="W75" s="115"/>
      <c r="X75" s="115"/>
      <c r="Y75" s="115"/>
      <c r="Z75" s="115"/>
      <c r="AA75" s="25"/>
      <c r="AB75" s="13"/>
      <c r="AG75" s="116"/>
      <c r="AH75" s="123"/>
      <c r="AI75" s="123"/>
      <c r="AJ75" s="123"/>
      <c r="AO75" s="115"/>
      <c r="AP75" s="115"/>
      <c r="AQ75" s="115"/>
      <c r="AR75" s="115"/>
      <c r="AS75" s="115"/>
      <c r="AT75" s="115"/>
      <c r="AU75" s="115"/>
      <c r="AV75" s="115"/>
      <c r="AW75" s="115"/>
      <c r="AX75" s="115"/>
      <c r="AY75" s="25"/>
      <c r="AZ75" s="13"/>
      <c r="BC75" s="114"/>
    </row>
    <row r="76" spans="1:55" ht="20.100000000000001" customHeight="1" x14ac:dyDescent="0.4">
      <c r="A76" s="117"/>
      <c r="B76" s="123"/>
      <c r="C76" s="123"/>
      <c r="D76" s="123"/>
      <c r="N76" s="115"/>
      <c r="O76" s="115"/>
      <c r="P76" s="25">
        <v>45818</v>
      </c>
      <c r="Q76" s="13" t="s">
        <v>147</v>
      </c>
      <c r="U76" s="115"/>
      <c r="V76" s="115"/>
      <c r="W76" s="115"/>
      <c r="X76" s="115"/>
      <c r="Y76" s="115"/>
      <c r="Z76" s="115"/>
      <c r="AA76" s="25"/>
      <c r="AB76" s="13"/>
      <c r="AG76" s="116"/>
      <c r="AH76" s="123"/>
      <c r="AI76" s="123"/>
      <c r="AJ76" s="123"/>
      <c r="AO76" s="115"/>
      <c r="AP76" s="115"/>
      <c r="AQ76" s="115"/>
      <c r="AR76" s="115"/>
      <c r="AS76" s="115"/>
      <c r="AT76" s="115"/>
      <c r="AU76" s="115"/>
      <c r="AV76" s="115"/>
      <c r="AW76" s="115"/>
      <c r="AX76" s="115"/>
      <c r="AY76" s="25"/>
      <c r="AZ76" s="13"/>
      <c r="BC76" s="114"/>
    </row>
    <row r="77" spans="1:55" ht="20.100000000000001" customHeight="1" x14ac:dyDescent="0.4">
      <c r="A77" s="117"/>
      <c r="B77" s="123"/>
      <c r="C77" s="123"/>
      <c r="D77" s="123"/>
      <c r="N77" s="115"/>
      <c r="O77" s="115" t="s">
        <v>381</v>
      </c>
      <c r="P77" s="13">
        <f>SUBTOTAL(3,P70:P76)</f>
        <v>7</v>
      </c>
      <c r="Q77" s="13">
        <f>SUBTOTAL(3,Q70:Q76)</f>
        <v>7</v>
      </c>
      <c r="U77" s="115"/>
      <c r="V77" s="115"/>
      <c r="W77" s="115"/>
      <c r="X77" s="115"/>
      <c r="Y77" s="115"/>
      <c r="Z77" s="115"/>
      <c r="AA77" s="25"/>
      <c r="AB77" s="13"/>
      <c r="AG77" s="116"/>
      <c r="AH77" s="123"/>
      <c r="AI77" s="123"/>
      <c r="AJ77" s="123"/>
      <c r="AO77" s="115"/>
      <c r="AP77" s="115"/>
      <c r="AQ77" s="115"/>
      <c r="AR77" s="115"/>
      <c r="AS77" s="115"/>
      <c r="AT77" s="115"/>
      <c r="AU77" s="115"/>
      <c r="AV77" s="115"/>
      <c r="AW77" s="115"/>
      <c r="AX77" s="115"/>
      <c r="AY77" s="25"/>
      <c r="AZ77" s="13"/>
      <c r="BC77" s="114"/>
    </row>
    <row r="78" spans="1:55" ht="20.100000000000001" customHeight="1" x14ac:dyDescent="0.4">
      <c r="A78" s="117"/>
      <c r="B78" s="123"/>
      <c r="C78" s="123"/>
      <c r="D78" s="123"/>
      <c r="P78" s="25">
        <v>45819</v>
      </c>
      <c r="Q78" s="13" t="s">
        <v>146</v>
      </c>
      <c r="U78" s="115"/>
      <c r="V78" s="115"/>
      <c r="W78" s="115"/>
      <c r="X78" s="115"/>
      <c r="Y78" s="115"/>
      <c r="Z78" s="115"/>
      <c r="AA78" s="25"/>
      <c r="AB78" s="13"/>
      <c r="AG78" s="116"/>
      <c r="AH78" s="123"/>
      <c r="AI78" s="123"/>
      <c r="AJ78" s="123"/>
      <c r="AO78" s="115"/>
      <c r="AP78" s="115"/>
      <c r="AQ78" s="115"/>
      <c r="AR78" s="115"/>
      <c r="AS78" s="115"/>
      <c r="AT78" s="115"/>
      <c r="AU78" s="115"/>
      <c r="AV78" s="115"/>
      <c r="AW78" s="115"/>
      <c r="AX78" s="115"/>
      <c r="AY78" s="25"/>
      <c r="AZ78" s="13"/>
      <c r="BC78" s="114"/>
    </row>
    <row r="79" spans="1:55" ht="20.100000000000001" customHeight="1" x14ac:dyDescent="0.4">
      <c r="A79" s="117"/>
      <c r="B79" s="123"/>
      <c r="C79" s="123"/>
      <c r="D79" s="123"/>
      <c r="M79" s="115"/>
      <c r="N79" s="115"/>
      <c r="O79" s="115"/>
      <c r="P79" s="25">
        <v>45819</v>
      </c>
      <c r="Q79" s="13" t="s">
        <v>146</v>
      </c>
      <c r="U79" s="115"/>
      <c r="V79" s="115"/>
      <c r="W79" s="115"/>
      <c r="X79" s="115"/>
      <c r="Y79" s="115"/>
      <c r="Z79" s="115"/>
      <c r="AA79" s="25"/>
      <c r="AB79" s="13"/>
      <c r="AG79" s="116"/>
      <c r="AH79" s="123"/>
      <c r="AI79" s="123"/>
      <c r="AJ79" s="123"/>
      <c r="AO79" s="115"/>
      <c r="AP79" s="115"/>
      <c r="AQ79" s="115"/>
      <c r="AR79" s="115"/>
      <c r="AS79" s="115"/>
      <c r="AT79" s="115"/>
      <c r="AU79" s="115"/>
      <c r="AV79" s="115"/>
      <c r="AW79" s="115"/>
      <c r="AX79" s="115"/>
      <c r="AY79" s="25"/>
      <c r="AZ79" s="13"/>
      <c r="BC79" s="114"/>
    </row>
    <row r="80" spans="1:55" ht="20.100000000000001" customHeight="1" x14ac:dyDescent="0.4">
      <c r="A80" s="117"/>
      <c r="B80" s="123"/>
      <c r="C80" s="123"/>
      <c r="D80" s="123"/>
      <c r="P80" s="25">
        <v>45819</v>
      </c>
      <c r="Q80" s="13" t="s">
        <v>146</v>
      </c>
      <c r="U80" s="115"/>
      <c r="V80" s="115"/>
      <c r="W80" s="115"/>
      <c r="X80" s="115"/>
      <c r="Y80" s="115"/>
      <c r="Z80" s="115"/>
      <c r="AA80" s="25"/>
      <c r="AB80" s="13"/>
      <c r="AG80" s="116"/>
      <c r="AH80" s="123"/>
      <c r="AI80" s="123"/>
      <c r="AJ80" s="123"/>
      <c r="AO80" s="115"/>
      <c r="AP80" s="115"/>
      <c r="AQ80" s="115"/>
      <c r="AR80" s="115"/>
      <c r="AS80" s="115"/>
      <c r="AT80" s="115"/>
      <c r="AU80" s="115"/>
      <c r="AV80" s="115"/>
      <c r="AW80" s="115"/>
      <c r="AX80" s="115"/>
      <c r="AY80" s="25"/>
      <c r="AZ80" s="13"/>
      <c r="BC80" s="114"/>
    </row>
    <row r="81" spans="1:55" ht="20.100000000000001" customHeight="1" x14ac:dyDescent="0.4">
      <c r="A81" s="117"/>
      <c r="B81" s="123"/>
      <c r="C81" s="123"/>
      <c r="D81" s="123"/>
      <c r="K81" s="115"/>
      <c r="L81" s="115"/>
      <c r="M81" s="115"/>
      <c r="N81" s="115"/>
      <c r="O81" s="115"/>
      <c r="P81" s="25">
        <v>45819</v>
      </c>
      <c r="Q81" s="13" t="s">
        <v>148</v>
      </c>
      <c r="U81" s="115"/>
      <c r="V81" s="115"/>
      <c r="W81" s="115"/>
      <c r="X81" s="115"/>
      <c r="Y81" s="115"/>
      <c r="Z81" s="115"/>
      <c r="AA81" s="25"/>
      <c r="AB81" s="13"/>
      <c r="AG81" s="116"/>
      <c r="AH81" s="123"/>
      <c r="AI81" s="123"/>
      <c r="AJ81" s="123"/>
      <c r="AO81" s="115"/>
      <c r="AP81" s="115"/>
      <c r="AQ81" s="115"/>
      <c r="AR81" s="115"/>
      <c r="AS81" s="115"/>
      <c r="AT81" s="115"/>
      <c r="AU81" s="115"/>
      <c r="AV81" s="115"/>
      <c r="AW81" s="115"/>
      <c r="AX81" s="115"/>
      <c r="AY81" s="25"/>
      <c r="AZ81" s="13"/>
      <c r="BC81" s="114"/>
    </row>
    <row r="82" spans="1:55" ht="20.100000000000001" customHeight="1" x14ac:dyDescent="0.4">
      <c r="A82" s="117"/>
      <c r="B82" s="123"/>
      <c r="C82" s="123"/>
      <c r="D82" s="123"/>
      <c r="J82" s="115"/>
      <c r="K82" s="115"/>
      <c r="L82" s="115"/>
      <c r="M82" s="115"/>
      <c r="N82" s="115"/>
      <c r="O82" s="115"/>
      <c r="P82" s="25">
        <v>45819</v>
      </c>
      <c r="Q82" s="13" t="s">
        <v>146</v>
      </c>
      <c r="U82" s="115"/>
      <c r="V82" s="115"/>
      <c r="W82" s="115"/>
      <c r="X82" s="115"/>
      <c r="Y82" s="115"/>
      <c r="Z82" s="115"/>
      <c r="AA82" s="25"/>
      <c r="AB82" s="13"/>
      <c r="AG82" s="116"/>
      <c r="AH82" s="123"/>
      <c r="AI82" s="123"/>
      <c r="AJ82" s="123"/>
      <c r="AO82" s="115"/>
      <c r="AP82" s="115"/>
      <c r="AQ82" s="115"/>
      <c r="AR82" s="115"/>
      <c r="AS82" s="115"/>
      <c r="AT82" s="115"/>
      <c r="AU82" s="115"/>
      <c r="AV82" s="115"/>
      <c r="AW82" s="115"/>
      <c r="AX82" s="115"/>
      <c r="AY82" s="25"/>
      <c r="AZ82" s="13"/>
      <c r="BC82" s="114"/>
    </row>
    <row r="83" spans="1:55" ht="20.100000000000001" customHeight="1" x14ac:dyDescent="0.4">
      <c r="A83" s="117"/>
      <c r="B83" s="123"/>
      <c r="C83" s="123"/>
      <c r="D83" s="123"/>
      <c r="I83" s="115"/>
      <c r="J83" s="115"/>
      <c r="K83" s="115"/>
      <c r="L83" s="115"/>
      <c r="M83" s="115"/>
      <c r="N83" s="115"/>
      <c r="O83" s="115"/>
      <c r="P83" s="25">
        <v>45819</v>
      </c>
      <c r="Q83" s="13" t="s">
        <v>146</v>
      </c>
      <c r="U83" s="115"/>
      <c r="V83" s="115"/>
      <c r="W83" s="115"/>
      <c r="X83" s="115"/>
      <c r="Y83" s="115"/>
      <c r="Z83" s="115"/>
      <c r="AA83" s="25"/>
      <c r="AB83" s="13"/>
      <c r="AG83" s="116"/>
      <c r="AH83" s="123"/>
      <c r="AI83" s="123"/>
      <c r="AJ83" s="123"/>
      <c r="AO83" s="115"/>
      <c r="AP83" s="115"/>
      <c r="AQ83" s="115"/>
      <c r="AR83" s="115"/>
      <c r="AS83" s="115"/>
      <c r="AT83" s="115"/>
      <c r="AU83" s="115"/>
      <c r="AV83" s="115"/>
      <c r="AW83" s="115"/>
      <c r="AX83" s="115"/>
      <c r="AY83" s="25"/>
      <c r="AZ83" s="13"/>
      <c r="BC83" s="114"/>
    </row>
    <row r="84" spans="1:55" ht="20.100000000000001" customHeight="1" x14ac:dyDescent="0.4">
      <c r="A84" s="117"/>
      <c r="B84" s="123"/>
      <c r="C84" s="123"/>
      <c r="D84" s="123"/>
      <c r="I84" s="115"/>
      <c r="J84" s="115"/>
      <c r="K84" s="115"/>
      <c r="L84" s="115"/>
      <c r="M84" s="115"/>
      <c r="N84" s="115"/>
      <c r="O84" s="115"/>
      <c r="P84" s="25">
        <v>45819</v>
      </c>
      <c r="Q84" s="13" t="s">
        <v>148</v>
      </c>
      <c r="U84" s="115"/>
      <c r="V84" s="115"/>
      <c r="W84" s="115"/>
      <c r="X84" s="115"/>
      <c r="Y84" s="115"/>
      <c r="Z84" s="115"/>
      <c r="AA84" s="25"/>
      <c r="AB84" s="13"/>
      <c r="AG84" s="116"/>
      <c r="AH84" s="123"/>
      <c r="AI84" s="123"/>
      <c r="AJ84" s="123"/>
      <c r="AO84" s="115"/>
      <c r="AP84" s="115"/>
      <c r="AQ84" s="115"/>
      <c r="AR84" s="115"/>
      <c r="AS84" s="115"/>
      <c r="AT84" s="115"/>
      <c r="AU84" s="115"/>
      <c r="AV84" s="115"/>
      <c r="AW84" s="115"/>
      <c r="AX84" s="115"/>
      <c r="AY84" s="25"/>
      <c r="AZ84" s="13"/>
      <c r="BC84" s="114"/>
    </row>
    <row r="85" spans="1:55" ht="20.100000000000001" customHeight="1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115"/>
      <c r="O85" s="115"/>
      <c r="P85" s="26">
        <v>45819</v>
      </c>
      <c r="Q85" s="13" t="s">
        <v>146</v>
      </c>
      <c r="U85" s="115"/>
      <c r="V85" s="115"/>
      <c r="W85" s="115"/>
      <c r="X85" s="115"/>
      <c r="Y85" s="115"/>
      <c r="Z85" s="115"/>
      <c r="AA85" s="25"/>
      <c r="AB85" s="13"/>
      <c r="AG85" s="116"/>
      <c r="AH85" s="123"/>
      <c r="AI85" s="123"/>
      <c r="AJ85" s="123"/>
      <c r="AO85" s="115"/>
      <c r="AP85" s="115"/>
      <c r="AQ85" s="115"/>
      <c r="AR85" s="115"/>
      <c r="AS85" s="115"/>
      <c r="AT85" s="115"/>
      <c r="AU85" s="115"/>
      <c r="AV85" s="115"/>
      <c r="AW85" s="115"/>
      <c r="AX85" s="115"/>
      <c r="AY85" s="25"/>
      <c r="AZ85" s="13"/>
      <c r="BC85" s="114"/>
    </row>
    <row r="86" spans="1:55" ht="20.100000000000001" customHeight="1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115"/>
      <c r="O86" s="115"/>
      <c r="P86" s="26">
        <v>45819</v>
      </c>
      <c r="Q86" s="13" t="s">
        <v>147</v>
      </c>
      <c r="U86" s="115"/>
      <c r="V86" s="115"/>
      <c r="W86" s="115"/>
      <c r="X86" s="115"/>
      <c r="Y86" s="115"/>
      <c r="Z86" s="115"/>
      <c r="AA86" s="25"/>
      <c r="AB86" s="13"/>
      <c r="AG86" s="116"/>
      <c r="AH86" s="123"/>
      <c r="AI86" s="123"/>
      <c r="AJ86" s="123"/>
      <c r="AO86" s="115"/>
      <c r="AP86" s="115"/>
      <c r="AQ86" s="115"/>
      <c r="AR86" s="115"/>
      <c r="AS86" s="115"/>
      <c r="AT86" s="115"/>
      <c r="AU86" s="115"/>
      <c r="AV86" s="115"/>
      <c r="AW86" s="115"/>
      <c r="AX86" s="115"/>
      <c r="AY86" s="25"/>
      <c r="AZ86" s="13"/>
      <c r="BC86" s="114"/>
    </row>
    <row r="87" spans="1:55" ht="20.100000000000001" customHeight="1" x14ac:dyDescent="0.4">
      <c r="A87" s="117"/>
      <c r="B87" s="123"/>
      <c r="C87" s="123"/>
      <c r="D87" s="123"/>
      <c r="P87" s="25">
        <v>45819</v>
      </c>
      <c r="Q87" s="13" t="s">
        <v>146</v>
      </c>
      <c r="U87" s="115"/>
      <c r="V87" s="115"/>
      <c r="W87" s="115"/>
      <c r="X87" s="115"/>
      <c r="Y87" s="115"/>
      <c r="Z87" s="115"/>
      <c r="AA87" s="25">
        <v>45672</v>
      </c>
      <c r="AB87" s="13" t="s">
        <v>146</v>
      </c>
      <c r="AG87" s="116"/>
      <c r="AH87" s="123"/>
      <c r="AI87" s="123"/>
      <c r="AJ87" s="123"/>
      <c r="AO87" s="115"/>
      <c r="AP87" s="115"/>
      <c r="AQ87" s="115"/>
      <c r="AR87" s="115"/>
      <c r="AS87" s="115"/>
      <c r="AT87" s="115"/>
      <c r="AU87" s="115"/>
      <c r="AV87" s="115"/>
      <c r="AW87" s="115"/>
      <c r="AX87" s="115"/>
      <c r="AY87" s="25"/>
      <c r="AZ87" s="13"/>
      <c r="BC87" s="114"/>
    </row>
    <row r="88" spans="1:55" ht="20.100000000000001" customHeight="1" x14ac:dyDescent="0.4">
      <c r="A88" s="117"/>
      <c r="B88" s="123"/>
      <c r="C88" s="123"/>
      <c r="D88" s="123"/>
      <c r="O88" s="115" t="s">
        <v>382</v>
      </c>
      <c r="P88" s="20">
        <f>SUBTOTAL(3,P78:P87)</f>
        <v>10</v>
      </c>
      <c r="Q88" s="13">
        <f>SUBTOTAL(3,Q78:Q87)</f>
        <v>10</v>
      </c>
      <c r="U88" s="115"/>
      <c r="V88" s="115"/>
      <c r="W88" s="115"/>
      <c r="X88" s="115"/>
      <c r="Y88" s="115"/>
      <c r="Z88" s="115"/>
      <c r="AA88" s="25"/>
      <c r="AB88" s="13"/>
      <c r="AG88" s="116"/>
      <c r="AH88" s="123"/>
      <c r="AI88" s="123"/>
      <c r="AJ88" s="123"/>
      <c r="AO88" s="115"/>
      <c r="AP88" s="115"/>
      <c r="AQ88" s="115"/>
      <c r="AR88" s="115"/>
      <c r="AS88" s="115"/>
      <c r="AT88" s="115"/>
      <c r="AU88" s="115"/>
      <c r="AV88" s="115"/>
      <c r="AW88" s="115"/>
      <c r="AX88" s="115"/>
      <c r="AY88" s="25"/>
      <c r="AZ88" s="13"/>
      <c r="BC88" s="114"/>
    </row>
    <row r="89" spans="1:55" ht="20.100000000000001" customHeight="1" x14ac:dyDescent="0.4">
      <c r="A89" s="117"/>
      <c r="B89" s="123"/>
      <c r="C89" s="123"/>
      <c r="D89" s="123"/>
      <c r="N89" s="115"/>
      <c r="O89" s="115"/>
      <c r="P89" s="26">
        <v>45821</v>
      </c>
      <c r="Q89" s="13" t="s">
        <v>146</v>
      </c>
      <c r="U89" s="115"/>
      <c r="V89" s="115"/>
      <c r="W89" s="115"/>
      <c r="X89" s="115"/>
      <c r="Y89" s="115"/>
      <c r="Z89" s="115"/>
      <c r="AA89" s="25"/>
      <c r="AB89" s="13"/>
      <c r="AG89" s="116"/>
      <c r="AH89" s="123"/>
      <c r="AI89" s="123"/>
      <c r="AJ89" s="123"/>
      <c r="AO89" s="115"/>
      <c r="AP89" s="115"/>
      <c r="AQ89" s="115"/>
      <c r="AR89" s="115"/>
      <c r="AS89" s="115"/>
      <c r="AT89" s="115"/>
      <c r="AU89" s="115"/>
      <c r="AV89" s="115"/>
      <c r="AW89" s="115"/>
      <c r="AX89" s="115"/>
      <c r="AY89" s="25"/>
      <c r="AZ89" s="13"/>
      <c r="BC89" s="114"/>
    </row>
    <row r="90" spans="1:55" ht="20.100000000000001" customHeight="1" x14ac:dyDescent="0.4">
      <c r="A90" s="117"/>
      <c r="B90" s="123"/>
      <c r="C90" s="123"/>
      <c r="D90" s="123"/>
      <c r="P90" s="26">
        <v>45821</v>
      </c>
      <c r="Q90" s="13" t="s">
        <v>148</v>
      </c>
      <c r="U90" s="115"/>
      <c r="V90" s="115"/>
      <c r="W90" s="115"/>
      <c r="X90" s="115"/>
      <c r="Y90" s="115"/>
      <c r="Z90" s="115"/>
      <c r="AA90" s="25">
        <v>45672</v>
      </c>
      <c r="AB90" s="13" t="s">
        <v>146</v>
      </c>
      <c r="AG90" s="116"/>
      <c r="AH90" s="123"/>
      <c r="AI90" s="123"/>
      <c r="AJ90" s="123"/>
      <c r="AO90" s="115"/>
      <c r="AP90" s="115"/>
      <c r="AQ90" s="115"/>
      <c r="AR90" s="115"/>
      <c r="AS90" s="115"/>
      <c r="AT90" s="115"/>
      <c r="AU90" s="115"/>
      <c r="AV90" s="115"/>
      <c r="AW90" s="115"/>
      <c r="AX90" s="115"/>
      <c r="AY90" s="25"/>
      <c r="AZ90" s="13"/>
      <c r="BC90" s="114"/>
    </row>
    <row r="91" spans="1:55" ht="20.100000000000001" customHeight="1" x14ac:dyDescent="0.4">
      <c r="A91" s="117"/>
      <c r="B91" s="123"/>
      <c r="C91" s="123"/>
      <c r="D91" s="123"/>
      <c r="P91" s="25">
        <v>45821</v>
      </c>
      <c r="Q91" s="13" t="s">
        <v>146</v>
      </c>
      <c r="U91" s="115"/>
      <c r="V91" s="115"/>
      <c r="W91" s="115"/>
      <c r="X91" s="115"/>
      <c r="Y91" s="115"/>
      <c r="Z91" s="115"/>
      <c r="AA91" s="25"/>
      <c r="AB91" s="13"/>
      <c r="AG91" s="116"/>
      <c r="AH91" s="123"/>
      <c r="AI91" s="123"/>
      <c r="AJ91" s="123"/>
      <c r="AO91" s="115"/>
      <c r="AP91" s="115"/>
      <c r="AQ91" s="115"/>
      <c r="AR91" s="115"/>
      <c r="AS91" s="115"/>
      <c r="AT91" s="115"/>
      <c r="AU91" s="115"/>
      <c r="AV91" s="115"/>
      <c r="AW91" s="115"/>
      <c r="AX91" s="115"/>
      <c r="AY91" s="25"/>
      <c r="AZ91" s="13"/>
      <c r="BC91" s="114"/>
    </row>
    <row r="92" spans="1:55" ht="20.100000000000001" customHeight="1" x14ac:dyDescent="0.4">
      <c r="A92" s="117"/>
      <c r="B92" s="123"/>
      <c r="C92" s="123"/>
      <c r="D92" s="123"/>
      <c r="P92" s="25">
        <v>45821</v>
      </c>
      <c r="Q92" s="13" t="s">
        <v>147</v>
      </c>
      <c r="U92" s="115"/>
      <c r="V92" s="115"/>
      <c r="W92" s="115"/>
      <c r="X92" s="115"/>
      <c r="Y92" s="115"/>
      <c r="Z92" s="115"/>
      <c r="AA92" s="25">
        <v>45672</v>
      </c>
      <c r="AB92" s="25" t="s">
        <v>147</v>
      </c>
      <c r="AG92" s="116"/>
      <c r="AH92" s="123"/>
      <c r="AI92" s="123"/>
      <c r="AJ92" s="123"/>
      <c r="AO92" s="115"/>
      <c r="AP92" s="115"/>
      <c r="AQ92" s="115"/>
      <c r="AR92" s="115"/>
      <c r="AS92" s="115"/>
      <c r="AT92" s="115"/>
      <c r="AU92" s="115"/>
      <c r="AV92" s="115"/>
      <c r="AW92" s="115"/>
      <c r="AX92" s="115"/>
      <c r="AY92" s="25"/>
      <c r="AZ92" s="13"/>
      <c r="BC92" s="114"/>
    </row>
    <row r="93" spans="1:55" ht="20.100000000000001" customHeight="1" x14ac:dyDescent="0.4">
      <c r="A93" s="117"/>
      <c r="B93" s="123"/>
      <c r="C93" s="123"/>
      <c r="D93" s="123"/>
      <c r="P93" s="25">
        <v>45821</v>
      </c>
      <c r="Q93" s="13" t="s">
        <v>147</v>
      </c>
      <c r="U93" s="115"/>
      <c r="V93" s="115"/>
      <c r="W93" s="115"/>
      <c r="X93" s="115"/>
      <c r="Y93" s="115"/>
      <c r="Z93" s="115"/>
      <c r="AA93" s="25"/>
      <c r="AB93" s="25"/>
      <c r="AG93" s="116"/>
      <c r="AH93" s="123"/>
      <c r="AI93" s="123"/>
      <c r="AJ93" s="123"/>
      <c r="AO93" s="115"/>
      <c r="AP93" s="115"/>
      <c r="AQ93" s="115"/>
      <c r="AR93" s="115"/>
      <c r="AS93" s="115"/>
      <c r="AT93" s="115"/>
      <c r="AU93" s="115"/>
      <c r="AV93" s="115"/>
      <c r="AW93" s="115"/>
      <c r="AX93" s="115"/>
      <c r="AY93" s="25"/>
      <c r="AZ93" s="13"/>
      <c r="BC93" s="114"/>
    </row>
    <row r="94" spans="1:55" ht="20.100000000000001" customHeight="1" x14ac:dyDescent="0.4">
      <c r="A94" s="117"/>
      <c r="B94" s="123"/>
      <c r="C94" s="123"/>
      <c r="D94" s="123"/>
      <c r="O94" s="115" t="s">
        <v>189</v>
      </c>
      <c r="P94" s="13">
        <f>SUBTOTAL(3,P89:P93)</f>
        <v>5</v>
      </c>
      <c r="Q94" s="13">
        <f>SUBTOTAL(3,Q89:Q93)</f>
        <v>5</v>
      </c>
      <c r="U94" s="115"/>
      <c r="V94" s="115"/>
      <c r="W94" s="115"/>
      <c r="X94" s="115"/>
      <c r="Y94" s="115"/>
      <c r="Z94" s="115"/>
      <c r="AA94" s="25"/>
      <c r="AB94" s="25"/>
      <c r="AG94" s="116"/>
      <c r="AH94" s="123"/>
      <c r="AI94" s="123"/>
      <c r="AJ94" s="123"/>
      <c r="AO94" s="115"/>
      <c r="AP94" s="115"/>
      <c r="AQ94" s="115"/>
      <c r="AR94" s="115"/>
      <c r="AS94" s="115"/>
      <c r="AT94" s="115"/>
      <c r="AU94" s="115"/>
      <c r="AV94" s="115"/>
      <c r="AW94" s="115"/>
      <c r="AX94" s="115"/>
      <c r="AY94" s="25"/>
      <c r="AZ94" s="13"/>
      <c r="BC94" s="114"/>
    </row>
    <row r="95" spans="1:55" ht="20.100000000000001" customHeight="1" x14ac:dyDescent="0.4">
      <c r="A95" s="117"/>
      <c r="B95" s="123"/>
      <c r="C95" s="123"/>
      <c r="D95" s="123"/>
      <c r="N95" s="115"/>
      <c r="O95" s="115"/>
      <c r="P95" s="25">
        <v>45822</v>
      </c>
      <c r="Q95" s="13" t="s">
        <v>146</v>
      </c>
      <c r="U95" s="115"/>
      <c r="V95" s="115"/>
      <c r="W95" s="115"/>
      <c r="X95" s="115"/>
      <c r="Y95" s="115"/>
      <c r="Z95" s="115"/>
      <c r="AA95" s="25"/>
      <c r="AB95" s="25"/>
      <c r="AG95" s="116"/>
      <c r="AH95" s="123"/>
      <c r="AI95" s="123"/>
      <c r="AJ95" s="123"/>
      <c r="AO95" s="115"/>
      <c r="AP95" s="115"/>
      <c r="AQ95" s="115"/>
      <c r="AR95" s="115"/>
      <c r="AS95" s="115"/>
      <c r="AT95" s="115"/>
      <c r="AU95" s="115"/>
      <c r="AV95" s="115"/>
      <c r="AW95" s="115"/>
      <c r="AX95" s="115"/>
      <c r="AY95" s="25"/>
      <c r="AZ95" s="13"/>
      <c r="BC95" s="114"/>
    </row>
    <row r="96" spans="1:55" ht="20.100000000000001" customHeight="1" x14ac:dyDescent="0.4">
      <c r="A96" s="117"/>
      <c r="B96" s="123"/>
      <c r="C96" s="123"/>
      <c r="D96" s="123"/>
      <c r="P96" s="25">
        <v>45822</v>
      </c>
      <c r="Q96" s="13" t="s">
        <v>146</v>
      </c>
      <c r="U96" s="115"/>
      <c r="V96" s="115"/>
      <c r="W96" s="115"/>
      <c r="X96" s="115"/>
      <c r="Y96" s="115"/>
      <c r="Z96" s="115"/>
      <c r="AA96" s="25">
        <v>45673</v>
      </c>
      <c r="AB96" s="13" t="s">
        <v>147</v>
      </c>
      <c r="AG96" s="116"/>
      <c r="AH96" s="123"/>
      <c r="AI96" s="123"/>
      <c r="AJ96" s="123"/>
      <c r="AO96" s="115"/>
      <c r="AP96" s="115"/>
      <c r="AQ96" s="115"/>
      <c r="AR96" s="115"/>
      <c r="AS96" s="115"/>
      <c r="AT96" s="115"/>
      <c r="AU96" s="115"/>
      <c r="AV96" s="115"/>
      <c r="AW96" s="115"/>
      <c r="AX96" s="115"/>
      <c r="AY96" s="25"/>
      <c r="AZ96" s="13"/>
      <c r="BC96" s="114"/>
    </row>
    <row r="97" spans="1:55" ht="20.100000000000001" customHeight="1" x14ac:dyDescent="0.4">
      <c r="A97" s="117"/>
      <c r="B97" s="123"/>
      <c r="C97" s="123"/>
      <c r="D97" s="123"/>
      <c r="L97" s="115"/>
      <c r="M97" s="115"/>
      <c r="N97" s="115"/>
      <c r="O97" s="115"/>
      <c r="P97" s="25">
        <v>45822</v>
      </c>
      <c r="Q97" s="13" t="s">
        <v>146</v>
      </c>
      <c r="U97" s="115"/>
      <c r="V97" s="115"/>
      <c r="W97" s="115"/>
      <c r="X97" s="115"/>
      <c r="Y97" s="115"/>
      <c r="Z97" s="115"/>
      <c r="AA97" s="25"/>
      <c r="AB97" s="13"/>
      <c r="AG97" s="116"/>
      <c r="AH97" s="123"/>
      <c r="AI97" s="123"/>
      <c r="AJ97" s="123"/>
      <c r="AO97" s="115"/>
      <c r="AP97" s="115"/>
      <c r="AQ97" s="115"/>
      <c r="AR97" s="115"/>
      <c r="AS97" s="115"/>
      <c r="AT97" s="115"/>
      <c r="AU97" s="115"/>
      <c r="AV97" s="115"/>
      <c r="AW97" s="115"/>
      <c r="AX97" s="115"/>
      <c r="AY97" s="25"/>
      <c r="AZ97" s="13"/>
      <c r="BC97" s="114"/>
    </row>
    <row r="98" spans="1:55" ht="20.100000000000001" customHeight="1" x14ac:dyDescent="0.4">
      <c r="A98" s="117"/>
      <c r="B98" s="123"/>
      <c r="C98" s="123"/>
      <c r="D98" s="123"/>
      <c r="I98" s="115"/>
      <c r="J98" s="115"/>
      <c r="K98" s="115"/>
      <c r="L98" s="115"/>
      <c r="M98" s="115"/>
      <c r="N98" s="115"/>
      <c r="O98" s="115"/>
      <c r="P98" s="25">
        <v>45822</v>
      </c>
      <c r="Q98" s="13" t="s">
        <v>146</v>
      </c>
      <c r="U98" s="115"/>
      <c r="V98" s="115"/>
      <c r="W98" s="115"/>
      <c r="X98" s="115"/>
      <c r="Y98" s="115"/>
      <c r="Z98" s="115"/>
      <c r="AA98" s="25"/>
      <c r="AB98" s="13"/>
      <c r="AG98" s="116"/>
      <c r="AH98" s="123"/>
      <c r="AI98" s="123"/>
      <c r="AJ98" s="123"/>
      <c r="AO98" s="115"/>
      <c r="AP98" s="115"/>
      <c r="AQ98" s="115"/>
      <c r="AR98" s="115"/>
      <c r="AS98" s="115"/>
      <c r="AT98" s="115"/>
      <c r="AU98" s="115"/>
      <c r="AV98" s="115"/>
      <c r="AW98" s="115"/>
      <c r="AX98" s="115"/>
      <c r="AY98" s="25"/>
      <c r="AZ98" s="13"/>
      <c r="BC98" s="114"/>
    </row>
    <row r="99" spans="1:55" ht="20.100000000000001" customHeight="1" x14ac:dyDescent="0.4">
      <c r="A99" s="117"/>
      <c r="B99" s="123"/>
      <c r="C99" s="123"/>
      <c r="D99" s="123"/>
      <c r="I99" s="115"/>
      <c r="J99" s="115"/>
      <c r="K99" s="115"/>
      <c r="L99" s="115"/>
      <c r="M99" s="115"/>
      <c r="N99" s="115"/>
      <c r="O99" s="115"/>
      <c r="P99" s="25">
        <v>45822</v>
      </c>
      <c r="Q99" s="13" t="s">
        <v>147</v>
      </c>
      <c r="U99" s="115"/>
      <c r="V99" s="115"/>
      <c r="W99" s="115"/>
      <c r="X99" s="115"/>
      <c r="Y99" s="115"/>
      <c r="Z99" s="115"/>
      <c r="AA99" s="25"/>
      <c r="AB99" s="13"/>
      <c r="AG99" s="116"/>
      <c r="AH99" s="123"/>
      <c r="AI99" s="123"/>
      <c r="AJ99" s="123"/>
      <c r="AO99" s="115"/>
      <c r="AP99" s="115"/>
      <c r="AQ99" s="115"/>
      <c r="AR99" s="115"/>
      <c r="AS99" s="115"/>
      <c r="AT99" s="115"/>
      <c r="AU99" s="115"/>
      <c r="AV99" s="115"/>
      <c r="AW99" s="115"/>
      <c r="AX99" s="115"/>
      <c r="AY99" s="25"/>
      <c r="AZ99" s="13"/>
      <c r="BC99" s="114"/>
    </row>
    <row r="100" spans="1:55" ht="20.100000000000001" customHeight="1" x14ac:dyDescent="0.4">
      <c r="A100" s="117"/>
      <c r="B100" s="123"/>
      <c r="C100" s="123"/>
      <c r="D100" s="123"/>
      <c r="P100" s="25">
        <v>45822</v>
      </c>
      <c r="Q100" s="13" t="s">
        <v>146</v>
      </c>
      <c r="U100" s="115"/>
      <c r="V100" s="115"/>
      <c r="W100" s="115"/>
      <c r="X100" s="115"/>
      <c r="Y100" s="115"/>
      <c r="Z100" s="115"/>
      <c r="AA100" s="25">
        <v>45673</v>
      </c>
      <c r="AB100" s="13" t="s">
        <v>147</v>
      </c>
      <c r="AG100" s="116"/>
      <c r="AH100" s="123"/>
      <c r="AI100" s="123"/>
      <c r="AJ100" s="123"/>
      <c r="AO100" s="115"/>
      <c r="AP100" s="115"/>
      <c r="AQ100" s="115"/>
      <c r="AR100" s="115"/>
      <c r="AS100" s="115"/>
      <c r="AT100" s="115"/>
      <c r="AU100" s="115"/>
      <c r="AV100" s="115"/>
      <c r="AW100" s="115"/>
      <c r="AX100" s="115"/>
      <c r="AY100" s="25"/>
      <c r="AZ100" s="13"/>
      <c r="BC100" s="114"/>
    </row>
    <row r="101" spans="1:55" ht="20.100000000000001" customHeight="1" x14ac:dyDescent="0.4">
      <c r="A101" s="117"/>
      <c r="B101" s="123"/>
      <c r="C101" s="123"/>
      <c r="D101" s="123"/>
      <c r="G101" s="115"/>
      <c r="H101" s="115"/>
      <c r="I101" s="115"/>
      <c r="J101" s="115"/>
      <c r="K101" s="115"/>
      <c r="L101" s="115"/>
      <c r="M101" s="115"/>
      <c r="N101" s="115"/>
      <c r="O101" s="115"/>
      <c r="P101" s="25">
        <v>45822</v>
      </c>
      <c r="Q101" s="13" t="s">
        <v>146</v>
      </c>
      <c r="U101" s="115"/>
      <c r="V101" s="115"/>
      <c r="W101" s="115"/>
      <c r="X101" s="115"/>
      <c r="Y101" s="115"/>
      <c r="Z101" s="115"/>
      <c r="AA101" s="25"/>
      <c r="AB101" s="13"/>
      <c r="AG101" s="116"/>
      <c r="AH101" s="123"/>
      <c r="AI101" s="123"/>
      <c r="AJ101" s="123"/>
      <c r="AO101" s="115"/>
      <c r="AP101" s="115"/>
      <c r="AQ101" s="115"/>
      <c r="AR101" s="115"/>
      <c r="AS101" s="115"/>
      <c r="AT101" s="115"/>
      <c r="AU101" s="115"/>
      <c r="AV101" s="115"/>
      <c r="AW101" s="115"/>
      <c r="AX101" s="115"/>
      <c r="AY101" s="25"/>
      <c r="AZ101" s="13"/>
      <c r="BC101" s="114"/>
    </row>
    <row r="102" spans="1:55" ht="20.100000000000001" customHeight="1" x14ac:dyDescent="0.4">
      <c r="A102" s="117"/>
      <c r="B102" s="123"/>
      <c r="C102" s="123"/>
      <c r="D102" s="123"/>
      <c r="G102" s="115"/>
      <c r="H102" s="115"/>
      <c r="I102" s="115"/>
      <c r="J102" s="115"/>
      <c r="K102" s="115"/>
      <c r="L102" s="115"/>
      <c r="M102" s="115"/>
      <c r="N102" s="115"/>
      <c r="O102" s="115"/>
      <c r="P102" s="25">
        <v>45822</v>
      </c>
      <c r="Q102" s="13" t="s">
        <v>146</v>
      </c>
      <c r="U102" s="115"/>
      <c r="V102" s="115"/>
      <c r="W102" s="115"/>
      <c r="X102" s="115"/>
      <c r="Y102" s="115"/>
      <c r="Z102" s="115"/>
      <c r="AA102" s="25"/>
      <c r="AB102" s="13"/>
      <c r="AG102" s="116"/>
      <c r="AH102" s="123"/>
      <c r="AI102" s="123"/>
      <c r="AJ102" s="123"/>
      <c r="AO102" s="115"/>
      <c r="AP102" s="115"/>
      <c r="AQ102" s="115"/>
      <c r="AR102" s="115"/>
      <c r="AS102" s="115"/>
      <c r="AT102" s="115"/>
      <c r="AU102" s="115"/>
      <c r="AV102" s="115"/>
      <c r="AW102" s="115"/>
      <c r="AX102" s="115"/>
      <c r="AY102" s="25"/>
      <c r="AZ102" s="13"/>
      <c r="BC102" s="114"/>
    </row>
    <row r="103" spans="1:55" ht="20.100000000000001" customHeight="1" x14ac:dyDescent="0.4">
      <c r="A103" s="117"/>
      <c r="B103" s="123"/>
      <c r="C103" s="123"/>
      <c r="D103" s="123"/>
      <c r="G103" s="115"/>
      <c r="H103" s="115"/>
      <c r="I103" s="115"/>
      <c r="J103" s="115"/>
      <c r="K103" s="115"/>
      <c r="L103" s="115"/>
      <c r="M103" s="115"/>
      <c r="N103" s="115"/>
      <c r="O103" s="115"/>
      <c r="P103" s="25">
        <v>45822</v>
      </c>
      <c r="Q103" s="13" t="s">
        <v>146</v>
      </c>
      <c r="U103" s="115"/>
      <c r="V103" s="115"/>
      <c r="W103" s="115"/>
      <c r="X103" s="115"/>
      <c r="Y103" s="115"/>
      <c r="Z103" s="115"/>
      <c r="AA103" s="25"/>
      <c r="AB103" s="13"/>
      <c r="AG103" s="116"/>
      <c r="AH103" s="123"/>
      <c r="AI103" s="123"/>
      <c r="AJ103" s="123"/>
      <c r="AO103" s="115"/>
      <c r="AP103" s="115"/>
      <c r="AQ103" s="115"/>
      <c r="AR103" s="115"/>
      <c r="AS103" s="115"/>
      <c r="AT103" s="115"/>
      <c r="AU103" s="115"/>
      <c r="AV103" s="115"/>
      <c r="AW103" s="115"/>
      <c r="AX103" s="115"/>
      <c r="AY103" s="25"/>
      <c r="AZ103" s="13"/>
      <c r="BC103" s="114"/>
    </row>
    <row r="104" spans="1:55" ht="20.100000000000001" customHeight="1" x14ac:dyDescent="0.4">
      <c r="A104" s="117"/>
      <c r="B104" s="123"/>
      <c r="C104" s="123"/>
      <c r="D104" s="123"/>
      <c r="G104" s="115"/>
      <c r="H104" s="115"/>
      <c r="I104" s="115"/>
      <c r="J104" s="115"/>
      <c r="K104" s="115"/>
      <c r="L104" s="115"/>
      <c r="M104" s="115"/>
      <c r="N104" s="115"/>
      <c r="O104" s="115"/>
      <c r="P104" s="25">
        <v>45822</v>
      </c>
      <c r="Q104" s="13" t="s">
        <v>146</v>
      </c>
      <c r="U104" s="115"/>
      <c r="V104" s="115"/>
      <c r="W104" s="115"/>
      <c r="X104" s="115"/>
      <c r="Y104" s="115"/>
      <c r="Z104" s="115"/>
      <c r="AA104" s="25"/>
      <c r="AB104" s="13"/>
      <c r="AG104" s="116"/>
      <c r="AH104" s="123"/>
      <c r="AI104" s="123"/>
      <c r="AJ104" s="123"/>
      <c r="AO104" s="115"/>
      <c r="AP104" s="115"/>
      <c r="AQ104" s="115"/>
      <c r="AR104" s="115"/>
      <c r="AS104" s="115"/>
      <c r="AT104" s="115"/>
      <c r="AU104" s="115"/>
      <c r="AV104" s="115"/>
      <c r="AW104" s="115"/>
      <c r="AX104" s="115"/>
      <c r="AY104" s="25"/>
      <c r="AZ104" s="13"/>
      <c r="BC104" s="114"/>
    </row>
    <row r="105" spans="1:55" ht="20.100000000000001" customHeight="1" x14ac:dyDescent="0.4">
      <c r="A105" s="117"/>
      <c r="B105" s="123"/>
      <c r="C105" s="123"/>
      <c r="D105" s="123"/>
      <c r="G105" s="115"/>
      <c r="H105" s="115"/>
      <c r="I105" s="115"/>
      <c r="J105" s="115"/>
      <c r="K105" s="115"/>
      <c r="L105" s="115"/>
      <c r="M105" s="115"/>
      <c r="N105" s="115"/>
      <c r="O105" s="115"/>
      <c r="P105" s="25">
        <v>45822</v>
      </c>
      <c r="Q105" s="15" t="s">
        <v>146</v>
      </c>
      <c r="U105" s="115"/>
      <c r="V105" s="115"/>
      <c r="W105" s="115"/>
      <c r="X105" s="115"/>
      <c r="Y105" s="115"/>
      <c r="Z105" s="115"/>
      <c r="AA105" s="25"/>
      <c r="AB105" s="13"/>
      <c r="AG105" s="116"/>
      <c r="AH105" s="123"/>
      <c r="AI105" s="123"/>
      <c r="AJ105" s="123"/>
      <c r="AO105" s="115"/>
      <c r="AP105" s="115"/>
      <c r="AQ105" s="115"/>
      <c r="AR105" s="115"/>
      <c r="AS105" s="115"/>
      <c r="AT105" s="115"/>
      <c r="AU105" s="115"/>
      <c r="AV105" s="115"/>
      <c r="AW105" s="115"/>
      <c r="AX105" s="115"/>
      <c r="AY105" s="25"/>
      <c r="AZ105" s="13"/>
      <c r="BC105" s="114"/>
    </row>
    <row r="106" spans="1:55" ht="20.100000000000001" customHeight="1" x14ac:dyDescent="0.4">
      <c r="A106" s="117"/>
      <c r="B106" s="123"/>
      <c r="C106" s="123"/>
      <c r="D106" s="123"/>
      <c r="G106" s="115"/>
      <c r="H106" s="115"/>
      <c r="I106" s="115"/>
      <c r="J106" s="115"/>
      <c r="K106" s="115"/>
      <c r="L106" s="115"/>
      <c r="M106" s="115"/>
      <c r="N106" s="115"/>
      <c r="O106" s="115"/>
      <c r="P106" s="25">
        <v>45822</v>
      </c>
      <c r="Q106" s="15" t="s">
        <v>147</v>
      </c>
      <c r="U106" s="115"/>
      <c r="V106" s="115"/>
      <c r="W106" s="115"/>
      <c r="X106" s="115"/>
      <c r="Y106" s="115"/>
      <c r="Z106" s="115"/>
      <c r="AA106" s="25"/>
      <c r="AB106" s="13"/>
      <c r="AG106" s="116"/>
      <c r="AH106" s="123"/>
      <c r="AI106" s="123"/>
      <c r="AJ106" s="123"/>
      <c r="AO106" s="115"/>
      <c r="AP106" s="115"/>
      <c r="AQ106" s="115"/>
      <c r="AR106" s="115"/>
      <c r="AS106" s="115"/>
      <c r="AT106" s="115"/>
      <c r="AU106" s="115"/>
      <c r="AV106" s="115"/>
      <c r="AW106" s="115"/>
      <c r="AX106" s="115"/>
      <c r="AY106" s="25"/>
      <c r="AZ106" s="13"/>
      <c r="BC106" s="114"/>
    </row>
    <row r="107" spans="1:55" ht="20.100000000000001" customHeight="1" x14ac:dyDescent="0.4">
      <c r="A107" s="117"/>
      <c r="B107" s="123"/>
      <c r="C107" s="123"/>
      <c r="D107" s="123"/>
      <c r="G107" s="115"/>
      <c r="H107" s="115"/>
      <c r="I107" s="115"/>
      <c r="J107" s="115"/>
      <c r="K107" s="115"/>
      <c r="L107" s="115"/>
      <c r="M107" s="115"/>
      <c r="N107" s="115"/>
      <c r="O107" s="115"/>
      <c r="P107" s="25">
        <v>45822</v>
      </c>
      <c r="Q107" s="15" t="s">
        <v>146</v>
      </c>
      <c r="U107" s="115"/>
      <c r="V107" s="115"/>
      <c r="W107" s="115"/>
      <c r="X107" s="115"/>
      <c r="Y107" s="115"/>
      <c r="Z107" s="115"/>
      <c r="AA107" s="25"/>
      <c r="AB107" s="13"/>
      <c r="AG107" s="116"/>
      <c r="AH107" s="123"/>
      <c r="AI107" s="123"/>
      <c r="AJ107" s="123"/>
      <c r="AO107" s="115"/>
      <c r="AP107" s="115"/>
      <c r="AQ107" s="115"/>
      <c r="AR107" s="115"/>
      <c r="AS107" s="115"/>
      <c r="AT107" s="115"/>
      <c r="AU107" s="115"/>
      <c r="AV107" s="115"/>
      <c r="AW107" s="115"/>
      <c r="AX107" s="115"/>
      <c r="AY107" s="25"/>
      <c r="AZ107" s="13"/>
      <c r="BC107" s="114"/>
    </row>
    <row r="108" spans="1:55" ht="20.100000000000001" customHeight="1" x14ac:dyDescent="0.4">
      <c r="A108" s="117"/>
      <c r="B108" s="123"/>
      <c r="C108" s="123"/>
      <c r="D108" s="123"/>
      <c r="G108" s="115"/>
      <c r="H108" s="115"/>
      <c r="I108" s="115"/>
      <c r="J108" s="115"/>
      <c r="K108" s="115"/>
      <c r="L108" s="115"/>
      <c r="M108" s="115"/>
      <c r="N108" s="115"/>
      <c r="O108" s="115"/>
      <c r="P108" s="25">
        <v>45822</v>
      </c>
      <c r="Q108" s="13" t="s">
        <v>146</v>
      </c>
      <c r="U108" s="115"/>
      <c r="V108" s="115"/>
      <c r="W108" s="115"/>
      <c r="X108" s="115"/>
      <c r="Y108" s="115"/>
      <c r="Z108" s="115"/>
      <c r="AA108" s="25"/>
      <c r="AB108" s="13"/>
      <c r="AG108" s="116"/>
      <c r="AH108" s="123"/>
      <c r="AI108" s="123"/>
      <c r="AJ108" s="123"/>
      <c r="AO108" s="115"/>
      <c r="AP108" s="115"/>
      <c r="AQ108" s="115"/>
      <c r="AR108" s="115"/>
      <c r="AS108" s="115"/>
      <c r="AT108" s="115"/>
      <c r="AU108" s="115"/>
      <c r="AV108" s="115"/>
      <c r="AW108" s="115"/>
      <c r="AX108" s="115"/>
      <c r="AY108" s="25"/>
      <c r="AZ108" s="13"/>
      <c r="BC108" s="114"/>
    </row>
    <row r="109" spans="1:55" ht="20.100000000000001" customHeight="1" x14ac:dyDescent="0.4">
      <c r="A109" s="117"/>
      <c r="B109" s="123"/>
      <c r="C109" s="123"/>
      <c r="D109" s="123"/>
      <c r="P109" s="25">
        <v>45822</v>
      </c>
      <c r="Q109" s="13" t="s">
        <v>146</v>
      </c>
      <c r="S109" s="115"/>
      <c r="T109" s="115"/>
      <c r="U109" s="115"/>
      <c r="V109" s="115"/>
      <c r="W109" s="115"/>
      <c r="X109" s="115"/>
      <c r="Y109" s="115"/>
      <c r="Z109" s="115"/>
      <c r="AA109" s="25">
        <v>45673</v>
      </c>
      <c r="AB109" s="13" t="s">
        <v>148</v>
      </c>
      <c r="AG109" s="116"/>
      <c r="AH109" s="123"/>
      <c r="AI109" s="123"/>
      <c r="AJ109" s="123"/>
      <c r="AO109" s="115"/>
      <c r="AP109" s="115"/>
      <c r="AQ109" s="115"/>
      <c r="AR109" s="115"/>
      <c r="AS109" s="115"/>
      <c r="AT109" s="115"/>
      <c r="AU109" s="115"/>
      <c r="AV109" s="115"/>
      <c r="AW109" s="115"/>
      <c r="AX109" s="115"/>
      <c r="AY109" s="25"/>
      <c r="AZ109" s="13"/>
      <c r="BC109" s="114"/>
    </row>
    <row r="110" spans="1:55" ht="20.100000000000001" customHeight="1" x14ac:dyDescent="0.4">
      <c r="A110" s="117"/>
      <c r="B110" s="123"/>
      <c r="C110" s="123"/>
      <c r="D110" s="123"/>
      <c r="K110" s="115"/>
      <c r="L110" s="115"/>
      <c r="M110" s="115"/>
      <c r="N110" s="115"/>
      <c r="O110" s="115"/>
      <c r="P110" s="25">
        <v>45822</v>
      </c>
      <c r="Q110" s="13" t="s">
        <v>146</v>
      </c>
      <c r="S110" s="115"/>
      <c r="T110" s="115"/>
      <c r="U110" s="115"/>
      <c r="V110" s="115"/>
      <c r="W110" s="115"/>
      <c r="X110" s="115"/>
      <c r="Y110" s="115"/>
      <c r="Z110" s="115"/>
      <c r="AA110" s="25"/>
      <c r="AB110" s="13"/>
      <c r="AG110" s="116"/>
      <c r="AH110" s="123"/>
      <c r="AI110" s="123"/>
      <c r="AJ110" s="123"/>
      <c r="AO110" s="115"/>
      <c r="AP110" s="115"/>
      <c r="AQ110" s="115"/>
      <c r="AR110" s="115"/>
      <c r="AS110" s="115"/>
      <c r="AT110" s="115"/>
      <c r="AU110" s="115"/>
      <c r="AV110" s="115"/>
      <c r="AW110" s="115"/>
      <c r="AX110" s="115"/>
      <c r="AY110" s="25"/>
      <c r="AZ110" s="13"/>
      <c r="BC110" s="114"/>
    </row>
    <row r="111" spans="1:55" ht="20.100000000000001" customHeight="1" x14ac:dyDescent="0.4">
      <c r="A111" s="117"/>
      <c r="B111" s="123"/>
      <c r="C111" s="123"/>
      <c r="D111" s="123"/>
      <c r="I111" s="115"/>
      <c r="J111" s="115"/>
      <c r="K111" s="115"/>
      <c r="L111" s="115"/>
      <c r="M111" s="115"/>
      <c r="N111" s="115"/>
      <c r="O111" s="115"/>
      <c r="P111" s="25">
        <v>45822</v>
      </c>
      <c r="Q111" s="13" t="s">
        <v>147</v>
      </c>
      <c r="S111" s="115"/>
      <c r="T111" s="115"/>
      <c r="U111" s="115"/>
      <c r="V111" s="115"/>
      <c r="W111" s="115"/>
      <c r="X111" s="115"/>
      <c r="Y111" s="115"/>
      <c r="Z111" s="115"/>
      <c r="AA111" s="25"/>
      <c r="AB111" s="13"/>
      <c r="AG111" s="116"/>
      <c r="AH111" s="123"/>
      <c r="AI111" s="123"/>
      <c r="AJ111" s="123"/>
      <c r="AO111" s="115"/>
      <c r="AP111" s="115"/>
      <c r="AQ111" s="115"/>
      <c r="AR111" s="115"/>
      <c r="AS111" s="115"/>
      <c r="AT111" s="115"/>
      <c r="AU111" s="115"/>
      <c r="AV111" s="115"/>
      <c r="AW111" s="115"/>
      <c r="AX111" s="115"/>
      <c r="AY111" s="25"/>
      <c r="AZ111" s="13"/>
      <c r="BC111" s="114"/>
    </row>
    <row r="112" spans="1:55" ht="20.100000000000001" customHeight="1" x14ac:dyDescent="0.4">
      <c r="A112" s="117"/>
      <c r="B112" s="123"/>
      <c r="C112" s="123"/>
      <c r="D112" s="123"/>
      <c r="I112" s="115"/>
      <c r="J112" s="115"/>
      <c r="K112" s="115"/>
      <c r="L112" s="115"/>
      <c r="M112" s="115"/>
      <c r="N112" s="115"/>
      <c r="O112" s="115"/>
      <c r="P112" s="25">
        <v>45822</v>
      </c>
      <c r="Q112" s="13" t="s">
        <v>148</v>
      </c>
      <c r="S112" s="115"/>
      <c r="T112" s="115"/>
      <c r="U112" s="115"/>
      <c r="V112" s="115"/>
      <c r="W112" s="115"/>
      <c r="X112" s="115"/>
      <c r="Y112" s="115"/>
      <c r="Z112" s="115"/>
      <c r="AA112" s="25"/>
      <c r="AB112" s="13"/>
      <c r="AG112" s="116"/>
      <c r="AH112" s="123"/>
      <c r="AI112" s="123"/>
      <c r="AJ112" s="123"/>
      <c r="AO112" s="115"/>
      <c r="AP112" s="115"/>
      <c r="AQ112" s="115"/>
      <c r="AR112" s="115"/>
      <c r="AS112" s="115"/>
      <c r="AT112" s="115"/>
      <c r="AU112" s="115"/>
      <c r="AV112" s="115"/>
      <c r="AW112" s="115"/>
      <c r="AX112" s="115"/>
      <c r="AY112" s="25"/>
      <c r="AZ112" s="13"/>
      <c r="BC112" s="114"/>
    </row>
    <row r="113" spans="1:55" ht="20.100000000000001" customHeight="1" x14ac:dyDescent="0.4">
      <c r="A113" s="117"/>
      <c r="B113" s="123"/>
      <c r="C113" s="123"/>
      <c r="D113" s="123"/>
      <c r="I113" s="115"/>
      <c r="J113" s="115"/>
      <c r="K113" s="115"/>
      <c r="L113" s="115"/>
      <c r="M113" s="115"/>
      <c r="N113" s="115"/>
      <c r="O113" s="115"/>
      <c r="P113" s="25">
        <v>45822</v>
      </c>
      <c r="Q113" s="13" t="s">
        <v>147</v>
      </c>
      <c r="S113" s="115"/>
      <c r="T113" s="115"/>
      <c r="U113" s="115"/>
      <c r="V113" s="115"/>
      <c r="W113" s="115"/>
      <c r="X113" s="115"/>
      <c r="Y113" s="115"/>
      <c r="Z113" s="115"/>
      <c r="AA113" s="25"/>
      <c r="AB113" s="13"/>
      <c r="AG113" s="116"/>
      <c r="AH113" s="123"/>
      <c r="AI113" s="123"/>
      <c r="AJ113" s="123"/>
      <c r="AO113" s="115"/>
      <c r="AP113" s="115"/>
      <c r="AQ113" s="115"/>
      <c r="AR113" s="115"/>
      <c r="AS113" s="115"/>
      <c r="AT113" s="115"/>
      <c r="AU113" s="115"/>
      <c r="AV113" s="115"/>
      <c r="AW113" s="115"/>
      <c r="AX113" s="115"/>
      <c r="AY113" s="25"/>
      <c r="AZ113" s="13"/>
      <c r="BC113" s="114"/>
    </row>
    <row r="114" spans="1:55" ht="20.100000000000001" customHeight="1" x14ac:dyDescent="0.4">
      <c r="A114" s="117"/>
      <c r="B114" s="123"/>
      <c r="C114" s="123"/>
      <c r="D114" s="123"/>
      <c r="G114" s="115"/>
      <c r="H114" s="115"/>
      <c r="I114" s="115"/>
      <c r="J114" s="115"/>
      <c r="K114" s="115"/>
      <c r="L114" s="115"/>
      <c r="M114" s="115"/>
      <c r="N114" s="115"/>
      <c r="O114" s="115"/>
      <c r="P114" s="25">
        <v>45822</v>
      </c>
      <c r="Q114" s="13" t="s">
        <v>147</v>
      </c>
      <c r="S114" s="115"/>
      <c r="T114" s="115"/>
      <c r="U114" s="115"/>
      <c r="V114" s="115"/>
      <c r="W114" s="115"/>
      <c r="X114" s="115"/>
      <c r="Y114" s="115"/>
      <c r="Z114" s="115"/>
      <c r="AA114" s="25"/>
      <c r="AB114" s="13"/>
      <c r="AG114" s="116"/>
      <c r="AH114" s="123"/>
      <c r="AI114" s="123"/>
      <c r="AJ114" s="123"/>
      <c r="AO114" s="115"/>
      <c r="AP114" s="115"/>
      <c r="AQ114" s="115"/>
      <c r="AR114" s="115"/>
      <c r="AS114" s="115"/>
      <c r="AT114" s="115"/>
      <c r="AU114" s="115"/>
      <c r="AV114" s="115"/>
      <c r="AW114" s="115"/>
      <c r="AX114" s="115"/>
      <c r="AY114" s="25"/>
      <c r="AZ114" s="13"/>
      <c r="BC114" s="114"/>
    </row>
    <row r="115" spans="1:55" ht="20.100000000000001" customHeight="1" x14ac:dyDescent="0.4">
      <c r="A115" s="117"/>
      <c r="B115" s="123"/>
      <c r="C115" s="123"/>
      <c r="D115" s="123"/>
      <c r="G115" s="115"/>
      <c r="H115" s="115"/>
      <c r="I115" s="115"/>
      <c r="J115" s="115"/>
      <c r="K115" s="115"/>
      <c r="L115" s="115"/>
      <c r="M115" s="115"/>
      <c r="N115" s="115"/>
      <c r="O115" s="115" t="s">
        <v>383</v>
      </c>
      <c r="P115" s="13">
        <f>SUBTOTAL(3,P95:P114)</f>
        <v>20</v>
      </c>
      <c r="Q115" s="13">
        <f>SUBTOTAL(3,Q95:Q114)</f>
        <v>20</v>
      </c>
      <c r="S115" s="115"/>
      <c r="T115" s="115"/>
      <c r="U115" s="115"/>
      <c r="V115" s="115"/>
      <c r="W115" s="115"/>
      <c r="X115" s="115"/>
      <c r="Y115" s="115"/>
      <c r="Z115" s="115"/>
      <c r="AA115" s="25"/>
      <c r="AB115" s="13"/>
      <c r="AG115" s="116"/>
      <c r="AH115" s="123"/>
      <c r="AI115" s="123"/>
      <c r="AJ115" s="123"/>
      <c r="AO115" s="115"/>
      <c r="AP115" s="115"/>
      <c r="AQ115" s="115"/>
      <c r="AR115" s="115"/>
      <c r="AS115" s="115"/>
      <c r="AT115" s="115"/>
      <c r="AU115" s="115"/>
      <c r="AV115" s="115"/>
      <c r="AW115" s="115"/>
      <c r="AX115" s="115"/>
      <c r="AY115" s="25"/>
      <c r="AZ115" s="13"/>
      <c r="BC115" s="114"/>
    </row>
    <row r="116" spans="1:55" ht="20.100000000000001" customHeight="1" x14ac:dyDescent="0.4">
      <c r="A116" s="117"/>
      <c r="B116" s="123"/>
      <c r="C116" s="123"/>
      <c r="D116" s="123"/>
      <c r="G116" s="115"/>
      <c r="H116" s="115"/>
      <c r="I116" s="115"/>
      <c r="J116" s="115"/>
      <c r="K116" s="115"/>
      <c r="L116" s="115"/>
      <c r="M116" s="115"/>
      <c r="N116" s="115"/>
      <c r="O116" s="115"/>
      <c r="P116" s="25">
        <v>45823</v>
      </c>
      <c r="Q116" s="13" t="s">
        <v>146</v>
      </c>
      <c r="S116" s="115"/>
      <c r="T116" s="115"/>
      <c r="U116" s="115"/>
      <c r="V116" s="115"/>
      <c r="W116" s="115"/>
      <c r="X116" s="115"/>
      <c r="Y116" s="115"/>
      <c r="Z116" s="115"/>
      <c r="AA116" s="25"/>
      <c r="AB116" s="13"/>
      <c r="AG116" s="116"/>
      <c r="AH116" s="123"/>
      <c r="AI116" s="123"/>
      <c r="AJ116" s="123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25"/>
      <c r="AZ116" s="13"/>
      <c r="BC116" s="114"/>
    </row>
    <row r="117" spans="1:55" ht="20.100000000000001" customHeight="1" x14ac:dyDescent="0.4">
      <c r="A117" s="117"/>
      <c r="B117" s="123"/>
      <c r="C117" s="123"/>
      <c r="D117" s="123"/>
      <c r="P117" s="25">
        <v>45823</v>
      </c>
      <c r="Q117" s="13" t="s">
        <v>146</v>
      </c>
      <c r="S117" s="115"/>
      <c r="T117" s="115"/>
      <c r="U117" s="115"/>
      <c r="V117" s="115"/>
      <c r="W117" s="115"/>
      <c r="X117" s="115"/>
      <c r="Y117" s="115"/>
      <c r="Z117" s="115"/>
      <c r="AA117" s="25">
        <v>45673</v>
      </c>
      <c r="AB117" s="13" t="s">
        <v>147</v>
      </c>
      <c r="AG117" s="116"/>
      <c r="AH117" s="123"/>
      <c r="AI117" s="123"/>
      <c r="AJ117" s="123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25"/>
      <c r="AZ117" s="13"/>
      <c r="BC117" s="114"/>
    </row>
    <row r="118" spans="1:55" ht="20.100000000000001" customHeight="1" x14ac:dyDescent="0.4">
      <c r="A118" s="117"/>
      <c r="B118" s="123"/>
      <c r="C118" s="123"/>
      <c r="D118" s="123"/>
      <c r="P118" s="25">
        <v>45823</v>
      </c>
      <c r="Q118" s="13" t="s">
        <v>147</v>
      </c>
      <c r="S118" s="115"/>
      <c r="T118" s="115"/>
      <c r="U118" s="115"/>
      <c r="V118" s="115"/>
      <c r="W118" s="115"/>
      <c r="X118" s="115"/>
      <c r="Y118" s="115"/>
      <c r="Z118" s="115"/>
      <c r="AA118" s="25"/>
      <c r="AB118" s="13"/>
      <c r="AG118" s="116"/>
      <c r="AH118" s="123"/>
      <c r="AI118" s="123"/>
      <c r="AJ118" s="123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25"/>
      <c r="AZ118" s="13"/>
      <c r="BC118" s="114"/>
    </row>
    <row r="119" spans="1:55" ht="20.100000000000001" customHeight="1" x14ac:dyDescent="0.4">
      <c r="A119" s="117"/>
      <c r="B119" s="123"/>
      <c r="C119" s="123"/>
      <c r="D119" s="123"/>
      <c r="K119" s="115"/>
      <c r="L119" s="115"/>
      <c r="M119" s="115"/>
      <c r="N119" s="115"/>
      <c r="O119" s="115"/>
      <c r="P119" s="25">
        <v>45823</v>
      </c>
      <c r="Q119" s="13" t="s">
        <v>147</v>
      </c>
      <c r="S119" s="115"/>
      <c r="T119" s="115"/>
      <c r="U119" s="115"/>
      <c r="V119" s="115"/>
      <c r="W119" s="115"/>
      <c r="X119" s="115"/>
      <c r="Y119" s="115"/>
      <c r="Z119" s="115"/>
      <c r="AA119" s="25"/>
      <c r="AB119" s="13"/>
      <c r="AG119" s="116"/>
      <c r="AH119" s="123"/>
      <c r="AI119" s="123"/>
      <c r="AJ119" s="123"/>
      <c r="AO119" s="115"/>
      <c r="AP119" s="115"/>
      <c r="AQ119" s="115"/>
      <c r="AR119" s="115"/>
      <c r="AS119" s="115"/>
      <c r="AT119" s="115"/>
      <c r="AU119" s="115"/>
      <c r="AV119" s="115"/>
      <c r="AW119" s="115"/>
      <c r="AX119" s="115"/>
      <c r="AY119" s="25"/>
      <c r="AZ119" s="13"/>
      <c r="BC119" s="114"/>
    </row>
    <row r="120" spans="1:55" ht="20.100000000000001" customHeight="1" x14ac:dyDescent="0.4">
      <c r="A120" s="117"/>
      <c r="B120" s="123"/>
      <c r="C120" s="123"/>
      <c r="D120" s="123"/>
      <c r="K120" s="115"/>
      <c r="L120" s="115"/>
      <c r="M120" s="115"/>
      <c r="N120" s="115"/>
      <c r="O120" s="115" t="s">
        <v>384</v>
      </c>
      <c r="P120" s="13">
        <f>SUBTOTAL(3,P116:P119)</f>
        <v>4</v>
      </c>
      <c r="Q120" s="13">
        <f>SUBTOTAL(3,Q116:Q119)</f>
        <v>4</v>
      </c>
      <c r="S120" s="115"/>
      <c r="T120" s="115"/>
      <c r="U120" s="115"/>
      <c r="V120" s="115"/>
      <c r="W120" s="115"/>
      <c r="X120" s="115"/>
      <c r="Y120" s="115"/>
      <c r="Z120" s="115"/>
      <c r="AA120" s="25"/>
      <c r="AB120" s="13"/>
      <c r="AG120" s="116"/>
      <c r="AH120" s="123"/>
      <c r="AI120" s="123"/>
      <c r="AJ120" s="123"/>
      <c r="AO120" s="115"/>
      <c r="AP120" s="115"/>
      <c r="AQ120" s="115"/>
      <c r="AR120" s="115"/>
      <c r="AS120" s="115"/>
      <c r="AT120" s="115"/>
      <c r="AU120" s="115"/>
      <c r="AV120" s="115"/>
      <c r="AW120" s="115"/>
      <c r="AX120" s="115"/>
      <c r="AY120" s="25"/>
      <c r="AZ120" s="13"/>
      <c r="BC120" s="114"/>
    </row>
    <row r="121" spans="1:55" ht="20.100000000000001" customHeight="1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115"/>
      <c r="O121" s="115"/>
      <c r="P121" s="25">
        <v>45824</v>
      </c>
      <c r="Q121" s="13" t="s">
        <v>146</v>
      </c>
      <c r="S121" s="115"/>
      <c r="T121" s="115"/>
      <c r="U121" s="115"/>
      <c r="V121" s="115"/>
      <c r="W121" s="115"/>
      <c r="X121" s="115"/>
      <c r="Y121" s="115"/>
      <c r="Z121" s="115"/>
      <c r="AA121" s="25"/>
      <c r="AB121" s="13"/>
      <c r="AG121" s="116"/>
      <c r="AH121" s="123"/>
      <c r="AI121" s="123"/>
      <c r="AJ121" s="123"/>
      <c r="AO121" s="115"/>
      <c r="AP121" s="115"/>
      <c r="AQ121" s="115"/>
      <c r="AR121" s="115"/>
      <c r="AS121" s="115"/>
      <c r="AT121" s="115"/>
      <c r="AU121" s="115"/>
      <c r="AV121" s="115"/>
      <c r="AW121" s="115"/>
      <c r="AX121" s="115"/>
      <c r="AY121" s="25"/>
      <c r="AZ121" s="13"/>
      <c r="BC121" s="114"/>
    </row>
    <row r="122" spans="1:55" ht="20.100000000000001" customHeight="1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115"/>
      <c r="O122" s="115" t="s">
        <v>179</v>
      </c>
      <c r="P122" s="13">
        <f>SUBTOTAL(3,P121:P121)</f>
        <v>1</v>
      </c>
      <c r="Q122" s="13">
        <f>SUBTOTAL(3,Q121:Q121)</f>
        <v>1</v>
      </c>
      <c r="S122" s="115"/>
      <c r="T122" s="115"/>
      <c r="U122" s="115"/>
      <c r="V122" s="115"/>
      <c r="W122" s="115"/>
      <c r="X122" s="115"/>
      <c r="Y122" s="115"/>
      <c r="Z122" s="115"/>
      <c r="AA122" s="25"/>
      <c r="AB122" s="13"/>
      <c r="AG122" s="116"/>
      <c r="AH122" s="123"/>
      <c r="AI122" s="123"/>
      <c r="AJ122" s="123"/>
      <c r="AO122" s="115"/>
      <c r="AP122" s="115"/>
      <c r="AQ122" s="115"/>
      <c r="AR122" s="115"/>
      <c r="AS122" s="115"/>
      <c r="AT122" s="115"/>
      <c r="AU122" s="115"/>
      <c r="AV122" s="115"/>
      <c r="AW122" s="115"/>
      <c r="AX122" s="115"/>
      <c r="AY122" s="25"/>
      <c r="AZ122" s="13"/>
      <c r="BC122" s="114"/>
    </row>
    <row r="123" spans="1:55" ht="20.100000000000001" customHeight="1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15"/>
      <c r="O123" s="115"/>
      <c r="P123" s="25">
        <v>45825</v>
      </c>
      <c r="Q123" s="13" t="s">
        <v>142</v>
      </c>
      <c r="S123" s="115"/>
      <c r="T123" s="115"/>
      <c r="U123" s="115"/>
      <c r="V123" s="115"/>
      <c r="W123" s="115"/>
      <c r="X123" s="115"/>
      <c r="Y123" s="115"/>
      <c r="Z123" s="115"/>
      <c r="AA123" s="25"/>
      <c r="AB123" s="13"/>
      <c r="AG123" s="116"/>
      <c r="AH123" s="123"/>
      <c r="AI123" s="123"/>
      <c r="AJ123" s="123"/>
      <c r="AO123" s="115"/>
      <c r="AP123" s="115"/>
      <c r="AQ123" s="115"/>
      <c r="AR123" s="115"/>
      <c r="AS123" s="115"/>
      <c r="AT123" s="115"/>
      <c r="AU123" s="115"/>
      <c r="AV123" s="115"/>
      <c r="AW123" s="115"/>
      <c r="AX123" s="115"/>
      <c r="AY123" s="25"/>
      <c r="AZ123" s="13"/>
      <c r="BC123" s="114"/>
    </row>
    <row r="124" spans="1:55" ht="20.100000000000001" customHeight="1" x14ac:dyDescent="0.4">
      <c r="A124" s="117"/>
      <c r="B124" s="123"/>
      <c r="C124" s="123"/>
      <c r="D124" s="123"/>
      <c r="G124" s="115"/>
      <c r="H124" s="115"/>
      <c r="I124" s="115"/>
      <c r="J124" s="115"/>
      <c r="K124" s="115"/>
      <c r="L124" s="115"/>
      <c r="M124" s="115"/>
      <c r="N124" s="115"/>
      <c r="O124" s="115"/>
      <c r="P124" s="25">
        <v>45825</v>
      </c>
      <c r="Q124" s="13" t="s">
        <v>148</v>
      </c>
      <c r="S124" s="115"/>
      <c r="T124" s="115"/>
      <c r="U124" s="115"/>
      <c r="V124" s="115"/>
      <c r="W124" s="115"/>
      <c r="X124" s="115"/>
      <c r="Y124" s="115"/>
      <c r="Z124" s="115"/>
      <c r="AA124" s="25"/>
      <c r="AB124" s="13"/>
      <c r="AG124" s="116"/>
      <c r="AH124" s="123"/>
      <c r="AI124" s="123"/>
      <c r="AJ124" s="123"/>
      <c r="AO124" s="115"/>
      <c r="AP124" s="115"/>
      <c r="AQ124" s="115"/>
      <c r="AR124" s="115"/>
      <c r="AS124" s="115"/>
      <c r="AT124" s="115"/>
      <c r="AU124" s="115"/>
      <c r="AV124" s="115"/>
      <c r="AW124" s="115"/>
      <c r="AX124" s="115"/>
      <c r="AY124" s="25"/>
      <c r="AZ124" s="13"/>
      <c r="BC124" s="114"/>
    </row>
    <row r="125" spans="1:55" ht="20.100000000000001" customHeight="1" x14ac:dyDescent="0.4">
      <c r="A125" s="117"/>
      <c r="B125" s="123"/>
      <c r="C125" s="123"/>
      <c r="D125" s="123"/>
      <c r="G125" s="115"/>
      <c r="H125" s="115"/>
      <c r="I125" s="115"/>
      <c r="J125" s="115"/>
      <c r="K125" s="115"/>
      <c r="L125" s="115"/>
      <c r="M125" s="115"/>
      <c r="N125" s="115"/>
      <c r="O125" s="115"/>
      <c r="P125" s="25">
        <v>45825</v>
      </c>
      <c r="Q125" s="13" t="s">
        <v>146</v>
      </c>
      <c r="S125" s="115"/>
      <c r="T125" s="115"/>
      <c r="U125" s="115"/>
      <c r="V125" s="115"/>
      <c r="W125" s="115"/>
      <c r="X125" s="115"/>
      <c r="Y125" s="115"/>
      <c r="Z125" s="115"/>
      <c r="AA125" s="25"/>
      <c r="AB125" s="13"/>
      <c r="AG125" s="116"/>
      <c r="AH125" s="123"/>
      <c r="AI125" s="123"/>
      <c r="AJ125" s="123"/>
      <c r="AO125" s="115"/>
      <c r="AP125" s="115"/>
      <c r="AQ125" s="115"/>
      <c r="AR125" s="115"/>
      <c r="AS125" s="115"/>
      <c r="AT125" s="115"/>
      <c r="AU125" s="115"/>
      <c r="AV125" s="115"/>
      <c r="AW125" s="115"/>
      <c r="AX125" s="115"/>
      <c r="AY125" s="25"/>
      <c r="AZ125" s="13"/>
      <c r="BC125" s="114"/>
    </row>
    <row r="126" spans="1:55" ht="20.100000000000001" customHeight="1" x14ac:dyDescent="0.4">
      <c r="A126" s="117"/>
      <c r="B126" s="123"/>
      <c r="C126" s="123"/>
      <c r="D126" s="123"/>
      <c r="G126" s="115"/>
      <c r="H126" s="115"/>
      <c r="I126" s="115"/>
      <c r="J126" s="115"/>
      <c r="K126" s="115"/>
      <c r="L126" s="115"/>
      <c r="M126" s="115"/>
      <c r="N126" s="115"/>
      <c r="O126" s="115"/>
      <c r="P126" s="25">
        <v>45825</v>
      </c>
      <c r="Q126" s="13" t="s">
        <v>148</v>
      </c>
      <c r="S126" s="115"/>
      <c r="T126" s="115"/>
      <c r="U126" s="115"/>
      <c r="V126" s="115"/>
      <c r="W126" s="115"/>
      <c r="X126" s="115"/>
      <c r="Y126" s="115"/>
      <c r="Z126" s="115"/>
      <c r="AA126" s="25"/>
      <c r="AB126" s="13"/>
      <c r="AG126" s="116"/>
      <c r="AH126" s="123"/>
      <c r="AI126" s="123"/>
      <c r="AJ126" s="123"/>
      <c r="AO126" s="115"/>
      <c r="AP126" s="115"/>
      <c r="AQ126" s="115"/>
      <c r="AR126" s="115"/>
      <c r="AS126" s="115"/>
      <c r="AT126" s="115"/>
      <c r="AU126" s="115"/>
      <c r="AV126" s="115"/>
      <c r="AW126" s="115"/>
      <c r="AX126" s="115"/>
      <c r="AY126" s="25"/>
      <c r="AZ126" s="13"/>
      <c r="BC126" s="114"/>
    </row>
    <row r="127" spans="1:55" ht="20.100000000000001" customHeight="1" x14ac:dyDescent="0.4">
      <c r="A127" s="117"/>
      <c r="B127" s="123"/>
      <c r="C127" s="123"/>
      <c r="D127" s="123"/>
      <c r="G127" s="115"/>
      <c r="H127" s="115"/>
      <c r="I127" s="115"/>
      <c r="J127" s="115"/>
      <c r="K127" s="115"/>
      <c r="L127" s="115"/>
      <c r="M127" s="115"/>
      <c r="N127" s="115"/>
      <c r="O127" s="115"/>
      <c r="P127" s="25">
        <v>45825</v>
      </c>
      <c r="Q127" s="13" t="s">
        <v>146</v>
      </c>
      <c r="S127" s="115"/>
      <c r="T127" s="115"/>
      <c r="U127" s="115"/>
      <c r="V127" s="115"/>
      <c r="W127" s="115"/>
      <c r="X127" s="115"/>
      <c r="Y127" s="115"/>
      <c r="Z127" s="115"/>
      <c r="AA127" s="25"/>
      <c r="AB127" s="13"/>
      <c r="AG127" s="116"/>
      <c r="AH127" s="123"/>
      <c r="AI127" s="123"/>
      <c r="AJ127" s="123"/>
      <c r="AO127" s="115"/>
      <c r="AP127" s="115"/>
      <c r="AQ127" s="115"/>
      <c r="AR127" s="115"/>
      <c r="AS127" s="115"/>
      <c r="AT127" s="115"/>
      <c r="AU127" s="115"/>
      <c r="AV127" s="115"/>
      <c r="AW127" s="115"/>
      <c r="AX127" s="115"/>
      <c r="AY127" s="25"/>
      <c r="AZ127" s="13"/>
      <c r="BC127" s="114"/>
    </row>
    <row r="128" spans="1:55" ht="20.100000000000001" customHeight="1" x14ac:dyDescent="0.4">
      <c r="A128" s="117"/>
      <c r="B128" s="123"/>
      <c r="C128" s="123"/>
      <c r="D128" s="123"/>
      <c r="P128" s="25">
        <v>45825</v>
      </c>
      <c r="Q128" s="13" t="s">
        <v>148</v>
      </c>
      <c r="S128" s="115"/>
      <c r="T128" s="115"/>
      <c r="U128" s="115"/>
      <c r="V128" s="115"/>
      <c r="W128" s="115"/>
      <c r="X128" s="115"/>
      <c r="Y128" s="115"/>
      <c r="Z128" s="115"/>
      <c r="AA128" s="25">
        <v>45673</v>
      </c>
      <c r="AB128" s="13" t="s">
        <v>147</v>
      </c>
      <c r="AG128" s="116"/>
      <c r="AH128" s="123"/>
      <c r="AI128" s="123"/>
      <c r="AJ128" s="123"/>
      <c r="AO128" s="115"/>
      <c r="AP128" s="115"/>
      <c r="AQ128" s="115"/>
      <c r="AR128" s="115"/>
      <c r="AS128" s="115"/>
      <c r="AT128" s="115"/>
      <c r="AU128" s="115"/>
      <c r="AV128" s="115"/>
      <c r="AW128" s="115"/>
      <c r="AX128" s="115"/>
      <c r="AY128" s="25"/>
      <c r="AZ128" s="13"/>
      <c r="BC128" s="114"/>
    </row>
    <row r="129" spans="1:55" ht="20.100000000000001" customHeight="1" x14ac:dyDescent="0.4">
      <c r="A129" s="117"/>
      <c r="B129" s="123"/>
      <c r="C129" s="123"/>
      <c r="D129" s="123"/>
      <c r="P129" s="25">
        <v>45825</v>
      </c>
      <c r="Q129" s="13" t="s">
        <v>146</v>
      </c>
      <c r="S129" s="115"/>
      <c r="T129" s="115"/>
      <c r="U129" s="115"/>
      <c r="V129" s="115"/>
      <c r="W129" s="115"/>
      <c r="X129" s="115"/>
      <c r="Y129" s="115"/>
      <c r="Z129" s="115"/>
      <c r="AA129" s="25">
        <v>45673</v>
      </c>
      <c r="AB129" s="13" t="s">
        <v>147</v>
      </c>
      <c r="AG129" s="116"/>
      <c r="AH129" s="123"/>
      <c r="AI129" s="123"/>
      <c r="AJ129" s="123"/>
      <c r="AO129" s="115"/>
      <c r="AP129" s="115"/>
      <c r="AQ129" s="115"/>
      <c r="AR129" s="115"/>
      <c r="AS129" s="115"/>
      <c r="AT129" s="115"/>
      <c r="AU129" s="115"/>
      <c r="AV129" s="115"/>
      <c r="AW129" s="115"/>
      <c r="AX129" s="115"/>
      <c r="AY129" s="25"/>
      <c r="AZ129" s="13"/>
      <c r="BC129" s="114"/>
    </row>
    <row r="130" spans="1:55" ht="20.100000000000001" customHeight="1" x14ac:dyDescent="0.4">
      <c r="A130" s="117"/>
      <c r="B130" s="123"/>
      <c r="C130" s="123"/>
      <c r="D130" s="123"/>
      <c r="P130" s="25">
        <v>45825</v>
      </c>
      <c r="Q130" s="13" t="s">
        <v>147</v>
      </c>
      <c r="S130" s="115"/>
      <c r="T130" s="115"/>
      <c r="U130" s="115"/>
      <c r="V130" s="115"/>
      <c r="W130" s="115"/>
      <c r="X130" s="115"/>
      <c r="Y130" s="115"/>
      <c r="Z130" s="115"/>
      <c r="AA130" s="25">
        <v>45675</v>
      </c>
      <c r="AB130" s="13" t="s">
        <v>147</v>
      </c>
      <c r="AG130" s="116"/>
      <c r="AH130" s="123"/>
      <c r="AI130" s="123"/>
      <c r="AJ130" s="123"/>
      <c r="AO130" s="115"/>
      <c r="AP130" s="115"/>
      <c r="AQ130" s="115"/>
      <c r="AR130" s="115"/>
      <c r="AS130" s="115"/>
      <c r="AT130" s="115"/>
      <c r="AU130" s="115"/>
      <c r="AV130" s="115"/>
      <c r="AW130" s="115"/>
      <c r="AX130" s="115"/>
      <c r="AY130" s="25"/>
      <c r="AZ130" s="13"/>
      <c r="BC130" s="114"/>
    </row>
    <row r="131" spans="1:55" ht="20.100000000000001" customHeight="1" x14ac:dyDescent="0.4">
      <c r="A131" s="117"/>
      <c r="B131" s="123"/>
      <c r="C131" s="123"/>
      <c r="D131" s="123"/>
      <c r="P131" s="25">
        <v>45825</v>
      </c>
      <c r="Q131" s="13" t="s">
        <v>148</v>
      </c>
      <c r="S131" s="115"/>
      <c r="T131" s="115"/>
      <c r="U131" s="115"/>
      <c r="V131" s="115"/>
      <c r="W131" s="115"/>
      <c r="X131" s="115"/>
      <c r="Y131" s="115"/>
      <c r="Z131" s="115"/>
      <c r="AA131" s="25"/>
      <c r="AB131" s="13"/>
      <c r="AG131" s="116"/>
      <c r="AH131" s="123"/>
      <c r="AI131" s="123"/>
      <c r="AJ131" s="123"/>
      <c r="AO131" s="115"/>
      <c r="AP131" s="115"/>
      <c r="AQ131" s="115"/>
      <c r="AR131" s="115"/>
      <c r="AS131" s="115"/>
      <c r="AT131" s="115"/>
      <c r="AU131" s="115"/>
      <c r="AV131" s="115"/>
      <c r="AW131" s="115"/>
      <c r="AX131" s="115"/>
      <c r="AY131" s="25"/>
      <c r="AZ131" s="13"/>
      <c r="BC131" s="114"/>
    </row>
    <row r="132" spans="1:55" ht="20.100000000000001" customHeight="1" x14ac:dyDescent="0.4">
      <c r="A132" s="117"/>
      <c r="B132" s="123"/>
      <c r="C132" s="123"/>
      <c r="D132" s="123"/>
      <c r="N132" s="115"/>
      <c r="O132" s="115"/>
      <c r="P132" s="25">
        <v>45825</v>
      </c>
      <c r="Q132" s="13" t="s">
        <v>147</v>
      </c>
      <c r="S132" s="115"/>
      <c r="T132" s="115"/>
      <c r="U132" s="115"/>
      <c r="V132" s="115"/>
      <c r="W132" s="115"/>
      <c r="X132" s="115"/>
      <c r="Y132" s="115"/>
      <c r="Z132" s="115"/>
      <c r="AA132" s="25"/>
      <c r="AB132" s="13"/>
      <c r="AG132" s="116"/>
      <c r="AH132" s="123"/>
      <c r="AI132" s="123"/>
      <c r="AJ132" s="123"/>
      <c r="AO132" s="115"/>
      <c r="AP132" s="115"/>
      <c r="AQ132" s="115"/>
      <c r="AR132" s="115"/>
      <c r="AS132" s="115"/>
      <c r="AT132" s="115"/>
      <c r="AU132" s="115"/>
      <c r="AV132" s="115"/>
      <c r="AW132" s="115"/>
      <c r="AX132" s="115"/>
      <c r="AY132" s="25"/>
      <c r="AZ132" s="13"/>
      <c r="BC132" s="114"/>
    </row>
    <row r="133" spans="1:55" ht="20.100000000000001" customHeight="1" x14ac:dyDescent="0.4">
      <c r="A133" s="117"/>
      <c r="B133" s="123"/>
      <c r="C133" s="123"/>
      <c r="D133" s="123"/>
      <c r="P133" s="25">
        <v>45825</v>
      </c>
      <c r="Q133" s="13" t="s">
        <v>146</v>
      </c>
      <c r="S133" s="115"/>
      <c r="T133" s="115"/>
      <c r="U133" s="115"/>
      <c r="V133" s="115"/>
      <c r="W133" s="115"/>
      <c r="X133" s="115"/>
      <c r="Y133" s="115"/>
      <c r="Z133" s="115"/>
      <c r="AA133" s="25">
        <v>45675</v>
      </c>
      <c r="AB133" s="15" t="s">
        <v>147</v>
      </c>
      <c r="AG133" s="116"/>
      <c r="AH133" s="123"/>
      <c r="AI133" s="123"/>
      <c r="AJ133" s="123"/>
      <c r="AO133" s="115"/>
      <c r="AP133" s="115"/>
      <c r="AQ133" s="115"/>
      <c r="AR133" s="115"/>
      <c r="AS133" s="115"/>
      <c r="AT133" s="115"/>
      <c r="AU133" s="115"/>
      <c r="AV133" s="115"/>
      <c r="AW133" s="115"/>
      <c r="AX133" s="115"/>
      <c r="AY133" s="25"/>
      <c r="AZ133" s="13"/>
      <c r="BC133" s="114"/>
    </row>
    <row r="134" spans="1:55" ht="20.100000000000001" customHeight="1" x14ac:dyDescent="0.4">
      <c r="A134" s="117"/>
      <c r="B134" s="123"/>
      <c r="C134" s="123"/>
      <c r="D134" s="123"/>
      <c r="P134" s="26">
        <v>45825</v>
      </c>
      <c r="Q134" s="13" t="s">
        <v>148</v>
      </c>
      <c r="S134" s="115"/>
      <c r="T134" s="115"/>
      <c r="U134" s="115"/>
      <c r="V134" s="115"/>
      <c r="W134" s="115"/>
      <c r="X134" s="115"/>
      <c r="Y134" s="115"/>
      <c r="Z134" s="115"/>
      <c r="AA134" s="25"/>
      <c r="AB134" s="13"/>
      <c r="AG134" s="116"/>
      <c r="AH134" s="123"/>
      <c r="AI134" s="123"/>
      <c r="AJ134" s="123"/>
      <c r="AO134" s="115"/>
      <c r="AP134" s="115"/>
      <c r="AQ134" s="115"/>
      <c r="AR134" s="115"/>
      <c r="AS134" s="115"/>
      <c r="AT134" s="115"/>
      <c r="AU134" s="115"/>
      <c r="AV134" s="115"/>
      <c r="AW134" s="115"/>
      <c r="AX134" s="115"/>
      <c r="AY134" s="25"/>
      <c r="AZ134" s="13"/>
      <c r="BC134" s="114"/>
    </row>
    <row r="135" spans="1:55" ht="20.100000000000001" customHeight="1" x14ac:dyDescent="0.4">
      <c r="A135" s="117"/>
      <c r="B135" s="123"/>
      <c r="C135" s="123"/>
      <c r="D135" s="123"/>
      <c r="P135" s="26">
        <v>45825</v>
      </c>
      <c r="Q135" s="13" t="s">
        <v>147</v>
      </c>
      <c r="S135" s="115"/>
      <c r="T135" s="115"/>
      <c r="U135" s="115"/>
      <c r="V135" s="115"/>
      <c r="W135" s="115"/>
      <c r="X135" s="115"/>
      <c r="Y135" s="115"/>
      <c r="Z135" s="115"/>
      <c r="AA135" s="25">
        <v>45675</v>
      </c>
      <c r="AB135" s="13" t="s">
        <v>147</v>
      </c>
      <c r="AG135" s="116"/>
      <c r="AH135" s="123"/>
      <c r="AI135" s="123"/>
      <c r="AJ135" s="123"/>
      <c r="AO135" s="115"/>
      <c r="AP135" s="115"/>
      <c r="AQ135" s="115"/>
      <c r="AR135" s="115"/>
      <c r="AS135" s="115"/>
      <c r="AT135" s="115"/>
      <c r="AU135" s="115"/>
      <c r="AV135" s="115"/>
      <c r="AW135" s="115"/>
      <c r="AX135" s="115"/>
      <c r="AY135" s="25"/>
      <c r="AZ135" s="13"/>
      <c r="BC135" s="114"/>
    </row>
    <row r="136" spans="1:55" ht="20.100000000000001" customHeight="1" x14ac:dyDescent="0.4">
      <c r="A136" s="117"/>
      <c r="B136" s="123"/>
      <c r="C136" s="123"/>
      <c r="D136" s="123"/>
      <c r="K136" s="115"/>
      <c r="L136" s="115"/>
      <c r="M136" s="115"/>
      <c r="N136" s="115"/>
      <c r="O136" s="115"/>
      <c r="P136" s="26">
        <v>45825</v>
      </c>
      <c r="Q136" s="13" t="s">
        <v>147</v>
      </c>
      <c r="S136" s="115"/>
      <c r="T136" s="115"/>
      <c r="U136" s="115"/>
      <c r="V136" s="115"/>
      <c r="W136" s="115"/>
      <c r="X136" s="115"/>
      <c r="Y136" s="115"/>
      <c r="Z136" s="115"/>
      <c r="AA136" s="25"/>
      <c r="AB136" s="13"/>
      <c r="AG136" s="116"/>
      <c r="AH136" s="123"/>
      <c r="AI136" s="123"/>
      <c r="AJ136" s="123"/>
      <c r="AO136" s="115"/>
      <c r="AP136" s="115"/>
      <c r="AQ136" s="115"/>
      <c r="AR136" s="115"/>
      <c r="AS136" s="115"/>
      <c r="AT136" s="115"/>
      <c r="AU136" s="115"/>
      <c r="AV136" s="115"/>
      <c r="AW136" s="115"/>
      <c r="AX136" s="115"/>
      <c r="AY136" s="25"/>
      <c r="AZ136" s="13"/>
      <c r="BC136" s="114"/>
    </row>
    <row r="137" spans="1:55" ht="20.100000000000001" customHeight="1" x14ac:dyDescent="0.4">
      <c r="A137" s="117"/>
      <c r="B137" s="123"/>
      <c r="C137" s="123"/>
      <c r="D137" s="123"/>
      <c r="P137" s="26">
        <v>45825</v>
      </c>
      <c r="Q137" s="13" t="s">
        <v>146</v>
      </c>
      <c r="S137" s="115"/>
      <c r="T137" s="115"/>
      <c r="U137" s="115"/>
      <c r="V137" s="115"/>
      <c r="W137" s="115"/>
      <c r="X137" s="115"/>
      <c r="Y137" s="115"/>
      <c r="Z137" s="115"/>
      <c r="AA137" s="25"/>
      <c r="AB137" s="13"/>
      <c r="AG137" s="116"/>
      <c r="AH137" s="123"/>
      <c r="AI137" s="123"/>
      <c r="AJ137" s="123"/>
      <c r="AO137" s="115"/>
      <c r="AP137" s="115"/>
      <c r="AQ137" s="115"/>
      <c r="AR137" s="115"/>
      <c r="AS137" s="115"/>
      <c r="AT137" s="115"/>
      <c r="AU137" s="115"/>
      <c r="AV137" s="115"/>
      <c r="AW137" s="115"/>
      <c r="AX137" s="115"/>
      <c r="AY137" s="25"/>
      <c r="AZ137" s="13"/>
      <c r="BC137" s="114"/>
    </row>
    <row r="138" spans="1:55" ht="20.100000000000001" customHeight="1" x14ac:dyDescent="0.4">
      <c r="A138" s="117"/>
      <c r="B138" s="123"/>
      <c r="C138" s="123"/>
      <c r="D138" s="123"/>
      <c r="M138" s="115"/>
      <c r="N138" s="115"/>
      <c r="O138" s="115"/>
      <c r="P138" s="26">
        <v>45825</v>
      </c>
      <c r="Q138" s="13" t="s">
        <v>146</v>
      </c>
      <c r="S138" s="115"/>
      <c r="T138" s="115"/>
      <c r="U138" s="115"/>
      <c r="V138" s="115"/>
      <c r="W138" s="115"/>
      <c r="X138" s="115"/>
      <c r="Y138" s="115"/>
      <c r="Z138" s="115"/>
      <c r="AA138" s="25"/>
      <c r="AB138" s="13"/>
      <c r="AG138" s="116"/>
      <c r="AH138" s="123"/>
      <c r="AI138" s="123"/>
      <c r="AJ138" s="123"/>
      <c r="AO138" s="115"/>
      <c r="AP138" s="115"/>
      <c r="AQ138" s="115"/>
      <c r="AR138" s="115"/>
      <c r="AS138" s="115"/>
      <c r="AT138" s="115"/>
      <c r="AU138" s="115"/>
      <c r="AV138" s="115"/>
      <c r="AW138" s="115"/>
      <c r="AX138" s="115"/>
      <c r="AY138" s="25"/>
      <c r="AZ138" s="13"/>
      <c r="BC138" s="114"/>
    </row>
    <row r="139" spans="1:55" ht="20.100000000000001" customHeight="1" x14ac:dyDescent="0.4">
      <c r="A139" s="117"/>
      <c r="B139" s="123"/>
      <c r="C139" s="123"/>
      <c r="D139" s="123"/>
      <c r="M139" s="115"/>
      <c r="N139" s="115"/>
      <c r="O139" s="115" t="s">
        <v>385</v>
      </c>
      <c r="P139" s="17">
        <f>SUBTOTAL(3,P123:P138)</f>
        <v>16</v>
      </c>
      <c r="Q139" s="13">
        <f>SUBTOTAL(3,Q123:Q138)</f>
        <v>16</v>
      </c>
      <c r="S139" s="115"/>
      <c r="T139" s="115"/>
      <c r="U139" s="115"/>
      <c r="V139" s="115"/>
      <c r="W139" s="115"/>
      <c r="X139" s="115"/>
      <c r="Y139" s="115"/>
      <c r="Z139" s="115"/>
      <c r="AA139" s="25"/>
      <c r="AB139" s="13"/>
      <c r="AG139" s="116"/>
      <c r="AH139" s="123"/>
      <c r="AI139" s="123"/>
      <c r="AJ139" s="123"/>
      <c r="AO139" s="115"/>
      <c r="AP139" s="115"/>
      <c r="AQ139" s="115"/>
      <c r="AR139" s="115"/>
      <c r="AS139" s="115"/>
      <c r="AT139" s="115"/>
      <c r="AU139" s="115"/>
      <c r="AV139" s="115"/>
      <c r="AW139" s="115"/>
      <c r="AX139" s="115"/>
      <c r="AY139" s="25"/>
      <c r="AZ139" s="13"/>
      <c r="BC139" s="114"/>
    </row>
    <row r="140" spans="1:55" ht="20.100000000000001" customHeight="1" x14ac:dyDescent="0.4">
      <c r="A140" s="117"/>
      <c r="B140" s="123"/>
      <c r="C140" s="123"/>
      <c r="D140" s="123"/>
      <c r="L140" s="115"/>
      <c r="M140" s="115"/>
      <c r="N140" s="115"/>
      <c r="O140" s="115"/>
      <c r="P140" s="26">
        <v>45826</v>
      </c>
      <c r="Q140" s="25" t="s">
        <v>142</v>
      </c>
      <c r="S140" s="115"/>
      <c r="T140" s="115"/>
      <c r="U140" s="115"/>
      <c r="V140" s="115"/>
      <c r="W140" s="115"/>
      <c r="X140" s="115"/>
      <c r="Y140" s="115"/>
      <c r="Z140" s="115"/>
      <c r="AA140" s="25"/>
      <c r="AB140" s="13"/>
      <c r="AG140" s="116"/>
      <c r="AH140" s="123"/>
      <c r="AI140" s="123"/>
      <c r="AJ140" s="123"/>
      <c r="AO140" s="115"/>
      <c r="AP140" s="115"/>
      <c r="AQ140" s="115"/>
      <c r="AR140" s="115"/>
      <c r="AS140" s="115"/>
      <c r="AT140" s="115"/>
      <c r="AU140" s="115"/>
      <c r="AV140" s="115"/>
      <c r="AW140" s="115"/>
      <c r="AX140" s="115"/>
      <c r="AY140" s="25"/>
      <c r="AZ140" s="13"/>
      <c r="BC140" s="114"/>
    </row>
    <row r="141" spans="1:55" ht="20.100000000000001" customHeight="1" x14ac:dyDescent="0.4">
      <c r="A141" s="117"/>
      <c r="B141" s="123"/>
      <c r="C141" s="123"/>
      <c r="D141" s="123"/>
      <c r="P141" s="26">
        <v>45826</v>
      </c>
      <c r="Q141" s="25" t="s">
        <v>146</v>
      </c>
      <c r="S141" s="115"/>
      <c r="T141" s="115"/>
      <c r="U141" s="115"/>
      <c r="V141" s="115"/>
      <c r="W141" s="115"/>
      <c r="X141" s="115"/>
      <c r="Y141" s="115"/>
      <c r="Z141" s="115"/>
      <c r="AA141" s="25"/>
      <c r="AB141" s="13"/>
      <c r="AG141" s="116"/>
      <c r="AH141" s="123"/>
      <c r="AI141" s="123"/>
      <c r="AJ141" s="123"/>
      <c r="AO141" s="115"/>
      <c r="AP141" s="115"/>
      <c r="AQ141" s="115"/>
      <c r="AR141" s="115"/>
      <c r="AS141" s="115"/>
      <c r="AT141" s="115"/>
      <c r="AU141" s="115"/>
      <c r="AV141" s="115"/>
      <c r="AW141" s="115"/>
      <c r="AX141" s="115"/>
      <c r="AY141" s="25"/>
      <c r="AZ141" s="13"/>
      <c r="BC141" s="114"/>
    </row>
    <row r="142" spans="1:55" ht="20.100000000000001" customHeight="1" x14ac:dyDescent="0.4">
      <c r="A142" s="117"/>
      <c r="B142" s="123"/>
      <c r="C142" s="123"/>
      <c r="D142" s="123"/>
      <c r="G142" s="115"/>
      <c r="H142" s="115"/>
      <c r="I142" s="115"/>
      <c r="J142" s="115"/>
      <c r="K142" s="115"/>
      <c r="L142" s="115"/>
      <c r="M142" s="115"/>
      <c r="N142" s="115"/>
      <c r="O142" s="115"/>
      <c r="P142" s="26">
        <v>45826</v>
      </c>
      <c r="Q142" s="25" t="s">
        <v>146</v>
      </c>
      <c r="S142" s="115"/>
      <c r="T142" s="115"/>
      <c r="U142" s="115"/>
      <c r="V142" s="115"/>
      <c r="W142" s="115"/>
      <c r="X142" s="115"/>
      <c r="Y142" s="115"/>
      <c r="Z142" s="115"/>
      <c r="AA142" s="25"/>
      <c r="AB142" s="13"/>
      <c r="AG142" s="116"/>
      <c r="AH142" s="123"/>
      <c r="AI142" s="123"/>
      <c r="AJ142" s="123"/>
      <c r="AO142" s="115"/>
      <c r="AP142" s="115"/>
      <c r="AQ142" s="115"/>
      <c r="AR142" s="115"/>
      <c r="AS142" s="115"/>
      <c r="AT142" s="115"/>
      <c r="AU142" s="115"/>
      <c r="AV142" s="115"/>
      <c r="AW142" s="115"/>
      <c r="AX142" s="115"/>
      <c r="AY142" s="25"/>
      <c r="AZ142" s="13"/>
      <c r="BC142" s="114"/>
    </row>
    <row r="143" spans="1:55" ht="20.100000000000001" customHeight="1" x14ac:dyDescent="0.4">
      <c r="A143" s="117"/>
      <c r="B143" s="123"/>
      <c r="C143" s="123"/>
      <c r="D143" s="123"/>
      <c r="G143" s="115"/>
      <c r="H143" s="115"/>
      <c r="I143" s="115"/>
      <c r="J143" s="115"/>
      <c r="K143" s="115"/>
      <c r="L143" s="115"/>
      <c r="M143" s="115"/>
      <c r="N143" s="115"/>
      <c r="O143" s="115"/>
      <c r="P143" s="26">
        <v>45826</v>
      </c>
      <c r="Q143" s="13" t="s">
        <v>146</v>
      </c>
      <c r="S143" s="115"/>
      <c r="T143" s="115"/>
      <c r="U143" s="115"/>
      <c r="V143" s="115"/>
      <c r="W143" s="115"/>
      <c r="X143" s="115"/>
      <c r="Y143" s="115"/>
      <c r="Z143" s="115"/>
      <c r="AA143" s="25"/>
      <c r="AB143" s="13"/>
      <c r="AG143" s="116"/>
      <c r="AH143" s="123"/>
      <c r="AI143" s="123"/>
      <c r="AJ143" s="123"/>
      <c r="AO143" s="115"/>
      <c r="AP143" s="115"/>
      <c r="AQ143" s="115"/>
      <c r="AR143" s="115"/>
      <c r="AS143" s="115"/>
      <c r="AT143" s="115"/>
      <c r="AU143" s="115"/>
      <c r="AV143" s="115"/>
      <c r="AW143" s="115"/>
      <c r="AX143" s="115"/>
      <c r="AY143" s="25"/>
      <c r="AZ143" s="13"/>
      <c r="BC143" s="114"/>
    </row>
    <row r="144" spans="1:55" ht="20.100000000000001" customHeight="1" x14ac:dyDescent="0.4">
      <c r="A144" s="117"/>
      <c r="B144" s="123"/>
      <c r="C144" s="123"/>
      <c r="D144" s="123"/>
      <c r="P144" s="26">
        <v>45826</v>
      </c>
      <c r="Q144" s="13" t="s">
        <v>146</v>
      </c>
      <c r="R144" s="115"/>
      <c r="S144" s="115"/>
      <c r="T144" s="115"/>
      <c r="U144" s="115"/>
      <c r="V144" s="115"/>
      <c r="W144" s="115"/>
      <c r="X144" s="115"/>
      <c r="Y144" s="115"/>
      <c r="Z144" s="115"/>
      <c r="AA144" s="25">
        <v>45675</v>
      </c>
      <c r="AB144" s="13" t="s">
        <v>146</v>
      </c>
      <c r="AG144" s="116"/>
      <c r="AH144" s="123"/>
      <c r="AI144" s="123"/>
      <c r="AJ144" s="123"/>
      <c r="AO144" s="115"/>
      <c r="AP144" s="115"/>
      <c r="AQ144" s="115"/>
      <c r="AR144" s="115"/>
      <c r="AS144" s="115"/>
      <c r="AT144" s="115"/>
      <c r="AU144" s="115"/>
      <c r="AV144" s="115"/>
      <c r="AW144" s="115"/>
      <c r="AX144" s="115"/>
      <c r="AY144" s="25"/>
      <c r="AZ144" s="13"/>
      <c r="BC144" s="114"/>
    </row>
    <row r="145" spans="1:55" ht="20.100000000000001" customHeight="1" x14ac:dyDescent="0.4">
      <c r="A145" s="117"/>
      <c r="B145" s="123"/>
      <c r="C145" s="123"/>
      <c r="D145" s="123"/>
      <c r="O145" s="115" t="s">
        <v>190</v>
      </c>
      <c r="P145" s="17">
        <f>SUBTOTAL(3,P140:P144)</f>
        <v>5</v>
      </c>
      <c r="Q145" s="13">
        <f>SUBTOTAL(3,Q140:Q144)</f>
        <v>5</v>
      </c>
      <c r="R145" s="115"/>
      <c r="S145" s="115"/>
      <c r="T145" s="115"/>
      <c r="U145" s="115"/>
      <c r="V145" s="115"/>
      <c r="W145" s="115"/>
      <c r="X145" s="115"/>
      <c r="Y145" s="115"/>
      <c r="Z145" s="115"/>
      <c r="AA145" s="25"/>
      <c r="AB145" s="13"/>
      <c r="AG145" s="116"/>
      <c r="AH145" s="123"/>
      <c r="AI145" s="123"/>
      <c r="AJ145" s="123"/>
      <c r="AO145" s="115"/>
      <c r="AP145" s="115"/>
      <c r="AQ145" s="115"/>
      <c r="AR145" s="115"/>
      <c r="AS145" s="115"/>
      <c r="AT145" s="115"/>
      <c r="AU145" s="115"/>
      <c r="AV145" s="115"/>
      <c r="AW145" s="115"/>
      <c r="AX145" s="115"/>
      <c r="AY145" s="25"/>
      <c r="AZ145" s="13"/>
      <c r="BC145" s="114"/>
    </row>
    <row r="146" spans="1:55" ht="20.100000000000001" customHeight="1" x14ac:dyDescent="0.4">
      <c r="A146" s="117"/>
      <c r="B146" s="123"/>
      <c r="C146" s="123"/>
      <c r="D146" s="123"/>
      <c r="P146" s="26">
        <v>45827</v>
      </c>
      <c r="Q146" s="13" t="s">
        <v>146</v>
      </c>
      <c r="R146" s="115"/>
      <c r="S146" s="115"/>
      <c r="T146" s="115"/>
      <c r="U146" s="115"/>
      <c r="V146" s="115"/>
      <c r="W146" s="115"/>
      <c r="X146" s="115"/>
      <c r="Y146" s="115"/>
      <c r="Z146" s="115"/>
      <c r="AA146" s="25">
        <v>45676</v>
      </c>
      <c r="AB146" s="13" t="s">
        <v>148</v>
      </c>
      <c r="AG146" s="116"/>
      <c r="AH146" s="123"/>
      <c r="AI146" s="123"/>
      <c r="AJ146" s="123"/>
      <c r="AO146" s="115"/>
      <c r="AP146" s="115"/>
      <c r="AQ146" s="115"/>
      <c r="AR146" s="115"/>
      <c r="AS146" s="115"/>
      <c r="AT146" s="115"/>
      <c r="AU146" s="115"/>
      <c r="AV146" s="115"/>
      <c r="AW146" s="115"/>
      <c r="AX146" s="115"/>
      <c r="AY146" s="25"/>
      <c r="AZ146" s="13"/>
      <c r="BC146" s="114"/>
    </row>
    <row r="147" spans="1:55" ht="20.100000000000001" customHeight="1" x14ac:dyDescent="0.4">
      <c r="A147" s="117"/>
      <c r="B147" s="123"/>
      <c r="C147" s="123"/>
      <c r="D147" s="123"/>
      <c r="O147" s="115" t="s">
        <v>386</v>
      </c>
      <c r="P147" s="17">
        <f>SUBTOTAL(3,P146:P146)</f>
        <v>1</v>
      </c>
      <c r="Q147" s="13">
        <f>SUBTOTAL(3,Q146:Q146)</f>
        <v>1</v>
      </c>
      <c r="R147" s="115"/>
      <c r="S147" s="115"/>
      <c r="T147" s="115"/>
      <c r="U147" s="115"/>
      <c r="V147" s="115"/>
      <c r="W147" s="115"/>
      <c r="X147" s="115"/>
      <c r="Y147" s="115"/>
      <c r="Z147" s="115"/>
      <c r="AA147" s="25"/>
      <c r="AB147" s="13"/>
      <c r="AG147" s="116"/>
      <c r="AH147" s="123"/>
      <c r="AI147" s="123"/>
      <c r="AJ147" s="123"/>
      <c r="AO147" s="115"/>
      <c r="AP147" s="115"/>
      <c r="AQ147" s="115"/>
      <c r="AR147" s="115"/>
      <c r="AS147" s="115"/>
      <c r="AT147" s="115"/>
      <c r="AU147" s="115"/>
      <c r="AV147" s="115"/>
      <c r="AW147" s="115"/>
      <c r="AX147" s="115"/>
      <c r="AY147" s="25"/>
      <c r="AZ147" s="13"/>
      <c r="BC147" s="114"/>
    </row>
    <row r="148" spans="1:55" ht="20.100000000000001" customHeight="1" x14ac:dyDescent="0.4">
      <c r="A148" s="117"/>
      <c r="B148" s="123"/>
      <c r="C148" s="123"/>
      <c r="D148" s="123"/>
      <c r="N148" s="115"/>
      <c r="O148" s="115"/>
      <c r="P148" s="26">
        <v>45828</v>
      </c>
      <c r="Q148" s="13" t="s">
        <v>148</v>
      </c>
      <c r="R148" s="115"/>
      <c r="S148" s="115"/>
      <c r="T148" s="115"/>
      <c r="U148" s="115"/>
      <c r="V148" s="115"/>
      <c r="W148" s="115"/>
      <c r="X148" s="115"/>
      <c r="Y148" s="115"/>
      <c r="Z148" s="115"/>
      <c r="AA148" s="25"/>
      <c r="AB148" s="13"/>
      <c r="AG148" s="116"/>
      <c r="AH148" s="123"/>
      <c r="AI148" s="123"/>
      <c r="AJ148" s="123"/>
      <c r="AO148" s="115"/>
      <c r="AP148" s="115"/>
      <c r="AQ148" s="115"/>
      <c r="AR148" s="115"/>
      <c r="AS148" s="115"/>
      <c r="AT148" s="115"/>
      <c r="AU148" s="115"/>
      <c r="AV148" s="115"/>
      <c r="AW148" s="115"/>
      <c r="AX148" s="115"/>
      <c r="AY148" s="25"/>
      <c r="AZ148" s="13"/>
      <c r="BC148" s="114"/>
    </row>
    <row r="149" spans="1:55" ht="20.100000000000001" customHeight="1" x14ac:dyDescent="0.4">
      <c r="A149" s="117"/>
      <c r="B149" s="123"/>
      <c r="C149" s="123"/>
      <c r="D149" s="123"/>
      <c r="N149" s="115"/>
      <c r="O149" s="115" t="s">
        <v>387</v>
      </c>
      <c r="P149" s="17">
        <f>SUBTOTAL(3,P148:P148)</f>
        <v>1</v>
      </c>
      <c r="Q149" s="13">
        <f>SUBTOTAL(3,Q148:Q148)</f>
        <v>1</v>
      </c>
      <c r="R149" s="115"/>
      <c r="S149" s="115"/>
      <c r="T149" s="115"/>
      <c r="U149" s="115"/>
      <c r="V149" s="115"/>
      <c r="W149" s="115"/>
      <c r="X149" s="115"/>
      <c r="Y149" s="115"/>
      <c r="Z149" s="115"/>
      <c r="AA149" s="25"/>
      <c r="AB149" s="13"/>
      <c r="AG149" s="116"/>
      <c r="AH149" s="123"/>
      <c r="AI149" s="123"/>
      <c r="AJ149" s="123"/>
      <c r="AO149" s="115"/>
      <c r="AP149" s="115"/>
      <c r="AQ149" s="115"/>
      <c r="AR149" s="115"/>
      <c r="AS149" s="115"/>
      <c r="AT149" s="115"/>
      <c r="AU149" s="115"/>
      <c r="AV149" s="115"/>
      <c r="AW149" s="115"/>
      <c r="AX149" s="115"/>
      <c r="AY149" s="25"/>
      <c r="AZ149" s="13"/>
      <c r="BC149" s="114"/>
    </row>
    <row r="150" spans="1:55" ht="20.100000000000001" customHeight="1" x14ac:dyDescent="0.4">
      <c r="A150" s="117"/>
      <c r="B150" s="123"/>
      <c r="C150" s="123"/>
      <c r="D150" s="123"/>
      <c r="J150" s="115"/>
      <c r="K150" s="115"/>
      <c r="L150" s="115"/>
      <c r="M150" s="115"/>
      <c r="N150" s="115"/>
      <c r="O150" s="115"/>
      <c r="P150" s="26">
        <v>45829</v>
      </c>
      <c r="Q150" s="13" t="s">
        <v>148</v>
      </c>
      <c r="R150" s="115"/>
      <c r="S150" s="115"/>
      <c r="T150" s="115"/>
      <c r="U150" s="115"/>
      <c r="V150" s="115"/>
      <c r="W150" s="115"/>
      <c r="X150" s="115"/>
      <c r="Y150" s="115"/>
      <c r="Z150" s="115"/>
      <c r="AA150" s="25"/>
      <c r="AB150" s="13"/>
      <c r="AG150" s="116"/>
      <c r="AH150" s="123"/>
      <c r="AI150" s="123"/>
      <c r="AJ150" s="123"/>
      <c r="AO150" s="115"/>
      <c r="AP150" s="115"/>
      <c r="AQ150" s="115"/>
      <c r="AR150" s="115"/>
      <c r="AS150" s="115"/>
      <c r="AT150" s="115"/>
      <c r="AU150" s="115"/>
      <c r="AV150" s="115"/>
      <c r="AW150" s="115"/>
      <c r="AX150" s="115"/>
      <c r="AY150" s="25"/>
      <c r="AZ150" s="13"/>
      <c r="BC150" s="114"/>
    </row>
    <row r="151" spans="1:55" ht="20.100000000000001" customHeight="1" x14ac:dyDescent="0.4">
      <c r="A151" s="117"/>
      <c r="B151" s="123"/>
      <c r="C151" s="123"/>
      <c r="D151" s="123"/>
      <c r="J151" s="115"/>
      <c r="K151" s="115"/>
      <c r="L151" s="115"/>
      <c r="M151" s="115"/>
      <c r="N151" s="115"/>
      <c r="O151" s="115"/>
      <c r="P151" s="26">
        <v>45829</v>
      </c>
      <c r="Q151" s="13" t="s">
        <v>148</v>
      </c>
      <c r="R151" s="115"/>
      <c r="S151" s="115"/>
      <c r="T151" s="115"/>
      <c r="U151" s="115"/>
      <c r="V151" s="115"/>
      <c r="W151" s="115"/>
      <c r="X151" s="115"/>
      <c r="Y151" s="115"/>
      <c r="Z151" s="115"/>
      <c r="AA151" s="25"/>
      <c r="AB151" s="13"/>
      <c r="AG151" s="116"/>
      <c r="AH151" s="123"/>
      <c r="AI151" s="123"/>
      <c r="AJ151" s="123"/>
      <c r="AO151" s="115"/>
      <c r="AP151" s="115"/>
      <c r="AQ151" s="115"/>
      <c r="AR151" s="115"/>
      <c r="AS151" s="115"/>
      <c r="AT151" s="115"/>
      <c r="AU151" s="115"/>
      <c r="AV151" s="115"/>
      <c r="AW151" s="115"/>
      <c r="AX151" s="115"/>
      <c r="AY151" s="25"/>
      <c r="AZ151" s="13"/>
      <c r="BC151" s="114"/>
    </row>
    <row r="152" spans="1:55" ht="20.100000000000001" customHeight="1" x14ac:dyDescent="0.4">
      <c r="A152" s="117"/>
      <c r="B152" s="123"/>
      <c r="C152" s="123"/>
      <c r="D152" s="123"/>
      <c r="G152" s="115"/>
      <c r="H152" s="115"/>
      <c r="I152" s="115"/>
      <c r="J152" s="115"/>
      <c r="K152" s="115"/>
      <c r="L152" s="115"/>
      <c r="M152" s="115"/>
      <c r="N152" s="115"/>
      <c r="O152" s="115"/>
      <c r="P152" s="26">
        <v>45829</v>
      </c>
      <c r="Q152" s="13" t="s">
        <v>147</v>
      </c>
      <c r="R152" s="115"/>
      <c r="S152" s="115"/>
      <c r="T152" s="115"/>
      <c r="U152" s="115"/>
      <c r="V152" s="115"/>
      <c r="W152" s="115"/>
      <c r="X152" s="115"/>
      <c r="Y152" s="115"/>
      <c r="Z152" s="115"/>
      <c r="AA152" s="25"/>
      <c r="AB152" s="13"/>
      <c r="AG152" s="116"/>
      <c r="AH152" s="123"/>
      <c r="AI152" s="123"/>
      <c r="AJ152" s="123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25"/>
      <c r="AZ152" s="13"/>
      <c r="BC152" s="114"/>
    </row>
    <row r="153" spans="1:55" ht="20.100000000000001" customHeight="1" x14ac:dyDescent="0.4">
      <c r="A153" s="117"/>
      <c r="B153" s="123"/>
      <c r="C153" s="123"/>
      <c r="D153" s="123"/>
      <c r="G153" s="115"/>
      <c r="H153" s="115"/>
      <c r="I153" s="115"/>
      <c r="J153" s="115"/>
      <c r="K153" s="115"/>
      <c r="L153" s="115"/>
      <c r="M153" s="115"/>
      <c r="N153" s="115"/>
      <c r="O153" s="115"/>
      <c r="P153" s="26">
        <v>45829</v>
      </c>
      <c r="Q153" s="13" t="s">
        <v>146</v>
      </c>
      <c r="R153" s="115"/>
      <c r="S153" s="115"/>
      <c r="T153" s="115"/>
      <c r="U153" s="115"/>
      <c r="V153" s="115"/>
      <c r="W153" s="115"/>
      <c r="X153" s="115"/>
      <c r="Y153" s="115"/>
      <c r="Z153" s="115"/>
      <c r="AA153" s="25"/>
      <c r="AB153" s="13"/>
      <c r="AG153" s="116"/>
      <c r="AH153" s="123"/>
      <c r="AI153" s="123"/>
      <c r="AJ153" s="123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25"/>
      <c r="AZ153" s="13"/>
      <c r="BC153" s="114"/>
    </row>
    <row r="154" spans="1:55" ht="20.100000000000001" customHeight="1" x14ac:dyDescent="0.4">
      <c r="A154" s="117"/>
      <c r="B154" s="123"/>
      <c r="C154" s="123"/>
      <c r="D154" s="123"/>
      <c r="P154" s="26">
        <v>45829</v>
      </c>
      <c r="Q154" s="15" t="s">
        <v>146</v>
      </c>
      <c r="R154" s="115"/>
      <c r="S154" s="115"/>
      <c r="T154" s="115"/>
      <c r="U154" s="115"/>
      <c r="V154" s="115"/>
      <c r="W154" s="115"/>
      <c r="X154" s="115"/>
      <c r="Y154" s="115"/>
      <c r="Z154" s="115"/>
      <c r="AA154" s="25">
        <v>45677</v>
      </c>
      <c r="AB154" s="13" t="s">
        <v>146</v>
      </c>
      <c r="AG154" s="116"/>
      <c r="AH154" s="123"/>
      <c r="AI154" s="123"/>
      <c r="AJ154" s="123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25"/>
      <c r="AZ154" s="13"/>
      <c r="BC154" s="114"/>
    </row>
    <row r="155" spans="1:55" ht="20.100000000000001" customHeight="1" x14ac:dyDescent="0.4">
      <c r="A155" s="117"/>
      <c r="B155" s="123"/>
      <c r="C155" s="123"/>
      <c r="D155" s="123"/>
      <c r="I155" s="115"/>
      <c r="J155" s="115"/>
      <c r="K155" s="115"/>
      <c r="L155" s="115"/>
      <c r="M155" s="115"/>
      <c r="N155" s="115"/>
      <c r="O155" s="115"/>
      <c r="P155" s="26">
        <v>45829</v>
      </c>
      <c r="Q155" s="15" t="s">
        <v>146</v>
      </c>
      <c r="R155" s="115"/>
      <c r="S155" s="115"/>
      <c r="T155" s="115"/>
      <c r="U155" s="115"/>
      <c r="V155" s="115"/>
      <c r="W155" s="115"/>
      <c r="X155" s="115"/>
      <c r="Y155" s="115"/>
      <c r="Z155" s="115"/>
      <c r="AA155" s="25"/>
      <c r="AB155" s="13"/>
      <c r="AG155" s="116"/>
      <c r="AH155" s="123"/>
      <c r="AI155" s="123"/>
      <c r="AJ155" s="123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25"/>
      <c r="AZ155" s="13"/>
      <c r="BC155" s="114"/>
    </row>
    <row r="156" spans="1:55" ht="20.100000000000001" customHeight="1" x14ac:dyDescent="0.4">
      <c r="A156" s="117"/>
      <c r="B156" s="123"/>
      <c r="C156" s="123"/>
      <c r="D156" s="123"/>
      <c r="P156" s="26">
        <v>45829</v>
      </c>
      <c r="Q156" s="15" t="s">
        <v>146</v>
      </c>
      <c r="R156" s="115"/>
      <c r="S156" s="115"/>
      <c r="T156" s="115"/>
      <c r="U156" s="115"/>
      <c r="V156" s="115"/>
      <c r="W156" s="115"/>
      <c r="X156" s="115"/>
      <c r="Y156" s="115"/>
      <c r="Z156" s="115"/>
      <c r="AA156" s="25"/>
      <c r="AB156" s="13"/>
      <c r="AG156" s="116"/>
      <c r="AH156" s="123"/>
      <c r="AI156" s="123"/>
      <c r="AJ156" s="123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25"/>
      <c r="AZ156" s="13"/>
      <c r="BC156" s="114"/>
    </row>
    <row r="157" spans="1:55" ht="20.100000000000001" customHeight="1" x14ac:dyDescent="0.4">
      <c r="A157" s="117"/>
      <c r="B157" s="123"/>
      <c r="C157" s="123"/>
      <c r="D157" s="123"/>
      <c r="K157" s="115"/>
      <c r="L157" s="115"/>
      <c r="M157" s="115"/>
      <c r="N157" s="115"/>
      <c r="O157" s="115"/>
      <c r="P157" s="26">
        <v>45829</v>
      </c>
      <c r="Q157" s="15" t="s">
        <v>146</v>
      </c>
      <c r="R157" s="115"/>
      <c r="S157" s="115"/>
      <c r="T157" s="115"/>
      <c r="U157" s="115"/>
      <c r="V157" s="115"/>
      <c r="W157" s="115"/>
      <c r="X157" s="115"/>
      <c r="Y157" s="115"/>
      <c r="Z157" s="115"/>
      <c r="AA157" s="25"/>
      <c r="AB157" s="13"/>
      <c r="AG157" s="116"/>
      <c r="AH157" s="123"/>
      <c r="AI157" s="123"/>
      <c r="AJ157" s="123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25"/>
      <c r="AZ157" s="13"/>
      <c r="BC157" s="114"/>
    </row>
    <row r="158" spans="1:55" ht="20.100000000000001" customHeight="1" x14ac:dyDescent="0.4">
      <c r="A158" s="117"/>
      <c r="B158" s="123"/>
      <c r="C158" s="123"/>
      <c r="D158" s="123"/>
      <c r="K158" s="115"/>
      <c r="L158" s="115"/>
      <c r="M158" s="115"/>
      <c r="N158" s="115"/>
      <c r="O158" s="115"/>
      <c r="P158" s="26">
        <v>45829</v>
      </c>
      <c r="Q158" s="13" t="s">
        <v>146</v>
      </c>
      <c r="R158" s="115"/>
      <c r="S158" s="115"/>
      <c r="T158" s="115"/>
      <c r="U158" s="115"/>
      <c r="V158" s="115"/>
      <c r="W158" s="115"/>
      <c r="X158" s="115"/>
      <c r="Y158" s="115"/>
      <c r="Z158" s="115"/>
      <c r="AA158" s="25"/>
      <c r="AB158" s="13"/>
      <c r="AG158" s="116"/>
      <c r="AH158" s="123"/>
      <c r="AI158" s="123"/>
      <c r="AJ158" s="123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25"/>
      <c r="AZ158" s="13"/>
      <c r="BC158" s="114"/>
    </row>
    <row r="159" spans="1:55" ht="20.100000000000001" customHeight="1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115"/>
      <c r="O159" s="115"/>
      <c r="P159" s="26">
        <v>45829</v>
      </c>
      <c r="Q159" s="13" t="s">
        <v>147</v>
      </c>
      <c r="R159" s="115"/>
      <c r="S159" s="115"/>
      <c r="T159" s="115"/>
      <c r="U159" s="115"/>
      <c r="V159" s="115"/>
      <c r="W159" s="115"/>
      <c r="X159" s="115"/>
      <c r="Y159" s="115"/>
      <c r="Z159" s="115"/>
      <c r="AA159" s="25"/>
      <c r="AB159" s="13"/>
      <c r="AG159" s="116"/>
      <c r="AH159" s="123"/>
      <c r="AI159" s="123"/>
      <c r="AJ159" s="123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25"/>
      <c r="AZ159" s="13"/>
      <c r="BC159" s="114"/>
    </row>
    <row r="160" spans="1:55" ht="20.100000000000001" customHeight="1" x14ac:dyDescent="0.4">
      <c r="A160" s="117"/>
      <c r="B160" s="123"/>
      <c r="C160" s="123"/>
      <c r="D160" s="123"/>
      <c r="P160" s="26">
        <v>45829</v>
      </c>
      <c r="Q160" s="13" t="s">
        <v>142</v>
      </c>
      <c r="R160" s="115"/>
      <c r="S160" s="115"/>
      <c r="T160" s="115"/>
      <c r="U160" s="115"/>
      <c r="V160" s="115"/>
      <c r="W160" s="115"/>
      <c r="X160" s="115"/>
      <c r="Y160" s="115"/>
      <c r="Z160" s="115"/>
      <c r="AA160" s="25">
        <v>45677</v>
      </c>
      <c r="AB160" s="13" t="s">
        <v>146</v>
      </c>
      <c r="AG160" s="116"/>
      <c r="AH160" s="123"/>
      <c r="AI160" s="123"/>
      <c r="AJ160" s="123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25"/>
      <c r="AZ160" s="13"/>
      <c r="BC160" s="114"/>
    </row>
    <row r="161" spans="1:55" ht="20.100000000000001" customHeight="1" x14ac:dyDescent="0.4">
      <c r="A161" s="117"/>
      <c r="B161" s="123"/>
      <c r="C161" s="123"/>
      <c r="D161" s="123"/>
      <c r="N161" s="115"/>
      <c r="O161" s="115"/>
      <c r="P161" s="26">
        <v>45829</v>
      </c>
      <c r="Q161" s="13" t="s">
        <v>146</v>
      </c>
      <c r="R161" s="115"/>
      <c r="S161" s="115"/>
      <c r="T161" s="115"/>
      <c r="U161" s="115"/>
      <c r="V161" s="115"/>
      <c r="W161" s="115"/>
      <c r="X161" s="115"/>
      <c r="Y161" s="115"/>
      <c r="Z161" s="115"/>
      <c r="AA161" s="25"/>
      <c r="AB161" s="13"/>
      <c r="AG161" s="116"/>
      <c r="AH161" s="123"/>
      <c r="AI161" s="123"/>
      <c r="AJ161" s="123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25"/>
      <c r="AZ161" s="13"/>
      <c r="BC161" s="114"/>
    </row>
    <row r="162" spans="1:55" ht="20.100000000000001" customHeight="1" x14ac:dyDescent="0.4">
      <c r="A162" s="117"/>
      <c r="B162" s="123"/>
      <c r="C162" s="123"/>
      <c r="D162" s="123"/>
      <c r="G162" s="115"/>
      <c r="H162" s="115"/>
      <c r="I162" s="115"/>
      <c r="J162" s="115"/>
      <c r="K162" s="115"/>
      <c r="L162" s="115"/>
      <c r="M162" s="115"/>
      <c r="N162" s="115"/>
      <c r="O162" s="115"/>
      <c r="P162" s="26">
        <v>45829</v>
      </c>
      <c r="Q162" s="13" t="s">
        <v>148</v>
      </c>
      <c r="R162" s="115"/>
      <c r="S162" s="115"/>
      <c r="T162" s="115"/>
      <c r="U162" s="115"/>
      <c r="V162" s="115"/>
      <c r="W162" s="115"/>
      <c r="X162" s="115"/>
      <c r="Y162" s="115"/>
      <c r="Z162" s="115"/>
      <c r="AA162" s="25"/>
      <c r="AB162" s="13"/>
      <c r="AG162" s="116"/>
      <c r="AH162" s="123"/>
      <c r="AI162" s="123"/>
      <c r="AJ162" s="123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25"/>
      <c r="AZ162" s="13"/>
      <c r="BC162" s="114"/>
    </row>
    <row r="163" spans="1:55" ht="20.100000000000001" customHeight="1" x14ac:dyDescent="0.4">
      <c r="A163" s="117"/>
      <c r="B163" s="123"/>
      <c r="C163" s="123"/>
      <c r="D163" s="123"/>
      <c r="G163" s="115"/>
      <c r="H163" s="115"/>
      <c r="I163" s="115"/>
      <c r="J163" s="115"/>
      <c r="K163" s="115"/>
      <c r="L163" s="115"/>
      <c r="M163" s="115"/>
      <c r="N163" s="115"/>
      <c r="O163" s="115" t="s">
        <v>388</v>
      </c>
      <c r="P163" s="17">
        <f>SUBTOTAL(3,P150:P162)</f>
        <v>13</v>
      </c>
      <c r="Q163" s="13">
        <f>SUBTOTAL(3,Q150:Q162)</f>
        <v>13</v>
      </c>
      <c r="R163" s="115"/>
      <c r="S163" s="115"/>
      <c r="T163" s="115"/>
      <c r="U163" s="115"/>
      <c r="V163" s="115"/>
      <c r="W163" s="115"/>
      <c r="X163" s="115"/>
      <c r="Y163" s="115"/>
      <c r="Z163" s="115"/>
      <c r="AA163" s="25"/>
      <c r="AB163" s="13"/>
      <c r="AG163" s="116"/>
      <c r="AH163" s="123"/>
      <c r="AI163" s="123"/>
      <c r="AJ163" s="123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25"/>
      <c r="AZ163" s="13"/>
      <c r="BC163" s="114"/>
    </row>
    <row r="164" spans="1:55" ht="20.100000000000001" customHeight="1" x14ac:dyDescent="0.4">
      <c r="A164" s="117"/>
      <c r="B164" s="123"/>
      <c r="C164" s="123"/>
      <c r="D164" s="123"/>
      <c r="G164" s="115"/>
      <c r="H164" s="115"/>
      <c r="I164" s="115"/>
      <c r="J164" s="115"/>
      <c r="K164" s="115"/>
      <c r="L164" s="115"/>
      <c r="M164" s="115"/>
      <c r="N164" s="115"/>
      <c r="O164" s="115"/>
      <c r="P164" s="26">
        <v>45830</v>
      </c>
      <c r="Q164" s="13" t="s">
        <v>147</v>
      </c>
      <c r="R164" s="115"/>
      <c r="S164" s="115"/>
      <c r="T164" s="115"/>
      <c r="U164" s="115"/>
      <c r="V164" s="115"/>
      <c r="W164" s="115"/>
      <c r="X164" s="115"/>
      <c r="Y164" s="115"/>
      <c r="Z164" s="115"/>
      <c r="AA164" s="25"/>
      <c r="AB164" s="13"/>
      <c r="AG164" s="116"/>
      <c r="AH164" s="123"/>
      <c r="AI164" s="123"/>
      <c r="AJ164" s="123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25"/>
      <c r="AZ164" s="13"/>
      <c r="BC164" s="114"/>
    </row>
    <row r="165" spans="1:55" ht="20.100000000000001" customHeight="1" x14ac:dyDescent="0.4">
      <c r="A165" s="117"/>
      <c r="B165" s="123"/>
      <c r="C165" s="123"/>
      <c r="D165" s="123"/>
      <c r="P165" s="26">
        <v>45830</v>
      </c>
      <c r="Q165" s="13" t="s">
        <v>147</v>
      </c>
      <c r="R165" s="115"/>
      <c r="S165" s="115"/>
      <c r="T165" s="115"/>
      <c r="U165" s="115"/>
      <c r="V165" s="115"/>
      <c r="W165" s="115"/>
      <c r="X165" s="115"/>
      <c r="Y165" s="115"/>
      <c r="Z165" s="115"/>
      <c r="AA165" s="25">
        <v>45677</v>
      </c>
      <c r="AB165" s="13" t="s">
        <v>148</v>
      </c>
      <c r="AG165" s="116"/>
      <c r="AH165" s="123"/>
      <c r="AI165" s="123"/>
      <c r="AJ165" s="123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25"/>
      <c r="AZ165" s="13"/>
      <c r="BC165" s="114"/>
    </row>
    <row r="166" spans="1:55" ht="19.5" x14ac:dyDescent="0.4">
      <c r="A166" s="117"/>
      <c r="B166" s="123"/>
      <c r="C166" s="123"/>
      <c r="D166" s="123"/>
      <c r="P166" s="26">
        <v>45830</v>
      </c>
      <c r="Q166" s="13" t="s">
        <v>147</v>
      </c>
      <c r="R166" s="115"/>
      <c r="S166" s="115"/>
      <c r="T166" s="115"/>
      <c r="U166" s="115"/>
      <c r="V166" s="115"/>
      <c r="W166" s="115"/>
      <c r="X166" s="115"/>
      <c r="Y166" s="115"/>
      <c r="Z166" s="115"/>
      <c r="AA166" s="25"/>
      <c r="AB166" s="13"/>
      <c r="AG166" s="116"/>
      <c r="AH166" s="123"/>
      <c r="AI166" s="123"/>
      <c r="AJ166" s="123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25"/>
      <c r="AZ166" s="13"/>
      <c r="BC166" s="114"/>
    </row>
    <row r="167" spans="1:55" ht="19.5" x14ac:dyDescent="0.4">
      <c r="A167" s="117"/>
      <c r="B167" s="123"/>
      <c r="C167" s="123"/>
      <c r="D167" s="123"/>
      <c r="O167" s="115" t="s">
        <v>389</v>
      </c>
      <c r="P167" s="17">
        <f>SUBTOTAL(3,P164:P166)</f>
        <v>3</v>
      </c>
      <c r="Q167" s="13">
        <f>SUBTOTAL(3,Q164:Q166)</f>
        <v>3</v>
      </c>
      <c r="R167" s="115"/>
      <c r="S167" s="115"/>
      <c r="T167" s="115"/>
      <c r="U167" s="115"/>
      <c r="V167" s="115"/>
      <c r="W167" s="115"/>
      <c r="X167" s="115"/>
      <c r="Y167" s="115"/>
      <c r="Z167" s="115"/>
      <c r="AA167" s="25"/>
      <c r="AB167" s="13"/>
      <c r="AG167" s="116"/>
      <c r="AH167" s="123"/>
      <c r="AI167" s="123"/>
      <c r="AJ167" s="123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25"/>
      <c r="AZ167" s="13"/>
      <c r="BC167" s="114"/>
    </row>
    <row r="168" spans="1:55" ht="19.5" x14ac:dyDescent="0.4">
      <c r="A168" s="117"/>
      <c r="B168" s="123"/>
      <c r="C168" s="123"/>
      <c r="D168" s="123"/>
      <c r="M168" s="115"/>
      <c r="N168" s="115"/>
      <c r="O168" s="115"/>
      <c r="P168" s="26">
        <v>45832</v>
      </c>
      <c r="Q168" s="13" t="s">
        <v>147</v>
      </c>
      <c r="R168" s="115"/>
      <c r="S168" s="115"/>
      <c r="T168" s="115"/>
      <c r="U168" s="115"/>
      <c r="V168" s="115"/>
      <c r="W168" s="115"/>
      <c r="X168" s="115"/>
      <c r="Y168" s="115"/>
      <c r="Z168" s="115"/>
      <c r="AA168" s="25"/>
      <c r="AB168" s="13"/>
      <c r="AG168" s="116"/>
      <c r="AH168" s="123"/>
      <c r="AI168" s="123"/>
      <c r="AJ168" s="123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25"/>
      <c r="AZ168" s="13"/>
      <c r="BC168" s="114"/>
    </row>
    <row r="169" spans="1:55" ht="19.5" x14ac:dyDescent="0.4">
      <c r="A169" s="117"/>
      <c r="B169" s="123"/>
      <c r="C169" s="123"/>
      <c r="D169" s="123"/>
      <c r="M169" s="115"/>
      <c r="N169" s="115"/>
      <c r="O169" s="115" t="s">
        <v>390</v>
      </c>
      <c r="P169" s="17">
        <f>SUBTOTAL(3,P168:P168)</f>
        <v>1</v>
      </c>
      <c r="Q169" s="13">
        <f>SUBTOTAL(3,Q168:Q168)</f>
        <v>1</v>
      </c>
      <c r="R169" s="115"/>
      <c r="S169" s="115"/>
      <c r="T169" s="115"/>
      <c r="U169" s="115"/>
      <c r="V169" s="115"/>
      <c r="W169" s="115"/>
      <c r="X169" s="115"/>
      <c r="Y169" s="115"/>
      <c r="Z169" s="115"/>
      <c r="AA169" s="25"/>
      <c r="AB169" s="13"/>
      <c r="AG169" s="116"/>
      <c r="AH169" s="123"/>
      <c r="AI169" s="123"/>
      <c r="AJ169" s="123"/>
      <c r="AO169" s="115"/>
      <c r="AP169" s="115"/>
      <c r="AQ169" s="115"/>
      <c r="AR169" s="115"/>
      <c r="AS169" s="115"/>
      <c r="AT169" s="115"/>
      <c r="AU169" s="115"/>
      <c r="AV169" s="115"/>
      <c r="AW169" s="115"/>
      <c r="AX169" s="115"/>
      <c r="AY169" s="25"/>
      <c r="AZ169" s="13"/>
      <c r="BC169" s="114"/>
    </row>
    <row r="170" spans="1:55" ht="19.5" x14ac:dyDescent="0.4">
      <c r="A170" s="117"/>
      <c r="B170" s="123"/>
      <c r="C170" s="123"/>
      <c r="D170" s="123"/>
      <c r="K170" s="115"/>
      <c r="L170" s="115"/>
      <c r="M170" s="115"/>
      <c r="N170" s="115"/>
      <c r="O170" s="115"/>
      <c r="P170" s="26">
        <v>45834</v>
      </c>
      <c r="Q170" s="13" t="s">
        <v>147</v>
      </c>
      <c r="R170" s="115"/>
      <c r="S170" s="115"/>
      <c r="T170" s="115"/>
      <c r="U170" s="115"/>
      <c r="V170" s="115"/>
      <c r="W170" s="115"/>
      <c r="X170" s="115"/>
      <c r="Y170" s="115"/>
      <c r="Z170" s="115"/>
      <c r="AA170" s="25"/>
      <c r="AB170" s="13"/>
      <c r="AG170" s="116"/>
      <c r="AH170" s="123"/>
      <c r="AI170" s="123"/>
      <c r="AJ170" s="123"/>
      <c r="AO170" s="115"/>
      <c r="AP170" s="115"/>
      <c r="AQ170" s="115"/>
      <c r="AR170" s="115"/>
      <c r="AS170" s="115"/>
      <c r="AT170" s="115"/>
      <c r="AU170" s="115"/>
      <c r="AV170" s="115"/>
      <c r="AW170" s="115"/>
      <c r="AX170" s="115"/>
      <c r="AY170" s="25"/>
      <c r="AZ170" s="13"/>
      <c r="BC170" s="114"/>
    </row>
    <row r="171" spans="1:55" ht="19.5" x14ac:dyDescent="0.4">
      <c r="A171" s="117"/>
      <c r="B171" s="123"/>
      <c r="C171" s="123"/>
      <c r="D171" s="123"/>
      <c r="K171" s="115"/>
      <c r="L171" s="115"/>
      <c r="M171" s="115"/>
      <c r="N171" s="115"/>
      <c r="O171" s="115" t="s">
        <v>391</v>
      </c>
      <c r="P171" s="17">
        <f>SUBTOTAL(3,P170:P170)</f>
        <v>1</v>
      </c>
      <c r="Q171" s="13">
        <f>SUBTOTAL(3,Q170:Q170)</f>
        <v>1</v>
      </c>
      <c r="R171" s="115"/>
      <c r="S171" s="115"/>
      <c r="T171" s="115"/>
      <c r="U171" s="115"/>
      <c r="V171" s="115"/>
      <c r="W171" s="115"/>
      <c r="X171" s="115"/>
      <c r="Y171" s="115"/>
      <c r="Z171" s="115"/>
      <c r="AA171" s="25"/>
      <c r="AB171" s="13"/>
      <c r="AG171" s="116"/>
      <c r="AH171" s="123"/>
      <c r="AI171" s="123"/>
      <c r="AJ171" s="123"/>
      <c r="AO171" s="115"/>
      <c r="AP171" s="115"/>
      <c r="AQ171" s="115"/>
      <c r="AR171" s="115"/>
      <c r="AS171" s="115"/>
      <c r="AT171" s="115"/>
      <c r="AU171" s="115"/>
      <c r="AV171" s="115"/>
      <c r="AW171" s="115"/>
      <c r="AX171" s="115"/>
      <c r="AY171" s="25"/>
      <c r="AZ171" s="13"/>
      <c r="BC171" s="114"/>
    </row>
    <row r="172" spans="1:55" ht="19.5" x14ac:dyDescent="0.4">
      <c r="A172" s="117"/>
      <c r="B172" s="123"/>
      <c r="C172" s="123"/>
      <c r="D172" s="123"/>
      <c r="G172" s="115"/>
      <c r="H172" s="115"/>
      <c r="I172" s="115"/>
      <c r="J172" s="115"/>
      <c r="K172" s="115"/>
      <c r="L172" s="115"/>
      <c r="M172" s="115"/>
      <c r="N172" s="115"/>
      <c r="O172" s="115"/>
      <c r="P172" s="26">
        <v>45836</v>
      </c>
      <c r="Q172" s="13" t="s">
        <v>146</v>
      </c>
      <c r="R172" s="115"/>
      <c r="S172" s="115"/>
      <c r="T172" s="115"/>
      <c r="U172" s="115"/>
      <c r="V172" s="115"/>
      <c r="W172" s="115"/>
      <c r="X172" s="115"/>
      <c r="Y172" s="115"/>
      <c r="Z172" s="115"/>
      <c r="AA172" s="25"/>
      <c r="AB172" s="13"/>
      <c r="AG172" s="116"/>
      <c r="AH172" s="123"/>
      <c r="AI172" s="123"/>
      <c r="AJ172" s="123"/>
      <c r="AO172" s="115"/>
      <c r="AP172" s="115"/>
      <c r="AQ172" s="115"/>
      <c r="AR172" s="115"/>
      <c r="AS172" s="115"/>
      <c r="AT172" s="115"/>
      <c r="AU172" s="115"/>
      <c r="AV172" s="115"/>
      <c r="AW172" s="115"/>
      <c r="AX172" s="115"/>
      <c r="AY172" s="25"/>
      <c r="AZ172" s="13"/>
      <c r="BC172" s="114"/>
    </row>
    <row r="173" spans="1:55" ht="19.5" x14ac:dyDescent="0.4">
      <c r="A173" s="117"/>
      <c r="B173" s="123"/>
      <c r="C173" s="123"/>
      <c r="D173" s="123"/>
      <c r="G173" s="115"/>
      <c r="H173" s="115"/>
      <c r="I173" s="115"/>
      <c r="J173" s="115"/>
      <c r="K173" s="115"/>
      <c r="L173" s="115"/>
      <c r="M173" s="115"/>
      <c r="N173" s="115"/>
      <c r="O173" s="115"/>
      <c r="P173" s="26">
        <v>45836</v>
      </c>
      <c r="Q173" s="13" t="s">
        <v>147</v>
      </c>
      <c r="R173" s="115"/>
      <c r="S173" s="115"/>
      <c r="T173" s="115"/>
      <c r="U173" s="115"/>
      <c r="V173" s="115"/>
      <c r="W173" s="115"/>
      <c r="X173" s="115"/>
      <c r="Y173" s="115"/>
      <c r="Z173" s="115"/>
      <c r="AA173" s="25"/>
      <c r="AB173" s="13"/>
      <c r="AG173" s="116"/>
      <c r="AH173" s="123"/>
      <c r="AI173" s="123"/>
      <c r="AJ173" s="123"/>
      <c r="AO173" s="115"/>
      <c r="AP173" s="115"/>
      <c r="AQ173" s="115"/>
      <c r="AR173" s="115"/>
      <c r="AS173" s="115"/>
      <c r="AT173" s="115"/>
      <c r="AU173" s="115"/>
      <c r="AV173" s="115"/>
      <c r="AW173" s="115"/>
      <c r="AX173" s="115"/>
      <c r="AY173" s="25"/>
      <c r="AZ173" s="13"/>
      <c r="BC173" s="114"/>
    </row>
    <row r="174" spans="1:55" ht="19.5" x14ac:dyDescent="0.4">
      <c r="A174" s="117"/>
      <c r="B174" s="123"/>
      <c r="C174" s="123"/>
      <c r="D174" s="123"/>
      <c r="G174" s="115"/>
      <c r="H174" s="115"/>
      <c r="I174" s="115"/>
      <c r="J174" s="115"/>
      <c r="K174" s="115"/>
      <c r="L174" s="115"/>
      <c r="M174" s="115"/>
      <c r="N174" s="115"/>
      <c r="O174" s="115"/>
      <c r="P174" s="26">
        <v>45836</v>
      </c>
      <c r="Q174" s="13" t="s">
        <v>147</v>
      </c>
      <c r="R174" s="115"/>
      <c r="S174" s="115"/>
      <c r="T174" s="115"/>
      <c r="U174" s="115"/>
      <c r="V174" s="115"/>
      <c r="W174" s="115"/>
      <c r="X174" s="115"/>
      <c r="Y174" s="115"/>
      <c r="Z174" s="115"/>
      <c r="AA174" s="25"/>
      <c r="AB174" s="13"/>
      <c r="AG174" s="116"/>
      <c r="AH174" s="123"/>
      <c r="AI174" s="123"/>
      <c r="AJ174" s="123"/>
      <c r="AO174" s="115"/>
      <c r="AP174" s="115"/>
      <c r="AQ174" s="115"/>
      <c r="AR174" s="115"/>
      <c r="AS174" s="115"/>
      <c r="AT174" s="115"/>
      <c r="AU174" s="115"/>
      <c r="AV174" s="115"/>
      <c r="AW174" s="115"/>
      <c r="AX174" s="115"/>
      <c r="AY174" s="25"/>
      <c r="AZ174" s="13"/>
      <c r="BC174" s="114"/>
    </row>
    <row r="175" spans="1:55" ht="19.5" x14ac:dyDescent="0.4">
      <c r="A175" s="117"/>
      <c r="B175" s="123"/>
      <c r="C175" s="123"/>
      <c r="D175" s="123"/>
      <c r="G175" s="115"/>
      <c r="H175" s="115"/>
      <c r="I175" s="115"/>
      <c r="J175" s="115"/>
      <c r="K175" s="115"/>
      <c r="L175" s="115"/>
      <c r="M175" s="115"/>
      <c r="N175" s="115"/>
      <c r="O175" s="115" t="s">
        <v>191</v>
      </c>
      <c r="P175" s="17">
        <f>SUBTOTAL(3,P172:P174)</f>
        <v>3</v>
      </c>
      <c r="Q175" s="13">
        <f>SUBTOTAL(3,Q172:Q174)</f>
        <v>3</v>
      </c>
      <c r="R175" s="115"/>
      <c r="S175" s="115"/>
      <c r="T175" s="115"/>
      <c r="U175" s="115"/>
      <c r="V175" s="115"/>
      <c r="W175" s="115"/>
      <c r="X175" s="115"/>
      <c r="Y175" s="115"/>
      <c r="Z175" s="115"/>
      <c r="AA175" s="25"/>
      <c r="AB175" s="13"/>
      <c r="AG175" s="116"/>
      <c r="AH175" s="123"/>
      <c r="AI175" s="123"/>
      <c r="AJ175" s="123"/>
      <c r="AO175" s="115"/>
      <c r="AP175" s="115"/>
      <c r="AQ175" s="115"/>
      <c r="AR175" s="115"/>
      <c r="AS175" s="115"/>
      <c r="AT175" s="115"/>
      <c r="AU175" s="115"/>
      <c r="AV175" s="115"/>
      <c r="AW175" s="115"/>
      <c r="AX175" s="115"/>
      <c r="AY175" s="25"/>
      <c r="AZ175" s="13"/>
      <c r="BC175" s="114"/>
    </row>
    <row r="176" spans="1:55" ht="19.5" x14ac:dyDescent="0.4">
      <c r="A176" s="117"/>
      <c r="B176" s="123"/>
      <c r="C176" s="123"/>
      <c r="D176" s="123"/>
      <c r="G176" s="115"/>
      <c r="H176" s="115"/>
      <c r="I176" s="115"/>
      <c r="J176" s="115"/>
      <c r="K176" s="115"/>
      <c r="L176" s="115"/>
      <c r="M176" s="115"/>
      <c r="N176" s="115"/>
      <c r="O176" s="115"/>
      <c r="P176" s="26">
        <v>45856</v>
      </c>
      <c r="Q176" s="15" t="s">
        <v>148</v>
      </c>
      <c r="R176" s="115"/>
      <c r="S176" s="115"/>
      <c r="T176" s="115"/>
      <c r="U176" s="115"/>
      <c r="V176" s="115"/>
      <c r="W176" s="115"/>
      <c r="X176" s="115"/>
      <c r="Y176" s="115"/>
      <c r="Z176" s="115"/>
      <c r="AA176" s="25"/>
      <c r="AB176" s="13"/>
      <c r="AG176" s="116"/>
      <c r="AH176" s="123"/>
      <c r="AI176" s="123"/>
      <c r="AJ176" s="123"/>
      <c r="AO176" s="115"/>
      <c r="AP176" s="115"/>
      <c r="AQ176" s="115"/>
      <c r="AR176" s="115"/>
      <c r="AS176" s="115"/>
      <c r="AT176" s="115"/>
      <c r="AU176" s="115"/>
      <c r="AV176" s="115"/>
      <c r="AW176" s="115"/>
      <c r="AX176" s="115"/>
      <c r="AY176" s="25"/>
      <c r="AZ176" s="13"/>
      <c r="BC176" s="114"/>
    </row>
    <row r="177" spans="1:55" ht="19.5" x14ac:dyDescent="0.4">
      <c r="A177" s="117"/>
      <c r="B177" s="123"/>
      <c r="C177" s="123"/>
      <c r="D177" s="123"/>
      <c r="G177" s="115"/>
      <c r="H177" s="115"/>
      <c r="I177" s="115"/>
      <c r="J177" s="115"/>
      <c r="K177" s="115"/>
      <c r="L177" s="115"/>
      <c r="M177" s="115"/>
      <c r="N177" s="115"/>
      <c r="O177" s="115" t="s">
        <v>392</v>
      </c>
      <c r="P177" s="17">
        <f>SUBTOTAL(3,P176:P176)</f>
        <v>1</v>
      </c>
      <c r="Q177" s="15">
        <f>SUBTOTAL(3,Q176:Q176)</f>
        <v>1</v>
      </c>
      <c r="R177" s="115"/>
      <c r="S177" s="115"/>
      <c r="T177" s="115"/>
      <c r="U177" s="115"/>
      <c r="V177" s="115"/>
      <c r="W177" s="115"/>
      <c r="X177" s="115"/>
      <c r="Y177" s="115"/>
      <c r="Z177" s="115"/>
      <c r="AA177" s="25"/>
      <c r="AB177" s="13"/>
      <c r="AG177" s="116"/>
      <c r="AH177" s="123"/>
      <c r="AI177" s="123"/>
      <c r="AJ177" s="123"/>
      <c r="AO177" s="115"/>
      <c r="AP177" s="115"/>
      <c r="AQ177" s="115"/>
      <c r="AR177" s="115"/>
      <c r="AS177" s="115"/>
      <c r="AT177" s="115"/>
      <c r="AU177" s="115"/>
      <c r="AV177" s="115"/>
      <c r="AW177" s="115"/>
      <c r="AX177" s="115"/>
      <c r="AY177" s="25"/>
      <c r="AZ177" s="13"/>
      <c r="BC177" s="114"/>
    </row>
    <row r="178" spans="1:55" ht="19.5" x14ac:dyDescent="0.4">
      <c r="A178" s="117"/>
      <c r="B178" s="123"/>
      <c r="C178" s="123"/>
      <c r="D178" s="123"/>
      <c r="G178" s="115"/>
      <c r="H178" s="115"/>
      <c r="I178" s="115"/>
      <c r="J178" s="115"/>
      <c r="K178" s="115"/>
      <c r="L178" s="115"/>
      <c r="M178" s="115"/>
      <c r="N178" s="115"/>
      <c r="O178" s="115"/>
      <c r="P178" s="26">
        <v>45859</v>
      </c>
      <c r="Q178" s="15" t="s">
        <v>147</v>
      </c>
      <c r="R178" s="115"/>
      <c r="S178" s="115"/>
      <c r="T178" s="115"/>
      <c r="U178" s="115"/>
      <c r="V178" s="115"/>
      <c r="W178" s="115"/>
      <c r="X178" s="115"/>
      <c r="Y178" s="115"/>
      <c r="Z178" s="115"/>
      <c r="AA178" s="25"/>
      <c r="AB178" s="13"/>
      <c r="AG178" s="116"/>
      <c r="AH178" s="123"/>
      <c r="AI178" s="123"/>
      <c r="AJ178" s="123"/>
      <c r="AO178" s="115"/>
      <c r="AP178" s="115"/>
      <c r="AQ178" s="115"/>
      <c r="AR178" s="115"/>
      <c r="AS178" s="115"/>
      <c r="AT178" s="115"/>
      <c r="AU178" s="115"/>
      <c r="AV178" s="115"/>
      <c r="AW178" s="115"/>
      <c r="AX178" s="115"/>
      <c r="AY178" s="25"/>
      <c r="AZ178" s="13"/>
      <c r="BC178" s="114"/>
    </row>
    <row r="179" spans="1:55" ht="19.5" x14ac:dyDescent="0.4">
      <c r="A179" s="117"/>
      <c r="B179" s="123"/>
      <c r="C179" s="123"/>
      <c r="D179" s="123"/>
      <c r="G179" s="115"/>
      <c r="H179" s="115"/>
      <c r="I179" s="115"/>
      <c r="J179" s="115"/>
      <c r="K179" s="115"/>
      <c r="L179" s="115"/>
      <c r="M179" s="115"/>
      <c r="N179" s="115"/>
      <c r="O179" s="115" t="s">
        <v>393</v>
      </c>
      <c r="P179" s="17">
        <f>SUBTOTAL(3,P178:P178)</f>
        <v>1</v>
      </c>
      <c r="Q179" s="13">
        <f>SUBTOTAL(3,Q178:Q178)</f>
        <v>1</v>
      </c>
      <c r="R179" s="115"/>
      <c r="S179" s="115"/>
      <c r="T179" s="115"/>
      <c r="U179" s="115"/>
      <c r="V179" s="115"/>
      <c r="W179" s="115"/>
      <c r="X179" s="115"/>
      <c r="Y179" s="115"/>
      <c r="Z179" s="115"/>
      <c r="AA179" s="25"/>
      <c r="AB179" s="13"/>
      <c r="AG179" s="116"/>
      <c r="AH179" s="123"/>
      <c r="AI179" s="123"/>
      <c r="AJ179" s="123"/>
      <c r="AO179" s="115"/>
      <c r="AP179" s="115"/>
      <c r="AQ179" s="115"/>
      <c r="AR179" s="115"/>
      <c r="AS179" s="115"/>
      <c r="AT179" s="115"/>
      <c r="AU179" s="115"/>
      <c r="AV179" s="115"/>
      <c r="AW179" s="115"/>
      <c r="AX179" s="115"/>
      <c r="AY179" s="25"/>
      <c r="AZ179" s="13"/>
      <c r="BC179" s="114"/>
    </row>
    <row r="180" spans="1:55" ht="19.5" x14ac:dyDescent="0.4">
      <c r="A180" s="117"/>
      <c r="B180" s="123"/>
      <c r="C180" s="123"/>
      <c r="D180" s="123"/>
      <c r="G180" s="115"/>
      <c r="H180" s="115"/>
      <c r="I180" s="115"/>
      <c r="J180" s="115"/>
      <c r="K180" s="115"/>
      <c r="L180" s="115"/>
      <c r="M180" s="115"/>
      <c r="N180" s="115"/>
      <c r="O180" s="115" t="s">
        <v>145</v>
      </c>
      <c r="P180" s="17">
        <f>SUBTOTAL(3,P2:P178)</f>
        <v>148</v>
      </c>
      <c r="Q180" s="13">
        <f>SUBTOTAL(3,Q2:Q178)</f>
        <v>148</v>
      </c>
      <c r="R180" s="115"/>
      <c r="S180" s="115"/>
      <c r="T180" s="115"/>
      <c r="U180" s="115"/>
      <c r="V180" s="115"/>
      <c r="W180" s="115"/>
      <c r="X180" s="115"/>
      <c r="Y180" s="115"/>
      <c r="Z180" s="115"/>
      <c r="AA180" s="25"/>
      <c r="AB180" s="13"/>
      <c r="AG180" s="116"/>
      <c r="AH180" s="123"/>
      <c r="AI180" s="123"/>
      <c r="AJ180" s="123"/>
      <c r="AO180" s="115"/>
      <c r="AP180" s="115"/>
      <c r="AQ180" s="115"/>
      <c r="AR180" s="115"/>
      <c r="AS180" s="115"/>
      <c r="AT180" s="115"/>
      <c r="AU180" s="115"/>
      <c r="AV180" s="115"/>
      <c r="AW180" s="115"/>
      <c r="AX180" s="115"/>
      <c r="AY180" s="25"/>
      <c r="AZ180" s="13"/>
      <c r="BC180" s="114"/>
    </row>
    <row r="181" spans="1:55" ht="19.5" x14ac:dyDescent="0.4">
      <c r="A181" s="117"/>
      <c r="B181" s="123"/>
      <c r="C181" s="123"/>
      <c r="D181" s="123"/>
      <c r="P181" s="26"/>
      <c r="Q181" s="13"/>
      <c r="R181" s="115"/>
      <c r="S181" s="115"/>
      <c r="T181" s="115"/>
      <c r="U181" s="115"/>
      <c r="V181" s="115"/>
      <c r="W181" s="115"/>
      <c r="X181" s="115"/>
      <c r="Y181" s="115"/>
      <c r="Z181" s="115"/>
      <c r="AA181" s="25">
        <v>45677</v>
      </c>
      <c r="AB181" s="13" t="s">
        <v>146</v>
      </c>
      <c r="AG181" s="116"/>
      <c r="AH181" s="123"/>
      <c r="AI181" s="123"/>
      <c r="AJ181" s="123"/>
      <c r="AO181" s="115"/>
      <c r="AP181" s="115"/>
      <c r="AQ181" s="115"/>
      <c r="AR181" s="115"/>
      <c r="AS181" s="115"/>
      <c r="AT181" s="115"/>
      <c r="AU181" s="115"/>
      <c r="AV181" s="115"/>
      <c r="AW181" s="115"/>
      <c r="AX181" s="115"/>
      <c r="AY181" s="25"/>
      <c r="AZ181" s="13"/>
      <c r="BC181" s="114"/>
    </row>
    <row r="182" spans="1:55" ht="19.5" x14ac:dyDescent="0.4">
      <c r="A182" s="117"/>
      <c r="B182" s="123"/>
      <c r="C182" s="123"/>
      <c r="D182" s="123"/>
      <c r="K182" s="115"/>
      <c r="L182" s="115"/>
      <c r="M182" s="115"/>
      <c r="N182" s="115"/>
      <c r="O182" s="115"/>
      <c r="P182" s="26"/>
      <c r="Q182" s="13"/>
      <c r="R182" s="115"/>
      <c r="S182" s="115"/>
      <c r="T182" s="115"/>
      <c r="U182" s="115"/>
      <c r="V182" s="115"/>
      <c r="W182" s="115"/>
      <c r="X182" s="115"/>
      <c r="Y182" s="115"/>
      <c r="Z182" s="115"/>
      <c r="AA182" s="25"/>
      <c r="AB182" s="13"/>
      <c r="AG182" s="116"/>
      <c r="AH182" s="123"/>
      <c r="AI182" s="123"/>
      <c r="AJ182" s="123"/>
      <c r="AO182" s="115"/>
      <c r="AP182" s="115"/>
      <c r="AQ182" s="115"/>
      <c r="AR182" s="115"/>
      <c r="AS182" s="115"/>
      <c r="AT182" s="115"/>
      <c r="AU182" s="115"/>
      <c r="AV182" s="115"/>
      <c r="AW182" s="115"/>
      <c r="AX182" s="115"/>
      <c r="AY182" s="25"/>
      <c r="AZ182" s="13"/>
      <c r="BC182" s="114"/>
    </row>
    <row r="183" spans="1:55" ht="19.5" x14ac:dyDescent="0.4">
      <c r="A183" s="117"/>
      <c r="B183" s="123"/>
      <c r="C183" s="123"/>
      <c r="D183" s="123"/>
      <c r="P183" s="26"/>
      <c r="Q183" s="13"/>
      <c r="R183" s="115"/>
      <c r="S183" s="115"/>
      <c r="T183" s="115"/>
      <c r="U183" s="115"/>
      <c r="V183" s="115"/>
      <c r="W183" s="115"/>
      <c r="X183" s="115"/>
      <c r="Y183" s="115"/>
      <c r="Z183" s="115"/>
      <c r="AA183" s="25"/>
      <c r="AB183" s="13"/>
      <c r="AG183" s="116"/>
      <c r="AH183" s="123"/>
      <c r="AI183" s="123"/>
      <c r="AJ183" s="123"/>
      <c r="AO183" s="115"/>
      <c r="AP183" s="115"/>
      <c r="AQ183" s="115"/>
      <c r="AR183" s="115"/>
      <c r="AS183" s="115"/>
      <c r="AT183" s="115"/>
      <c r="AU183" s="115"/>
      <c r="AV183" s="115"/>
      <c r="AW183" s="115"/>
      <c r="AX183" s="115"/>
      <c r="AY183" s="25"/>
      <c r="AZ183" s="13"/>
      <c r="BC183" s="114"/>
    </row>
    <row r="184" spans="1:55" ht="19.5" x14ac:dyDescent="0.4">
      <c r="A184" s="117"/>
      <c r="B184" s="123"/>
      <c r="C184" s="123"/>
      <c r="D184" s="123"/>
      <c r="K184" s="115"/>
      <c r="L184" s="115"/>
      <c r="M184" s="115"/>
      <c r="N184" s="115"/>
      <c r="O184" s="115"/>
      <c r="P184" s="26"/>
      <c r="Q184" s="13"/>
      <c r="R184" s="115"/>
      <c r="S184" s="115"/>
      <c r="T184" s="115"/>
      <c r="U184" s="115"/>
      <c r="V184" s="115"/>
      <c r="W184" s="115"/>
      <c r="X184" s="115"/>
      <c r="Y184" s="115"/>
      <c r="Z184" s="115"/>
      <c r="AA184" s="25"/>
      <c r="AB184" s="13"/>
      <c r="AG184" s="116"/>
      <c r="AH184" s="123"/>
      <c r="AI184" s="123"/>
      <c r="AJ184" s="123"/>
      <c r="AO184" s="115"/>
      <c r="AP184" s="115"/>
      <c r="AQ184" s="115"/>
      <c r="AR184" s="115"/>
      <c r="AS184" s="115"/>
      <c r="AT184" s="115"/>
      <c r="AU184" s="115"/>
      <c r="AV184" s="115"/>
      <c r="AW184" s="115"/>
      <c r="AX184" s="115"/>
      <c r="AY184" s="25"/>
      <c r="AZ184" s="13"/>
      <c r="BC184" s="114"/>
    </row>
    <row r="185" spans="1:55" ht="19.5" x14ac:dyDescent="0.4">
      <c r="A185" s="117"/>
      <c r="B185" s="123"/>
      <c r="C185" s="123"/>
      <c r="D185" s="123"/>
      <c r="K185" s="115"/>
      <c r="L185" s="115"/>
      <c r="M185" s="115"/>
      <c r="N185" s="115"/>
      <c r="O185" s="115"/>
      <c r="P185" s="26"/>
      <c r="Q185" s="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25"/>
      <c r="AB185" s="13"/>
      <c r="AG185" s="116"/>
      <c r="AH185" s="123"/>
      <c r="AI185" s="123"/>
      <c r="AJ185" s="123"/>
      <c r="AO185" s="115"/>
      <c r="AP185" s="115"/>
      <c r="AQ185" s="115"/>
      <c r="AR185" s="115"/>
      <c r="AS185" s="115"/>
      <c r="AT185" s="115"/>
      <c r="AU185" s="115"/>
      <c r="AV185" s="115"/>
      <c r="AW185" s="115"/>
      <c r="AX185" s="115"/>
      <c r="AY185" s="25"/>
      <c r="AZ185" s="13"/>
      <c r="BC185" s="114"/>
    </row>
    <row r="186" spans="1:55" ht="19.5" x14ac:dyDescent="0.4">
      <c r="A186" s="117"/>
      <c r="B186" s="123"/>
      <c r="C186" s="123"/>
      <c r="D186" s="123"/>
      <c r="P186" s="26"/>
      <c r="Q186" s="13"/>
      <c r="R186" s="115"/>
      <c r="S186" s="115"/>
      <c r="T186" s="115"/>
      <c r="U186" s="115"/>
      <c r="V186" s="115"/>
      <c r="W186" s="115"/>
      <c r="X186" s="115"/>
      <c r="Y186" s="115"/>
      <c r="Z186" s="115"/>
      <c r="AA186" s="25"/>
      <c r="AB186" s="13"/>
      <c r="AG186" s="116"/>
      <c r="AH186" s="123"/>
      <c r="AI186" s="123"/>
      <c r="AJ186" s="123"/>
      <c r="AO186" s="115"/>
      <c r="AP186" s="115"/>
      <c r="AQ186" s="115"/>
      <c r="AR186" s="115"/>
      <c r="AS186" s="115"/>
      <c r="AT186" s="115"/>
      <c r="AU186" s="115"/>
      <c r="AV186" s="115"/>
      <c r="AW186" s="115"/>
      <c r="AX186" s="115"/>
      <c r="AY186" s="25"/>
      <c r="AZ186" s="13"/>
      <c r="BC186" s="114"/>
    </row>
    <row r="187" spans="1:55" ht="19.5" x14ac:dyDescent="0.4">
      <c r="A187" s="117"/>
      <c r="B187" s="123"/>
      <c r="C187" s="123"/>
      <c r="D187" s="123"/>
      <c r="M187" s="115"/>
      <c r="N187" s="115"/>
      <c r="O187" s="115"/>
      <c r="P187" s="26"/>
      <c r="Q187" s="13"/>
      <c r="R187" s="115"/>
      <c r="S187" s="115"/>
      <c r="T187" s="115"/>
      <c r="U187" s="115"/>
      <c r="V187" s="115"/>
      <c r="W187" s="115"/>
      <c r="X187" s="115"/>
      <c r="Y187" s="115"/>
      <c r="Z187" s="115"/>
      <c r="AA187" s="25"/>
      <c r="AB187" s="13"/>
      <c r="AG187" s="116"/>
      <c r="AH187" s="123"/>
      <c r="AI187" s="123"/>
      <c r="AJ187" s="123"/>
      <c r="AO187" s="115"/>
      <c r="AP187" s="115"/>
      <c r="AQ187" s="115"/>
      <c r="AR187" s="115"/>
      <c r="AS187" s="115"/>
      <c r="AT187" s="115"/>
      <c r="AU187" s="115"/>
      <c r="AV187" s="115"/>
      <c r="AW187" s="115"/>
      <c r="AX187" s="115"/>
      <c r="AY187" s="25"/>
      <c r="AZ187" s="13"/>
      <c r="BC187" s="114"/>
    </row>
    <row r="188" spans="1:55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15"/>
      <c r="O188" s="115"/>
      <c r="P188" s="26"/>
      <c r="Q188" s="13"/>
      <c r="R188" s="115"/>
      <c r="S188" s="115"/>
      <c r="T188" s="115"/>
      <c r="U188" s="115"/>
      <c r="V188" s="115"/>
      <c r="W188" s="115"/>
      <c r="X188" s="115"/>
      <c r="Y188" s="115"/>
      <c r="Z188" s="115"/>
      <c r="AA188" s="25"/>
      <c r="AB188" s="13"/>
      <c r="AG188" s="116"/>
      <c r="AH188" s="123"/>
      <c r="AI188" s="123"/>
      <c r="AJ188" s="123"/>
      <c r="AO188" s="115"/>
      <c r="AP188" s="115"/>
      <c r="AQ188" s="115"/>
      <c r="AR188" s="115"/>
      <c r="AS188" s="115"/>
      <c r="AT188" s="115"/>
      <c r="AU188" s="115"/>
      <c r="AV188" s="115"/>
      <c r="AW188" s="115"/>
      <c r="AX188" s="115"/>
      <c r="AY188" s="25"/>
      <c r="AZ188" s="13"/>
      <c r="BC188" s="114"/>
    </row>
    <row r="189" spans="1:55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115"/>
      <c r="O189" s="115"/>
      <c r="P189" s="26"/>
      <c r="Q189" s="13"/>
      <c r="R189" s="115"/>
      <c r="S189" s="115"/>
      <c r="T189" s="115"/>
      <c r="U189" s="115"/>
      <c r="V189" s="115"/>
      <c r="W189" s="115"/>
      <c r="X189" s="115"/>
      <c r="Y189" s="115"/>
      <c r="Z189" s="115"/>
      <c r="AA189" s="25"/>
      <c r="AB189" s="13"/>
      <c r="AG189" s="116"/>
      <c r="AH189" s="123"/>
      <c r="AI189" s="123"/>
      <c r="AJ189" s="123"/>
      <c r="AO189" s="115"/>
      <c r="AP189" s="115"/>
      <c r="AQ189" s="115"/>
      <c r="AR189" s="115"/>
      <c r="AS189" s="115"/>
      <c r="AT189" s="115"/>
      <c r="AU189" s="115"/>
      <c r="AV189" s="115"/>
      <c r="AW189" s="115"/>
      <c r="AX189" s="115"/>
      <c r="AY189" s="25"/>
      <c r="AZ189" s="13"/>
      <c r="BC189" s="114"/>
    </row>
    <row r="190" spans="1:55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15"/>
      <c r="O190" s="115"/>
      <c r="P190" s="17"/>
      <c r="Q190" s="13"/>
      <c r="R190" s="115"/>
      <c r="S190" s="115"/>
      <c r="T190" s="115"/>
      <c r="U190" s="115"/>
      <c r="V190" s="115"/>
      <c r="W190" s="115"/>
      <c r="X190" s="115"/>
      <c r="Y190" s="115"/>
      <c r="Z190" s="115"/>
      <c r="AA190" s="25"/>
      <c r="AB190" s="13"/>
      <c r="AG190" s="116"/>
      <c r="AH190" s="123"/>
      <c r="AI190" s="123"/>
      <c r="AJ190" s="123"/>
      <c r="AO190" s="115"/>
      <c r="AP190" s="115"/>
      <c r="AQ190" s="115"/>
      <c r="AR190" s="115"/>
      <c r="AS190" s="115"/>
      <c r="AT190" s="115"/>
      <c r="AU190" s="115"/>
      <c r="AV190" s="115"/>
      <c r="AW190" s="115"/>
      <c r="AX190" s="115"/>
      <c r="AY190" s="25"/>
      <c r="AZ190" s="13"/>
      <c r="BC190" s="114"/>
    </row>
    <row r="191" spans="1:55" ht="19.5" x14ac:dyDescent="0.4">
      <c r="A191" s="117"/>
      <c r="B191" s="123"/>
      <c r="C191" s="123"/>
      <c r="D191" s="123"/>
      <c r="P191" s="26"/>
      <c r="Q191" s="13"/>
      <c r="R191" s="115"/>
      <c r="S191" s="115"/>
      <c r="T191" s="115"/>
      <c r="U191" s="115"/>
      <c r="V191" s="115"/>
      <c r="W191" s="115"/>
      <c r="X191" s="115"/>
      <c r="Y191" s="115"/>
      <c r="Z191" s="115"/>
      <c r="AA191" s="25">
        <v>45677</v>
      </c>
      <c r="AB191" s="13" t="s">
        <v>147</v>
      </c>
      <c r="AG191" s="116"/>
      <c r="AH191" s="123"/>
      <c r="AI191" s="123"/>
      <c r="AJ191" s="123"/>
      <c r="AO191" s="115"/>
      <c r="AP191" s="115"/>
      <c r="AQ191" s="115"/>
      <c r="AR191" s="115"/>
      <c r="AS191" s="115"/>
      <c r="AT191" s="115"/>
      <c r="AU191" s="115"/>
      <c r="AV191" s="115"/>
      <c r="AW191" s="115"/>
      <c r="AX191" s="115"/>
      <c r="AY191" s="25"/>
      <c r="AZ191" s="13"/>
      <c r="BC191" s="114"/>
    </row>
    <row r="192" spans="1:55" ht="19.5" x14ac:dyDescent="0.4">
      <c r="A192" s="117"/>
      <c r="B192" s="123"/>
      <c r="C192" s="123"/>
      <c r="D192" s="123"/>
      <c r="L192" s="115"/>
      <c r="M192" s="115"/>
      <c r="N192" s="115"/>
      <c r="O192" s="115"/>
      <c r="P192" s="26"/>
      <c r="Q192" s="13"/>
      <c r="R192" s="115"/>
      <c r="S192" s="115"/>
      <c r="T192" s="115"/>
      <c r="U192" s="115"/>
      <c r="V192" s="115"/>
      <c r="W192" s="115"/>
      <c r="X192" s="115"/>
      <c r="Y192" s="115"/>
      <c r="Z192" s="115"/>
      <c r="AA192" s="25"/>
      <c r="AB192" s="13"/>
      <c r="AG192" s="116"/>
      <c r="AH192" s="123"/>
      <c r="AI192" s="123"/>
      <c r="AJ192" s="123"/>
      <c r="AO192" s="115"/>
      <c r="AP192" s="115"/>
      <c r="AQ192" s="115"/>
      <c r="AR192" s="115"/>
      <c r="AS192" s="115"/>
      <c r="AT192" s="115"/>
      <c r="AU192" s="115"/>
      <c r="AV192" s="115"/>
      <c r="AW192" s="115"/>
      <c r="AX192" s="115"/>
      <c r="AY192" s="25"/>
      <c r="AZ192" s="13"/>
      <c r="BC192" s="114"/>
    </row>
    <row r="193" spans="1:55" ht="19.5" x14ac:dyDescent="0.4">
      <c r="A193" s="117"/>
      <c r="B193" s="123"/>
      <c r="C193" s="123"/>
      <c r="D193" s="123"/>
      <c r="P193" s="26"/>
      <c r="Q193" s="13"/>
      <c r="R193" s="115"/>
      <c r="S193" s="115"/>
      <c r="T193" s="115"/>
      <c r="U193" s="115"/>
      <c r="V193" s="115"/>
      <c r="W193" s="115"/>
      <c r="X193" s="115"/>
      <c r="Y193" s="115"/>
      <c r="Z193" s="115"/>
      <c r="AA193" s="25">
        <v>45677</v>
      </c>
      <c r="AB193" s="25" t="s">
        <v>147</v>
      </c>
      <c r="AG193" s="116"/>
      <c r="AH193" s="123"/>
      <c r="AI193" s="123"/>
      <c r="AJ193" s="123"/>
      <c r="AO193" s="115"/>
      <c r="AP193" s="115"/>
      <c r="AQ193" s="115"/>
      <c r="AR193" s="115"/>
      <c r="AS193" s="115"/>
      <c r="AT193" s="115"/>
      <c r="AU193" s="115"/>
      <c r="AV193" s="115"/>
      <c r="AW193" s="115"/>
      <c r="AX193" s="115"/>
      <c r="AY193" s="25"/>
      <c r="AZ193" s="13"/>
      <c r="BC193" s="114"/>
    </row>
    <row r="194" spans="1:55" ht="19.5" x14ac:dyDescent="0.4">
      <c r="A194" s="117"/>
      <c r="B194" s="123"/>
      <c r="C194" s="123"/>
      <c r="D194" s="123"/>
      <c r="P194" s="26"/>
      <c r="Q194" s="13"/>
      <c r="R194" s="115"/>
      <c r="S194" s="115"/>
      <c r="T194" s="115"/>
      <c r="U194" s="115"/>
      <c r="V194" s="115"/>
      <c r="W194" s="115"/>
      <c r="X194" s="115"/>
      <c r="Y194" s="115"/>
      <c r="Z194" s="115"/>
      <c r="AA194" s="25"/>
      <c r="AB194" s="25"/>
      <c r="AG194" s="116"/>
      <c r="AH194" s="123"/>
      <c r="AI194" s="123"/>
      <c r="AJ194" s="123"/>
      <c r="AO194" s="115"/>
      <c r="AP194" s="115"/>
      <c r="AQ194" s="115"/>
      <c r="AR194" s="115"/>
      <c r="AS194" s="115"/>
      <c r="AT194" s="115"/>
      <c r="AU194" s="115"/>
      <c r="AV194" s="115"/>
      <c r="AW194" s="115"/>
      <c r="AX194" s="115"/>
      <c r="AY194" s="25"/>
      <c r="AZ194" s="13"/>
      <c r="BC194" s="114"/>
    </row>
    <row r="195" spans="1:55" ht="19.5" x14ac:dyDescent="0.4">
      <c r="A195" s="117"/>
      <c r="B195" s="123"/>
      <c r="C195" s="123"/>
      <c r="D195" s="123"/>
      <c r="G195" s="115"/>
      <c r="H195" s="115"/>
      <c r="I195" s="115"/>
      <c r="J195" s="115"/>
      <c r="K195" s="115"/>
      <c r="L195" s="115"/>
      <c r="M195" s="115"/>
      <c r="N195" s="115"/>
      <c r="O195" s="115"/>
      <c r="P195" s="26"/>
      <c r="Q195" s="13"/>
      <c r="R195" s="115"/>
      <c r="S195" s="115"/>
      <c r="T195" s="115"/>
      <c r="U195" s="115"/>
      <c r="V195" s="115"/>
      <c r="W195" s="115"/>
      <c r="X195" s="115"/>
      <c r="Y195" s="115"/>
      <c r="Z195" s="115"/>
      <c r="AA195" s="25"/>
      <c r="AB195" s="25"/>
      <c r="AG195" s="116"/>
      <c r="AH195" s="123"/>
      <c r="AI195" s="123"/>
      <c r="AJ195" s="123"/>
      <c r="AO195" s="115"/>
      <c r="AP195" s="115"/>
      <c r="AQ195" s="115"/>
      <c r="AR195" s="115"/>
      <c r="AS195" s="115"/>
      <c r="AT195" s="115"/>
      <c r="AU195" s="115"/>
      <c r="AV195" s="115"/>
      <c r="AW195" s="115"/>
      <c r="AX195" s="115"/>
      <c r="AY195" s="25"/>
      <c r="AZ195" s="13"/>
      <c r="BC195" s="114"/>
    </row>
    <row r="196" spans="1:55" ht="19.5" x14ac:dyDescent="0.4">
      <c r="A196" s="117"/>
      <c r="B196" s="123"/>
      <c r="C196" s="123"/>
      <c r="D196" s="123"/>
      <c r="G196" s="115"/>
      <c r="H196" s="115"/>
      <c r="I196" s="115"/>
      <c r="J196" s="115"/>
      <c r="K196" s="115"/>
      <c r="L196" s="115"/>
      <c r="M196" s="115"/>
      <c r="N196" s="115"/>
      <c r="O196" s="115"/>
      <c r="P196" s="26"/>
      <c r="Q196" s="13"/>
      <c r="R196" s="115"/>
      <c r="S196" s="115"/>
      <c r="T196" s="115"/>
      <c r="U196" s="115"/>
      <c r="V196" s="115"/>
      <c r="W196" s="115"/>
      <c r="X196" s="115"/>
      <c r="Y196" s="115"/>
      <c r="Z196" s="115"/>
      <c r="AA196" s="25"/>
      <c r="AB196" s="25"/>
      <c r="AG196" s="116"/>
      <c r="AH196" s="123"/>
      <c r="AI196" s="123"/>
      <c r="AJ196" s="123"/>
      <c r="AO196" s="115"/>
      <c r="AP196" s="115"/>
      <c r="AQ196" s="115"/>
      <c r="AR196" s="115"/>
      <c r="AS196" s="115"/>
      <c r="AT196" s="115"/>
      <c r="AU196" s="115"/>
      <c r="AV196" s="115"/>
      <c r="AW196" s="115"/>
      <c r="AX196" s="115"/>
      <c r="AY196" s="25"/>
      <c r="AZ196" s="13"/>
      <c r="BC196" s="114"/>
    </row>
    <row r="197" spans="1:55" ht="19.5" x14ac:dyDescent="0.4">
      <c r="A197" s="117"/>
      <c r="B197" s="123"/>
      <c r="C197" s="123"/>
      <c r="D197" s="123"/>
      <c r="G197" s="115"/>
      <c r="H197" s="115"/>
      <c r="I197" s="115"/>
      <c r="J197" s="115"/>
      <c r="K197" s="115"/>
      <c r="L197" s="115"/>
      <c r="M197" s="115"/>
      <c r="N197" s="115"/>
      <c r="O197" s="115"/>
      <c r="P197" s="26"/>
      <c r="Q197" s="13"/>
      <c r="R197" s="115"/>
      <c r="S197" s="115"/>
      <c r="T197" s="115"/>
      <c r="U197" s="115"/>
      <c r="V197" s="115"/>
      <c r="W197" s="115"/>
      <c r="X197" s="115"/>
      <c r="Y197" s="115"/>
      <c r="Z197" s="115"/>
      <c r="AA197" s="25"/>
      <c r="AB197" s="25"/>
      <c r="AG197" s="116"/>
      <c r="AH197" s="123"/>
      <c r="AI197" s="123"/>
      <c r="AJ197" s="123"/>
      <c r="AO197" s="115"/>
      <c r="AP197" s="115"/>
      <c r="AQ197" s="115"/>
      <c r="AR197" s="115"/>
      <c r="AS197" s="115"/>
      <c r="AT197" s="115"/>
      <c r="AU197" s="115"/>
      <c r="AV197" s="115"/>
      <c r="AW197" s="115"/>
      <c r="AX197" s="115"/>
      <c r="AY197" s="25"/>
      <c r="AZ197" s="13"/>
      <c r="BC197" s="114"/>
    </row>
    <row r="198" spans="1:55" ht="19.5" x14ac:dyDescent="0.4">
      <c r="A198" s="117"/>
      <c r="B198" s="123"/>
      <c r="C198" s="123"/>
      <c r="D198" s="123"/>
      <c r="G198" s="115"/>
      <c r="H198" s="115"/>
      <c r="I198" s="115"/>
      <c r="J198" s="115"/>
      <c r="K198" s="115"/>
      <c r="L198" s="115"/>
      <c r="M198" s="115"/>
      <c r="N198" s="115"/>
      <c r="O198" s="115"/>
      <c r="P198" s="17"/>
      <c r="Q198" s="13"/>
      <c r="R198" s="115"/>
      <c r="S198" s="115"/>
      <c r="T198" s="115"/>
      <c r="U198" s="115"/>
      <c r="V198" s="115"/>
      <c r="W198" s="115"/>
      <c r="X198" s="115"/>
      <c r="Y198" s="115"/>
      <c r="Z198" s="115"/>
      <c r="AA198" s="25"/>
      <c r="AB198" s="25"/>
      <c r="AG198" s="116"/>
      <c r="AH198" s="123"/>
      <c r="AI198" s="123"/>
      <c r="AJ198" s="123"/>
      <c r="AO198" s="115"/>
      <c r="AP198" s="115"/>
      <c r="AQ198" s="115"/>
      <c r="AR198" s="115"/>
      <c r="AS198" s="115"/>
      <c r="AT198" s="115"/>
      <c r="AU198" s="115"/>
      <c r="AV198" s="115"/>
      <c r="AW198" s="115"/>
      <c r="AX198" s="115"/>
      <c r="AY198" s="25"/>
      <c r="AZ198" s="13"/>
      <c r="BC198" s="114"/>
    </row>
    <row r="199" spans="1:55" ht="19.5" x14ac:dyDescent="0.4">
      <c r="A199" s="117"/>
      <c r="B199" s="123"/>
      <c r="C199" s="123"/>
      <c r="D199" s="123"/>
      <c r="P199" s="26"/>
      <c r="Q199" s="13"/>
      <c r="R199" s="115"/>
      <c r="S199" s="115"/>
      <c r="T199" s="115"/>
      <c r="U199" s="115"/>
      <c r="V199" s="115"/>
      <c r="W199" s="115"/>
      <c r="X199" s="115"/>
      <c r="Y199" s="115"/>
      <c r="Z199" s="115"/>
      <c r="AA199" s="25">
        <v>45678</v>
      </c>
      <c r="AB199" s="13" t="s">
        <v>147</v>
      </c>
      <c r="AG199" s="116"/>
      <c r="AH199" s="123"/>
      <c r="AI199" s="123"/>
      <c r="AJ199" s="123"/>
      <c r="AO199" s="115"/>
      <c r="AP199" s="115"/>
      <c r="AQ199" s="115"/>
      <c r="AR199" s="115"/>
      <c r="AS199" s="115"/>
      <c r="AT199" s="115"/>
      <c r="AU199" s="115"/>
      <c r="AV199" s="115"/>
      <c r="AW199" s="115"/>
      <c r="AX199" s="115"/>
      <c r="AY199" s="25"/>
      <c r="AZ199" s="13"/>
      <c r="BC199" s="114"/>
    </row>
    <row r="200" spans="1:55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115"/>
      <c r="O200" s="115"/>
      <c r="P200" s="26"/>
      <c r="Q200" s="13"/>
      <c r="R200" s="115"/>
      <c r="S200" s="115"/>
      <c r="T200" s="115"/>
      <c r="U200" s="115"/>
      <c r="V200" s="115"/>
      <c r="W200" s="115"/>
      <c r="X200" s="115"/>
      <c r="Y200" s="115"/>
      <c r="Z200" s="115"/>
      <c r="AA200" s="25"/>
      <c r="AB200" s="13"/>
      <c r="AG200" s="116"/>
      <c r="AH200" s="123"/>
      <c r="AI200" s="123"/>
      <c r="AJ200" s="123"/>
      <c r="AO200" s="115"/>
      <c r="AP200" s="115"/>
      <c r="AQ200" s="115"/>
      <c r="AR200" s="115"/>
      <c r="AS200" s="115"/>
      <c r="AT200" s="115"/>
      <c r="AU200" s="115"/>
      <c r="AV200" s="115"/>
      <c r="AW200" s="115"/>
      <c r="AX200" s="115"/>
      <c r="AY200" s="25"/>
      <c r="AZ200" s="13"/>
      <c r="BC200" s="114"/>
    </row>
    <row r="201" spans="1:55" ht="19.5" x14ac:dyDescent="0.4">
      <c r="A201" s="117"/>
      <c r="B201" s="123"/>
      <c r="C201" s="123"/>
      <c r="D201" s="123"/>
      <c r="P201" s="26"/>
      <c r="Q201" s="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25">
        <v>45678</v>
      </c>
      <c r="AB201" s="13" t="s">
        <v>146</v>
      </c>
      <c r="AG201" s="116"/>
      <c r="AH201" s="123"/>
      <c r="AI201" s="123"/>
      <c r="AJ201" s="123"/>
      <c r="AO201" s="115"/>
      <c r="AP201" s="115"/>
      <c r="AQ201" s="115"/>
      <c r="AR201" s="115"/>
      <c r="AS201" s="115"/>
      <c r="AT201" s="115"/>
      <c r="AU201" s="115"/>
      <c r="AV201" s="115"/>
      <c r="AW201" s="115"/>
      <c r="AX201" s="115"/>
      <c r="AY201" s="25"/>
      <c r="AZ201" s="13"/>
      <c r="BC201" s="114"/>
    </row>
    <row r="202" spans="1:55" ht="19.5" x14ac:dyDescent="0.4">
      <c r="A202" s="117"/>
      <c r="B202" s="123"/>
      <c r="C202" s="123"/>
      <c r="D202" s="123"/>
      <c r="I202" s="115"/>
      <c r="J202" s="115"/>
      <c r="K202" s="115"/>
      <c r="L202" s="115"/>
      <c r="M202" s="115"/>
      <c r="N202" s="115"/>
      <c r="O202" s="115"/>
      <c r="P202" s="26"/>
      <c r="Q202" s="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25"/>
      <c r="AB202" s="13"/>
      <c r="AG202" s="116"/>
      <c r="AH202" s="123"/>
      <c r="AI202" s="123"/>
      <c r="AJ202" s="123"/>
      <c r="AO202" s="115"/>
      <c r="AP202" s="115"/>
      <c r="AQ202" s="115"/>
      <c r="AR202" s="115"/>
      <c r="AS202" s="115"/>
      <c r="AT202" s="115"/>
      <c r="AU202" s="115"/>
      <c r="AV202" s="115"/>
      <c r="AW202" s="115"/>
      <c r="AX202" s="115"/>
      <c r="AY202" s="25"/>
      <c r="AZ202" s="13"/>
      <c r="BC202" s="114"/>
    </row>
    <row r="203" spans="1:55" ht="19.5" x14ac:dyDescent="0.4">
      <c r="A203" s="117"/>
      <c r="B203" s="123"/>
      <c r="C203" s="123"/>
      <c r="D203" s="123"/>
      <c r="I203" s="115"/>
      <c r="J203" s="115"/>
      <c r="K203" s="115"/>
      <c r="L203" s="115"/>
      <c r="M203" s="115"/>
      <c r="N203" s="115"/>
      <c r="O203" s="115"/>
      <c r="P203" s="26"/>
      <c r="Q203" s="13"/>
      <c r="R203" s="115"/>
      <c r="S203" s="115"/>
      <c r="T203" s="115"/>
      <c r="U203" s="115"/>
      <c r="V203" s="115"/>
      <c r="W203" s="115"/>
      <c r="X203" s="115"/>
      <c r="Y203" s="115"/>
      <c r="Z203" s="115"/>
      <c r="AA203" s="25"/>
      <c r="AB203" s="13"/>
      <c r="AG203" s="116"/>
      <c r="AH203" s="123"/>
      <c r="AI203" s="123"/>
      <c r="AJ203" s="123"/>
      <c r="AO203" s="115"/>
      <c r="AP203" s="115"/>
      <c r="AQ203" s="115"/>
      <c r="AR203" s="115"/>
      <c r="AS203" s="115"/>
      <c r="AT203" s="115"/>
      <c r="AU203" s="115"/>
      <c r="AV203" s="115"/>
      <c r="AW203" s="115"/>
      <c r="AX203" s="115"/>
      <c r="AY203" s="25"/>
      <c r="AZ203" s="13"/>
      <c r="BC203" s="114"/>
    </row>
    <row r="204" spans="1:55" ht="19.5" x14ac:dyDescent="0.4">
      <c r="A204" s="117"/>
      <c r="B204" s="123"/>
      <c r="C204" s="123"/>
      <c r="D204" s="123"/>
      <c r="I204" s="115"/>
      <c r="J204" s="115"/>
      <c r="K204" s="115"/>
      <c r="L204" s="115"/>
      <c r="M204" s="115"/>
      <c r="N204" s="115"/>
      <c r="O204" s="115"/>
      <c r="P204" s="26"/>
      <c r="Q204" s="13"/>
      <c r="R204" s="115"/>
      <c r="S204" s="115"/>
      <c r="T204" s="115"/>
      <c r="U204" s="115"/>
      <c r="V204" s="115"/>
      <c r="W204" s="115"/>
      <c r="X204" s="115"/>
      <c r="Y204" s="115"/>
      <c r="Z204" s="115"/>
      <c r="AA204" s="25"/>
      <c r="AB204" s="13"/>
      <c r="AG204" s="116"/>
      <c r="AH204" s="123"/>
      <c r="AI204" s="123"/>
      <c r="AJ204" s="123"/>
      <c r="AO204" s="115"/>
      <c r="AP204" s="115"/>
      <c r="AQ204" s="115"/>
      <c r="AR204" s="115"/>
      <c r="AS204" s="115"/>
      <c r="AT204" s="115"/>
      <c r="AU204" s="115"/>
      <c r="AV204" s="115"/>
      <c r="AW204" s="115"/>
      <c r="AX204" s="115"/>
      <c r="AY204" s="25"/>
      <c r="AZ204" s="13"/>
      <c r="BC204" s="114"/>
    </row>
    <row r="205" spans="1:55" ht="19.5" x14ac:dyDescent="0.4">
      <c r="A205" s="117"/>
      <c r="B205" s="123"/>
      <c r="C205" s="123"/>
      <c r="D205" s="123"/>
      <c r="I205" s="115"/>
      <c r="J205" s="115"/>
      <c r="K205" s="115"/>
      <c r="L205" s="115"/>
      <c r="M205" s="115"/>
      <c r="N205" s="115"/>
      <c r="O205" s="115"/>
      <c r="P205" s="26"/>
      <c r="Q205" s="13"/>
      <c r="R205" s="115"/>
      <c r="S205" s="115"/>
      <c r="T205" s="115"/>
      <c r="U205" s="115"/>
      <c r="V205" s="115"/>
      <c r="W205" s="115"/>
      <c r="X205" s="115"/>
      <c r="Y205" s="115"/>
      <c r="Z205" s="115"/>
      <c r="AA205" s="25"/>
      <c r="AB205" s="13"/>
      <c r="AG205" s="116"/>
      <c r="AH205" s="123"/>
      <c r="AI205" s="123"/>
      <c r="AJ205" s="123"/>
      <c r="AO205" s="115"/>
      <c r="AP205" s="115"/>
      <c r="AQ205" s="115"/>
      <c r="AR205" s="115"/>
      <c r="AS205" s="115"/>
      <c r="AT205" s="115"/>
      <c r="AU205" s="115"/>
      <c r="AV205" s="115"/>
      <c r="AW205" s="115"/>
      <c r="AX205" s="115"/>
      <c r="AY205" s="25"/>
      <c r="AZ205" s="13"/>
      <c r="BC205" s="114"/>
    </row>
    <row r="206" spans="1:55" ht="19.5" x14ac:dyDescent="0.4">
      <c r="A206" s="117"/>
      <c r="B206" s="123"/>
      <c r="C206" s="123"/>
      <c r="D206" s="123"/>
      <c r="P206" s="26"/>
      <c r="Q206" s="13"/>
      <c r="R206" s="115"/>
      <c r="S206" s="115"/>
      <c r="T206" s="115"/>
      <c r="U206" s="115"/>
      <c r="V206" s="115"/>
      <c r="W206" s="115"/>
      <c r="X206" s="115"/>
      <c r="Y206" s="115"/>
      <c r="Z206" s="115"/>
      <c r="AA206" s="25">
        <v>45678</v>
      </c>
      <c r="AB206" s="13" t="s">
        <v>148</v>
      </c>
      <c r="AG206" s="116"/>
      <c r="AH206" s="123"/>
      <c r="AI206" s="123"/>
      <c r="AJ206" s="123"/>
      <c r="AO206" s="115"/>
      <c r="AP206" s="115"/>
      <c r="AQ206" s="115"/>
      <c r="AR206" s="115"/>
      <c r="AS206" s="115"/>
      <c r="AT206" s="115"/>
      <c r="AU206" s="115"/>
      <c r="AV206" s="115"/>
      <c r="AW206" s="115"/>
      <c r="AX206" s="115"/>
      <c r="AY206" s="25"/>
      <c r="AZ206" s="13"/>
      <c r="BC206" s="114"/>
    </row>
    <row r="207" spans="1:55" ht="19.5" x14ac:dyDescent="0.4">
      <c r="A207" s="117"/>
      <c r="B207" s="123"/>
      <c r="C207" s="123"/>
      <c r="D207" s="123"/>
      <c r="K207" s="115"/>
      <c r="L207" s="115"/>
      <c r="M207" s="115"/>
      <c r="N207" s="115"/>
      <c r="O207" s="115"/>
      <c r="P207" s="26"/>
      <c r="Q207" s="13"/>
      <c r="R207" s="115"/>
      <c r="S207" s="115"/>
      <c r="T207" s="115"/>
      <c r="U207" s="115"/>
      <c r="V207" s="115"/>
      <c r="W207" s="115"/>
      <c r="X207" s="115"/>
      <c r="Y207" s="115"/>
      <c r="Z207" s="115"/>
      <c r="AA207" s="25"/>
      <c r="AB207" s="13"/>
      <c r="AG207" s="116"/>
      <c r="AH207" s="123"/>
      <c r="AI207" s="123"/>
      <c r="AJ207" s="123"/>
      <c r="AO207" s="115"/>
      <c r="AP207" s="115"/>
      <c r="AQ207" s="115"/>
      <c r="AR207" s="115"/>
      <c r="AS207" s="115"/>
      <c r="AT207" s="115"/>
      <c r="AU207" s="115"/>
      <c r="AV207" s="115"/>
      <c r="AW207" s="115"/>
      <c r="AX207" s="115"/>
      <c r="AY207" s="25"/>
      <c r="AZ207" s="13"/>
      <c r="BC207" s="114"/>
    </row>
    <row r="208" spans="1:55" ht="19.5" x14ac:dyDescent="0.4">
      <c r="A208" s="117"/>
      <c r="B208" s="123"/>
      <c r="C208" s="123"/>
      <c r="D208" s="123"/>
      <c r="K208" s="115"/>
      <c r="L208" s="115"/>
      <c r="M208" s="115"/>
      <c r="N208" s="115"/>
      <c r="O208" s="115"/>
      <c r="P208" s="17"/>
      <c r="Q208" s="13"/>
      <c r="R208" s="115"/>
      <c r="S208" s="115"/>
      <c r="T208" s="115"/>
      <c r="U208" s="115"/>
      <c r="V208" s="115"/>
      <c r="W208" s="115"/>
      <c r="X208" s="115"/>
      <c r="Y208" s="115"/>
      <c r="Z208" s="115"/>
      <c r="AA208" s="25"/>
      <c r="AB208" s="13"/>
      <c r="AG208" s="116"/>
      <c r="AH208" s="123"/>
      <c r="AI208" s="123"/>
      <c r="AJ208" s="123"/>
      <c r="AO208" s="115"/>
      <c r="AP208" s="115"/>
      <c r="AQ208" s="115"/>
      <c r="AR208" s="115"/>
      <c r="AS208" s="115"/>
      <c r="AT208" s="115"/>
      <c r="AU208" s="115"/>
      <c r="AV208" s="115"/>
      <c r="AW208" s="115"/>
      <c r="AX208" s="115"/>
      <c r="AY208" s="25"/>
      <c r="AZ208" s="13"/>
      <c r="BC208" s="114"/>
    </row>
    <row r="209" spans="1:55" ht="19.5" x14ac:dyDescent="0.4">
      <c r="A209" s="117"/>
      <c r="B209" s="123"/>
      <c r="C209" s="123"/>
      <c r="D209" s="123"/>
      <c r="G209" s="115"/>
      <c r="H209" s="115"/>
      <c r="I209" s="115"/>
      <c r="J209" s="115"/>
      <c r="K209" s="115"/>
      <c r="L209" s="115"/>
      <c r="M209" s="115"/>
      <c r="N209" s="115"/>
      <c r="O209" s="115"/>
      <c r="P209" s="26"/>
      <c r="Q209" s="134"/>
      <c r="R209" s="115"/>
      <c r="S209" s="115"/>
      <c r="T209" s="115"/>
      <c r="U209" s="115"/>
      <c r="V209" s="115"/>
      <c r="W209" s="115"/>
      <c r="X209" s="115"/>
      <c r="Y209" s="115"/>
      <c r="Z209" s="115"/>
      <c r="AA209" s="25"/>
      <c r="AB209" s="13"/>
      <c r="AG209" s="116"/>
      <c r="AH209" s="123"/>
      <c r="AI209" s="123"/>
      <c r="AJ209" s="123"/>
      <c r="AO209" s="115"/>
      <c r="AP209" s="115"/>
      <c r="AQ209" s="115"/>
      <c r="AR209" s="115"/>
      <c r="AS209" s="115"/>
      <c r="AT209" s="115"/>
      <c r="AU209" s="115"/>
      <c r="AV209" s="115"/>
      <c r="AW209" s="115"/>
      <c r="AX209" s="115"/>
      <c r="AY209" s="25"/>
      <c r="AZ209" s="13"/>
      <c r="BC209" s="114"/>
    </row>
    <row r="210" spans="1:55" ht="19.5" x14ac:dyDescent="0.4">
      <c r="A210" s="117"/>
      <c r="B210" s="123"/>
      <c r="C210" s="123"/>
      <c r="D210" s="123"/>
      <c r="G210" s="115"/>
      <c r="H210" s="115"/>
      <c r="I210" s="115"/>
      <c r="J210" s="115"/>
      <c r="K210" s="115"/>
      <c r="L210" s="115"/>
      <c r="M210" s="115"/>
      <c r="N210" s="115"/>
      <c r="O210" s="115"/>
      <c r="P210" s="26"/>
      <c r="Q210" s="13"/>
      <c r="R210" s="115"/>
      <c r="S210" s="115"/>
      <c r="T210" s="115"/>
      <c r="U210" s="115"/>
      <c r="V210" s="115"/>
      <c r="W210" s="115"/>
      <c r="X210" s="115"/>
      <c r="Y210" s="115"/>
      <c r="Z210" s="115"/>
      <c r="AA210" s="25"/>
      <c r="AB210" s="13"/>
      <c r="AG210" s="116"/>
      <c r="AH210" s="123"/>
      <c r="AI210" s="123"/>
      <c r="AJ210" s="123"/>
      <c r="AO210" s="115"/>
      <c r="AP210" s="115"/>
      <c r="AQ210" s="115"/>
      <c r="AR210" s="115"/>
      <c r="AS210" s="115"/>
      <c r="AT210" s="115"/>
      <c r="AU210" s="115"/>
      <c r="AV210" s="115"/>
      <c r="AW210" s="115"/>
      <c r="AX210" s="115"/>
      <c r="AY210" s="25"/>
      <c r="AZ210" s="13"/>
      <c r="BC210" s="114"/>
    </row>
    <row r="211" spans="1:55" ht="19.5" x14ac:dyDescent="0.4">
      <c r="A211" s="117"/>
      <c r="B211" s="123"/>
      <c r="C211" s="123"/>
      <c r="D211" s="123"/>
      <c r="G211" s="115"/>
      <c r="H211" s="115"/>
      <c r="I211" s="115"/>
      <c r="J211" s="115"/>
      <c r="K211" s="115"/>
      <c r="L211" s="115"/>
      <c r="M211" s="115"/>
      <c r="N211" s="115"/>
      <c r="O211" s="115"/>
      <c r="P211" s="26"/>
      <c r="Q211" s="13"/>
      <c r="R211" s="115"/>
      <c r="S211" s="115"/>
      <c r="T211" s="115"/>
      <c r="U211" s="115"/>
      <c r="V211" s="115"/>
      <c r="W211" s="115"/>
      <c r="X211" s="115"/>
      <c r="Y211" s="115"/>
      <c r="Z211" s="115"/>
      <c r="AA211" s="25"/>
      <c r="AB211" s="13"/>
      <c r="AG211" s="116"/>
      <c r="AH211" s="123"/>
      <c r="AI211" s="123"/>
      <c r="AJ211" s="123"/>
      <c r="AO211" s="115"/>
      <c r="AP211" s="115"/>
      <c r="AQ211" s="115"/>
      <c r="AR211" s="115"/>
      <c r="AS211" s="115"/>
      <c r="AT211" s="115"/>
      <c r="AU211" s="115"/>
      <c r="AV211" s="115"/>
      <c r="AW211" s="115"/>
      <c r="AX211" s="115"/>
      <c r="AY211" s="25"/>
      <c r="AZ211" s="13"/>
      <c r="BC211" s="114"/>
    </row>
    <row r="212" spans="1:55" ht="19.5" x14ac:dyDescent="0.4">
      <c r="A212" s="117"/>
      <c r="B212" s="123"/>
      <c r="C212" s="123"/>
      <c r="D212" s="123"/>
      <c r="P212" s="26"/>
      <c r="Q212" s="13"/>
      <c r="R212" s="115"/>
      <c r="S212" s="115"/>
      <c r="T212" s="115"/>
      <c r="U212" s="115"/>
      <c r="V212" s="115"/>
      <c r="W212" s="115"/>
      <c r="X212" s="115"/>
      <c r="Y212" s="115"/>
      <c r="Z212" s="115"/>
      <c r="AA212" s="25">
        <v>45678</v>
      </c>
      <c r="AB212" s="13" t="s">
        <v>148</v>
      </c>
      <c r="AG212" s="116"/>
      <c r="AH212" s="123"/>
      <c r="AI212" s="123"/>
      <c r="AJ212" s="123"/>
      <c r="AO212" s="115"/>
      <c r="AP212" s="115"/>
      <c r="AQ212" s="115"/>
      <c r="AR212" s="115"/>
      <c r="AS212" s="115"/>
      <c r="AT212" s="115"/>
      <c r="AU212" s="115"/>
      <c r="AV212" s="115"/>
      <c r="AW212" s="115"/>
      <c r="AX212" s="115"/>
      <c r="AY212" s="25"/>
      <c r="AZ212" s="13"/>
      <c r="BC212" s="114"/>
    </row>
    <row r="213" spans="1:55" ht="19.5" x14ac:dyDescent="0.4">
      <c r="A213" s="117"/>
      <c r="B213" s="123"/>
      <c r="C213" s="123"/>
      <c r="D213" s="123"/>
      <c r="P213" s="26"/>
      <c r="Q213" s="13"/>
      <c r="R213" s="115"/>
      <c r="S213" s="115"/>
      <c r="T213" s="115"/>
      <c r="U213" s="115"/>
      <c r="V213" s="115"/>
      <c r="W213" s="115"/>
      <c r="X213" s="115"/>
      <c r="Y213" s="115"/>
      <c r="Z213" s="115"/>
      <c r="AA213" s="25">
        <v>45678</v>
      </c>
      <c r="AB213" s="13" t="s">
        <v>148</v>
      </c>
      <c r="AG213" s="116"/>
      <c r="AH213" s="123"/>
      <c r="AI213" s="123"/>
      <c r="AJ213" s="123"/>
      <c r="AO213" s="115"/>
      <c r="AP213" s="115"/>
      <c r="AQ213" s="115"/>
      <c r="AR213" s="115"/>
      <c r="AS213" s="115"/>
      <c r="AT213" s="115"/>
      <c r="AU213" s="115"/>
      <c r="AV213" s="115"/>
      <c r="AW213" s="115"/>
      <c r="AX213" s="115"/>
      <c r="AY213" s="25"/>
      <c r="AZ213" s="13"/>
      <c r="BC213" s="114"/>
    </row>
    <row r="214" spans="1:55" ht="19.5" x14ac:dyDescent="0.4">
      <c r="A214" s="117"/>
      <c r="B214" s="123"/>
      <c r="C214" s="123"/>
      <c r="D214" s="123"/>
      <c r="L214" s="115"/>
      <c r="M214" s="115"/>
      <c r="N214" s="115"/>
      <c r="O214" s="115"/>
      <c r="P214" s="26"/>
      <c r="Q214" s="13"/>
      <c r="R214" s="115"/>
      <c r="S214" s="115"/>
      <c r="T214" s="115"/>
      <c r="U214" s="115"/>
      <c r="V214" s="115"/>
      <c r="W214" s="115"/>
      <c r="X214" s="115"/>
      <c r="Y214" s="115"/>
      <c r="Z214" s="115"/>
      <c r="AA214" s="25"/>
      <c r="AB214" s="13"/>
      <c r="AG214" s="116"/>
      <c r="AH214" s="123"/>
      <c r="AI214" s="123"/>
      <c r="AJ214" s="123"/>
      <c r="AO214" s="115"/>
      <c r="AP214" s="115"/>
      <c r="AQ214" s="115"/>
      <c r="AR214" s="115"/>
      <c r="AS214" s="115"/>
      <c r="AT214" s="115"/>
      <c r="AU214" s="115"/>
      <c r="AV214" s="115"/>
      <c r="AW214" s="115"/>
      <c r="AX214" s="115"/>
      <c r="AY214" s="25"/>
      <c r="AZ214" s="13"/>
      <c r="BC214" s="114"/>
    </row>
    <row r="215" spans="1:55" ht="19.5" x14ac:dyDescent="0.4">
      <c r="A215" s="117"/>
      <c r="B215" s="123"/>
      <c r="C215" s="123"/>
      <c r="D215" s="123"/>
      <c r="L215" s="115"/>
      <c r="M215" s="115"/>
      <c r="N215" s="115"/>
      <c r="O215" s="115"/>
      <c r="P215" s="26"/>
      <c r="Q215" s="13"/>
      <c r="R215" s="115"/>
      <c r="S215" s="115"/>
      <c r="T215" s="115"/>
      <c r="U215" s="115"/>
      <c r="V215" s="115"/>
      <c r="W215" s="115"/>
      <c r="X215" s="115"/>
      <c r="Y215" s="115"/>
      <c r="Z215" s="115"/>
      <c r="AA215" s="25"/>
      <c r="AB215" s="13"/>
      <c r="AG215" s="116"/>
      <c r="AH215" s="123"/>
      <c r="AI215" s="123"/>
      <c r="AJ215" s="123"/>
      <c r="AO215" s="115"/>
      <c r="AP215" s="115"/>
      <c r="AQ215" s="115"/>
      <c r="AR215" s="115"/>
      <c r="AS215" s="115"/>
      <c r="AT215" s="115"/>
      <c r="AU215" s="115"/>
      <c r="AV215" s="115"/>
      <c r="AW215" s="115"/>
      <c r="AX215" s="115"/>
      <c r="AY215" s="25"/>
      <c r="AZ215" s="13"/>
      <c r="BC215" s="114"/>
    </row>
    <row r="216" spans="1:55" ht="19.5" x14ac:dyDescent="0.4">
      <c r="A216" s="117"/>
      <c r="B216" s="123"/>
      <c r="C216" s="123"/>
      <c r="D216" s="123"/>
      <c r="J216" s="115"/>
      <c r="K216" s="115"/>
      <c r="L216" s="115"/>
      <c r="M216" s="115"/>
      <c r="N216" s="115"/>
      <c r="O216" s="115"/>
      <c r="P216" s="26"/>
      <c r="Q216" s="13"/>
      <c r="R216" s="115"/>
      <c r="S216" s="115"/>
      <c r="T216" s="115"/>
      <c r="U216" s="115"/>
      <c r="V216" s="115"/>
      <c r="W216" s="115"/>
      <c r="X216" s="115"/>
      <c r="Y216" s="115"/>
      <c r="Z216" s="115"/>
      <c r="AA216" s="25"/>
      <c r="AB216" s="13"/>
      <c r="AG216" s="116"/>
      <c r="AH216" s="123"/>
      <c r="AI216" s="123"/>
      <c r="AJ216" s="123"/>
      <c r="AO216" s="115"/>
      <c r="AP216" s="115"/>
      <c r="AQ216" s="115"/>
      <c r="AR216" s="115"/>
      <c r="AS216" s="115"/>
      <c r="AT216" s="115"/>
      <c r="AU216" s="115"/>
      <c r="AV216" s="115"/>
      <c r="AW216" s="115"/>
      <c r="AX216" s="115"/>
      <c r="AY216" s="25"/>
      <c r="AZ216" s="13"/>
      <c r="BC216" s="114"/>
    </row>
    <row r="217" spans="1:55" ht="19.5" x14ac:dyDescent="0.4">
      <c r="A217" s="117"/>
      <c r="B217" s="123"/>
      <c r="C217" s="123"/>
      <c r="D217" s="123"/>
      <c r="J217" s="115"/>
      <c r="K217" s="115"/>
      <c r="L217" s="115"/>
      <c r="M217" s="115"/>
      <c r="N217" s="115"/>
      <c r="O217" s="115"/>
      <c r="P217" s="26"/>
      <c r="Q217" s="13"/>
      <c r="R217" s="115"/>
      <c r="S217" s="115"/>
      <c r="T217" s="115"/>
      <c r="U217" s="115"/>
      <c r="V217" s="115"/>
      <c r="W217" s="115"/>
      <c r="X217" s="115"/>
      <c r="Y217" s="115"/>
      <c r="Z217" s="115"/>
      <c r="AA217" s="25"/>
      <c r="AB217" s="13"/>
      <c r="AG217" s="116"/>
      <c r="AH217" s="123"/>
      <c r="AI217" s="123"/>
      <c r="AJ217" s="123"/>
      <c r="AO217" s="115"/>
      <c r="AP217" s="115"/>
      <c r="AQ217" s="115"/>
      <c r="AR217" s="115"/>
      <c r="AS217" s="115"/>
      <c r="AT217" s="115"/>
      <c r="AU217" s="115"/>
      <c r="AV217" s="115"/>
      <c r="AW217" s="115"/>
      <c r="AX217" s="115"/>
      <c r="AY217" s="25"/>
      <c r="AZ217" s="13"/>
      <c r="BC217" s="114"/>
    </row>
    <row r="218" spans="1:55" ht="19.5" x14ac:dyDescent="0.4">
      <c r="A218" s="117"/>
      <c r="B218" s="123"/>
      <c r="C218" s="123"/>
      <c r="D218" s="123"/>
      <c r="P218" s="26"/>
      <c r="Q218" s="13"/>
      <c r="R218" s="115"/>
      <c r="S218" s="115"/>
      <c r="T218" s="115"/>
      <c r="U218" s="115"/>
      <c r="V218" s="115"/>
      <c r="W218" s="115"/>
      <c r="X218" s="115"/>
      <c r="Y218" s="115"/>
      <c r="Z218" s="115"/>
      <c r="AA218" s="25">
        <v>45679</v>
      </c>
      <c r="AB218" s="15" t="s">
        <v>146</v>
      </c>
      <c r="AG218" s="116"/>
      <c r="AH218" s="123"/>
      <c r="AI218" s="123"/>
      <c r="AJ218" s="123"/>
      <c r="AO218" s="115"/>
      <c r="AP218" s="115"/>
      <c r="AQ218" s="115"/>
      <c r="AR218" s="115"/>
      <c r="AS218" s="115"/>
      <c r="AT218" s="115"/>
      <c r="AU218" s="115"/>
      <c r="AV218" s="115"/>
      <c r="AW218" s="115"/>
      <c r="AX218" s="115"/>
      <c r="AY218" s="25"/>
      <c r="AZ218" s="13"/>
      <c r="BC218" s="114"/>
    </row>
    <row r="219" spans="1:55" ht="19.5" x14ac:dyDescent="0.4">
      <c r="A219" s="117"/>
      <c r="B219" s="123"/>
      <c r="C219" s="123"/>
      <c r="D219" s="123"/>
      <c r="M219" s="115"/>
      <c r="N219" s="115"/>
      <c r="O219" s="115"/>
      <c r="P219" s="26"/>
      <c r="Q219" s="13"/>
      <c r="R219" s="115"/>
      <c r="S219" s="115"/>
      <c r="T219" s="115"/>
      <c r="U219" s="115"/>
      <c r="V219" s="115"/>
      <c r="W219" s="115"/>
      <c r="X219" s="115"/>
      <c r="Y219" s="115"/>
      <c r="Z219" s="115"/>
      <c r="AA219" s="25"/>
      <c r="AB219" s="15"/>
      <c r="AG219" s="116"/>
      <c r="AH219" s="123"/>
      <c r="AI219" s="123"/>
      <c r="AJ219" s="123"/>
      <c r="AO219" s="115"/>
      <c r="AP219" s="115"/>
      <c r="AQ219" s="115"/>
      <c r="AR219" s="115"/>
      <c r="AS219" s="115"/>
      <c r="AT219" s="115"/>
      <c r="AU219" s="115"/>
      <c r="AV219" s="115"/>
      <c r="AW219" s="115"/>
      <c r="AX219" s="115"/>
      <c r="AY219" s="25"/>
      <c r="AZ219" s="13"/>
      <c r="BC219" s="114"/>
    </row>
    <row r="220" spans="1:55" ht="19.5" x14ac:dyDescent="0.4">
      <c r="A220" s="117"/>
      <c r="B220" s="123"/>
      <c r="C220" s="123"/>
      <c r="D220" s="123"/>
      <c r="M220" s="115"/>
      <c r="N220" s="115"/>
      <c r="O220" s="115"/>
      <c r="P220" s="17"/>
      <c r="Q220" s="13"/>
      <c r="R220" s="115"/>
      <c r="S220" s="115"/>
      <c r="T220" s="115"/>
      <c r="U220" s="115"/>
      <c r="V220" s="115"/>
      <c r="W220" s="115"/>
      <c r="X220" s="115"/>
      <c r="Y220" s="115"/>
      <c r="Z220" s="115"/>
      <c r="AA220" s="25"/>
      <c r="AB220" s="15"/>
      <c r="AG220" s="116"/>
      <c r="AH220" s="123"/>
      <c r="AI220" s="123"/>
      <c r="AJ220" s="123"/>
      <c r="AO220" s="115"/>
      <c r="AP220" s="115"/>
      <c r="AQ220" s="115"/>
      <c r="AR220" s="115"/>
      <c r="AS220" s="115"/>
      <c r="AT220" s="115"/>
      <c r="AU220" s="115"/>
      <c r="AV220" s="115"/>
      <c r="AW220" s="115"/>
      <c r="AX220" s="115"/>
      <c r="AY220" s="25"/>
      <c r="AZ220" s="13"/>
      <c r="BC220" s="114"/>
    </row>
    <row r="221" spans="1:55" ht="19.5" x14ac:dyDescent="0.4">
      <c r="A221" s="117"/>
      <c r="B221" s="123"/>
      <c r="C221" s="123"/>
      <c r="D221" s="123"/>
      <c r="P221" s="26"/>
      <c r="Q221" s="13"/>
      <c r="R221" s="115"/>
      <c r="S221" s="115"/>
      <c r="T221" s="115"/>
      <c r="U221" s="115"/>
      <c r="V221" s="115"/>
      <c r="W221" s="115"/>
      <c r="X221" s="115"/>
      <c r="Y221" s="115"/>
      <c r="Z221" s="115"/>
      <c r="AA221" s="25"/>
      <c r="AB221" s="15"/>
      <c r="AG221" s="116"/>
      <c r="AH221" s="123"/>
      <c r="AI221" s="123"/>
      <c r="AJ221" s="123"/>
      <c r="AO221" s="115"/>
      <c r="AP221" s="115"/>
      <c r="AQ221" s="115"/>
      <c r="AR221" s="115"/>
      <c r="AS221" s="115"/>
      <c r="AT221" s="115"/>
      <c r="AU221" s="115"/>
      <c r="AV221" s="115"/>
      <c r="AW221" s="115"/>
      <c r="AX221" s="115"/>
      <c r="AY221" s="25"/>
      <c r="AZ221" s="13"/>
      <c r="BC221" s="114"/>
    </row>
    <row r="222" spans="1:55" ht="19.5" x14ac:dyDescent="0.4">
      <c r="A222" s="117"/>
      <c r="B222" s="123"/>
      <c r="C222" s="123"/>
      <c r="D222" s="123"/>
      <c r="M222" s="115"/>
      <c r="N222" s="115"/>
      <c r="O222" s="115"/>
      <c r="P222" s="26"/>
      <c r="Q222" s="13"/>
      <c r="R222" s="115"/>
      <c r="S222" s="115"/>
      <c r="T222" s="115"/>
      <c r="U222" s="115"/>
      <c r="V222" s="115"/>
      <c r="W222" s="115"/>
      <c r="X222" s="115"/>
      <c r="Y222" s="115"/>
      <c r="Z222" s="115"/>
      <c r="AA222" s="25"/>
      <c r="AB222" s="15"/>
      <c r="AG222" s="116"/>
      <c r="AH222" s="123"/>
      <c r="AI222" s="123"/>
      <c r="AJ222" s="123"/>
      <c r="AO222" s="115"/>
      <c r="AP222" s="115"/>
      <c r="AQ222" s="115"/>
      <c r="AR222" s="115"/>
      <c r="AS222" s="115"/>
      <c r="AT222" s="115"/>
      <c r="AU222" s="115"/>
      <c r="AV222" s="115"/>
      <c r="AW222" s="115"/>
      <c r="AX222" s="115"/>
      <c r="AY222" s="25"/>
      <c r="AZ222" s="13"/>
      <c r="BC222" s="114"/>
    </row>
    <row r="223" spans="1:55" ht="19.5" x14ac:dyDescent="0.4">
      <c r="A223" s="117"/>
      <c r="B223" s="123"/>
      <c r="C223" s="123"/>
      <c r="D223" s="123"/>
      <c r="M223" s="115"/>
      <c r="N223" s="115"/>
      <c r="O223" s="115"/>
      <c r="P223" s="17"/>
      <c r="Q223" s="13"/>
      <c r="R223" s="115"/>
      <c r="S223" s="115"/>
      <c r="T223" s="115"/>
      <c r="U223" s="115"/>
      <c r="V223" s="115"/>
      <c r="W223" s="115"/>
      <c r="X223" s="115"/>
      <c r="Y223" s="115"/>
      <c r="Z223" s="115"/>
      <c r="AA223" s="25"/>
      <c r="AB223" s="15"/>
      <c r="AG223" s="116"/>
      <c r="AH223" s="123"/>
      <c r="AI223" s="123"/>
      <c r="AJ223" s="123"/>
      <c r="AO223" s="115"/>
      <c r="AP223" s="115"/>
      <c r="AQ223" s="115"/>
      <c r="AR223" s="115"/>
      <c r="AS223" s="115"/>
      <c r="AT223" s="115"/>
      <c r="AU223" s="115"/>
      <c r="AV223" s="115"/>
      <c r="AW223" s="115"/>
      <c r="AX223" s="115"/>
      <c r="AY223" s="25"/>
      <c r="AZ223" s="13"/>
      <c r="BC223" s="114"/>
    </row>
    <row r="224" spans="1:55" ht="19.5" x14ac:dyDescent="0.4">
      <c r="A224" s="117"/>
      <c r="B224" s="123"/>
      <c r="C224" s="123"/>
      <c r="D224" s="123"/>
      <c r="L224" s="115"/>
      <c r="M224" s="115"/>
      <c r="N224" s="115"/>
      <c r="O224" s="115"/>
      <c r="P224" s="26"/>
      <c r="Q224" s="13"/>
      <c r="R224" s="115"/>
      <c r="S224" s="115"/>
      <c r="T224" s="115"/>
      <c r="U224" s="115"/>
      <c r="V224" s="115"/>
      <c r="W224" s="115"/>
      <c r="X224" s="115"/>
      <c r="Y224" s="115"/>
      <c r="Z224" s="115"/>
      <c r="AA224" s="25"/>
      <c r="AB224" s="15"/>
      <c r="AG224" s="116"/>
      <c r="AH224" s="123"/>
      <c r="AI224" s="123"/>
      <c r="AJ224" s="123"/>
      <c r="AO224" s="115"/>
      <c r="AP224" s="115"/>
      <c r="AQ224" s="115"/>
      <c r="AR224" s="115"/>
      <c r="AS224" s="115"/>
      <c r="AT224" s="115"/>
      <c r="AU224" s="115"/>
      <c r="AV224" s="115"/>
      <c r="AW224" s="115"/>
      <c r="AX224" s="115"/>
      <c r="AY224" s="25"/>
      <c r="AZ224" s="13"/>
      <c r="BC224" s="114"/>
    </row>
    <row r="225" spans="1:55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115"/>
      <c r="O225" s="115"/>
      <c r="P225" s="26"/>
      <c r="Q225" s="13"/>
      <c r="R225" s="115"/>
      <c r="S225" s="115"/>
      <c r="T225" s="115"/>
      <c r="U225" s="115"/>
      <c r="V225" s="115"/>
      <c r="W225" s="115"/>
      <c r="X225" s="115"/>
      <c r="Y225" s="115"/>
      <c r="Z225" s="115"/>
      <c r="AA225" s="25"/>
      <c r="AB225" s="15"/>
      <c r="AG225" s="116"/>
      <c r="AH225" s="123"/>
      <c r="AI225" s="123"/>
      <c r="AJ225" s="123"/>
      <c r="AO225" s="115"/>
      <c r="AP225" s="115"/>
      <c r="AQ225" s="115"/>
      <c r="AR225" s="115"/>
      <c r="AS225" s="115"/>
      <c r="AT225" s="115"/>
      <c r="AU225" s="115"/>
      <c r="AV225" s="115"/>
      <c r="AW225" s="115"/>
      <c r="AX225" s="115"/>
      <c r="AY225" s="25"/>
      <c r="AZ225" s="13"/>
      <c r="BC225" s="114"/>
    </row>
    <row r="226" spans="1:55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115"/>
      <c r="O226" s="115"/>
      <c r="P226" s="26"/>
      <c r="Q226" s="13"/>
      <c r="R226" s="115"/>
      <c r="S226" s="115"/>
      <c r="T226" s="115"/>
      <c r="U226" s="115"/>
      <c r="V226" s="115"/>
      <c r="W226" s="115"/>
      <c r="X226" s="115"/>
      <c r="Y226" s="115"/>
      <c r="Z226" s="115"/>
      <c r="AA226" s="25"/>
      <c r="AB226" s="15"/>
      <c r="AG226" s="116"/>
      <c r="AH226" s="123"/>
      <c r="AI226" s="123"/>
      <c r="AJ226" s="123"/>
      <c r="AO226" s="115"/>
      <c r="AP226" s="115"/>
      <c r="AQ226" s="115"/>
      <c r="AR226" s="115"/>
      <c r="AS226" s="115"/>
      <c r="AT226" s="115"/>
      <c r="AU226" s="115"/>
      <c r="AV226" s="115"/>
      <c r="AW226" s="115"/>
      <c r="AX226" s="115"/>
      <c r="AY226" s="25"/>
      <c r="AZ226" s="13"/>
      <c r="BC226" s="114"/>
    </row>
    <row r="227" spans="1:55" ht="19.5" x14ac:dyDescent="0.4">
      <c r="A227" s="117"/>
      <c r="B227" s="123"/>
      <c r="C227" s="123"/>
      <c r="D227" s="123"/>
      <c r="P227" s="26"/>
      <c r="Q227" s="13"/>
      <c r="R227" s="115"/>
      <c r="S227" s="115"/>
      <c r="T227" s="115"/>
      <c r="U227" s="115"/>
      <c r="V227" s="115"/>
      <c r="W227" s="115"/>
      <c r="X227" s="115"/>
      <c r="Y227" s="115"/>
      <c r="Z227" s="115"/>
      <c r="AA227" s="25">
        <v>45679</v>
      </c>
      <c r="AB227" s="15" t="s">
        <v>148</v>
      </c>
      <c r="AG227" s="116"/>
      <c r="AH227" s="123"/>
      <c r="AI227" s="123"/>
      <c r="AJ227" s="123"/>
      <c r="AO227" s="115"/>
      <c r="AP227" s="115"/>
      <c r="AQ227" s="115"/>
      <c r="AR227" s="115"/>
      <c r="AS227" s="115"/>
      <c r="AT227" s="115"/>
      <c r="AU227" s="115"/>
      <c r="AV227" s="115"/>
      <c r="AW227" s="115"/>
      <c r="AX227" s="115"/>
      <c r="AY227" s="25"/>
      <c r="AZ227" s="13"/>
      <c r="BC227" s="114"/>
    </row>
    <row r="228" spans="1:55" ht="19.5" x14ac:dyDescent="0.4">
      <c r="A228" s="117"/>
      <c r="B228" s="123"/>
      <c r="C228" s="123"/>
      <c r="D228" s="123"/>
      <c r="M228" s="115"/>
      <c r="N228" s="115"/>
      <c r="O228" s="115"/>
      <c r="P228" s="26"/>
      <c r="Q228" s="13"/>
      <c r="R228" s="115"/>
      <c r="S228" s="115"/>
      <c r="T228" s="115"/>
      <c r="U228" s="115"/>
      <c r="V228" s="115"/>
      <c r="W228" s="115"/>
      <c r="X228" s="115"/>
      <c r="Y228" s="115"/>
      <c r="Z228" s="115"/>
      <c r="AA228" s="25"/>
      <c r="AB228" s="13"/>
      <c r="AG228" s="116"/>
      <c r="AH228" s="123"/>
      <c r="AI228" s="123"/>
      <c r="AJ228" s="123"/>
      <c r="AO228" s="115"/>
      <c r="AP228" s="115"/>
      <c r="AQ228" s="115"/>
      <c r="AR228" s="115"/>
      <c r="AS228" s="115"/>
      <c r="AT228" s="115"/>
      <c r="AU228" s="115"/>
      <c r="AV228" s="115"/>
      <c r="AW228" s="115"/>
      <c r="AX228" s="115"/>
      <c r="AY228" s="25"/>
      <c r="AZ228" s="13"/>
      <c r="BC228" s="114"/>
    </row>
    <row r="229" spans="1:55" ht="19.5" x14ac:dyDescent="0.4">
      <c r="A229" s="117"/>
      <c r="B229" s="123"/>
      <c r="C229" s="123"/>
      <c r="D229" s="123"/>
      <c r="L229" s="115"/>
      <c r="M229" s="115"/>
      <c r="N229" s="115"/>
      <c r="O229" s="115"/>
      <c r="P229" s="26"/>
      <c r="Q229" s="13"/>
      <c r="R229" s="115"/>
      <c r="S229" s="115"/>
      <c r="T229" s="115"/>
      <c r="U229" s="115"/>
      <c r="V229" s="115"/>
      <c r="W229" s="115"/>
      <c r="X229" s="115"/>
      <c r="Y229" s="115"/>
      <c r="Z229" s="115"/>
      <c r="AA229" s="25"/>
      <c r="AB229" s="13"/>
      <c r="AG229" s="116"/>
      <c r="AH229" s="123"/>
      <c r="AI229" s="123"/>
      <c r="AJ229" s="123"/>
      <c r="AO229" s="115"/>
      <c r="AP229" s="115"/>
      <c r="AQ229" s="115"/>
      <c r="AR229" s="115"/>
      <c r="AS229" s="115"/>
      <c r="AT229" s="115"/>
      <c r="AU229" s="115"/>
      <c r="AV229" s="115"/>
      <c r="AW229" s="115"/>
      <c r="AX229" s="115"/>
      <c r="AY229" s="25"/>
      <c r="AZ229" s="13"/>
      <c r="BC229" s="114"/>
    </row>
    <row r="230" spans="1:55" ht="19.5" x14ac:dyDescent="0.4">
      <c r="A230" s="117"/>
      <c r="B230" s="123"/>
      <c r="C230" s="123"/>
      <c r="D230" s="123"/>
      <c r="L230" s="115"/>
      <c r="M230" s="115"/>
      <c r="N230" s="115"/>
      <c r="O230" s="115"/>
      <c r="P230" s="26"/>
      <c r="Q230" s="13"/>
      <c r="R230" s="115"/>
      <c r="S230" s="115"/>
      <c r="T230" s="115"/>
      <c r="U230" s="115"/>
      <c r="V230" s="115"/>
      <c r="W230" s="115"/>
      <c r="X230" s="115"/>
      <c r="Y230" s="115"/>
      <c r="Z230" s="115"/>
      <c r="AA230" s="25"/>
      <c r="AB230" s="13"/>
      <c r="AG230" s="116"/>
      <c r="AH230" s="123"/>
      <c r="AI230" s="123"/>
      <c r="AJ230" s="123"/>
      <c r="AO230" s="115"/>
      <c r="AP230" s="115"/>
      <c r="AQ230" s="115"/>
      <c r="AR230" s="115"/>
      <c r="AS230" s="115"/>
      <c r="AT230" s="115"/>
      <c r="AU230" s="115"/>
      <c r="AV230" s="115"/>
      <c r="AW230" s="115"/>
      <c r="AX230" s="115"/>
      <c r="AY230" s="25"/>
      <c r="AZ230" s="13"/>
      <c r="BC230" s="114"/>
    </row>
    <row r="231" spans="1:55" ht="19.5" x14ac:dyDescent="0.4">
      <c r="A231" s="117"/>
      <c r="B231" s="123"/>
      <c r="C231" s="123"/>
      <c r="D231" s="123"/>
      <c r="L231" s="115"/>
      <c r="M231" s="115"/>
      <c r="N231" s="115"/>
      <c r="O231" s="115"/>
      <c r="P231" s="17"/>
      <c r="Q231" s="13"/>
      <c r="R231" s="115"/>
      <c r="S231" s="115"/>
      <c r="T231" s="115"/>
      <c r="U231" s="115"/>
      <c r="V231" s="115"/>
      <c r="W231" s="115"/>
      <c r="X231" s="115"/>
      <c r="Y231" s="115"/>
      <c r="Z231" s="115"/>
      <c r="AA231" s="25"/>
      <c r="AB231" s="13"/>
      <c r="AG231" s="116"/>
      <c r="AH231" s="123"/>
      <c r="AI231" s="123"/>
      <c r="AJ231" s="123"/>
      <c r="AO231" s="115"/>
      <c r="AP231" s="115"/>
      <c r="AQ231" s="115"/>
      <c r="AR231" s="115"/>
      <c r="AS231" s="115"/>
      <c r="AT231" s="115"/>
      <c r="AU231" s="115"/>
      <c r="AV231" s="115"/>
      <c r="AW231" s="115"/>
      <c r="AX231" s="115"/>
      <c r="AY231" s="25"/>
      <c r="AZ231" s="13"/>
      <c r="BC231" s="114"/>
    </row>
    <row r="232" spans="1:55" ht="19.5" x14ac:dyDescent="0.4">
      <c r="A232" s="117"/>
      <c r="B232" s="123"/>
      <c r="C232" s="123"/>
      <c r="D232" s="123"/>
      <c r="K232" s="115"/>
      <c r="L232" s="115"/>
      <c r="M232" s="115"/>
      <c r="N232" s="115"/>
      <c r="O232" s="115"/>
      <c r="P232" s="26"/>
      <c r="Q232" s="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25"/>
      <c r="AB232" s="13"/>
      <c r="AG232" s="116"/>
      <c r="AH232" s="123"/>
      <c r="AI232" s="123"/>
      <c r="AJ232" s="123"/>
      <c r="AO232" s="115"/>
      <c r="AP232" s="115"/>
      <c r="AQ232" s="115"/>
      <c r="AR232" s="115"/>
      <c r="AS232" s="115"/>
      <c r="AT232" s="115"/>
      <c r="AU232" s="115"/>
      <c r="AV232" s="115"/>
      <c r="AW232" s="115"/>
      <c r="AX232" s="115"/>
      <c r="AY232" s="25"/>
      <c r="AZ232" s="13"/>
      <c r="BC232" s="114"/>
    </row>
    <row r="233" spans="1:55" ht="19.5" x14ac:dyDescent="0.4">
      <c r="A233" s="117"/>
      <c r="B233" s="123"/>
      <c r="C233" s="123"/>
      <c r="D233" s="123"/>
      <c r="K233" s="115"/>
      <c r="L233" s="115"/>
      <c r="M233" s="115"/>
      <c r="N233" s="115"/>
      <c r="O233" s="115"/>
      <c r="P233" s="17"/>
      <c r="Q233" s="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25"/>
      <c r="AB233" s="13"/>
      <c r="AG233" s="116"/>
      <c r="AH233" s="123"/>
      <c r="AI233" s="123"/>
      <c r="AJ233" s="123"/>
      <c r="AO233" s="115"/>
      <c r="AP233" s="115"/>
      <c r="AQ233" s="115"/>
      <c r="AR233" s="115"/>
      <c r="AS233" s="115"/>
      <c r="AT233" s="115"/>
      <c r="AU233" s="115"/>
      <c r="AV233" s="115"/>
      <c r="AW233" s="115"/>
      <c r="AX233" s="115"/>
      <c r="AY233" s="25"/>
      <c r="AZ233" s="13"/>
      <c r="BC233" s="114"/>
    </row>
    <row r="234" spans="1:55" ht="19.5" x14ac:dyDescent="0.4">
      <c r="A234" s="117"/>
      <c r="B234" s="123"/>
      <c r="C234" s="123"/>
      <c r="D234" s="123"/>
      <c r="K234" s="115"/>
      <c r="L234" s="115"/>
      <c r="M234" s="115"/>
      <c r="N234" s="115"/>
      <c r="O234" s="115"/>
      <c r="P234" s="26"/>
      <c r="Q234" s="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25"/>
      <c r="AB234" s="13"/>
      <c r="AG234" s="116"/>
      <c r="AH234" s="123"/>
      <c r="AI234" s="123"/>
      <c r="AJ234" s="123"/>
      <c r="AO234" s="115"/>
      <c r="AP234" s="115"/>
      <c r="AQ234" s="115"/>
      <c r="AR234" s="115"/>
      <c r="AS234" s="115"/>
      <c r="AT234" s="115"/>
      <c r="AU234" s="115"/>
      <c r="AV234" s="115"/>
      <c r="AW234" s="115"/>
      <c r="AX234" s="115"/>
      <c r="AY234" s="25"/>
      <c r="AZ234" s="13"/>
      <c r="BC234" s="114"/>
    </row>
    <row r="235" spans="1:55" ht="19.5" x14ac:dyDescent="0.4">
      <c r="A235" s="117"/>
      <c r="B235" s="123"/>
      <c r="C235" s="123"/>
      <c r="D235" s="123"/>
      <c r="K235" s="115"/>
      <c r="L235" s="115"/>
      <c r="M235" s="115"/>
      <c r="N235" s="115"/>
      <c r="O235" s="115"/>
      <c r="P235" s="17"/>
      <c r="Q235" s="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25"/>
      <c r="AB235" s="13"/>
      <c r="AG235" s="116"/>
      <c r="AH235" s="123"/>
      <c r="AI235" s="123"/>
      <c r="AJ235" s="123"/>
      <c r="AO235" s="115"/>
      <c r="AP235" s="115"/>
      <c r="AQ235" s="115"/>
      <c r="AR235" s="115"/>
      <c r="AS235" s="115"/>
      <c r="AT235" s="115"/>
      <c r="AU235" s="115"/>
      <c r="AV235" s="115"/>
      <c r="AW235" s="115"/>
      <c r="AX235" s="115"/>
      <c r="AY235" s="25"/>
      <c r="AZ235" s="13"/>
      <c r="BC235" s="114"/>
    </row>
    <row r="236" spans="1:55" ht="19.5" x14ac:dyDescent="0.4">
      <c r="A236" s="117"/>
      <c r="B236" s="123"/>
      <c r="C236" s="123"/>
      <c r="D236" s="123"/>
      <c r="K236" s="115"/>
      <c r="L236" s="115"/>
      <c r="M236" s="115"/>
      <c r="N236" s="115"/>
      <c r="O236" s="115"/>
      <c r="P236" s="26"/>
      <c r="Q236" s="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25"/>
      <c r="AB236" s="13"/>
      <c r="AG236" s="116"/>
      <c r="AH236" s="123"/>
      <c r="AI236" s="123"/>
      <c r="AJ236" s="123"/>
      <c r="AO236" s="115"/>
      <c r="AP236" s="115"/>
      <c r="AQ236" s="115"/>
      <c r="AR236" s="115"/>
      <c r="AS236" s="115"/>
      <c r="AT236" s="115"/>
      <c r="AU236" s="115"/>
      <c r="AV236" s="115"/>
      <c r="AW236" s="115"/>
      <c r="AX236" s="115"/>
      <c r="AY236" s="25"/>
      <c r="AZ236" s="13"/>
      <c r="BC236" s="114"/>
    </row>
    <row r="237" spans="1:55" ht="19.5" x14ac:dyDescent="0.4">
      <c r="A237" s="117"/>
      <c r="B237" s="123"/>
      <c r="C237" s="123"/>
      <c r="D237" s="123"/>
      <c r="P237" s="26"/>
      <c r="Q237" s="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25">
        <v>45679</v>
      </c>
      <c r="AB237" s="13" t="s">
        <v>147</v>
      </c>
      <c r="AG237" s="116"/>
      <c r="AH237" s="123"/>
      <c r="AI237" s="123"/>
      <c r="AJ237" s="123"/>
      <c r="AO237" s="115"/>
      <c r="AP237" s="115"/>
      <c r="AQ237" s="115"/>
      <c r="AR237" s="115"/>
      <c r="AS237" s="115"/>
      <c r="AT237" s="115"/>
      <c r="AU237" s="115"/>
      <c r="AV237" s="115"/>
      <c r="AW237" s="115"/>
      <c r="AX237" s="115"/>
      <c r="AY237" s="25"/>
      <c r="AZ237" s="13"/>
      <c r="BC237" s="114"/>
    </row>
    <row r="238" spans="1:55" ht="19.5" x14ac:dyDescent="0.4">
      <c r="A238" s="117"/>
      <c r="B238" s="123"/>
      <c r="C238" s="123"/>
      <c r="D238" s="123"/>
      <c r="N238" s="115"/>
      <c r="O238" s="115"/>
      <c r="P238" s="17"/>
      <c r="Q238" s="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25"/>
      <c r="AB238" s="13"/>
      <c r="AG238" s="116"/>
      <c r="AH238" s="123"/>
      <c r="AI238" s="123"/>
      <c r="AJ238" s="123"/>
      <c r="AO238" s="115"/>
      <c r="AP238" s="115"/>
      <c r="AQ238" s="115"/>
      <c r="AR238" s="115"/>
      <c r="AS238" s="115"/>
      <c r="AT238" s="115"/>
      <c r="AU238" s="115"/>
      <c r="AV238" s="115"/>
      <c r="AW238" s="115"/>
      <c r="AX238" s="115"/>
      <c r="AY238" s="25"/>
      <c r="AZ238" s="13"/>
      <c r="BC238" s="114"/>
    </row>
    <row r="239" spans="1:55" ht="19.5" x14ac:dyDescent="0.4">
      <c r="A239" s="117"/>
      <c r="B239" s="123"/>
      <c r="C239" s="123"/>
      <c r="D239" s="123"/>
      <c r="K239" s="115"/>
      <c r="L239" s="115"/>
      <c r="M239" s="115"/>
      <c r="N239" s="115"/>
      <c r="O239" s="115"/>
      <c r="P239" s="26"/>
      <c r="Q239" s="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25"/>
      <c r="AB239" s="13"/>
      <c r="AG239" s="116"/>
      <c r="AH239" s="123"/>
      <c r="AI239" s="123"/>
      <c r="AJ239" s="123"/>
      <c r="AO239" s="115"/>
      <c r="AP239" s="115"/>
      <c r="AQ239" s="115"/>
      <c r="AR239" s="115"/>
      <c r="AS239" s="115"/>
      <c r="AT239" s="115"/>
      <c r="AU239" s="115"/>
      <c r="AV239" s="115"/>
      <c r="AW239" s="115"/>
      <c r="AX239" s="115"/>
      <c r="AY239" s="25"/>
      <c r="AZ239" s="13"/>
      <c r="BC239" s="114"/>
    </row>
    <row r="240" spans="1:55" ht="19.5" x14ac:dyDescent="0.4">
      <c r="A240" s="117"/>
      <c r="B240" s="123"/>
      <c r="C240" s="123"/>
      <c r="D240" s="123"/>
      <c r="K240" s="115"/>
      <c r="L240" s="115"/>
      <c r="M240" s="115"/>
      <c r="N240" s="115"/>
      <c r="O240" s="115"/>
      <c r="P240" s="26"/>
      <c r="Q240" s="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25"/>
      <c r="AB240" s="13"/>
      <c r="AG240" s="116"/>
      <c r="AH240" s="123"/>
      <c r="AI240" s="123"/>
      <c r="AJ240" s="123"/>
      <c r="AO240" s="115"/>
      <c r="AP240" s="115"/>
      <c r="AQ240" s="115"/>
      <c r="AR240" s="115"/>
      <c r="AS240" s="115"/>
      <c r="AT240" s="115"/>
      <c r="AU240" s="115"/>
      <c r="AV240" s="115"/>
      <c r="AW240" s="115"/>
      <c r="AX240" s="115"/>
      <c r="AY240" s="25"/>
      <c r="AZ240" s="13"/>
      <c r="BC240" s="114"/>
    </row>
    <row r="241" spans="1:55" ht="19.5" x14ac:dyDescent="0.4">
      <c r="A241" s="117"/>
      <c r="B241" s="123"/>
      <c r="C241" s="123"/>
      <c r="D241" s="123"/>
      <c r="K241" s="115"/>
      <c r="L241" s="115"/>
      <c r="M241" s="115"/>
      <c r="N241" s="115"/>
      <c r="O241" s="115"/>
      <c r="P241" s="17"/>
      <c r="Q241" s="13"/>
      <c r="R241" s="115"/>
      <c r="S241" s="115"/>
      <c r="T241" s="115"/>
      <c r="U241" s="115"/>
      <c r="V241" s="115"/>
      <c r="W241" s="115"/>
      <c r="X241" s="115"/>
      <c r="Y241" s="115"/>
      <c r="Z241" s="115"/>
      <c r="AA241" s="25"/>
      <c r="AB241" s="13"/>
      <c r="AG241" s="116"/>
      <c r="AH241" s="123"/>
      <c r="AI241" s="123"/>
      <c r="AJ241" s="123"/>
      <c r="AO241" s="115"/>
      <c r="AP241" s="115"/>
      <c r="AQ241" s="115"/>
      <c r="AR241" s="115"/>
      <c r="AS241" s="115"/>
      <c r="AT241" s="115"/>
      <c r="AU241" s="115"/>
      <c r="AV241" s="115"/>
      <c r="AW241" s="115"/>
      <c r="AX241" s="115"/>
      <c r="AY241" s="25"/>
      <c r="AZ241" s="13"/>
      <c r="BC241" s="114"/>
    </row>
    <row r="242" spans="1:55" ht="19.5" x14ac:dyDescent="0.4">
      <c r="A242" s="117"/>
      <c r="B242" s="123"/>
      <c r="C242" s="123"/>
      <c r="D242" s="123"/>
      <c r="K242" s="115"/>
      <c r="L242" s="115"/>
      <c r="M242" s="115"/>
      <c r="N242" s="115"/>
      <c r="O242" s="115"/>
      <c r="P242" s="17"/>
      <c r="Q242" s="13"/>
      <c r="R242" s="115"/>
      <c r="S242" s="115"/>
      <c r="T242" s="115"/>
      <c r="U242" s="115"/>
      <c r="V242" s="115"/>
      <c r="W242" s="115"/>
      <c r="X242" s="115"/>
      <c r="Y242" s="115"/>
      <c r="Z242" s="115"/>
      <c r="AA242" s="25"/>
      <c r="AB242" s="13"/>
      <c r="AG242" s="116"/>
      <c r="AH242" s="123"/>
      <c r="AI242" s="123"/>
      <c r="AJ242" s="123"/>
      <c r="AO242" s="115"/>
      <c r="AP242" s="115"/>
      <c r="AQ242" s="115"/>
      <c r="AR242" s="115"/>
      <c r="AS242" s="115"/>
      <c r="AT242" s="115"/>
      <c r="AU242" s="115"/>
      <c r="AV242" s="115"/>
      <c r="AW242" s="115"/>
      <c r="AX242" s="115"/>
      <c r="AY242" s="25"/>
      <c r="AZ242" s="13"/>
      <c r="BC242" s="114"/>
    </row>
    <row r="243" spans="1:55" ht="19.5" x14ac:dyDescent="0.4">
      <c r="A243" s="117"/>
      <c r="B243" s="123"/>
      <c r="C243" s="123"/>
      <c r="D243" s="123"/>
      <c r="K243" s="115"/>
      <c r="L243" s="115"/>
      <c r="M243" s="115"/>
      <c r="N243" s="115"/>
      <c r="O243" s="115"/>
      <c r="P243" s="26"/>
      <c r="Q243" s="13"/>
      <c r="R243" s="115"/>
      <c r="S243" s="115"/>
      <c r="T243" s="115"/>
      <c r="U243" s="115"/>
      <c r="V243" s="115"/>
      <c r="W243" s="115"/>
      <c r="X243" s="115"/>
      <c r="Y243" s="115"/>
      <c r="Z243" s="115"/>
      <c r="AA243" s="25"/>
      <c r="AB243" s="13"/>
      <c r="AG243" s="116"/>
      <c r="AH243" s="123"/>
      <c r="AI243" s="123"/>
      <c r="AJ243" s="123"/>
      <c r="AO243" s="115"/>
      <c r="AP243" s="115"/>
      <c r="AQ243" s="115"/>
      <c r="AR243" s="115"/>
      <c r="AS243" s="115"/>
      <c r="AT243" s="115"/>
      <c r="AU243" s="115"/>
      <c r="AV243" s="115"/>
      <c r="AW243" s="115"/>
      <c r="AX243" s="115"/>
      <c r="AY243" s="25"/>
      <c r="AZ243" s="13"/>
      <c r="BC243" s="114"/>
    </row>
    <row r="244" spans="1:55" ht="19.5" x14ac:dyDescent="0.4">
      <c r="A244" s="117"/>
      <c r="B244" s="123"/>
      <c r="C244" s="123"/>
      <c r="D244" s="123"/>
      <c r="K244" s="115"/>
      <c r="L244" s="115"/>
      <c r="M244" s="115"/>
      <c r="N244" s="115"/>
      <c r="O244" s="115"/>
      <c r="P244" s="17"/>
      <c r="Q244" s="13"/>
      <c r="R244" s="115"/>
      <c r="S244" s="115"/>
      <c r="T244" s="115"/>
      <c r="U244" s="115"/>
      <c r="V244" s="115"/>
      <c r="W244" s="115"/>
      <c r="X244" s="115"/>
      <c r="Y244" s="115"/>
      <c r="Z244" s="115"/>
      <c r="AA244" s="25"/>
      <c r="AB244" s="13"/>
      <c r="AG244" s="116"/>
      <c r="AH244" s="123"/>
      <c r="AI244" s="123"/>
      <c r="AJ244" s="123"/>
      <c r="AO244" s="115"/>
      <c r="AP244" s="115"/>
      <c r="AQ244" s="115"/>
      <c r="AR244" s="115"/>
      <c r="AS244" s="115"/>
      <c r="AT244" s="115"/>
      <c r="AU244" s="115"/>
      <c r="AV244" s="115"/>
      <c r="AW244" s="115"/>
      <c r="AX244" s="115"/>
      <c r="AY244" s="25"/>
      <c r="AZ244" s="13"/>
      <c r="BC244" s="114"/>
    </row>
    <row r="245" spans="1:55" ht="19.5" x14ac:dyDescent="0.4">
      <c r="A245" s="117"/>
      <c r="B245" s="123"/>
      <c r="C245" s="123"/>
      <c r="D245" s="123"/>
      <c r="J245" s="115"/>
      <c r="K245" s="115"/>
      <c r="L245" s="115"/>
      <c r="M245" s="115"/>
      <c r="N245" s="115"/>
      <c r="O245" s="115"/>
      <c r="P245" s="26"/>
      <c r="Q245" s="13"/>
      <c r="R245" s="115"/>
      <c r="S245" s="115"/>
      <c r="T245" s="115"/>
      <c r="U245" s="115"/>
      <c r="V245" s="115"/>
      <c r="W245" s="115"/>
      <c r="X245" s="115"/>
      <c r="Y245" s="115"/>
      <c r="Z245" s="115"/>
      <c r="AA245" s="25"/>
      <c r="AB245" s="13"/>
      <c r="AG245" s="116"/>
      <c r="AH245" s="123"/>
      <c r="AI245" s="123"/>
      <c r="AJ245" s="123"/>
      <c r="AO245" s="115"/>
      <c r="AP245" s="115"/>
      <c r="AQ245" s="115"/>
      <c r="AR245" s="115"/>
      <c r="AS245" s="115"/>
      <c r="AT245" s="115"/>
      <c r="AU245" s="115"/>
      <c r="AV245" s="115"/>
      <c r="AW245" s="115"/>
      <c r="AX245" s="115"/>
      <c r="AY245" s="25"/>
      <c r="AZ245" s="13"/>
      <c r="BC245" s="114"/>
    </row>
    <row r="246" spans="1:55" ht="19.5" x14ac:dyDescent="0.4">
      <c r="A246" s="117"/>
      <c r="B246" s="123"/>
      <c r="C246" s="123"/>
      <c r="D246" s="123"/>
      <c r="G246" s="115"/>
      <c r="H246" s="115"/>
      <c r="I246" s="115"/>
      <c r="J246" s="115"/>
      <c r="K246" s="115"/>
      <c r="L246" s="115"/>
      <c r="M246" s="115"/>
      <c r="N246" s="115"/>
      <c r="O246" s="115"/>
      <c r="P246" s="26"/>
      <c r="Q246" s="13"/>
      <c r="R246" s="115"/>
      <c r="S246" s="115"/>
      <c r="T246" s="115"/>
      <c r="U246" s="115"/>
      <c r="V246" s="115"/>
      <c r="W246" s="115"/>
      <c r="X246" s="115"/>
      <c r="Y246" s="115"/>
      <c r="Z246" s="115"/>
      <c r="AA246" s="25"/>
      <c r="AB246" s="13"/>
      <c r="AG246" s="116"/>
      <c r="AH246" s="123"/>
      <c r="AI246" s="123"/>
      <c r="AJ246" s="123"/>
      <c r="AO246" s="115"/>
      <c r="AP246" s="115"/>
      <c r="AQ246" s="115"/>
      <c r="AR246" s="115"/>
      <c r="AS246" s="115"/>
      <c r="AT246" s="115"/>
      <c r="AU246" s="115"/>
      <c r="AV246" s="115"/>
      <c r="AW246" s="115"/>
      <c r="AX246" s="115"/>
      <c r="AY246" s="25"/>
      <c r="AZ246" s="13"/>
      <c r="BC246" s="114"/>
    </row>
    <row r="247" spans="1:55" ht="19.5" x14ac:dyDescent="0.4">
      <c r="A247" s="117"/>
      <c r="B247" s="123"/>
      <c r="C247" s="123"/>
      <c r="D247" s="123"/>
      <c r="G247" s="115"/>
      <c r="H247" s="115"/>
      <c r="I247" s="115"/>
      <c r="J247" s="115"/>
      <c r="K247" s="115"/>
      <c r="L247" s="115"/>
      <c r="M247" s="115"/>
      <c r="N247" s="115"/>
      <c r="O247" s="115"/>
      <c r="P247" s="26"/>
      <c r="Q247" s="13"/>
      <c r="R247" s="115"/>
      <c r="S247" s="115"/>
      <c r="T247" s="115"/>
      <c r="U247" s="115"/>
      <c r="V247" s="115"/>
      <c r="W247" s="115"/>
      <c r="X247" s="115"/>
      <c r="Y247" s="115"/>
      <c r="Z247" s="115"/>
      <c r="AA247" s="25"/>
      <c r="AB247" s="13"/>
      <c r="AG247" s="116"/>
      <c r="AH247" s="123"/>
      <c r="AI247" s="123"/>
      <c r="AJ247" s="123"/>
      <c r="AO247" s="115"/>
      <c r="AP247" s="115"/>
      <c r="AQ247" s="115"/>
      <c r="AR247" s="115"/>
      <c r="AS247" s="115"/>
      <c r="AT247" s="115"/>
      <c r="AU247" s="115"/>
      <c r="AV247" s="115"/>
      <c r="AW247" s="115"/>
      <c r="AX247" s="115"/>
      <c r="AY247" s="25"/>
      <c r="AZ247" s="13"/>
      <c r="BC247" s="114"/>
    </row>
    <row r="248" spans="1:55" ht="19.5" x14ac:dyDescent="0.4">
      <c r="A248" s="117"/>
      <c r="B248" s="123"/>
      <c r="C248" s="123"/>
      <c r="D248" s="123"/>
      <c r="G248" s="115"/>
      <c r="H248" s="115"/>
      <c r="I248" s="115"/>
      <c r="J248" s="115"/>
      <c r="K248" s="115"/>
      <c r="L248" s="115"/>
      <c r="M248" s="115"/>
      <c r="N248" s="115"/>
      <c r="O248" s="115"/>
      <c r="P248" s="26"/>
      <c r="Q248" s="13"/>
      <c r="R248" s="115"/>
      <c r="S248" s="115"/>
      <c r="T248" s="115"/>
      <c r="U248" s="115"/>
      <c r="V248" s="115"/>
      <c r="W248" s="115"/>
      <c r="X248" s="115"/>
      <c r="Y248" s="115"/>
      <c r="Z248" s="115"/>
      <c r="AA248" s="25"/>
      <c r="AB248" s="13"/>
      <c r="AG248" s="116"/>
      <c r="AH248" s="123"/>
      <c r="AI248" s="123"/>
      <c r="AJ248" s="123"/>
      <c r="AO248" s="115"/>
      <c r="AP248" s="115"/>
      <c r="AQ248" s="115"/>
      <c r="AR248" s="115"/>
      <c r="AS248" s="115"/>
      <c r="AT248" s="115"/>
      <c r="AU248" s="115"/>
      <c r="AV248" s="115"/>
      <c r="AW248" s="115"/>
      <c r="AX248" s="115"/>
      <c r="AY248" s="25"/>
      <c r="AZ248" s="13"/>
      <c r="BC248" s="114"/>
    </row>
    <row r="249" spans="1:55" ht="19.5" x14ac:dyDescent="0.4">
      <c r="A249" s="117"/>
      <c r="B249" s="123"/>
      <c r="C249" s="123"/>
      <c r="D249" s="123"/>
      <c r="P249" s="26"/>
      <c r="Q249" s="13"/>
      <c r="AA249" s="25">
        <v>45679</v>
      </c>
      <c r="AB249" s="13" t="s">
        <v>147</v>
      </c>
      <c r="AG249" s="116"/>
      <c r="AH249" s="123"/>
      <c r="AI249" s="123"/>
      <c r="AJ249" s="123"/>
      <c r="AO249" s="115"/>
      <c r="AP249" s="115"/>
      <c r="AQ249" s="115"/>
      <c r="AR249" s="115"/>
      <c r="AS249" s="115"/>
      <c r="AT249" s="115"/>
      <c r="AU249" s="115"/>
      <c r="AV249" s="115"/>
      <c r="AW249" s="115"/>
      <c r="AX249" s="115"/>
      <c r="AY249" s="25"/>
      <c r="AZ249" s="13"/>
      <c r="BC249" s="114"/>
    </row>
    <row r="250" spans="1:55" ht="19.5" x14ac:dyDescent="0.4">
      <c r="A250" s="117"/>
      <c r="B250" s="123"/>
      <c r="C250" s="123"/>
      <c r="D250" s="123"/>
      <c r="K250" s="115"/>
      <c r="L250" s="115"/>
      <c r="M250" s="115"/>
      <c r="N250" s="115"/>
      <c r="O250" s="115"/>
      <c r="P250" s="26"/>
      <c r="Q250" s="13"/>
      <c r="AA250" s="25"/>
      <c r="AB250" s="13"/>
      <c r="AG250" s="116"/>
      <c r="AH250" s="123"/>
      <c r="AI250" s="123"/>
      <c r="AJ250" s="123"/>
      <c r="AO250" s="115"/>
      <c r="AP250" s="115"/>
      <c r="AQ250" s="115"/>
      <c r="AR250" s="115"/>
      <c r="AS250" s="115"/>
      <c r="AT250" s="115"/>
      <c r="AU250" s="115"/>
      <c r="AV250" s="115"/>
      <c r="AW250" s="115"/>
      <c r="AX250" s="115"/>
      <c r="AY250" s="25"/>
      <c r="AZ250" s="13"/>
      <c r="BC250" s="114"/>
    </row>
    <row r="251" spans="1:55" ht="19.5" x14ac:dyDescent="0.4">
      <c r="A251" s="117"/>
      <c r="B251" s="123"/>
      <c r="C251" s="123"/>
      <c r="D251" s="123"/>
      <c r="P251" s="26"/>
      <c r="Q251" s="13"/>
      <c r="AA251" s="25"/>
      <c r="AB251" s="13"/>
      <c r="AG251" s="116"/>
      <c r="AH251" s="123"/>
      <c r="AI251" s="123"/>
      <c r="AJ251" s="123"/>
      <c r="AO251" s="115"/>
      <c r="AP251" s="115"/>
      <c r="AQ251" s="115"/>
      <c r="AR251" s="115"/>
      <c r="AS251" s="115"/>
      <c r="AT251" s="115"/>
      <c r="AU251" s="115"/>
      <c r="AV251" s="115"/>
      <c r="AW251" s="115"/>
      <c r="AX251" s="115"/>
      <c r="AY251" s="25"/>
      <c r="AZ251" s="13"/>
      <c r="BC251" s="114"/>
    </row>
    <row r="252" spans="1:55" ht="19.5" x14ac:dyDescent="0.4">
      <c r="A252" s="117"/>
      <c r="B252" s="123"/>
      <c r="C252" s="123"/>
      <c r="D252" s="123"/>
      <c r="K252" s="115"/>
      <c r="L252" s="115"/>
      <c r="M252" s="115"/>
      <c r="N252" s="115"/>
      <c r="O252" s="115"/>
      <c r="P252" s="26"/>
      <c r="Q252" s="13"/>
      <c r="AA252" s="25"/>
      <c r="AB252" s="13"/>
      <c r="AG252" s="116"/>
      <c r="AH252" s="123"/>
      <c r="AI252" s="123"/>
      <c r="AJ252" s="123"/>
      <c r="AO252" s="115"/>
      <c r="AP252" s="115"/>
      <c r="AQ252" s="115"/>
      <c r="AR252" s="115"/>
      <c r="AS252" s="115"/>
      <c r="AT252" s="115"/>
      <c r="AU252" s="115"/>
      <c r="AV252" s="115"/>
      <c r="AW252" s="115"/>
      <c r="AX252" s="115"/>
      <c r="AY252" s="25"/>
      <c r="AZ252" s="13"/>
      <c r="BC252" s="114"/>
    </row>
    <row r="253" spans="1:55" ht="19.5" x14ac:dyDescent="0.4">
      <c r="A253" s="117"/>
      <c r="B253" s="123"/>
      <c r="C253" s="123"/>
      <c r="D253" s="123"/>
      <c r="K253" s="115"/>
      <c r="L253" s="115"/>
      <c r="M253" s="115"/>
      <c r="N253" s="115"/>
      <c r="O253" s="115"/>
      <c r="P253" s="17"/>
      <c r="Q253" s="13"/>
      <c r="AA253" s="25"/>
      <c r="AB253" s="13"/>
      <c r="AG253" s="116"/>
      <c r="AH253" s="123"/>
      <c r="AI253" s="123"/>
      <c r="AJ253" s="123"/>
      <c r="AO253" s="115"/>
      <c r="AP253" s="115"/>
      <c r="AQ253" s="115"/>
      <c r="AR253" s="115"/>
      <c r="AS253" s="115"/>
      <c r="AT253" s="115"/>
      <c r="AU253" s="115"/>
      <c r="AV253" s="115"/>
      <c r="AW253" s="115"/>
      <c r="AX253" s="115"/>
      <c r="AY253" s="25"/>
      <c r="AZ253" s="13"/>
      <c r="BC253" s="114"/>
    </row>
    <row r="254" spans="1:55" ht="19.5" x14ac:dyDescent="0.4">
      <c r="A254" s="117"/>
      <c r="B254" s="123"/>
      <c r="C254" s="123"/>
      <c r="D254" s="123"/>
      <c r="P254" s="26"/>
      <c r="Q254" s="13"/>
      <c r="R254" s="115"/>
      <c r="S254" s="115"/>
      <c r="T254" s="115"/>
      <c r="U254" s="115"/>
      <c r="V254" s="115"/>
      <c r="W254" s="115"/>
      <c r="X254" s="115"/>
      <c r="Y254" s="115"/>
      <c r="Z254" s="115"/>
      <c r="AA254" s="25">
        <v>45679</v>
      </c>
      <c r="AB254" s="13" t="s">
        <v>146</v>
      </c>
      <c r="AG254" s="116"/>
      <c r="AH254" s="123"/>
      <c r="AI254" s="123"/>
      <c r="AJ254" s="123"/>
      <c r="AO254" s="115"/>
      <c r="AP254" s="115"/>
      <c r="AQ254" s="115"/>
      <c r="AR254" s="115"/>
      <c r="AS254" s="115"/>
      <c r="AT254" s="115"/>
      <c r="AU254" s="115"/>
      <c r="AV254" s="115"/>
      <c r="AW254" s="115"/>
      <c r="AX254" s="115"/>
      <c r="AY254" s="25"/>
      <c r="AZ254" s="13"/>
      <c r="BC254" s="114"/>
    </row>
    <row r="255" spans="1:55" ht="19.5" x14ac:dyDescent="0.4">
      <c r="A255" s="117"/>
      <c r="B255" s="123"/>
      <c r="C255" s="123"/>
      <c r="D255" s="123"/>
      <c r="K255" s="115"/>
      <c r="L255" s="115"/>
      <c r="M255" s="115"/>
      <c r="N255" s="115"/>
      <c r="O255" s="115"/>
      <c r="P255" s="26"/>
      <c r="Q255" s="13"/>
      <c r="R255" s="115"/>
      <c r="S255" s="115"/>
      <c r="T255" s="115"/>
      <c r="U255" s="115"/>
      <c r="V255" s="115"/>
      <c r="W255" s="115"/>
      <c r="X255" s="115"/>
      <c r="Y255" s="115"/>
      <c r="Z255" s="115"/>
      <c r="AA255" s="25"/>
      <c r="AB255" s="13"/>
      <c r="AG255" s="116"/>
      <c r="AH255" s="123"/>
      <c r="AI255" s="123"/>
      <c r="AJ255" s="123"/>
      <c r="AO255" s="115"/>
      <c r="AP255" s="115"/>
      <c r="AQ255" s="115"/>
      <c r="AR255" s="115"/>
      <c r="AS255" s="115"/>
      <c r="AT255" s="115"/>
      <c r="AU255" s="115"/>
      <c r="AV255" s="115"/>
      <c r="AW255" s="115"/>
      <c r="AX255" s="115"/>
      <c r="AY255" s="25"/>
      <c r="AZ255" s="13"/>
      <c r="BC255" s="114"/>
    </row>
    <row r="256" spans="1:55" ht="19.5" x14ac:dyDescent="0.4">
      <c r="A256" s="117"/>
      <c r="B256" s="123"/>
      <c r="C256" s="123"/>
      <c r="D256" s="123"/>
      <c r="P256" s="26"/>
      <c r="Q256" s="13"/>
      <c r="R256" s="115"/>
      <c r="S256" s="115"/>
      <c r="T256" s="115"/>
      <c r="U256" s="115"/>
      <c r="V256" s="115"/>
      <c r="W256" s="115"/>
      <c r="X256" s="115"/>
      <c r="Y256" s="115"/>
      <c r="Z256" s="115"/>
      <c r="AA256" s="25"/>
      <c r="AB256" s="13"/>
      <c r="AG256" s="116"/>
      <c r="AH256" s="123"/>
      <c r="AI256" s="123"/>
      <c r="AJ256" s="123"/>
      <c r="AO256" s="115"/>
      <c r="AP256" s="115"/>
      <c r="AQ256" s="115"/>
      <c r="AR256" s="115"/>
      <c r="AS256" s="115"/>
      <c r="AT256" s="115"/>
      <c r="AU256" s="115"/>
      <c r="AV256" s="115"/>
      <c r="AW256" s="115"/>
      <c r="AX256" s="115"/>
      <c r="AY256" s="25"/>
      <c r="AZ256" s="13"/>
      <c r="BC256" s="114"/>
    </row>
    <row r="257" spans="1:55" ht="19.5" x14ac:dyDescent="0.4">
      <c r="A257" s="117"/>
      <c r="B257" s="123"/>
      <c r="C257" s="123"/>
      <c r="D257" s="123"/>
      <c r="K257" s="115"/>
      <c r="L257" s="115"/>
      <c r="M257" s="115"/>
      <c r="N257" s="115"/>
      <c r="O257" s="115"/>
      <c r="P257" s="26"/>
      <c r="Q257" s="13"/>
      <c r="R257" s="115"/>
      <c r="S257" s="115"/>
      <c r="T257" s="115"/>
      <c r="U257" s="115"/>
      <c r="V257" s="115"/>
      <c r="W257" s="115"/>
      <c r="X257" s="115"/>
      <c r="Y257" s="115"/>
      <c r="Z257" s="115"/>
      <c r="AA257" s="25"/>
      <c r="AB257" s="13"/>
      <c r="AG257" s="116"/>
      <c r="AH257" s="123"/>
      <c r="AI257" s="123"/>
      <c r="AJ257" s="123"/>
      <c r="AO257" s="115"/>
      <c r="AP257" s="115"/>
      <c r="AQ257" s="115"/>
      <c r="AR257" s="115"/>
      <c r="AS257" s="115"/>
      <c r="AT257" s="115"/>
      <c r="AU257" s="115"/>
      <c r="AV257" s="115"/>
      <c r="AW257" s="115"/>
      <c r="AX257" s="115"/>
      <c r="AY257" s="25"/>
      <c r="AZ257" s="13"/>
      <c r="BC257" s="114"/>
    </row>
    <row r="258" spans="1:55" ht="19.5" x14ac:dyDescent="0.4">
      <c r="A258" s="117"/>
      <c r="B258" s="123"/>
      <c r="C258" s="123"/>
      <c r="D258" s="123"/>
      <c r="K258" s="115"/>
      <c r="L258" s="115"/>
      <c r="M258" s="115"/>
      <c r="N258" s="115"/>
      <c r="O258" s="115"/>
      <c r="P258" s="26"/>
      <c r="Q258" s="13"/>
      <c r="R258" s="115"/>
      <c r="S258" s="115"/>
      <c r="T258" s="115"/>
      <c r="U258" s="115"/>
      <c r="V258" s="115"/>
      <c r="W258" s="115"/>
      <c r="X258" s="115"/>
      <c r="Y258" s="115"/>
      <c r="Z258" s="115"/>
      <c r="AA258" s="25"/>
      <c r="AB258" s="13"/>
      <c r="AG258" s="116"/>
      <c r="AH258" s="123"/>
      <c r="AI258" s="123"/>
      <c r="AJ258" s="123"/>
      <c r="AO258" s="115"/>
      <c r="AP258" s="115"/>
      <c r="AQ258" s="115"/>
      <c r="AR258" s="115"/>
      <c r="AS258" s="115"/>
      <c r="AT258" s="115"/>
      <c r="AU258" s="115"/>
      <c r="AV258" s="115"/>
      <c r="AW258" s="115"/>
      <c r="AX258" s="115"/>
      <c r="AY258" s="25"/>
      <c r="AZ258" s="13"/>
      <c r="BC258" s="114"/>
    </row>
    <row r="259" spans="1:55" ht="19.5" x14ac:dyDescent="0.4">
      <c r="A259" s="117"/>
      <c r="B259" s="123"/>
      <c r="C259" s="123"/>
      <c r="D259" s="123"/>
      <c r="P259" s="26"/>
      <c r="Q259" s="13"/>
      <c r="R259" s="115"/>
      <c r="S259" s="115"/>
      <c r="T259" s="115"/>
      <c r="U259" s="115"/>
      <c r="V259" s="115"/>
      <c r="W259" s="115"/>
      <c r="X259" s="115"/>
      <c r="Y259" s="115"/>
      <c r="Z259" s="115"/>
      <c r="AA259" s="25">
        <v>45679</v>
      </c>
      <c r="AB259" s="13" t="s">
        <v>147</v>
      </c>
      <c r="AG259" s="116"/>
      <c r="AH259" s="123"/>
      <c r="AI259" s="123"/>
      <c r="AJ259" s="123"/>
      <c r="AO259" s="115"/>
      <c r="AP259" s="115"/>
      <c r="AQ259" s="115"/>
      <c r="AR259" s="115"/>
      <c r="AS259" s="115"/>
      <c r="AT259" s="115"/>
      <c r="AU259" s="115"/>
      <c r="AV259" s="115"/>
      <c r="AW259" s="115"/>
      <c r="AX259" s="115"/>
      <c r="AY259" s="25"/>
      <c r="AZ259" s="13"/>
      <c r="BC259" s="114"/>
    </row>
    <row r="260" spans="1:55" ht="19.5" x14ac:dyDescent="0.4">
      <c r="A260" s="117"/>
      <c r="B260" s="123"/>
      <c r="C260" s="123"/>
      <c r="D260" s="123"/>
      <c r="P260" s="26"/>
      <c r="Q260" s="13"/>
      <c r="R260" s="115"/>
      <c r="S260" s="115"/>
      <c r="T260" s="115"/>
      <c r="U260" s="115"/>
      <c r="V260" s="115"/>
      <c r="W260" s="115"/>
      <c r="X260" s="115"/>
      <c r="Y260" s="115"/>
      <c r="Z260" s="115"/>
      <c r="AA260" s="25">
        <v>45680</v>
      </c>
      <c r="AB260" s="13" t="s">
        <v>148</v>
      </c>
      <c r="AG260" s="116"/>
      <c r="AH260" s="123"/>
      <c r="AI260" s="123"/>
      <c r="AJ260" s="123"/>
      <c r="AO260" s="115"/>
      <c r="AP260" s="115"/>
      <c r="AQ260" s="115"/>
      <c r="AR260" s="115"/>
      <c r="AS260" s="115"/>
      <c r="AT260" s="115"/>
      <c r="AU260" s="115"/>
      <c r="AV260" s="115"/>
      <c r="AW260" s="115"/>
      <c r="AX260" s="115"/>
      <c r="AY260" s="25"/>
      <c r="AZ260" s="13"/>
      <c r="BC260" s="114"/>
    </row>
    <row r="261" spans="1:55" ht="19.5" x14ac:dyDescent="0.4">
      <c r="A261" s="117"/>
      <c r="B261" s="123"/>
      <c r="C261" s="123"/>
      <c r="D261" s="123"/>
      <c r="M261" s="115"/>
      <c r="N261" s="115"/>
      <c r="O261" s="115"/>
      <c r="P261" s="17"/>
      <c r="Q261" s="13"/>
      <c r="R261" s="115"/>
      <c r="S261" s="115"/>
      <c r="T261" s="115"/>
      <c r="U261" s="115"/>
      <c r="V261" s="115"/>
      <c r="W261" s="115"/>
      <c r="X261" s="115"/>
      <c r="Y261" s="115"/>
      <c r="Z261" s="115"/>
      <c r="AA261" s="25"/>
      <c r="AB261" s="13"/>
      <c r="AG261" s="116"/>
      <c r="AH261" s="123"/>
      <c r="AI261" s="123"/>
      <c r="AJ261" s="123"/>
      <c r="AO261" s="115"/>
      <c r="AP261" s="115"/>
      <c r="AQ261" s="115"/>
      <c r="AR261" s="115"/>
      <c r="AS261" s="115"/>
      <c r="AT261" s="115"/>
      <c r="AU261" s="115"/>
      <c r="AV261" s="115"/>
      <c r="AW261" s="115"/>
      <c r="AX261" s="115"/>
      <c r="AY261" s="25"/>
      <c r="AZ261" s="13"/>
      <c r="BC261" s="114"/>
    </row>
    <row r="262" spans="1:55" ht="19.5" x14ac:dyDescent="0.4">
      <c r="A262" s="117"/>
      <c r="B262" s="123"/>
      <c r="C262" s="123"/>
      <c r="D262" s="123"/>
      <c r="I262" s="115"/>
      <c r="J262" s="115"/>
      <c r="K262" s="115"/>
      <c r="L262" s="115"/>
      <c r="M262" s="115"/>
      <c r="N262" s="115"/>
      <c r="O262" s="115"/>
      <c r="P262" s="26"/>
      <c r="Q262" s="13"/>
      <c r="R262" s="115"/>
      <c r="S262" s="115"/>
      <c r="T262" s="115"/>
      <c r="U262" s="115"/>
      <c r="V262" s="115"/>
      <c r="W262" s="115"/>
      <c r="X262" s="115"/>
      <c r="Y262" s="115"/>
      <c r="Z262" s="115"/>
      <c r="AA262" s="25"/>
      <c r="AB262" s="13"/>
      <c r="AG262" s="116"/>
      <c r="AH262" s="123"/>
      <c r="AI262" s="123"/>
      <c r="AJ262" s="123"/>
      <c r="AO262" s="115"/>
      <c r="AP262" s="115"/>
      <c r="AQ262" s="115"/>
      <c r="AR262" s="115"/>
      <c r="AS262" s="115"/>
      <c r="AT262" s="115"/>
      <c r="AU262" s="115"/>
      <c r="AV262" s="115"/>
      <c r="AW262" s="115"/>
      <c r="AX262" s="115"/>
      <c r="AY262" s="25"/>
      <c r="AZ262" s="13"/>
      <c r="BC262" s="114"/>
    </row>
    <row r="263" spans="1:55" ht="19.5" x14ac:dyDescent="0.4">
      <c r="A263" s="117"/>
      <c r="B263" s="123"/>
      <c r="C263" s="123"/>
      <c r="D263" s="123"/>
      <c r="P263" s="26"/>
      <c r="Q263" s="13"/>
      <c r="R263" s="115"/>
      <c r="S263" s="115"/>
      <c r="T263" s="115"/>
      <c r="U263" s="115"/>
      <c r="V263" s="115"/>
      <c r="W263" s="115"/>
      <c r="X263" s="115"/>
      <c r="Y263" s="115"/>
      <c r="Z263" s="115"/>
      <c r="AA263" s="25">
        <v>45680</v>
      </c>
      <c r="AB263" s="13" t="s">
        <v>147</v>
      </c>
      <c r="AG263" s="116"/>
      <c r="AH263" s="123"/>
      <c r="AI263" s="123"/>
      <c r="AJ263" s="123"/>
      <c r="AO263" s="115"/>
      <c r="AP263" s="115"/>
      <c r="AQ263" s="115"/>
      <c r="AR263" s="115"/>
      <c r="AS263" s="115"/>
      <c r="AT263" s="115"/>
      <c r="AU263" s="115"/>
      <c r="AV263" s="115"/>
      <c r="AW263" s="115"/>
      <c r="AX263" s="115"/>
      <c r="AY263" s="25"/>
      <c r="AZ263" s="13"/>
      <c r="BC263" s="114"/>
    </row>
    <row r="264" spans="1:55" ht="19.5" x14ac:dyDescent="0.4">
      <c r="A264" s="117"/>
      <c r="B264" s="123"/>
      <c r="C264" s="123"/>
      <c r="D264" s="123"/>
      <c r="I264" s="115"/>
      <c r="J264" s="115"/>
      <c r="K264" s="115"/>
      <c r="L264" s="115"/>
      <c r="M264" s="115"/>
      <c r="N264" s="115"/>
      <c r="O264" s="115"/>
      <c r="P264" s="26"/>
      <c r="Q264" s="13"/>
      <c r="R264" s="115"/>
      <c r="S264" s="115"/>
      <c r="T264" s="115"/>
      <c r="U264" s="115"/>
      <c r="V264" s="115"/>
      <c r="W264" s="115"/>
      <c r="X264" s="115"/>
      <c r="Y264" s="115"/>
      <c r="Z264" s="115"/>
      <c r="AA264" s="25"/>
      <c r="AB264" s="13"/>
      <c r="AG264" s="116"/>
      <c r="AH264" s="123"/>
      <c r="AI264" s="123"/>
      <c r="AJ264" s="123"/>
      <c r="AO264" s="115"/>
      <c r="AP264" s="115"/>
      <c r="AQ264" s="115"/>
      <c r="AR264" s="115"/>
      <c r="AS264" s="115"/>
      <c r="AT264" s="115"/>
      <c r="AU264" s="115"/>
      <c r="AV264" s="115"/>
      <c r="AW264" s="115"/>
      <c r="AX264" s="115"/>
      <c r="AY264" s="25"/>
      <c r="AZ264" s="13"/>
      <c r="BC264" s="114"/>
    </row>
    <row r="265" spans="1:55" ht="19.5" x14ac:dyDescent="0.4">
      <c r="A265" s="117"/>
      <c r="B265" s="123"/>
      <c r="C265" s="123"/>
      <c r="D265" s="123"/>
      <c r="I265" s="115"/>
      <c r="J265" s="115"/>
      <c r="K265" s="115"/>
      <c r="L265" s="115"/>
      <c r="M265" s="115"/>
      <c r="N265" s="115"/>
      <c r="O265" s="115"/>
      <c r="P265" s="26"/>
      <c r="Q265" s="13"/>
      <c r="R265" s="115"/>
      <c r="S265" s="115"/>
      <c r="T265" s="115"/>
      <c r="U265" s="115"/>
      <c r="V265" s="115"/>
      <c r="W265" s="115"/>
      <c r="X265" s="115"/>
      <c r="Y265" s="115"/>
      <c r="Z265" s="115"/>
      <c r="AA265" s="25"/>
      <c r="AB265" s="13"/>
      <c r="AG265" s="116"/>
      <c r="AH265" s="123"/>
      <c r="AI265" s="123"/>
      <c r="AJ265" s="123"/>
      <c r="AO265" s="115"/>
      <c r="AP265" s="115"/>
      <c r="AQ265" s="115"/>
      <c r="AR265" s="115"/>
      <c r="AS265" s="115"/>
      <c r="AT265" s="115"/>
      <c r="AU265" s="115"/>
      <c r="AV265" s="115"/>
      <c r="AW265" s="115"/>
      <c r="AX265" s="115"/>
      <c r="AY265" s="25"/>
      <c r="AZ265" s="13"/>
      <c r="BC265" s="114"/>
    </row>
    <row r="266" spans="1:55" ht="19.5" x14ac:dyDescent="0.4">
      <c r="A266" s="117"/>
      <c r="B266" s="123"/>
      <c r="C266" s="123"/>
      <c r="D266" s="123"/>
      <c r="P266" s="26"/>
      <c r="Q266" s="13"/>
      <c r="R266" s="115"/>
      <c r="S266" s="115"/>
      <c r="T266" s="115"/>
      <c r="U266" s="115"/>
      <c r="V266" s="115"/>
      <c r="W266" s="115"/>
      <c r="X266" s="115"/>
      <c r="Y266" s="115"/>
      <c r="Z266" s="115"/>
      <c r="AA266" s="25">
        <v>45680</v>
      </c>
      <c r="AB266" s="13" t="s">
        <v>147</v>
      </c>
      <c r="AG266" s="116"/>
      <c r="AH266" s="123"/>
      <c r="AI266" s="123"/>
      <c r="AJ266" s="123"/>
      <c r="AO266" s="115"/>
      <c r="AP266" s="115"/>
      <c r="AQ266" s="115"/>
      <c r="AR266" s="115"/>
      <c r="AS266" s="115"/>
      <c r="AT266" s="115"/>
      <c r="AU266" s="115"/>
      <c r="AV266" s="115"/>
      <c r="AW266" s="115"/>
      <c r="AX266" s="115"/>
      <c r="AY266" s="25"/>
      <c r="AZ266" s="13"/>
      <c r="BC266" s="114"/>
    </row>
    <row r="267" spans="1:55" ht="19.5" x14ac:dyDescent="0.4">
      <c r="A267" s="117"/>
      <c r="B267" s="123"/>
      <c r="C267" s="123"/>
      <c r="D267" s="123"/>
      <c r="P267" s="26"/>
      <c r="Q267" s="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25"/>
      <c r="AB267" s="13"/>
      <c r="AG267" s="116"/>
      <c r="AH267" s="123"/>
      <c r="AI267" s="123"/>
      <c r="AJ267" s="123"/>
      <c r="AO267" s="115"/>
      <c r="AP267" s="115"/>
      <c r="AQ267" s="115"/>
      <c r="AR267" s="115"/>
      <c r="AS267" s="115"/>
      <c r="AT267" s="115"/>
      <c r="AU267" s="115"/>
      <c r="AV267" s="115"/>
      <c r="AW267" s="115"/>
      <c r="AX267" s="115"/>
      <c r="AY267" s="25"/>
      <c r="AZ267" s="13"/>
      <c r="BC267" s="114"/>
    </row>
    <row r="268" spans="1:55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115"/>
      <c r="O268" s="115"/>
      <c r="P268" s="26"/>
      <c r="Q268" s="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25"/>
      <c r="AB268" s="13"/>
      <c r="AG268" s="116"/>
      <c r="AH268" s="123"/>
      <c r="AI268" s="123"/>
      <c r="AJ268" s="123"/>
      <c r="AO268" s="115"/>
      <c r="AP268" s="115"/>
      <c r="AQ268" s="115"/>
      <c r="AR268" s="115"/>
      <c r="AS268" s="115"/>
      <c r="AT268" s="115"/>
      <c r="AU268" s="115"/>
      <c r="AV268" s="115"/>
      <c r="AW268" s="115"/>
      <c r="AX268" s="115"/>
      <c r="AY268" s="25"/>
      <c r="AZ268" s="13"/>
      <c r="BC268" s="114"/>
    </row>
    <row r="269" spans="1:55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115"/>
      <c r="O269" s="115"/>
      <c r="P269" s="26"/>
      <c r="Q269" s="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25"/>
      <c r="AB269" s="13"/>
      <c r="AG269" s="116"/>
      <c r="AH269" s="123"/>
      <c r="AI269" s="123"/>
      <c r="AJ269" s="123"/>
      <c r="AO269" s="115"/>
      <c r="AP269" s="115"/>
      <c r="AQ269" s="115"/>
      <c r="AR269" s="115"/>
      <c r="AS269" s="115"/>
      <c r="AT269" s="115"/>
      <c r="AU269" s="115"/>
      <c r="AV269" s="115"/>
      <c r="AW269" s="115"/>
      <c r="AX269" s="115"/>
      <c r="AY269" s="25"/>
      <c r="AZ269" s="13"/>
      <c r="BC269" s="114"/>
    </row>
    <row r="270" spans="1:55" ht="19.5" x14ac:dyDescent="0.4">
      <c r="A270" s="117"/>
      <c r="B270" s="123"/>
      <c r="C270" s="123"/>
      <c r="D270" s="123"/>
      <c r="P270" s="26"/>
      <c r="Q270" s="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25">
        <v>45680</v>
      </c>
      <c r="AB270" s="13" t="s">
        <v>146</v>
      </c>
      <c r="AG270" s="116"/>
      <c r="AH270" s="123"/>
      <c r="AI270" s="123"/>
      <c r="AJ270" s="123"/>
      <c r="AO270" s="115"/>
      <c r="AP270" s="115"/>
      <c r="AQ270" s="115"/>
      <c r="AR270" s="115"/>
      <c r="AS270" s="115"/>
      <c r="AT270" s="115"/>
      <c r="AU270" s="115"/>
      <c r="AV270" s="115"/>
      <c r="AW270" s="115"/>
      <c r="AX270" s="115"/>
      <c r="AY270" s="25"/>
      <c r="AZ270" s="13"/>
      <c r="BC270" s="114"/>
    </row>
    <row r="271" spans="1:55" ht="19.5" x14ac:dyDescent="0.4">
      <c r="A271" s="117"/>
      <c r="B271" s="123"/>
      <c r="C271" s="123"/>
      <c r="D271" s="123"/>
      <c r="P271" s="26"/>
      <c r="Q271" s="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25">
        <v>45680</v>
      </c>
      <c r="AB271" s="13" t="s">
        <v>146</v>
      </c>
      <c r="AG271" s="116"/>
      <c r="AH271" s="123"/>
      <c r="AI271" s="123"/>
      <c r="AJ271" s="123"/>
      <c r="AO271" s="115"/>
      <c r="AP271" s="115"/>
      <c r="AQ271" s="115"/>
      <c r="AR271" s="115"/>
      <c r="AS271" s="115"/>
      <c r="AT271" s="115"/>
      <c r="AU271" s="115"/>
      <c r="AV271" s="115"/>
      <c r="AW271" s="115"/>
      <c r="AX271" s="115"/>
      <c r="AY271" s="25"/>
      <c r="AZ271" s="13"/>
      <c r="BC271" s="114"/>
    </row>
    <row r="272" spans="1:55" ht="19.5" x14ac:dyDescent="0.4">
      <c r="A272" s="117"/>
      <c r="B272" s="123"/>
      <c r="C272" s="123"/>
      <c r="D272" s="123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26"/>
      <c r="Q272" s="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25">
        <v>45680</v>
      </c>
      <c r="AB272" s="13" t="s">
        <v>147</v>
      </c>
      <c r="AG272" s="116"/>
      <c r="AH272" s="123"/>
      <c r="AI272" s="123"/>
      <c r="AJ272" s="123"/>
      <c r="AO272" s="115"/>
      <c r="AP272" s="115"/>
      <c r="AQ272" s="115"/>
      <c r="AR272" s="115"/>
      <c r="AS272" s="115"/>
      <c r="AT272" s="115"/>
      <c r="AU272" s="115"/>
      <c r="AV272" s="115"/>
      <c r="AW272" s="115"/>
      <c r="AX272" s="115"/>
      <c r="AY272" s="25"/>
      <c r="AZ272" s="13"/>
      <c r="BC272" s="114"/>
    </row>
    <row r="273" spans="1:55" ht="19.5" x14ac:dyDescent="0.4">
      <c r="A273" s="117"/>
      <c r="B273" s="123"/>
      <c r="C273" s="123"/>
      <c r="D273" s="123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26"/>
      <c r="Q273" s="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25"/>
      <c r="AB273" s="13"/>
      <c r="AG273" s="116"/>
      <c r="AH273" s="123"/>
      <c r="AI273" s="123"/>
      <c r="AJ273" s="123"/>
      <c r="AO273" s="115"/>
      <c r="AP273" s="115"/>
      <c r="AQ273" s="115"/>
      <c r="AR273" s="115"/>
      <c r="AS273" s="115"/>
      <c r="AT273" s="115"/>
      <c r="AU273" s="115"/>
      <c r="AV273" s="115"/>
      <c r="AW273" s="115"/>
      <c r="AX273" s="115"/>
      <c r="AY273" s="25"/>
      <c r="AZ273" s="13"/>
      <c r="BC273" s="114"/>
    </row>
    <row r="274" spans="1:55" ht="19.5" x14ac:dyDescent="0.4">
      <c r="A274" s="117"/>
      <c r="B274" s="123"/>
      <c r="C274" s="123"/>
      <c r="D274" s="123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7"/>
      <c r="Q274" s="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25"/>
      <c r="AB274" s="13"/>
      <c r="AG274" s="116"/>
      <c r="AH274" s="123"/>
      <c r="AI274" s="123"/>
      <c r="AJ274" s="123"/>
      <c r="AO274" s="115"/>
      <c r="AP274" s="115"/>
      <c r="AQ274" s="115"/>
      <c r="AR274" s="115"/>
      <c r="AS274" s="115"/>
      <c r="AT274" s="115"/>
      <c r="AU274" s="115"/>
      <c r="AV274" s="115"/>
      <c r="AW274" s="115"/>
      <c r="AX274" s="115"/>
      <c r="AY274" s="25"/>
      <c r="AZ274" s="13"/>
      <c r="BC274" s="114"/>
    </row>
    <row r="275" spans="1:55" ht="19.5" x14ac:dyDescent="0.4">
      <c r="A275" s="117"/>
      <c r="B275" s="123"/>
      <c r="C275" s="123"/>
      <c r="D275" s="123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26"/>
      <c r="Q275" s="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25"/>
      <c r="AB275" s="13"/>
      <c r="AG275" s="116"/>
      <c r="AH275" s="123"/>
      <c r="AI275" s="123"/>
      <c r="AJ275" s="123"/>
      <c r="AO275" s="115"/>
      <c r="AP275" s="115"/>
      <c r="AQ275" s="115"/>
      <c r="AR275" s="115"/>
      <c r="AS275" s="115"/>
      <c r="AT275" s="115"/>
      <c r="AU275" s="115"/>
      <c r="AV275" s="115"/>
      <c r="AW275" s="115"/>
      <c r="AX275" s="115"/>
      <c r="AY275" s="25"/>
      <c r="AZ275" s="13"/>
      <c r="BC275" s="114"/>
    </row>
    <row r="276" spans="1:55" ht="19.5" x14ac:dyDescent="0.4">
      <c r="A276" s="117"/>
      <c r="B276" s="123"/>
      <c r="C276" s="123"/>
      <c r="D276" s="123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7"/>
      <c r="Q276" s="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25"/>
      <c r="AB276" s="13"/>
      <c r="AG276" s="116"/>
      <c r="AH276" s="123"/>
      <c r="AI276" s="123"/>
      <c r="AJ276" s="123"/>
      <c r="AO276" s="115"/>
      <c r="AP276" s="115"/>
      <c r="AQ276" s="115"/>
      <c r="AR276" s="115"/>
      <c r="AS276" s="115"/>
      <c r="AT276" s="115"/>
      <c r="AU276" s="115"/>
      <c r="AV276" s="115"/>
      <c r="AW276" s="115"/>
      <c r="AX276" s="115"/>
      <c r="AY276" s="25"/>
      <c r="AZ276" s="13"/>
      <c r="BC276" s="114"/>
    </row>
    <row r="277" spans="1:55" ht="19.5" x14ac:dyDescent="0.4">
      <c r="A277" s="117"/>
      <c r="B277" s="123"/>
      <c r="C277" s="123"/>
      <c r="D277" s="123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26"/>
      <c r="Q277" s="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25">
        <v>45680</v>
      </c>
      <c r="AB277" s="15" t="s">
        <v>142</v>
      </c>
      <c r="AG277" s="116"/>
      <c r="AH277" s="123"/>
      <c r="AI277" s="123"/>
      <c r="AJ277" s="123"/>
      <c r="AO277" s="115"/>
      <c r="AP277" s="115"/>
      <c r="AQ277" s="115"/>
      <c r="AR277" s="115"/>
      <c r="AS277" s="115"/>
      <c r="AT277" s="115"/>
      <c r="AU277" s="115"/>
      <c r="AV277" s="115"/>
      <c r="AW277" s="115"/>
      <c r="AX277" s="115"/>
      <c r="AY277" s="25"/>
      <c r="AZ277" s="13"/>
      <c r="BC277" s="114"/>
    </row>
    <row r="278" spans="1:55" ht="19.5" x14ac:dyDescent="0.4">
      <c r="A278" s="117"/>
      <c r="B278" s="123"/>
      <c r="C278" s="123"/>
      <c r="D278" s="123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7"/>
      <c r="Q278" s="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25"/>
      <c r="AB278" s="15"/>
      <c r="AG278" s="116"/>
      <c r="AH278" s="123"/>
      <c r="AI278" s="123"/>
      <c r="AJ278" s="123"/>
      <c r="AO278" s="115"/>
      <c r="AP278" s="115"/>
      <c r="AQ278" s="115"/>
      <c r="AR278" s="115"/>
      <c r="AS278" s="115"/>
      <c r="AT278" s="115"/>
      <c r="AU278" s="115"/>
      <c r="AV278" s="115"/>
      <c r="AW278" s="115"/>
      <c r="AX278" s="115"/>
      <c r="AY278" s="25"/>
      <c r="AZ278" s="13"/>
      <c r="BC278" s="114"/>
    </row>
    <row r="279" spans="1:55" ht="19.5" x14ac:dyDescent="0.4">
      <c r="A279" s="117"/>
      <c r="B279" s="123"/>
      <c r="C279" s="123"/>
      <c r="D279" s="123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26"/>
      <c r="Q279" s="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25"/>
      <c r="AB279" s="15"/>
      <c r="AG279" s="116"/>
      <c r="AH279" s="123"/>
      <c r="AI279" s="123"/>
      <c r="AJ279" s="123"/>
      <c r="AO279" s="115"/>
      <c r="AP279" s="115"/>
      <c r="AQ279" s="115"/>
      <c r="AR279" s="115"/>
      <c r="AS279" s="115"/>
      <c r="AT279" s="115"/>
      <c r="AU279" s="115"/>
      <c r="AV279" s="115"/>
      <c r="AW279" s="115"/>
      <c r="AX279" s="115"/>
      <c r="AY279" s="25"/>
      <c r="AZ279" s="13"/>
      <c r="BC279" s="114"/>
    </row>
    <row r="280" spans="1:55" ht="19.5" x14ac:dyDescent="0.4">
      <c r="A280" s="117"/>
      <c r="B280" s="123"/>
      <c r="C280" s="123"/>
      <c r="D280" s="123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26"/>
      <c r="Q280" s="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25">
        <v>45680</v>
      </c>
      <c r="AB280" s="15" t="s">
        <v>146</v>
      </c>
      <c r="AG280" s="116"/>
      <c r="AH280" s="123"/>
      <c r="AI280" s="123"/>
      <c r="AJ280" s="123"/>
      <c r="AO280" s="115"/>
      <c r="AP280" s="115"/>
      <c r="AQ280" s="115"/>
      <c r="AR280" s="115"/>
      <c r="AS280" s="115"/>
      <c r="AT280" s="115"/>
      <c r="AU280" s="115"/>
      <c r="AV280" s="115"/>
      <c r="AW280" s="115"/>
      <c r="AX280" s="115"/>
      <c r="AY280" s="25"/>
      <c r="AZ280" s="13"/>
      <c r="BC280" s="114"/>
    </row>
    <row r="281" spans="1:55" ht="19.5" x14ac:dyDescent="0.4">
      <c r="A281" s="117"/>
      <c r="B281" s="123"/>
      <c r="C281" s="123"/>
      <c r="D281" s="123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26"/>
      <c r="Q281" s="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25"/>
      <c r="AB281" s="15"/>
      <c r="AG281" s="116"/>
      <c r="AH281" s="123"/>
      <c r="AI281" s="123"/>
      <c r="AJ281" s="123"/>
      <c r="AO281" s="115"/>
      <c r="AP281" s="115"/>
      <c r="AQ281" s="115"/>
      <c r="AR281" s="115"/>
      <c r="AS281" s="115"/>
      <c r="AT281" s="115"/>
      <c r="AU281" s="115"/>
      <c r="AV281" s="115"/>
      <c r="AW281" s="115"/>
      <c r="AX281" s="115"/>
      <c r="AY281" s="25"/>
      <c r="AZ281" s="13"/>
      <c r="BC281" s="114"/>
    </row>
    <row r="282" spans="1:55" ht="19.5" x14ac:dyDescent="0.4">
      <c r="A282" s="117"/>
      <c r="B282" s="123"/>
      <c r="C282" s="123"/>
      <c r="D282" s="123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26"/>
      <c r="Q282" s="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25">
        <v>45680</v>
      </c>
      <c r="AB282" s="15" t="s">
        <v>146</v>
      </c>
      <c r="AG282" s="116"/>
      <c r="AH282" s="123"/>
      <c r="AI282" s="123"/>
      <c r="AJ282" s="123"/>
      <c r="AO282" s="115"/>
      <c r="AP282" s="115"/>
      <c r="AQ282" s="115"/>
      <c r="AR282" s="115"/>
      <c r="AS282" s="115"/>
      <c r="AT282" s="115"/>
      <c r="AU282" s="115"/>
      <c r="AV282" s="115"/>
      <c r="AW282" s="115"/>
      <c r="AX282" s="115"/>
      <c r="AY282" s="25"/>
      <c r="AZ282" s="13"/>
      <c r="BC282" s="114"/>
    </row>
    <row r="283" spans="1:55" ht="19.5" x14ac:dyDescent="0.4">
      <c r="A283" s="117"/>
      <c r="B283" s="123"/>
      <c r="C283" s="123"/>
      <c r="D283" s="123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26"/>
      <c r="Q283" s="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25"/>
      <c r="AB283" s="15"/>
      <c r="AG283" s="116"/>
      <c r="AH283" s="123"/>
      <c r="AI283" s="123"/>
      <c r="AJ283" s="123"/>
      <c r="AO283" s="115"/>
      <c r="AP283" s="115"/>
      <c r="AQ283" s="115"/>
      <c r="AR283" s="115"/>
      <c r="AS283" s="115"/>
      <c r="AT283" s="115"/>
      <c r="AU283" s="115"/>
      <c r="AV283" s="115"/>
      <c r="AW283" s="115"/>
      <c r="AX283" s="115"/>
      <c r="AY283" s="25"/>
      <c r="AZ283" s="13"/>
      <c r="BC283" s="114"/>
    </row>
    <row r="284" spans="1:55" ht="19.5" x14ac:dyDescent="0.4">
      <c r="A284" s="117"/>
      <c r="B284" s="123"/>
      <c r="C284" s="123"/>
      <c r="D284" s="123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26"/>
      <c r="Q284" s="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25"/>
      <c r="AB284" s="15"/>
      <c r="AG284" s="116"/>
      <c r="AH284" s="123"/>
      <c r="AI284" s="123"/>
      <c r="AJ284" s="123"/>
      <c r="AO284" s="115"/>
      <c r="AP284" s="115"/>
      <c r="AQ284" s="115"/>
      <c r="AR284" s="115"/>
      <c r="AS284" s="115"/>
      <c r="AT284" s="115"/>
      <c r="AU284" s="115"/>
      <c r="AV284" s="115"/>
      <c r="AW284" s="115"/>
      <c r="AX284" s="115"/>
      <c r="AY284" s="25"/>
      <c r="AZ284" s="13"/>
      <c r="BC284" s="114"/>
    </row>
    <row r="285" spans="1:55" ht="19.5" x14ac:dyDescent="0.4">
      <c r="A285" s="117"/>
      <c r="B285" s="123"/>
      <c r="C285" s="123"/>
      <c r="D285" s="123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26"/>
      <c r="Q285" s="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25"/>
      <c r="AB285" s="15"/>
      <c r="AG285" s="116"/>
      <c r="AH285" s="123"/>
      <c r="AI285" s="123"/>
      <c r="AJ285" s="123"/>
      <c r="AO285" s="115"/>
      <c r="AP285" s="115"/>
      <c r="AQ285" s="115"/>
      <c r="AR285" s="115"/>
      <c r="AS285" s="115"/>
      <c r="AT285" s="115"/>
      <c r="AU285" s="115"/>
      <c r="AV285" s="115"/>
      <c r="AW285" s="115"/>
      <c r="AX285" s="115"/>
      <c r="AY285" s="25"/>
      <c r="AZ285" s="13"/>
      <c r="BC285" s="114"/>
    </row>
    <row r="286" spans="1:55" ht="19.5" x14ac:dyDescent="0.4">
      <c r="A286" s="117"/>
      <c r="B286" s="123"/>
      <c r="C286" s="123"/>
      <c r="D286" s="123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26"/>
      <c r="Q286" s="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25">
        <v>45680</v>
      </c>
      <c r="AB286" s="15" t="s">
        <v>146</v>
      </c>
      <c r="AG286" s="116"/>
      <c r="AH286" s="123"/>
      <c r="AI286" s="123"/>
      <c r="AJ286" s="123"/>
      <c r="AO286" s="115"/>
      <c r="AP286" s="115"/>
      <c r="AQ286" s="115"/>
      <c r="AR286" s="115"/>
      <c r="AS286" s="115"/>
      <c r="AT286" s="115"/>
      <c r="AU286" s="115"/>
      <c r="AV286" s="115"/>
      <c r="AW286" s="115"/>
      <c r="AX286" s="115"/>
      <c r="AY286" s="25"/>
      <c r="AZ286" s="13"/>
      <c r="BC286" s="114"/>
    </row>
    <row r="287" spans="1:55" ht="19.5" x14ac:dyDescent="0.4">
      <c r="A287" s="117"/>
      <c r="B287" s="123"/>
      <c r="C287" s="123"/>
      <c r="D287" s="123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26"/>
      <c r="Q287" s="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25"/>
      <c r="AB287" s="15"/>
      <c r="AG287" s="116"/>
      <c r="AH287" s="123"/>
      <c r="AI287" s="123"/>
      <c r="AJ287" s="123"/>
      <c r="AO287" s="115"/>
      <c r="AP287" s="115"/>
      <c r="AQ287" s="115"/>
      <c r="AR287" s="115"/>
      <c r="AS287" s="115"/>
      <c r="AT287" s="115"/>
      <c r="AU287" s="115"/>
      <c r="AV287" s="115"/>
      <c r="AW287" s="115"/>
      <c r="AX287" s="115"/>
      <c r="AY287" s="25"/>
      <c r="AZ287" s="13"/>
      <c r="BC287" s="114"/>
    </row>
    <row r="288" spans="1:55" ht="19.5" x14ac:dyDescent="0.4">
      <c r="A288" s="117"/>
      <c r="B288" s="123"/>
      <c r="C288" s="123"/>
      <c r="D288" s="123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7"/>
      <c r="Q288" s="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25"/>
      <c r="AB288" s="15"/>
      <c r="AG288" s="116"/>
      <c r="AH288" s="123"/>
      <c r="AI288" s="123"/>
      <c r="AJ288" s="123"/>
      <c r="AO288" s="115"/>
      <c r="AP288" s="115"/>
      <c r="AQ288" s="115"/>
      <c r="AR288" s="115"/>
      <c r="AS288" s="115"/>
      <c r="AT288" s="115"/>
      <c r="AU288" s="115"/>
      <c r="AV288" s="115"/>
      <c r="AW288" s="115"/>
      <c r="AX288" s="115"/>
      <c r="AY288" s="25"/>
      <c r="AZ288" s="13"/>
      <c r="BC288" s="114"/>
    </row>
    <row r="289" spans="1:55" ht="19.5" x14ac:dyDescent="0.4">
      <c r="A289" s="117"/>
      <c r="B289" s="123"/>
      <c r="C289" s="123"/>
      <c r="D289" s="123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26"/>
      <c r="Q289" s="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25">
        <v>45680</v>
      </c>
      <c r="AB289" s="15" t="s">
        <v>147</v>
      </c>
      <c r="AG289" s="116"/>
      <c r="AH289" s="123"/>
      <c r="AI289" s="123"/>
      <c r="AJ289" s="123"/>
      <c r="AO289" s="115"/>
      <c r="AP289" s="115"/>
      <c r="AQ289" s="115"/>
      <c r="AR289" s="115"/>
      <c r="AS289" s="115"/>
      <c r="AT289" s="115"/>
      <c r="AU289" s="115"/>
      <c r="AV289" s="115"/>
      <c r="AW289" s="115"/>
      <c r="AX289" s="115"/>
      <c r="AY289" s="25"/>
      <c r="AZ289" s="13"/>
      <c r="BC289" s="114"/>
    </row>
    <row r="290" spans="1:55" ht="19.5" x14ac:dyDescent="0.4">
      <c r="A290" s="117"/>
      <c r="B290" s="123"/>
      <c r="C290" s="123"/>
      <c r="D290" s="123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7"/>
      <c r="Q290" s="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25"/>
      <c r="AB290" s="13"/>
      <c r="AG290" s="116"/>
      <c r="AH290" s="123"/>
      <c r="AI290" s="123"/>
      <c r="AJ290" s="123"/>
      <c r="AO290" s="115"/>
      <c r="AP290" s="115"/>
      <c r="AQ290" s="115"/>
      <c r="AR290" s="115"/>
      <c r="AS290" s="115"/>
      <c r="AT290" s="115"/>
      <c r="AU290" s="115"/>
      <c r="AV290" s="115"/>
      <c r="AW290" s="115"/>
      <c r="AX290" s="115"/>
      <c r="AY290" s="25"/>
      <c r="AZ290" s="13"/>
      <c r="BC290" s="114"/>
    </row>
    <row r="291" spans="1:55" ht="19.5" x14ac:dyDescent="0.4">
      <c r="A291" s="117"/>
      <c r="B291" s="123"/>
      <c r="C291" s="123"/>
      <c r="D291" s="123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26"/>
      <c r="Q291" s="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25"/>
      <c r="AB291" s="13"/>
      <c r="AG291" s="116"/>
      <c r="AH291" s="123"/>
      <c r="AI291" s="123"/>
      <c r="AJ291" s="123"/>
      <c r="AO291" s="115"/>
      <c r="AP291" s="115"/>
      <c r="AQ291" s="115"/>
      <c r="AR291" s="115"/>
      <c r="AS291" s="115"/>
      <c r="AT291" s="115"/>
      <c r="AU291" s="115"/>
      <c r="AV291" s="115"/>
      <c r="AW291" s="115"/>
      <c r="AX291" s="115"/>
      <c r="AY291" s="25"/>
      <c r="AZ291" s="13"/>
      <c r="BC291" s="114"/>
    </row>
    <row r="292" spans="1:55" ht="19.5" x14ac:dyDescent="0.4">
      <c r="A292" s="117"/>
      <c r="B292" s="123"/>
      <c r="C292" s="123"/>
      <c r="D292" s="123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26"/>
      <c r="Q292" s="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25"/>
      <c r="AB292" s="13"/>
      <c r="AG292" s="116"/>
      <c r="AH292" s="123"/>
      <c r="AI292" s="123"/>
      <c r="AJ292" s="123"/>
      <c r="AO292" s="115"/>
      <c r="AP292" s="115"/>
      <c r="AQ292" s="115"/>
      <c r="AR292" s="115"/>
      <c r="AS292" s="115"/>
      <c r="AT292" s="115"/>
      <c r="AU292" s="115"/>
      <c r="AV292" s="115"/>
      <c r="AW292" s="115"/>
      <c r="AX292" s="115"/>
      <c r="AY292" s="25"/>
      <c r="AZ292" s="13"/>
      <c r="BC292" s="114"/>
    </row>
    <row r="293" spans="1:55" ht="19.5" x14ac:dyDescent="0.4">
      <c r="A293" s="117"/>
      <c r="B293" s="123"/>
      <c r="C293" s="123"/>
      <c r="D293" s="123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7"/>
      <c r="Q293" s="13"/>
      <c r="R293" s="115"/>
      <c r="S293" s="115"/>
      <c r="T293" s="115"/>
      <c r="U293" s="115"/>
      <c r="V293" s="115"/>
      <c r="W293" s="115"/>
      <c r="X293" s="115"/>
      <c r="Y293" s="115"/>
      <c r="Z293" s="115"/>
      <c r="AA293" s="25"/>
      <c r="AB293" s="13"/>
      <c r="AG293" s="116"/>
      <c r="AH293" s="123"/>
      <c r="AI293" s="123"/>
      <c r="AJ293" s="123"/>
      <c r="AO293" s="115"/>
      <c r="AP293" s="115"/>
      <c r="AQ293" s="115"/>
      <c r="AR293" s="115"/>
      <c r="AS293" s="115"/>
      <c r="AT293" s="115"/>
      <c r="AU293" s="115"/>
      <c r="AV293" s="115"/>
      <c r="AW293" s="115"/>
      <c r="AX293" s="115"/>
      <c r="AY293" s="25"/>
      <c r="AZ293" s="13"/>
      <c r="BC293" s="114"/>
    </row>
    <row r="294" spans="1:55" ht="19.5" x14ac:dyDescent="0.4">
      <c r="A294" s="117"/>
      <c r="B294" s="123"/>
      <c r="C294" s="123"/>
      <c r="D294" s="123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7"/>
      <c r="Q294" s="13"/>
      <c r="R294" s="115"/>
      <c r="S294" s="115"/>
      <c r="T294" s="115"/>
      <c r="U294" s="115"/>
      <c r="V294" s="115"/>
      <c r="W294" s="115"/>
      <c r="X294" s="115"/>
      <c r="Y294" s="115"/>
      <c r="Z294" s="115"/>
      <c r="AA294" s="25"/>
      <c r="AB294" s="13"/>
      <c r="AG294" s="116"/>
      <c r="AH294" s="123"/>
      <c r="AI294" s="123"/>
      <c r="AJ294" s="123"/>
      <c r="AO294" s="115"/>
      <c r="AP294" s="115"/>
      <c r="AQ294" s="115"/>
      <c r="AR294" s="115"/>
      <c r="AS294" s="115"/>
      <c r="AT294" s="115"/>
      <c r="AU294" s="115"/>
      <c r="AV294" s="115"/>
      <c r="AW294" s="115"/>
      <c r="AX294" s="115"/>
      <c r="AY294" s="25"/>
      <c r="AZ294" s="13"/>
      <c r="BC294" s="114"/>
    </row>
    <row r="295" spans="1:55" ht="19.5" x14ac:dyDescent="0.4">
      <c r="A295" s="117"/>
      <c r="B295" s="123"/>
      <c r="C295" s="123"/>
      <c r="D295" s="123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26"/>
      <c r="Q295" s="13"/>
      <c r="R295" s="115"/>
      <c r="S295" s="115"/>
      <c r="T295" s="115"/>
      <c r="U295" s="115"/>
      <c r="V295" s="115"/>
      <c r="W295" s="115"/>
      <c r="X295" s="115"/>
      <c r="Y295" s="115"/>
      <c r="Z295" s="115"/>
      <c r="AA295" s="25"/>
      <c r="AB295" s="13"/>
      <c r="AG295" s="116"/>
      <c r="AH295" s="123"/>
      <c r="AI295" s="123"/>
      <c r="AJ295" s="123"/>
      <c r="AO295" s="115"/>
      <c r="AP295" s="115"/>
      <c r="AQ295" s="115"/>
      <c r="AR295" s="115"/>
      <c r="AS295" s="115"/>
      <c r="AT295" s="115"/>
      <c r="AU295" s="115"/>
      <c r="AV295" s="115"/>
      <c r="AW295" s="115"/>
      <c r="AX295" s="115"/>
      <c r="AY295" s="25"/>
      <c r="AZ295" s="13"/>
      <c r="BC295" s="114"/>
    </row>
    <row r="296" spans="1:55" ht="19.5" x14ac:dyDescent="0.4">
      <c r="A296" s="117"/>
      <c r="B296" s="123"/>
      <c r="C296" s="123"/>
      <c r="D296" s="123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26"/>
      <c r="Q296" s="13"/>
      <c r="R296" s="115"/>
      <c r="S296" s="115"/>
      <c r="T296" s="115"/>
      <c r="U296" s="115"/>
      <c r="V296" s="115"/>
      <c r="W296" s="115"/>
      <c r="X296" s="115"/>
      <c r="Y296" s="115"/>
      <c r="Z296" s="115"/>
      <c r="AA296" s="25"/>
      <c r="AB296" s="13"/>
      <c r="AG296" s="116"/>
      <c r="AH296" s="123"/>
      <c r="AI296" s="123"/>
      <c r="AJ296" s="123"/>
      <c r="AO296" s="115"/>
      <c r="AP296" s="115"/>
      <c r="AQ296" s="115"/>
      <c r="AR296" s="115"/>
      <c r="AS296" s="115"/>
      <c r="AT296" s="115"/>
      <c r="AU296" s="115"/>
      <c r="AV296" s="115"/>
      <c r="AW296" s="115"/>
      <c r="AX296" s="115"/>
      <c r="AY296" s="25"/>
      <c r="AZ296" s="13"/>
      <c r="BC296" s="114"/>
    </row>
    <row r="297" spans="1:55" ht="19.5" x14ac:dyDescent="0.4">
      <c r="A297" s="117"/>
      <c r="B297" s="123"/>
      <c r="C297" s="123"/>
      <c r="D297" s="123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26"/>
      <c r="Q297" s="13"/>
      <c r="R297" s="115"/>
      <c r="S297" s="115"/>
      <c r="T297" s="115"/>
      <c r="U297" s="115"/>
      <c r="V297" s="115"/>
      <c r="W297" s="115"/>
      <c r="X297" s="115"/>
      <c r="Y297" s="115"/>
      <c r="Z297" s="115"/>
      <c r="AA297" s="25"/>
      <c r="AB297" s="13"/>
      <c r="AG297" s="116"/>
      <c r="AH297" s="123"/>
      <c r="AI297" s="123"/>
      <c r="AJ297" s="123"/>
      <c r="AO297" s="115"/>
      <c r="AP297" s="115"/>
      <c r="AQ297" s="115"/>
      <c r="AR297" s="115"/>
      <c r="AS297" s="115"/>
      <c r="AT297" s="115"/>
      <c r="AU297" s="115"/>
      <c r="AV297" s="115"/>
      <c r="AW297" s="115"/>
      <c r="AX297" s="115"/>
      <c r="AY297" s="25"/>
      <c r="AZ297" s="13"/>
      <c r="BC297" s="114"/>
    </row>
    <row r="298" spans="1:55" ht="19.5" x14ac:dyDescent="0.4">
      <c r="A298" s="117"/>
      <c r="B298" s="123"/>
      <c r="C298" s="123"/>
      <c r="D298" s="123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26"/>
      <c r="Q298" s="13"/>
      <c r="R298" s="115"/>
      <c r="S298" s="115"/>
      <c r="T298" s="115"/>
      <c r="U298" s="115"/>
      <c r="V298" s="115"/>
      <c r="W298" s="115"/>
      <c r="X298" s="115"/>
      <c r="Y298" s="115"/>
      <c r="Z298" s="115"/>
      <c r="AA298" s="25"/>
      <c r="AB298" s="13"/>
      <c r="AG298" s="116"/>
      <c r="AH298" s="123"/>
      <c r="AI298" s="123"/>
      <c r="AJ298" s="123"/>
      <c r="AO298" s="115"/>
      <c r="AP298" s="115"/>
      <c r="AQ298" s="115"/>
      <c r="AR298" s="115"/>
      <c r="AS298" s="115"/>
      <c r="AT298" s="115"/>
      <c r="AU298" s="115"/>
      <c r="AV298" s="115"/>
      <c r="AW298" s="115"/>
      <c r="AX298" s="115"/>
      <c r="AY298" s="25"/>
      <c r="AZ298" s="13"/>
      <c r="BC298" s="114"/>
    </row>
    <row r="299" spans="1:55" ht="19.5" x14ac:dyDescent="0.4">
      <c r="A299" s="117"/>
      <c r="B299" s="123"/>
      <c r="C299" s="123"/>
      <c r="D299" s="123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26"/>
      <c r="Q299" s="13"/>
      <c r="R299" s="115"/>
      <c r="S299" s="115"/>
      <c r="T299" s="115"/>
      <c r="U299" s="115"/>
      <c r="V299" s="115"/>
      <c r="W299" s="115"/>
      <c r="X299" s="115"/>
      <c r="Y299" s="115"/>
      <c r="Z299" s="115"/>
      <c r="AA299" s="25">
        <v>45680</v>
      </c>
      <c r="AB299" s="13" t="s">
        <v>146</v>
      </c>
      <c r="AG299" s="116"/>
      <c r="AH299" s="123"/>
      <c r="AI299" s="123"/>
      <c r="AJ299" s="123"/>
      <c r="AO299" s="115"/>
      <c r="AP299" s="115"/>
      <c r="AQ299" s="115"/>
      <c r="AR299" s="115"/>
      <c r="AS299" s="115"/>
      <c r="AT299" s="115"/>
      <c r="AU299" s="115"/>
      <c r="AV299" s="115"/>
      <c r="AW299" s="115"/>
      <c r="AX299" s="115"/>
      <c r="AY299" s="25"/>
      <c r="AZ299" s="13"/>
      <c r="BC299" s="114"/>
    </row>
    <row r="300" spans="1:55" ht="19.5" x14ac:dyDescent="0.4">
      <c r="A300" s="117"/>
      <c r="B300" s="123"/>
      <c r="C300" s="123"/>
      <c r="D300" s="123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7"/>
      <c r="Q300" s="13"/>
      <c r="R300" s="115"/>
      <c r="S300" s="115"/>
      <c r="T300" s="115"/>
      <c r="U300" s="115"/>
      <c r="V300" s="115"/>
      <c r="W300" s="115"/>
      <c r="X300" s="115"/>
      <c r="Y300" s="115"/>
      <c r="Z300" s="115"/>
      <c r="AA300" s="25"/>
      <c r="AB300" s="13"/>
      <c r="AG300" s="116"/>
      <c r="AH300" s="123"/>
      <c r="AI300" s="123"/>
      <c r="AJ300" s="123"/>
      <c r="AO300" s="115"/>
      <c r="AP300" s="115"/>
      <c r="AQ300" s="115"/>
      <c r="AR300" s="115"/>
      <c r="AS300" s="115"/>
      <c r="AT300" s="115"/>
      <c r="AU300" s="115"/>
      <c r="AV300" s="115"/>
      <c r="AW300" s="115"/>
      <c r="AX300" s="115"/>
      <c r="AY300" s="25"/>
      <c r="AZ300" s="13"/>
      <c r="BC300" s="114"/>
    </row>
    <row r="301" spans="1:55" ht="19.5" x14ac:dyDescent="0.4">
      <c r="A301" s="117"/>
      <c r="B301" s="123"/>
      <c r="C301" s="123"/>
      <c r="D301" s="123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26"/>
      <c r="Q301" s="13"/>
      <c r="R301" s="115"/>
      <c r="S301" s="115"/>
      <c r="T301" s="115"/>
      <c r="U301" s="115"/>
      <c r="V301" s="115"/>
      <c r="W301" s="115"/>
      <c r="X301" s="115"/>
      <c r="Y301" s="115"/>
      <c r="Z301" s="115"/>
      <c r="AA301" s="25">
        <v>45680</v>
      </c>
      <c r="AB301" s="13" t="s">
        <v>147</v>
      </c>
      <c r="AG301" s="116"/>
      <c r="AH301" s="123"/>
      <c r="AI301" s="123"/>
      <c r="AJ301" s="123"/>
      <c r="AO301" s="115"/>
      <c r="AP301" s="115"/>
      <c r="AQ301" s="115"/>
      <c r="AR301" s="115"/>
      <c r="AS301" s="115"/>
      <c r="AT301" s="115"/>
      <c r="AU301" s="115"/>
      <c r="AV301" s="115"/>
      <c r="AW301" s="115"/>
      <c r="AX301" s="115"/>
      <c r="AY301" s="25"/>
      <c r="AZ301" s="13"/>
      <c r="BC301" s="114"/>
    </row>
    <row r="302" spans="1:55" ht="19.5" x14ac:dyDescent="0.4">
      <c r="A302" s="117"/>
      <c r="B302" s="123"/>
      <c r="C302" s="123"/>
      <c r="D302" s="123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26"/>
      <c r="Q302" s="13"/>
      <c r="R302" s="115"/>
      <c r="S302" s="115"/>
      <c r="T302" s="115"/>
      <c r="U302" s="115"/>
      <c r="V302" s="115"/>
      <c r="W302" s="115"/>
      <c r="X302" s="115"/>
      <c r="Y302" s="115"/>
      <c r="Z302" s="115"/>
      <c r="AA302" s="25">
        <v>45680</v>
      </c>
      <c r="AB302" s="13" t="s">
        <v>146</v>
      </c>
      <c r="AG302" s="116"/>
      <c r="AH302" s="123"/>
      <c r="AI302" s="123"/>
      <c r="AJ302" s="123"/>
      <c r="AO302" s="115"/>
      <c r="AP302" s="115"/>
      <c r="AQ302" s="115"/>
      <c r="AR302" s="115"/>
      <c r="AS302" s="115"/>
      <c r="AT302" s="115"/>
      <c r="AU302" s="115"/>
      <c r="AV302" s="115"/>
      <c r="AW302" s="115"/>
      <c r="AX302" s="115"/>
      <c r="AY302" s="25"/>
      <c r="AZ302" s="13"/>
      <c r="BC302" s="114"/>
    </row>
    <row r="303" spans="1:55" ht="19.5" x14ac:dyDescent="0.4">
      <c r="A303" s="117"/>
      <c r="B303" s="123"/>
      <c r="C303" s="123"/>
      <c r="D303" s="123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7"/>
      <c r="Q303" s="13"/>
      <c r="R303" s="115"/>
      <c r="S303" s="115"/>
      <c r="T303" s="115"/>
      <c r="U303" s="115"/>
      <c r="V303" s="115"/>
      <c r="W303" s="115"/>
      <c r="X303" s="115"/>
      <c r="Y303" s="115"/>
      <c r="Z303" s="115"/>
      <c r="AA303" s="25"/>
      <c r="AB303" s="13"/>
      <c r="AG303" s="116"/>
      <c r="AH303" s="123"/>
      <c r="AI303" s="123"/>
      <c r="AJ303" s="123"/>
      <c r="AO303" s="115"/>
      <c r="AP303" s="115"/>
      <c r="AQ303" s="115"/>
      <c r="AR303" s="115"/>
      <c r="AS303" s="115"/>
      <c r="AT303" s="115"/>
      <c r="AU303" s="115"/>
      <c r="AV303" s="115"/>
      <c r="AW303" s="115"/>
      <c r="AX303" s="115"/>
      <c r="AY303" s="25"/>
      <c r="AZ303" s="13"/>
      <c r="BC303" s="114"/>
    </row>
    <row r="304" spans="1:55" ht="19.5" x14ac:dyDescent="0.4">
      <c r="A304" s="117"/>
      <c r="B304" s="123"/>
      <c r="C304" s="123"/>
      <c r="D304" s="123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26"/>
      <c r="Q304" s="13"/>
      <c r="R304" s="115"/>
      <c r="S304" s="115"/>
      <c r="T304" s="115"/>
      <c r="U304" s="115"/>
      <c r="V304" s="115"/>
      <c r="W304" s="115"/>
      <c r="X304" s="115"/>
      <c r="Y304" s="115"/>
      <c r="Z304" s="115"/>
      <c r="AA304" s="25"/>
      <c r="AB304" s="13"/>
      <c r="AG304" s="116"/>
      <c r="AH304" s="123"/>
      <c r="AI304" s="123"/>
      <c r="AJ304" s="123"/>
      <c r="AO304" s="115"/>
      <c r="AP304" s="115"/>
      <c r="AQ304" s="115"/>
      <c r="AR304" s="115"/>
      <c r="AS304" s="115"/>
      <c r="AT304" s="115"/>
      <c r="AU304" s="115"/>
      <c r="AV304" s="115"/>
      <c r="AW304" s="115"/>
      <c r="AX304" s="115"/>
      <c r="AY304" s="25"/>
      <c r="AZ304" s="13"/>
      <c r="BC304" s="114"/>
    </row>
    <row r="305" spans="1:55" ht="19.5" x14ac:dyDescent="0.4">
      <c r="A305" s="117"/>
      <c r="B305" s="123"/>
      <c r="C305" s="123"/>
      <c r="D305" s="123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7"/>
      <c r="Q305" s="13"/>
      <c r="R305" s="115"/>
      <c r="S305" s="115"/>
      <c r="T305" s="115"/>
      <c r="U305" s="115"/>
      <c r="V305" s="115"/>
      <c r="W305" s="115"/>
      <c r="X305" s="115"/>
      <c r="Y305" s="115"/>
      <c r="Z305" s="115"/>
      <c r="AA305" s="25"/>
      <c r="AB305" s="13"/>
      <c r="AG305" s="116"/>
      <c r="AH305" s="123"/>
      <c r="AI305" s="123"/>
      <c r="AJ305" s="123"/>
      <c r="AO305" s="115"/>
      <c r="AP305" s="115"/>
      <c r="AQ305" s="115"/>
      <c r="AR305" s="115"/>
      <c r="AS305" s="115"/>
      <c r="AT305" s="115"/>
      <c r="AU305" s="115"/>
      <c r="AV305" s="115"/>
      <c r="AW305" s="115"/>
      <c r="AX305" s="115"/>
      <c r="AY305" s="25"/>
      <c r="AZ305" s="13"/>
      <c r="BC305" s="114"/>
    </row>
    <row r="306" spans="1:55" ht="19.5" x14ac:dyDescent="0.4">
      <c r="A306" s="117"/>
      <c r="B306" s="123"/>
      <c r="C306" s="123"/>
      <c r="D306" s="123"/>
      <c r="P306" s="26"/>
      <c r="Q306" s="13"/>
      <c r="AA306" s="25">
        <v>45680</v>
      </c>
      <c r="AB306" s="13" t="s">
        <v>146</v>
      </c>
      <c r="AG306" s="117"/>
      <c r="AH306" s="123"/>
      <c r="AI306" s="123"/>
      <c r="AJ306" s="123"/>
      <c r="AO306" s="115"/>
      <c r="AP306" s="115"/>
      <c r="AQ306" s="115"/>
      <c r="AR306" s="115"/>
      <c r="AS306" s="115"/>
      <c r="AT306" s="115"/>
      <c r="AU306" s="115"/>
      <c r="AV306" s="115"/>
      <c r="AW306" s="115"/>
      <c r="AX306" s="115" t="s">
        <v>149</v>
      </c>
      <c r="AY306" s="13">
        <f>SUBTOTAL(3,AY2:AY2)</f>
        <v>1</v>
      </c>
      <c r="AZ306" s="13">
        <f>SUBTOTAL(3,AZ2:AZ2)</f>
        <v>1</v>
      </c>
      <c r="BC306" s="114"/>
    </row>
    <row r="307" spans="1:55" ht="19.5" x14ac:dyDescent="0.4">
      <c r="A307" s="117"/>
      <c r="B307" s="123"/>
      <c r="C307" s="123"/>
      <c r="D307" s="123"/>
      <c r="J307" s="115"/>
      <c r="K307" s="115"/>
      <c r="L307" s="115"/>
      <c r="M307" s="115"/>
      <c r="N307" s="115"/>
      <c r="O307" s="115"/>
      <c r="P307" s="17"/>
      <c r="Q307" s="13"/>
      <c r="AA307" s="25"/>
      <c r="AB307" s="13"/>
      <c r="AG307" s="117"/>
      <c r="AH307" s="123"/>
      <c r="AI307" s="123"/>
      <c r="AJ307" s="123"/>
      <c r="AO307" s="115"/>
      <c r="AP307" s="115"/>
      <c r="AQ307" s="115"/>
      <c r="AR307" s="115"/>
      <c r="AS307" s="115"/>
      <c r="AT307" s="115"/>
      <c r="AU307" s="115"/>
      <c r="AV307" s="115"/>
      <c r="AW307" s="115"/>
      <c r="AX307" s="115"/>
      <c r="AY307" s="13"/>
      <c r="AZ307" s="13"/>
      <c r="BC307" s="114"/>
    </row>
    <row r="308" spans="1:55" ht="19.5" x14ac:dyDescent="0.4">
      <c r="A308" s="117"/>
      <c r="B308" s="123"/>
      <c r="C308" s="123"/>
      <c r="D308" s="123"/>
      <c r="P308" s="26"/>
      <c r="Q308" s="13"/>
      <c r="AA308" s="25"/>
      <c r="AB308" s="13"/>
      <c r="AG308" s="117"/>
      <c r="AH308" s="123"/>
      <c r="AI308" s="123"/>
      <c r="AJ308" s="123"/>
      <c r="AO308" s="115"/>
      <c r="AP308" s="115"/>
      <c r="AQ308" s="115"/>
      <c r="AR308" s="115"/>
      <c r="AS308" s="115"/>
      <c r="AT308" s="115"/>
      <c r="AU308" s="115"/>
      <c r="AV308" s="115"/>
      <c r="AW308" s="115"/>
      <c r="AX308" s="115"/>
      <c r="AY308" s="13"/>
      <c r="AZ308" s="13"/>
      <c r="BC308" s="114"/>
    </row>
    <row r="309" spans="1:55" ht="19.5" x14ac:dyDescent="0.4">
      <c r="A309" s="117"/>
      <c r="B309" s="123"/>
      <c r="C309" s="123"/>
      <c r="D309" s="123"/>
      <c r="P309" s="26"/>
      <c r="Q309" s="13"/>
      <c r="R309" s="115"/>
      <c r="S309" s="115"/>
      <c r="T309" s="115"/>
      <c r="U309" s="115"/>
      <c r="V309" s="115"/>
      <c r="W309" s="115"/>
      <c r="X309" s="115"/>
      <c r="Y309" s="115"/>
      <c r="Z309" s="115"/>
      <c r="AA309" s="25">
        <v>45682</v>
      </c>
      <c r="AB309" s="13" t="s">
        <v>147</v>
      </c>
      <c r="AG309" s="117"/>
      <c r="AH309" s="123"/>
      <c r="AI309" s="123"/>
      <c r="AJ309" s="123"/>
      <c r="AO309" s="115"/>
      <c r="AP309" s="115"/>
      <c r="AQ309" s="115"/>
      <c r="AR309" s="115"/>
      <c r="AS309" s="115"/>
      <c r="AT309" s="115"/>
      <c r="AU309" s="115"/>
      <c r="AV309" s="115"/>
      <c r="AW309" s="115"/>
      <c r="AX309" s="115"/>
      <c r="AY309" s="13"/>
      <c r="AZ309" s="13"/>
      <c r="BC309" s="114"/>
    </row>
    <row r="310" spans="1:55" ht="19.5" x14ac:dyDescent="0.4">
      <c r="A310" s="117"/>
      <c r="B310" s="123"/>
      <c r="C310" s="123"/>
      <c r="D310" s="123"/>
      <c r="P310" s="26"/>
      <c r="Q310" s="13"/>
      <c r="R310" s="115"/>
      <c r="S310" s="115"/>
      <c r="T310" s="115"/>
      <c r="U310" s="115"/>
      <c r="V310" s="115"/>
      <c r="W310" s="115"/>
      <c r="X310" s="115"/>
      <c r="Y310" s="115"/>
      <c r="Z310" s="115"/>
      <c r="AA310" s="25">
        <v>45682</v>
      </c>
      <c r="AB310" s="13" t="s">
        <v>146</v>
      </c>
      <c r="AG310" s="117"/>
      <c r="AH310" s="123"/>
      <c r="AI310" s="123"/>
      <c r="AJ310" s="123"/>
      <c r="AO310" s="115"/>
      <c r="AP310" s="115"/>
      <c r="AQ310" s="115"/>
      <c r="AR310" s="115"/>
      <c r="AS310" s="115"/>
      <c r="AT310" s="115"/>
      <c r="AU310" s="115"/>
      <c r="AV310" s="115"/>
      <c r="AW310" s="115"/>
      <c r="AX310" s="115"/>
      <c r="AY310" s="13"/>
      <c r="AZ310" s="13"/>
      <c r="BC310" s="114"/>
    </row>
    <row r="311" spans="1:55" ht="19.5" x14ac:dyDescent="0.4">
      <c r="A311" s="117"/>
      <c r="B311" s="123"/>
      <c r="C311" s="123"/>
      <c r="D311" s="123"/>
      <c r="G311" s="115"/>
      <c r="H311" s="115"/>
      <c r="I311" s="115"/>
      <c r="J311" s="115"/>
      <c r="K311" s="115"/>
      <c r="L311" s="115"/>
      <c r="M311" s="115"/>
      <c r="N311" s="115"/>
      <c r="O311" s="115"/>
      <c r="P311" s="26"/>
      <c r="Q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25"/>
      <c r="AB311" s="13"/>
      <c r="AG311" s="117"/>
      <c r="AH311" s="123"/>
      <c r="AI311" s="123"/>
      <c r="AJ311" s="123"/>
      <c r="AO311" s="115"/>
      <c r="AP311" s="115"/>
      <c r="AQ311" s="115"/>
      <c r="AR311" s="115"/>
      <c r="AS311" s="115"/>
      <c r="AT311" s="115"/>
      <c r="AU311" s="115"/>
      <c r="AV311" s="115"/>
      <c r="AW311" s="115"/>
      <c r="AX311" s="115"/>
      <c r="AY311" s="13"/>
      <c r="AZ311" s="13"/>
      <c r="BC311" s="114"/>
    </row>
    <row r="312" spans="1:55" ht="19.5" x14ac:dyDescent="0.4">
      <c r="A312" s="117"/>
      <c r="B312" s="123"/>
      <c r="C312" s="123"/>
      <c r="D312" s="123"/>
      <c r="G312" s="115"/>
      <c r="H312" s="115"/>
      <c r="I312" s="115"/>
      <c r="J312" s="115"/>
      <c r="K312" s="115"/>
      <c r="L312" s="115"/>
      <c r="M312" s="115"/>
      <c r="N312" s="115"/>
      <c r="O312" s="115"/>
      <c r="P312" s="26"/>
      <c r="Q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25"/>
      <c r="AB312" s="13"/>
      <c r="AG312" s="117"/>
      <c r="AH312" s="123"/>
      <c r="AI312" s="123"/>
      <c r="AJ312" s="123"/>
      <c r="AO312" s="115"/>
      <c r="AP312" s="115"/>
      <c r="AQ312" s="115"/>
      <c r="AR312" s="115"/>
      <c r="AS312" s="115"/>
      <c r="AT312" s="115"/>
      <c r="AU312" s="115"/>
      <c r="AV312" s="115"/>
      <c r="AW312" s="115"/>
      <c r="AX312" s="115"/>
      <c r="AY312" s="13"/>
      <c r="AZ312" s="13"/>
      <c r="BC312" s="114"/>
    </row>
    <row r="313" spans="1:55" ht="19.5" x14ac:dyDescent="0.4">
      <c r="A313" s="117"/>
      <c r="B313" s="123"/>
      <c r="C313" s="123"/>
      <c r="D313" s="123"/>
      <c r="G313" s="115"/>
      <c r="H313" s="115"/>
      <c r="I313" s="115"/>
      <c r="J313" s="115"/>
      <c r="K313" s="115"/>
      <c r="L313" s="115"/>
      <c r="M313" s="115"/>
      <c r="N313" s="115"/>
      <c r="O313" s="115"/>
      <c r="P313" s="17"/>
      <c r="Q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25"/>
      <c r="AB313" s="13"/>
      <c r="AG313" s="117"/>
      <c r="AH313" s="123"/>
      <c r="AI313" s="123"/>
      <c r="AJ313" s="123"/>
      <c r="AO313" s="115"/>
      <c r="AP313" s="115"/>
      <c r="AQ313" s="115"/>
      <c r="AR313" s="115"/>
      <c r="AS313" s="115"/>
      <c r="AT313" s="115"/>
      <c r="AU313" s="115"/>
      <c r="AV313" s="115"/>
      <c r="AW313" s="115"/>
      <c r="AX313" s="115"/>
      <c r="AY313" s="13"/>
      <c r="AZ313" s="13"/>
      <c r="BC313" s="114"/>
    </row>
    <row r="314" spans="1:55" ht="19.5" x14ac:dyDescent="0.4">
      <c r="A314" s="117"/>
      <c r="B314" s="123"/>
      <c r="C314" s="123"/>
      <c r="D314" s="123"/>
      <c r="G314" s="115"/>
      <c r="H314" s="115"/>
      <c r="I314" s="115"/>
      <c r="J314" s="115"/>
      <c r="K314" s="115"/>
      <c r="L314" s="115"/>
      <c r="M314" s="115"/>
      <c r="N314" s="115"/>
      <c r="O314" s="115"/>
      <c r="P314" s="26"/>
      <c r="Q314" s="13"/>
      <c r="R314" s="115"/>
      <c r="S314" s="115"/>
      <c r="T314" s="115"/>
      <c r="U314" s="115"/>
      <c r="V314" s="115"/>
      <c r="W314" s="115"/>
      <c r="X314" s="115"/>
      <c r="Y314" s="115"/>
      <c r="Z314" s="115"/>
      <c r="AA314" s="25"/>
      <c r="AB314" s="13"/>
      <c r="AG314" s="117"/>
      <c r="AH314" s="123"/>
      <c r="AI314" s="123"/>
      <c r="AJ314" s="123"/>
      <c r="AO314" s="115"/>
      <c r="AP314" s="115"/>
      <c r="AQ314" s="115"/>
      <c r="AR314" s="115"/>
      <c r="AS314" s="115"/>
      <c r="AT314" s="115"/>
      <c r="AU314" s="115"/>
      <c r="AV314" s="115"/>
      <c r="AW314" s="115"/>
      <c r="AX314" s="115"/>
      <c r="AY314" s="13"/>
      <c r="AZ314" s="13"/>
      <c r="BC314" s="114"/>
    </row>
    <row r="315" spans="1:55" ht="19.5" x14ac:dyDescent="0.4">
      <c r="A315" s="117"/>
      <c r="B315" s="123"/>
      <c r="C315" s="123"/>
      <c r="D315" s="123"/>
      <c r="G315" s="115"/>
      <c r="H315" s="115"/>
      <c r="I315" s="115"/>
      <c r="J315" s="115"/>
      <c r="K315" s="115"/>
      <c r="L315" s="115"/>
      <c r="M315" s="115"/>
      <c r="N315" s="115"/>
      <c r="O315" s="115"/>
      <c r="P315" s="17"/>
      <c r="Q315" s="13"/>
      <c r="R315" s="115"/>
      <c r="S315" s="115"/>
      <c r="T315" s="115"/>
      <c r="U315" s="115"/>
      <c r="V315" s="115"/>
      <c r="W315" s="115"/>
      <c r="X315" s="115"/>
      <c r="Y315" s="115"/>
      <c r="Z315" s="115"/>
      <c r="AA315" s="25"/>
      <c r="AB315" s="13"/>
      <c r="AG315" s="117"/>
      <c r="AH315" s="123"/>
      <c r="AI315" s="123"/>
      <c r="AJ315" s="123"/>
      <c r="AO315" s="115"/>
      <c r="AP315" s="115"/>
      <c r="AQ315" s="115"/>
      <c r="AR315" s="115"/>
      <c r="AS315" s="115"/>
      <c r="AT315" s="115"/>
      <c r="AU315" s="115"/>
      <c r="AV315" s="115"/>
      <c r="AW315" s="115"/>
      <c r="AX315" s="115"/>
      <c r="AY315" s="13"/>
      <c r="AZ315" s="13"/>
      <c r="BC315" s="114"/>
    </row>
    <row r="316" spans="1:55" ht="19.5" x14ac:dyDescent="0.4">
      <c r="A316" s="117"/>
      <c r="B316" s="123"/>
      <c r="C316" s="123"/>
      <c r="D316" s="123"/>
      <c r="P316" s="26"/>
      <c r="Q316" s="13"/>
      <c r="R316" s="115"/>
      <c r="S316" s="115"/>
      <c r="T316" s="115"/>
      <c r="U316" s="115"/>
      <c r="V316" s="115"/>
      <c r="W316" s="115"/>
      <c r="X316" s="115"/>
      <c r="Y316" s="115"/>
      <c r="Z316" s="115"/>
      <c r="AA316" s="25">
        <v>45682</v>
      </c>
      <c r="AB316" s="13" t="s">
        <v>147</v>
      </c>
      <c r="AG316" s="117"/>
      <c r="AH316" s="123"/>
      <c r="AI316" s="123"/>
      <c r="AJ316" s="123"/>
      <c r="AO316" s="115"/>
      <c r="AP316" s="115"/>
      <c r="AQ316" s="115"/>
      <c r="AR316" s="115"/>
      <c r="AS316" s="115"/>
      <c r="AT316" s="115"/>
      <c r="AU316" s="115"/>
      <c r="AV316" s="115"/>
      <c r="AW316" s="115"/>
      <c r="AX316" s="115"/>
      <c r="AY316" s="13"/>
      <c r="AZ316" s="13"/>
      <c r="BC316" s="114"/>
    </row>
    <row r="317" spans="1:55" ht="19.5" x14ac:dyDescent="0.4">
      <c r="A317" s="117"/>
      <c r="B317" s="123"/>
      <c r="C317" s="123"/>
      <c r="D317" s="123"/>
      <c r="J317" s="115"/>
      <c r="K317" s="115"/>
      <c r="L317" s="115"/>
      <c r="M317" s="115"/>
      <c r="N317" s="115"/>
      <c r="O317" s="115"/>
      <c r="P317" s="17"/>
      <c r="Q317" s="13"/>
      <c r="R317" s="115"/>
      <c r="S317" s="115"/>
      <c r="T317" s="115"/>
      <c r="U317" s="115"/>
      <c r="V317" s="115"/>
      <c r="W317" s="115"/>
      <c r="X317" s="115"/>
      <c r="Y317" s="115"/>
      <c r="Z317" s="115"/>
      <c r="AA317" s="25"/>
      <c r="AB317" s="13"/>
      <c r="AG317" s="117"/>
      <c r="AH317" s="123"/>
      <c r="AI317" s="123"/>
      <c r="AJ317" s="123"/>
      <c r="AO317" s="115"/>
      <c r="AP317" s="115"/>
      <c r="AQ317" s="115"/>
      <c r="AR317" s="115"/>
      <c r="AS317" s="115"/>
      <c r="AT317" s="115"/>
      <c r="AU317" s="115"/>
      <c r="AV317" s="115"/>
      <c r="AW317" s="115"/>
      <c r="AX317" s="115"/>
      <c r="AY317" s="13"/>
      <c r="AZ317" s="13"/>
      <c r="BC317" s="114"/>
    </row>
    <row r="318" spans="1:55" ht="19.5" x14ac:dyDescent="0.4">
      <c r="A318" s="117"/>
      <c r="B318" s="123"/>
      <c r="C318" s="123"/>
      <c r="D318" s="123"/>
      <c r="J318" s="115"/>
      <c r="K318" s="115"/>
      <c r="L318" s="115"/>
      <c r="M318" s="115"/>
      <c r="N318" s="115"/>
      <c r="O318" s="115"/>
      <c r="P318" s="17"/>
      <c r="Q318" s="13"/>
      <c r="R318" s="115"/>
      <c r="S318" s="115"/>
      <c r="T318" s="115"/>
      <c r="U318" s="115"/>
      <c r="V318" s="115"/>
      <c r="W318" s="115"/>
      <c r="X318" s="115"/>
      <c r="Y318" s="115"/>
      <c r="Z318" s="115"/>
      <c r="AA318" s="25"/>
      <c r="AB318" s="13"/>
      <c r="AG318" s="117"/>
      <c r="AH318" s="123"/>
      <c r="AI318" s="123"/>
      <c r="AJ318" s="123"/>
      <c r="AO318" s="115"/>
      <c r="AP318" s="115"/>
      <c r="AQ318" s="115"/>
      <c r="AR318" s="115"/>
      <c r="AS318" s="115"/>
      <c r="AT318" s="115"/>
      <c r="AU318" s="115"/>
      <c r="AV318" s="115"/>
      <c r="AW318" s="115"/>
      <c r="AX318" s="115"/>
      <c r="AY318" s="13"/>
      <c r="AZ318" s="13"/>
      <c r="BC318" s="114"/>
    </row>
    <row r="319" spans="1:55" ht="19.5" x14ac:dyDescent="0.4">
      <c r="A319" s="117"/>
      <c r="B319" s="123"/>
      <c r="C319" s="123"/>
      <c r="D319" s="123"/>
      <c r="P319" s="129"/>
      <c r="Q319" s="13"/>
      <c r="R319" s="115"/>
      <c r="S319" s="115"/>
      <c r="T319" s="115"/>
      <c r="U319" s="115"/>
      <c r="V319" s="115"/>
      <c r="W319" s="115"/>
      <c r="X319" s="115"/>
      <c r="Y319" s="115"/>
      <c r="Z319" s="115"/>
      <c r="AA319" s="25"/>
      <c r="AB319" s="13"/>
      <c r="AG319" s="117"/>
      <c r="AH319" s="123"/>
      <c r="AI319" s="123"/>
      <c r="AJ319" s="123"/>
      <c r="AO319" s="115"/>
      <c r="AP319" s="115"/>
      <c r="AQ319" s="115"/>
      <c r="AR319" s="115"/>
      <c r="AS319" s="115"/>
      <c r="AT319" s="115"/>
      <c r="AU319" s="115"/>
      <c r="AV319" s="115"/>
      <c r="AW319" s="115"/>
      <c r="AX319" s="115"/>
      <c r="AY319" s="13"/>
      <c r="AZ319" s="13"/>
      <c r="BC319" s="114"/>
    </row>
    <row r="320" spans="1:55" ht="19.5" x14ac:dyDescent="0.4">
      <c r="A320" s="117"/>
      <c r="B320" s="123"/>
      <c r="C320" s="123"/>
      <c r="D320" s="123"/>
      <c r="P320" s="26"/>
      <c r="Q320" s="13"/>
      <c r="R320" s="115"/>
      <c r="S320" s="115"/>
      <c r="T320" s="115"/>
      <c r="U320" s="115"/>
      <c r="V320" s="115"/>
      <c r="W320" s="115"/>
      <c r="X320" s="115"/>
      <c r="Y320" s="115"/>
      <c r="Z320" s="115"/>
      <c r="AA320" s="25"/>
      <c r="AB320" s="13"/>
      <c r="AG320" s="117"/>
      <c r="AH320" s="123"/>
      <c r="AI320" s="123"/>
      <c r="AJ320" s="123"/>
      <c r="AO320" s="115"/>
      <c r="AP320" s="115"/>
      <c r="AQ320" s="115"/>
      <c r="AR320" s="115"/>
      <c r="AS320" s="115"/>
      <c r="AT320" s="115"/>
      <c r="AU320" s="115"/>
      <c r="AV320" s="115"/>
      <c r="AW320" s="115"/>
      <c r="AX320" s="115"/>
      <c r="AY320" s="13"/>
      <c r="AZ320" s="13"/>
      <c r="BC320" s="114"/>
    </row>
    <row r="321" spans="1:55" ht="19.5" x14ac:dyDescent="0.4">
      <c r="A321" s="117"/>
      <c r="B321" s="123"/>
      <c r="C321" s="123"/>
      <c r="D321" s="123"/>
      <c r="P321" s="26"/>
      <c r="Q321" s="13"/>
      <c r="AA321" s="25">
        <v>45682</v>
      </c>
      <c r="AB321" s="15" t="s">
        <v>146</v>
      </c>
      <c r="AG321" s="117"/>
      <c r="AH321" s="123"/>
      <c r="AI321" s="123"/>
      <c r="AJ321" s="123"/>
      <c r="AO321" s="115"/>
      <c r="AP321" s="115"/>
      <c r="AQ321" s="115"/>
      <c r="AR321" s="115"/>
      <c r="AS321" s="115"/>
      <c r="AT321" s="115"/>
      <c r="AU321" s="115"/>
      <c r="AV321" s="115"/>
      <c r="AW321" s="115"/>
      <c r="AX321" s="115"/>
      <c r="AY321" s="13"/>
      <c r="AZ321" s="13"/>
      <c r="BC321" s="114"/>
    </row>
    <row r="322" spans="1:55" ht="19.5" x14ac:dyDescent="0.4">
      <c r="A322" s="117"/>
      <c r="B322" s="123"/>
      <c r="C322" s="123"/>
      <c r="D322" s="123"/>
      <c r="P322" s="129"/>
      <c r="Q322" s="13"/>
      <c r="AA322" s="25"/>
      <c r="AB322" s="15"/>
      <c r="AG322" s="117"/>
      <c r="AH322" s="123"/>
      <c r="AI322" s="123"/>
      <c r="AJ322" s="123"/>
      <c r="AO322" s="115"/>
      <c r="AP322" s="115"/>
      <c r="AQ322" s="115"/>
      <c r="AR322" s="115"/>
      <c r="AS322" s="115"/>
      <c r="AT322" s="115"/>
      <c r="AU322" s="115"/>
      <c r="AV322" s="115"/>
      <c r="AW322" s="115"/>
      <c r="AX322" s="115"/>
      <c r="AY322" s="13"/>
      <c r="AZ322" s="13"/>
      <c r="BC322" s="114"/>
    </row>
    <row r="323" spans="1:55" ht="19.5" x14ac:dyDescent="0.4">
      <c r="A323" s="117"/>
      <c r="B323" s="123"/>
      <c r="C323" s="123"/>
      <c r="D323" s="123"/>
      <c r="P323" s="26"/>
      <c r="Q323" s="13"/>
      <c r="AA323" s="25"/>
      <c r="AB323" s="15"/>
      <c r="AG323" s="117"/>
      <c r="AH323" s="123"/>
      <c r="AI323" s="123"/>
      <c r="AJ323" s="123"/>
      <c r="AO323" s="115"/>
      <c r="AP323" s="115"/>
      <c r="AQ323" s="115"/>
      <c r="AR323" s="115"/>
      <c r="AS323" s="115"/>
      <c r="AT323" s="115"/>
      <c r="AU323" s="115"/>
      <c r="AV323" s="115"/>
      <c r="AW323" s="115"/>
      <c r="AX323" s="115"/>
      <c r="AY323" s="13"/>
      <c r="AZ323" s="13"/>
      <c r="BC323" s="114"/>
    </row>
    <row r="324" spans="1:55" ht="19.5" x14ac:dyDescent="0.4">
      <c r="A324" s="117"/>
      <c r="B324" s="123"/>
      <c r="C324" s="123"/>
      <c r="D324" s="123"/>
      <c r="I324" s="115"/>
      <c r="J324" s="115"/>
      <c r="K324" s="115"/>
      <c r="L324" s="115"/>
      <c r="M324" s="115"/>
      <c r="N324" s="115"/>
      <c r="O324" s="115"/>
      <c r="P324" s="26"/>
      <c r="Q324" s="13"/>
      <c r="AA324" s="25"/>
      <c r="AB324" s="15"/>
      <c r="AG324" s="117"/>
      <c r="AH324" s="123"/>
      <c r="AI324" s="123"/>
      <c r="AJ324" s="123"/>
      <c r="AO324" s="115"/>
      <c r="AP324" s="115"/>
      <c r="AQ324" s="115"/>
      <c r="AR324" s="115"/>
      <c r="AS324" s="115"/>
      <c r="AT324" s="115"/>
      <c r="AU324" s="115"/>
      <c r="AV324" s="115"/>
      <c r="AW324" s="115"/>
      <c r="AX324" s="115"/>
      <c r="AY324" s="13"/>
      <c r="AZ324" s="13"/>
      <c r="BC324" s="114"/>
    </row>
    <row r="325" spans="1:55" ht="19.5" x14ac:dyDescent="0.4">
      <c r="A325" s="117"/>
      <c r="B325" s="123"/>
      <c r="C325" s="123"/>
      <c r="D325" s="123"/>
      <c r="P325" s="26"/>
      <c r="Q325" s="13"/>
      <c r="R325" s="115"/>
      <c r="S325" s="115"/>
      <c r="T325" s="115"/>
      <c r="U325" s="115"/>
      <c r="V325" s="115"/>
      <c r="W325" s="115"/>
      <c r="X325" s="115"/>
      <c r="Y325" s="115"/>
      <c r="Z325" s="115"/>
      <c r="AA325" s="25">
        <v>45682</v>
      </c>
      <c r="AB325" s="15" t="s">
        <v>146</v>
      </c>
      <c r="AG325" s="117"/>
      <c r="AH325" s="123"/>
      <c r="AI325" s="123"/>
      <c r="AJ325" s="123"/>
      <c r="AO325" s="115"/>
      <c r="AP325" s="115"/>
      <c r="AQ325" s="115"/>
      <c r="AR325" s="115"/>
      <c r="AS325" s="115"/>
      <c r="AT325" s="115"/>
      <c r="AU325" s="115"/>
      <c r="AV325" s="115"/>
      <c r="AW325" s="115"/>
      <c r="AX325" s="115"/>
      <c r="AY325" s="13"/>
      <c r="AZ325" s="13"/>
      <c r="BC325" s="114"/>
    </row>
    <row r="326" spans="1:55" ht="19.5" x14ac:dyDescent="0.4">
      <c r="A326" s="117"/>
      <c r="B326" s="123"/>
      <c r="C326" s="123"/>
      <c r="D326" s="123"/>
      <c r="P326" s="129"/>
      <c r="Q326" s="13"/>
      <c r="R326" s="115"/>
      <c r="S326" s="115"/>
      <c r="T326" s="115"/>
      <c r="U326" s="115"/>
      <c r="V326" s="115"/>
      <c r="W326" s="115"/>
      <c r="X326" s="115"/>
      <c r="Y326" s="115"/>
      <c r="Z326" s="115"/>
      <c r="AA326" s="25"/>
      <c r="AB326" s="15"/>
      <c r="AG326" s="117"/>
      <c r="AH326" s="123"/>
      <c r="AI326" s="123"/>
      <c r="AJ326" s="123"/>
      <c r="AO326" s="115"/>
      <c r="AP326" s="115"/>
      <c r="AQ326" s="115"/>
      <c r="AR326" s="115"/>
      <c r="AS326" s="115"/>
      <c r="AT326" s="115"/>
      <c r="AU326" s="115"/>
      <c r="AV326" s="115"/>
      <c r="AW326" s="115"/>
      <c r="AX326" s="115"/>
      <c r="AY326" s="13"/>
      <c r="AZ326" s="13"/>
      <c r="BC326" s="114"/>
    </row>
    <row r="327" spans="1:55" ht="19.5" x14ac:dyDescent="0.4">
      <c r="A327" s="117"/>
      <c r="B327" s="123"/>
      <c r="C327" s="123"/>
      <c r="D327" s="123"/>
      <c r="P327" s="26"/>
      <c r="Q327" s="13"/>
      <c r="R327" s="115"/>
      <c r="S327" s="115"/>
      <c r="T327" s="115"/>
      <c r="U327" s="115"/>
      <c r="V327" s="115"/>
      <c r="W327" s="115"/>
      <c r="X327" s="115"/>
      <c r="Y327" s="115"/>
      <c r="Z327" s="115"/>
      <c r="AA327" s="25">
        <v>45682</v>
      </c>
      <c r="AB327" s="15" t="s">
        <v>148</v>
      </c>
      <c r="AG327" s="117"/>
      <c r="AH327" s="123"/>
      <c r="AI327" s="123"/>
      <c r="AJ327" s="123"/>
      <c r="AO327" s="115"/>
      <c r="AP327" s="115"/>
      <c r="AQ327" s="115"/>
      <c r="AR327" s="115"/>
      <c r="AS327" s="115"/>
      <c r="AT327" s="115"/>
      <c r="AU327" s="115"/>
      <c r="AV327" s="115"/>
      <c r="AW327" s="115"/>
      <c r="AX327" s="115"/>
      <c r="AY327" s="13"/>
      <c r="AZ327" s="13"/>
      <c r="BC327" s="114"/>
    </row>
    <row r="328" spans="1:55" ht="19.5" x14ac:dyDescent="0.4">
      <c r="A328" s="117"/>
      <c r="B328" s="123"/>
      <c r="C328" s="123"/>
      <c r="D328" s="123"/>
      <c r="P328" s="26"/>
      <c r="Q328" s="13"/>
      <c r="R328" s="115"/>
      <c r="S328" s="115"/>
      <c r="T328" s="115"/>
      <c r="U328" s="115"/>
      <c r="V328" s="115"/>
      <c r="W328" s="115"/>
      <c r="X328" s="115"/>
      <c r="Y328" s="115"/>
      <c r="Z328" s="115"/>
      <c r="AA328" s="25">
        <v>45682</v>
      </c>
      <c r="AB328" s="15" t="s">
        <v>146</v>
      </c>
      <c r="AG328" s="117"/>
      <c r="AH328" s="123"/>
      <c r="AI328" s="123"/>
      <c r="AJ328" s="123"/>
      <c r="AO328" s="115"/>
      <c r="AP328" s="115"/>
      <c r="AQ328" s="115"/>
      <c r="AR328" s="115"/>
      <c r="AS328" s="115"/>
      <c r="AT328" s="115"/>
      <c r="AU328" s="115"/>
      <c r="AV328" s="115"/>
      <c r="AW328" s="115"/>
      <c r="AX328" s="115"/>
      <c r="AY328" s="13"/>
      <c r="AZ328" s="13"/>
      <c r="BC328" s="114"/>
    </row>
    <row r="329" spans="1:55" ht="19.5" x14ac:dyDescent="0.4">
      <c r="A329" s="117"/>
      <c r="B329" s="123"/>
      <c r="C329" s="123"/>
      <c r="D329" s="123"/>
      <c r="P329" s="26"/>
      <c r="Q329" s="13"/>
      <c r="R329" s="115"/>
      <c r="S329" s="115"/>
      <c r="T329" s="115"/>
      <c r="U329" s="115"/>
      <c r="V329" s="115"/>
      <c r="W329" s="115"/>
      <c r="X329" s="115"/>
      <c r="Y329" s="115"/>
      <c r="Z329" s="115"/>
      <c r="AA329" s="25">
        <v>45682</v>
      </c>
      <c r="AB329" s="15" t="s">
        <v>148</v>
      </c>
      <c r="AG329" s="117"/>
      <c r="AH329" s="123"/>
      <c r="AI329" s="123"/>
      <c r="AJ329" s="123"/>
      <c r="AO329" s="115"/>
      <c r="AP329" s="115"/>
      <c r="AQ329" s="115"/>
      <c r="AR329" s="115"/>
      <c r="AS329" s="115"/>
      <c r="AT329" s="115"/>
      <c r="AU329" s="115"/>
      <c r="AV329" s="115"/>
      <c r="AW329" s="115"/>
      <c r="AX329" s="115"/>
      <c r="AY329" s="13"/>
      <c r="AZ329" s="13"/>
      <c r="BC329" s="114"/>
    </row>
    <row r="330" spans="1:55" ht="19.5" x14ac:dyDescent="0.4">
      <c r="A330" s="117"/>
      <c r="B330" s="123"/>
      <c r="C330" s="123"/>
      <c r="D330" s="123"/>
      <c r="I330" s="115"/>
      <c r="J330" s="115"/>
      <c r="K330" s="115"/>
      <c r="L330" s="115"/>
      <c r="M330" s="115"/>
      <c r="N330" s="115"/>
      <c r="O330" s="115"/>
      <c r="P330" s="26"/>
      <c r="Q330" s="13"/>
      <c r="R330" s="115"/>
      <c r="S330" s="115"/>
      <c r="T330" s="115"/>
      <c r="U330" s="115"/>
      <c r="V330" s="115"/>
      <c r="W330" s="115"/>
      <c r="X330" s="115"/>
      <c r="Y330" s="115"/>
      <c r="Z330" s="115"/>
      <c r="AA330" s="25"/>
      <c r="AB330" s="15"/>
      <c r="AG330" s="117"/>
      <c r="AH330" s="123"/>
      <c r="AI330" s="123"/>
      <c r="AJ330" s="123"/>
      <c r="AO330" s="115"/>
      <c r="AP330" s="115"/>
      <c r="AQ330" s="115"/>
      <c r="AR330" s="115"/>
      <c r="AS330" s="115"/>
      <c r="AT330" s="115"/>
      <c r="AU330" s="115"/>
      <c r="AV330" s="115"/>
      <c r="AW330" s="115"/>
      <c r="AX330" s="115"/>
      <c r="AY330" s="13"/>
      <c r="AZ330" s="13"/>
      <c r="BC330" s="114"/>
    </row>
    <row r="331" spans="1:55" ht="19.5" x14ac:dyDescent="0.4">
      <c r="A331" s="117"/>
      <c r="B331" s="123"/>
      <c r="C331" s="123"/>
      <c r="D331" s="123"/>
      <c r="P331" s="26"/>
      <c r="Q331" s="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25">
        <v>45682</v>
      </c>
      <c r="AB331" s="15" t="s">
        <v>148</v>
      </c>
      <c r="AG331" s="117"/>
      <c r="AH331" s="123"/>
      <c r="AI331" s="123"/>
      <c r="AJ331" s="123"/>
      <c r="AO331" s="115"/>
      <c r="AP331" s="115"/>
      <c r="AQ331" s="115"/>
      <c r="AR331" s="115"/>
      <c r="AS331" s="115"/>
      <c r="AT331" s="115"/>
      <c r="AU331" s="115"/>
      <c r="AV331" s="115"/>
      <c r="AW331" s="115"/>
      <c r="AX331" s="115"/>
      <c r="AY331" s="13"/>
      <c r="AZ331" s="13"/>
      <c r="BC331" s="114"/>
    </row>
    <row r="332" spans="1:55" ht="19.5" x14ac:dyDescent="0.4">
      <c r="A332" s="117"/>
      <c r="B332" s="123"/>
      <c r="C332" s="123"/>
      <c r="D332" s="123"/>
      <c r="P332" s="26"/>
      <c r="Q332" s="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25">
        <v>45682</v>
      </c>
      <c r="AB332" s="105" t="s">
        <v>148</v>
      </c>
      <c r="AG332" s="117"/>
      <c r="AH332" s="123"/>
      <c r="AI332" s="123"/>
      <c r="AJ332" s="123"/>
      <c r="AO332" s="115"/>
      <c r="AP332" s="115"/>
      <c r="AQ332" s="115"/>
      <c r="AR332" s="115"/>
      <c r="AS332" s="115"/>
      <c r="AT332" s="115"/>
      <c r="AU332" s="115"/>
      <c r="AV332" s="115"/>
      <c r="AW332" s="115"/>
      <c r="AX332" s="115"/>
      <c r="AY332" s="13"/>
      <c r="AZ332" s="13"/>
      <c r="BC332" s="114"/>
    </row>
    <row r="333" spans="1:55" ht="19.5" x14ac:dyDescent="0.4">
      <c r="A333" s="117"/>
      <c r="B333" s="123"/>
      <c r="C333" s="123"/>
      <c r="D333" s="123"/>
      <c r="P333" s="26"/>
      <c r="Q333" s="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25">
        <v>45682</v>
      </c>
      <c r="AB333" s="105" t="s">
        <v>146</v>
      </c>
      <c r="AG333" s="117"/>
      <c r="AH333" s="123"/>
      <c r="AI333" s="123"/>
      <c r="AJ333" s="123"/>
      <c r="AO333" s="115"/>
      <c r="AP333" s="115"/>
      <c r="AQ333" s="115"/>
      <c r="AR333" s="115"/>
      <c r="AS333" s="115"/>
      <c r="AT333" s="115"/>
      <c r="AU333" s="115"/>
      <c r="AV333" s="115"/>
      <c r="AW333" s="115"/>
      <c r="AX333" s="115"/>
      <c r="AY333" s="13"/>
      <c r="AZ333" s="13"/>
      <c r="BC333" s="114"/>
    </row>
    <row r="334" spans="1:55" ht="19.5" x14ac:dyDescent="0.4">
      <c r="A334" s="117"/>
      <c r="B334" s="123"/>
      <c r="C334" s="123"/>
      <c r="D334" s="123"/>
      <c r="P334" s="129"/>
      <c r="Q334" s="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25"/>
      <c r="AB334" s="105"/>
      <c r="AG334" s="117"/>
      <c r="AH334" s="123"/>
      <c r="AI334" s="123"/>
      <c r="AJ334" s="123"/>
      <c r="AO334" s="115"/>
      <c r="AP334" s="115"/>
      <c r="AQ334" s="115"/>
      <c r="AR334" s="115"/>
      <c r="AS334" s="115"/>
      <c r="AT334" s="115"/>
      <c r="AU334" s="115"/>
      <c r="AV334" s="115"/>
      <c r="AW334" s="115"/>
      <c r="AX334" s="115"/>
      <c r="AY334" s="13"/>
      <c r="AZ334" s="13"/>
      <c r="BC334" s="114"/>
    </row>
    <row r="335" spans="1:55" ht="19.5" x14ac:dyDescent="0.4">
      <c r="A335" s="117"/>
      <c r="B335" s="123"/>
      <c r="C335" s="123"/>
      <c r="D335" s="123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26"/>
      <c r="Q335" s="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25">
        <v>45682</v>
      </c>
      <c r="AB335" s="15" t="s">
        <v>146</v>
      </c>
      <c r="AG335" s="117"/>
      <c r="AH335" s="123"/>
      <c r="AI335" s="123"/>
      <c r="AJ335" s="123"/>
      <c r="AO335" s="115"/>
      <c r="AP335" s="115"/>
      <c r="AQ335" s="115"/>
      <c r="AR335" s="115"/>
      <c r="AS335" s="115"/>
      <c r="AT335" s="115"/>
      <c r="AU335" s="115"/>
      <c r="AV335" s="115"/>
      <c r="AW335" s="115"/>
      <c r="AX335" s="115"/>
      <c r="AY335" s="13"/>
      <c r="AZ335" s="13"/>
      <c r="BC335" s="114"/>
    </row>
    <row r="336" spans="1:55" ht="19.5" x14ac:dyDescent="0.4">
      <c r="A336" s="117"/>
      <c r="B336" s="123"/>
      <c r="C336" s="123"/>
      <c r="D336" s="123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26"/>
      <c r="Q336" s="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25">
        <v>45683</v>
      </c>
      <c r="AB336" s="13" t="s">
        <v>147</v>
      </c>
      <c r="AG336" s="117"/>
      <c r="AH336" s="123"/>
      <c r="AI336" s="123"/>
      <c r="AJ336" s="123"/>
      <c r="AO336" s="115"/>
      <c r="AP336" s="115"/>
      <c r="AQ336" s="115"/>
      <c r="AR336" s="115"/>
      <c r="AS336" s="115"/>
      <c r="AT336" s="115"/>
      <c r="AU336" s="115"/>
      <c r="AV336" s="115"/>
      <c r="AW336" s="115"/>
      <c r="AX336" s="115"/>
      <c r="AY336" s="13"/>
      <c r="AZ336" s="13"/>
      <c r="BC336" s="114"/>
    </row>
    <row r="337" spans="1:55" ht="19.5" x14ac:dyDescent="0.4">
      <c r="A337" s="117"/>
      <c r="B337" s="123"/>
      <c r="C337" s="123"/>
      <c r="D337" s="123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26"/>
      <c r="Q337" s="13"/>
      <c r="R337" s="115"/>
      <c r="S337" s="115"/>
      <c r="T337" s="115"/>
      <c r="U337" s="115"/>
      <c r="V337" s="115"/>
      <c r="W337" s="115"/>
      <c r="X337" s="115"/>
      <c r="Y337" s="115"/>
      <c r="Z337" s="115"/>
      <c r="AA337" s="25">
        <v>45683</v>
      </c>
      <c r="AB337" s="13" t="s">
        <v>147</v>
      </c>
      <c r="AG337" s="117"/>
      <c r="AH337" s="123"/>
      <c r="AI337" s="123"/>
      <c r="AJ337" s="123"/>
      <c r="AO337" s="115"/>
      <c r="AP337" s="115"/>
      <c r="AQ337" s="115"/>
      <c r="AR337" s="115"/>
      <c r="AS337" s="115"/>
      <c r="AT337" s="115"/>
      <c r="AU337" s="115"/>
      <c r="AV337" s="115"/>
      <c r="AW337" s="115"/>
      <c r="AX337" s="115"/>
      <c r="AY337" s="13"/>
      <c r="AZ337" s="13"/>
      <c r="BC337" s="114"/>
    </row>
    <row r="338" spans="1:55" ht="19.5" x14ac:dyDescent="0.4">
      <c r="A338" s="117"/>
      <c r="B338" s="123"/>
      <c r="C338" s="123"/>
      <c r="D338" s="123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26"/>
      <c r="Q338" s="13"/>
      <c r="R338" s="115"/>
      <c r="S338" s="115"/>
      <c r="T338" s="115"/>
      <c r="U338" s="115"/>
      <c r="V338" s="115"/>
      <c r="W338" s="115"/>
      <c r="X338" s="115"/>
      <c r="Y338" s="115"/>
      <c r="Z338" s="115"/>
      <c r="AA338" s="25"/>
      <c r="AB338" s="13"/>
      <c r="AG338" s="117"/>
      <c r="AH338" s="123"/>
      <c r="AI338" s="123"/>
      <c r="AJ338" s="123"/>
      <c r="AO338" s="115"/>
      <c r="AP338" s="115"/>
      <c r="AQ338" s="115"/>
      <c r="AR338" s="115"/>
      <c r="AS338" s="115"/>
      <c r="AT338" s="115"/>
      <c r="AU338" s="115"/>
      <c r="AV338" s="115"/>
      <c r="AW338" s="115"/>
      <c r="AX338" s="115"/>
      <c r="AY338" s="13"/>
      <c r="AZ338" s="13"/>
      <c r="BC338" s="114"/>
    </row>
    <row r="339" spans="1:55" ht="19.5" x14ac:dyDescent="0.4">
      <c r="A339" s="117"/>
      <c r="B339" s="123"/>
      <c r="C339" s="123"/>
      <c r="D339" s="123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26"/>
      <c r="Q339" s="13"/>
      <c r="R339" s="115"/>
      <c r="S339" s="115"/>
      <c r="T339" s="115"/>
      <c r="U339" s="115"/>
      <c r="V339" s="115"/>
      <c r="W339" s="115"/>
      <c r="X339" s="115"/>
      <c r="Y339" s="115"/>
      <c r="Z339" s="115"/>
      <c r="AA339" s="25">
        <v>45684</v>
      </c>
      <c r="AB339" s="13" t="s">
        <v>146</v>
      </c>
      <c r="AG339" s="117"/>
      <c r="AH339" s="123"/>
      <c r="AI339" s="123"/>
      <c r="AJ339" s="123"/>
      <c r="AO339" s="115"/>
      <c r="AP339" s="115"/>
      <c r="AQ339" s="115"/>
      <c r="AR339" s="115"/>
      <c r="AS339" s="115"/>
      <c r="AT339" s="115"/>
      <c r="AU339" s="115"/>
      <c r="AV339" s="115"/>
      <c r="AW339" s="115"/>
      <c r="AX339" s="115"/>
      <c r="AY339" s="13"/>
      <c r="AZ339" s="13"/>
      <c r="BC339" s="114"/>
    </row>
    <row r="340" spans="1:55" ht="19.5" x14ac:dyDescent="0.4">
      <c r="A340" s="117"/>
      <c r="B340" s="123"/>
      <c r="C340" s="123"/>
      <c r="D340" s="123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26"/>
      <c r="Q340" s="13"/>
      <c r="R340" s="115"/>
      <c r="S340" s="115"/>
      <c r="T340" s="115"/>
      <c r="U340" s="115"/>
      <c r="V340" s="115"/>
      <c r="W340" s="115"/>
      <c r="X340" s="115"/>
      <c r="Y340" s="115"/>
      <c r="Z340" s="115"/>
      <c r="AA340" s="25"/>
      <c r="AB340" s="13"/>
      <c r="AG340" s="117"/>
      <c r="AH340" s="123"/>
      <c r="AI340" s="123"/>
      <c r="AJ340" s="123"/>
      <c r="AO340" s="115"/>
      <c r="AP340" s="115"/>
      <c r="AQ340" s="115"/>
      <c r="AR340" s="115"/>
      <c r="AS340" s="115"/>
      <c r="AT340" s="115"/>
      <c r="AU340" s="115"/>
      <c r="AV340" s="115"/>
      <c r="AW340" s="115"/>
      <c r="AX340" s="115"/>
      <c r="AY340" s="13"/>
      <c r="AZ340" s="13"/>
      <c r="BC340" s="114"/>
    </row>
    <row r="341" spans="1:55" ht="19.5" x14ac:dyDescent="0.4">
      <c r="A341" s="117"/>
      <c r="B341" s="123"/>
      <c r="C341" s="123"/>
      <c r="D341" s="123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29"/>
      <c r="Q341" s="13"/>
      <c r="R341" s="115"/>
      <c r="S341" s="115"/>
      <c r="T341" s="115"/>
      <c r="U341" s="115"/>
      <c r="V341" s="115"/>
      <c r="W341" s="115"/>
      <c r="X341" s="115"/>
      <c r="Y341" s="115"/>
      <c r="Z341" s="115"/>
      <c r="AA341" s="25"/>
      <c r="AB341" s="13"/>
      <c r="AG341" s="117"/>
      <c r="AH341" s="123"/>
      <c r="AI341" s="123"/>
      <c r="AJ341" s="123"/>
      <c r="AO341" s="115"/>
      <c r="AP341" s="115"/>
      <c r="AQ341" s="115"/>
      <c r="AR341" s="115"/>
      <c r="AS341" s="115"/>
      <c r="AT341" s="115"/>
      <c r="AU341" s="115"/>
      <c r="AV341" s="115"/>
      <c r="AW341" s="115"/>
      <c r="AX341" s="115"/>
      <c r="AY341" s="13"/>
      <c r="AZ341" s="13"/>
      <c r="BC341" s="114"/>
    </row>
    <row r="342" spans="1:55" ht="19.5" x14ac:dyDescent="0.4">
      <c r="A342" s="117"/>
      <c r="B342" s="123"/>
      <c r="C342" s="123"/>
      <c r="D342" s="123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26"/>
      <c r="Q342" s="13"/>
      <c r="R342" s="115"/>
      <c r="S342" s="115"/>
      <c r="T342" s="115"/>
      <c r="U342" s="115"/>
      <c r="V342" s="115"/>
      <c r="W342" s="115"/>
      <c r="X342" s="115"/>
      <c r="Y342" s="115"/>
      <c r="Z342" s="115"/>
      <c r="AA342" s="25">
        <v>45684</v>
      </c>
      <c r="AB342" s="13" t="s">
        <v>148</v>
      </c>
      <c r="AG342" s="117"/>
      <c r="AH342" s="123"/>
      <c r="AI342" s="123"/>
      <c r="AJ342" s="123"/>
      <c r="AO342" s="115"/>
      <c r="AP342" s="115"/>
      <c r="AQ342" s="115"/>
      <c r="AR342" s="115"/>
      <c r="AS342" s="115"/>
      <c r="AT342" s="115"/>
      <c r="AU342" s="115"/>
      <c r="AV342" s="115"/>
      <c r="AW342" s="115"/>
      <c r="AX342" s="115"/>
      <c r="AY342" s="13"/>
      <c r="AZ342" s="13"/>
      <c r="BC342" s="114"/>
    </row>
    <row r="343" spans="1:55" ht="19.5" x14ac:dyDescent="0.4">
      <c r="A343" s="117"/>
      <c r="B343" s="123"/>
      <c r="C343" s="123"/>
      <c r="D343" s="123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26"/>
      <c r="Q343" s="13"/>
      <c r="R343" s="115"/>
      <c r="S343" s="115"/>
      <c r="T343" s="115"/>
      <c r="U343" s="115"/>
      <c r="V343" s="115"/>
      <c r="W343" s="115"/>
      <c r="X343" s="115"/>
      <c r="Y343" s="115"/>
      <c r="Z343" s="115"/>
      <c r="AA343" s="25"/>
      <c r="AB343" s="13"/>
      <c r="AG343" s="117"/>
      <c r="AH343" s="123"/>
      <c r="AI343" s="123"/>
      <c r="AJ343" s="123"/>
      <c r="AO343" s="115"/>
      <c r="AP343" s="115"/>
      <c r="AQ343" s="115"/>
      <c r="AR343" s="115"/>
      <c r="AS343" s="115"/>
      <c r="AT343" s="115"/>
      <c r="AU343" s="115"/>
      <c r="AV343" s="115"/>
      <c r="AW343" s="115"/>
      <c r="AX343" s="115"/>
      <c r="AY343" s="13"/>
      <c r="AZ343" s="13"/>
      <c r="BC343" s="114"/>
    </row>
    <row r="344" spans="1:55" ht="19.5" x14ac:dyDescent="0.4">
      <c r="A344" s="117"/>
      <c r="B344" s="123"/>
      <c r="C344" s="123"/>
      <c r="D344" s="123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26"/>
      <c r="Q344" s="13"/>
      <c r="R344" s="115"/>
      <c r="S344" s="115"/>
      <c r="T344" s="115"/>
      <c r="U344" s="115"/>
      <c r="V344" s="115"/>
      <c r="W344" s="115"/>
      <c r="X344" s="115"/>
      <c r="Y344" s="115"/>
      <c r="Z344" s="115"/>
      <c r="AA344" s="25"/>
      <c r="AB344" s="13"/>
      <c r="AG344" s="117"/>
      <c r="AH344" s="123"/>
      <c r="AI344" s="123"/>
      <c r="AJ344" s="123"/>
      <c r="AO344" s="115"/>
      <c r="AP344" s="115"/>
      <c r="AQ344" s="115"/>
      <c r="AR344" s="115"/>
      <c r="AS344" s="115"/>
      <c r="AT344" s="115"/>
      <c r="AU344" s="115"/>
      <c r="AV344" s="115"/>
      <c r="AW344" s="115"/>
      <c r="AX344" s="115"/>
      <c r="AY344" s="13"/>
      <c r="AZ344" s="13"/>
      <c r="BC344" s="114"/>
    </row>
    <row r="345" spans="1:55" ht="19.5" x14ac:dyDescent="0.4">
      <c r="A345" s="117"/>
      <c r="B345" s="123"/>
      <c r="C345" s="123"/>
      <c r="D345" s="123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29"/>
      <c r="Q345" s="13"/>
      <c r="R345" s="115"/>
      <c r="S345" s="115"/>
      <c r="T345" s="115"/>
      <c r="U345" s="115"/>
      <c r="V345" s="115"/>
      <c r="W345" s="115"/>
      <c r="X345" s="115"/>
      <c r="Y345" s="115"/>
      <c r="Z345" s="115"/>
      <c r="AA345" s="25"/>
      <c r="AB345" s="13"/>
      <c r="AG345" s="117"/>
      <c r="AH345" s="123"/>
      <c r="AI345" s="123"/>
      <c r="AJ345" s="123"/>
      <c r="AO345" s="115"/>
      <c r="AP345" s="115"/>
      <c r="AQ345" s="115"/>
      <c r="AR345" s="115"/>
      <c r="AS345" s="115"/>
      <c r="AT345" s="115"/>
      <c r="AU345" s="115"/>
      <c r="AV345" s="115"/>
      <c r="AW345" s="115"/>
      <c r="AX345" s="115"/>
      <c r="AY345" s="13"/>
      <c r="AZ345" s="13"/>
      <c r="BC345" s="114"/>
    </row>
    <row r="346" spans="1:55" ht="19.5" x14ac:dyDescent="0.4">
      <c r="A346" s="117"/>
      <c r="B346" s="123"/>
      <c r="C346" s="123"/>
      <c r="D346" s="123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26"/>
      <c r="Q346" s="25"/>
      <c r="R346" s="115"/>
      <c r="S346" s="115"/>
      <c r="T346" s="115"/>
      <c r="U346" s="115"/>
      <c r="V346" s="115"/>
      <c r="W346" s="115"/>
      <c r="X346" s="115"/>
      <c r="Y346" s="115"/>
      <c r="Z346" s="115"/>
      <c r="AA346" s="25"/>
      <c r="AB346" s="13"/>
      <c r="AG346" s="117"/>
      <c r="AH346" s="123"/>
      <c r="AI346" s="123"/>
      <c r="AJ346" s="123"/>
      <c r="AO346" s="115"/>
      <c r="AP346" s="115"/>
      <c r="AQ346" s="115"/>
      <c r="AR346" s="115"/>
      <c r="AS346" s="115"/>
      <c r="AT346" s="115"/>
      <c r="AU346" s="115"/>
      <c r="AV346" s="115"/>
      <c r="AW346" s="115"/>
      <c r="AX346" s="115"/>
      <c r="AY346" s="13"/>
      <c r="AZ346" s="13"/>
      <c r="BC346" s="114"/>
    </row>
    <row r="347" spans="1:55" ht="19.5" x14ac:dyDescent="0.4">
      <c r="A347" s="117"/>
      <c r="B347" s="123"/>
      <c r="C347" s="123"/>
      <c r="D347" s="123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26"/>
      <c r="Q347" s="13"/>
      <c r="R347" s="115"/>
      <c r="S347" s="115"/>
      <c r="T347" s="115"/>
      <c r="U347" s="115"/>
      <c r="V347" s="115"/>
      <c r="W347" s="115"/>
      <c r="X347" s="115"/>
      <c r="Y347" s="115"/>
      <c r="Z347" s="115"/>
      <c r="AA347" s="25"/>
      <c r="AB347" s="13"/>
      <c r="AG347" s="117"/>
      <c r="AH347" s="123"/>
      <c r="AI347" s="123"/>
      <c r="AJ347" s="123"/>
      <c r="AO347" s="115"/>
      <c r="AP347" s="115"/>
      <c r="AQ347" s="115"/>
      <c r="AR347" s="115"/>
      <c r="AS347" s="115"/>
      <c r="AT347" s="115"/>
      <c r="AU347" s="115"/>
      <c r="AV347" s="115"/>
      <c r="AW347" s="115"/>
      <c r="AX347" s="115"/>
      <c r="AY347" s="13"/>
      <c r="AZ347" s="13"/>
      <c r="BC347" s="114"/>
    </row>
    <row r="348" spans="1:55" ht="19.5" x14ac:dyDescent="0.4">
      <c r="A348" s="117"/>
      <c r="B348" s="123"/>
      <c r="C348" s="123"/>
      <c r="D348" s="123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26"/>
      <c r="Q348" s="13"/>
      <c r="R348" s="115"/>
      <c r="S348" s="115"/>
      <c r="T348" s="115"/>
      <c r="U348" s="115"/>
      <c r="V348" s="115"/>
      <c r="W348" s="115"/>
      <c r="X348" s="115"/>
      <c r="Y348" s="115"/>
      <c r="Z348" s="115"/>
      <c r="AA348" s="25"/>
      <c r="AB348" s="13"/>
      <c r="AG348" s="117"/>
      <c r="AH348" s="123"/>
      <c r="AI348" s="123"/>
      <c r="AJ348" s="123"/>
      <c r="AO348" s="115"/>
      <c r="AP348" s="115"/>
      <c r="AQ348" s="115"/>
      <c r="AR348" s="115"/>
      <c r="AS348" s="115"/>
      <c r="AT348" s="115"/>
      <c r="AU348" s="115"/>
      <c r="AV348" s="115"/>
      <c r="AW348" s="115"/>
      <c r="AX348" s="115"/>
      <c r="AY348" s="13"/>
      <c r="AZ348" s="13"/>
      <c r="BC348" s="114"/>
    </row>
    <row r="349" spans="1:55" ht="19.5" x14ac:dyDescent="0.4">
      <c r="A349" s="117"/>
      <c r="B349" s="123"/>
      <c r="C349" s="123"/>
      <c r="D349" s="123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29"/>
      <c r="Q349" s="13"/>
      <c r="R349" s="115"/>
      <c r="S349" s="115"/>
      <c r="T349" s="115"/>
      <c r="U349" s="115"/>
      <c r="V349" s="115"/>
      <c r="W349" s="115"/>
      <c r="X349" s="115"/>
      <c r="Y349" s="115"/>
      <c r="Z349" s="115"/>
      <c r="AA349" s="25"/>
      <c r="AB349" s="13"/>
      <c r="AG349" s="117"/>
      <c r="AH349" s="123"/>
      <c r="AI349" s="123"/>
      <c r="AJ349" s="123"/>
      <c r="AO349" s="115"/>
      <c r="AP349" s="115"/>
      <c r="AQ349" s="115"/>
      <c r="AR349" s="115"/>
      <c r="AS349" s="115"/>
      <c r="AT349" s="115"/>
      <c r="AU349" s="115"/>
      <c r="AV349" s="115"/>
      <c r="AW349" s="115"/>
      <c r="AX349" s="115"/>
      <c r="AY349" s="13"/>
      <c r="AZ349" s="13"/>
      <c r="BC349" s="114"/>
    </row>
    <row r="350" spans="1:55" ht="19.5" x14ac:dyDescent="0.4">
      <c r="A350" s="117"/>
      <c r="B350" s="123"/>
      <c r="C350" s="123"/>
      <c r="D350" s="123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26"/>
      <c r="Q350" s="134"/>
      <c r="R350" s="115"/>
      <c r="S350" s="115"/>
      <c r="T350" s="115"/>
      <c r="U350" s="115"/>
      <c r="V350" s="115"/>
      <c r="W350" s="115"/>
      <c r="X350" s="115"/>
      <c r="Y350" s="115"/>
      <c r="Z350" s="115"/>
      <c r="AA350" s="25"/>
      <c r="AB350" s="13"/>
      <c r="AG350" s="117"/>
      <c r="AH350" s="123"/>
      <c r="AI350" s="123"/>
      <c r="AJ350" s="123"/>
      <c r="AO350" s="115"/>
      <c r="AP350" s="115"/>
      <c r="AQ350" s="115"/>
      <c r="AR350" s="115"/>
      <c r="AS350" s="115"/>
      <c r="AT350" s="115"/>
      <c r="AU350" s="115"/>
      <c r="AV350" s="115"/>
      <c r="AW350" s="115"/>
      <c r="AX350" s="115"/>
      <c r="AY350" s="13"/>
      <c r="AZ350" s="13"/>
      <c r="BC350" s="114"/>
    </row>
    <row r="351" spans="1:55" ht="19.5" x14ac:dyDescent="0.4">
      <c r="A351" s="117"/>
      <c r="B351" s="123"/>
      <c r="C351" s="123"/>
      <c r="D351" s="123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26"/>
      <c r="Q351" s="13"/>
      <c r="R351" s="115"/>
      <c r="S351" s="115"/>
      <c r="T351" s="115"/>
      <c r="U351" s="115"/>
      <c r="V351" s="115"/>
      <c r="W351" s="115"/>
      <c r="X351" s="115"/>
      <c r="Y351" s="115"/>
      <c r="Z351" s="115"/>
      <c r="AA351" s="25">
        <v>45684</v>
      </c>
      <c r="AB351" s="13" t="s">
        <v>147</v>
      </c>
      <c r="AG351" s="117"/>
      <c r="AH351" s="123"/>
      <c r="AI351" s="123"/>
      <c r="AJ351" s="123"/>
      <c r="AO351" s="115"/>
      <c r="AP351" s="115"/>
      <c r="AQ351" s="115"/>
      <c r="AR351" s="115"/>
      <c r="AS351" s="115"/>
      <c r="AT351" s="115"/>
      <c r="AU351" s="115"/>
      <c r="AV351" s="115"/>
      <c r="AW351" s="115"/>
      <c r="AX351" s="115"/>
      <c r="AY351" s="13"/>
      <c r="AZ351" s="13"/>
      <c r="BC351" s="114"/>
    </row>
    <row r="352" spans="1:55" ht="19.5" x14ac:dyDescent="0.4">
      <c r="A352" s="117"/>
      <c r="B352" s="123"/>
      <c r="C352" s="123"/>
      <c r="D352" s="123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29"/>
      <c r="Q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25"/>
      <c r="AB352" s="13"/>
      <c r="AG352" s="117"/>
      <c r="AH352" s="123"/>
      <c r="AI352" s="123"/>
      <c r="AJ352" s="123"/>
      <c r="AO352" s="115"/>
      <c r="AP352" s="115"/>
      <c r="AQ352" s="115"/>
      <c r="AR352" s="115"/>
      <c r="AS352" s="115"/>
      <c r="AT352" s="115"/>
      <c r="AU352" s="115"/>
      <c r="AV352" s="115"/>
      <c r="AW352" s="115"/>
      <c r="AX352" s="115"/>
      <c r="AY352" s="13"/>
      <c r="AZ352" s="13"/>
      <c r="BC352" s="114"/>
    </row>
    <row r="353" spans="1:55" ht="19.5" x14ac:dyDescent="0.4">
      <c r="A353" s="117"/>
      <c r="B353" s="123"/>
      <c r="C353" s="123"/>
      <c r="D353" s="123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26"/>
      <c r="Q353" s="13"/>
      <c r="R353" s="115"/>
      <c r="S353" s="115"/>
      <c r="T353" s="115"/>
      <c r="U353" s="115"/>
      <c r="V353" s="115"/>
      <c r="W353" s="115"/>
      <c r="X353" s="115"/>
      <c r="Y353" s="115"/>
      <c r="Z353" s="115"/>
      <c r="AA353" s="25"/>
      <c r="AB353" s="13"/>
      <c r="AG353" s="117"/>
      <c r="AH353" s="123"/>
      <c r="AI353" s="123"/>
      <c r="AJ353" s="123"/>
      <c r="AO353" s="115"/>
      <c r="AP353" s="115"/>
      <c r="AQ353" s="115"/>
      <c r="AR353" s="115"/>
      <c r="AS353" s="115"/>
      <c r="AT353" s="115"/>
      <c r="AU353" s="115"/>
      <c r="AV353" s="115"/>
      <c r="AW353" s="115"/>
      <c r="AX353" s="115"/>
      <c r="AY353" s="13"/>
      <c r="AZ353" s="13"/>
      <c r="BC353" s="114"/>
    </row>
    <row r="354" spans="1:55" ht="19.5" x14ac:dyDescent="0.4">
      <c r="A354" s="117"/>
      <c r="B354" s="123"/>
      <c r="C354" s="123"/>
      <c r="D354" s="123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26"/>
      <c r="Q354" s="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25">
        <v>45684</v>
      </c>
      <c r="AB354" s="13" t="s">
        <v>146</v>
      </c>
      <c r="AG354" s="117"/>
      <c r="AH354" s="123"/>
      <c r="AI354" s="123"/>
      <c r="AJ354" s="123"/>
      <c r="AO354" s="115"/>
      <c r="AP354" s="115"/>
      <c r="AQ354" s="115"/>
      <c r="AR354" s="115"/>
      <c r="AS354" s="115"/>
      <c r="AT354" s="115"/>
      <c r="AU354" s="115"/>
      <c r="AV354" s="115"/>
      <c r="AW354" s="115"/>
      <c r="AX354" s="115"/>
      <c r="AY354" s="13"/>
      <c r="AZ354" s="13"/>
      <c r="BC354" s="114"/>
    </row>
    <row r="355" spans="1:55" ht="19.5" x14ac:dyDescent="0.4">
      <c r="A355" s="117"/>
      <c r="B355" s="123"/>
      <c r="C355" s="123"/>
      <c r="D355" s="123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29"/>
      <c r="Q355" s="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25"/>
      <c r="AB355" s="13"/>
      <c r="AG355" s="117"/>
      <c r="AH355" s="123"/>
      <c r="AI355" s="123"/>
      <c r="AJ355" s="123"/>
      <c r="AO355" s="115"/>
      <c r="AP355" s="115"/>
      <c r="AQ355" s="115"/>
      <c r="AR355" s="115"/>
      <c r="AS355" s="115"/>
      <c r="AT355" s="115"/>
      <c r="AU355" s="115"/>
      <c r="AV355" s="115"/>
      <c r="AW355" s="115"/>
      <c r="AX355" s="115"/>
      <c r="AY355" s="13"/>
      <c r="AZ355" s="13"/>
      <c r="BC355" s="114"/>
    </row>
    <row r="356" spans="1:55" ht="19.5" x14ac:dyDescent="0.4">
      <c r="A356" s="117"/>
      <c r="B356" s="123"/>
      <c r="C356" s="123"/>
      <c r="D356" s="123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26"/>
      <c r="Q356" s="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25"/>
      <c r="AB356" s="13"/>
      <c r="AG356" s="117"/>
      <c r="AH356" s="123"/>
      <c r="AI356" s="123"/>
      <c r="AJ356" s="123"/>
      <c r="AO356" s="115"/>
      <c r="AP356" s="115"/>
      <c r="AQ356" s="115"/>
      <c r="AR356" s="115"/>
      <c r="AS356" s="115"/>
      <c r="AT356" s="115"/>
      <c r="AU356" s="115"/>
      <c r="AV356" s="115"/>
      <c r="AW356" s="115"/>
      <c r="AX356" s="115"/>
      <c r="AY356" s="13"/>
      <c r="AZ356" s="13"/>
      <c r="BC356" s="114"/>
    </row>
    <row r="357" spans="1:55" ht="19.5" x14ac:dyDescent="0.4">
      <c r="A357" s="117"/>
      <c r="B357" s="123"/>
      <c r="C357" s="123"/>
      <c r="D357" s="123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29"/>
      <c r="Q357" s="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25"/>
      <c r="AB357" s="13"/>
      <c r="AG357" s="117"/>
      <c r="AH357" s="123"/>
      <c r="AI357" s="123"/>
      <c r="AJ357" s="123"/>
      <c r="AO357" s="115"/>
      <c r="AP357" s="115"/>
      <c r="AQ357" s="115"/>
      <c r="AR357" s="115"/>
      <c r="AS357" s="115"/>
      <c r="AT357" s="115"/>
      <c r="AU357" s="115"/>
      <c r="AV357" s="115"/>
      <c r="AW357" s="115"/>
      <c r="AX357" s="115"/>
      <c r="AY357" s="13"/>
      <c r="AZ357" s="13"/>
      <c r="BC357" s="114"/>
    </row>
    <row r="358" spans="1:55" ht="19.5" x14ac:dyDescent="0.4">
      <c r="A358" s="117"/>
      <c r="B358" s="123"/>
      <c r="C358" s="123"/>
      <c r="D358" s="123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26"/>
      <c r="Q358" s="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25"/>
      <c r="AB358" s="13"/>
      <c r="AG358" s="117"/>
      <c r="AH358" s="123"/>
      <c r="AI358" s="123"/>
      <c r="AJ358" s="123"/>
      <c r="AO358" s="115"/>
      <c r="AP358" s="115"/>
      <c r="AQ358" s="115"/>
      <c r="AR358" s="115"/>
      <c r="AS358" s="115"/>
      <c r="AT358" s="115"/>
      <c r="AU358" s="115"/>
      <c r="AV358" s="115"/>
      <c r="AW358" s="115"/>
      <c r="AX358" s="115"/>
      <c r="AY358" s="13"/>
      <c r="AZ358" s="13"/>
      <c r="BC358" s="114"/>
    </row>
    <row r="359" spans="1:55" ht="19.5" x14ac:dyDescent="0.4">
      <c r="A359" s="117"/>
      <c r="B359" s="123"/>
      <c r="C359" s="123"/>
      <c r="D359" s="123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29"/>
      <c r="Q359" s="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25"/>
      <c r="AB359" s="13"/>
      <c r="AG359" s="117"/>
      <c r="AH359" s="123"/>
      <c r="AI359" s="123"/>
      <c r="AJ359" s="123"/>
      <c r="AO359" s="115"/>
      <c r="AP359" s="115"/>
      <c r="AQ359" s="115"/>
      <c r="AR359" s="115"/>
      <c r="AS359" s="115"/>
      <c r="AT359" s="115"/>
      <c r="AU359" s="115"/>
      <c r="AV359" s="115"/>
      <c r="AW359" s="115"/>
      <c r="AX359" s="115"/>
      <c r="AY359" s="13"/>
      <c r="AZ359" s="13"/>
      <c r="BC359" s="114"/>
    </row>
    <row r="360" spans="1:55" ht="19.5" x14ac:dyDescent="0.4">
      <c r="A360" s="117"/>
      <c r="B360" s="123"/>
      <c r="C360" s="123"/>
      <c r="D360" s="123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29"/>
      <c r="Q360" s="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25"/>
      <c r="AB360" s="13"/>
      <c r="AG360" s="117"/>
      <c r="AH360" s="123"/>
      <c r="AI360" s="123"/>
      <c r="AJ360" s="123"/>
      <c r="AO360" s="115"/>
      <c r="AP360" s="115"/>
      <c r="AQ360" s="115"/>
      <c r="AR360" s="115"/>
      <c r="AS360" s="115"/>
      <c r="AT360" s="115"/>
      <c r="AU360" s="115"/>
      <c r="AV360" s="115"/>
      <c r="AW360" s="115"/>
      <c r="AX360" s="115"/>
      <c r="AY360" s="13"/>
      <c r="AZ360" s="13"/>
      <c r="BC360" s="114"/>
    </row>
    <row r="361" spans="1:55" ht="19.5" x14ac:dyDescent="0.4">
      <c r="A361" s="117"/>
      <c r="B361" s="123"/>
      <c r="C361" s="123"/>
      <c r="D361" s="123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26"/>
      <c r="Q361" s="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25">
        <v>45684</v>
      </c>
      <c r="AB361" s="13" t="s">
        <v>147</v>
      </c>
      <c r="AG361" s="117"/>
      <c r="AH361" s="123"/>
      <c r="AI361" s="123"/>
      <c r="AJ361" s="123"/>
      <c r="AO361" s="115"/>
      <c r="AP361" s="115"/>
      <c r="AQ361" s="115"/>
      <c r="AR361" s="115"/>
      <c r="AS361" s="115"/>
      <c r="AT361" s="115"/>
      <c r="AU361" s="115"/>
      <c r="AV361" s="115"/>
      <c r="AW361" s="115"/>
      <c r="AX361" s="115"/>
      <c r="AY361" s="13"/>
      <c r="AZ361" s="13"/>
      <c r="BC361" s="114"/>
    </row>
    <row r="362" spans="1:55" ht="19.5" x14ac:dyDescent="0.4">
      <c r="A362" s="117"/>
      <c r="B362" s="123"/>
      <c r="C362" s="123"/>
      <c r="D362" s="123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26"/>
      <c r="Q362" s="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25">
        <v>45684</v>
      </c>
      <c r="AB362" s="13" t="s">
        <v>146</v>
      </c>
      <c r="AG362" s="117"/>
      <c r="AH362" s="123"/>
      <c r="AI362" s="123"/>
      <c r="AJ362" s="123"/>
      <c r="AO362" s="115"/>
      <c r="AP362" s="115"/>
      <c r="AQ362" s="115"/>
      <c r="AR362" s="115"/>
      <c r="AS362" s="115"/>
      <c r="AT362" s="115"/>
      <c r="AU362" s="115"/>
      <c r="AV362" s="115"/>
      <c r="AW362" s="115"/>
      <c r="AX362" s="115"/>
      <c r="AY362" s="13"/>
      <c r="AZ362" s="13"/>
      <c r="BC362" s="114"/>
    </row>
    <row r="363" spans="1:55" ht="19.5" x14ac:dyDescent="0.4">
      <c r="A363" s="117"/>
      <c r="B363" s="123"/>
      <c r="C363" s="123"/>
      <c r="D363" s="123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26"/>
      <c r="Q363" s="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25">
        <v>45684</v>
      </c>
      <c r="AB363" s="13" t="s">
        <v>146</v>
      </c>
      <c r="AG363" s="117"/>
      <c r="AH363" s="123"/>
      <c r="AI363" s="123"/>
      <c r="AJ363" s="123"/>
      <c r="AO363" s="115"/>
      <c r="AP363" s="115"/>
      <c r="AQ363" s="115"/>
      <c r="AR363" s="115"/>
      <c r="AS363" s="115"/>
      <c r="AT363" s="115"/>
      <c r="AU363" s="115"/>
      <c r="AV363" s="115"/>
      <c r="AW363" s="115"/>
      <c r="AX363" s="115"/>
      <c r="AY363" s="13"/>
      <c r="AZ363" s="13"/>
      <c r="BC363" s="114"/>
    </row>
    <row r="364" spans="1:55" ht="19.5" x14ac:dyDescent="0.4">
      <c r="A364" s="117"/>
      <c r="B364" s="123"/>
      <c r="C364" s="123"/>
      <c r="D364" s="123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20"/>
      <c r="Q364" s="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25"/>
      <c r="AB364" s="13"/>
      <c r="AG364" s="117"/>
      <c r="AH364" s="123"/>
      <c r="AI364" s="123"/>
      <c r="AJ364" s="123"/>
      <c r="AO364" s="115"/>
      <c r="AP364" s="115"/>
      <c r="AQ364" s="115"/>
      <c r="AR364" s="115"/>
      <c r="AS364" s="115"/>
      <c r="AT364" s="115"/>
      <c r="AU364" s="115"/>
      <c r="AV364" s="115"/>
      <c r="AW364" s="115"/>
      <c r="AX364" s="115"/>
      <c r="AY364" s="13"/>
      <c r="AZ364" s="13"/>
      <c r="BC364" s="114"/>
    </row>
    <row r="365" spans="1:55" ht="19.5" x14ac:dyDescent="0.4">
      <c r="A365" s="117"/>
      <c r="B365" s="123"/>
      <c r="C365" s="123"/>
      <c r="D365" s="123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20"/>
      <c r="Q365" s="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25"/>
      <c r="AB365" s="13"/>
      <c r="AG365" s="117"/>
      <c r="AH365" s="123"/>
      <c r="AI365" s="123"/>
      <c r="AJ365" s="123"/>
      <c r="AO365" s="115"/>
      <c r="AP365" s="115"/>
      <c r="AQ365" s="115"/>
      <c r="AR365" s="115"/>
      <c r="AS365" s="115"/>
      <c r="AT365" s="115"/>
      <c r="AU365" s="115"/>
      <c r="AV365" s="115"/>
      <c r="AW365" s="115"/>
      <c r="AX365" s="115"/>
      <c r="AY365" s="13"/>
      <c r="AZ365" s="13"/>
      <c r="BC365" s="114"/>
    </row>
    <row r="366" spans="1:55" ht="19.5" x14ac:dyDescent="0.4">
      <c r="A366" s="117"/>
      <c r="B366" s="123"/>
      <c r="C366" s="123"/>
      <c r="D366" s="123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25"/>
      <c r="Q366" s="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25">
        <v>45684</v>
      </c>
      <c r="AB366" s="13" t="s">
        <v>147</v>
      </c>
      <c r="AG366" s="117"/>
      <c r="AH366" s="123"/>
      <c r="AI366" s="123"/>
      <c r="AJ366" s="123"/>
      <c r="AO366" s="115"/>
      <c r="AP366" s="115"/>
      <c r="AQ366" s="115"/>
      <c r="AR366" s="115"/>
      <c r="AS366" s="115"/>
      <c r="AT366" s="115"/>
      <c r="AU366" s="115"/>
      <c r="AV366" s="115"/>
      <c r="AW366" s="115"/>
      <c r="AX366" s="115"/>
      <c r="AY366" s="13"/>
      <c r="AZ366" s="13"/>
      <c r="BC366" s="114"/>
    </row>
    <row r="367" spans="1:55" ht="19.5" x14ac:dyDescent="0.4">
      <c r="A367" s="117"/>
      <c r="B367" s="123"/>
      <c r="C367" s="123"/>
      <c r="D367" s="123"/>
      <c r="P367" s="25"/>
      <c r="Q367" s="15"/>
      <c r="AA367" s="25">
        <v>45685</v>
      </c>
      <c r="AB367" s="13" t="s">
        <v>146</v>
      </c>
      <c r="AG367" s="117"/>
      <c r="AH367" s="123"/>
      <c r="AI367" s="123"/>
      <c r="AJ367" s="123"/>
      <c r="AO367" s="115"/>
      <c r="AP367" s="115"/>
      <c r="AQ367" s="115"/>
      <c r="AR367" s="115"/>
      <c r="AS367" s="115"/>
      <c r="AT367" s="115"/>
      <c r="AU367" s="115"/>
      <c r="AV367" s="115"/>
      <c r="AW367" s="115"/>
      <c r="AX367" s="115"/>
      <c r="AY367" s="25">
        <v>45263</v>
      </c>
      <c r="AZ367" s="13" t="s">
        <v>162</v>
      </c>
      <c r="BC367" s="114"/>
    </row>
    <row r="368" spans="1:55" ht="19.5" x14ac:dyDescent="0.4">
      <c r="A368" s="117"/>
      <c r="B368" s="123"/>
      <c r="C368" s="123"/>
      <c r="D368" s="123"/>
      <c r="P368" s="25"/>
      <c r="Q368" s="15"/>
      <c r="X368" s="115"/>
      <c r="Y368" s="115"/>
      <c r="Z368" s="115"/>
      <c r="AA368" s="25">
        <v>45685</v>
      </c>
      <c r="AB368" s="13" t="s">
        <v>147</v>
      </c>
      <c r="AG368" s="117"/>
      <c r="AH368" s="123"/>
      <c r="AI368" s="123"/>
      <c r="AJ368" s="123"/>
      <c r="AO368" s="115"/>
      <c r="AP368" s="115"/>
      <c r="AQ368" s="115"/>
      <c r="AR368" s="115"/>
      <c r="AS368" s="115"/>
      <c r="AT368" s="115"/>
      <c r="AU368" s="115"/>
      <c r="AV368" s="115"/>
      <c r="AW368" s="115"/>
      <c r="AX368" s="115"/>
      <c r="AY368" s="25"/>
      <c r="AZ368" s="13"/>
      <c r="BC368" s="114"/>
    </row>
    <row r="369" spans="1:55" ht="19.5" x14ac:dyDescent="0.4">
      <c r="A369" s="117"/>
      <c r="B369" s="123"/>
      <c r="C369" s="123"/>
      <c r="D369" s="123"/>
      <c r="P369" s="133"/>
      <c r="Q369" s="15"/>
      <c r="X369" s="115"/>
      <c r="Y369" s="115"/>
      <c r="Z369" s="115"/>
      <c r="AA369" s="25"/>
      <c r="AB369" s="13"/>
      <c r="AG369" s="117"/>
      <c r="AH369" s="123"/>
      <c r="AI369" s="123"/>
      <c r="AJ369" s="123"/>
      <c r="AO369" s="115"/>
      <c r="AP369" s="115"/>
      <c r="AQ369" s="115"/>
      <c r="AR369" s="115"/>
      <c r="AS369" s="115"/>
      <c r="AT369" s="115"/>
      <c r="AU369" s="115"/>
      <c r="AV369" s="115"/>
      <c r="AW369" s="115"/>
      <c r="AX369" s="115"/>
      <c r="AY369" s="25"/>
      <c r="AZ369" s="13"/>
      <c r="BC369" s="114"/>
    </row>
    <row r="370" spans="1:55" ht="19.5" x14ac:dyDescent="0.4">
      <c r="A370" s="117"/>
      <c r="B370" s="123"/>
      <c r="C370" s="123"/>
      <c r="D370" s="123"/>
      <c r="P370" s="25"/>
      <c r="Q370" s="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25">
        <v>45685</v>
      </c>
      <c r="AB370" s="13" t="s">
        <v>147</v>
      </c>
      <c r="AG370" s="117"/>
      <c r="AH370" s="123"/>
      <c r="AI370" s="123"/>
      <c r="AJ370" s="123"/>
      <c r="AO370" s="115"/>
      <c r="AP370" s="115"/>
      <c r="AQ370" s="115"/>
      <c r="AR370" s="115"/>
      <c r="AS370" s="115"/>
      <c r="AT370" s="115"/>
      <c r="AU370" s="115"/>
      <c r="AV370" s="115"/>
      <c r="AW370" s="115"/>
      <c r="AX370" s="115"/>
      <c r="AY370" s="25"/>
      <c r="AZ370" s="13"/>
      <c r="BC370" s="114"/>
    </row>
    <row r="371" spans="1:55" ht="19.5" x14ac:dyDescent="0.4">
      <c r="A371" s="117"/>
      <c r="B371" s="123"/>
      <c r="C371" s="123"/>
      <c r="D371" s="123"/>
      <c r="P371" s="25"/>
      <c r="Q371" s="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25">
        <v>45685</v>
      </c>
      <c r="AB371" s="13" t="s">
        <v>148</v>
      </c>
      <c r="AG371" s="117"/>
      <c r="AH371" s="123"/>
      <c r="AI371" s="123"/>
      <c r="AJ371" s="123"/>
      <c r="AO371" s="115"/>
      <c r="AP371" s="115"/>
      <c r="AQ371" s="115"/>
      <c r="AR371" s="115"/>
      <c r="AS371" s="115"/>
      <c r="AT371" s="115"/>
      <c r="AU371" s="115"/>
      <c r="AV371" s="115"/>
      <c r="AW371" s="115"/>
      <c r="AX371" s="115"/>
      <c r="AY371" s="25"/>
      <c r="AZ371" s="13"/>
      <c r="BC371" s="114"/>
    </row>
    <row r="372" spans="1:55" ht="19.5" x14ac:dyDescent="0.4">
      <c r="A372" s="117"/>
      <c r="B372" s="123"/>
      <c r="C372" s="123"/>
      <c r="D372" s="123"/>
      <c r="P372" s="25"/>
      <c r="Q372" s="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25">
        <v>45685</v>
      </c>
      <c r="AB372" s="13" t="s">
        <v>148</v>
      </c>
      <c r="AG372" s="117"/>
      <c r="AH372" s="123"/>
      <c r="AI372" s="123"/>
      <c r="AJ372" s="123"/>
      <c r="AO372" s="115"/>
      <c r="AP372" s="115"/>
      <c r="AQ372" s="115"/>
      <c r="AR372" s="115"/>
      <c r="AS372" s="115"/>
      <c r="AT372" s="115"/>
      <c r="AU372" s="115"/>
      <c r="AV372" s="115"/>
      <c r="AW372" s="115"/>
      <c r="AX372" s="115"/>
      <c r="AY372" s="25"/>
      <c r="AZ372" s="13"/>
      <c r="BC372" s="114"/>
    </row>
    <row r="373" spans="1:55" ht="19.5" x14ac:dyDescent="0.4">
      <c r="A373" s="117"/>
      <c r="B373" s="123"/>
      <c r="C373" s="123"/>
      <c r="D373" s="123"/>
      <c r="P373" s="133"/>
      <c r="Q373" s="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25"/>
      <c r="AB373" s="13"/>
      <c r="AG373" s="117"/>
      <c r="AH373" s="123"/>
      <c r="AI373" s="123"/>
      <c r="AJ373" s="123"/>
      <c r="AO373" s="115"/>
      <c r="AP373" s="115"/>
      <c r="AQ373" s="115"/>
      <c r="AR373" s="115"/>
      <c r="AS373" s="115"/>
      <c r="AT373" s="115"/>
      <c r="AU373" s="115"/>
      <c r="AV373" s="115"/>
      <c r="AW373" s="115"/>
      <c r="AX373" s="115"/>
      <c r="AY373" s="25"/>
      <c r="AZ373" s="13"/>
      <c r="BC373" s="114"/>
    </row>
    <row r="374" spans="1:55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115"/>
      <c r="O374" s="115"/>
      <c r="P374" s="25"/>
      <c r="Q374" s="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25"/>
      <c r="AB374" s="13"/>
      <c r="AG374" s="117"/>
      <c r="AH374" s="123"/>
      <c r="AI374" s="123"/>
      <c r="AJ374" s="123"/>
      <c r="AO374" s="115"/>
      <c r="AP374" s="115"/>
      <c r="AQ374" s="115"/>
      <c r="AR374" s="115"/>
      <c r="AS374" s="115"/>
      <c r="AT374" s="115"/>
      <c r="AU374" s="115"/>
      <c r="AV374" s="115"/>
      <c r="AW374" s="115"/>
      <c r="AX374" s="115"/>
      <c r="AY374" s="25"/>
      <c r="AZ374" s="13"/>
      <c r="BC374" s="114"/>
    </row>
    <row r="375" spans="1:55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15"/>
      <c r="O375" s="115"/>
      <c r="P375" s="133"/>
      <c r="Q375" s="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25"/>
      <c r="AB375" s="13"/>
      <c r="AG375" s="117"/>
      <c r="AH375" s="123"/>
      <c r="AI375" s="123"/>
      <c r="AJ375" s="123"/>
      <c r="AO375" s="115"/>
      <c r="AP375" s="115"/>
      <c r="AQ375" s="115"/>
      <c r="AR375" s="115"/>
      <c r="AS375" s="115"/>
      <c r="AT375" s="115"/>
      <c r="AU375" s="115"/>
      <c r="AV375" s="115"/>
      <c r="AW375" s="115"/>
      <c r="AX375" s="115"/>
      <c r="AY375" s="25"/>
      <c r="AZ375" s="13"/>
      <c r="BC375" s="114"/>
    </row>
    <row r="376" spans="1:55" ht="19.5" x14ac:dyDescent="0.4">
      <c r="A376" s="117"/>
      <c r="B376" s="123"/>
      <c r="C376" s="123"/>
      <c r="D376" s="123"/>
      <c r="P376" s="25"/>
      <c r="Q376" s="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25">
        <v>45685</v>
      </c>
      <c r="AB376" s="13" t="s">
        <v>148</v>
      </c>
      <c r="AG376" s="117"/>
      <c r="AH376" s="123"/>
      <c r="AI376" s="123"/>
      <c r="AJ376" s="123"/>
      <c r="AO376" s="115"/>
      <c r="AP376" s="115"/>
      <c r="AQ376" s="115"/>
      <c r="AR376" s="115"/>
      <c r="AS376" s="115"/>
      <c r="AT376" s="115"/>
      <c r="AU376" s="115"/>
      <c r="AV376" s="115"/>
      <c r="AW376" s="115"/>
      <c r="AX376" s="115"/>
      <c r="AY376" s="25"/>
      <c r="AZ376" s="13"/>
      <c r="BC376" s="114"/>
    </row>
    <row r="377" spans="1:55" ht="19.5" x14ac:dyDescent="0.4">
      <c r="A377" s="117"/>
      <c r="B377" s="123"/>
      <c r="C377" s="123"/>
      <c r="D377" s="123"/>
      <c r="P377" s="25"/>
      <c r="Q377" s="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25">
        <v>45685</v>
      </c>
      <c r="AB377" s="13" t="s">
        <v>148</v>
      </c>
      <c r="AG377" s="117"/>
      <c r="AH377" s="123"/>
      <c r="AI377" s="123"/>
      <c r="AJ377" s="123"/>
      <c r="AO377" s="115"/>
      <c r="AP377" s="115"/>
      <c r="AQ377" s="115"/>
      <c r="AR377" s="115"/>
      <c r="AS377" s="115"/>
      <c r="AT377" s="115"/>
      <c r="AU377" s="115"/>
      <c r="AV377" s="115"/>
      <c r="AW377" s="115"/>
      <c r="AX377" s="115"/>
      <c r="AY377" s="25"/>
      <c r="AZ377" s="13"/>
      <c r="BC377" s="114"/>
    </row>
    <row r="378" spans="1:55" ht="19.5" x14ac:dyDescent="0.4">
      <c r="A378" s="117"/>
      <c r="B378" s="123"/>
      <c r="C378" s="123"/>
      <c r="D378" s="123"/>
      <c r="P378" s="25"/>
      <c r="Q378" s="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25">
        <v>45685</v>
      </c>
      <c r="AB378" s="13" t="s">
        <v>146</v>
      </c>
      <c r="AG378" s="117"/>
      <c r="AH378" s="123"/>
      <c r="AI378" s="123"/>
      <c r="AJ378" s="123"/>
      <c r="AO378" s="115"/>
      <c r="AP378" s="115"/>
      <c r="AQ378" s="115"/>
      <c r="AR378" s="115"/>
      <c r="AS378" s="115"/>
      <c r="AT378" s="115"/>
      <c r="AU378" s="115"/>
      <c r="AV378" s="115"/>
      <c r="AW378" s="115"/>
      <c r="AX378" s="115"/>
      <c r="AY378" s="25"/>
      <c r="AZ378" s="13"/>
      <c r="BC378" s="114"/>
    </row>
    <row r="379" spans="1:55" ht="19.5" x14ac:dyDescent="0.4">
      <c r="A379" s="117"/>
      <c r="B379" s="123"/>
      <c r="C379" s="123"/>
      <c r="D379" s="123"/>
      <c r="H379" s="115"/>
      <c r="I379" s="115"/>
      <c r="J379" s="115"/>
      <c r="K379" s="115"/>
      <c r="L379" s="115"/>
      <c r="M379" s="115"/>
      <c r="N379" s="115"/>
      <c r="O379" s="115"/>
      <c r="P379" s="25"/>
      <c r="Q379" s="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25"/>
      <c r="AB379" s="13"/>
      <c r="AG379" s="117"/>
      <c r="AH379" s="123"/>
      <c r="AI379" s="123"/>
      <c r="AJ379" s="123"/>
      <c r="AO379" s="115"/>
      <c r="AP379" s="115"/>
      <c r="AQ379" s="115"/>
      <c r="AR379" s="115"/>
      <c r="AS379" s="115"/>
      <c r="AT379" s="115"/>
      <c r="AU379" s="115"/>
      <c r="AV379" s="115"/>
      <c r="AW379" s="115"/>
      <c r="AX379" s="115"/>
      <c r="AY379" s="25"/>
      <c r="AZ379" s="13"/>
      <c r="BC379" s="114"/>
    </row>
    <row r="380" spans="1:55" ht="19.5" x14ac:dyDescent="0.4">
      <c r="A380" s="117"/>
      <c r="B380" s="123"/>
      <c r="C380" s="123"/>
      <c r="D380" s="123"/>
      <c r="P380" s="25"/>
      <c r="Q380" s="15"/>
      <c r="AA380" s="25">
        <v>45685</v>
      </c>
      <c r="AB380" s="13" t="s">
        <v>148</v>
      </c>
      <c r="AG380" s="117"/>
      <c r="AH380" s="123"/>
      <c r="AI380" s="123"/>
      <c r="AJ380" s="123"/>
      <c r="AO380" s="115"/>
      <c r="AP380" s="115"/>
      <c r="AQ380" s="115"/>
      <c r="AR380" s="115"/>
      <c r="AS380" s="115"/>
      <c r="AT380" s="115"/>
      <c r="AU380" s="115"/>
      <c r="AV380" s="115"/>
      <c r="AW380" s="115"/>
      <c r="AX380" s="115" t="s">
        <v>150</v>
      </c>
      <c r="AY380" s="13">
        <f>SUBTOTAL(3,AY367:AY367)</f>
        <v>1</v>
      </c>
      <c r="AZ380" s="13">
        <f>SUBTOTAL(3,AZ367:AZ367)</f>
        <v>1</v>
      </c>
      <c r="BC380" s="114"/>
    </row>
    <row r="381" spans="1:55" ht="19.5" x14ac:dyDescent="0.4">
      <c r="A381" s="117"/>
      <c r="B381" s="123"/>
      <c r="C381" s="123"/>
      <c r="D381" s="123"/>
      <c r="G381" s="115"/>
      <c r="H381" s="115"/>
      <c r="I381" s="115"/>
      <c r="J381" s="115"/>
      <c r="K381" s="115"/>
      <c r="L381" s="115"/>
      <c r="M381" s="115"/>
      <c r="N381" s="115"/>
      <c r="O381" s="115"/>
      <c r="P381" s="25"/>
      <c r="Q381" s="15"/>
      <c r="AA381" s="25"/>
      <c r="AB381" s="13"/>
      <c r="AG381" s="117"/>
      <c r="AH381" s="123"/>
      <c r="AI381" s="123"/>
      <c r="AJ381" s="123"/>
      <c r="AO381" s="115"/>
      <c r="AP381" s="115"/>
      <c r="AQ381" s="115"/>
      <c r="AR381" s="115"/>
      <c r="AS381" s="115"/>
      <c r="AT381" s="115"/>
      <c r="AU381" s="115"/>
      <c r="AV381" s="115"/>
      <c r="AW381" s="115"/>
      <c r="AX381" s="115"/>
      <c r="AY381" s="13"/>
      <c r="AZ381" s="13"/>
      <c r="BC381" s="114"/>
    </row>
    <row r="382" spans="1:55" ht="19.5" x14ac:dyDescent="0.4">
      <c r="A382" s="117"/>
      <c r="B382" s="123"/>
      <c r="C382" s="123"/>
      <c r="D382" s="123"/>
      <c r="P382" s="25"/>
      <c r="Q382" s="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25">
        <v>45685</v>
      </c>
      <c r="AB382" s="15" t="s">
        <v>146</v>
      </c>
      <c r="AG382" s="117"/>
      <c r="AH382" s="123"/>
      <c r="AI382" s="123"/>
      <c r="AJ382" s="123"/>
      <c r="AO382" s="115"/>
      <c r="AP382" s="115"/>
      <c r="AQ382" s="115"/>
      <c r="AR382" s="115"/>
      <c r="AS382" s="115"/>
      <c r="AT382" s="115"/>
      <c r="AU382" s="115"/>
      <c r="AV382" s="115"/>
      <c r="AW382" s="115"/>
      <c r="AX382" s="115"/>
      <c r="AY382" s="13"/>
      <c r="AZ382" s="13"/>
      <c r="BC382" s="114"/>
    </row>
    <row r="383" spans="1:55" ht="19.5" x14ac:dyDescent="0.4">
      <c r="A383" s="117"/>
      <c r="B383" s="123"/>
      <c r="C383" s="123"/>
      <c r="D383" s="123"/>
      <c r="P383" s="25"/>
      <c r="Q383" s="15"/>
      <c r="AA383" s="25">
        <v>45685</v>
      </c>
      <c r="AB383" s="15" t="s">
        <v>146</v>
      </c>
      <c r="AG383" s="117"/>
      <c r="AH383" s="123"/>
      <c r="AI383" s="123"/>
      <c r="AJ383" s="123"/>
      <c r="AO383" s="115"/>
      <c r="AP383" s="115"/>
      <c r="AQ383" s="115"/>
      <c r="AR383" s="115"/>
      <c r="AS383" s="115"/>
      <c r="AT383" s="115"/>
      <c r="AU383" s="115"/>
      <c r="AV383" s="115"/>
      <c r="AW383" s="115"/>
      <c r="AX383" s="115"/>
      <c r="AY383" s="25">
        <v>45264</v>
      </c>
      <c r="AZ383" s="13" t="s">
        <v>162</v>
      </c>
      <c r="BC383" s="114"/>
    </row>
    <row r="384" spans="1:55" ht="19.5" x14ac:dyDescent="0.4">
      <c r="A384" s="117"/>
      <c r="B384" s="123"/>
      <c r="C384" s="123"/>
      <c r="D384" s="123"/>
      <c r="P384" s="25"/>
      <c r="Q384" s="15"/>
      <c r="W384" s="115"/>
      <c r="X384" s="115"/>
      <c r="Y384" s="115"/>
      <c r="Z384" s="115"/>
      <c r="AA384" s="25">
        <v>45686</v>
      </c>
      <c r="AB384" s="15" t="s">
        <v>148</v>
      </c>
      <c r="AG384" s="117"/>
      <c r="AH384" s="123"/>
      <c r="AI384" s="123"/>
      <c r="AJ384" s="123"/>
      <c r="AO384" s="115"/>
      <c r="AP384" s="115"/>
      <c r="AQ384" s="115"/>
      <c r="AR384" s="115"/>
      <c r="AS384" s="115"/>
      <c r="AT384" s="115"/>
      <c r="AU384" s="115"/>
      <c r="AV384" s="115"/>
      <c r="AW384" s="115"/>
      <c r="AX384" s="115"/>
      <c r="AY384" s="25"/>
      <c r="AZ384" s="13"/>
      <c r="BC384" s="114"/>
    </row>
    <row r="385" spans="1:55" ht="19.5" x14ac:dyDescent="0.4">
      <c r="A385" s="117"/>
      <c r="B385" s="123"/>
      <c r="C385" s="123"/>
      <c r="D385" s="123"/>
      <c r="P385" s="25"/>
      <c r="Q385" s="15"/>
      <c r="U385" s="115"/>
      <c r="V385" s="115"/>
      <c r="W385" s="115"/>
      <c r="X385" s="115"/>
      <c r="Y385" s="115"/>
      <c r="Z385" s="115"/>
      <c r="AA385" s="25">
        <v>45686</v>
      </c>
      <c r="AB385" s="15" t="s">
        <v>146</v>
      </c>
      <c r="AG385" s="117"/>
      <c r="AH385" s="123"/>
      <c r="AI385" s="123"/>
      <c r="AJ385" s="123"/>
      <c r="AO385" s="115"/>
      <c r="AP385" s="115"/>
      <c r="AQ385" s="115"/>
      <c r="AR385" s="115"/>
      <c r="AS385" s="115"/>
      <c r="AT385" s="115"/>
      <c r="AU385" s="115"/>
      <c r="AV385" s="115"/>
      <c r="AW385" s="115"/>
      <c r="AX385" s="115"/>
      <c r="AY385" s="25"/>
      <c r="AZ385" s="13"/>
      <c r="BC385" s="114"/>
    </row>
    <row r="386" spans="1:55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115"/>
      <c r="O386" s="115"/>
      <c r="P386" s="25"/>
      <c r="Q386" s="15"/>
      <c r="U386" s="115"/>
      <c r="V386" s="115"/>
      <c r="W386" s="115"/>
      <c r="X386" s="115"/>
      <c r="Y386" s="115"/>
      <c r="Z386" s="115"/>
      <c r="AA386" s="25"/>
      <c r="AB386" s="15"/>
      <c r="AG386" s="117"/>
      <c r="AH386" s="123"/>
      <c r="AI386" s="123"/>
      <c r="AJ386" s="123"/>
      <c r="AO386" s="115"/>
      <c r="AP386" s="115"/>
      <c r="AQ386" s="115"/>
      <c r="AR386" s="115"/>
      <c r="AS386" s="115"/>
      <c r="AT386" s="115"/>
      <c r="AU386" s="115"/>
      <c r="AV386" s="115"/>
      <c r="AW386" s="115"/>
      <c r="AX386" s="115"/>
      <c r="AY386" s="25"/>
      <c r="AZ386" s="13"/>
      <c r="BC386" s="114"/>
    </row>
    <row r="387" spans="1:55" ht="19.5" x14ac:dyDescent="0.4">
      <c r="A387" s="117"/>
      <c r="B387" s="123"/>
      <c r="C387" s="123"/>
      <c r="D387" s="123"/>
      <c r="P387" s="26"/>
      <c r="Q387" s="15"/>
      <c r="U387" s="115"/>
      <c r="V387" s="115"/>
      <c r="W387" s="115"/>
      <c r="X387" s="115"/>
      <c r="Y387" s="115"/>
      <c r="Z387" s="115"/>
      <c r="AA387" s="25">
        <v>45686</v>
      </c>
      <c r="AB387" s="15" t="s">
        <v>148</v>
      </c>
      <c r="AG387" s="117"/>
      <c r="AH387" s="123"/>
      <c r="AI387" s="123"/>
      <c r="AJ387" s="123"/>
      <c r="AO387" s="115"/>
      <c r="AP387" s="115"/>
      <c r="AQ387" s="115"/>
      <c r="AR387" s="115"/>
      <c r="AS387" s="115"/>
      <c r="AT387" s="115"/>
      <c r="AU387" s="115"/>
      <c r="AV387" s="115"/>
      <c r="AW387" s="115"/>
      <c r="AX387" s="115"/>
      <c r="AY387" s="25"/>
      <c r="AZ387" s="13"/>
      <c r="BC387" s="114"/>
    </row>
    <row r="388" spans="1:55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115"/>
      <c r="O388" s="115"/>
      <c r="P388" s="26"/>
      <c r="Q388" s="13"/>
      <c r="U388" s="115"/>
      <c r="V388" s="115"/>
      <c r="W388" s="115"/>
      <c r="X388" s="115"/>
      <c r="Y388" s="115"/>
      <c r="Z388" s="115"/>
      <c r="AA388" s="25"/>
      <c r="AB388" s="15"/>
      <c r="AG388" s="117"/>
      <c r="AH388" s="123"/>
      <c r="AI388" s="123"/>
      <c r="AJ388" s="123"/>
      <c r="AO388" s="115"/>
      <c r="AP388" s="115"/>
      <c r="AQ388" s="115"/>
      <c r="AR388" s="115"/>
      <c r="AS388" s="115"/>
      <c r="AT388" s="115"/>
      <c r="AU388" s="115"/>
      <c r="AV388" s="115"/>
      <c r="AW388" s="115"/>
      <c r="AX388" s="115"/>
      <c r="AY388" s="25"/>
      <c r="AZ388" s="13"/>
      <c r="BC388" s="114"/>
    </row>
    <row r="389" spans="1:55" ht="19.5" x14ac:dyDescent="0.4">
      <c r="A389" s="117"/>
      <c r="B389" s="123"/>
      <c r="C389" s="123"/>
      <c r="D389" s="123"/>
      <c r="P389" s="26"/>
      <c r="Q389" s="13"/>
      <c r="AA389" s="25">
        <v>45686</v>
      </c>
      <c r="AB389" s="15" t="s">
        <v>146</v>
      </c>
      <c r="AG389" s="117"/>
      <c r="AH389" s="123"/>
      <c r="AI389" s="123"/>
      <c r="AJ389" s="123"/>
      <c r="AO389" s="115"/>
      <c r="AP389" s="115"/>
      <c r="AQ389" s="115"/>
      <c r="AR389" s="115"/>
      <c r="AS389" s="115"/>
      <c r="AT389" s="115"/>
      <c r="AU389" s="115"/>
      <c r="AV389" s="115"/>
      <c r="AW389" s="115"/>
      <c r="AX389" s="115" t="s">
        <v>154</v>
      </c>
      <c r="AY389" s="13">
        <f>SUBTOTAL(3,AY383:AY383)</f>
        <v>1</v>
      </c>
      <c r="AZ389" s="13">
        <f>SUBTOTAL(3,AZ383:AZ383)</f>
        <v>1</v>
      </c>
      <c r="BC389" s="114"/>
    </row>
    <row r="390" spans="1:55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15"/>
      <c r="O390" s="115"/>
      <c r="P390" s="26"/>
      <c r="Q390" s="13"/>
      <c r="AA390" s="25"/>
      <c r="AB390" s="15"/>
      <c r="AG390" s="117"/>
      <c r="AH390" s="123"/>
      <c r="AI390" s="123"/>
      <c r="AJ390" s="123"/>
      <c r="AO390" s="115"/>
      <c r="AP390" s="115"/>
      <c r="AQ390" s="115"/>
      <c r="AR390" s="115"/>
      <c r="AS390" s="115"/>
      <c r="AT390" s="115"/>
      <c r="AU390" s="115"/>
      <c r="AV390" s="115"/>
      <c r="AW390" s="115"/>
      <c r="AX390" s="115"/>
      <c r="AY390" s="13"/>
      <c r="AZ390" s="13"/>
      <c r="BC390" s="114"/>
    </row>
    <row r="391" spans="1:55" ht="19.5" x14ac:dyDescent="0.4">
      <c r="A391" s="117"/>
      <c r="B391" s="123"/>
      <c r="C391" s="123"/>
      <c r="D391" s="123"/>
      <c r="G391" s="115"/>
      <c r="H391" s="115"/>
      <c r="I391" s="115"/>
      <c r="J391" s="115"/>
      <c r="K391" s="115"/>
      <c r="L391" s="115"/>
      <c r="M391" s="115"/>
      <c r="N391" s="115"/>
      <c r="O391" s="115"/>
      <c r="P391" s="26"/>
      <c r="Q391" s="13"/>
      <c r="AA391" s="25"/>
      <c r="AB391" s="15"/>
      <c r="AG391" s="117"/>
      <c r="AH391" s="123"/>
      <c r="AI391" s="123"/>
      <c r="AJ391" s="123"/>
      <c r="AO391" s="115"/>
      <c r="AP391" s="115"/>
      <c r="AQ391" s="115"/>
      <c r="AR391" s="115"/>
      <c r="AS391" s="115"/>
      <c r="AT391" s="115"/>
      <c r="AU391" s="115"/>
      <c r="AV391" s="115"/>
      <c r="AW391" s="115"/>
      <c r="AX391" s="115"/>
      <c r="AY391" s="13"/>
      <c r="AZ391" s="13"/>
      <c r="BC391" s="114"/>
    </row>
    <row r="392" spans="1:55" ht="19.5" x14ac:dyDescent="0.4">
      <c r="A392" s="117"/>
      <c r="B392" s="123"/>
      <c r="C392" s="123"/>
      <c r="D392" s="123"/>
      <c r="P392" s="26"/>
      <c r="Q392" s="13"/>
      <c r="AA392" s="25">
        <v>45686</v>
      </c>
      <c r="AB392" s="15" t="s">
        <v>146</v>
      </c>
      <c r="AG392" s="117"/>
      <c r="AH392" s="123"/>
      <c r="AI392" s="123"/>
      <c r="AJ392" s="123"/>
      <c r="AO392" s="115"/>
      <c r="AP392" s="115"/>
      <c r="AQ392" s="115"/>
      <c r="AR392" s="115"/>
      <c r="AS392" s="115"/>
      <c r="AT392" s="115"/>
      <c r="AU392" s="115"/>
      <c r="AV392" s="115"/>
      <c r="AW392" s="115"/>
      <c r="AX392" s="115"/>
      <c r="AY392" s="25">
        <v>45265</v>
      </c>
      <c r="AZ392" s="13" t="s">
        <v>162</v>
      </c>
      <c r="BC392" s="114"/>
    </row>
    <row r="393" spans="1:55" ht="19.5" x14ac:dyDescent="0.4">
      <c r="A393" s="117"/>
      <c r="B393" s="123"/>
      <c r="C393" s="123"/>
      <c r="D393" s="123"/>
      <c r="P393" s="26"/>
      <c r="Q393" s="13"/>
      <c r="AA393" s="25">
        <v>45686</v>
      </c>
      <c r="AB393" s="15" t="s">
        <v>146</v>
      </c>
      <c r="AG393" s="117"/>
      <c r="AH393" s="123"/>
      <c r="AI393" s="123"/>
      <c r="AJ393" s="123"/>
      <c r="AO393" s="115"/>
      <c r="AP393" s="115"/>
      <c r="AQ393" s="115"/>
      <c r="AR393" s="115"/>
      <c r="AS393" s="115"/>
      <c r="AT393" s="115"/>
      <c r="AU393" s="115"/>
      <c r="AV393" s="115"/>
      <c r="AW393" s="115"/>
      <c r="AX393" s="115"/>
      <c r="AY393" s="25">
        <v>45265</v>
      </c>
      <c r="AZ393" s="25" t="s">
        <v>162</v>
      </c>
      <c r="BC393" s="114"/>
    </row>
    <row r="394" spans="1:55" ht="19.5" x14ac:dyDescent="0.4">
      <c r="A394" s="117"/>
      <c r="B394" s="123"/>
      <c r="C394" s="123"/>
      <c r="D394" s="123"/>
      <c r="P394" s="26"/>
      <c r="Q394" s="13"/>
      <c r="R394" s="115"/>
      <c r="S394" s="115"/>
      <c r="T394" s="115"/>
      <c r="U394" s="115"/>
      <c r="V394" s="115"/>
      <c r="W394" s="115"/>
      <c r="X394" s="115"/>
      <c r="Y394" s="115"/>
      <c r="Z394" s="115"/>
      <c r="AA394" s="25">
        <v>45686</v>
      </c>
      <c r="AB394" s="15" t="s">
        <v>146</v>
      </c>
      <c r="AG394" s="117"/>
      <c r="AH394" s="123"/>
      <c r="AI394" s="123"/>
      <c r="AJ394" s="123"/>
      <c r="AO394" s="115"/>
      <c r="AP394" s="115"/>
      <c r="AQ394" s="115"/>
      <c r="AR394" s="115"/>
      <c r="AS394" s="115"/>
      <c r="AT394" s="115"/>
      <c r="AU394" s="115"/>
      <c r="AV394" s="115"/>
      <c r="AW394" s="115"/>
      <c r="AX394" s="115"/>
      <c r="AY394" s="25"/>
      <c r="AZ394" s="25"/>
      <c r="BC394" s="114"/>
    </row>
    <row r="395" spans="1:55" ht="19.5" x14ac:dyDescent="0.4">
      <c r="A395" s="117"/>
      <c r="B395" s="123"/>
      <c r="C395" s="123"/>
      <c r="D395" s="123"/>
      <c r="P395" s="129"/>
      <c r="Q395" s="13"/>
      <c r="R395" s="115"/>
      <c r="S395" s="115"/>
      <c r="T395" s="115"/>
      <c r="U395" s="115"/>
      <c r="V395" s="115"/>
      <c r="W395" s="115"/>
      <c r="X395" s="115"/>
      <c r="Y395" s="115"/>
      <c r="Z395" s="115"/>
      <c r="AA395" s="25"/>
      <c r="AB395" s="13"/>
      <c r="AG395" s="117"/>
      <c r="AH395" s="123"/>
      <c r="AI395" s="123"/>
      <c r="AJ395" s="123"/>
      <c r="AO395" s="115"/>
      <c r="AP395" s="115"/>
      <c r="AQ395" s="115"/>
      <c r="AR395" s="115"/>
      <c r="AS395" s="115"/>
      <c r="AT395" s="115"/>
      <c r="AU395" s="115"/>
      <c r="AV395" s="115"/>
      <c r="AW395" s="115"/>
      <c r="AX395" s="115"/>
      <c r="AY395" s="25"/>
      <c r="AZ395" s="25"/>
      <c r="BC395" s="114"/>
    </row>
    <row r="396" spans="1:55" ht="19.5" x14ac:dyDescent="0.4">
      <c r="A396" s="117"/>
      <c r="B396" s="123"/>
      <c r="C396" s="123"/>
      <c r="D396" s="123"/>
      <c r="P396" s="26"/>
      <c r="Q396" s="13"/>
      <c r="AA396" s="25">
        <v>45686</v>
      </c>
      <c r="AB396" s="13" t="s">
        <v>146</v>
      </c>
      <c r="AG396" s="117"/>
      <c r="AH396" s="123"/>
      <c r="AI396" s="123"/>
      <c r="AJ396" s="123"/>
      <c r="AO396" s="115"/>
      <c r="AP396" s="115"/>
      <c r="AQ396" s="115"/>
      <c r="AR396" s="115"/>
      <c r="AS396" s="115"/>
      <c r="AT396" s="115"/>
      <c r="AU396" s="115"/>
      <c r="AV396" s="115"/>
      <c r="AW396" s="115"/>
      <c r="AX396" s="115"/>
      <c r="AY396" s="25">
        <v>45265</v>
      </c>
      <c r="AZ396" s="13" t="s">
        <v>162</v>
      </c>
      <c r="BC396" s="114"/>
    </row>
    <row r="397" spans="1:55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115"/>
      <c r="O397" s="115"/>
      <c r="P397" s="26"/>
      <c r="Q397" s="13"/>
      <c r="AA397" s="25"/>
      <c r="AB397" s="13"/>
      <c r="AG397" s="117"/>
      <c r="AH397" s="123"/>
      <c r="AI397" s="123"/>
      <c r="AJ397" s="123"/>
      <c r="AO397" s="115"/>
      <c r="AP397" s="115"/>
      <c r="AQ397" s="115"/>
      <c r="AR397" s="115"/>
      <c r="AS397" s="115"/>
      <c r="AT397" s="115"/>
      <c r="AU397" s="115"/>
      <c r="AV397" s="115"/>
      <c r="AW397" s="115"/>
      <c r="AX397" s="115"/>
      <c r="AY397" s="25"/>
      <c r="AZ397" s="13"/>
      <c r="BC397" s="114"/>
    </row>
    <row r="398" spans="1:55" ht="19.5" x14ac:dyDescent="0.4">
      <c r="A398" s="117"/>
      <c r="B398" s="123"/>
      <c r="C398" s="123"/>
      <c r="D398" s="123"/>
      <c r="P398" s="26"/>
      <c r="Q398" s="13"/>
      <c r="W398" s="115"/>
      <c r="X398" s="115"/>
      <c r="Y398" s="115"/>
      <c r="Z398" s="115"/>
      <c r="AA398" s="25">
        <v>45686</v>
      </c>
      <c r="AB398" s="15" t="s">
        <v>146</v>
      </c>
      <c r="AG398" s="117"/>
      <c r="AH398" s="123"/>
      <c r="AI398" s="123"/>
      <c r="AJ398" s="123"/>
      <c r="AO398" s="115"/>
      <c r="AP398" s="115"/>
      <c r="AQ398" s="115"/>
      <c r="AR398" s="115"/>
      <c r="AS398" s="115"/>
      <c r="AT398" s="115"/>
      <c r="AU398" s="115"/>
      <c r="AV398" s="115"/>
      <c r="AW398" s="115"/>
      <c r="AX398" s="115"/>
      <c r="AY398" s="25"/>
      <c r="AZ398" s="13"/>
      <c r="BC398" s="114"/>
    </row>
    <row r="399" spans="1:55" ht="19.5" x14ac:dyDescent="0.4">
      <c r="A399" s="117"/>
      <c r="B399" s="123"/>
      <c r="C399" s="123"/>
      <c r="D399" s="123"/>
      <c r="P399" s="26"/>
      <c r="Q399" s="13"/>
      <c r="AA399" s="25">
        <v>45686</v>
      </c>
      <c r="AB399" s="15" t="s">
        <v>147</v>
      </c>
      <c r="AG399" s="117"/>
      <c r="AH399" s="123"/>
      <c r="AI399" s="123"/>
      <c r="AJ399" s="123"/>
      <c r="AO399" s="115"/>
      <c r="AP399" s="115"/>
      <c r="AQ399" s="115"/>
      <c r="AR399" s="115"/>
      <c r="AS399" s="115"/>
      <c r="AT399" s="115"/>
      <c r="AU399" s="115"/>
      <c r="AV399" s="115"/>
      <c r="AW399" s="115"/>
      <c r="AX399" s="115"/>
      <c r="AY399" s="25">
        <v>45265</v>
      </c>
      <c r="AZ399" s="13" t="s">
        <v>162</v>
      </c>
      <c r="BC399" s="114"/>
    </row>
    <row r="400" spans="1:55" ht="19.5" x14ac:dyDescent="0.4">
      <c r="A400" s="117"/>
      <c r="B400" s="123"/>
      <c r="C400" s="123"/>
      <c r="D400" s="123"/>
      <c r="P400" s="26"/>
      <c r="Q400" s="13"/>
      <c r="X400" s="115"/>
      <c r="Y400" s="115"/>
      <c r="Z400" s="115"/>
      <c r="AA400" s="25">
        <v>45686</v>
      </c>
      <c r="AB400" s="15" t="s">
        <v>147</v>
      </c>
      <c r="AG400" s="117"/>
      <c r="AH400" s="123"/>
      <c r="AI400" s="123"/>
      <c r="AJ400" s="123"/>
      <c r="AO400" s="115"/>
      <c r="AP400" s="115"/>
      <c r="AQ400" s="115"/>
      <c r="AR400" s="115"/>
      <c r="AS400" s="115"/>
      <c r="AT400" s="115"/>
      <c r="AU400" s="115"/>
      <c r="AV400" s="115"/>
      <c r="AW400" s="115"/>
      <c r="AX400" s="115"/>
      <c r="AY400" s="25"/>
      <c r="AZ400" s="13"/>
      <c r="BC400" s="114"/>
    </row>
    <row r="401" spans="1:55" ht="19.5" x14ac:dyDescent="0.4">
      <c r="A401" s="117"/>
      <c r="B401" s="123"/>
      <c r="C401" s="123"/>
      <c r="D401" s="123"/>
      <c r="P401" s="26"/>
      <c r="Q401" s="13"/>
      <c r="R401" s="115"/>
      <c r="S401" s="115"/>
      <c r="T401" s="115"/>
      <c r="U401" s="115"/>
      <c r="V401" s="115"/>
      <c r="W401" s="115"/>
      <c r="X401" s="115"/>
      <c r="Y401" s="115"/>
      <c r="Z401" s="115"/>
      <c r="AA401" s="25">
        <v>45686</v>
      </c>
      <c r="AB401" s="13" t="s">
        <v>146</v>
      </c>
      <c r="AG401" s="117"/>
      <c r="AH401" s="123"/>
      <c r="AI401" s="123"/>
      <c r="AJ401" s="123"/>
      <c r="AO401" s="115"/>
      <c r="AP401" s="115"/>
      <c r="AQ401" s="115"/>
      <c r="AR401" s="115"/>
      <c r="AS401" s="115"/>
      <c r="AT401" s="115"/>
      <c r="AU401" s="115"/>
      <c r="AV401" s="115"/>
      <c r="AW401" s="115"/>
      <c r="AX401" s="115"/>
      <c r="AY401" s="25"/>
      <c r="AZ401" s="13"/>
      <c r="BC401" s="114"/>
    </row>
    <row r="402" spans="1:55" ht="19.5" x14ac:dyDescent="0.4">
      <c r="A402" s="117"/>
      <c r="B402" s="123"/>
      <c r="C402" s="123"/>
      <c r="D402" s="123"/>
      <c r="P402" s="26"/>
      <c r="Q402" s="13"/>
      <c r="AA402" s="25">
        <v>45686</v>
      </c>
      <c r="AB402" s="25" t="s">
        <v>146</v>
      </c>
      <c r="AG402" s="117"/>
      <c r="AH402" s="123"/>
      <c r="AI402" s="123"/>
      <c r="AJ402" s="123"/>
      <c r="AO402" s="115"/>
      <c r="AP402" s="115"/>
      <c r="AQ402" s="115"/>
      <c r="AR402" s="115"/>
      <c r="AS402" s="115"/>
      <c r="AT402" s="115"/>
      <c r="AU402" s="115"/>
      <c r="AV402" s="115"/>
      <c r="AW402" s="115"/>
      <c r="AX402" s="115"/>
      <c r="AY402" s="25">
        <v>45265</v>
      </c>
      <c r="AZ402" s="13" t="s">
        <v>163</v>
      </c>
      <c r="BC402" s="114"/>
    </row>
    <row r="403" spans="1:55" ht="19.5" x14ac:dyDescent="0.4">
      <c r="A403" s="117"/>
      <c r="B403" s="123"/>
      <c r="C403" s="123"/>
      <c r="D403" s="123"/>
      <c r="P403" s="26"/>
      <c r="Q403" s="13"/>
      <c r="AA403" s="25">
        <v>45686</v>
      </c>
      <c r="AB403" s="25" t="s">
        <v>147</v>
      </c>
      <c r="AG403" s="117"/>
      <c r="AH403" s="123"/>
      <c r="AI403" s="123"/>
      <c r="AJ403" s="123"/>
      <c r="AO403" s="115"/>
      <c r="AP403" s="115"/>
      <c r="AQ403" s="115"/>
      <c r="AR403" s="115"/>
      <c r="AS403" s="115"/>
      <c r="AT403" s="115"/>
      <c r="AU403" s="115"/>
      <c r="AV403" s="115"/>
      <c r="AW403" s="115"/>
      <c r="AX403" s="115" t="s">
        <v>155</v>
      </c>
      <c r="AY403" s="13">
        <f>SUBTOTAL(3,AY392:AY402)</f>
        <v>5</v>
      </c>
      <c r="AZ403" s="13">
        <f>SUBTOTAL(3,AZ392:AZ402)</f>
        <v>5</v>
      </c>
      <c r="BC403" s="114"/>
    </row>
    <row r="404" spans="1:55" ht="19.5" x14ac:dyDescent="0.4">
      <c r="A404" s="117"/>
      <c r="B404" s="123"/>
      <c r="C404" s="123"/>
      <c r="D404" s="123"/>
      <c r="P404" s="26"/>
      <c r="Q404" s="13"/>
      <c r="R404" s="115"/>
      <c r="S404" s="115"/>
      <c r="T404" s="115"/>
      <c r="U404" s="115"/>
      <c r="V404" s="115"/>
      <c r="W404" s="115"/>
      <c r="X404" s="115"/>
      <c r="Y404" s="115"/>
      <c r="Z404" s="115"/>
      <c r="AA404" s="25">
        <v>45686</v>
      </c>
      <c r="AB404" s="25" t="s">
        <v>148</v>
      </c>
      <c r="AG404" s="117"/>
      <c r="AH404" s="123"/>
      <c r="AI404" s="123"/>
      <c r="AJ404" s="123"/>
      <c r="AO404" s="115"/>
      <c r="AP404" s="115"/>
      <c r="AQ404" s="115"/>
      <c r="AR404" s="115"/>
      <c r="AS404" s="115"/>
      <c r="AT404" s="115"/>
      <c r="AU404" s="115"/>
      <c r="AV404" s="115"/>
      <c r="AW404" s="115"/>
      <c r="AX404" s="115"/>
      <c r="AY404" s="13"/>
      <c r="AZ404" s="13"/>
      <c r="BC404" s="114"/>
    </row>
    <row r="405" spans="1:55" ht="19.5" x14ac:dyDescent="0.4">
      <c r="A405" s="117"/>
      <c r="B405" s="123"/>
      <c r="C405" s="123"/>
      <c r="D405" s="123"/>
      <c r="P405" s="26"/>
      <c r="Q405" s="13"/>
      <c r="R405" s="115"/>
      <c r="S405" s="115"/>
      <c r="T405" s="115"/>
      <c r="U405" s="115"/>
      <c r="V405" s="115"/>
      <c r="W405" s="115"/>
      <c r="X405" s="115"/>
      <c r="Y405" s="115"/>
      <c r="Z405" s="115"/>
      <c r="AA405" s="25">
        <v>45686</v>
      </c>
      <c r="AB405" s="13" t="s">
        <v>146</v>
      </c>
      <c r="AG405" s="117"/>
      <c r="AH405" s="123"/>
      <c r="AI405" s="123"/>
      <c r="AJ405" s="123"/>
      <c r="AO405" s="115"/>
      <c r="AP405" s="115"/>
      <c r="AQ405" s="115"/>
      <c r="AR405" s="115"/>
      <c r="AS405" s="115"/>
      <c r="AT405" s="115"/>
      <c r="AU405" s="115"/>
      <c r="AV405" s="115"/>
      <c r="AW405" s="115"/>
      <c r="AX405" s="115"/>
      <c r="AY405" s="13"/>
      <c r="AZ405" s="13"/>
      <c r="BC405" s="114"/>
    </row>
    <row r="406" spans="1:55" ht="19.5" x14ac:dyDescent="0.4">
      <c r="A406" s="117"/>
      <c r="B406" s="123"/>
      <c r="C406" s="123"/>
      <c r="D406" s="123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26"/>
      <c r="Q406" s="13"/>
      <c r="R406" s="115"/>
      <c r="S406" s="115"/>
      <c r="T406" s="115"/>
      <c r="U406" s="115"/>
      <c r="V406" s="115"/>
      <c r="W406" s="115"/>
      <c r="X406" s="115"/>
      <c r="Y406" s="115"/>
      <c r="Z406" s="115"/>
      <c r="AA406" s="25">
        <v>45686</v>
      </c>
      <c r="AB406" s="13" t="s">
        <v>146</v>
      </c>
      <c r="AG406" s="117"/>
      <c r="AH406" s="123"/>
      <c r="AI406" s="123"/>
      <c r="AJ406" s="123"/>
      <c r="AO406" s="115"/>
      <c r="AP406" s="115"/>
      <c r="AQ406" s="115"/>
      <c r="AR406" s="115"/>
      <c r="AS406" s="115"/>
      <c r="AT406" s="115"/>
      <c r="AU406" s="115"/>
      <c r="AV406" s="115"/>
      <c r="AW406" s="115"/>
      <c r="AX406" s="115"/>
      <c r="AY406" s="13"/>
      <c r="AZ406" s="13"/>
      <c r="BC406" s="114"/>
    </row>
    <row r="407" spans="1:55" ht="19.5" x14ac:dyDescent="0.4">
      <c r="A407" s="117"/>
      <c r="B407" s="123"/>
      <c r="C407" s="123"/>
      <c r="D407" s="123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26"/>
      <c r="Q407" s="13"/>
      <c r="R407" s="115"/>
      <c r="S407" s="115"/>
      <c r="T407" s="115"/>
      <c r="U407" s="115"/>
      <c r="V407" s="115"/>
      <c r="W407" s="115"/>
      <c r="X407" s="115"/>
      <c r="Y407" s="115"/>
      <c r="Z407" s="115"/>
      <c r="AA407" s="25">
        <v>45686</v>
      </c>
      <c r="AB407" s="15" t="s">
        <v>148</v>
      </c>
      <c r="AG407" s="117"/>
      <c r="AH407" s="123"/>
      <c r="AI407" s="123"/>
      <c r="AJ407" s="123"/>
      <c r="AO407" s="115"/>
      <c r="AP407" s="115"/>
      <c r="AQ407" s="115"/>
      <c r="AR407" s="115"/>
      <c r="AS407" s="115"/>
      <c r="AT407" s="115"/>
      <c r="AU407" s="115"/>
      <c r="AV407" s="115"/>
      <c r="AW407" s="115"/>
      <c r="AX407" s="115"/>
      <c r="AY407" s="13"/>
      <c r="AZ407" s="13"/>
      <c r="BC407" s="114"/>
    </row>
    <row r="408" spans="1:55" ht="19.5" x14ac:dyDescent="0.4">
      <c r="A408" s="117"/>
      <c r="B408" s="123"/>
      <c r="C408" s="123"/>
      <c r="D408" s="123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26"/>
      <c r="Q408" s="13"/>
      <c r="R408" s="115"/>
      <c r="S408" s="115"/>
      <c r="T408" s="115"/>
      <c r="U408" s="115"/>
      <c r="V408" s="115"/>
      <c r="W408" s="115"/>
      <c r="X408" s="115"/>
      <c r="Y408" s="115"/>
      <c r="Z408" s="115"/>
      <c r="AA408" s="25">
        <v>45686</v>
      </c>
      <c r="AB408" s="15" t="s">
        <v>148</v>
      </c>
      <c r="AG408" s="117"/>
      <c r="AH408" s="123"/>
      <c r="AI408" s="123"/>
      <c r="AJ408" s="123"/>
      <c r="AO408" s="115"/>
      <c r="AP408" s="115"/>
      <c r="AQ408" s="115"/>
      <c r="AR408" s="115"/>
      <c r="AS408" s="115"/>
      <c r="AT408" s="115"/>
      <c r="AU408" s="115"/>
      <c r="AV408" s="115"/>
      <c r="AW408" s="115"/>
      <c r="AX408" s="115"/>
      <c r="AY408" s="13"/>
      <c r="AZ408" s="13"/>
      <c r="BC408" s="114"/>
    </row>
    <row r="409" spans="1:55" ht="19.5" x14ac:dyDescent="0.4">
      <c r="A409" s="117"/>
      <c r="B409" s="123"/>
      <c r="C409" s="123"/>
      <c r="D409" s="123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26"/>
      <c r="Q409" s="13"/>
      <c r="R409" s="115"/>
      <c r="S409" s="115"/>
      <c r="T409" s="115"/>
      <c r="U409" s="115"/>
      <c r="V409" s="115"/>
      <c r="W409" s="115"/>
      <c r="X409" s="115"/>
      <c r="Y409" s="115"/>
      <c r="Z409" s="115"/>
      <c r="AA409" s="25">
        <v>45686</v>
      </c>
      <c r="AB409" s="15" t="s">
        <v>148</v>
      </c>
      <c r="AG409" s="117"/>
      <c r="AH409" s="123"/>
      <c r="AI409" s="123"/>
      <c r="AJ409" s="123"/>
      <c r="AO409" s="115"/>
      <c r="AP409" s="115"/>
      <c r="AQ409" s="115"/>
      <c r="AR409" s="115"/>
      <c r="AS409" s="115"/>
      <c r="AT409" s="115"/>
      <c r="AU409" s="115"/>
      <c r="AV409" s="115"/>
      <c r="AW409" s="115"/>
      <c r="AX409" s="115"/>
      <c r="AY409" s="13"/>
      <c r="AZ409" s="13"/>
      <c r="BC409" s="114"/>
    </row>
    <row r="410" spans="1:55" ht="19.5" x14ac:dyDescent="0.4">
      <c r="A410" s="117"/>
      <c r="B410" s="123"/>
      <c r="C410" s="123"/>
      <c r="D410" s="123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26"/>
      <c r="Q410" s="13"/>
      <c r="R410" s="115"/>
      <c r="S410" s="115"/>
      <c r="T410" s="115"/>
      <c r="U410" s="115"/>
      <c r="V410" s="115"/>
      <c r="W410" s="115"/>
      <c r="X410" s="115"/>
      <c r="Y410" s="115"/>
      <c r="Z410" s="115"/>
      <c r="AA410" s="25">
        <v>45686</v>
      </c>
      <c r="AB410" s="15" t="s">
        <v>146</v>
      </c>
      <c r="AG410" s="117"/>
      <c r="AH410" s="123"/>
      <c r="AI410" s="123"/>
      <c r="AJ410" s="123"/>
      <c r="AO410" s="115"/>
      <c r="AP410" s="115"/>
      <c r="AQ410" s="115"/>
      <c r="AR410" s="115"/>
      <c r="AS410" s="115"/>
      <c r="AT410" s="115"/>
      <c r="AU410" s="115"/>
      <c r="AV410" s="115"/>
      <c r="AW410" s="115"/>
      <c r="AX410" s="115"/>
      <c r="AY410" s="13"/>
      <c r="AZ410" s="13"/>
      <c r="BC410" s="114"/>
    </row>
    <row r="411" spans="1:55" ht="19.5" x14ac:dyDescent="0.4">
      <c r="A411" s="117"/>
      <c r="B411" s="123"/>
      <c r="C411" s="123"/>
      <c r="D411" s="123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26"/>
      <c r="Q411" s="13"/>
      <c r="R411" s="115"/>
      <c r="S411" s="115"/>
      <c r="T411" s="115"/>
      <c r="U411" s="115"/>
      <c r="V411" s="115"/>
      <c r="W411" s="115"/>
      <c r="X411" s="115"/>
      <c r="Y411" s="115"/>
      <c r="Z411" s="115"/>
      <c r="AA411" s="25">
        <v>45686</v>
      </c>
      <c r="AB411" s="15" t="s">
        <v>148</v>
      </c>
      <c r="AG411" s="117"/>
      <c r="AH411" s="123"/>
      <c r="AI411" s="123"/>
      <c r="AJ411" s="123"/>
      <c r="AO411" s="115"/>
      <c r="AP411" s="115"/>
      <c r="AQ411" s="115"/>
      <c r="AR411" s="115"/>
      <c r="AS411" s="115"/>
      <c r="AT411" s="115"/>
      <c r="AU411" s="115"/>
      <c r="AV411" s="115"/>
      <c r="AW411" s="115"/>
      <c r="AX411" s="115"/>
      <c r="AY411" s="13"/>
      <c r="AZ411" s="13"/>
      <c r="BC411" s="114"/>
    </row>
    <row r="412" spans="1:55" ht="19.5" x14ac:dyDescent="0.4">
      <c r="A412" s="117"/>
      <c r="B412" s="123"/>
      <c r="C412" s="123"/>
      <c r="D412" s="123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26"/>
      <c r="Q412" s="13"/>
      <c r="R412" s="115"/>
      <c r="S412" s="115"/>
      <c r="T412" s="115"/>
      <c r="U412" s="115"/>
      <c r="V412" s="115"/>
      <c r="W412" s="115"/>
      <c r="X412" s="115"/>
      <c r="Y412" s="115"/>
      <c r="Z412" s="115"/>
      <c r="AA412" s="25">
        <v>45689</v>
      </c>
      <c r="AB412" s="15" t="s">
        <v>147</v>
      </c>
      <c r="AG412" s="117"/>
      <c r="AH412" s="123"/>
      <c r="AI412" s="123"/>
      <c r="AJ412" s="123"/>
      <c r="AO412" s="115"/>
      <c r="AP412" s="115"/>
      <c r="AQ412" s="115"/>
      <c r="AR412" s="115"/>
      <c r="AS412" s="115"/>
      <c r="AT412" s="115"/>
      <c r="AU412" s="115"/>
      <c r="AV412" s="115"/>
      <c r="AW412" s="115"/>
      <c r="AX412" s="115"/>
      <c r="AY412" s="13"/>
      <c r="AZ412" s="13"/>
      <c r="BC412" s="114"/>
    </row>
    <row r="413" spans="1:55" ht="19.5" x14ac:dyDescent="0.4">
      <c r="A413" s="117"/>
      <c r="B413" s="123"/>
      <c r="C413" s="123"/>
      <c r="D413" s="123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26"/>
      <c r="Q413" s="13"/>
      <c r="R413" s="115"/>
      <c r="S413" s="115"/>
      <c r="T413" s="115"/>
      <c r="U413" s="115"/>
      <c r="V413" s="115"/>
      <c r="W413" s="115"/>
      <c r="X413" s="115"/>
      <c r="Y413" s="115"/>
      <c r="Z413" s="115"/>
      <c r="AA413" s="25"/>
      <c r="AB413" s="15"/>
      <c r="AG413" s="117"/>
      <c r="AH413" s="123"/>
      <c r="AI413" s="123"/>
      <c r="AJ413" s="123"/>
      <c r="AO413" s="115"/>
      <c r="AP413" s="115"/>
      <c r="AQ413" s="115"/>
      <c r="AR413" s="115"/>
      <c r="AS413" s="115"/>
      <c r="AT413" s="115"/>
      <c r="AU413" s="115"/>
      <c r="AV413" s="115"/>
      <c r="AW413" s="115"/>
      <c r="AX413" s="115"/>
      <c r="AY413" s="13"/>
      <c r="AZ413" s="13"/>
      <c r="BC413" s="114"/>
    </row>
    <row r="414" spans="1:55" ht="19.5" x14ac:dyDescent="0.4">
      <c r="A414" s="117"/>
      <c r="B414" s="123"/>
      <c r="C414" s="123"/>
      <c r="D414" s="123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26"/>
      <c r="Q414" s="13"/>
      <c r="R414" s="115"/>
      <c r="S414" s="115"/>
      <c r="T414" s="115"/>
      <c r="U414" s="115"/>
      <c r="V414" s="115"/>
      <c r="W414" s="115"/>
      <c r="X414" s="115"/>
      <c r="Y414" s="115"/>
      <c r="Z414" s="115"/>
      <c r="AA414" s="25">
        <v>45689</v>
      </c>
      <c r="AB414" s="15" t="s">
        <v>147</v>
      </c>
      <c r="AG414" s="117"/>
      <c r="AH414" s="123"/>
      <c r="AI414" s="123"/>
      <c r="AJ414" s="123"/>
      <c r="AO414" s="115"/>
      <c r="AP414" s="115"/>
      <c r="AQ414" s="115"/>
      <c r="AR414" s="115"/>
      <c r="AS414" s="115"/>
      <c r="AT414" s="115"/>
      <c r="AU414" s="115"/>
      <c r="AV414" s="115"/>
      <c r="AW414" s="115"/>
      <c r="AX414" s="115"/>
      <c r="AY414" s="13"/>
      <c r="AZ414" s="13"/>
      <c r="BC414" s="114"/>
    </row>
    <row r="415" spans="1:55" ht="19.5" x14ac:dyDescent="0.4">
      <c r="A415" s="117"/>
      <c r="B415" s="123"/>
      <c r="C415" s="123"/>
      <c r="D415" s="123"/>
      <c r="P415" s="26"/>
      <c r="Q415" s="13"/>
      <c r="AA415" s="25">
        <v>45689</v>
      </c>
      <c r="AB415" s="15" t="s">
        <v>146</v>
      </c>
      <c r="AG415" s="117"/>
      <c r="AH415" s="123"/>
      <c r="AI415" s="123"/>
      <c r="AJ415" s="123"/>
      <c r="AL415" s="115"/>
      <c r="AM415" s="115"/>
      <c r="AN415" s="115"/>
      <c r="AO415" s="115"/>
      <c r="AP415" s="115"/>
      <c r="AQ415" s="115"/>
      <c r="AR415" s="115"/>
      <c r="AS415" s="115"/>
      <c r="AT415" s="115"/>
      <c r="AU415" s="115"/>
      <c r="AV415" s="115"/>
      <c r="AW415" s="115"/>
      <c r="AX415" s="115"/>
      <c r="AY415" s="25">
        <v>45266</v>
      </c>
      <c r="AZ415" s="25" t="s">
        <v>162</v>
      </c>
      <c r="BC415" s="114"/>
    </row>
    <row r="416" spans="1:55" ht="19.5" x14ac:dyDescent="0.4">
      <c r="A416" s="117"/>
      <c r="B416" s="123"/>
      <c r="C416" s="123"/>
      <c r="D416" s="123"/>
      <c r="P416" s="129"/>
      <c r="Q416" s="13"/>
      <c r="AA416" s="25"/>
      <c r="AB416" s="15"/>
      <c r="AG416" s="117"/>
      <c r="AH416" s="123"/>
      <c r="AI416" s="123"/>
      <c r="AJ416" s="123"/>
      <c r="AL416" s="115"/>
      <c r="AM416" s="115"/>
      <c r="AN416" s="115"/>
      <c r="AO416" s="115"/>
      <c r="AP416" s="115"/>
      <c r="AQ416" s="115"/>
      <c r="AR416" s="115"/>
      <c r="AS416" s="115"/>
      <c r="AT416" s="115"/>
      <c r="AU416" s="115"/>
      <c r="AV416" s="115"/>
      <c r="AW416" s="115"/>
      <c r="AX416" s="115"/>
      <c r="AY416" s="25"/>
      <c r="AZ416" s="25"/>
      <c r="BC416" s="114"/>
    </row>
    <row r="417" spans="1:55" ht="19.5" x14ac:dyDescent="0.4">
      <c r="A417" s="117"/>
      <c r="B417" s="123"/>
      <c r="C417" s="123"/>
      <c r="D417" s="123"/>
      <c r="P417" s="26"/>
      <c r="Q417" s="13"/>
      <c r="R417" s="115"/>
      <c r="S417" s="115"/>
      <c r="T417" s="115"/>
      <c r="U417" s="115"/>
      <c r="V417" s="115"/>
      <c r="W417" s="115"/>
      <c r="X417" s="115"/>
      <c r="Y417" s="115"/>
      <c r="Z417" s="115"/>
      <c r="AA417" s="25">
        <v>45689</v>
      </c>
      <c r="AB417" s="15" t="s">
        <v>146</v>
      </c>
      <c r="AG417" s="117"/>
      <c r="AH417" s="123"/>
      <c r="AI417" s="123"/>
      <c r="AJ417" s="123"/>
      <c r="AL417" s="115"/>
      <c r="AM417" s="115"/>
      <c r="AN417" s="115"/>
      <c r="AO417" s="115"/>
      <c r="AP417" s="115"/>
      <c r="AQ417" s="115"/>
      <c r="AR417" s="115"/>
      <c r="AS417" s="115"/>
      <c r="AT417" s="115"/>
      <c r="AU417" s="115"/>
      <c r="AV417" s="115"/>
      <c r="AW417" s="115"/>
      <c r="AX417" s="115"/>
      <c r="AY417" s="25"/>
      <c r="AZ417" s="25"/>
      <c r="BC417" s="114"/>
    </row>
    <row r="418" spans="1:55" ht="19.5" x14ac:dyDescent="0.4">
      <c r="A418" s="117"/>
      <c r="B418" s="123"/>
      <c r="C418" s="123"/>
      <c r="D418" s="123"/>
      <c r="G418" s="115"/>
      <c r="H418" s="115"/>
      <c r="I418" s="115"/>
      <c r="J418" s="115"/>
      <c r="K418" s="115"/>
      <c r="L418" s="115"/>
      <c r="M418" s="115"/>
      <c r="N418" s="115"/>
      <c r="O418" s="115"/>
      <c r="P418" s="26"/>
      <c r="Q418" s="13"/>
      <c r="R418" s="115"/>
      <c r="S418" s="115"/>
      <c r="T418" s="115"/>
      <c r="U418" s="115"/>
      <c r="V418" s="115"/>
      <c r="W418" s="115"/>
      <c r="X418" s="115"/>
      <c r="Y418" s="115"/>
      <c r="Z418" s="115"/>
      <c r="AA418" s="25"/>
      <c r="AB418" s="15"/>
      <c r="AG418" s="117"/>
      <c r="AH418" s="123"/>
      <c r="AI418" s="123"/>
      <c r="AJ418" s="123"/>
      <c r="AL418" s="115"/>
      <c r="AM418" s="115"/>
      <c r="AN418" s="115"/>
      <c r="AO418" s="115"/>
      <c r="AP418" s="115"/>
      <c r="AQ418" s="115"/>
      <c r="AR418" s="115"/>
      <c r="AS418" s="115"/>
      <c r="AT418" s="115"/>
      <c r="AU418" s="115"/>
      <c r="AV418" s="115"/>
      <c r="AW418" s="115"/>
      <c r="AX418" s="115"/>
      <c r="AY418" s="25"/>
      <c r="AZ418" s="25"/>
      <c r="BC418" s="114"/>
    </row>
    <row r="419" spans="1:55" ht="19.5" x14ac:dyDescent="0.4">
      <c r="A419" s="117"/>
      <c r="B419" s="123"/>
      <c r="C419" s="123"/>
      <c r="D419" s="123"/>
      <c r="G419" s="115"/>
      <c r="H419" s="115"/>
      <c r="I419" s="115"/>
      <c r="J419" s="115"/>
      <c r="K419" s="115"/>
      <c r="L419" s="115"/>
      <c r="M419" s="115"/>
      <c r="N419" s="115"/>
      <c r="O419" s="115"/>
      <c r="P419" s="26"/>
      <c r="Q419" s="13"/>
      <c r="R419" s="115"/>
      <c r="S419" s="115"/>
      <c r="T419" s="115"/>
      <c r="U419" s="115"/>
      <c r="V419" s="115"/>
      <c r="W419" s="115"/>
      <c r="X419" s="115"/>
      <c r="Y419" s="115"/>
      <c r="Z419" s="115"/>
      <c r="AA419" s="25"/>
      <c r="AB419" s="15"/>
      <c r="AG419" s="117"/>
      <c r="AH419" s="123"/>
      <c r="AI419" s="123"/>
      <c r="AJ419" s="123"/>
      <c r="AL419" s="115"/>
      <c r="AM419" s="115"/>
      <c r="AN419" s="115"/>
      <c r="AO419" s="115"/>
      <c r="AP419" s="115"/>
      <c r="AQ419" s="115"/>
      <c r="AR419" s="115"/>
      <c r="AS419" s="115"/>
      <c r="AT419" s="115"/>
      <c r="AU419" s="115"/>
      <c r="AV419" s="115"/>
      <c r="AW419" s="115"/>
      <c r="AX419" s="115"/>
      <c r="AY419" s="25"/>
      <c r="AZ419" s="25"/>
      <c r="BC419" s="114"/>
    </row>
    <row r="420" spans="1:55" ht="19.5" x14ac:dyDescent="0.4">
      <c r="A420" s="117"/>
      <c r="B420" s="123"/>
      <c r="C420" s="123"/>
      <c r="D420" s="123"/>
      <c r="P420" s="26"/>
      <c r="Q420" s="13"/>
      <c r="R420" s="115"/>
      <c r="S420" s="115"/>
      <c r="T420" s="115"/>
      <c r="U420" s="115"/>
      <c r="V420" s="115"/>
      <c r="W420" s="115"/>
      <c r="X420" s="115"/>
      <c r="Y420" s="115"/>
      <c r="Z420" s="115"/>
      <c r="AA420" s="25">
        <v>45690</v>
      </c>
      <c r="AB420" s="15" t="s">
        <v>146</v>
      </c>
      <c r="AG420" s="117"/>
      <c r="AH420" s="123"/>
      <c r="AI420" s="123"/>
      <c r="AJ420" s="123"/>
      <c r="AL420" s="115"/>
      <c r="AM420" s="115"/>
      <c r="AN420" s="115"/>
      <c r="AO420" s="115"/>
      <c r="AP420" s="115"/>
      <c r="AQ420" s="115"/>
      <c r="AR420" s="115"/>
      <c r="AS420" s="115"/>
      <c r="AT420" s="115"/>
      <c r="AU420" s="115"/>
      <c r="AV420" s="115"/>
      <c r="AW420" s="115"/>
      <c r="AX420" s="115"/>
      <c r="AY420" s="25"/>
      <c r="AZ420" s="25"/>
      <c r="BC420" s="114"/>
    </row>
    <row r="421" spans="1:55" ht="19.5" x14ac:dyDescent="0.4">
      <c r="A421" s="117"/>
      <c r="B421" s="123"/>
      <c r="C421" s="123"/>
      <c r="D421" s="123"/>
      <c r="G421" s="115"/>
      <c r="H421" s="115"/>
      <c r="I421" s="115"/>
      <c r="J421" s="115"/>
      <c r="K421" s="115"/>
      <c r="L421" s="115"/>
      <c r="M421" s="115"/>
      <c r="N421" s="115"/>
      <c r="O421" s="115"/>
      <c r="P421" s="26"/>
      <c r="Q421" s="13"/>
      <c r="R421" s="115"/>
      <c r="S421" s="115"/>
      <c r="T421" s="115"/>
      <c r="U421" s="115"/>
      <c r="V421" s="115"/>
      <c r="W421" s="115"/>
      <c r="X421" s="115"/>
      <c r="Y421" s="115"/>
      <c r="Z421" s="115"/>
      <c r="AA421" s="25"/>
      <c r="AB421" s="15"/>
      <c r="AG421" s="117"/>
      <c r="AH421" s="123"/>
      <c r="AI421" s="123"/>
      <c r="AJ421" s="123"/>
      <c r="AL421" s="115"/>
      <c r="AM421" s="115"/>
      <c r="AN421" s="115"/>
      <c r="AO421" s="115"/>
      <c r="AP421" s="115"/>
      <c r="AQ421" s="115"/>
      <c r="AR421" s="115"/>
      <c r="AS421" s="115"/>
      <c r="AT421" s="115"/>
      <c r="AU421" s="115"/>
      <c r="AV421" s="115"/>
      <c r="AW421" s="115"/>
      <c r="AX421" s="115"/>
      <c r="AY421" s="25"/>
      <c r="AZ421" s="25"/>
      <c r="BC421" s="114"/>
    </row>
    <row r="422" spans="1:55" ht="19.5" x14ac:dyDescent="0.4">
      <c r="A422" s="117"/>
      <c r="B422" s="123"/>
      <c r="C422" s="123"/>
      <c r="D422" s="123"/>
      <c r="P422" s="26"/>
      <c r="Q422" s="13"/>
      <c r="R422" s="115"/>
      <c r="S422" s="115"/>
      <c r="T422" s="115"/>
      <c r="U422" s="115"/>
      <c r="V422" s="115"/>
      <c r="W422" s="115"/>
      <c r="X422" s="115"/>
      <c r="Y422" s="115"/>
      <c r="Z422" s="115"/>
      <c r="AA422" s="25">
        <v>45691</v>
      </c>
      <c r="AB422" s="15" t="s">
        <v>146</v>
      </c>
      <c r="AG422" s="117"/>
      <c r="AH422" s="123"/>
      <c r="AI422" s="123"/>
      <c r="AJ422" s="123"/>
      <c r="AL422" s="115"/>
      <c r="AM422" s="115"/>
      <c r="AN422" s="115"/>
      <c r="AO422" s="115"/>
      <c r="AP422" s="115"/>
      <c r="AQ422" s="115"/>
      <c r="AR422" s="115"/>
      <c r="AS422" s="115"/>
      <c r="AT422" s="115"/>
      <c r="AU422" s="115"/>
      <c r="AV422" s="115"/>
      <c r="AW422" s="115"/>
      <c r="AX422" s="115"/>
      <c r="AY422" s="25"/>
      <c r="AZ422" s="25"/>
      <c r="BC422" s="114"/>
    </row>
    <row r="423" spans="1:55" ht="19.5" x14ac:dyDescent="0.4">
      <c r="A423" s="117"/>
      <c r="B423" s="123"/>
      <c r="C423" s="123"/>
      <c r="D423" s="123"/>
      <c r="P423" s="26"/>
      <c r="Q423" s="13"/>
      <c r="AA423" s="25">
        <v>45691</v>
      </c>
      <c r="AB423" s="15" t="s">
        <v>146</v>
      </c>
      <c r="AG423" s="117"/>
      <c r="AH423" s="123"/>
      <c r="AI423" s="123"/>
      <c r="AJ423" s="123"/>
      <c r="AL423" s="115"/>
      <c r="AM423" s="115"/>
      <c r="AN423" s="115"/>
      <c r="AO423" s="115"/>
      <c r="AP423" s="115"/>
      <c r="AQ423" s="115"/>
      <c r="AR423" s="115"/>
      <c r="AS423" s="115"/>
      <c r="AT423" s="115"/>
      <c r="AU423" s="115"/>
      <c r="AV423" s="115"/>
      <c r="AW423" s="115"/>
      <c r="AX423" s="115" t="s">
        <v>156</v>
      </c>
      <c r="AY423" s="13">
        <f>SUBTOTAL(3,AY415:AY415)</f>
        <v>1</v>
      </c>
      <c r="AZ423" s="13">
        <f>SUBTOTAL(3,AZ415:AZ415)</f>
        <v>1</v>
      </c>
      <c r="BC423" s="114"/>
    </row>
    <row r="424" spans="1:55" ht="19.5" x14ac:dyDescent="0.4">
      <c r="A424" s="117"/>
      <c r="B424" s="123"/>
      <c r="C424" s="123"/>
      <c r="D424" s="123"/>
      <c r="P424" s="26"/>
      <c r="Q424" s="13"/>
      <c r="W424" s="115"/>
      <c r="X424" s="115"/>
      <c r="Y424" s="115"/>
      <c r="Z424" s="115"/>
      <c r="AA424" s="25">
        <v>45691</v>
      </c>
      <c r="AB424" s="15" t="s">
        <v>146</v>
      </c>
      <c r="AG424" s="117"/>
      <c r="AH424" s="123"/>
      <c r="AI424" s="123"/>
      <c r="AJ424" s="123"/>
      <c r="AL424" s="115"/>
      <c r="AM424" s="115"/>
      <c r="AN424" s="115"/>
      <c r="AO424" s="115"/>
      <c r="AP424" s="115"/>
      <c r="AQ424" s="115"/>
      <c r="AR424" s="115"/>
      <c r="AS424" s="115"/>
      <c r="AT424" s="115"/>
      <c r="AU424" s="115"/>
      <c r="AV424" s="115"/>
      <c r="AW424" s="115"/>
      <c r="AX424" s="115"/>
      <c r="AY424" s="13"/>
      <c r="AZ424" s="13"/>
      <c r="BC424" s="114"/>
    </row>
    <row r="425" spans="1:55" ht="19.5" x14ac:dyDescent="0.4">
      <c r="A425" s="117"/>
      <c r="B425" s="123"/>
      <c r="C425" s="123"/>
      <c r="D425" s="123"/>
      <c r="G425" s="115"/>
      <c r="H425" s="115"/>
      <c r="I425" s="115"/>
      <c r="J425" s="115"/>
      <c r="K425" s="115"/>
      <c r="L425" s="115"/>
      <c r="M425" s="115"/>
      <c r="N425" s="115"/>
      <c r="O425" s="115"/>
      <c r="P425" s="26"/>
      <c r="Q425" s="13"/>
      <c r="W425" s="115"/>
      <c r="X425" s="115"/>
      <c r="Y425" s="115"/>
      <c r="Z425" s="115"/>
      <c r="AA425" s="25"/>
      <c r="AB425" s="15"/>
      <c r="AG425" s="117"/>
      <c r="AH425" s="123"/>
      <c r="AI425" s="123"/>
      <c r="AJ425" s="123"/>
      <c r="AL425" s="115"/>
      <c r="AM425" s="115"/>
      <c r="AN425" s="115"/>
      <c r="AO425" s="115"/>
      <c r="AP425" s="115"/>
      <c r="AQ425" s="115"/>
      <c r="AR425" s="115"/>
      <c r="AS425" s="115"/>
      <c r="AT425" s="115"/>
      <c r="AU425" s="115"/>
      <c r="AV425" s="115"/>
      <c r="AW425" s="115"/>
      <c r="AX425" s="115"/>
      <c r="AY425" s="13"/>
      <c r="AZ425" s="13"/>
      <c r="BC425" s="114"/>
    </row>
    <row r="426" spans="1:55" ht="19.5" x14ac:dyDescent="0.4">
      <c r="A426" s="117"/>
      <c r="B426" s="123"/>
      <c r="C426" s="123"/>
      <c r="D426" s="123"/>
      <c r="P426" s="26"/>
      <c r="Q426" s="13"/>
      <c r="R426" s="115"/>
      <c r="S426" s="115"/>
      <c r="T426" s="115"/>
      <c r="U426" s="115"/>
      <c r="V426" s="115"/>
      <c r="W426" s="115"/>
      <c r="X426" s="115"/>
      <c r="Y426" s="115"/>
      <c r="Z426" s="115"/>
      <c r="AA426" s="25">
        <v>45691</v>
      </c>
      <c r="AB426" s="15" t="s">
        <v>146</v>
      </c>
      <c r="AG426" s="117"/>
      <c r="AH426" s="123"/>
      <c r="AI426" s="123"/>
      <c r="AJ426" s="123"/>
      <c r="AL426" s="115"/>
      <c r="AM426" s="115"/>
      <c r="AN426" s="115"/>
      <c r="AO426" s="115"/>
      <c r="AP426" s="115"/>
      <c r="AQ426" s="115"/>
      <c r="AR426" s="115"/>
      <c r="AS426" s="115"/>
      <c r="AT426" s="115"/>
      <c r="AU426" s="115"/>
      <c r="AV426" s="115"/>
      <c r="AW426" s="115"/>
      <c r="AX426" s="115"/>
      <c r="AY426" s="13"/>
      <c r="AZ426" s="13"/>
      <c r="BC426" s="114"/>
    </row>
    <row r="427" spans="1:55" ht="19.5" x14ac:dyDescent="0.4">
      <c r="A427" s="117"/>
      <c r="B427" s="123"/>
      <c r="C427" s="123"/>
      <c r="D427" s="123"/>
      <c r="H427" s="115"/>
      <c r="I427" s="115"/>
      <c r="J427" s="115"/>
      <c r="K427" s="115"/>
      <c r="L427" s="115"/>
      <c r="M427" s="115"/>
      <c r="N427" s="115"/>
      <c r="O427" s="115"/>
      <c r="P427" s="26"/>
      <c r="Q427" s="13"/>
      <c r="R427" s="115"/>
      <c r="S427" s="115"/>
      <c r="T427" s="115"/>
      <c r="U427" s="115"/>
      <c r="V427" s="115"/>
      <c r="W427" s="115"/>
      <c r="X427" s="115"/>
      <c r="Y427" s="115"/>
      <c r="Z427" s="115"/>
      <c r="AA427" s="25"/>
      <c r="AB427" s="15"/>
      <c r="AG427" s="117"/>
      <c r="AH427" s="123"/>
      <c r="AI427" s="123"/>
      <c r="AJ427" s="123"/>
      <c r="AL427" s="115"/>
      <c r="AM427" s="115"/>
      <c r="AN427" s="115"/>
      <c r="AO427" s="115"/>
      <c r="AP427" s="115"/>
      <c r="AQ427" s="115"/>
      <c r="AR427" s="115"/>
      <c r="AS427" s="115"/>
      <c r="AT427" s="115"/>
      <c r="AU427" s="115"/>
      <c r="AV427" s="115"/>
      <c r="AW427" s="115"/>
      <c r="AX427" s="115"/>
      <c r="AY427" s="13"/>
      <c r="AZ427" s="13"/>
      <c r="BC427" s="114"/>
    </row>
    <row r="428" spans="1:55" ht="19.5" x14ac:dyDescent="0.4">
      <c r="A428" s="117"/>
      <c r="B428" s="123"/>
      <c r="C428" s="123"/>
      <c r="D428" s="123"/>
      <c r="G428" s="115"/>
      <c r="H428" s="115"/>
      <c r="I428" s="115"/>
      <c r="J428" s="115"/>
      <c r="K428" s="115"/>
      <c r="L428" s="115"/>
      <c r="M428" s="115"/>
      <c r="N428" s="115"/>
      <c r="O428" s="115"/>
      <c r="P428" s="26"/>
      <c r="Q428" s="13"/>
      <c r="R428" s="115"/>
      <c r="S428" s="115"/>
      <c r="T428" s="115"/>
      <c r="U428" s="115"/>
      <c r="V428" s="115"/>
      <c r="W428" s="115"/>
      <c r="X428" s="115"/>
      <c r="Y428" s="115"/>
      <c r="Z428" s="115"/>
      <c r="AA428" s="25"/>
      <c r="AB428" s="15"/>
      <c r="AG428" s="117"/>
      <c r="AH428" s="123"/>
      <c r="AI428" s="123"/>
      <c r="AJ428" s="123"/>
      <c r="AL428" s="115"/>
      <c r="AM428" s="115"/>
      <c r="AN428" s="115"/>
      <c r="AO428" s="115"/>
      <c r="AP428" s="115"/>
      <c r="AQ428" s="115"/>
      <c r="AR428" s="115"/>
      <c r="AS428" s="115"/>
      <c r="AT428" s="115"/>
      <c r="AU428" s="115"/>
      <c r="AV428" s="115"/>
      <c r="AW428" s="115"/>
      <c r="AX428" s="115"/>
      <c r="AY428" s="13"/>
      <c r="AZ428" s="13"/>
      <c r="BC428" s="114"/>
    </row>
    <row r="429" spans="1:55" ht="19.5" x14ac:dyDescent="0.4">
      <c r="A429" s="117"/>
      <c r="B429" s="123"/>
      <c r="C429" s="123"/>
      <c r="D429" s="123"/>
      <c r="G429" s="115"/>
      <c r="H429" s="115"/>
      <c r="I429" s="115"/>
      <c r="J429" s="115"/>
      <c r="K429" s="115"/>
      <c r="L429" s="115"/>
      <c r="M429" s="115"/>
      <c r="N429" s="115"/>
      <c r="O429" s="115"/>
      <c r="P429" s="26"/>
      <c r="Q429" s="13"/>
      <c r="R429" s="115"/>
      <c r="S429" s="115"/>
      <c r="T429" s="115"/>
      <c r="U429" s="115"/>
      <c r="V429" s="115"/>
      <c r="W429" s="115"/>
      <c r="X429" s="115"/>
      <c r="Y429" s="115"/>
      <c r="Z429" s="115"/>
      <c r="AA429" s="25"/>
      <c r="AB429" s="15"/>
      <c r="AG429" s="117"/>
      <c r="AH429" s="123"/>
      <c r="AI429" s="123"/>
      <c r="AJ429" s="123"/>
      <c r="AL429" s="115"/>
      <c r="AM429" s="115"/>
      <c r="AN429" s="115"/>
      <c r="AO429" s="115"/>
      <c r="AP429" s="115"/>
      <c r="AQ429" s="115"/>
      <c r="AR429" s="115"/>
      <c r="AS429" s="115"/>
      <c r="AT429" s="115"/>
      <c r="AU429" s="115"/>
      <c r="AV429" s="115"/>
      <c r="AW429" s="115"/>
      <c r="AX429" s="115"/>
      <c r="AY429" s="13"/>
      <c r="AZ429" s="13"/>
      <c r="BC429" s="114"/>
    </row>
    <row r="430" spans="1:55" ht="19.5" x14ac:dyDescent="0.4">
      <c r="A430" s="117"/>
      <c r="B430" s="123"/>
      <c r="C430" s="123"/>
      <c r="D430" s="123"/>
      <c r="G430" s="115"/>
      <c r="H430" s="115"/>
      <c r="I430" s="115"/>
      <c r="J430" s="115"/>
      <c r="K430" s="115"/>
      <c r="L430" s="115"/>
      <c r="M430" s="115"/>
      <c r="N430" s="115"/>
      <c r="O430" s="115"/>
      <c r="P430" s="129"/>
      <c r="Q430" s="13"/>
      <c r="R430" s="115"/>
      <c r="S430" s="115"/>
      <c r="T430" s="115"/>
      <c r="U430" s="115"/>
      <c r="V430" s="115"/>
      <c r="W430" s="115"/>
      <c r="X430" s="115"/>
      <c r="Y430" s="115"/>
      <c r="Z430" s="115"/>
      <c r="AA430" s="25"/>
      <c r="AB430" s="15"/>
      <c r="AG430" s="117"/>
      <c r="AH430" s="123"/>
      <c r="AI430" s="123"/>
      <c r="AJ430" s="123"/>
      <c r="AL430" s="115"/>
      <c r="AM430" s="115"/>
      <c r="AN430" s="115"/>
      <c r="AO430" s="115"/>
      <c r="AP430" s="115"/>
      <c r="AQ430" s="115"/>
      <c r="AR430" s="115"/>
      <c r="AS430" s="115"/>
      <c r="AT430" s="115"/>
      <c r="AU430" s="115"/>
      <c r="AV430" s="115"/>
      <c r="AW430" s="115"/>
      <c r="AX430" s="115"/>
      <c r="AY430" s="13"/>
      <c r="AZ430" s="13"/>
      <c r="BC430" s="114"/>
    </row>
    <row r="431" spans="1:55" ht="19.5" x14ac:dyDescent="0.4">
      <c r="A431" s="117"/>
      <c r="B431" s="123"/>
      <c r="C431" s="123"/>
      <c r="D431" s="123"/>
      <c r="P431" s="26"/>
      <c r="Q431" s="13"/>
      <c r="R431" s="115"/>
      <c r="S431" s="115"/>
      <c r="T431" s="115"/>
      <c r="U431" s="115"/>
      <c r="V431" s="115"/>
      <c r="W431" s="115"/>
      <c r="X431" s="115"/>
      <c r="Y431" s="115"/>
      <c r="Z431" s="115"/>
      <c r="AA431" s="25">
        <v>45692</v>
      </c>
      <c r="AB431" s="15" t="s">
        <v>146</v>
      </c>
      <c r="AG431" s="117"/>
      <c r="AH431" s="123"/>
      <c r="AI431" s="123"/>
      <c r="AJ431" s="123"/>
      <c r="AL431" s="115"/>
      <c r="AM431" s="115"/>
      <c r="AN431" s="115"/>
      <c r="AO431" s="115"/>
      <c r="AP431" s="115"/>
      <c r="AQ431" s="115"/>
      <c r="AR431" s="115"/>
      <c r="AS431" s="115"/>
      <c r="AT431" s="115"/>
      <c r="AU431" s="115"/>
      <c r="AV431" s="115"/>
      <c r="AW431" s="115"/>
      <c r="AX431" s="115"/>
      <c r="AY431" s="13"/>
      <c r="AZ431" s="13"/>
      <c r="BC431" s="114"/>
    </row>
    <row r="432" spans="1:55" ht="19.5" x14ac:dyDescent="0.4">
      <c r="A432" s="117"/>
      <c r="B432" s="123"/>
      <c r="C432" s="123"/>
      <c r="D432" s="123"/>
      <c r="P432" s="129"/>
      <c r="Q432" s="13"/>
      <c r="R432" s="115"/>
      <c r="S432" s="115"/>
      <c r="T432" s="115"/>
      <c r="U432" s="115"/>
      <c r="V432" s="115"/>
      <c r="W432" s="115"/>
      <c r="X432" s="115"/>
      <c r="Y432" s="115"/>
      <c r="Z432" s="115"/>
      <c r="AA432" s="25"/>
      <c r="AB432" s="15"/>
      <c r="AG432" s="117"/>
      <c r="AH432" s="123"/>
      <c r="AI432" s="123"/>
      <c r="AJ432" s="123"/>
      <c r="AL432" s="115"/>
      <c r="AM432" s="115"/>
      <c r="AN432" s="115"/>
      <c r="AO432" s="115"/>
      <c r="AP432" s="115"/>
      <c r="AQ432" s="115"/>
      <c r="AR432" s="115"/>
      <c r="AS432" s="115"/>
      <c r="AT432" s="115"/>
      <c r="AU432" s="115"/>
      <c r="AV432" s="115"/>
      <c r="AW432" s="115"/>
      <c r="AX432" s="115"/>
      <c r="AY432" s="13"/>
      <c r="AZ432" s="13"/>
      <c r="BC432" s="114"/>
    </row>
    <row r="433" spans="1:55" ht="19.5" x14ac:dyDescent="0.4">
      <c r="A433" s="117"/>
      <c r="B433" s="123"/>
      <c r="C433" s="123"/>
      <c r="D433" s="123"/>
      <c r="P433" s="26"/>
      <c r="Q433" s="13"/>
      <c r="AA433" s="25">
        <v>45692</v>
      </c>
      <c r="AB433" s="15" t="s">
        <v>146</v>
      </c>
      <c r="AG433" s="117"/>
      <c r="AH433" s="123"/>
      <c r="AI433" s="123"/>
      <c r="AJ433" s="123"/>
      <c r="AL433" s="115"/>
      <c r="AM433" s="115"/>
      <c r="AN433" s="115"/>
      <c r="AO433" s="115"/>
      <c r="AP433" s="115"/>
      <c r="AQ433" s="115"/>
      <c r="AR433" s="115"/>
      <c r="AS433" s="115"/>
      <c r="AT433" s="115"/>
      <c r="AU433" s="115"/>
      <c r="AV433" s="115"/>
      <c r="AW433" s="115"/>
      <c r="AX433" s="115"/>
      <c r="AY433" s="25">
        <v>45267</v>
      </c>
      <c r="AZ433" s="13" t="s">
        <v>142</v>
      </c>
      <c r="BC433" s="114"/>
    </row>
    <row r="434" spans="1:55" ht="19.5" x14ac:dyDescent="0.4">
      <c r="A434" s="117"/>
      <c r="B434" s="123"/>
      <c r="C434" s="123"/>
      <c r="D434" s="123"/>
      <c r="P434" s="26"/>
      <c r="Q434" s="13"/>
      <c r="W434" s="115"/>
      <c r="X434" s="115"/>
      <c r="Y434" s="115"/>
      <c r="Z434" s="115"/>
      <c r="AA434" s="25">
        <v>45692</v>
      </c>
      <c r="AB434" s="15" t="s">
        <v>146</v>
      </c>
      <c r="AG434" s="117"/>
      <c r="AH434" s="123"/>
      <c r="AI434" s="123"/>
      <c r="AJ434" s="123"/>
      <c r="AL434" s="115"/>
      <c r="AM434" s="115"/>
      <c r="AN434" s="115"/>
      <c r="AO434" s="115"/>
      <c r="AP434" s="115"/>
      <c r="AQ434" s="115"/>
      <c r="AR434" s="115"/>
      <c r="AS434" s="115"/>
      <c r="AT434" s="115"/>
      <c r="AU434" s="115"/>
      <c r="AV434" s="115"/>
      <c r="AW434" s="115"/>
      <c r="AX434" s="115"/>
      <c r="AY434" s="25"/>
      <c r="AZ434" s="13"/>
      <c r="BC434" s="114"/>
    </row>
    <row r="435" spans="1:55" ht="19.5" x14ac:dyDescent="0.4">
      <c r="A435" s="117"/>
      <c r="B435" s="123"/>
      <c r="C435" s="123"/>
      <c r="D435" s="123"/>
      <c r="P435" s="26"/>
      <c r="Q435" s="13"/>
      <c r="S435" s="115"/>
      <c r="T435" s="115"/>
      <c r="U435" s="115"/>
      <c r="V435" s="115"/>
      <c r="W435" s="115"/>
      <c r="X435" s="115"/>
      <c r="Y435" s="115"/>
      <c r="Z435" s="115"/>
      <c r="AA435" s="25">
        <v>45692</v>
      </c>
      <c r="AB435" s="15" t="s">
        <v>146</v>
      </c>
      <c r="AG435" s="117"/>
      <c r="AH435" s="123"/>
      <c r="AI435" s="123"/>
      <c r="AJ435" s="123"/>
      <c r="AL435" s="115"/>
      <c r="AM435" s="115"/>
      <c r="AN435" s="115"/>
      <c r="AO435" s="115"/>
      <c r="AP435" s="115"/>
      <c r="AQ435" s="115"/>
      <c r="AR435" s="115"/>
      <c r="AS435" s="115"/>
      <c r="AT435" s="115"/>
      <c r="AU435" s="115"/>
      <c r="AV435" s="115"/>
      <c r="AW435" s="115"/>
      <c r="AX435" s="115"/>
      <c r="AY435" s="25"/>
      <c r="AZ435" s="13"/>
      <c r="BC435" s="114"/>
    </row>
    <row r="436" spans="1:55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115"/>
      <c r="O436" s="115"/>
      <c r="P436" s="26"/>
      <c r="Q436" s="13"/>
      <c r="S436" s="115"/>
      <c r="T436" s="115"/>
      <c r="U436" s="115"/>
      <c r="V436" s="115"/>
      <c r="W436" s="115"/>
      <c r="X436" s="115"/>
      <c r="Y436" s="115"/>
      <c r="Z436" s="115"/>
      <c r="AA436" s="25"/>
      <c r="AB436" s="15"/>
      <c r="AG436" s="117"/>
      <c r="AH436" s="123"/>
      <c r="AI436" s="123"/>
      <c r="AJ436" s="123"/>
      <c r="AL436" s="115"/>
      <c r="AM436" s="115"/>
      <c r="AN436" s="115"/>
      <c r="AO436" s="115"/>
      <c r="AP436" s="115"/>
      <c r="AQ436" s="115"/>
      <c r="AR436" s="115"/>
      <c r="AS436" s="115"/>
      <c r="AT436" s="115"/>
      <c r="AU436" s="115"/>
      <c r="AV436" s="115"/>
      <c r="AW436" s="115"/>
      <c r="AX436" s="115"/>
      <c r="AY436" s="25"/>
      <c r="AZ436" s="13"/>
      <c r="BC436" s="114"/>
    </row>
    <row r="437" spans="1:55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115"/>
      <c r="O437" s="115"/>
      <c r="P437" s="129"/>
      <c r="Q437" s="13"/>
      <c r="S437" s="115"/>
      <c r="T437" s="115"/>
      <c r="U437" s="115"/>
      <c r="V437" s="115"/>
      <c r="W437" s="115"/>
      <c r="X437" s="115"/>
      <c r="Y437" s="115"/>
      <c r="Z437" s="115"/>
      <c r="AA437" s="25"/>
      <c r="AB437" s="15"/>
      <c r="AG437" s="117"/>
      <c r="AH437" s="123"/>
      <c r="AI437" s="123"/>
      <c r="AJ437" s="123"/>
      <c r="AL437" s="115"/>
      <c r="AM437" s="115"/>
      <c r="AN437" s="115"/>
      <c r="AO437" s="115"/>
      <c r="AP437" s="115"/>
      <c r="AQ437" s="115"/>
      <c r="AR437" s="115"/>
      <c r="AS437" s="115"/>
      <c r="AT437" s="115"/>
      <c r="AU437" s="115"/>
      <c r="AV437" s="115"/>
      <c r="AW437" s="115"/>
      <c r="AX437" s="115"/>
      <c r="AY437" s="25"/>
      <c r="AZ437" s="13"/>
      <c r="BC437" s="114"/>
    </row>
    <row r="438" spans="1:55" ht="19.5" x14ac:dyDescent="0.4">
      <c r="A438" s="117"/>
      <c r="B438" s="123"/>
      <c r="C438" s="123"/>
      <c r="D438" s="123"/>
      <c r="P438" s="26"/>
      <c r="Q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25">
        <v>45693</v>
      </c>
      <c r="AB438" s="15" t="s">
        <v>146</v>
      </c>
      <c r="AG438" s="117"/>
      <c r="AH438" s="123"/>
      <c r="AI438" s="123"/>
      <c r="AJ438" s="123"/>
      <c r="AL438" s="115"/>
      <c r="AM438" s="115"/>
      <c r="AN438" s="115"/>
      <c r="AO438" s="115"/>
      <c r="AP438" s="115"/>
      <c r="AQ438" s="115"/>
      <c r="AR438" s="115"/>
      <c r="AS438" s="115"/>
      <c r="AT438" s="115"/>
      <c r="AU438" s="115"/>
      <c r="AV438" s="115"/>
      <c r="AW438" s="115"/>
      <c r="AX438" s="115"/>
      <c r="AY438" s="25"/>
      <c r="AZ438" s="13"/>
      <c r="BC438" s="114"/>
    </row>
    <row r="439" spans="1:55" ht="19.5" x14ac:dyDescent="0.4">
      <c r="A439" s="117"/>
      <c r="B439" s="123"/>
      <c r="C439" s="123"/>
      <c r="D439" s="123"/>
      <c r="P439" s="129"/>
      <c r="Q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25"/>
      <c r="AB439" s="15"/>
      <c r="AG439" s="117"/>
      <c r="AH439" s="123"/>
      <c r="AI439" s="123"/>
      <c r="AJ439" s="123"/>
      <c r="AL439" s="115"/>
      <c r="AM439" s="115"/>
      <c r="AN439" s="115"/>
      <c r="AO439" s="115"/>
      <c r="AP439" s="115"/>
      <c r="AQ439" s="115"/>
      <c r="AR439" s="115"/>
      <c r="AS439" s="115"/>
      <c r="AT439" s="115"/>
      <c r="AU439" s="115"/>
      <c r="AV439" s="115"/>
      <c r="AW439" s="115"/>
      <c r="AX439" s="115"/>
      <c r="AY439" s="25"/>
      <c r="AZ439" s="13"/>
      <c r="BC439" s="114"/>
    </row>
    <row r="440" spans="1:55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115"/>
      <c r="O440" s="115"/>
      <c r="P440" s="26"/>
      <c r="Q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25"/>
      <c r="AB440" s="15"/>
      <c r="AG440" s="117"/>
      <c r="AH440" s="123"/>
      <c r="AI440" s="123"/>
      <c r="AJ440" s="123"/>
      <c r="AL440" s="115"/>
      <c r="AM440" s="115"/>
      <c r="AN440" s="115"/>
      <c r="AO440" s="115"/>
      <c r="AP440" s="115"/>
      <c r="AQ440" s="115"/>
      <c r="AR440" s="115"/>
      <c r="AS440" s="115"/>
      <c r="AT440" s="115"/>
      <c r="AU440" s="115"/>
      <c r="AV440" s="115"/>
      <c r="AW440" s="115"/>
      <c r="AX440" s="115"/>
      <c r="AY440" s="25"/>
      <c r="AZ440" s="13"/>
      <c r="BC440" s="114"/>
    </row>
    <row r="441" spans="1:55" ht="19.5" x14ac:dyDescent="0.4">
      <c r="A441" s="117"/>
      <c r="B441" s="123"/>
      <c r="C441" s="123"/>
      <c r="D441" s="123"/>
      <c r="P441" s="26"/>
      <c r="Q441" s="13"/>
      <c r="AA441" s="25">
        <v>45693</v>
      </c>
      <c r="AB441" s="15" t="s">
        <v>146</v>
      </c>
      <c r="AG441" s="117"/>
      <c r="AH441" s="123"/>
      <c r="AI441" s="123"/>
      <c r="AJ441" s="123"/>
      <c r="AL441" s="115"/>
      <c r="AM441" s="115"/>
      <c r="AN441" s="115"/>
      <c r="AO441" s="115"/>
      <c r="AP441" s="115"/>
      <c r="AQ441" s="115"/>
      <c r="AR441" s="115"/>
      <c r="AS441" s="115"/>
      <c r="AT441" s="115"/>
      <c r="AU441" s="115"/>
      <c r="AV441" s="115"/>
      <c r="AW441" s="115"/>
      <c r="AX441" s="115" t="s">
        <v>157</v>
      </c>
      <c r="AY441" s="13">
        <f>SUBTOTAL(3,AY433:AY433)</f>
        <v>1</v>
      </c>
      <c r="AZ441" s="13">
        <f>SUBTOTAL(3,AZ433:AZ433)</f>
        <v>1</v>
      </c>
      <c r="BC441" s="114"/>
    </row>
    <row r="442" spans="1:55" ht="19.5" x14ac:dyDescent="0.4">
      <c r="A442" s="117"/>
      <c r="B442" s="123"/>
      <c r="C442" s="123"/>
      <c r="D442" s="123"/>
      <c r="P442" s="26"/>
      <c r="Q442" s="13"/>
      <c r="S442" s="115"/>
      <c r="T442" s="115"/>
      <c r="U442" s="115"/>
      <c r="V442" s="115"/>
      <c r="W442" s="115"/>
      <c r="X442" s="115"/>
      <c r="Y442" s="115"/>
      <c r="Z442" s="115"/>
      <c r="AA442" s="25">
        <v>45693</v>
      </c>
      <c r="AB442" s="15" t="s">
        <v>146</v>
      </c>
      <c r="AG442" s="117"/>
      <c r="AH442" s="123"/>
      <c r="AI442" s="123"/>
      <c r="AJ442" s="123"/>
      <c r="AL442" s="115"/>
      <c r="AM442" s="115"/>
      <c r="AN442" s="115"/>
      <c r="AO442" s="115"/>
      <c r="AP442" s="115"/>
      <c r="AQ442" s="115"/>
      <c r="AR442" s="115"/>
      <c r="AS442" s="115"/>
      <c r="AT442" s="115"/>
      <c r="AU442" s="115"/>
      <c r="AV442" s="115"/>
      <c r="AW442" s="115"/>
      <c r="AX442" s="115"/>
      <c r="AY442" s="13"/>
      <c r="AZ442" s="13"/>
      <c r="BC442" s="114"/>
    </row>
    <row r="443" spans="1:55" ht="19.5" x14ac:dyDescent="0.4">
      <c r="A443" s="117"/>
      <c r="B443" s="123"/>
      <c r="C443" s="123"/>
      <c r="D443" s="123"/>
      <c r="P443" s="129"/>
      <c r="Q443" s="13"/>
      <c r="S443" s="115"/>
      <c r="T443" s="115"/>
      <c r="U443" s="115"/>
      <c r="V443" s="115"/>
      <c r="W443" s="115"/>
      <c r="X443" s="115"/>
      <c r="Y443" s="115"/>
      <c r="Z443" s="115"/>
      <c r="AA443" s="25"/>
      <c r="AB443" s="15"/>
      <c r="AG443" s="117"/>
      <c r="AH443" s="123"/>
      <c r="AI443" s="123"/>
      <c r="AJ443" s="123"/>
      <c r="AL443" s="115"/>
      <c r="AM443" s="115"/>
      <c r="AN443" s="115"/>
      <c r="AO443" s="115"/>
      <c r="AP443" s="115"/>
      <c r="AQ443" s="115"/>
      <c r="AR443" s="115"/>
      <c r="AS443" s="115"/>
      <c r="AT443" s="115"/>
      <c r="AU443" s="115"/>
      <c r="AV443" s="115"/>
      <c r="AW443" s="115"/>
      <c r="AX443" s="115"/>
      <c r="AY443" s="13"/>
      <c r="AZ443" s="13"/>
      <c r="BC443" s="114"/>
    </row>
    <row r="444" spans="1:55" ht="19.5" x14ac:dyDescent="0.4">
      <c r="A444" s="117"/>
      <c r="B444" s="123"/>
      <c r="C444" s="123"/>
      <c r="D444" s="123"/>
      <c r="P444" s="129"/>
      <c r="Q444" s="13"/>
      <c r="S444" s="115"/>
      <c r="T444" s="115"/>
      <c r="U444" s="115"/>
      <c r="V444" s="115"/>
      <c r="W444" s="115"/>
      <c r="X444" s="115"/>
      <c r="Y444" s="115"/>
      <c r="Z444" s="115"/>
      <c r="AA444" s="25"/>
      <c r="AB444" s="15"/>
      <c r="AG444" s="117"/>
      <c r="AH444" s="123"/>
      <c r="AI444" s="123"/>
      <c r="AJ444" s="123"/>
      <c r="AL444" s="115"/>
      <c r="AM444" s="115"/>
      <c r="AN444" s="115"/>
      <c r="AO444" s="115"/>
      <c r="AP444" s="115"/>
      <c r="AQ444" s="115"/>
      <c r="AR444" s="115"/>
      <c r="AS444" s="115"/>
      <c r="AT444" s="115"/>
      <c r="AU444" s="115"/>
      <c r="AV444" s="115"/>
      <c r="AW444" s="115"/>
      <c r="AX444" s="115"/>
      <c r="AY444" s="13"/>
      <c r="AZ444" s="13"/>
      <c r="BC444" s="114"/>
    </row>
    <row r="445" spans="1:55" ht="19.5" x14ac:dyDescent="0.4">
      <c r="A445" s="117"/>
      <c r="B445" s="123"/>
      <c r="C445" s="123"/>
      <c r="D445" s="123"/>
      <c r="P445" s="26"/>
      <c r="Q445" s="13"/>
      <c r="S445" s="115"/>
      <c r="T445" s="115"/>
      <c r="U445" s="115"/>
      <c r="V445" s="115"/>
      <c r="W445" s="115"/>
      <c r="X445" s="115"/>
      <c r="Y445" s="115"/>
      <c r="Z445" s="115"/>
      <c r="AA445" s="25">
        <v>45694</v>
      </c>
      <c r="AB445" s="15" t="s">
        <v>147</v>
      </c>
      <c r="AG445" s="117"/>
      <c r="AH445" s="123"/>
      <c r="AI445" s="123"/>
      <c r="AJ445" s="123"/>
      <c r="AL445" s="115"/>
      <c r="AM445" s="115"/>
      <c r="AN445" s="115"/>
      <c r="AO445" s="115"/>
      <c r="AP445" s="115"/>
      <c r="AQ445" s="115"/>
      <c r="AR445" s="115"/>
      <c r="AS445" s="115"/>
      <c r="AT445" s="115"/>
      <c r="AU445" s="115"/>
      <c r="AV445" s="115"/>
      <c r="AW445" s="115"/>
      <c r="AX445" s="115"/>
      <c r="AY445" s="13"/>
      <c r="AZ445" s="13"/>
      <c r="BC445" s="114"/>
    </row>
    <row r="446" spans="1:55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115"/>
      <c r="O446" s="115"/>
      <c r="P446" s="17"/>
      <c r="Q446" s="13"/>
      <c r="S446" s="115"/>
      <c r="T446" s="115"/>
      <c r="U446" s="115"/>
      <c r="V446" s="115"/>
      <c r="W446" s="115"/>
      <c r="X446" s="115"/>
      <c r="Y446" s="115"/>
      <c r="Z446" s="115"/>
      <c r="AA446" s="25"/>
      <c r="AB446" s="15"/>
      <c r="AG446" s="117"/>
      <c r="AH446" s="123"/>
      <c r="AI446" s="123"/>
      <c r="AJ446" s="123"/>
      <c r="AL446" s="115"/>
      <c r="AM446" s="115"/>
      <c r="AN446" s="115"/>
      <c r="AO446" s="115"/>
      <c r="AP446" s="115"/>
      <c r="AQ446" s="115"/>
      <c r="AR446" s="115"/>
      <c r="AS446" s="115"/>
      <c r="AT446" s="115"/>
      <c r="AU446" s="115"/>
      <c r="AV446" s="115"/>
      <c r="AW446" s="115"/>
      <c r="AX446" s="115"/>
      <c r="AY446" s="13"/>
      <c r="AZ446" s="13"/>
      <c r="BC446" s="114"/>
    </row>
    <row r="447" spans="1:55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15"/>
      <c r="O447" s="115"/>
      <c r="P447" s="17"/>
      <c r="Q447" s="13"/>
      <c r="S447" s="115"/>
      <c r="T447" s="115"/>
      <c r="U447" s="115"/>
      <c r="V447" s="115"/>
      <c r="W447" s="115"/>
      <c r="X447" s="115"/>
      <c r="Y447" s="115"/>
      <c r="Z447" s="115"/>
      <c r="AA447" s="25"/>
      <c r="AB447" s="15"/>
      <c r="AG447" s="117"/>
      <c r="AH447" s="123"/>
      <c r="AI447" s="123"/>
      <c r="AJ447" s="123"/>
      <c r="AL447" s="115"/>
      <c r="AM447" s="115"/>
      <c r="AN447" s="115"/>
      <c r="AO447" s="115"/>
      <c r="AP447" s="115"/>
      <c r="AQ447" s="115"/>
      <c r="AR447" s="115"/>
      <c r="AS447" s="115"/>
      <c r="AT447" s="115"/>
      <c r="AU447" s="115"/>
      <c r="AV447" s="115"/>
      <c r="AW447" s="115"/>
      <c r="AX447" s="115"/>
      <c r="AY447" s="13"/>
      <c r="AZ447" s="13"/>
      <c r="BC447" s="114"/>
    </row>
    <row r="448" spans="1:55" ht="19.5" x14ac:dyDescent="0.4">
      <c r="A448" s="117"/>
      <c r="B448" s="123"/>
      <c r="C448" s="123"/>
      <c r="D448" s="123"/>
      <c r="P448" s="26"/>
      <c r="Q448" s="13"/>
      <c r="S448" s="115"/>
      <c r="T448" s="115"/>
      <c r="U448" s="115"/>
      <c r="V448" s="115"/>
      <c r="W448" s="115"/>
      <c r="X448" s="115"/>
      <c r="Y448" s="115"/>
      <c r="Z448" s="115"/>
      <c r="AA448" s="25">
        <v>45694</v>
      </c>
      <c r="AB448" s="105" t="s">
        <v>147</v>
      </c>
      <c r="AG448" s="117"/>
      <c r="AH448" s="123"/>
      <c r="AI448" s="123"/>
      <c r="AJ448" s="123"/>
      <c r="AL448" s="115"/>
      <c r="AM448" s="115"/>
      <c r="AN448" s="115"/>
      <c r="AO448" s="115"/>
      <c r="AP448" s="115"/>
      <c r="AQ448" s="115"/>
      <c r="AR448" s="115"/>
      <c r="AS448" s="115"/>
      <c r="AT448" s="115"/>
      <c r="AU448" s="115"/>
      <c r="AV448" s="115"/>
      <c r="AW448" s="115"/>
      <c r="AX448" s="115"/>
      <c r="AY448" s="13"/>
      <c r="AZ448" s="13"/>
      <c r="BC448" s="114"/>
    </row>
    <row r="449" spans="1:55" ht="19.5" x14ac:dyDescent="0.4">
      <c r="A449" s="117"/>
      <c r="B449" s="123"/>
      <c r="C449" s="123"/>
      <c r="D449" s="123"/>
      <c r="P449" s="26"/>
      <c r="Q449" s="13"/>
      <c r="R449" s="115"/>
      <c r="S449" s="115"/>
      <c r="T449" s="115"/>
      <c r="U449" s="115"/>
      <c r="V449" s="115"/>
      <c r="W449" s="115"/>
      <c r="X449" s="115"/>
      <c r="Y449" s="115"/>
      <c r="Z449" s="115"/>
      <c r="AA449" s="25">
        <v>45694</v>
      </c>
      <c r="AB449" s="15" t="s">
        <v>147</v>
      </c>
      <c r="AG449" s="117"/>
      <c r="AH449" s="123"/>
      <c r="AI449" s="123"/>
      <c r="AJ449" s="123"/>
      <c r="AL449" s="115"/>
      <c r="AM449" s="115"/>
      <c r="AN449" s="115"/>
      <c r="AO449" s="115"/>
      <c r="AP449" s="115"/>
      <c r="AQ449" s="115"/>
      <c r="AR449" s="115"/>
      <c r="AS449" s="115"/>
      <c r="AT449" s="115"/>
      <c r="AU449" s="115"/>
      <c r="AV449" s="115"/>
      <c r="AW449" s="115"/>
      <c r="AX449" s="115"/>
      <c r="AY449" s="13"/>
      <c r="AZ449" s="13"/>
      <c r="BC449" s="114"/>
    </row>
    <row r="450" spans="1:55" ht="19.5" x14ac:dyDescent="0.4">
      <c r="A450" s="117"/>
      <c r="B450" s="123"/>
      <c r="C450" s="123"/>
      <c r="D450" s="123"/>
      <c r="P450" s="26"/>
      <c r="Q450" s="13"/>
      <c r="R450" s="115"/>
      <c r="S450" s="115"/>
      <c r="T450" s="115"/>
      <c r="U450" s="115"/>
      <c r="V450" s="115"/>
      <c r="W450" s="115"/>
      <c r="X450" s="115"/>
      <c r="Y450" s="115"/>
      <c r="Z450" s="115"/>
      <c r="AA450" s="26">
        <v>45694</v>
      </c>
      <c r="AB450" s="15" t="s">
        <v>148</v>
      </c>
      <c r="AG450" s="117"/>
      <c r="AH450" s="123"/>
      <c r="AI450" s="123"/>
      <c r="AJ450" s="123"/>
      <c r="AL450" s="115"/>
      <c r="AM450" s="115"/>
      <c r="AN450" s="115"/>
      <c r="AO450" s="115"/>
      <c r="AP450" s="115"/>
      <c r="AQ450" s="115"/>
      <c r="AR450" s="115"/>
      <c r="AS450" s="115"/>
      <c r="AT450" s="115"/>
      <c r="AU450" s="115"/>
      <c r="AV450" s="115"/>
      <c r="AW450" s="115"/>
      <c r="AX450" s="115"/>
      <c r="AY450" s="13"/>
      <c r="AZ450" s="13"/>
      <c r="BC450" s="114"/>
    </row>
    <row r="451" spans="1:55" ht="19.5" x14ac:dyDescent="0.4">
      <c r="A451" s="117"/>
      <c r="B451" s="123"/>
      <c r="C451" s="123"/>
      <c r="D451" s="123"/>
      <c r="P451" s="26"/>
      <c r="Q451" s="13"/>
      <c r="AA451" s="26">
        <v>45694</v>
      </c>
      <c r="AB451" s="13" t="s">
        <v>147</v>
      </c>
      <c r="AG451" s="117"/>
      <c r="AH451" s="123"/>
      <c r="AI451" s="123"/>
      <c r="AJ451" s="123"/>
      <c r="AL451" s="115"/>
      <c r="AM451" s="115"/>
      <c r="AN451" s="115"/>
      <c r="AO451" s="115"/>
      <c r="AP451" s="115"/>
      <c r="AQ451" s="115"/>
      <c r="AR451" s="115"/>
      <c r="AS451" s="115"/>
      <c r="AT451" s="115"/>
      <c r="AU451" s="115"/>
      <c r="AV451" s="115"/>
      <c r="AW451" s="115"/>
      <c r="AX451" s="115"/>
      <c r="AY451" s="25">
        <v>45268</v>
      </c>
      <c r="AZ451" s="13" t="s">
        <v>162</v>
      </c>
      <c r="BC451" s="114"/>
    </row>
    <row r="452" spans="1:55" ht="19.5" x14ac:dyDescent="0.4">
      <c r="A452" s="117"/>
      <c r="B452" s="123"/>
      <c r="C452" s="123"/>
      <c r="D452" s="123"/>
      <c r="P452" s="26"/>
      <c r="Q452" s="13"/>
      <c r="S452" s="115"/>
      <c r="T452" s="115"/>
      <c r="U452" s="115"/>
      <c r="V452" s="115"/>
      <c r="W452" s="115"/>
      <c r="X452" s="115"/>
      <c r="Y452" s="115"/>
      <c r="Z452" s="115"/>
      <c r="AA452" s="26">
        <v>45694</v>
      </c>
      <c r="AB452" s="13" t="s">
        <v>147</v>
      </c>
      <c r="AG452" s="117"/>
      <c r="AH452" s="123"/>
      <c r="AI452" s="123"/>
      <c r="AJ452" s="123"/>
      <c r="AL452" s="115"/>
      <c r="AM452" s="115"/>
      <c r="AN452" s="115"/>
      <c r="AO452" s="115"/>
      <c r="AP452" s="115"/>
      <c r="AQ452" s="115"/>
      <c r="AR452" s="115"/>
      <c r="AS452" s="115"/>
      <c r="AT452" s="115"/>
      <c r="AU452" s="115"/>
      <c r="AV452" s="115"/>
      <c r="AW452" s="115"/>
      <c r="AX452" s="115"/>
      <c r="AY452" s="25"/>
      <c r="AZ452" s="13"/>
      <c r="BC452" s="114"/>
    </row>
    <row r="453" spans="1:55" ht="19.5" x14ac:dyDescent="0.4">
      <c r="A453" s="117"/>
      <c r="B453" s="123"/>
      <c r="C453" s="123"/>
      <c r="D453" s="123"/>
      <c r="P453" s="26"/>
      <c r="Q453" s="13"/>
      <c r="AA453" s="26">
        <v>45694</v>
      </c>
      <c r="AB453" s="13" t="s">
        <v>147</v>
      </c>
      <c r="AG453" s="117"/>
      <c r="AH453" s="123"/>
      <c r="AI453" s="123"/>
      <c r="AJ453" s="123"/>
      <c r="AL453" s="115"/>
      <c r="AM453" s="115"/>
      <c r="AN453" s="115"/>
      <c r="AO453" s="115"/>
      <c r="AP453" s="115"/>
      <c r="AQ453" s="115"/>
      <c r="AR453" s="115"/>
      <c r="AS453" s="115"/>
      <c r="AT453" s="115"/>
      <c r="AU453" s="115"/>
      <c r="AV453" s="115"/>
      <c r="AW453" s="115"/>
      <c r="AX453" s="115"/>
      <c r="AY453" s="25">
        <v>45268</v>
      </c>
      <c r="AZ453" s="13" t="s">
        <v>162</v>
      </c>
      <c r="BC453" s="114"/>
    </row>
    <row r="454" spans="1:55" ht="19.5" x14ac:dyDescent="0.4">
      <c r="A454" s="117"/>
      <c r="B454" s="123"/>
      <c r="C454" s="123"/>
      <c r="D454" s="123"/>
      <c r="P454" s="26"/>
      <c r="Q454" s="13"/>
      <c r="X454" s="115"/>
      <c r="Y454" s="115"/>
      <c r="Z454" s="115"/>
      <c r="AA454" s="26">
        <v>45696</v>
      </c>
      <c r="AB454" s="13" t="s">
        <v>147</v>
      </c>
      <c r="AG454" s="117"/>
      <c r="AH454" s="123"/>
      <c r="AI454" s="123"/>
      <c r="AJ454" s="123"/>
      <c r="AL454" s="115"/>
      <c r="AM454" s="115"/>
      <c r="AN454" s="115"/>
      <c r="AO454" s="115"/>
      <c r="AP454" s="115"/>
      <c r="AQ454" s="115"/>
      <c r="AR454" s="115"/>
      <c r="AS454" s="115"/>
      <c r="AT454" s="115"/>
      <c r="AU454" s="115"/>
      <c r="AV454" s="115"/>
      <c r="AW454" s="115"/>
      <c r="AX454" s="115"/>
      <c r="AY454" s="25"/>
      <c r="AZ454" s="13"/>
      <c r="BC454" s="114"/>
    </row>
    <row r="455" spans="1:55" ht="19.5" x14ac:dyDescent="0.4">
      <c r="A455" s="117"/>
      <c r="B455" s="123"/>
      <c r="C455" s="123"/>
      <c r="D455" s="123"/>
      <c r="P455" s="26"/>
      <c r="Q455" s="13"/>
      <c r="AA455" s="26">
        <v>45698</v>
      </c>
      <c r="AB455" s="13" t="s">
        <v>147</v>
      </c>
      <c r="AG455" s="117"/>
      <c r="AH455" s="123"/>
      <c r="AI455" s="123"/>
      <c r="AJ455" s="123"/>
      <c r="AL455" s="115"/>
      <c r="AM455" s="115"/>
      <c r="AN455" s="115"/>
      <c r="AO455" s="115"/>
      <c r="AP455" s="115"/>
      <c r="AQ455" s="115"/>
      <c r="AR455" s="115"/>
      <c r="AS455" s="115"/>
      <c r="AT455" s="115"/>
      <c r="AU455" s="115"/>
      <c r="AV455" s="115"/>
      <c r="AW455" s="115"/>
      <c r="AX455" s="115"/>
      <c r="AY455" s="25">
        <v>45268</v>
      </c>
      <c r="AZ455" s="13" t="s">
        <v>163</v>
      </c>
      <c r="BC455" s="114"/>
    </row>
    <row r="456" spans="1:55" ht="19.5" x14ac:dyDescent="0.4">
      <c r="A456" s="117"/>
      <c r="B456" s="123"/>
      <c r="C456" s="123"/>
      <c r="D456" s="123"/>
      <c r="G456" s="115"/>
      <c r="H456" s="115"/>
      <c r="I456" s="115"/>
      <c r="J456" s="115"/>
      <c r="K456" s="115"/>
      <c r="L456" s="115"/>
      <c r="M456" s="115"/>
      <c r="N456" s="115"/>
      <c r="O456" s="115"/>
      <c r="P456" s="17"/>
      <c r="Q456" s="13"/>
      <c r="AA456" s="26"/>
      <c r="AB456" s="13"/>
      <c r="AG456" s="117"/>
      <c r="AH456" s="123"/>
      <c r="AI456" s="123"/>
      <c r="AJ456" s="123"/>
      <c r="AL456" s="115"/>
      <c r="AM456" s="115"/>
      <c r="AN456" s="115"/>
      <c r="AO456" s="115"/>
      <c r="AP456" s="115"/>
      <c r="AQ456" s="115"/>
      <c r="AR456" s="115"/>
      <c r="AS456" s="115"/>
      <c r="AT456" s="115"/>
      <c r="AU456" s="115"/>
      <c r="AV456" s="115"/>
      <c r="AW456" s="115"/>
      <c r="AX456" s="115"/>
      <c r="AY456" s="25"/>
      <c r="AZ456" s="13"/>
      <c r="BC456" s="114"/>
    </row>
    <row r="457" spans="1:55" ht="19.5" x14ac:dyDescent="0.4">
      <c r="A457" s="117"/>
      <c r="B457" s="123"/>
      <c r="C457" s="123"/>
      <c r="D457" s="123"/>
      <c r="P457" s="26"/>
      <c r="Q457" s="13"/>
      <c r="X457" s="115"/>
      <c r="Y457" s="115"/>
      <c r="Z457" s="115"/>
      <c r="AA457" s="26">
        <v>45698</v>
      </c>
      <c r="AB457" s="13" t="s">
        <v>147</v>
      </c>
      <c r="AG457" s="117"/>
      <c r="AH457" s="123"/>
      <c r="AI457" s="123"/>
      <c r="AJ457" s="123"/>
      <c r="AL457" s="115"/>
      <c r="AM457" s="115"/>
      <c r="AN457" s="115"/>
      <c r="AO457" s="115"/>
      <c r="AP457" s="115"/>
      <c r="AQ457" s="115"/>
      <c r="AR457" s="115"/>
      <c r="AS457" s="115"/>
      <c r="AT457" s="115"/>
      <c r="AU457" s="115"/>
      <c r="AV457" s="115"/>
      <c r="AW457" s="115"/>
      <c r="AX457" s="115"/>
      <c r="AY457" s="25"/>
      <c r="AZ457" s="13"/>
      <c r="BC457" s="114"/>
    </row>
    <row r="458" spans="1:55" ht="19.5" x14ac:dyDescent="0.4">
      <c r="A458" s="117"/>
      <c r="B458" s="123"/>
      <c r="C458" s="123"/>
      <c r="D458" s="123"/>
      <c r="P458" s="26"/>
      <c r="Q458" s="13"/>
      <c r="R458" s="115"/>
      <c r="S458" s="115"/>
      <c r="T458" s="115"/>
      <c r="U458" s="115"/>
      <c r="V458" s="115"/>
      <c r="W458" s="115"/>
      <c r="X458" s="115"/>
      <c r="Y458" s="115"/>
      <c r="Z458" s="115"/>
      <c r="AA458" s="26">
        <v>45699</v>
      </c>
      <c r="AB458" s="13" t="s">
        <v>148</v>
      </c>
      <c r="AG458" s="117"/>
      <c r="AH458" s="123"/>
      <c r="AI458" s="123"/>
      <c r="AJ458" s="123"/>
      <c r="AL458" s="115"/>
      <c r="AM458" s="115"/>
      <c r="AN458" s="115"/>
      <c r="AO458" s="115"/>
      <c r="AP458" s="115"/>
      <c r="AQ458" s="115"/>
      <c r="AR458" s="115"/>
      <c r="AS458" s="115"/>
      <c r="AT458" s="115"/>
      <c r="AU458" s="115"/>
      <c r="AV458" s="115"/>
      <c r="AW458" s="115"/>
      <c r="AX458" s="115"/>
      <c r="AY458" s="25"/>
      <c r="AZ458" s="13"/>
      <c r="BC458" s="114"/>
    </row>
    <row r="459" spans="1:55" ht="19.5" x14ac:dyDescent="0.4">
      <c r="A459" s="117"/>
      <c r="B459" s="123"/>
      <c r="C459" s="123"/>
      <c r="D459" s="123"/>
      <c r="G459" s="115"/>
      <c r="H459" s="115"/>
      <c r="I459" s="115"/>
      <c r="J459" s="115"/>
      <c r="K459" s="115"/>
      <c r="L459" s="115"/>
      <c r="M459" s="115"/>
      <c r="N459" s="115"/>
      <c r="O459" s="115"/>
      <c r="P459" s="17"/>
      <c r="Q459" s="13"/>
      <c r="R459" s="115"/>
      <c r="S459" s="115"/>
      <c r="T459" s="115"/>
      <c r="U459" s="115"/>
      <c r="V459" s="115"/>
      <c r="W459" s="115"/>
      <c r="X459" s="115"/>
      <c r="Y459" s="115"/>
      <c r="Z459" s="115"/>
      <c r="AA459" s="26"/>
      <c r="AB459" s="13"/>
      <c r="AG459" s="117"/>
      <c r="AH459" s="123"/>
      <c r="AI459" s="123"/>
      <c r="AJ459" s="123"/>
      <c r="AL459" s="115"/>
      <c r="AM459" s="115"/>
      <c r="AN459" s="115"/>
      <c r="AO459" s="115"/>
      <c r="AP459" s="115"/>
      <c r="AQ459" s="115"/>
      <c r="AR459" s="115"/>
      <c r="AS459" s="115"/>
      <c r="AT459" s="115"/>
      <c r="AU459" s="115"/>
      <c r="AV459" s="115"/>
      <c r="AW459" s="115"/>
      <c r="AX459" s="115"/>
      <c r="AY459" s="25"/>
      <c r="AZ459" s="13"/>
      <c r="BC459" s="114"/>
    </row>
    <row r="460" spans="1:55" ht="19.5" x14ac:dyDescent="0.4">
      <c r="A460" s="117"/>
      <c r="B460" s="123"/>
      <c r="C460" s="123"/>
      <c r="D460" s="123"/>
      <c r="P460" s="26"/>
      <c r="Q460" s="13"/>
      <c r="AA460" s="26">
        <v>45699</v>
      </c>
      <c r="AB460" s="13" t="s">
        <v>148</v>
      </c>
      <c r="AG460" s="117"/>
      <c r="AH460" s="123"/>
      <c r="AI460" s="123"/>
      <c r="AJ460" s="123"/>
      <c r="AK460" s="115"/>
      <c r="AL460" s="115"/>
      <c r="AM460" s="115"/>
      <c r="AN460" s="115"/>
      <c r="AO460" s="115"/>
      <c r="AP460" s="115"/>
      <c r="AQ460" s="115"/>
      <c r="AR460" s="115"/>
      <c r="AS460" s="115"/>
      <c r="AT460" s="115"/>
      <c r="AU460" s="115"/>
      <c r="AV460" s="115"/>
      <c r="AW460" s="115"/>
      <c r="AX460" s="115"/>
      <c r="AY460" s="25">
        <v>45268</v>
      </c>
      <c r="AZ460" s="13" t="s">
        <v>163</v>
      </c>
      <c r="BC460" s="114"/>
    </row>
    <row r="461" spans="1:55" ht="19.5" x14ac:dyDescent="0.4">
      <c r="A461" s="117"/>
      <c r="B461" s="123"/>
      <c r="C461" s="123"/>
      <c r="D461" s="123"/>
      <c r="G461" s="115"/>
      <c r="H461" s="115"/>
      <c r="I461" s="115"/>
      <c r="J461" s="115"/>
      <c r="K461" s="115"/>
      <c r="L461" s="115"/>
      <c r="M461" s="115"/>
      <c r="N461" s="115"/>
      <c r="O461" s="115"/>
      <c r="P461" s="17"/>
      <c r="Q461" s="13"/>
      <c r="AA461" s="26"/>
      <c r="AB461" s="13"/>
      <c r="AG461" s="117"/>
      <c r="AH461" s="123"/>
      <c r="AI461" s="123"/>
      <c r="AJ461" s="123"/>
      <c r="AK461" s="115"/>
      <c r="AL461" s="115"/>
      <c r="AM461" s="115"/>
      <c r="AN461" s="115"/>
      <c r="AO461" s="115"/>
      <c r="AP461" s="115"/>
      <c r="AQ461" s="115"/>
      <c r="AR461" s="115"/>
      <c r="AS461" s="115"/>
      <c r="AT461" s="115"/>
      <c r="AU461" s="115"/>
      <c r="AV461" s="115"/>
      <c r="AW461" s="115"/>
      <c r="AX461" s="115"/>
      <c r="AY461" s="25"/>
      <c r="AZ461" s="13"/>
      <c r="BC461" s="114"/>
    </row>
    <row r="462" spans="1:55" ht="19.5" x14ac:dyDescent="0.4">
      <c r="A462" s="117"/>
      <c r="B462" s="123"/>
      <c r="C462" s="123"/>
      <c r="D462" s="123"/>
      <c r="P462" s="26"/>
      <c r="Q462" s="13"/>
      <c r="T462" s="115"/>
      <c r="U462" s="115"/>
      <c r="V462" s="115"/>
      <c r="W462" s="115"/>
      <c r="X462" s="115"/>
      <c r="Y462" s="115"/>
      <c r="Z462" s="115"/>
      <c r="AA462" s="26">
        <v>45699</v>
      </c>
      <c r="AB462" s="13" t="s">
        <v>148</v>
      </c>
      <c r="AG462" s="117"/>
      <c r="AH462" s="123"/>
      <c r="AI462" s="123"/>
      <c r="AJ462" s="123"/>
      <c r="AK462" s="115"/>
      <c r="AL462" s="115"/>
      <c r="AM462" s="115"/>
      <c r="AN462" s="115"/>
      <c r="AO462" s="115"/>
      <c r="AP462" s="115"/>
      <c r="AQ462" s="115"/>
      <c r="AR462" s="115"/>
      <c r="AS462" s="115"/>
      <c r="AT462" s="115"/>
      <c r="AU462" s="115"/>
      <c r="AV462" s="115"/>
      <c r="AW462" s="115"/>
      <c r="AX462" s="115"/>
      <c r="AY462" s="25"/>
      <c r="AZ462" s="13"/>
      <c r="BC462" s="114"/>
    </row>
    <row r="463" spans="1:55" ht="19.5" x14ac:dyDescent="0.4">
      <c r="A463" s="117"/>
      <c r="B463" s="123"/>
      <c r="C463" s="123"/>
      <c r="D463" s="123"/>
      <c r="P463" s="26"/>
      <c r="Q463" s="13"/>
      <c r="T463" s="115"/>
      <c r="U463" s="115"/>
      <c r="V463" s="115"/>
      <c r="W463" s="115"/>
      <c r="X463" s="115"/>
      <c r="Y463" s="115"/>
      <c r="Z463" s="115"/>
      <c r="AA463" s="26">
        <v>45699</v>
      </c>
      <c r="AB463" s="13" t="s">
        <v>148</v>
      </c>
      <c r="AG463" s="117"/>
      <c r="AH463" s="123"/>
      <c r="AI463" s="123"/>
      <c r="AJ463" s="123"/>
      <c r="AK463" s="115"/>
      <c r="AL463" s="115"/>
      <c r="AM463" s="115"/>
      <c r="AN463" s="115"/>
      <c r="AO463" s="115"/>
      <c r="AP463" s="115"/>
      <c r="AQ463" s="115"/>
      <c r="AR463" s="115"/>
      <c r="AS463" s="115"/>
      <c r="AT463" s="115"/>
      <c r="AU463" s="115"/>
      <c r="AV463" s="115"/>
      <c r="AW463" s="115"/>
      <c r="AX463" s="115"/>
      <c r="AY463" s="25"/>
      <c r="AZ463" s="13"/>
      <c r="BC463" s="114"/>
    </row>
    <row r="464" spans="1:55" ht="19.5" x14ac:dyDescent="0.4">
      <c r="A464" s="117"/>
      <c r="B464" s="123"/>
      <c r="C464" s="123"/>
      <c r="D464" s="123"/>
      <c r="P464" s="26"/>
      <c r="Q464" s="13"/>
      <c r="T464" s="115"/>
      <c r="U464" s="115"/>
      <c r="V464" s="115"/>
      <c r="W464" s="115"/>
      <c r="X464" s="115"/>
      <c r="Y464" s="115"/>
      <c r="Z464" s="115"/>
      <c r="AA464" s="26">
        <v>45699</v>
      </c>
      <c r="AB464" s="13" t="s">
        <v>148</v>
      </c>
      <c r="AG464" s="117"/>
      <c r="AH464" s="123"/>
      <c r="AI464" s="123"/>
      <c r="AJ464" s="123"/>
      <c r="AK464" s="115"/>
      <c r="AL464" s="115"/>
      <c r="AM464" s="115"/>
      <c r="AN464" s="115"/>
      <c r="AO464" s="115"/>
      <c r="AP464" s="115"/>
      <c r="AQ464" s="115"/>
      <c r="AR464" s="115"/>
      <c r="AS464" s="115"/>
      <c r="AT464" s="115"/>
      <c r="AU464" s="115"/>
      <c r="AV464" s="115"/>
      <c r="AW464" s="115"/>
      <c r="AX464" s="115"/>
      <c r="AY464" s="25"/>
      <c r="AZ464" s="13"/>
      <c r="BC464" s="114"/>
    </row>
    <row r="465" spans="1:55" ht="19.5" x14ac:dyDescent="0.4">
      <c r="A465" s="117"/>
      <c r="B465" s="123"/>
      <c r="C465" s="123"/>
      <c r="D465" s="123"/>
      <c r="P465" s="26"/>
      <c r="Q465" s="13"/>
      <c r="AA465" s="26">
        <v>45699</v>
      </c>
      <c r="AB465" s="13" t="s">
        <v>148</v>
      </c>
      <c r="AG465" s="117"/>
      <c r="AH465" s="123"/>
      <c r="AI465" s="123"/>
      <c r="AJ465" s="123"/>
      <c r="AK465" s="115"/>
      <c r="AL465" s="115"/>
      <c r="AM465" s="115"/>
      <c r="AN465" s="115"/>
      <c r="AO465" s="115"/>
      <c r="AP465" s="115"/>
      <c r="AQ465" s="115"/>
      <c r="AR465" s="115"/>
      <c r="AS465" s="115"/>
      <c r="AT465" s="115"/>
      <c r="AU465" s="115"/>
      <c r="AV465" s="115"/>
      <c r="AW465" s="115"/>
      <c r="AX465" s="115" t="s">
        <v>158</v>
      </c>
      <c r="AY465" s="13">
        <f>SUBTOTAL(3,AY451:AY460)</f>
        <v>4</v>
      </c>
      <c r="AZ465" s="13">
        <f>SUBTOTAL(3,AZ451:AZ460)</f>
        <v>4</v>
      </c>
      <c r="BC465" s="114"/>
    </row>
    <row r="466" spans="1:55" ht="19.5" x14ac:dyDescent="0.4">
      <c r="A466" s="117"/>
      <c r="B466" s="123"/>
      <c r="C466" s="123"/>
      <c r="D466" s="123"/>
      <c r="P466" s="26"/>
      <c r="Q466" s="15"/>
      <c r="X466" s="115"/>
      <c r="Y466" s="115"/>
      <c r="Z466" s="115"/>
      <c r="AA466" s="26">
        <v>45706</v>
      </c>
      <c r="AB466" s="13" t="s">
        <v>146</v>
      </c>
      <c r="AG466" s="117"/>
      <c r="AH466" s="123"/>
      <c r="AI466" s="123"/>
      <c r="AJ466" s="123"/>
      <c r="AK466" s="115"/>
      <c r="AL466" s="115"/>
      <c r="AM466" s="115"/>
      <c r="AN466" s="115"/>
      <c r="AO466" s="115"/>
      <c r="AP466" s="115"/>
      <c r="AQ466" s="115"/>
      <c r="AR466" s="115"/>
      <c r="AS466" s="115"/>
      <c r="AT466" s="115"/>
      <c r="AU466" s="115"/>
      <c r="AV466" s="115"/>
      <c r="AW466" s="115"/>
      <c r="AX466" s="115"/>
      <c r="AY466" s="13"/>
      <c r="AZ466" s="13"/>
      <c r="BC466" s="114"/>
    </row>
    <row r="467" spans="1:55" ht="19.5" x14ac:dyDescent="0.4">
      <c r="A467" s="117"/>
      <c r="B467" s="123"/>
      <c r="C467" s="123"/>
      <c r="D467" s="123"/>
      <c r="P467" s="26"/>
      <c r="Q467" s="13"/>
      <c r="W467" s="115"/>
      <c r="X467" s="115"/>
      <c r="Y467" s="115"/>
      <c r="Z467" s="115"/>
      <c r="AA467" s="26">
        <v>45709</v>
      </c>
      <c r="AB467" s="13" t="s">
        <v>148</v>
      </c>
      <c r="AG467" s="117"/>
      <c r="AH467" s="123"/>
      <c r="AI467" s="123"/>
      <c r="AJ467" s="123"/>
      <c r="AK467" s="115"/>
      <c r="AL467" s="115"/>
      <c r="AM467" s="115"/>
      <c r="AN467" s="115"/>
      <c r="AO467" s="115"/>
      <c r="AP467" s="115"/>
      <c r="AQ467" s="115"/>
      <c r="AR467" s="115"/>
      <c r="AS467" s="115"/>
      <c r="AT467" s="115"/>
      <c r="AU467" s="115"/>
      <c r="AV467" s="115"/>
      <c r="AW467" s="115"/>
      <c r="AX467" s="115"/>
      <c r="AY467" s="13"/>
      <c r="AZ467" s="13"/>
      <c r="BC467" s="114"/>
    </row>
    <row r="468" spans="1:55" ht="19.5" x14ac:dyDescent="0.4">
      <c r="A468" s="117"/>
      <c r="B468" s="123"/>
      <c r="C468" s="123"/>
      <c r="D468" s="123"/>
      <c r="G468" s="115"/>
      <c r="H468" s="115"/>
      <c r="I468" s="115"/>
      <c r="J468" s="115"/>
      <c r="K468" s="115"/>
      <c r="L468" s="115"/>
      <c r="M468" s="115"/>
      <c r="N468" s="115"/>
      <c r="O468" s="115"/>
      <c r="P468" s="17"/>
      <c r="Q468" s="13"/>
      <c r="W468" s="115"/>
      <c r="X468" s="115"/>
      <c r="Y468" s="115"/>
      <c r="Z468" s="115"/>
      <c r="AA468" s="26"/>
      <c r="AB468" s="13"/>
      <c r="AG468" s="117"/>
      <c r="AH468" s="123"/>
      <c r="AI468" s="123"/>
      <c r="AJ468" s="123"/>
      <c r="AK468" s="115"/>
      <c r="AL468" s="115"/>
      <c r="AM468" s="115"/>
      <c r="AN468" s="115"/>
      <c r="AO468" s="115"/>
      <c r="AP468" s="115"/>
      <c r="AQ468" s="115"/>
      <c r="AR468" s="115"/>
      <c r="AS468" s="115"/>
      <c r="AT468" s="115"/>
      <c r="AU468" s="115"/>
      <c r="AV468" s="115"/>
      <c r="AW468" s="115"/>
      <c r="AX468" s="115"/>
      <c r="AY468" s="13"/>
      <c r="AZ468" s="13"/>
      <c r="BC468" s="114"/>
    </row>
    <row r="469" spans="1:55" ht="19.5" x14ac:dyDescent="0.4">
      <c r="A469" s="117"/>
      <c r="B469" s="123"/>
      <c r="C469" s="123"/>
      <c r="D469" s="123"/>
      <c r="P469" s="26"/>
      <c r="Q469" s="13"/>
      <c r="W469" s="115"/>
      <c r="X469" s="115"/>
      <c r="Y469" s="115"/>
      <c r="Z469" s="115"/>
      <c r="AA469" s="26">
        <v>45709</v>
      </c>
      <c r="AB469" s="13" t="s">
        <v>147</v>
      </c>
      <c r="AG469" s="117"/>
      <c r="AH469" s="123"/>
      <c r="AI469" s="123"/>
      <c r="AJ469" s="123"/>
      <c r="AK469" s="115"/>
      <c r="AL469" s="115"/>
      <c r="AM469" s="115"/>
      <c r="AN469" s="115"/>
      <c r="AO469" s="115"/>
      <c r="AP469" s="115"/>
      <c r="AQ469" s="115"/>
      <c r="AR469" s="115"/>
      <c r="AS469" s="115"/>
      <c r="AT469" s="115"/>
      <c r="AU469" s="115"/>
      <c r="AV469" s="115"/>
      <c r="AW469" s="115"/>
      <c r="AX469" s="115"/>
      <c r="AY469" s="13"/>
      <c r="AZ469" s="13"/>
      <c r="BC469" s="114"/>
    </row>
    <row r="470" spans="1:55" ht="19.5" x14ac:dyDescent="0.4">
      <c r="A470" s="117"/>
      <c r="B470" s="123"/>
      <c r="C470" s="123"/>
      <c r="D470" s="123"/>
      <c r="G470" s="115"/>
      <c r="H470" s="115"/>
      <c r="I470" s="115"/>
      <c r="J470" s="115"/>
      <c r="K470" s="115"/>
      <c r="L470" s="115"/>
      <c r="M470" s="115"/>
      <c r="N470" s="115"/>
      <c r="O470" s="115"/>
      <c r="P470" s="17"/>
      <c r="Q470" s="13"/>
      <c r="W470" s="115"/>
      <c r="X470" s="115"/>
      <c r="Y470" s="115"/>
      <c r="Z470" s="115"/>
      <c r="AA470" s="26"/>
      <c r="AB470" s="13"/>
      <c r="AG470" s="117"/>
      <c r="AH470" s="123"/>
      <c r="AI470" s="123"/>
      <c r="AJ470" s="123"/>
      <c r="AK470" s="115"/>
      <c r="AL470" s="115"/>
      <c r="AM470" s="115"/>
      <c r="AN470" s="115"/>
      <c r="AO470" s="115"/>
      <c r="AP470" s="115"/>
      <c r="AQ470" s="115"/>
      <c r="AR470" s="115"/>
      <c r="AS470" s="115"/>
      <c r="AT470" s="115"/>
      <c r="AU470" s="115"/>
      <c r="AV470" s="115"/>
      <c r="AW470" s="115"/>
      <c r="AX470" s="115"/>
      <c r="AY470" s="13"/>
      <c r="AZ470" s="13"/>
      <c r="BC470" s="114"/>
    </row>
    <row r="471" spans="1:55" ht="19.5" x14ac:dyDescent="0.4">
      <c r="A471" s="117"/>
      <c r="B471" s="123"/>
      <c r="C471" s="123"/>
      <c r="D471" s="123"/>
      <c r="P471" s="26"/>
      <c r="Q471" s="13"/>
      <c r="W471" s="115"/>
      <c r="X471" s="115"/>
      <c r="Y471" s="115"/>
      <c r="Z471" s="115"/>
      <c r="AA471" s="26">
        <v>45712</v>
      </c>
      <c r="AB471" s="13" t="s">
        <v>146</v>
      </c>
      <c r="AG471" s="117"/>
      <c r="AH471" s="123"/>
      <c r="AI471" s="123"/>
      <c r="AJ471" s="123"/>
      <c r="AK471" s="115"/>
      <c r="AL471" s="115"/>
      <c r="AM471" s="115"/>
      <c r="AN471" s="115"/>
      <c r="AO471" s="115"/>
      <c r="AP471" s="115"/>
      <c r="AQ471" s="115"/>
      <c r="AR471" s="115"/>
      <c r="AS471" s="115"/>
      <c r="AT471" s="115"/>
      <c r="AU471" s="115"/>
      <c r="AV471" s="115"/>
      <c r="AW471" s="115"/>
      <c r="AX471" s="115"/>
      <c r="AY471" s="13"/>
      <c r="AZ471" s="13"/>
      <c r="BC471" s="114"/>
    </row>
    <row r="472" spans="1:55" ht="19.5" x14ac:dyDescent="0.4">
      <c r="A472" s="117"/>
      <c r="B472" s="123"/>
      <c r="C472" s="123"/>
      <c r="D472" s="123"/>
      <c r="P472" s="26"/>
      <c r="Q472" s="13"/>
      <c r="W472" s="115"/>
      <c r="X472" s="115"/>
      <c r="Y472" s="115"/>
      <c r="Z472" s="115"/>
      <c r="AA472" s="26">
        <v>45712</v>
      </c>
      <c r="AB472" s="13" t="s">
        <v>148</v>
      </c>
      <c r="AG472" s="117"/>
      <c r="AH472" s="123"/>
      <c r="AI472" s="123"/>
      <c r="AJ472" s="123"/>
      <c r="AK472" s="115"/>
      <c r="AL472" s="115"/>
      <c r="AM472" s="115"/>
      <c r="AN472" s="115"/>
      <c r="AO472" s="115"/>
      <c r="AP472" s="115"/>
      <c r="AQ472" s="115"/>
      <c r="AR472" s="115"/>
      <c r="AS472" s="115"/>
      <c r="AT472" s="115"/>
      <c r="AU472" s="115"/>
      <c r="AV472" s="115"/>
      <c r="AW472" s="115"/>
      <c r="AX472" s="115"/>
      <c r="AY472" s="13"/>
      <c r="AZ472" s="13"/>
      <c r="BC472" s="114"/>
    </row>
    <row r="473" spans="1:55" ht="19.5" x14ac:dyDescent="0.4">
      <c r="A473" s="117"/>
      <c r="B473" s="123"/>
      <c r="C473" s="123"/>
      <c r="D473" s="123"/>
      <c r="G473" s="115"/>
      <c r="H473" s="115"/>
      <c r="I473" s="115"/>
      <c r="J473" s="115"/>
      <c r="K473" s="115"/>
      <c r="L473" s="115"/>
      <c r="M473" s="115"/>
      <c r="N473" s="115"/>
      <c r="O473" s="115"/>
      <c r="P473" s="17"/>
      <c r="Q473" s="13"/>
      <c r="W473" s="115"/>
      <c r="X473" s="115"/>
      <c r="Y473" s="115"/>
      <c r="Z473" s="115"/>
      <c r="AA473" s="26"/>
      <c r="AB473" s="13"/>
      <c r="AG473" s="117"/>
      <c r="AH473" s="123"/>
      <c r="AI473" s="123"/>
      <c r="AJ473" s="123"/>
      <c r="AK473" s="115"/>
      <c r="AL473" s="115"/>
      <c r="AM473" s="115"/>
      <c r="AN473" s="115"/>
      <c r="AO473" s="115"/>
      <c r="AP473" s="115"/>
      <c r="AQ473" s="115"/>
      <c r="AR473" s="115"/>
      <c r="AS473" s="115"/>
      <c r="AT473" s="115"/>
      <c r="AU473" s="115"/>
      <c r="AV473" s="115"/>
      <c r="AW473" s="115"/>
      <c r="AX473" s="115"/>
      <c r="AY473" s="13"/>
      <c r="AZ473" s="13"/>
      <c r="BC473" s="114"/>
    </row>
    <row r="474" spans="1:55" ht="19.5" x14ac:dyDescent="0.4">
      <c r="A474" s="117"/>
      <c r="B474" s="123"/>
      <c r="C474" s="123"/>
      <c r="D474" s="123"/>
      <c r="P474" s="26"/>
      <c r="Q474" s="13"/>
      <c r="U474" s="115"/>
      <c r="V474" s="115"/>
      <c r="W474" s="115"/>
      <c r="X474" s="115"/>
      <c r="Y474" s="115"/>
      <c r="Z474" s="115"/>
      <c r="AA474" s="26">
        <v>45714</v>
      </c>
      <c r="AB474" s="13" t="s">
        <v>147</v>
      </c>
      <c r="AG474" s="117"/>
      <c r="AH474" s="123"/>
      <c r="AI474" s="123"/>
      <c r="AJ474" s="123"/>
      <c r="AK474" s="115"/>
      <c r="AL474" s="115"/>
      <c r="AM474" s="115"/>
      <c r="AN474" s="115"/>
      <c r="AO474" s="115"/>
      <c r="AP474" s="115"/>
      <c r="AQ474" s="115"/>
      <c r="AR474" s="115"/>
      <c r="AS474" s="115"/>
      <c r="AT474" s="115"/>
      <c r="AU474" s="115"/>
      <c r="AV474" s="115"/>
      <c r="AW474" s="115"/>
      <c r="AX474" s="115"/>
      <c r="AY474" s="13"/>
      <c r="AZ474" s="13"/>
      <c r="BC474" s="114"/>
    </row>
    <row r="475" spans="1:55" ht="19.5" x14ac:dyDescent="0.4">
      <c r="A475" s="117"/>
      <c r="B475" s="123"/>
      <c r="C475" s="123"/>
      <c r="D475" s="123"/>
      <c r="P475" s="26"/>
      <c r="Q475" s="13"/>
      <c r="AA475" s="26">
        <v>45714</v>
      </c>
      <c r="AB475" s="13" t="s">
        <v>147</v>
      </c>
      <c r="AG475" s="117"/>
      <c r="AH475" s="123"/>
      <c r="AI475" s="123"/>
      <c r="AJ475" s="123"/>
      <c r="AK475" s="115"/>
      <c r="AL475" s="115"/>
      <c r="AM475" s="115"/>
      <c r="AN475" s="115"/>
      <c r="AO475" s="115"/>
      <c r="AP475" s="115"/>
      <c r="AQ475" s="115"/>
      <c r="AR475" s="115"/>
      <c r="AS475" s="115"/>
      <c r="AT475" s="115"/>
      <c r="AU475" s="115"/>
      <c r="AV475" s="115"/>
      <c r="AW475" s="115"/>
      <c r="AX475" s="115"/>
      <c r="AY475" s="25">
        <v>45269</v>
      </c>
      <c r="AZ475" s="13" t="s">
        <v>163</v>
      </c>
      <c r="BC475" s="114"/>
    </row>
    <row r="476" spans="1:55" ht="19.5" x14ac:dyDescent="0.4">
      <c r="A476" s="117"/>
      <c r="B476" s="123"/>
      <c r="C476" s="123"/>
      <c r="D476" s="123"/>
      <c r="P476" s="26"/>
      <c r="Q476" s="13"/>
      <c r="R476" s="115"/>
      <c r="S476" s="115"/>
      <c r="T476" s="115"/>
      <c r="U476" s="115"/>
      <c r="V476" s="115"/>
      <c r="W476" s="115"/>
      <c r="X476" s="115"/>
      <c r="Y476" s="115"/>
      <c r="Z476" s="115"/>
      <c r="AA476" s="26">
        <v>45714</v>
      </c>
      <c r="AB476" s="13" t="s">
        <v>147</v>
      </c>
      <c r="AG476" s="117"/>
      <c r="AH476" s="123"/>
      <c r="AI476" s="123"/>
      <c r="AJ476" s="123"/>
      <c r="AK476" s="115"/>
      <c r="AL476" s="115"/>
      <c r="AM476" s="115"/>
      <c r="AN476" s="115"/>
      <c r="AO476" s="115"/>
      <c r="AP476" s="115"/>
      <c r="AQ476" s="115"/>
      <c r="AR476" s="115"/>
      <c r="AS476" s="115"/>
      <c r="AT476" s="115"/>
      <c r="AU476" s="115"/>
      <c r="AV476" s="115"/>
      <c r="AW476" s="115"/>
      <c r="AX476" s="115"/>
      <c r="AY476" s="25"/>
      <c r="AZ476" s="13"/>
      <c r="BC476" s="114"/>
    </row>
    <row r="477" spans="1:55" ht="19.5" x14ac:dyDescent="0.4">
      <c r="A477" s="117"/>
      <c r="B477" s="123"/>
      <c r="C477" s="123"/>
      <c r="D477" s="123"/>
      <c r="P477" s="26"/>
      <c r="Q477" s="13"/>
      <c r="R477" s="115"/>
      <c r="S477" s="115"/>
      <c r="T477" s="115"/>
      <c r="U477" s="115"/>
      <c r="V477" s="115"/>
      <c r="W477" s="115"/>
      <c r="X477" s="115"/>
      <c r="Y477" s="115" t="s">
        <v>145</v>
      </c>
      <c r="Z477" s="115">
        <f>SUBTOTAL(3,Z2:Z476)</f>
        <v>0</v>
      </c>
      <c r="AA477" s="26"/>
      <c r="AB477" s="13">
        <f>SUBTOTAL(3,AB2:AB476)</f>
        <v>145</v>
      </c>
      <c r="AG477" s="117"/>
      <c r="AH477" s="123"/>
      <c r="AI477" s="123"/>
      <c r="AJ477" s="123"/>
      <c r="AK477" s="115"/>
      <c r="AL477" s="115"/>
      <c r="AM477" s="115"/>
      <c r="AN477" s="115"/>
      <c r="AO477" s="115"/>
      <c r="AP477" s="115"/>
      <c r="AQ477" s="115"/>
      <c r="AR477" s="115"/>
      <c r="AS477" s="115"/>
      <c r="AT477" s="115"/>
      <c r="AU477" s="115"/>
      <c r="AV477" s="115"/>
      <c r="AW477" s="115"/>
      <c r="AX477" s="115"/>
      <c r="AY477" s="25"/>
      <c r="AZ477" s="13"/>
      <c r="BC477" s="114"/>
    </row>
    <row r="478" spans="1:55" ht="19.5" x14ac:dyDescent="0.4">
      <c r="A478" s="117"/>
      <c r="B478" s="123"/>
      <c r="C478" s="123"/>
      <c r="D478" s="123"/>
      <c r="P478" s="26"/>
      <c r="Q478" s="13"/>
      <c r="AA478" s="26"/>
      <c r="AB478" s="13"/>
      <c r="AG478" s="117"/>
      <c r="AH478" s="123"/>
      <c r="AI478" s="123"/>
      <c r="AJ478" s="123"/>
      <c r="AK478" s="115"/>
      <c r="AL478" s="115"/>
      <c r="AM478" s="115"/>
      <c r="AN478" s="115"/>
      <c r="AO478" s="115"/>
      <c r="AP478" s="115"/>
      <c r="AQ478" s="115"/>
      <c r="AR478" s="115"/>
      <c r="AS478" s="115"/>
      <c r="AT478" s="115"/>
      <c r="AU478" s="115"/>
      <c r="AV478" s="115"/>
      <c r="AW478" s="115"/>
      <c r="AX478" s="115"/>
      <c r="AY478" s="25">
        <v>45269</v>
      </c>
      <c r="AZ478" s="13" t="s">
        <v>163</v>
      </c>
      <c r="BC478" s="114"/>
    </row>
    <row r="479" spans="1:55" ht="19.5" x14ac:dyDescent="0.4">
      <c r="A479" s="117"/>
      <c r="B479" s="123"/>
      <c r="C479" s="123"/>
      <c r="D479" s="123"/>
      <c r="P479" s="26"/>
      <c r="Q479" s="13"/>
      <c r="T479" s="115"/>
      <c r="U479" s="115"/>
      <c r="V479" s="115"/>
      <c r="W479" s="115"/>
      <c r="X479" s="115"/>
      <c r="Y479" s="115"/>
      <c r="Z479" s="115"/>
      <c r="AA479" s="26"/>
      <c r="AB479" s="13"/>
      <c r="AG479" s="117"/>
      <c r="AH479" s="123"/>
      <c r="AI479" s="123"/>
      <c r="AJ479" s="123"/>
      <c r="AK479" s="115"/>
      <c r="AL479" s="115"/>
      <c r="AM479" s="115"/>
      <c r="AN479" s="115"/>
      <c r="AO479" s="115"/>
      <c r="AP479" s="115"/>
      <c r="AQ479" s="115"/>
      <c r="AR479" s="115"/>
      <c r="AS479" s="115"/>
      <c r="AT479" s="115"/>
      <c r="AU479" s="115"/>
      <c r="AV479" s="115"/>
      <c r="AW479" s="115"/>
      <c r="AX479" s="115"/>
      <c r="AY479" s="25"/>
      <c r="AZ479" s="13"/>
      <c r="BC479" s="114"/>
    </row>
    <row r="480" spans="1:55" ht="19.5" x14ac:dyDescent="0.4">
      <c r="A480" s="117"/>
      <c r="B480" s="123"/>
      <c r="C480" s="123"/>
      <c r="D480" s="123"/>
      <c r="P480" s="26"/>
      <c r="Q480" s="13"/>
      <c r="AA480" s="26"/>
      <c r="AB480" s="13"/>
      <c r="AG480" s="117"/>
      <c r="AH480" s="123"/>
      <c r="AI480" s="123"/>
      <c r="AJ480" s="123"/>
      <c r="AK480" s="115"/>
      <c r="AL480" s="115"/>
      <c r="AM480" s="115"/>
      <c r="AN480" s="115"/>
      <c r="AO480" s="115"/>
      <c r="AP480" s="115"/>
      <c r="AQ480" s="115"/>
      <c r="AR480" s="115"/>
      <c r="AS480" s="115"/>
      <c r="AT480" s="115"/>
      <c r="AU480" s="115"/>
      <c r="AV480" s="115"/>
      <c r="AW480" s="115"/>
      <c r="AX480" s="115" t="s">
        <v>159</v>
      </c>
      <c r="AY480" s="13">
        <f>SUBTOTAL(3,AY475:AY478)</f>
        <v>2</v>
      </c>
      <c r="AZ480" s="13">
        <f>SUBTOTAL(3,AZ475:AZ478)</f>
        <v>2</v>
      </c>
      <c r="BC480" s="114"/>
    </row>
    <row r="481" spans="1:55" ht="19.5" x14ac:dyDescent="0.4">
      <c r="A481" s="117"/>
      <c r="B481" s="123"/>
      <c r="C481" s="123"/>
      <c r="D481" s="123"/>
      <c r="P481" s="26"/>
      <c r="Q481" s="13"/>
      <c r="R481" s="115"/>
      <c r="S481" s="115"/>
      <c r="T481" s="115"/>
      <c r="U481" s="115"/>
      <c r="V481" s="115"/>
      <c r="W481" s="115"/>
      <c r="X481" s="115"/>
      <c r="Y481" s="115"/>
      <c r="Z481" s="115"/>
      <c r="AA481" s="26"/>
      <c r="AB481" s="13"/>
      <c r="AG481" s="117"/>
      <c r="AH481" s="123"/>
      <c r="AI481" s="123"/>
      <c r="AJ481" s="123"/>
      <c r="AK481" s="115"/>
      <c r="AL481" s="115"/>
      <c r="AM481" s="115"/>
      <c r="AN481" s="115"/>
      <c r="AO481" s="115"/>
      <c r="AP481" s="115"/>
      <c r="AQ481" s="115"/>
      <c r="AR481" s="115"/>
      <c r="AS481" s="115"/>
      <c r="AT481" s="115"/>
      <c r="AU481" s="115"/>
      <c r="AV481" s="115"/>
      <c r="AW481" s="115"/>
      <c r="AX481" s="115"/>
      <c r="AY481" s="13"/>
      <c r="AZ481" s="13"/>
      <c r="BC481" s="114"/>
    </row>
    <row r="482" spans="1:55" ht="19.5" x14ac:dyDescent="0.4">
      <c r="A482" s="117"/>
      <c r="B482" s="123"/>
      <c r="C482" s="123"/>
      <c r="D482" s="123"/>
      <c r="P482" s="26"/>
      <c r="Q482" s="13"/>
      <c r="R482" s="115"/>
      <c r="S482" s="115"/>
      <c r="T482" s="115"/>
      <c r="U482" s="115"/>
      <c r="V482" s="115"/>
      <c r="W482" s="115"/>
      <c r="X482" s="115"/>
      <c r="Y482" s="115"/>
      <c r="Z482" s="115"/>
      <c r="AA482" s="26"/>
      <c r="AB482" s="13"/>
      <c r="AG482" s="117"/>
      <c r="AH482" s="123"/>
      <c r="AI482" s="123"/>
      <c r="AJ482" s="123"/>
      <c r="AK482" s="115"/>
      <c r="AL482" s="115"/>
      <c r="AM482" s="115"/>
      <c r="AN482" s="115"/>
      <c r="AO482" s="115"/>
      <c r="AP482" s="115"/>
      <c r="AQ482" s="115"/>
      <c r="AR482" s="115"/>
      <c r="AS482" s="115"/>
      <c r="AT482" s="115"/>
      <c r="AU482" s="115"/>
      <c r="AV482" s="115"/>
      <c r="AW482" s="115"/>
      <c r="AX482" s="115"/>
      <c r="AY482" s="13"/>
      <c r="AZ482" s="13"/>
      <c r="BC482" s="114"/>
    </row>
    <row r="483" spans="1:55" ht="19.5" x14ac:dyDescent="0.4">
      <c r="A483" s="117"/>
      <c r="B483" s="123"/>
      <c r="C483" s="123"/>
      <c r="D483" s="123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26"/>
      <c r="Q483" s="13"/>
      <c r="R483" s="115"/>
      <c r="S483" s="115"/>
      <c r="T483" s="115"/>
      <c r="U483" s="115"/>
      <c r="V483" s="115"/>
      <c r="W483" s="115"/>
      <c r="X483" s="115"/>
      <c r="Y483" s="115"/>
      <c r="Z483" s="115"/>
      <c r="AA483" s="26"/>
      <c r="AB483" s="13"/>
      <c r="AG483" s="117"/>
      <c r="AH483" s="123"/>
      <c r="AI483" s="123"/>
      <c r="AJ483" s="123"/>
      <c r="AK483" s="115"/>
      <c r="AL483" s="115"/>
      <c r="AM483" s="115"/>
      <c r="AN483" s="115"/>
      <c r="AO483" s="115"/>
      <c r="AP483" s="115"/>
      <c r="AQ483" s="115"/>
      <c r="AR483" s="115"/>
      <c r="AS483" s="115"/>
      <c r="AT483" s="115"/>
      <c r="AU483" s="115"/>
      <c r="AV483" s="115"/>
      <c r="AW483" s="115"/>
      <c r="AX483" s="115"/>
      <c r="AY483" s="13"/>
      <c r="AZ483" s="13"/>
      <c r="BC483" s="114"/>
    </row>
    <row r="484" spans="1:55" ht="19.5" x14ac:dyDescent="0.4">
      <c r="A484" s="117"/>
      <c r="B484" s="123"/>
      <c r="C484" s="123"/>
      <c r="D484" s="123"/>
      <c r="P484" s="26"/>
      <c r="Q484" s="13"/>
      <c r="AA484" s="26"/>
      <c r="AB484" s="13"/>
      <c r="AG484" s="117"/>
      <c r="AH484" s="123"/>
      <c r="AI484" s="123"/>
      <c r="AJ484" s="123"/>
      <c r="AK484" s="115"/>
      <c r="AL484" s="115"/>
      <c r="AM484" s="115"/>
      <c r="AN484" s="115"/>
      <c r="AO484" s="115"/>
      <c r="AP484" s="115"/>
      <c r="AQ484" s="115"/>
      <c r="AR484" s="115"/>
      <c r="AS484" s="115"/>
      <c r="AT484" s="115"/>
      <c r="AU484" s="115"/>
      <c r="AV484" s="115"/>
      <c r="AW484" s="115"/>
      <c r="AX484" s="115"/>
      <c r="AY484" s="25">
        <v>45270</v>
      </c>
      <c r="AZ484" s="13" t="s">
        <v>164</v>
      </c>
      <c r="BC484" s="114"/>
    </row>
    <row r="485" spans="1:55" ht="19.5" x14ac:dyDescent="0.4">
      <c r="A485" s="117"/>
      <c r="B485" s="123"/>
      <c r="C485" s="123"/>
      <c r="D485" s="123"/>
      <c r="P485" s="26"/>
      <c r="Q485" s="13"/>
      <c r="V485" s="115"/>
      <c r="W485" s="115"/>
      <c r="X485" s="115"/>
      <c r="Y485" s="115"/>
      <c r="Z485" s="115"/>
      <c r="AA485" s="17"/>
      <c r="AB485" s="13"/>
      <c r="AG485" s="117"/>
      <c r="AH485" s="123"/>
      <c r="AI485" s="123"/>
      <c r="AJ485" s="123"/>
      <c r="AK485" s="115"/>
      <c r="AL485" s="115"/>
      <c r="AM485" s="115"/>
      <c r="AN485" s="115"/>
      <c r="AO485" s="115"/>
      <c r="AP485" s="115"/>
      <c r="AQ485" s="115"/>
      <c r="AR485" s="115"/>
      <c r="AS485" s="115"/>
      <c r="AT485" s="115"/>
      <c r="AU485" s="115"/>
      <c r="AV485" s="115"/>
      <c r="AW485" s="115"/>
      <c r="AX485" s="115"/>
      <c r="AY485" s="25"/>
      <c r="AZ485" s="13"/>
      <c r="BC485" s="114"/>
    </row>
    <row r="486" spans="1:55" ht="19.5" x14ac:dyDescent="0.4">
      <c r="A486" s="117"/>
      <c r="B486" s="123"/>
      <c r="C486" s="123"/>
      <c r="D486" s="123"/>
      <c r="P486" s="26"/>
      <c r="Q486" s="13"/>
      <c r="AA486" s="26"/>
      <c r="AB486" s="13"/>
      <c r="AG486" s="117"/>
      <c r="AH486" s="123"/>
      <c r="AI486" s="123"/>
      <c r="AJ486" s="123"/>
      <c r="AK486" s="115"/>
      <c r="AL486" s="115"/>
      <c r="AM486" s="115"/>
      <c r="AN486" s="115"/>
      <c r="AO486" s="115"/>
      <c r="AP486" s="115"/>
      <c r="AQ486" s="115"/>
      <c r="AR486" s="115"/>
      <c r="AS486" s="115"/>
      <c r="AT486" s="115"/>
      <c r="AU486" s="115"/>
      <c r="AV486" s="115"/>
      <c r="AW486" s="115"/>
      <c r="AX486" s="115"/>
      <c r="AY486" s="25"/>
      <c r="AZ486" s="13"/>
      <c r="BC486" s="114"/>
    </row>
    <row r="487" spans="1:55" ht="19.5" x14ac:dyDescent="0.4">
      <c r="A487" s="117"/>
      <c r="B487" s="123"/>
      <c r="C487" s="123"/>
      <c r="D487" s="123"/>
      <c r="P487" s="26"/>
      <c r="Q487" s="13"/>
      <c r="S487" s="115"/>
      <c r="T487" s="115"/>
      <c r="U487" s="115"/>
      <c r="V487" s="115"/>
      <c r="W487" s="115"/>
      <c r="X487" s="115"/>
      <c r="Y487" s="115"/>
      <c r="Z487" s="115"/>
      <c r="AA487" s="26"/>
      <c r="AB487" s="13"/>
      <c r="AG487" s="117"/>
      <c r="AH487" s="123"/>
      <c r="AI487" s="123"/>
      <c r="AJ487" s="123"/>
      <c r="AK487" s="115"/>
      <c r="AL487" s="115"/>
      <c r="AM487" s="115"/>
      <c r="AN487" s="115"/>
      <c r="AO487" s="115"/>
      <c r="AP487" s="115"/>
      <c r="AQ487" s="115"/>
      <c r="AR487" s="115"/>
      <c r="AS487" s="115"/>
      <c r="AT487" s="115"/>
      <c r="AU487" s="115"/>
      <c r="AV487" s="115"/>
      <c r="AW487" s="115"/>
      <c r="AX487" s="115"/>
      <c r="AY487" s="25"/>
      <c r="AZ487" s="13"/>
      <c r="BC487" s="114"/>
    </row>
    <row r="488" spans="1:55" ht="19.5" x14ac:dyDescent="0.4">
      <c r="A488" s="117"/>
      <c r="B488" s="123"/>
      <c r="C488" s="123"/>
      <c r="D488" s="123"/>
      <c r="P488" s="26"/>
      <c r="Q488" s="13"/>
      <c r="AA488" s="26"/>
      <c r="AB488" s="13"/>
      <c r="AG488" s="117"/>
      <c r="AH488" s="123"/>
      <c r="AI488" s="123"/>
      <c r="AJ488" s="123"/>
      <c r="AK488" s="115"/>
      <c r="AL488" s="115"/>
      <c r="AM488" s="115"/>
      <c r="AN488" s="115"/>
      <c r="AO488" s="115"/>
      <c r="AP488" s="115"/>
      <c r="AQ488" s="115"/>
      <c r="AR488" s="115"/>
      <c r="AS488" s="115"/>
      <c r="AT488" s="115"/>
      <c r="AU488" s="115"/>
      <c r="AV488" s="115"/>
      <c r="AW488" s="115"/>
      <c r="AX488" s="115"/>
      <c r="AY488" s="25">
        <v>45270</v>
      </c>
      <c r="AZ488" s="13" t="s">
        <v>164</v>
      </c>
      <c r="BC488" s="114"/>
    </row>
    <row r="489" spans="1:55" ht="19.5" x14ac:dyDescent="0.4">
      <c r="A489" s="117"/>
      <c r="B489" s="123"/>
      <c r="C489" s="123"/>
      <c r="D489" s="123"/>
      <c r="P489" s="26"/>
      <c r="Q489" s="13"/>
      <c r="U489" s="115"/>
      <c r="V489" s="115"/>
      <c r="W489" s="115"/>
      <c r="X489" s="115"/>
      <c r="Y489" s="115"/>
      <c r="Z489" s="115"/>
      <c r="AA489" s="26"/>
      <c r="AB489" s="13"/>
      <c r="AG489" s="117"/>
      <c r="AH489" s="123"/>
      <c r="AI489" s="123"/>
      <c r="AJ489" s="123"/>
      <c r="AK489" s="115"/>
      <c r="AL489" s="115"/>
      <c r="AM489" s="115"/>
      <c r="AN489" s="115"/>
      <c r="AO489" s="115"/>
      <c r="AP489" s="115"/>
      <c r="AQ489" s="115"/>
      <c r="AR489" s="115"/>
      <c r="AS489" s="115"/>
      <c r="AT489" s="115"/>
      <c r="AU489" s="115"/>
      <c r="AV489" s="115"/>
      <c r="AW489" s="115"/>
      <c r="AX489" s="115"/>
      <c r="AY489" s="25"/>
      <c r="AZ489" s="13"/>
      <c r="BC489" s="114"/>
    </row>
    <row r="490" spans="1:55" ht="19.5" x14ac:dyDescent="0.4">
      <c r="A490" s="117"/>
      <c r="B490" s="123"/>
      <c r="C490" s="123"/>
      <c r="D490" s="123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26"/>
      <c r="Q490" s="13"/>
      <c r="R490" s="115"/>
      <c r="S490" s="115"/>
      <c r="T490" s="115"/>
      <c r="U490" s="115"/>
      <c r="V490" s="115"/>
      <c r="W490" s="115"/>
      <c r="X490" s="115"/>
      <c r="Y490" s="115"/>
      <c r="Z490" s="115"/>
      <c r="AA490" s="26"/>
      <c r="AB490" s="13"/>
      <c r="AG490" s="117"/>
      <c r="AH490" s="123"/>
      <c r="AI490" s="123"/>
      <c r="AJ490" s="123"/>
      <c r="AK490" s="115"/>
      <c r="AL490" s="115"/>
      <c r="AM490" s="115"/>
      <c r="AN490" s="115"/>
      <c r="AO490" s="115"/>
      <c r="AP490" s="115"/>
      <c r="AQ490" s="115"/>
      <c r="AR490" s="115"/>
      <c r="AS490" s="115"/>
      <c r="AT490" s="115"/>
      <c r="AU490" s="115"/>
      <c r="AV490" s="115"/>
      <c r="AW490" s="115"/>
      <c r="AX490" s="115"/>
      <c r="AY490" s="25"/>
      <c r="AZ490" s="13"/>
      <c r="BC490" s="114"/>
    </row>
    <row r="491" spans="1:55" ht="19.5" x14ac:dyDescent="0.4">
      <c r="A491" s="117"/>
      <c r="B491" s="123"/>
      <c r="C491" s="123"/>
      <c r="D491" s="123"/>
      <c r="P491" s="26"/>
      <c r="Q491" s="15"/>
      <c r="AA491" s="26"/>
      <c r="AB491" s="13"/>
      <c r="AG491" s="117"/>
      <c r="AH491" s="123"/>
      <c r="AI491" s="123"/>
      <c r="AJ491" s="123"/>
      <c r="AK491" s="115"/>
      <c r="AL491" s="115"/>
      <c r="AM491" s="115"/>
      <c r="AN491" s="115"/>
      <c r="AO491" s="115"/>
      <c r="AP491" s="115"/>
      <c r="AQ491" s="115"/>
      <c r="AR491" s="115"/>
      <c r="AS491" s="115"/>
      <c r="AT491" s="115"/>
      <c r="AU491" s="115"/>
      <c r="AV491" s="115"/>
      <c r="AW491" s="115"/>
      <c r="AX491" s="115"/>
      <c r="AY491" s="25">
        <v>45270</v>
      </c>
      <c r="AZ491" s="13" t="s">
        <v>162</v>
      </c>
      <c r="BC491" s="114"/>
    </row>
    <row r="492" spans="1:55" ht="19.5" x14ac:dyDescent="0.4">
      <c r="A492" s="117"/>
      <c r="B492" s="123"/>
      <c r="C492" s="123"/>
      <c r="D492" s="123"/>
      <c r="P492" s="26"/>
      <c r="Q492" s="15"/>
      <c r="T492" s="115"/>
      <c r="U492" s="115"/>
      <c r="V492" s="115"/>
      <c r="W492" s="115"/>
      <c r="X492" s="115"/>
      <c r="Y492" s="115"/>
      <c r="Z492" s="115"/>
      <c r="AA492" s="26"/>
      <c r="AB492" s="15"/>
      <c r="AG492" s="117"/>
      <c r="AH492" s="123"/>
      <c r="AI492" s="123"/>
      <c r="AJ492" s="123"/>
      <c r="AK492" s="115"/>
      <c r="AL492" s="115"/>
      <c r="AM492" s="115"/>
      <c r="AN492" s="115"/>
      <c r="AO492" s="115"/>
      <c r="AP492" s="115"/>
      <c r="AQ492" s="115"/>
      <c r="AR492" s="115"/>
      <c r="AS492" s="115"/>
      <c r="AT492" s="115"/>
      <c r="AU492" s="115"/>
      <c r="AV492" s="115"/>
      <c r="AW492" s="115"/>
      <c r="AX492" s="115"/>
      <c r="AY492" s="25"/>
      <c r="AZ492" s="13"/>
      <c r="BC492" s="114"/>
    </row>
    <row r="493" spans="1:55" ht="19.5" x14ac:dyDescent="0.4">
      <c r="A493" s="117"/>
      <c r="B493" s="123"/>
      <c r="C493" s="123"/>
      <c r="D493" s="123"/>
      <c r="G493" s="115"/>
      <c r="H493" s="115"/>
      <c r="I493" s="115"/>
      <c r="J493" s="115"/>
      <c r="K493" s="115"/>
      <c r="L493" s="115"/>
      <c r="M493" s="115"/>
      <c r="N493" s="115"/>
      <c r="O493" s="115"/>
      <c r="P493" s="17"/>
      <c r="Q493" s="15"/>
      <c r="T493" s="115"/>
      <c r="U493" s="115"/>
      <c r="V493" s="115"/>
      <c r="W493" s="115"/>
      <c r="X493" s="115"/>
      <c r="Y493" s="115"/>
      <c r="Z493" s="115"/>
      <c r="AA493" s="26"/>
      <c r="AB493" s="13"/>
      <c r="AG493" s="117"/>
      <c r="AH493" s="123"/>
      <c r="AI493" s="123"/>
      <c r="AJ493" s="123"/>
      <c r="AK493" s="115"/>
      <c r="AL493" s="115"/>
      <c r="AM493" s="115"/>
      <c r="AN493" s="115"/>
      <c r="AO493" s="115"/>
      <c r="AP493" s="115"/>
      <c r="AQ493" s="115"/>
      <c r="AR493" s="115"/>
      <c r="AS493" s="115"/>
      <c r="AT493" s="115"/>
      <c r="AU493" s="115"/>
      <c r="AV493" s="115"/>
      <c r="AW493" s="115"/>
      <c r="AX493" s="115"/>
      <c r="AY493" s="25"/>
      <c r="AZ493" s="13"/>
      <c r="BC493" s="114"/>
    </row>
    <row r="494" spans="1:55" ht="19.5" x14ac:dyDescent="0.4">
      <c r="A494" s="117"/>
      <c r="B494" s="123"/>
      <c r="C494" s="123"/>
      <c r="D494" s="123"/>
      <c r="P494" s="26"/>
      <c r="Q494" s="15"/>
      <c r="AA494" s="26"/>
      <c r="AB494" s="13"/>
      <c r="AG494" s="117"/>
      <c r="AH494" s="123"/>
      <c r="AI494" s="123"/>
      <c r="AJ494" s="123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15"/>
      <c r="AU494" s="115"/>
      <c r="AV494" s="115"/>
      <c r="AW494" s="115"/>
      <c r="AX494" s="115"/>
      <c r="AY494" s="25">
        <v>45270</v>
      </c>
      <c r="AZ494" s="13" t="s">
        <v>162</v>
      </c>
      <c r="BC494" s="114"/>
    </row>
    <row r="495" spans="1:55" ht="19.5" x14ac:dyDescent="0.4">
      <c r="A495" s="117"/>
      <c r="B495" s="123"/>
      <c r="C495" s="123"/>
      <c r="D495" s="123"/>
      <c r="G495" s="115"/>
      <c r="H495" s="115"/>
      <c r="I495" s="115"/>
      <c r="J495" s="115"/>
      <c r="K495" s="115"/>
      <c r="L495" s="115"/>
      <c r="M495" s="115"/>
      <c r="N495" s="115"/>
      <c r="O495" s="115"/>
      <c r="P495" s="17"/>
      <c r="Q495" s="15"/>
      <c r="AA495" s="26"/>
      <c r="AB495" s="13"/>
      <c r="AG495" s="117"/>
      <c r="AH495" s="123"/>
      <c r="AI495" s="123"/>
      <c r="AJ495" s="123"/>
      <c r="AK495" s="115"/>
      <c r="AL495" s="115"/>
      <c r="AM495" s="115"/>
      <c r="AN495" s="115"/>
      <c r="AO495" s="115"/>
      <c r="AP495" s="115"/>
      <c r="AQ495" s="115"/>
      <c r="AR495" s="115"/>
      <c r="AS495" s="115"/>
      <c r="AT495" s="115"/>
      <c r="AU495" s="115"/>
      <c r="AV495" s="115"/>
      <c r="AW495" s="115"/>
      <c r="AX495" s="115"/>
      <c r="AY495" s="25"/>
      <c r="AZ495" s="13"/>
      <c r="BC495" s="114"/>
    </row>
    <row r="496" spans="1:55" ht="19.5" x14ac:dyDescent="0.4">
      <c r="A496" s="117"/>
      <c r="B496" s="123"/>
      <c r="C496" s="123"/>
      <c r="D496" s="123"/>
      <c r="P496" s="26"/>
      <c r="Q496" s="15"/>
      <c r="V496" s="115"/>
      <c r="W496" s="115"/>
      <c r="X496" s="115"/>
      <c r="Y496" s="115"/>
      <c r="Z496" s="115"/>
      <c r="AA496" s="17"/>
      <c r="AB496" s="13"/>
      <c r="AG496" s="117"/>
      <c r="AH496" s="123"/>
      <c r="AI496" s="123"/>
      <c r="AJ496" s="123"/>
      <c r="AK496" s="115"/>
      <c r="AL496" s="115"/>
      <c r="AM496" s="115"/>
      <c r="AN496" s="115"/>
      <c r="AO496" s="115"/>
      <c r="AP496" s="115"/>
      <c r="AQ496" s="115"/>
      <c r="AR496" s="115"/>
      <c r="AS496" s="115"/>
      <c r="AT496" s="115"/>
      <c r="AU496" s="115"/>
      <c r="AV496" s="115"/>
      <c r="AW496" s="115"/>
      <c r="AX496" s="115"/>
      <c r="AY496" s="25"/>
      <c r="AZ496" s="13"/>
      <c r="BC496" s="114"/>
    </row>
    <row r="497" spans="1:55" ht="19.5" x14ac:dyDescent="0.4">
      <c r="A497" s="117"/>
      <c r="B497" s="123"/>
      <c r="C497" s="123"/>
      <c r="D497" s="123"/>
      <c r="G497" s="115"/>
      <c r="H497" s="115"/>
      <c r="I497" s="115"/>
      <c r="J497" s="115"/>
      <c r="K497" s="115"/>
      <c r="L497" s="115"/>
      <c r="M497" s="115"/>
      <c r="N497" s="115"/>
      <c r="O497" s="115"/>
      <c r="P497" s="119"/>
      <c r="Q497" s="119"/>
      <c r="V497" s="115"/>
      <c r="W497" s="115"/>
      <c r="X497" s="115"/>
      <c r="Y497" s="115"/>
      <c r="Z497" s="115"/>
      <c r="AA497" s="17"/>
      <c r="AB497" s="13"/>
      <c r="AG497" s="117"/>
      <c r="AH497" s="123"/>
      <c r="AI497" s="123"/>
      <c r="AJ497" s="123"/>
      <c r="AK497" s="115"/>
      <c r="AL497" s="115"/>
      <c r="AM497" s="115"/>
      <c r="AN497" s="115"/>
      <c r="AO497" s="115"/>
      <c r="AP497" s="115"/>
      <c r="AQ497" s="115"/>
      <c r="AR497" s="115"/>
      <c r="AS497" s="115"/>
      <c r="AT497" s="115"/>
      <c r="AU497" s="115"/>
      <c r="AV497" s="115"/>
      <c r="AW497" s="115"/>
      <c r="AX497" s="115"/>
      <c r="AY497" s="25"/>
      <c r="AZ497" s="13"/>
      <c r="BC497" s="114"/>
    </row>
    <row r="498" spans="1:55" ht="19.5" x14ac:dyDescent="0.4">
      <c r="A498" s="117"/>
      <c r="B498" s="123"/>
      <c r="C498" s="123"/>
      <c r="D498" s="123"/>
      <c r="G498" s="115"/>
      <c r="H498" s="115"/>
      <c r="I498" s="115"/>
      <c r="J498" s="115"/>
      <c r="K498" s="115"/>
      <c r="L498" s="115"/>
      <c r="M498" s="115"/>
      <c r="N498" s="115"/>
      <c r="O498" s="115"/>
      <c r="P498" s="119"/>
      <c r="Q498" s="119"/>
      <c r="V498" s="115"/>
      <c r="W498" s="115"/>
      <c r="X498" s="115"/>
      <c r="Y498" s="115"/>
      <c r="Z498" s="115"/>
      <c r="AA498" s="17"/>
      <c r="AB498" s="13"/>
      <c r="AG498" s="117"/>
      <c r="AH498" s="123"/>
      <c r="AI498" s="123"/>
      <c r="AJ498" s="123"/>
      <c r="AK498" s="115"/>
      <c r="AL498" s="115"/>
      <c r="AM498" s="115"/>
      <c r="AN498" s="115"/>
      <c r="AO498" s="115"/>
      <c r="AP498" s="115"/>
      <c r="AQ498" s="115"/>
      <c r="AR498" s="115"/>
      <c r="AS498" s="115"/>
      <c r="AT498" s="115"/>
      <c r="AU498" s="115"/>
      <c r="AV498" s="115"/>
      <c r="AW498" s="115"/>
      <c r="AX498" s="115"/>
      <c r="AY498" s="25"/>
      <c r="AZ498" s="13"/>
      <c r="BC498" s="114"/>
    </row>
    <row r="499" spans="1:55" ht="19.5" x14ac:dyDescent="0.4">
      <c r="A499" s="117"/>
      <c r="B499" s="123"/>
      <c r="C499" s="123"/>
      <c r="D499" s="123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26"/>
      <c r="AB499" s="13"/>
      <c r="AG499" s="117"/>
      <c r="AH499" s="123"/>
      <c r="AI499" s="123"/>
      <c r="AJ499" s="123"/>
      <c r="AK499" s="115"/>
      <c r="AL499" s="115"/>
      <c r="AM499" s="115"/>
      <c r="AN499" s="115"/>
      <c r="AO499" s="115"/>
      <c r="AP499" s="115"/>
      <c r="AQ499" s="115"/>
      <c r="AR499" s="115"/>
      <c r="AS499" s="115"/>
      <c r="AT499" s="115"/>
      <c r="AU499" s="115"/>
      <c r="AV499" s="115"/>
      <c r="AW499" s="115"/>
      <c r="AX499" s="115"/>
      <c r="AY499" s="25"/>
      <c r="AZ499" s="13"/>
      <c r="BC499" s="114"/>
    </row>
    <row r="500" spans="1:55" ht="19.5" x14ac:dyDescent="0.4">
      <c r="A500" s="117"/>
      <c r="B500" s="123"/>
      <c r="C500" s="123"/>
      <c r="D500" s="123"/>
      <c r="AA500" s="26"/>
      <c r="AB500" s="13"/>
      <c r="AG500" s="117"/>
      <c r="AH500" s="123"/>
      <c r="AI500" s="123"/>
      <c r="AJ500" s="123"/>
      <c r="AK500" s="115"/>
      <c r="AL500" s="115"/>
      <c r="AM500" s="115"/>
      <c r="AN500" s="115"/>
      <c r="AO500" s="115"/>
      <c r="AP500" s="115"/>
      <c r="AQ500" s="115"/>
      <c r="AR500" s="115"/>
      <c r="AS500" s="115"/>
      <c r="AT500" s="115"/>
      <c r="AU500" s="115"/>
      <c r="AV500" s="115"/>
      <c r="AW500" s="115"/>
      <c r="AX500" s="115"/>
      <c r="AY500" s="25"/>
      <c r="AZ500" s="13"/>
      <c r="BC500" s="114"/>
    </row>
    <row r="501" spans="1:55" ht="19.5" x14ac:dyDescent="0.4">
      <c r="A501" s="117"/>
      <c r="B501" s="123"/>
      <c r="C501" s="123"/>
      <c r="D501" s="123"/>
      <c r="AA501" s="26"/>
      <c r="AB501" s="13"/>
      <c r="AG501" s="117"/>
      <c r="AH501" s="123"/>
      <c r="AI501" s="123"/>
      <c r="AJ501" s="123"/>
      <c r="AK501" s="115"/>
      <c r="AL501" s="115"/>
      <c r="AM501" s="115"/>
      <c r="AN501" s="115"/>
      <c r="AO501" s="115"/>
      <c r="AP501" s="115"/>
      <c r="AQ501" s="115"/>
      <c r="AR501" s="115"/>
      <c r="AS501" s="115"/>
      <c r="AT501" s="115"/>
      <c r="AU501" s="115"/>
      <c r="AV501" s="115"/>
      <c r="AW501" s="115"/>
      <c r="AX501" s="115"/>
      <c r="AY501" s="25">
        <v>45270</v>
      </c>
      <c r="AZ501" s="13" t="s">
        <v>163</v>
      </c>
      <c r="BC501" s="114"/>
    </row>
    <row r="502" spans="1:55" ht="19.5" x14ac:dyDescent="0.4">
      <c r="A502" s="117"/>
      <c r="B502" s="123"/>
      <c r="C502" s="123"/>
      <c r="D502" s="123"/>
      <c r="V502" s="115"/>
      <c r="W502" s="115"/>
      <c r="X502" s="115"/>
      <c r="Y502" s="115"/>
      <c r="Z502" s="115"/>
      <c r="AA502" s="17"/>
      <c r="AB502" s="13"/>
      <c r="AG502" s="117"/>
      <c r="AH502" s="123"/>
      <c r="AI502" s="123"/>
      <c r="AJ502" s="123"/>
      <c r="AK502" s="115"/>
      <c r="AL502" s="115"/>
      <c r="AM502" s="115"/>
      <c r="AN502" s="115"/>
      <c r="AO502" s="115"/>
      <c r="AP502" s="115"/>
      <c r="AQ502" s="115"/>
      <c r="AR502" s="115"/>
      <c r="AS502" s="115"/>
      <c r="AT502" s="115"/>
      <c r="AU502" s="115"/>
      <c r="AV502" s="115"/>
      <c r="AW502" s="115"/>
      <c r="AX502" s="115"/>
      <c r="AY502" s="25"/>
      <c r="AZ502" s="13"/>
      <c r="BC502" s="114"/>
    </row>
    <row r="503" spans="1:55" ht="19.5" x14ac:dyDescent="0.4">
      <c r="A503" s="117"/>
      <c r="B503" s="123"/>
      <c r="C503" s="123"/>
      <c r="D503" s="123"/>
      <c r="AA503" s="26"/>
      <c r="AB503" s="13"/>
      <c r="AG503" s="117"/>
      <c r="AH503" s="123"/>
      <c r="AI503" s="123"/>
      <c r="AJ503" s="123"/>
      <c r="AK503" s="115"/>
      <c r="AL503" s="115"/>
      <c r="AM503" s="115"/>
      <c r="AN503" s="115"/>
      <c r="AO503" s="115"/>
      <c r="AP503" s="115"/>
      <c r="AQ503" s="115"/>
      <c r="AR503" s="115"/>
      <c r="AS503" s="115"/>
      <c r="AT503" s="115"/>
      <c r="AU503" s="115"/>
      <c r="AV503" s="115"/>
      <c r="AW503" s="115"/>
      <c r="AX503" s="115" t="s">
        <v>151</v>
      </c>
      <c r="AY503" s="13">
        <f>SUBTOTAL(3,AY484:AY501)</f>
        <v>5</v>
      </c>
      <c r="AZ503" s="13">
        <f>SUBTOTAL(3,AZ484:AZ501)</f>
        <v>5</v>
      </c>
      <c r="BC503" s="114"/>
    </row>
    <row r="504" spans="1:55" ht="19.5" x14ac:dyDescent="0.4">
      <c r="A504" s="117"/>
      <c r="B504" s="123"/>
      <c r="C504" s="123"/>
      <c r="D504" s="123"/>
      <c r="U504" s="115"/>
      <c r="V504" s="115"/>
      <c r="W504" s="115"/>
      <c r="X504" s="115"/>
      <c r="Y504" s="115"/>
      <c r="Z504" s="115"/>
      <c r="AA504" s="26"/>
      <c r="AB504" s="13"/>
      <c r="AG504" s="117"/>
      <c r="AH504" s="123"/>
      <c r="AI504" s="123"/>
      <c r="AJ504" s="123"/>
      <c r="AK504" s="115"/>
      <c r="AL504" s="115"/>
      <c r="AM504" s="115"/>
      <c r="AN504" s="115"/>
      <c r="AO504" s="115"/>
      <c r="AP504" s="115"/>
      <c r="AQ504" s="115"/>
      <c r="AR504" s="115"/>
      <c r="AS504" s="115"/>
      <c r="AT504" s="115"/>
      <c r="AU504" s="115"/>
      <c r="AV504" s="115"/>
      <c r="AW504" s="115"/>
      <c r="AX504" s="115"/>
      <c r="AY504" s="13"/>
      <c r="AZ504" s="13"/>
      <c r="BC504" s="114"/>
    </row>
    <row r="505" spans="1:55" ht="19.5" x14ac:dyDescent="0.4">
      <c r="A505" s="117"/>
      <c r="B505" s="123"/>
      <c r="C505" s="123"/>
      <c r="D505" s="123"/>
      <c r="AA505" s="26"/>
      <c r="AB505" s="13"/>
      <c r="AG505" s="117"/>
      <c r="AH505" s="123"/>
      <c r="AI505" s="123"/>
      <c r="AJ505" s="123"/>
      <c r="AK505" s="115"/>
      <c r="AL505" s="115"/>
      <c r="AM505" s="115"/>
      <c r="AN505" s="115"/>
      <c r="AO505" s="115"/>
      <c r="AP505" s="115"/>
      <c r="AQ505" s="115"/>
      <c r="AR505" s="115"/>
      <c r="AS505" s="115"/>
      <c r="AT505" s="115"/>
      <c r="AU505" s="115"/>
      <c r="AV505" s="115"/>
      <c r="AW505" s="115"/>
      <c r="AX505" s="115"/>
      <c r="AY505" s="25">
        <v>45271</v>
      </c>
      <c r="AZ505" s="13" t="s">
        <v>162</v>
      </c>
      <c r="BC505" s="114"/>
    </row>
    <row r="506" spans="1:55" ht="19.5" x14ac:dyDescent="0.4">
      <c r="A506" s="117"/>
      <c r="B506" s="123"/>
      <c r="C506" s="123"/>
      <c r="D506" s="123"/>
      <c r="AA506" s="26"/>
      <c r="AB506" s="13"/>
      <c r="AG506" s="117"/>
      <c r="AH506" s="123"/>
      <c r="AI506" s="123"/>
      <c r="AJ506" s="123"/>
      <c r="AK506" s="115"/>
      <c r="AL506" s="115"/>
      <c r="AM506" s="115"/>
      <c r="AN506" s="115"/>
      <c r="AO506" s="115"/>
      <c r="AP506" s="115"/>
      <c r="AQ506" s="115"/>
      <c r="AR506" s="115"/>
      <c r="AS506" s="115"/>
      <c r="AT506" s="115"/>
      <c r="AU506" s="115"/>
      <c r="AV506" s="115"/>
      <c r="AW506" s="115"/>
      <c r="AX506" s="115"/>
      <c r="AY506" s="25">
        <v>45271</v>
      </c>
      <c r="AZ506" s="13" t="s">
        <v>163</v>
      </c>
      <c r="BC506" s="114"/>
    </row>
    <row r="507" spans="1:55" ht="19.5" x14ac:dyDescent="0.4">
      <c r="A507" s="117"/>
      <c r="B507" s="123"/>
      <c r="C507" s="123"/>
      <c r="D507" s="123"/>
      <c r="U507" s="115"/>
      <c r="V507" s="115"/>
      <c r="W507" s="115"/>
      <c r="X507" s="115"/>
      <c r="Y507" s="115"/>
      <c r="Z507" s="115"/>
      <c r="AA507" s="26"/>
      <c r="AB507" s="13"/>
      <c r="AG507" s="117"/>
      <c r="AH507" s="123"/>
      <c r="AI507" s="123"/>
      <c r="AJ507" s="123"/>
      <c r="AK507" s="115"/>
      <c r="AL507" s="115"/>
      <c r="AM507" s="115"/>
      <c r="AN507" s="115"/>
      <c r="AO507" s="115"/>
      <c r="AP507" s="115"/>
      <c r="AQ507" s="115"/>
      <c r="AR507" s="115"/>
      <c r="AS507" s="115"/>
      <c r="AT507" s="115"/>
      <c r="AU507" s="115"/>
      <c r="AV507" s="115"/>
      <c r="AW507" s="115"/>
      <c r="AX507" s="115"/>
      <c r="AY507" s="25"/>
      <c r="AZ507" s="13"/>
      <c r="BC507" s="114"/>
    </row>
    <row r="508" spans="1:55" ht="19.5" x14ac:dyDescent="0.4">
      <c r="A508" s="117"/>
      <c r="B508" s="123"/>
      <c r="C508" s="123"/>
      <c r="D508" s="123"/>
      <c r="T508" s="115"/>
      <c r="U508" s="115"/>
      <c r="V508" s="115"/>
      <c r="W508" s="115"/>
      <c r="X508" s="115"/>
      <c r="Y508" s="115"/>
      <c r="Z508" s="115"/>
      <c r="AA508" s="26"/>
      <c r="AB508" s="13"/>
      <c r="AG508" s="117"/>
      <c r="AH508" s="123"/>
      <c r="AI508" s="123"/>
      <c r="AJ508" s="123"/>
      <c r="AK508" s="115"/>
      <c r="AL508" s="115"/>
      <c r="AM508" s="115"/>
      <c r="AN508" s="115"/>
      <c r="AO508" s="115"/>
      <c r="AP508" s="115"/>
      <c r="AQ508" s="115"/>
      <c r="AR508" s="115"/>
      <c r="AS508" s="115"/>
      <c r="AT508" s="115"/>
      <c r="AU508" s="115"/>
      <c r="AV508" s="115"/>
      <c r="AW508" s="115"/>
      <c r="AX508" s="115"/>
      <c r="AY508" s="25"/>
      <c r="AZ508" s="13"/>
      <c r="BC508" s="114"/>
    </row>
    <row r="509" spans="1:55" ht="19.5" x14ac:dyDescent="0.4">
      <c r="A509" s="117"/>
      <c r="B509" s="123"/>
      <c r="C509" s="123"/>
      <c r="D509" s="123"/>
      <c r="T509" s="115"/>
      <c r="U509" s="115"/>
      <c r="V509" s="115"/>
      <c r="W509" s="115"/>
      <c r="X509" s="115"/>
      <c r="Y509" s="115"/>
      <c r="Z509" s="115"/>
      <c r="AA509" s="17"/>
      <c r="AB509" s="13"/>
      <c r="AG509" s="117"/>
      <c r="AH509" s="123"/>
      <c r="AI509" s="123"/>
      <c r="AJ509" s="123"/>
      <c r="AK509" s="115"/>
      <c r="AL509" s="115"/>
      <c r="AM509" s="115"/>
      <c r="AN509" s="115"/>
      <c r="AO509" s="115"/>
      <c r="AP509" s="115"/>
      <c r="AQ509" s="115"/>
      <c r="AR509" s="115"/>
      <c r="AS509" s="115"/>
      <c r="AT509" s="115"/>
      <c r="AU509" s="115"/>
      <c r="AV509" s="115"/>
      <c r="AW509" s="115"/>
      <c r="AX509" s="115"/>
      <c r="AY509" s="25"/>
      <c r="AZ509" s="13"/>
      <c r="BC509" s="114"/>
    </row>
    <row r="510" spans="1:55" ht="19.5" x14ac:dyDescent="0.4">
      <c r="A510" s="117"/>
      <c r="B510" s="123"/>
      <c r="C510" s="123"/>
      <c r="D510" s="123"/>
      <c r="R510" s="115"/>
      <c r="S510" s="115"/>
      <c r="T510" s="115"/>
      <c r="U510" s="115"/>
      <c r="V510" s="115"/>
      <c r="W510" s="115"/>
      <c r="X510" s="115"/>
      <c r="Y510" s="115"/>
      <c r="Z510" s="115"/>
      <c r="AA510" s="26"/>
      <c r="AB510" s="13"/>
      <c r="AG510" s="117"/>
      <c r="AH510" s="123"/>
      <c r="AI510" s="123"/>
      <c r="AJ510" s="123"/>
      <c r="AK510" s="115"/>
      <c r="AL510" s="115"/>
      <c r="AM510" s="115"/>
      <c r="AN510" s="115"/>
      <c r="AO510" s="115"/>
      <c r="AP510" s="115"/>
      <c r="AQ510" s="115"/>
      <c r="AR510" s="115"/>
      <c r="AS510" s="115"/>
      <c r="AT510" s="115"/>
      <c r="AU510" s="115"/>
      <c r="AV510" s="115"/>
      <c r="AW510" s="115"/>
      <c r="AX510" s="115"/>
      <c r="AY510" s="25"/>
      <c r="AZ510" s="13"/>
      <c r="BC510" s="114"/>
    </row>
    <row r="511" spans="1:55" ht="19.5" x14ac:dyDescent="0.4">
      <c r="A511" s="117"/>
      <c r="B511" s="123"/>
      <c r="C511" s="123"/>
      <c r="D511" s="123"/>
      <c r="AA511" s="26"/>
      <c r="AB511" s="13"/>
      <c r="AG511" s="117"/>
      <c r="AH511" s="123"/>
      <c r="AI511" s="123"/>
      <c r="AJ511" s="123"/>
      <c r="AK511" s="115"/>
      <c r="AL511" s="115"/>
      <c r="AM511" s="115"/>
      <c r="AN511" s="115"/>
      <c r="AO511" s="115"/>
      <c r="AP511" s="115"/>
      <c r="AQ511" s="115"/>
      <c r="AR511" s="115"/>
      <c r="AS511" s="115"/>
      <c r="AT511" s="115"/>
      <c r="AU511" s="115"/>
      <c r="AV511" s="115"/>
      <c r="AW511" s="115"/>
      <c r="AX511" s="115"/>
      <c r="AY511" s="25">
        <v>45271</v>
      </c>
      <c r="AZ511" s="13" t="s">
        <v>163</v>
      </c>
      <c r="BC511" s="114"/>
    </row>
    <row r="512" spans="1:55" ht="19.5" x14ac:dyDescent="0.4">
      <c r="A512" s="117"/>
      <c r="B512" s="123"/>
      <c r="C512" s="123"/>
      <c r="D512" s="123"/>
      <c r="U512" s="115"/>
      <c r="V512" s="115"/>
      <c r="W512" s="115"/>
      <c r="X512" s="115"/>
      <c r="Y512" s="115"/>
      <c r="Z512" s="115"/>
      <c r="AA512" s="26"/>
      <c r="AB512" s="13"/>
      <c r="AG512" s="117"/>
      <c r="AH512" s="123"/>
      <c r="AI512" s="123"/>
      <c r="AJ512" s="123"/>
      <c r="AK512" s="115"/>
      <c r="AL512" s="115"/>
      <c r="AM512" s="115"/>
      <c r="AN512" s="115"/>
      <c r="AO512" s="115"/>
      <c r="AP512" s="115"/>
      <c r="AQ512" s="115"/>
      <c r="AR512" s="115"/>
      <c r="AS512" s="115"/>
      <c r="AT512" s="115"/>
      <c r="AU512" s="115"/>
      <c r="AV512" s="115"/>
      <c r="AW512" s="115"/>
      <c r="AX512" s="115"/>
      <c r="AY512" s="25"/>
      <c r="AZ512" s="13"/>
      <c r="BC512" s="114"/>
    </row>
    <row r="513" spans="1:55" ht="19.5" x14ac:dyDescent="0.4">
      <c r="A513" s="117"/>
      <c r="B513" s="123"/>
      <c r="C513" s="123"/>
      <c r="D513" s="123"/>
      <c r="S513" s="115"/>
      <c r="T513" s="115"/>
      <c r="U513" s="115"/>
      <c r="V513" s="115"/>
      <c r="W513" s="115"/>
      <c r="X513" s="115"/>
      <c r="Y513" s="115"/>
      <c r="Z513" s="115"/>
      <c r="AA513" s="26"/>
      <c r="AB513" s="13"/>
      <c r="AG513" s="117"/>
      <c r="AH513" s="123"/>
      <c r="AI513" s="123"/>
      <c r="AJ513" s="123"/>
      <c r="AK513" s="115"/>
      <c r="AL513" s="115"/>
      <c r="AM513" s="115"/>
      <c r="AN513" s="115"/>
      <c r="AO513" s="115"/>
      <c r="AP513" s="115"/>
      <c r="AQ513" s="115"/>
      <c r="AR513" s="115"/>
      <c r="AS513" s="115"/>
      <c r="AT513" s="115"/>
      <c r="AU513" s="115"/>
      <c r="AV513" s="115"/>
      <c r="AW513" s="115"/>
      <c r="AX513" s="115"/>
      <c r="AY513" s="25"/>
      <c r="AZ513" s="13"/>
      <c r="BC513" s="114"/>
    </row>
    <row r="514" spans="1:55" ht="19.5" x14ac:dyDescent="0.4">
      <c r="A514" s="117"/>
      <c r="B514" s="123"/>
      <c r="C514" s="123"/>
      <c r="D514" s="123"/>
      <c r="S514" s="115"/>
      <c r="T514" s="115"/>
      <c r="U514" s="115"/>
      <c r="V514" s="115"/>
      <c r="W514" s="115"/>
      <c r="X514" s="115"/>
      <c r="Y514" s="115"/>
      <c r="Z514" s="115"/>
      <c r="AA514" s="17"/>
      <c r="AB514" s="13"/>
      <c r="AG514" s="117"/>
      <c r="AH514" s="123"/>
      <c r="AI514" s="123"/>
      <c r="AJ514" s="123"/>
      <c r="AK514" s="115"/>
      <c r="AL514" s="115"/>
      <c r="AM514" s="115"/>
      <c r="AN514" s="115"/>
      <c r="AO514" s="115"/>
      <c r="AP514" s="115"/>
      <c r="AQ514" s="115"/>
      <c r="AR514" s="115"/>
      <c r="AS514" s="115"/>
      <c r="AT514" s="115"/>
      <c r="AU514" s="115"/>
      <c r="AV514" s="115"/>
      <c r="AW514" s="115"/>
      <c r="AX514" s="115"/>
      <c r="AY514" s="25"/>
      <c r="AZ514" s="13"/>
      <c r="BC514" s="114"/>
    </row>
    <row r="515" spans="1:55" ht="19.5" x14ac:dyDescent="0.4">
      <c r="A515" s="117"/>
      <c r="B515" s="123"/>
      <c r="C515" s="123"/>
      <c r="D515" s="123"/>
      <c r="AA515" s="26"/>
      <c r="AB515" s="13"/>
      <c r="AG515" s="117"/>
      <c r="AH515" s="123"/>
      <c r="AI515" s="123"/>
      <c r="AJ515" s="123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115"/>
      <c r="AU515" s="115"/>
      <c r="AV515" s="115"/>
      <c r="AW515" s="115"/>
      <c r="AX515" s="115" t="s">
        <v>165</v>
      </c>
      <c r="AY515" s="13">
        <f>SUBTOTAL(3,AY505:AY511)</f>
        <v>3</v>
      </c>
      <c r="AZ515" s="13">
        <f>SUBTOTAL(3,AZ505:AZ511)</f>
        <v>3</v>
      </c>
      <c r="BC515" s="114"/>
    </row>
    <row r="516" spans="1:55" ht="19.5" x14ac:dyDescent="0.4">
      <c r="A516" s="117"/>
      <c r="B516" s="123"/>
      <c r="C516" s="123"/>
      <c r="D516" s="123"/>
      <c r="AA516" s="26"/>
      <c r="AB516" s="13"/>
      <c r="AG516" s="117"/>
      <c r="AH516" s="123"/>
      <c r="AI516" s="123"/>
      <c r="AJ516" s="123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115"/>
      <c r="AU516" s="115"/>
      <c r="AV516" s="115"/>
      <c r="AW516" s="115"/>
      <c r="AX516" s="115"/>
      <c r="AY516" s="25">
        <v>45272</v>
      </c>
      <c r="AZ516" s="13" t="s">
        <v>162</v>
      </c>
      <c r="BC516" s="114"/>
    </row>
    <row r="517" spans="1:55" ht="19.5" x14ac:dyDescent="0.4">
      <c r="A517" s="117"/>
      <c r="B517" s="123"/>
      <c r="C517" s="123"/>
      <c r="D517" s="123"/>
      <c r="V517" s="115"/>
      <c r="W517" s="115"/>
      <c r="X517" s="115"/>
      <c r="Y517" s="115"/>
      <c r="Z517" s="115"/>
      <c r="AA517" s="17"/>
      <c r="AB517" s="13"/>
      <c r="AG517" s="117"/>
      <c r="AH517" s="123"/>
      <c r="AI517" s="123"/>
      <c r="AJ517" s="123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15"/>
      <c r="AU517" s="115"/>
      <c r="AV517" s="115"/>
      <c r="AW517" s="115"/>
      <c r="AX517" s="115"/>
      <c r="AY517" s="25"/>
      <c r="AZ517" s="13"/>
      <c r="BC517" s="114"/>
    </row>
    <row r="518" spans="1:55" ht="19.5" x14ac:dyDescent="0.4">
      <c r="A518" s="117"/>
      <c r="B518" s="123"/>
      <c r="C518" s="123"/>
      <c r="D518" s="123"/>
      <c r="AA518" s="26"/>
      <c r="AB518" s="15"/>
      <c r="AG518" s="117"/>
      <c r="AH518" s="123"/>
      <c r="AI518" s="123"/>
      <c r="AJ518" s="123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15"/>
      <c r="AU518" s="115"/>
      <c r="AV518" s="115"/>
      <c r="AW518" s="115"/>
      <c r="AX518" s="115"/>
      <c r="AY518" s="25">
        <v>45272</v>
      </c>
      <c r="AZ518" s="13" t="s">
        <v>162</v>
      </c>
      <c r="BC518" s="114"/>
    </row>
    <row r="519" spans="1:55" ht="19.5" x14ac:dyDescent="0.4">
      <c r="A519" s="117"/>
      <c r="B519" s="123"/>
      <c r="C519" s="123"/>
      <c r="D519" s="123"/>
      <c r="V519" s="115"/>
      <c r="W519" s="115"/>
      <c r="X519" s="115"/>
      <c r="Y519" s="115"/>
      <c r="Z519" s="115"/>
      <c r="AA519" s="17"/>
      <c r="AB519" s="13"/>
      <c r="AG519" s="117"/>
      <c r="AH519" s="123"/>
      <c r="AI519" s="123"/>
      <c r="AJ519" s="123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115"/>
      <c r="AU519" s="115"/>
      <c r="AV519" s="115"/>
      <c r="AW519" s="115"/>
      <c r="AX519" s="115"/>
      <c r="AY519" s="25"/>
      <c r="AZ519" s="13"/>
      <c r="BC519" s="114"/>
    </row>
    <row r="520" spans="1:55" ht="19.5" x14ac:dyDescent="0.4">
      <c r="A520" s="117"/>
      <c r="B520" s="123"/>
      <c r="C520" s="123"/>
      <c r="D520" s="123"/>
      <c r="V520" s="115"/>
      <c r="W520" s="115"/>
      <c r="X520" s="115"/>
      <c r="Y520" s="115"/>
      <c r="Z520" s="115"/>
      <c r="AA520" s="17"/>
      <c r="AB520" s="13"/>
      <c r="AG520" s="117"/>
      <c r="AH520" s="123"/>
      <c r="AI520" s="123"/>
      <c r="AJ520" s="123"/>
      <c r="AK520" s="115"/>
      <c r="AL520" s="115"/>
      <c r="AM520" s="115"/>
      <c r="AN520" s="115"/>
      <c r="AO520" s="115"/>
      <c r="AP520" s="115"/>
      <c r="AQ520" s="115"/>
      <c r="AR520" s="115"/>
      <c r="AS520" s="115"/>
      <c r="AT520" s="115"/>
      <c r="AU520" s="115"/>
      <c r="AV520" s="115"/>
      <c r="AW520" s="115"/>
      <c r="AX520" s="115"/>
      <c r="AY520" s="25"/>
      <c r="AZ520" s="13"/>
      <c r="BC520" s="114"/>
    </row>
    <row r="521" spans="1:55" ht="19.5" x14ac:dyDescent="0.4">
      <c r="A521" s="117"/>
      <c r="B521" s="123"/>
      <c r="C521" s="123"/>
      <c r="D521" s="123"/>
      <c r="AA521" s="26"/>
      <c r="AB521" s="13"/>
      <c r="AG521" s="117"/>
      <c r="AH521" s="123"/>
      <c r="AI521" s="123"/>
      <c r="AJ521" s="123"/>
      <c r="AK521" s="115"/>
      <c r="AL521" s="115"/>
      <c r="AM521" s="115"/>
      <c r="AN521" s="115"/>
      <c r="AO521" s="115"/>
      <c r="AP521" s="115"/>
      <c r="AQ521" s="115"/>
      <c r="AR521" s="115"/>
      <c r="AS521" s="115"/>
      <c r="AT521" s="115"/>
      <c r="AU521" s="115"/>
      <c r="AV521" s="115"/>
      <c r="AW521" s="115"/>
      <c r="AX521" s="115"/>
      <c r="AY521" s="25">
        <v>45272</v>
      </c>
      <c r="AZ521" s="13" t="s">
        <v>162</v>
      </c>
      <c r="BC521" s="114"/>
    </row>
    <row r="522" spans="1:55" ht="19.5" x14ac:dyDescent="0.4">
      <c r="A522" s="125"/>
      <c r="B522" s="126"/>
      <c r="C522" s="126"/>
      <c r="D522" s="126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26"/>
      <c r="AB522" s="13"/>
      <c r="AG522" s="117"/>
      <c r="AH522" s="123"/>
      <c r="AI522" s="123"/>
      <c r="AJ522" s="123"/>
      <c r="AK522" s="115"/>
      <c r="AL522" s="115"/>
      <c r="AM522" s="115"/>
      <c r="AN522" s="115"/>
      <c r="AO522" s="115"/>
      <c r="AP522" s="115"/>
      <c r="AQ522" s="115"/>
      <c r="AR522" s="115"/>
      <c r="AS522" s="115"/>
      <c r="AT522" s="115"/>
      <c r="AU522" s="115"/>
      <c r="AV522" s="115"/>
      <c r="AW522" s="115"/>
      <c r="AX522" s="115"/>
      <c r="AY522" s="25"/>
      <c r="AZ522" s="13"/>
      <c r="BC522" s="114"/>
    </row>
    <row r="523" spans="1:55" ht="19.5" x14ac:dyDescent="0.4">
      <c r="A523" s="125"/>
      <c r="B523" s="126"/>
      <c r="C523" s="126"/>
      <c r="D523" s="126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26"/>
      <c r="AB523" s="13"/>
      <c r="AG523" s="117"/>
      <c r="AH523" s="123"/>
      <c r="AI523" s="123"/>
      <c r="AJ523" s="123"/>
      <c r="AK523" s="115"/>
      <c r="AL523" s="115"/>
      <c r="AM523" s="115"/>
      <c r="AN523" s="115"/>
      <c r="AO523" s="115"/>
      <c r="AP523" s="115"/>
      <c r="AQ523" s="115"/>
      <c r="AR523" s="115"/>
      <c r="AS523" s="115"/>
      <c r="AT523" s="115"/>
      <c r="AU523" s="115"/>
      <c r="AV523" s="115"/>
      <c r="AW523" s="115"/>
      <c r="AX523" s="115"/>
      <c r="AY523" s="25"/>
      <c r="AZ523" s="13"/>
      <c r="BC523" s="114"/>
    </row>
    <row r="524" spans="1:55" ht="19.5" x14ac:dyDescent="0.4">
      <c r="A524" s="125"/>
      <c r="B524" s="126"/>
      <c r="C524" s="126"/>
      <c r="D524" s="126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7"/>
      <c r="AB524" s="13"/>
      <c r="AG524" s="117"/>
      <c r="AH524" s="123"/>
      <c r="AI524" s="123"/>
      <c r="AJ524" s="123"/>
      <c r="AK524" s="115"/>
      <c r="AL524" s="115"/>
      <c r="AM524" s="115"/>
      <c r="AN524" s="115"/>
      <c r="AO524" s="115"/>
      <c r="AP524" s="115"/>
      <c r="AQ524" s="115"/>
      <c r="AR524" s="115"/>
      <c r="AS524" s="115"/>
      <c r="AT524" s="115"/>
      <c r="AU524" s="115"/>
      <c r="AV524" s="115"/>
      <c r="AW524" s="115"/>
      <c r="AX524" s="115"/>
      <c r="AY524" s="25"/>
      <c r="AZ524" s="13"/>
      <c r="BC524" s="114"/>
    </row>
    <row r="525" spans="1:55" ht="19.5" x14ac:dyDescent="0.4">
      <c r="A525" s="125"/>
      <c r="B525" s="126"/>
      <c r="C525" s="126"/>
      <c r="D525" s="126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26"/>
      <c r="AB525" s="13"/>
      <c r="AG525" s="117"/>
      <c r="AH525" s="123"/>
      <c r="AI525" s="123"/>
      <c r="AJ525" s="123"/>
      <c r="AK525" s="115"/>
      <c r="AL525" s="115"/>
      <c r="AM525" s="115"/>
      <c r="AN525" s="115"/>
      <c r="AO525" s="115"/>
      <c r="AP525" s="115"/>
      <c r="AQ525" s="115"/>
      <c r="AR525" s="115"/>
      <c r="AS525" s="115"/>
      <c r="AT525" s="115"/>
      <c r="AU525" s="115"/>
      <c r="AV525" s="115"/>
      <c r="AW525" s="115"/>
      <c r="AX525" s="115"/>
      <c r="AY525" s="25"/>
      <c r="AZ525" s="13"/>
      <c r="BC525" s="114"/>
    </row>
    <row r="526" spans="1:55" ht="19.5" x14ac:dyDescent="0.4">
      <c r="AA526" s="26"/>
      <c r="AB526" s="13"/>
      <c r="AG526" s="117"/>
      <c r="AH526" s="123"/>
      <c r="AI526" s="123"/>
      <c r="AJ526" s="123"/>
      <c r="AK526" s="115"/>
      <c r="AL526" s="115"/>
      <c r="AM526" s="115"/>
      <c r="AN526" s="115"/>
      <c r="AO526" s="115"/>
      <c r="AP526" s="115"/>
      <c r="AQ526" s="115"/>
      <c r="AR526" s="115"/>
      <c r="AS526" s="115"/>
      <c r="AT526" s="115"/>
      <c r="AU526" s="115"/>
      <c r="AV526" s="115"/>
      <c r="AW526" s="115"/>
      <c r="AX526" s="115"/>
      <c r="AY526" s="25">
        <v>45272</v>
      </c>
      <c r="AZ526" s="13" t="s">
        <v>162</v>
      </c>
      <c r="BC526" s="114"/>
    </row>
    <row r="527" spans="1:55" ht="19.5" x14ac:dyDescent="0.4">
      <c r="AA527" s="26"/>
      <c r="AB527" s="13"/>
      <c r="AG527" s="117"/>
      <c r="AH527" s="123"/>
      <c r="AI527" s="123"/>
      <c r="AJ527" s="123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115"/>
      <c r="AU527" s="115"/>
      <c r="AV527" s="115"/>
      <c r="AW527" s="115"/>
      <c r="AX527" s="115"/>
      <c r="AY527" s="25"/>
      <c r="AZ527" s="13"/>
      <c r="BC527" s="114"/>
    </row>
    <row r="528" spans="1:55" ht="19.5" x14ac:dyDescent="0.4"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26"/>
      <c r="AB528" s="25"/>
      <c r="AG528" s="117"/>
      <c r="AH528" s="123"/>
      <c r="AI528" s="123"/>
      <c r="AJ528" s="123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115"/>
      <c r="AU528" s="115"/>
      <c r="AV528" s="115"/>
      <c r="AW528" s="115"/>
      <c r="AX528" s="115"/>
      <c r="AY528" s="25"/>
      <c r="AZ528" s="13"/>
      <c r="BC528" s="114"/>
    </row>
    <row r="529" spans="6:55" ht="19.5" x14ac:dyDescent="0.4">
      <c r="AA529" s="26"/>
      <c r="AB529" s="25"/>
      <c r="AG529" s="117"/>
      <c r="AH529" s="123"/>
      <c r="AI529" s="123"/>
      <c r="AJ529" s="123"/>
      <c r="AK529" s="115"/>
      <c r="AL529" s="115"/>
      <c r="AM529" s="115"/>
      <c r="AN529" s="115"/>
      <c r="AO529" s="115"/>
      <c r="AP529" s="115"/>
      <c r="AQ529" s="115"/>
      <c r="AR529" s="115"/>
      <c r="AS529" s="115"/>
      <c r="AT529" s="115"/>
      <c r="AU529" s="115"/>
      <c r="AV529" s="115"/>
      <c r="AW529" s="115"/>
      <c r="AX529" s="115"/>
      <c r="AY529" s="25">
        <v>45272</v>
      </c>
      <c r="AZ529" s="13" t="s">
        <v>162</v>
      </c>
      <c r="BC529" s="114"/>
    </row>
    <row r="530" spans="6:55" ht="19.5" x14ac:dyDescent="0.4">
      <c r="AA530" s="26"/>
      <c r="AB530" s="13"/>
      <c r="AG530" s="117"/>
      <c r="AH530" s="123"/>
      <c r="AI530" s="123"/>
      <c r="AJ530" s="123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115"/>
      <c r="AU530" s="115"/>
      <c r="AV530" s="115"/>
      <c r="AW530" s="115"/>
      <c r="AX530" s="115"/>
      <c r="AY530" s="25">
        <v>45272</v>
      </c>
      <c r="AZ530" s="15" t="s">
        <v>162</v>
      </c>
      <c r="BC530" s="114"/>
    </row>
    <row r="531" spans="6:55" ht="19.5" x14ac:dyDescent="0.4">
      <c r="AA531" s="26"/>
      <c r="AB531" s="13"/>
      <c r="AG531" s="117"/>
      <c r="AH531" s="123"/>
      <c r="AI531" s="123"/>
      <c r="AJ531" s="123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115"/>
      <c r="AU531" s="115"/>
      <c r="AV531" s="115"/>
      <c r="AW531" s="115"/>
      <c r="AX531" s="115"/>
      <c r="AY531" s="25">
        <v>45272</v>
      </c>
      <c r="AZ531" s="15" t="s">
        <v>162</v>
      </c>
      <c r="BC531" s="114"/>
    </row>
    <row r="532" spans="6:55" ht="19.5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26"/>
      <c r="AB532" s="13"/>
      <c r="AG532" s="117"/>
      <c r="AH532" s="123"/>
      <c r="AI532" s="123"/>
      <c r="AJ532" s="123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15"/>
      <c r="AU532" s="115"/>
      <c r="AV532" s="115"/>
      <c r="AW532" s="115"/>
      <c r="AX532" s="115"/>
      <c r="AY532" s="25"/>
      <c r="AZ532" s="15"/>
      <c r="BC532" s="114"/>
    </row>
    <row r="533" spans="6:55" ht="19.5" x14ac:dyDescent="0.4"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7"/>
      <c r="AB533" s="13"/>
      <c r="AG533" s="117"/>
      <c r="AH533" s="123"/>
      <c r="AI533" s="123"/>
      <c r="AJ533" s="123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15"/>
      <c r="AU533" s="115"/>
      <c r="AV533" s="115"/>
      <c r="AW533" s="115"/>
      <c r="AX533" s="115"/>
      <c r="AY533" s="25"/>
      <c r="AZ533" s="15"/>
      <c r="BC533" s="114"/>
    </row>
    <row r="534" spans="6:55" ht="19.5" x14ac:dyDescent="0.4">
      <c r="AA534" s="26"/>
      <c r="AB534" s="13"/>
      <c r="AG534" s="117"/>
      <c r="AH534" s="123"/>
      <c r="AI534" s="123"/>
      <c r="AJ534" s="123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115"/>
      <c r="AU534" s="115"/>
      <c r="AV534" s="115"/>
      <c r="AW534" s="115"/>
      <c r="AX534" s="115"/>
      <c r="AY534" s="25">
        <v>45272</v>
      </c>
      <c r="AZ534" s="15" t="s">
        <v>162</v>
      </c>
      <c r="BC534" s="114"/>
    </row>
    <row r="535" spans="6:55" ht="19.5" x14ac:dyDescent="0.4"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26"/>
      <c r="AB535" s="13"/>
      <c r="AG535" s="117"/>
      <c r="AH535" s="123"/>
      <c r="AI535" s="123"/>
      <c r="AJ535" s="123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115"/>
      <c r="AU535" s="115"/>
      <c r="AV535" s="115"/>
      <c r="AW535" s="115"/>
      <c r="AX535" s="115"/>
      <c r="AY535" s="25"/>
      <c r="AZ535" s="15"/>
      <c r="BC535" s="114"/>
    </row>
    <row r="536" spans="6:55" ht="19.5" x14ac:dyDescent="0.4"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26"/>
      <c r="AB536" s="13"/>
      <c r="AG536" s="117"/>
      <c r="AH536" s="123"/>
      <c r="AI536" s="123"/>
      <c r="AJ536" s="123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115"/>
      <c r="AU536" s="115"/>
      <c r="AV536" s="115"/>
      <c r="AW536" s="115"/>
      <c r="AX536" s="115"/>
      <c r="AY536" s="25"/>
      <c r="AZ536" s="15"/>
      <c r="BC536" s="114"/>
    </row>
    <row r="537" spans="6:55" ht="19.5" x14ac:dyDescent="0.4"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7"/>
      <c r="AB537" s="13"/>
      <c r="AG537" s="117"/>
      <c r="AH537" s="123"/>
      <c r="AI537" s="123"/>
      <c r="AJ537" s="123"/>
      <c r="AK537" s="115"/>
      <c r="AL537" s="115"/>
      <c r="AM537" s="115"/>
      <c r="AN537" s="115"/>
      <c r="AO537" s="115"/>
      <c r="AP537" s="115"/>
      <c r="AQ537" s="115"/>
      <c r="AR537" s="115"/>
      <c r="AS537" s="115"/>
      <c r="AT537" s="115"/>
      <c r="AU537" s="115"/>
      <c r="AV537" s="115"/>
      <c r="AW537" s="115"/>
      <c r="AX537" s="115"/>
      <c r="AY537" s="25"/>
      <c r="AZ537" s="15"/>
      <c r="BC537" s="114"/>
    </row>
    <row r="538" spans="6:55" ht="19.5" x14ac:dyDescent="0.4"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26"/>
      <c r="AB538" s="13"/>
      <c r="AG538" s="117"/>
      <c r="AH538" s="123"/>
      <c r="AI538" s="123"/>
      <c r="AJ538" s="123"/>
      <c r="AK538" s="115"/>
      <c r="AL538" s="115"/>
      <c r="AM538" s="115"/>
      <c r="AN538" s="115"/>
      <c r="AO538" s="115"/>
      <c r="AP538" s="115"/>
      <c r="AQ538" s="115"/>
      <c r="AR538" s="115"/>
      <c r="AS538" s="115"/>
      <c r="AT538" s="115"/>
      <c r="AU538" s="115"/>
      <c r="AV538" s="115"/>
      <c r="AW538" s="115"/>
      <c r="AX538" s="115"/>
      <c r="AY538" s="25"/>
      <c r="AZ538" s="15"/>
      <c r="BC538" s="114"/>
    </row>
    <row r="539" spans="6:55" ht="19.5" x14ac:dyDescent="0.4"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7"/>
      <c r="AB539" s="13"/>
      <c r="AG539" s="117"/>
      <c r="AH539" s="123"/>
      <c r="AI539" s="123"/>
      <c r="AJ539" s="123"/>
      <c r="AK539" s="115"/>
      <c r="AL539" s="115"/>
      <c r="AM539" s="115"/>
      <c r="AN539" s="115"/>
      <c r="AO539" s="115"/>
      <c r="AP539" s="115"/>
      <c r="AQ539" s="115"/>
      <c r="AR539" s="115"/>
      <c r="AS539" s="115"/>
      <c r="AT539" s="115"/>
      <c r="AU539" s="115"/>
      <c r="AV539" s="115"/>
      <c r="AW539" s="115"/>
      <c r="AX539" s="115"/>
      <c r="AY539" s="25"/>
      <c r="AZ539" s="15"/>
      <c r="BC539" s="114"/>
    </row>
    <row r="540" spans="6:55" ht="19.5" x14ac:dyDescent="0.4"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26"/>
      <c r="AB540" s="13"/>
      <c r="AG540" s="117"/>
      <c r="AH540" s="123"/>
      <c r="AI540" s="123"/>
      <c r="AJ540" s="123"/>
      <c r="AK540" s="115"/>
      <c r="AL540" s="115"/>
      <c r="AM540" s="115"/>
      <c r="AN540" s="115"/>
      <c r="AO540" s="115"/>
      <c r="AP540" s="115"/>
      <c r="AQ540" s="115"/>
      <c r="AR540" s="115"/>
      <c r="AS540" s="115"/>
      <c r="AT540" s="115"/>
      <c r="AU540" s="115"/>
      <c r="AV540" s="115"/>
      <c r="AW540" s="115"/>
      <c r="AX540" s="115"/>
      <c r="AY540" s="25"/>
      <c r="AZ540" s="15"/>
      <c r="BC540" s="114"/>
    </row>
    <row r="541" spans="6:55" ht="19.5" x14ac:dyDescent="0.4">
      <c r="AA541" s="26"/>
      <c r="AB541" s="13"/>
      <c r="AG541" s="117"/>
      <c r="AH541" s="123"/>
      <c r="AI541" s="123"/>
      <c r="AJ541" s="123"/>
      <c r="AK541" s="115"/>
      <c r="AL541" s="115"/>
      <c r="AM541" s="115"/>
      <c r="AN541" s="115"/>
      <c r="AO541" s="115"/>
      <c r="AP541" s="115"/>
      <c r="AQ541" s="115"/>
      <c r="AR541" s="115"/>
      <c r="AS541" s="115"/>
      <c r="AT541" s="115"/>
      <c r="AU541" s="115"/>
      <c r="AV541" s="115"/>
      <c r="AW541" s="115"/>
      <c r="AX541" s="115"/>
      <c r="AY541" s="25">
        <v>45272</v>
      </c>
      <c r="AZ541" s="15" t="s">
        <v>162</v>
      </c>
      <c r="BC541" s="114"/>
    </row>
    <row r="542" spans="6:55" ht="19.5" x14ac:dyDescent="0.4">
      <c r="T542" s="115"/>
      <c r="U542" s="115"/>
      <c r="V542" s="115"/>
      <c r="W542" s="115"/>
      <c r="X542" s="115"/>
      <c r="Y542" s="115"/>
      <c r="Z542" s="115"/>
      <c r="AA542" s="26"/>
      <c r="AB542" s="13"/>
      <c r="AG542" s="117"/>
      <c r="AH542" s="123"/>
      <c r="AI542" s="123"/>
      <c r="AJ542" s="123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115"/>
      <c r="AU542" s="115"/>
      <c r="AV542" s="115"/>
      <c r="AW542" s="115"/>
      <c r="AX542" s="115"/>
      <c r="AY542" s="25"/>
      <c r="AZ542" s="15"/>
      <c r="BC542" s="114"/>
    </row>
    <row r="543" spans="6:55" ht="19.5" x14ac:dyDescent="0.4">
      <c r="T543" s="115"/>
      <c r="U543" s="115"/>
      <c r="V543" s="115"/>
      <c r="W543" s="115"/>
      <c r="X543" s="115"/>
      <c r="Y543" s="115"/>
      <c r="Z543" s="115"/>
      <c r="AA543" s="17"/>
      <c r="AB543" s="13"/>
      <c r="AG543" s="117"/>
      <c r="AH543" s="123"/>
      <c r="AI543" s="123"/>
      <c r="AJ543" s="123"/>
      <c r="AK543" s="115"/>
      <c r="AL543" s="115"/>
      <c r="AM543" s="115"/>
      <c r="AN543" s="115"/>
      <c r="AO543" s="115"/>
      <c r="AP543" s="115"/>
      <c r="AQ543" s="115"/>
      <c r="AR543" s="115"/>
      <c r="AS543" s="115"/>
      <c r="AT543" s="115"/>
      <c r="AU543" s="115"/>
      <c r="AV543" s="115"/>
      <c r="AW543" s="115"/>
      <c r="AX543" s="115"/>
      <c r="AY543" s="25"/>
      <c r="AZ543" s="15"/>
      <c r="BC543" s="114"/>
    </row>
    <row r="544" spans="6:55" ht="19.5" x14ac:dyDescent="0.4"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26"/>
      <c r="AB544" s="13"/>
      <c r="AG544" s="117"/>
      <c r="AH544" s="123"/>
      <c r="AI544" s="123"/>
      <c r="AJ544" s="123"/>
      <c r="AK544" s="115"/>
      <c r="AL544" s="115"/>
      <c r="AM544" s="115"/>
      <c r="AN544" s="115"/>
      <c r="AO544" s="115"/>
      <c r="AP544" s="115"/>
      <c r="AQ544" s="115"/>
      <c r="AR544" s="115"/>
      <c r="AS544" s="115"/>
      <c r="AT544" s="115"/>
      <c r="AU544" s="115"/>
      <c r="AV544" s="115"/>
      <c r="AW544" s="115"/>
      <c r="AX544" s="115"/>
      <c r="AY544" s="25"/>
      <c r="AZ544" s="15"/>
      <c r="BC544" s="114"/>
    </row>
    <row r="545" spans="6:55" ht="19.5" x14ac:dyDescent="0.4"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7"/>
      <c r="AB545" s="13"/>
      <c r="AG545" s="117"/>
      <c r="AH545" s="123"/>
      <c r="AI545" s="123"/>
      <c r="AJ545" s="123"/>
      <c r="AK545" s="115"/>
      <c r="AL545" s="115"/>
      <c r="AM545" s="115"/>
      <c r="AN545" s="115"/>
      <c r="AO545" s="115"/>
      <c r="AP545" s="115"/>
      <c r="AQ545" s="115"/>
      <c r="AR545" s="115"/>
      <c r="AS545" s="115"/>
      <c r="AT545" s="115"/>
      <c r="AU545" s="115"/>
      <c r="AV545" s="115"/>
      <c r="AW545" s="115"/>
      <c r="AX545" s="115"/>
      <c r="AY545" s="25"/>
      <c r="AZ545" s="15"/>
      <c r="BC545" s="114"/>
    </row>
    <row r="546" spans="6:55" ht="19.5" x14ac:dyDescent="0.4"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26"/>
      <c r="AB546" s="25"/>
      <c r="AG546" s="117"/>
      <c r="AH546" s="123"/>
      <c r="AI546" s="123"/>
      <c r="AJ546" s="123"/>
      <c r="AK546" s="115"/>
      <c r="AL546" s="115"/>
      <c r="AM546" s="115"/>
      <c r="AN546" s="115"/>
      <c r="AO546" s="115"/>
      <c r="AP546" s="115"/>
      <c r="AQ546" s="115"/>
      <c r="AR546" s="115"/>
      <c r="AS546" s="115"/>
      <c r="AT546" s="115"/>
      <c r="AU546" s="115"/>
      <c r="AV546" s="115"/>
      <c r="AW546" s="115"/>
      <c r="AX546" s="115"/>
      <c r="AY546" s="25"/>
      <c r="AZ546" s="15"/>
      <c r="BC546" s="114"/>
    </row>
    <row r="547" spans="6:55" ht="19.5" x14ac:dyDescent="0.4"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7"/>
      <c r="AB547" s="13"/>
      <c r="AG547" s="117"/>
      <c r="AH547" s="123"/>
      <c r="AI547" s="123"/>
      <c r="AJ547" s="123"/>
      <c r="AK547" s="115"/>
      <c r="AL547" s="115"/>
      <c r="AM547" s="115"/>
      <c r="AN547" s="115"/>
      <c r="AO547" s="115"/>
      <c r="AP547" s="115"/>
      <c r="AQ547" s="115"/>
      <c r="AR547" s="115"/>
      <c r="AS547" s="115"/>
      <c r="AT547" s="115"/>
      <c r="AU547" s="115"/>
      <c r="AV547" s="115"/>
      <c r="AW547" s="115"/>
      <c r="AX547" s="115"/>
      <c r="AY547" s="25"/>
      <c r="AZ547" s="15"/>
      <c r="BC547" s="114"/>
    </row>
    <row r="548" spans="6:55" ht="19.5" x14ac:dyDescent="0.4"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26"/>
      <c r="AB548" s="13"/>
      <c r="AG548" s="117"/>
      <c r="AH548" s="123"/>
      <c r="AI548" s="123"/>
      <c r="AJ548" s="123"/>
      <c r="AK548" s="115"/>
      <c r="AL548" s="115"/>
      <c r="AM548" s="115"/>
      <c r="AN548" s="115"/>
      <c r="AO548" s="115"/>
      <c r="AP548" s="115"/>
      <c r="AQ548" s="115"/>
      <c r="AR548" s="115"/>
      <c r="AS548" s="115"/>
      <c r="AT548" s="115"/>
      <c r="AU548" s="115"/>
      <c r="AV548" s="115"/>
      <c r="AW548" s="115"/>
      <c r="AX548" s="115"/>
      <c r="AY548" s="25"/>
      <c r="AZ548" s="15"/>
      <c r="BC548" s="114"/>
    </row>
    <row r="549" spans="6:55" ht="19.5" x14ac:dyDescent="0.4">
      <c r="AA549" s="26"/>
      <c r="AB549" s="13"/>
      <c r="AG549" s="117"/>
      <c r="AH549" s="123"/>
      <c r="AI549" s="123"/>
      <c r="AJ549" s="123"/>
      <c r="AK549" s="115"/>
      <c r="AL549" s="115"/>
      <c r="AM549" s="115"/>
      <c r="AN549" s="115"/>
      <c r="AO549" s="115"/>
      <c r="AP549" s="115"/>
      <c r="AQ549" s="115"/>
      <c r="AR549" s="115"/>
      <c r="AS549" s="115"/>
      <c r="AT549" s="115"/>
      <c r="AU549" s="115"/>
      <c r="AV549" s="115"/>
      <c r="AW549" s="115"/>
      <c r="AX549" s="115"/>
      <c r="AY549" s="25">
        <v>45272</v>
      </c>
      <c r="AZ549" s="15" t="s">
        <v>162</v>
      </c>
      <c r="BC549" s="114"/>
    </row>
    <row r="550" spans="6:55" ht="19.5" x14ac:dyDescent="0.4">
      <c r="U550" s="115"/>
      <c r="V550" s="115"/>
      <c r="W550" s="115"/>
      <c r="X550" s="115"/>
      <c r="Y550" s="115"/>
      <c r="Z550" s="115"/>
      <c r="AA550" s="17"/>
      <c r="AB550" s="13"/>
      <c r="AG550" s="117"/>
      <c r="AH550" s="123"/>
      <c r="AI550" s="123"/>
      <c r="AJ550" s="123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115"/>
      <c r="AU550" s="115"/>
      <c r="AV550" s="115"/>
      <c r="AW550" s="115"/>
      <c r="AX550" s="115"/>
      <c r="AY550" s="25"/>
      <c r="AZ550" s="15"/>
      <c r="BC550" s="114"/>
    </row>
    <row r="551" spans="6:55" ht="19.5" x14ac:dyDescent="0.4">
      <c r="T551" s="115"/>
      <c r="U551" s="115"/>
      <c r="V551" s="115"/>
      <c r="W551" s="115"/>
      <c r="X551" s="115"/>
      <c r="Y551" s="115"/>
      <c r="Z551" s="115"/>
      <c r="AA551" s="26"/>
      <c r="AB551" s="13"/>
      <c r="AG551" s="117"/>
      <c r="AH551" s="123"/>
      <c r="AI551" s="123"/>
      <c r="AJ551" s="123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115"/>
      <c r="AU551" s="115"/>
      <c r="AV551" s="115"/>
      <c r="AW551" s="115"/>
      <c r="AX551" s="115"/>
      <c r="AY551" s="25"/>
      <c r="AZ551" s="15"/>
      <c r="BC551" s="114"/>
    </row>
    <row r="552" spans="6:55" ht="19.5" x14ac:dyDescent="0.4">
      <c r="T552" s="115"/>
      <c r="U552" s="115"/>
      <c r="V552" s="115"/>
      <c r="W552" s="115"/>
      <c r="X552" s="115"/>
      <c r="Y552" s="115"/>
      <c r="Z552" s="115"/>
      <c r="AA552" s="17"/>
      <c r="AB552" s="13"/>
      <c r="AG552" s="117"/>
      <c r="AH552" s="123"/>
      <c r="AI552" s="123"/>
      <c r="AJ552" s="123"/>
      <c r="AK552" s="115"/>
      <c r="AL552" s="115"/>
      <c r="AM552" s="115"/>
      <c r="AN552" s="115"/>
      <c r="AO552" s="115"/>
      <c r="AP552" s="115"/>
      <c r="AQ552" s="115"/>
      <c r="AR552" s="115"/>
      <c r="AS552" s="115"/>
      <c r="AT552" s="115"/>
      <c r="AU552" s="115"/>
      <c r="AV552" s="115"/>
      <c r="AW552" s="115"/>
      <c r="AX552" s="115"/>
      <c r="AY552" s="25"/>
      <c r="AZ552" s="15"/>
      <c r="BC552" s="114"/>
    </row>
    <row r="553" spans="6:55" ht="19.5" x14ac:dyDescent="0.4">
      <c r="T553" s="115"/>
      <c r="U553" s="115"/>
      <c r="V553" s="115"/>
      <c r="W553" s="115"/>
      <c r="X553" s="115"/>
      <c r="Y553" s="115"/>
      <c r="Z553" s="115"/>
      <c r="AA553" s="17"/>
      <c r="AB553" s="13"/>
      <c r="AG553" s="117"/>
      <c r="AH553" s="123"/>
      <c r="AI553" s="123"/>
      <c r="AJ553" s="123"/>
      <c r="AK553" s="115"/>
      <c r="AL553" s="115"/>
      <c r="AM553" s="115"/>
      <c r="AN553" s="115"/>
      <c r="AO553" s="115"/>
      <c r="AP553" s="115"/>
      <c r="AQ553" s="115"/>
      <c r="AR553" s="115"/>
      <c r="AS553" s="115"/>
      <c r="AT553" s="115"/>
      <c r="AU553" s="115"/>
      <c r="AV553" s="115"/>
      <c r="AW553" s="115"/>
      <c r="AX553" s="115"/>
      <c r="AY553" s="25"/>
      <c r="AZ553" s="15"/>
      <c r="BC553" s="114"/>
    </row>
    <row r="554" spans="6:55" ht="19.5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26"/>
      <c r="AB554" s="13"/>
      <c r="AG554" s="117"/>
      <c r="AH554" s="123"/>
      <c r="AI554" s="123"/>
      <c r="AJ554" s="123"/>
      <c r="AK554" s="115"/>
      <c r="AL554" s="115"/>
      <c r="AM554" s="115"/>
      <c r="AN554" s="115"/>
      <c r="AO554" s="115"/>
      <c r="AP554" s="115"/>
      <c r="AQ554" s="115"/>
      <c r="AR554" s="115"/>
      <c r="AS554" s="115"/>
      <c r="AT554" s="115"/>
      <c r="AU554" s="115"/>
      <c r="AV554" s="115"/>
      <c r="AW554" s="115"/>
      <c r="AX554" s="115"/>
      <c r="AY554" s="25"/>
      <c r="AZ554" s="15"/>
      <c r="BC554" s="114"/>
    </row>
    <row r="555" spans="6:55" ht="19.5" x14ac:dyDescent="0.4"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20"/>
      <c r="AB555" s="13"/>
      <c r="AG555" s="117"/>
      <c r="AH555" s="123"/>
      <c r="AI555" s="123"/>
      <c r="AJ555" s="123"/>
      <c r="AK555" s="115"/>
      <c r="AL555" s="115"/>
      <c r="AM555" s="115"/>
      <c r="AN555" s="115"/>
      <c r="AO555" s="115"/>
      <c r="AP555" s="115"/>
      <c r="AQ555" s="115"/>
      <c r="AR555" s="115"/>
      <c r="AS555" s="115"/>
      <c r="AT555" s="115"/>
      <c r="AU555" s="115"/>
      <c r="AV555" s="115"/>
      <c r="AW555" s="115"/>
      <c r="AX555" s="115"/>
      <c r="AY555" s="25"/>
      <c r="AZ555" s="15"/>
      <c r="BC555" s="114"/>
    </row>
    <row r="556" spans="6:55" ht="19.5" x14ac:dyDescent="0.4"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20"/>
      <c r="AB556" s="13"/>
      <c r="AG556" s="117"/>
      <c r="AH556" s="123"/>
      <c r="AI556" s="123"/>
      <c r="AJ556" s="123"/>
      <c r="AK556" s="115"/>
      <c r="AL556" s="115"/>
      <c r="AM556" s="115"/>
      <c r="AN556" s="115"/>
      <c r="AO556" s="115"/>
      <c r="AP556" s="115"/>
      <c r="AQ556" s="115"/>
      <c r="AR556" s="115"/>
      <c r="AS556" s="115"/>
      <c r="AT556" s="115"/>
      <c r="AU556" s="115"/>
      <c r="AV556" s="115"/>
      <c r="AW556" s="115"/>
      <c r="AX556" s="115"/>
      <c r="AY556" s="25"/>
      <c r="AZ556" s="15"/>
      <c r="BC556" s="114"/>
    </row>
    <row r="557" spans="6:55" ht="19.5" x14ac:dyDescent="0.4"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25"/>
      <c r="AB557" s="15"/>
      <c r="AG557" s="117"/>
      <c r="AH557" s="123"/>
      <c r="AI557" s="123"/>
      <c r="AJ557" s="123"/>
      <c r="AK557" s="115"/>
      <c r="AL557" s="115"/>
      <c r="AM557" s="115"/>
      <c r="AN557" s="115"/>
      <c r="AO557" s="115"/>
      <c r="AP557" s="115"/>
      <c r="AQ557" s="115"/>
      <c r="AR557" s="115"/>
      <c r="AS557" s="115"/>
      <c r="AT557" s="115"/>
      <c r="AU557" s="115"/>
      <c r="AV557" s="115"/>
      <c r="AW557" s="115"/>
      <c r="AX557" s="115"/>
      <c r="AY557" s="25"/>
      <c r="AZ557" s="15"/>
      <c r="BC557" s="114"/>
    </row>
    <row r="558" spans="6:55" ht="19.5" x14ac:dyDescent="0.4"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25"/>
      <c r="AB558" s="15"/>
      <c r="AG558" s="117"/>
      <c r="AH558" s="123"/>
      <c r="AI558" s="123"/>
      <c r="AJ558" s="123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115"/>
      <c r="AU558" s="115"/>
      <c r="AV558" s="115"/>
      <c r="AW558" s="115"/>
      <c r="AX558" s="115"/>
      <c r="AY558" s="25"/>
      <c r="AZ558" s="15"/>
      <c r="BC558" s="114"/>
    </row>
    <row r="559" spans="6:55" ht="19.5" x14ac:dyDescent="0.4"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25"/>
      <c r="AB559" s="15"/>
      <c r="AG559" s="117"/>
      <c r="AH559" s="123"/>
      <c r="AI559" s="123"/>
      <c r="AJ559" s="123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115"/>
      <c r="AU559" s="115"/>
      <c r="AV559" s="115"/>
      <c r="AW559" s="115"/>
      <c r="AX559" s="115"/>
      <c r="AY559" s="25"/>
      <c r="AZ559" s="15"/>
      <c r="BC559" s="114"/>
    </row>
    <row r="560" spans="6:55" ht="19.5" x14ac:dyDescent="0.4">
      <c r="AA560" s="26"/>
      <c r="AB560" s="15"/>
      <c r="AG560" s="117"/>
      <c r="AH560" s="123"/>
      <c r="AI560" s="123"/>
      <c r="AJ560" s="123"/>
      <c r="AK560" s="115"/>
      <c r="AL560" s="115"/>
      <c r="AM560" s="115"/>
      <c r="AN560" s="115"/>
      <c r="AO560" s="115"/>
      <c r="AP560" s="115"/>
      <c r="AQ560" s="115"/>
      <c r="AR560" s="115"/>
      <c r="AS560" s="115"/>
      <c r="AT560" s="115"/>
      <c r="AU560" s="115"/>
      <c r="AV560" s="115"/>
      <c r="AW560" s="115"/>
      <c r="AX560" s="115"/>
      <c r="AY560" s="25">
        <v>45272</v>
      </c>
      <c r="AZ560" s="15" t="s">
        <v>162</v>
      </c>
      <c r="BC560" s="114"/>
    </row>
    <row r="561" spans="16:55" ht="19.5" x14ac:dyDescent="0.4">
      <c r="AA561" s="26"/>
      <c r="AB561" s="13"/>
      <c r="AG561" s="117"/>
      <c r="AH561" s="123"/>
      <c r="AI561" s="123"/>
      <c r="AJ561" s="123"/>
      <c r="AK561" s="115"/>
      <c r="AL561" s="115"/>
      <c r="AM561" s="115"/>
      <c r="AN561" s="115"/>
      <c r="AO561" s="115"/>
      <c r="AP561" s="115"/>
      <c r="AQ561" s="115"/>
      <c r="AR561" s="115"/>
      <c r="AS561" s="115"/>
      <c r="AT561" s="115"/>
      <c r="AU561" s="115"/>
      <c r="AV561" s="115"/>
      <c r="AW561" s="115"/>
      <c r="AX561" s="115"/>
      <c r="AY561" s="25"/>
      <c r="AZ561" s="15"/>
      <c r="BC561" s="114"/>
    </row>
    <row r="562" spans="16:55" ht="19.5" x14ac:dyDescent="0.4"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26"/>
      <c r="AB562" s="13"/>
      <c r="AG562" s="117"/>
      <c r="AH562" s="123"/>
      <c r="AI562" s="123"/>
      <c r="AJ562" s="123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115"/>
      <c r="AU562" s="115"/>
      <c r="AV562" s="115"/>
      <c r="AW562" s="115"/>
      <c r="AX562" s="115"/>
      <c r="AY562" s="25"/>
      <c r="AZ562" s="15"/>
      <c r="BC562" s="114"/>
    </row>
    <row r="563" spans="16:55" ht="19.5" x14ac:dyDescent="0.4">
      <c r="AA563" s="26"/>
      <c r="AB563" s="13"/>
      <c r="AG563" s="117"/>
      <c r="AH563" s="123"/>
      <c r="AI563" s="123"/>
      <c r="AJ563" s="123"/>
      <c r="AK563" s="115"/>
      <c r="AL563" s="115"/>
      <c r="AM563" s="115"/>
      <c r="AN563" s="115"/>
      <c r="AO563" s="115"/>
      <c r="AP563" s="115"/>
      <c r="AQ563" s="115"/>
      <c r="AR563" s="115"/>
      <c r="AS563" s="115"/>
      <c r="AT563" s="115"/>
      <c r="AU563" s="115"/>
      <c r="AV563" s="115"/>
      <c r="AW563" s="115"/>
      <c r="AX563" s="115"/>
      <c r="AY563" s="25">
        <v>45272</v>
      </c>
      <c r="AZ563" s="15" t="s">
        <v>162</v>
      </c>
      <c r="BC563" s="114"/>
    </row>
    <row r="564" spans="16:55" ht="19.5" x14ac:dyDescent="0.4">
      <c r="S564" s="115"/>
      <c r="T564" s="115"/>
      <c r="U564" s="115"/>
      <c r="V564" s="115"/>
      <c r="W564" s="115"/>
      <c r="X564" s="115"/>
      <c r="Y564" s="115"/>
      <c r="Z564" s="115"/>
      <c r="AA564" s="17"/>
      <c r="AB564" s="13"/>
      <c r="AG564" s="117"/>
      <c r="AH564" s="123"/>
      <c r="AI564" s="123"/>
      <c r="AJ564" s="123"/>
      <c r="AK564" s="115"/>
      <c r="AL564" s="115"/>
      <c r="AM564" s="115"/>
      <c r="AN564" s="115"/>
      <c r="AO564" s="115"/>
      <c r="AP564" s="115"/>
      <c r="AQ564" s="115"/>
      <c r="AR564" s="115"/>
      <c r="AS564" s="115"/>
      <c r="AT564" s="115"/>
      <c r="AU564" s="115"/>
      <c r="AV564" s="115"/>
      <c r="AW564" s="115"/>
      <c r="AX564" s="115"/>
      <c r="AY564" s="25"/>
      <c r="AZ564" s="15"/>
      <c r="BC564" s="114"/>
    </row>
    <row r="565" spans="16:55" ht="19.5" x14ac:dyDescent="0.4">
      <c r="AA565" s="26"/>
      <c r="AB565" s="13"/>
      <c r="AG565" s="117"/>
      <c r="AH565" s="123"/>
      <c r="AI565" s="123"/>
      <c r="AJ565" s="123"/>
      <c r="AK565" s="115"/>
      <c r="AL565" s="115"/>
      <c r="AM565" s="115"/>
      <c r="AN565" s="115"/>
      <c r="AO565" s="115"/>
      <c r="AP565" s="115"/>
      <c r="AQ565" s="115"/>
      <c r="AR565" s="115"/>
      <c r="AS565" s="115"/>
      <c r="AT565" s="115"/>
      <c r="AU565" s="115"/>
      <c r="AV565" s="115"/>
      <c r="AW565" s="115"/>
      <c r="AX565" s="115"/>
      <c r="AY565" s="25"/>
      <c r="AZ565" s="15"/>
      <c r="BC565" s="114"/>
    </row>
    <row r="566" spans="16:55" ht="19.5" x14ac:dyDescent="0.4"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26"/>
      <c r="AB566" s="13"/>
      <c r="AG566" s="117"/>
      <c r="AH566" s="123"/>
      <c r="AI566" s="123"/>
      <c r="AJ566" s="123"/>
      <c r="AK566" s="115"/>
      <c r="AL566" s="115"/>
      <c r="AM566" s="115"/>
      <c r="AN566" s="115"/>
      <c r="AO566" s="115"/>
      <c r="AP566" s="115"/>
      <c r="AQ566" s="115"/>
      <c r="AR566" s="115"/>
      <c r="AS566" s="115"/>
      <c r="AT566" s="115"/>
      <c r="AU566" s="115"/>
      <c r="AV566" s="115"/>
      <c r="AW566" s="115"/>
      <c r="AX566" s="115"/>
      <c r="AY566" s="25"/>
      <c r="AZ566" s="15"/>
      <c r="BC566" s="114"/>
    </row>
    <row r="567" spans="16:55" ht="19.5" x14ac:dyDescent="0.4">
      <c r="AA567" s="26"/>
      <c r="AB567" s="13"/>
      <c r="AG567" s="117"/>
      <c r="AH567" s="123"/>
      <c r="AI567" s="123"/>
      <c r="AJ567" s="123"/>
      <c r="AK567" s="115"/>
      <c r="AL567" s="115"/>
      <c r="AM567" s="115"/>
      <c r="AN567" s="115"/>
      <c r="AO567" s="115"/>
      <c r="AP567" s="115"/>
      <c r="AQ567" s="115"/>
      <c r="AR567" s="115"/>
      <c r="AS567" s="115"/>
      <c r="AT567" s="115"/>
      <c r="AU567" s="115"/>
      <c r="AV567" s="115"/>
      <c r="AW567" s="115"/>
      <c r="AX567" s="115"/>
      <c r="AY567" s="25">
        <v>45272</v>
      </c>
      <c r="AZ567" s="15" t="s">
        <v>162</v>
      </c>
      <c r="BC567" s="114"/>
    </row>
    <row r="568" spans="16:55" ht="19.5" x14ac:dyDescent="0.4">
      <c r="AA568" s="26"/>
      <c r="AB568" s="13"/>
      <c r="AG568" s="117"/>
      <c r="AH568" s="123"/>
      <c r="AI568" s="123"/>
      <c r="AJ568" s="123"/>
      <c r="AK568" s="115"/>
      <c r="AL568" s="115"/>
      <c r="AM568" s="115"/>
      <c r="AN568" s="115"/>
      <c r="AO568" s="115"/>
      <c r="AP568" s="115"/>
      <c r="AQ568" s="115"/>
      <c r="AR568" s="115"/>
      <c r="AS568" s="115"/>
      <c r="AT568" s="115"/>
      <c r="AU568" s="115"/>
      <c r="AV568" s="115"/>
      <c r="AW568" s="115"/>
      <c r="AX568" s="115" t="s">
        <v>166</v>
      </c>
      <c r="AY568" s="13">
        <f>SUBTOTAL(3,AY516:AY567)</f>
        <v>13</v>
      </c>
      <c r="AZ568" s="15">
        <f>SUBTOTAL(3,AZ516:AZ567)</f>
        <v>13</v>
      </c>
      <c r="BC568" s="114"/>
    </row>
    <row r="569" spans="16:55" ht="19.5" x14ac:dyDescent="0.4">
      <c r="S569" s="115"/>
      <c r="T569" s="115"/>
      <c r="U569" s="115"/>
      <c r="V569" s="115"/>
      <c r="W569" s="115"/>
      <c r="X569" s="115"/>
      <c r="Y569" s="115"/>
      <c r="Z569" s="115"/>
      <c r="AA569" s="17"/>
      <c r="AB569" s="13"/>
      <c r="AG569" s="117"/>
      <c r="AH569" s="123"/>
      <c r="AI569" s="123"/>
      <c r="AJ569" s="123"/>
      <c r="AK569" s="115"/>
      <c r="AL569" s="115"/>
      <c r="AM569" s="115"/>
      <c r="AN569" s="115"/>
      <c r="AO569" s="115"/>
      <c r="AP569" s="115"/>
      <c r="AQ569" s="115"/>
      <c r="AR569" s="115"/>
      <c r="AS569" s="115"/>
      <c r="AT569" s="115"/>
      <c r="AU569" s="115"/>
      <c r="AV569" s="115"/>
      <c r="AW569" s="115"/>
      <c r="AX569" s="115"/>
      <c r="AY569" s="13"/>
      <c r="AZ569" s="15"/>
      <c r="BC569" s="114"/>
    </row>
    <row r="570" spans="16:55" ht="19.5" x14ac:dyDescent="0.4">
      <c r="AA570" s="26"/>
      <c r="AB570" s="13"/>
      <c r="AG570" s="117"/>
      <c r="AH570" s="123"/>
      <c r="AI570" s="123"/>
      <c r="AJ570" s="123"/>
      <c r="AK570" s="115"/>
      <c r="AL570" s="115"/>
      <c r="AM570" s="115"/>
      <c r="AN570" s="115"/>
      <c r="AO570" s="115"/>
      <c r="AP570" s="115"/>
      <c r="AQ570" s="115"/>
      <c r="AR570" s="115"/>
      <c r="AS570" s="115"/>
      <c r="AT570" s="115"/>
      <c r="AU570" s="115"/>
      <c r="AV570" s="115"/>
      <c r="AW570" s="115"/>
      <c r="AX570" s="115"/>
      <c r="AY570" s="25">
        <v>45273</v>
      </c>
      <c r="AZ570" s="105" t="s">
        <v>164</v>
      </c>
      <c r="BC570" s="114"/>
    </row>
    <row r="571" spans="16:55" ht="19.5" x14ac:dyDescent="0.4">
      <c r="AA571" s="26"/>
      <c r="AB571" s="13"/>
      <c r="AG571" s="117"/>
      <c r="AH571" s="123"/>
      <c r="AI571" s="123"/>
      <c r="AJ571" s="123"/>
      <c r="AK571" s="115"/>
      <c r="AL571" s="115"/>
      <c r="AM571" s="115"/>
      <c r="AN571" s="115"/>
      <c r="AO571" s="115"/>
      <c r="AP571" s="115"/>
      <c r="AQ571" s="115"/>
      <c r="AR571" s="115"/>
      <c r="AS571" s="115"/>
      <c r="AT571" s="115"/>
      <c r="AU571" s="115"/>
      <c r="AV571" s="115"/>
      <c r="AW571" s="115"/>
      <c r="AX571" s="115"/>
      <c r="AY571" s="25">
        <v>45273</v>
      </c>
      <c r="AZ571" s="15" t="s">
        <v>164</v>
      </c>
      <c r="BC571" s="114"/>
    </row>
    <row r="572" spans="16:55" ht="19.5" x14ac:dyDescent="0.4"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26"/>
      <c r="AB572" s="13"/>
      <c r="AG572" s="117"/>
      <c r="AH572" s="123"/>
      <c r="AI572" s="123"/>
      <c r="AJ572" s="123"/>
      <c r="AK572" s="115"/>
      <c r="AL572" s="115"/>
      <c r="AM572" s="115"/>
      <c r="AN572" s="115"/>
      <c r="AO572" s="115"/>
      <c r="AP572" s="115"/>
      <c r="AQ572" s="115"/>
      <c r="AR572" s="115"/>
      <c r="AS572" s="115"/>
      <c r="AT572" s="115"/>
      <c r="AU572" s="115"/>
      <c r="AV572" s="115"/>
      <c r="AW572" s="115"/>
      <c r="AX572" s="115"/>
      <c r="AY572" s="25"/>
      <c r="AZ572" s="13"/>
      <c r="BC572" s="114"/>
    </row>
    <row r="573" spans="16:55" ht="19.5" x14ac:dyDescent="0.4">
      <c r="AA573" s="26"/>
      <c r="AB573" s="13"/>
      <c r="AG573" s="117"/>
      <c r="AH573" s="123"/>
      <c r="AI573" s="123"/>
      <c r="AJ573" s="123"/>
      <c r="AK573" s="115"/>
      <c r="AL573" s="115"/>
      <c r="AM573" s="115"/>
      <c r="AN573" s="115"/>
      <c r="AO573" s="115"/>
      <c r="AP573" s="115"/>
      <c r="AQ573" s="115"/>
      <c r="AR573" s="115"/>
      <c r="AS573" s="115"/>
      <c r="AT573" s="115"/>
      <c r="AU573" s="115"/>
      <c r="AV573" s="115"/>
      <c r="AW573" s="115"/>
      <c r="AX573" s="115"/>
      <c r="AY573" s="25">
        <v>45273</v>
      </c>
      <c r="AZ573" s="13" t="s">
        <v>164</v>
      </c>
      <c r="BC573" s="114"/>
    </row>
    <row r="574" spans="16:55" ht="19.5" x14ac:dyDescent="0.4">
      <c r="AA574" s="26"/>
      <c r="AB574" s="13"/>
      <c r="AG574" s="117"/>
      <c r="AH574" s="123"/>
      <c r="AI574" s="123"/>
      <c r="AJ574" s="123"/>
      <c r="AK574" s="115"/>
      <c r="AL574" s="115"/>
      <c r="AM574" s="115"/>
      <c r="AN574" s="115"/>
      <c r="AO574" s="115"/>
      <c r="AP574" s="115"/>
      <c r="AQ574" s="115"/>
      <c r="AR574" s="115"/>
      <c r="AS574" s="115"/>
      <c r="AT574" s="115"/>
      <c r="AU574" s="115"/>
      <c r="AV574" s="115"/>
      <c r="AW574" s="115"/>
      <c r="AX574" s="115"/>
      <c r="AY574" s="25">
        <v>45273</v>
      </c>
      <c r="AZ574" s="15" t="s">
        <v>164</v>
      </c>
      <c r="BC574" s="114"/>
    </row>
    <row r="575" spans="16:55" ht="19.5" x14ac:dyDescent="0.4">
      <c r="AA575" s="26"/>
      <c r="AB575" s="13"/>
      <c r="AG575" s="117"/>
      <c r="AH575" s="123"/>
      <c r="AI575" s="123"/>
      <c r="AJ575" s="123"/>
      <c r="AK575" s="115"/>
      <c r="AL575" s="115"/>
      <c r="AM575" s="115"/>
      <c r="AN575" s="115"/>
      <c r="AO575" s="115"/>
      <c r="AP575" s="115"/>
      <c r="AQ575" s="115"/>
      <c r="AR575" s="115"/>
      <c r="AS575" s="115"/>
      <c r="AT575" s="115"/>
      <c r="AU575" s="115"/>
      <c r="AV575" s="115"/>
      <c r="AW575" s="115"/>
      <c r="AX575" s="115"/>
      <c r="AY575" s="25">
        <v>45273</v>
      </c>
      <c r="AZ575" s="15" t="s">
        <v>162</v>
      </c>
      <c r="BC575" s="114"/>
    </row>
    <row r="576" spans="16:55" ht="19.5" x14ac:dyDescent="0.4">
      <c r="R576" s="115"/>
      <c r="S576" s="115"/>
      <c r="T576" s="115"/>
      <c r="U576" s="115"/>
      <c r="V576" s="115"/>
      <c r="W576" s="115"/>
      <c r="X576" s="115"/>
      <c r="Y576" s="115"/>
      <c r="Z576" s="115"/>
      <c r="AA576" s="26"/>
      <c r="AB576" s="13"/>
      <c r="AG576" s="117"/>
      <c r="AH576" s="123"/>
      <c r="AI576" s="123"/>
      <c r="AJ576" s="123"/>
      <c r="AK576" s="115"/>
      <c r="AL576" s="115"/>
      <c r="AM576" s="115"/>
      <c r="AN576" s="115"/>
      <c r="AO576" s="115"/>
      <c r="AP576" s="115"/>
      <c r="AQ576" s="115"/>
      <c r="AR576" s="115"/>
      <c r="AS576" s="115"/>
      <c r="AT576" s="115"/>
      <c r="AU576" s="115"/>
      <c r="AV576" s="115"/>
      <c r="AW576" s="115"/>
      <c r="AX576" s="115"/>
      <c r="AY576" s="25"/>
      <c r="AZ576" s="15"/>
      <c r="BC576" s="114"/>
    </row>
    <row r="577" spans="16:55" ht="19.5" x14ac:dyDescent="0.4">
      <c r="AA577" s="26"/>
      <c r="AB577" s="13"/>
      <c r="AG577" s="117"/>
      <c r="AH577" s="123"/>
      <c r="AI577" s="123"/>
      <c r="AJ577" s="123"/>
      <c r="AK577" s="115"/>
      <c r="AL577" s="115"/>
      <c r="AM577" s="115"/>
      <c r="AN577" s="115"/>
      <c r="AO577" s="115"/>
      <c r="AP577" s="115"/>
      <c r="AQ577" s="115"/>
      <c r="AR577" s="115"/>
      <c r="AS577" s="115"/>
      <c r="AT577" s="115"/>
      <c r="AU577" s="115"/>
      <c r="AV577" s="115"/>
      <c r="AW577" s="115"/>
      <c r="AX577" s="115"/>
      <c r="AY577" s="25">
        <v>45273</v>
      </c>
      <c r="AZ577" s="15" t="s">
        <v>162</v>
      </c>
      <c r="BC577" s="114"/>
    </row>
    <row r="578" spans="16:55" ht="19.5" x14ac:dyDescent="0.4">
      <c r="AA578" s="26"/>
      <c r="AB578" s="13"/>
      <c r="AG578" s="117"/>
      <c r="AH578" s="123"/>
      <c r="AI578" s="123"/>
      <c r="AJ578" s="123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115"/>
      <c r="AU578" s="115"/>
      <c r="AV578" s="115"/>
      <c r="AW578" s="115"/>
      <c r="AX578" s="115"/>
      <c r="AY578" s="25">
        <v>45273</v>
      </c>
      <c r="AZ578" s="15" t="s">
        <v>162</v>
      </c>
      <c r="BC578" s="114"/>
    </row>
    <row r="579" spans="16:55" ht="19.5" x14ac:dyDescent="0.4">
      <c r="AA579" s="26"/>
      <c r="AB579" s="13"/>
      <c r="AG579" s="117"/>
      <c r="AH579" s="123"/>
      <c r="AI579" s="123"/>
      <c r="AJ579" s="123"/>
      <c r="AK579" s="115"/>
      <c r="AL579" s="115"/>
      <c r="AM579" s="115"/>
      <c r="AN579" s="115"/>
      <c r="AO579" s="115"/>
      <c r="AP579" s="115"/>
      <c r="AQ579" s="115"/>
      <c r="AR579" s="115"/>
      <c r="AS579" s="115"/>
      <c r="AT579" s="115"/>
      <c r="AU579" s="115"/>
      <c r="AV579" s="115"/>
      <c r="AW579" s="115"/>
      <c r="AX579" s="115"/>
      <c r="AY579" s="25">
        <v>45273</v>
      </c>
      <c r="AZ579" s="15" t="s">
        <v>162</v>
      </c>
      <c r="BC579" s="114"/>
    </row>
    <row r="580" spans="16:55" ht="19.5" x14ac:dyDescent="0.4"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26"/>
      <c r="AB580" s="13"/>
      <c r="AG580" s="117"/>
      <c r="AH580" s="123"/>
      <c r="AI580" s="123"/>
      <c r="AJ580" s="123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115"/>
      <c r="AU580" s="115"/>
      <c r="AV580" s="115"/>
      <c r="AW580" s="115"/>
      <c r="AX580" s="115"/>
      <c r="AY580" s="25"/>
      <c r="AZ580" s="15"/>
      <c r="BC580" s="114"/>
    </row>
    <row r="581" spans="16:55" ht="19.5" x14ac:dyDescent="0.4">
      <c r="AA581" s="26"/>
      <c r="AB581" s="13"/>
      <c r="AG581" s="117"/>
      <c r="AH581" s="123"/>
      <c r="AI581" s="123"/>
      <c r="AJ581" s="123"/>
      <c r="AK581" s="115"/>
      <c r="AL581" s="115"/>
      <c r="AM581" s="115"/>
      <c r="AN581" s="115"/>
      <c r="AO581" s="115"/>
      <c r="AP581" s="115"/>
      <c r="AQ581" s="115"/>
      <c r="AR581" s="115"/>
      <c r="AS581" s="115"/>
      <c r="AT581" s="115"/>
      <c r="AU581" s="115"/>
      <c r="AV581" s="115"/>
      <c r="AW581" s="115"/>
      <c r="AX581" s="115"/>
      <c r="AY581" s="25">
        <v>45273</v>
      </c>
      <c r="AZ581" s="15" t="s">
        <v>162</v>
      </c>
      <c r="BC581" s="114"/>
    </row>
    <row r="582" spans="16:55" ht="19.5" x14ac:dyDescent="0.4">
      <c r="AA582" s="26"/>
      <c r="AB582" s="13"/>
      <c r="AG582" s="117"/>
      <c r="AH582" s="123"/>
      <c r="AI582" s="123"/>
      <c r="AJ582" s="123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115"/>
      <c r="AU582" s="115"/>
      <c r="AV582" s="115"/>
      <c r="AW582" s="115"/>
      <c r="AX582" s="115"/>
      <c r="AY582" s="25">
        <v>45273</v>
      </c>
      <c r="AZ582" s="15" t="s">
        <v>162</v>
      </c>
      <c r="BC582" s="114"/>
    </row>
    <row r="583" spans="16:55" ht="19.5" x14ac:dyDescent="0.4">
      <c r="AA583" s="26"/>
      <c r="AB583" s="13"/>
      <c r="AG583" s="117"/>
      <c r="AH583" s="123"/>
      <c r="AI583" s="123"/>
      <c r="AJ583" s="123"/>
      <c r="AK583" s="115"/>
      <c r="AL583" s="115"/>
      <c r="AM583" s="115"/>
      <c r="AN583" s="115"/>
      <c r="AO583" s="124"/>
      <c r="AP583" s="124"/>
      <c r="AQ583" s="124"/>
      <c r="AR583" s="124"/>
      <c r="AS583" s="124"/>
      <c r="AT583" s="124"/>
      <c r="AU583" s="124"/>
      <c r="AV583" s="124"/>
      <c r="AW583" s="124"/>
      <c r="AX583" s="124"/>
      <c r="AY583" s="25">
        <v>45273</v>
      </c>
      <c r="AZ583" s="15" t="s">
        <v>162</v>
      </c>
      <c r="BC583" s="114"/>
    </row>
    <row r="584" spans="16:55" ht="19.5" x14ac:dyDescent="0.4">
      <c r="AA584" s="26"/>
      <c r="AB584" s="13"/>
      <c r="AG584" s="117"/>
      <c r="AH584" s="123"/>
      <c r="AI584" s="123"/>
      <c r="AJ584" s="123"/>
      <c r="AK584" s="115"/>
      <c r="AL584" s="115"/>
      <c r="AM584" s="115"/>
      <c r="AN584" s="115"/>
      <c r="AO584" s="124"/>
      <c r="AP584" s="124"/>
      <c r="AQ584" s="124"/>
      <c r="AR584" s="124"/>
      <c r="AS584" s="124"/>
      <c r="AT584" s="124"/>
      <c r="AU584" s="124"/>
      <c r="AV584" s="124"/>
      <c r="AW584" s="124"/>
      <c r="AX584" s="124"/>
      <c r="AY584" s="25">
        <v>45273</v>
      </c>
      <c r="AZ584" s="15" t="s">
        <v>162</v>
      </c>
      <c r="BC584" s="114"/>
    </row>
    <row r="585" spans="16:55" ht="19.5" x14ac:dyDescent="0.4">
      <c r="S585" s="115"/>
      <c r="T585" s="115"/>
      <c r="U585" s="115"/>
      <c r="V585" s="115"/>
      <c r="W585" s="115"/>
      <c r="X585" s="115"/>
      <c r="Y585" s="115"/>
      <c r="Z585" s="115"/>
      <c r="AA585" s="17"/>
      <c r="AB585" s="13"/>
      <c r="AG585" s="117"/>
      <c r="AH585" s="123"/>
      <c r="AI585" s="123"/>
      <c r="AJ585" s="123"/>
      <c r="AK585" s="115"/>
      <c r="AL585" s="115"/>
      <c r="AM585" s="115"/>
      <c r="AN585" s="115"/>
      <c r="AO585" s="124"/>
      <c r="AP585" s="124"/>
      <c r="AQ585" s="124"/>
      <c r="AR585" s="124"/>
      <c r="AS585" s="124"/>
      <c r="AT585" s="124"/>
      <c r="AU585" s="124"/>
      <c r="AV585" s="124"/>
      <c r="AW585" s="124"/>
      <c r="AX585" s="124"/>
      <c r="AY585" s="25"/>
      <c r="AZ585" s="15"/>
      <c r="BC585" s="114"/>
    </row>
    <row r="586" spans="16:55" ht="19.5" x14ac:dyDescent="0.4">
      <c r="AA586" s="26"/>
      <c r="AB586" s="13"/>
      <c r="AG586" s="117"/>
      <c r="AH586" s="123"/>
      <c r="AI586" s="123"/>
      <c r="AJ586" s="123"/>
      <c r="AK586" s="115"/>
      <c r="AL586" s="115"/>
      <c r="AM586" s="115"/>
      <c r="AN586" s="115"/>
      <c r="AO586" s="124"/>
      <c r="AP586" s="124"/>
      <c r="AQ586" s="124"/>
      <c r="AR586" s="124"/>
      <c r="AS586" s="124"/>
      <c r="AT586" s="124"/>
      <c r="AU586" s="124"/>
      <c r="AV586" s="124"/>
      <c r="AW586" s="124"/>
      <c r="AX586" s="124"/>
      <c r="AY586" s="25">
        <v>45273</v>
      </c>
      <c r="AZ586" s="15" t="s">
        <v>162</v>
      </c>
      <c r="BC586" s="114"/>
    </row>
    <row r="587" spans="16:55" ht="19.5" x14ac:dyDescent="0.4">
      <c r="S587" s="115"/>
      <c r="T587" s="115"/>
      <c r="U587" s="115"/>
      <c r="V587" s="115"/>
      <c r="W587" s="115"/>
      <c r="X587" s="115"/>
      <c r="Y587" s="115"/>
      <c r="Z587" s="115"/>
      <c r="AA587" s="17"/>
      <c r="AB587" s="13"/>
      <c r="AG587" s="117"/>
      <c r="AH587" s="123"/>
      <c r="AI587" s="123"/>
      <c r="AJ587" s="123"/>
      <c r="AK587" s="115"/>
      <c r="AL587" s="115"/>
      <c r="AM587" s="115"/>
      <c r="AN587" s="115"/>
      <c r="AO587" s="124"/>
      <c r="AP587" s="124"/>
      <c r="AQ587" s="124"/>
      <c r="AR587" s="124"/>
      <c r="AS587" s="124"/>
      <c r="AT587" s="124"/>
      <c r="AU587" s="124"/>
      <c r="AV587" s="124"/>
      <c r="AW587" s="124"/>
      <c r="AX587" s="124"/>
      <c r="AY587" s="25"/>
      <c r="AZ587" s="15"/>
      <c r="BC587" s="114"/>
    </row>
    <row r="588" spans="16:55" ht="19.5" x14ac:dyDescent="0.4">
      <c r="AA588" s="26"/>
      <c r="AB588" s="13"/>
      <c r="AG588" s="117"/>
      <c r="AH588" s="123"/>
      <c r="AI588" s="123"/>
      <c r="AJ588" s="123"/>
      <c r="AK588" s="115"/>
      <c r="AL588" s="115"/>
      <c r="AM588" s="115"/>
      <c r="AN588" s="115"/>
      <c r="AO588" s="124"/>
      <c r="AP588" s="124"/>
      <c r="AQ588" s="124"/>
      <c r="AR588" s="124"/>
      <c r="AS588" s="124"/>
      <c r="AT588" s="124"/>
      <c r="AU588" s="124"/>
      <c r="AV588" s="124"/>
      <c r="AW588" s="124"/>
      <c r="AX588" s="124"/>
      <c r="AY588" s="25">
        <v>45273</v>
      </c>
      <c r="AZ588" s="15" t="s">
        <v>162</v>
      </c>
      <c r="BC588" s="114"/>
    </row>
    <row r="589" spans="16:55" ht="19.5" x14ac:dyDescent="0.4">
      <c r="AA589" s="26"/>
      <c r="AB589" s="13"/>
      <c r="AG589" s="117"/>
      <c r="AH589" s="123"/>
      <c r="AI589" s="123"/>
      <c r="AJ589" s="123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115"/>
      <c r="AU589" s="115"/>
      <c r="AV589" s="115"/>
      <c r="AW589" s="115"/>
      <c r="AX589" s="115"/>
      <c r="AY589" s="25">
        <v>45273</v>
      </c>
      <c r="AZ589" s="13" t="s">
        <v>162</v>
      </c>
      <c r="BC589" s="114"/>
    </row>
    <row r="590" spans="16:55" ht="19.5" x14ac:dyDescent="0.4">
      <c r="AA590" s="26"/>
      <c r="AB590" s="13"/>
      <c r="AG590" s="117"/>
      <c r="AH590" s="123"/>
      <c r="AI590" s="123"/>
      <c r="AJ590" s="123"/>
      <c r="AK590" s="115"/>
      <c r="AL590" s="115"/>
      <c r="AM590" s="115"/>
      <c r="AN590" s="115"/>
      <c r="AO590" s="115"/>
      <c r="AP590" s="115"/>
      <c r="AQ590" s="115"/>
      <c r="AR590" s="115"/>
      <c r="AS590" s="115"/>
      <c r="AT590" s="115"/>
      <c r="AU590" s="115"/>
      <c r="AV590" s="115"/>
      <c r="AW590" s="115"/>
      <c r="AX590" s="115"/>
      <c r="AY590" s="25">
        <v>45273</v>
      </c>
      <c r="AZ590" s="15" t="s">
        <v>162</v>
      </c>
      <c r="BC590" s="114"/>
    </row>
    <row r="591" spans="16:55" ht="19.5" x14ac:dyDescent="0.4">
      <c r="AA591" s="26"/>
      <c r="AB591" s="13"/>
      <c r="AG591" s="117"/>
      <c r="AH591" s="123"/>
      <c r="AI591" s="123"/>
      <c r="AJ591" s="123"/>
      <c r="AK591" s="115"/>
      <c r="AL591" s="115"/>
      <c r="AM591" s="115"/>
      <c r="AN591" s="115"/>
      <c r="AO591" s="115"/>
      <c r="AP591" s="115"/>
      <c r="AQ591" s="115"/>
      <c r="AR591" s="115"/>
      <c r="AS591" s="115"/>
      <c r="AT591" s="115"/>
      <c r="AU591" s="115"/>
      <c r="AV591" s="115"/>
      <c r="AW591" s="115"/>
      <c r="AX591" s="115"/>
      <c r="AY591" s="25">
        <v>45273</v>
      </c>
      <c r="AZ591" s="15" t="s">
        <v>162</v>
      </c>
      <c r="BC591" s="114"/>
    </row>
    <row r="592" spans="16:55" ht="19.5" x14ac:dyDescent="0.4"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26"/>
      <c r="AB592" s="25"/>
      <c r="AG592" s="117"/>
      <c r="AH592" s="123"/>
      <c r="AI592" s="123"/>
      <c r="AJ592" s="123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115"/>
      <c r="AU592" s="115"/>
      <c r="AV592" s="115"/>
      <c r="AW592" s="115"/>
      <c r="AX592" s="115"/>
      <c r="AY592" s="25"/>
      <c r="AZ592" s="15"/>
      <c r="BC592" s="114"/>
    </row>
    <row r="593" spans="6:55" ht="19.5" x14ac:dyDescent="0.4">
      <c r="AA593" s="26"/>
      <c r="AB593" s="25"/>
      <c r="AG593" s="117"/>
      <c r="AH593" s="123"/>
      <c r="AI593" s="123"/>
      <c r="AJ593" s="123"/>
      <c r="AK593" s="115"/>
      <c r="AL593" s="115"/>
      <c r="AM593" s="115"/>
      <c r="AN593" s="115"/>
      <c r="AO593" s="115"/>
      <c r="AP593" s="115"/>
      <c r="AQ593" s="115"/>
      <c r="AR593" s="115"/>
      <c r="AS593" s="115"/>
      <c r="AT593" s="115"/>
      <c r="AU593" s="115"/>
      <c r="AV593" s="115"/>
      <c r="AW593" s="115"/>
      <c r="AX593" s="115"/>
      <c r="AY593" s="25">
        <v>45273</v>
      </c>
      <c r="AZ593" s="15" t="s">
        <v>162</v>
      </c>
      <c r="BC593" s="114"/>
    </row>
    <row r="594" spans="6:55" ht="19.5" x14ac:dyDescent="0.4">
      <c r="AA594" s="26"/>
      <c r="AB594" s="13"/>
      <c r="AG594" s="117"/>
      <c r="AH594" s="123"/>
      <c r="AI594" s="123"/>
      <c r="AJ594" s="123"/>
      <c r="AK594" s="115"/>
      <c r="AL594" s="115"/>
      <c r="AM594" s="115"/>
      <c r="AN594" s="115"/>
      <c r="AO594" s="115"/>
      <c r="AP594" s="115"/>
      <c r="AQ594" s="115"/>
      <c r="AR594" s="115"/>
      <c r="AS594" s="115"/>
      <c r="AT594" s="115"/>
      <c r="AU594" s="115"/>
      <c r="AV594" s="115"/>
      <c r="AW594" s="115"/>
      <c r="AX594" s="115"/>
      <c r="AY594" s="25">
        <v>45273</v>
      </c>
      <c r="AZ594" s="15" t="s">
        <v>162</v>
      </c>
      <c r="BC594" s="114"/>
    </row>
    <row r="595" spans="6:55" ht="19.5" x14ac:dyDescent="0.4"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26"/>
      <c r="AB595" s="13"/>
      <c r="AG595" s="117"/>
      <c r="AH595" s="123"/>
      <c r="AI595" s="123"/>
      <c r="AJ595" s="123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115"/>
      <c r="AU595" s="115"/>
      <c r="AV595" s="115"/>
      <c r="AW595" s="115"/>
      <c r="AX595" s="115"/>
      <c r="AY595" s="25"/>
      <c r="AZ595" s="15"/>
      <c r="BC595" s="114"/>
    </row>
    <row r="596" spans="6:55" ht="19.5" x14ac:dyDescent="0.4"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26"/>
      <c r="AB596" s="13"/>
      <c r="AG596" s="117"/>
      <c r="AH596" s="123"/>
      <c r="AI596" s="123"/>
      <c r="AJ596" s="123"/>
      <c r="AK596" s="115"/>
      <c r="AL596" s="115"/>
      <c r="AM596" s="115"/>
      <c r="AN596" s="115"/>
      <c r="AO596" s="115"/>
      <c r="AP596" s="115"/>
      <c r="AQ596" s="115"/>
      <c r="AR596" s="115"/>
      <c r="AS596" s="115"/>
      <c r="AT596" s="115"/>
      <c r="AU596" s="115"/>
      <c r="AV596" s="115"/>
      <c r="AW596" s="115"/>
      <c r="AX596" s="115"/>
      <c r="AY596" s="25"/>
      <c r="AZ596" s="15"/>
      <c r="BC596" s="114"/>
    </row>
    <row r="597" spans="6:55" ht="19.5" x14ac:dyDescent="0.4">
      <c r="AA597" s="26"/>
      <c r="AB597" s="13"/>
      <c r="AG597" s="117"/>
      <c r="AH597" s="123"/>
      <c r="AI597" s="123"/>
      <c r="AJ597" s="123"/>
      <c r="AK597" s="115"/>
      <c r="AL597" s="115"/>
      <c r="AM597" s="115"/>
      <c r="AN597" s="115"/>
      <c r="AO597" s="115"/>
      <c r="AP597" s="115"/>
      <c r="AQ597" s="115"/>
      <c r="AR597" s="115"/>
      <c r="AS597" s="115"/>
      <c r="AT597" s="115"/>
      <c r="AU597" s="115"/>
      <c r="AV597" s="115"/>
      <c r="AW597" s="115"/>
      <c r="AX597" s="115"/>
      <c r="AY597" s="25">
        <v>45273</v>
      </c>
      <c r="AZ597" s="15" t="s">
        <v>162</v>
      </c>
      <c r="BC597" s="114"/>
    </row>
    <row r="598" spans="6:55" ht="19.5" x14ac:dyDescent="0.4">
      <c r="AA598" s="26"/>
      <c r="AB598" s="13"/>
      <c r="AG598" s="117"/>
      <c r="AH598" s="123"/>
      <c r="AI598" s="123"/>
      <c r="AJ598" s="123"/>
      <c r="AK598" s="115"/>
      <c r="AL598" s="115"/>
      <c r="AM598" s="115"/>
      <c r="AN598" s="115"/>
      <c r="AO598" s="115"/>
      <c r="AP598" s="115"/>
      <c r="AQ598" s="115"/>
      <c r="AR598" s="115"/>
      <c r="AS598" s="115"/>
      <c r="AT598" s="115"/>
      <c r="AU598" s="115"/>
      <c r="AV598" s="115"/>
      <c r="AW598" s="115"/>
      <c r="AX598" s="115"/>
      <c r="AY598" s="25">
        <v>45273</v>
      </c>
      <c r="AZ598" s="15" t="s">
        <v>162</v>
      </c>
      <c r="BC598" s="114"/>
    </row>
    <row r="599" spans="6:55" ht="19.5" x14ac:dyDescent="0.4">
      <c r="AA599" s="26"/>
      <c r="AB599" s="13"/>
      <c r="AG599" s="117"/>
      <c r="AH599" s="123"/>
      <c r="AI599" s="123"/>
      <c r="AJ599" s="123"/>
      <c r="AK599" s="115"/>
      <c r="AL599" s="115"/>
      <c r="AM599" s="115"/>
      <c r="AN599" s="115"/>
      <c r="AO599" s="115"/>
      <c r="AP599" s="115"/>
      <c r="AQ599" s="115"/>
      <c r="AR599" s="115"/>
      <c r="AS599" s="115"/>
      <c r="AT599" s="115"/>
      <c r="AU599" s="115"/>
      <c r="AV599" s="115"/>
      <c r="AW599" s="115"/>
      <c r="AX599" s="115"/>
      <c r="AY599" s="25">
        <v>45273</v>
      </c>
      <c r="AZ599" s="13" t="s">
        <v>163</v>
      </c>
      <c r="BC599" s="114"/>
    </row>
    <row r="600" spans="6:55" ht="19.5" x14ac:dyDescent="0.4">
      <c r="AA600" s="26"/>
      <c r="AB600" s="13"/>
      <c r="AG600" s="117"/>
      <c r="AH600" s="123"/>
      <c r="AI600" s="123"/>
      <c r="AJ600" s="123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115"/>
      <c r="AU600" s="115"/>
      <c r="AV600" s="115"/>
      <c r="AW600" s="115"/>
      <c r="AX600" s="115"/>
      <c r="AY600" s="25"/>
      <c r="AZ600" s="13"/>
      <c r="BC600" s="114"/>
    </row>
    <row r="601" spans="6:55" ht="19.5" x14ac:dyDescent="0.4">
      <c r="AA601" s="26"/>
      <c r="AB601" s="13"/>
      <c r="AG601" s="117"/>
      <c r="AH601" s="123"/>
      <c r="AI601" s="123"/>
      <c r="AJ601" s="123"/>
      <c r="AK601" s="115"/>
      <c r="AL601" s="115"/>
      <c r="AM601" s="115"/>
      <c r="AN601" s="115"/>
      <c r="AO601" s="115"/>
      <c r="AP601" s="115"/>
      <c r="AQ601" s="115"/>
      <c r="AR601" s="115"/>
      <c r="AS601" s="115"/>
      <c r="AT601" s="115"/>
      <c r="AU601" s="115"/>
      <c r="AV601" s="115"/>
      <c r="AW601" s="115"/>
      <c r="AX601" s="115" t="s">
        <v>152</v>
      </c>
      <c r="AY601" s="13">
        <f>SUBTOTAL(3,AY570:AY599)</f>
        <v>22</v>
      </c>
      <c r="AZ601" s="13">
        <f>SUBTOTAL(3,AZ570:AZ599)</f>
        <v>22</v>
      </c>
      <c r="BC601" s="114"/>
    </row>
    <row r="602" spans="6:55" ht="19.5" x14ac:dyDescent="0.4">
      <c r="AA602" s="26"/>
      <c r="AB602" s="13"/>
      <c r="AG602" s="117"/>
      <c r="AH602" s="123"/>
      <c r="AI602" s="123"/>
      <c r="AJ602" s="123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115"/>
      <c r="AU602" s="115"/>
      <c r="AV602" s="115"/>
      <c r="AW602" s="115"/>
      <c r="AX602" s="115"/>
      <c r="AY602" s="25">
        <v>45274</v>
      </c>
      <c r="AZ602" s="15" t="s">
        <v>162</v>
      </c>
      <c r="BC602" s="114"/>
    </row>
    <row r="603" spans="6:55" ht="19.5" x14ac:dyDescent="0.4"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26"/>
      <c r="AB603" s="13"/>
      <c r="AG603" s="117"/>
      <c r="AH603" s="123"/>
      <c r="AI603" s="123"/>
      <c r="AJ603" s="123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115"/>
      <c r="AU603" s="115"/>
      <c r="AV603" s="115"/>
      <c r="AW603" s="115"/>
      <c r="AX603" s="115"/>
      <c r="AY603" s="25"/>
      <c r="AZ603" s="15"/>
      <c r="BC603" s="114"/>
    </row>
    <row r="604" spans="6:55" ht="19.5" x14ac:dyDescent="0.4"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26"/>
      <c r="AB604" s="13"/>
      <c r="AG604" s="117"/>
      <c r="AH604" s="123"/>
      <c r="AI604" s="123"/>
      <c r="AJ604" s="123"/>
      <c r="AK604" s="115"/>
      <c r="AL604" s="115"/>
      <c r="AM604" s="115"/>
      <c r="AN604" s="115"/>
      <c r="AO604" s="115"/>
      <c r="AP604" s="115"/>
      <c r="AQ604" s="115"/>
      <c r="AR604" s="115"/>
      <c r="AS604" s="115"/>
      <c r="AT604" s="115"/>
      <c r="AU604" s="115"/>
      <c r="AV604" s="115"/>
      <c r="AW604" s="115"/>
      <c r="AX604" s="115"/>
      <c r="AY604" s="25"/>
      <c r="AZ604" s="15"/>
      <c r="BC604" s="114"/>
    </row>
    <row r="605" spans="6:55" ht="19.5" x14ac:dyDescent="0.4">
      <c r="AA605" s="26"/>
      <c r="AB605" s="13"/>
      <c r="AG605" s="117"/>
      <c r="AH605" s="123"/>
      <c r="AI605" s="123"/>
      <c r="AJ605" s="123"/>
      <c r="AK605" s="115"/>
      <c r="AL605" s="115"/>
      <c r="AM605" s="115"/>
      <c r="AN605" s="115"/>
      <c r="AO605" s="115"/>
      <c r="AP605" s="115"/>
      <c r="AQ605" s="115"/>
      <c r="AR605" s="115"/>
      <c r="AS605" s="115"/>
      <c r="AT605" s="115"/>
      <c r="AU605" s="115"/>
      <c r="AV605" s="115"/>
      <c r="AW605" s="115"/>
      <c r="AX605" s="115"/>
      <c r="AY605" s="25">
        <v>45274</v>
      </c>
      <c r="AZ605" s="15" t="s">
        <v>162</v>
      </c>
      <c r="BC605" s="114"/>
    </row>
    <row r="606" spans="6:55" ht="19.5" x14ac:dyDescent="0.4">
      <c r="R606" s="115"/>
      <c r="S606" s="115"/>
      <c r="T606" s="115"/>
      <c r="U606" s="115"/>
      <c r="V606" s="115"/>
      <c r="W606" s="115"/>
      <c r="X606" s="115"/>
      <c r="Y606" s="115"/>
      <c r="Z606" s="115"/>
      <c r="AA606" s="26"/>
      <c r="AB606" s="13"/>
      <c r="AG606" s="117"/>
      <c r="AH606" s="123"/>
      <c r="AI606" s="123"/>
      <c r="AJ606" s="123"/>
      <c r="AK606" s="115"/>
      <c r="AL606" s="115"/>
      <c r="AM606" s="115"/>
      <c r="AN606" s="115"/>
      <c r="AO606" s="115"/>
      <c r="AP606" s="115"/>
      <c r="AQ606" s="115"/>
      <c r="AR606" s="115"/>
      <c r="AS606" s="115"/>
      <c r="AT606" s="115"/>
      <c r="AU606" s="115"/>
      <c r="AV606" s="115"/>
      <c r="AW606" s="115"/>
      <c r="AX606" s="115"/>
      <c r="AY606" s="25"/>
      <c r="AZ606" s="15"/>
      <c r="BC606" s="114"/>
    </row>
    <row r="607" spans="6:55" ht="19.5" x14ac:dyDescent="0.4"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26"/>
      <c r="AB607" s="13"/>
      <c r="AG607" s="117"/>
      <c r="AH607" s="123"/>
      <c r="AI607" s="123"/>
      <c r="AJ607" s="123"/>
      <c r="AK607" s="115"/>
      <c r="AL607" s="115"/>
      <c r="AM607" s="115"/>
      <c r="AN607" s="115"/>
      <c r="AO607" s="115"/>
      <c r="AP607" s="115"/>
      <c r="AQ607" s="115"/>
      <c r="AR607" s="115"/>
      <c r="AS607" s="115"/>
      <c r="AT607" s="115"/>
      <c r="AU607" s="115"/>
      <c r="AV607" s="115"/>
      <c r="AW607" s="115"/>
      <c r="AX607" s="115"/>
      <c r="AY607" s="25"/>
      <c r="AZ607" s="15"/>
      <c r="BC607" s="114"/>
    </row>
    <row r="608" spans="6:55" ht="19.5" x14ac:dyDescent="0.4"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26"/>
      <c r="AB608" s="13"/>
      <c r="AG608" s="117"/>
      <c r="AH608" s="123"/>
      <c r="AI608" s="123"/>
      <c r="AJ608" s="123"/>
      <c r="AK608" s="115"/>
      <c r="AL608" s="115"/>
      <c r="AM608" s="115"/>
      <c r="AN608" s="115"/>
      <c r="AO608" s="115"/>
      <c r="AP608" s="115"/>
      <c r="AQ608" s="115"/>
      <c r="AR608" s="115"/>
      <c r="AS608" s="115"/>
      <c r="AT608" s="115"/>
      <c r="AU608" s="115"/>
      <c r="AV608" s="115"/>
      <c r="AW608" s="115"/>
      <c r="AX608" s="115"/>
      <c r="AY608" s="25"/>
      <c r="AZ608" s="15"/>
      <c r="BC608" s="114"/>
    </row>
    <row r="609" spans="16:55" ht="19.5" x14ac:dyDescent="0.4">
      <c r="AA609" s="26"/>
      <c r="AB609" s="13"/>
      <c r="AG609" s="117"/>
      <c r="AH609" s="123"/>
      <c r="AI609" s="123"/>
      <c r="AJ609" s="123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115"/>
      <c r="AU609" s="115"/>
      <c r="AV609" s="115"/>
      <c r="AW609" s="115"/>
      <c r="AX609" s="115"/>
      <c r="AY609" s="25">
        <v>45274</v>
      </c>
      <c r="AZ609" s="15" t="s">
        <v>162</v>
      </c>
      <c r="BC609" s="114"/>
    </row>
    <row r="610" spans="16:55" ht="19.5" x14ac:dyDescent="0.4"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26"/>
      <c r="AB610" s="13"/>
      <c r="AG610" s="117"/>
      <c r="AH610" s="123"/>
      <c r="AI610" s="123"/>
      <c r="AJ610" s="123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115"/>
      <c r="AU610" s="115"/>
      <c r="AV610" s="115"/>
      <c r="AW610" s="115"/>
      <c r="AX610" s="115"/>
      <c r="AY610" s="25"/>
      <c r="AZ610" s="15"/>
      <c r="BC610" s="114"/>
    </row>
    <row r="611" spans="16:55" ht="19.5" x14ac:dyDescent="0.4">
      <c r="AA611" s="26"/>
      <c r="AB611" s="13"/>
      <c r="AG611" s="117"/>
      <c r="AH611" s="123"/>
      <c r="AI611" s="123"/>
      <c r="AJ611" s="123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115"/>
      <c r="AU611" s="115"/>
      <c r="AV611" s="115"/>
      <c r="AW611" s="115"/>
      <c r="AX611" s="115"/>
      <c r="AY611" s="25">
        <v>45274</v>
      </c>
      <c r="AZ611" s="15" t="s">
        <v>162</v>
      </c>
      <c r="BC611" s="114"/>
    </row>
    <row r="612" spans="16:55" ht="19.5" x14ac:dyDescent="0.4">
      <c r="AA612" s="26"/>
      <c r="AB612" s="13"/>
      <c r="AG612" s="117"/>
      <c r="AH612" s="123"/>
      <c r="AI612" s="123"/>
      <c r="AJ612" s="123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115"/>
      <c r="AU612" s="115"/>
      <c r="AV612" s="115"/>
      <c r="AW612" s="115"/>
      <c r="AX612" s="115"/>
      <c r="AY612" s="25">
        <v>45274</v>
      </c>
      <c r="AZ612" s="15" t="s">
        <v>163</v>
      </c>
      <c r="BC612" s="114"/>
    </row>
    <row r="613" spans="16:55" ht="19.5" x14ac:dyDescent="0.4">
      <c r="S613" s="115"/>
      <c r="T613" s="115"/>
      <c r="U613" s="115"/>
      <c r="V613" s="115"/>
      <c r="W613" s="115"/>
      <c r="X613" s="115"/>
      <c r="Y613" s="115"/>
      <c r="Z613" s="115"/>
      <c r="AA613" s="17"/>
      <c r="AB613" s="13"/>
      <c r="AG613" s="117"/>
      <c r="AH613" s="123"/>
      <c r="AI613" s="123"/>
      <c r="AJ613" s="123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115"/>
      <c r="AU613" s="115"/>
      <c r="AV613" s="115"/>
      <c r="AW613" s="115"/>
      <c r="AX613" s="115"/>
      <c r="AY613" s="25"/>
      <c r="AZ613" s="15"/>
      <c r="BC613" s="114"/>
    </row>
    <row r="614" spans="16:55" ht="19.5" x14ac:dyDescent="0.4"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26"/>
      <c r="AB614" s="13"/>
      <c r="AG614" s="117"/>
      <c r="AH614" s="123"/>
      <c r="AI614" s="123"/>
      <c r="AJ614" s="123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115"/>
      <c r="AU614" s="115"/>
      <c r="AV614" s="115"/>
      <c r="AW614" s="115"/>
      <c r="AX614" s="115"/>
      <c r="AY614" s="25"/>
      <c r="AZ614" s="15"/>
      <c r="BC614" s="114"/>
    </row>
    <row r="615" spans="16:55" ht="19.5" x14ac:dyDescent="0.4">
      <c r="AA615" s="26"/>
      <c r="AB615" s="25"/>
      <c r="AG615" s="117"/>
      <c r="AH615" s="123"/>
      <c r="AI615" s="123"/>
      <c r="AJ615" s="123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115"/>
      <c r="AU615" s="115"/>
      <c r="AV615" s="115"/>
      <c r="AW615" s="115"/>
      <c r="AX615" s="115" t="s">
        <v>167</v>
      </c>
      <c r="AY615" s="13">
        <f>SUBTOTAL(3,AY602:AY612)</f>
        <v>5</v>
      </c>
      <c r="AZ615" s="15">
        <f>SUBTOTAL(3,AZ602:AZ612)</f>
        <v>5</v>
      </c>
      <c r="BC615" s="114"/>
    </row>
    <row r="616" spans="16:55" ht="19.5" x14ac:dyDescent="0.4"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26"/>
      <c r="AB616" s="105"/>
      <c r="AG616" s="117"/>
      <c r="AH616" s="123"/>
      <c r="AI616" s="123"/>
      <c r="AJ616" s="123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115"/>
      <c r="AU616" s="115"/>
      <c r="AV616" s="115"/>
      <c r="AW616" s="115"/>
      <c r="AX616" s="115"/>
      <c r="AY616" s="13"/>
      <c r="AZ616" s="15"/>
      <c r="BC616" s="114"/>
    </row>
    <row r="617" spans="16:55" ht="19.5" x14ac:dyDescent="0.4">
      <c r="AA617" s="26"/>
      <c r="AB617" s="105"/>
      <c r="AG617" s="117"/>
      <c r="AH617" s="123"/>
      <c r="AI617" s="123"/>
      <c r="AJ617" s="123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115"/>
      <c r="AU617" s="115"/>
      <c r="AV617" s="115"/>
      <c r="AW617" s="115"/>
      <c r="AX617" s="115"/>
      <c r="AY617" s="13"/>
      <c r="AZ617" s="15"/>
      <c r="BC617" s="114"/>
    </row>
    <row r="618" spans="16:55" ht="19.5" x14ac:dyDescent="0.4">
      <c r="S618" s="115"/>
      <c r="T618" s="115"/>
      <c r="U618" s="115"/>
      <c r="V618" s="115"/>
      <c r="W618" s="115"/>
      <c r="X618" s="115"/>
      <c r="Y618" s="115"/>
      <c r="Z618" s="115"/>
      <c r="AA618" s="17"/>
      <c r="AB618" s="15"/>
      <c r="AG618" s="117"/>
      <c r="AH618" s="123"/>
      <c r="AI618" s="123"/>
      <c r="AJ618" s="123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115"/>
      <c r="AU618" s="115"/>
      <c r="AV618" s="115"/>
      <c r="AW618" s="115"/>
      <c r="AX618" s="115"/>
      <c r="AY618" s="13"/>
      <c r="AZ618" s="15"/>
      <c r="BC618" s="114"/>
    </row>
    <row r="619" spans="16:55" ht="19.5" x14ac:dyDescent="0.4"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26"/>
      <c r="AB619" s="15"/>
      <c r="AG619" s="117"/>
      <c r="AH619" s="123"/>
      <c r="AI619" s="123"/>
      <c r="AJ619" s="123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115"/>
      <c r="AU619" s="115"/>
      <c r="AV619" s="115"/>
      <c r="AW619" s="115"/>
      <c r="AX619" s="115"/>
      <c r="AY619" s="13"/>
      <c r="AZ619" s="15"/>
      <c r="BC619" s="114"/>
    </row>
    <row r="620" spans="16:55" ht="19.5" x14ac:dyDescent="0.4"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26"/>
      <c r="AB620" s="15"/>
      <c r="AG620" s="117"/>
      <c r="AH620" s="123"/>
      <c r="AI620" s="123"/>
      <c r="AJ620" s="123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115"/>
      <c r="AU620" s="115"/>
      <c r="AV620" s="115"/>
      <c r="AW620" s="115"/>
      <c r="AX620" s="115"/>
      <c r="AY620" s="13"/>
      <c r="AZ620" s="15"/>
      <c r="BC620" s="114"/>
    </row>
    <row r="621" spans="16:55" ht="19.5" x14ac:dyDescent="0.4"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26"/>
      <c r="AB621" s="15"/>
      <c r="AG621" s="117"/>
      <c r="AH621" s="123"/>
      <c r="AI621" s="123"/>
      <c r="AJ621" s="123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115"/>
      <c r="AU621" s="115"/>
      <c r="AV621" s="115"/>
      <c r="AW621" s="115"/>
      <c r="AX621" s="115"/>
      <c r="AY621" s="13"/>
      <c r="AZ621" s="15"/>
      <c r="BC621" s="114"/>
    </row>
    <row r="622" spans="16:55" ht="19.5" x14ac:dyDescent="0.4"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26"/>
      <c r="AB622" s="15"/>
      <c r="AG622" s="117"/>
      <c r="AH622" s="123"/>
      <c r="AI622" s="123"/>
      <c r="AJ622" s="123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115"/>
      <c r="AU622" s="115"/>
      <c r="AV622" s="115"/>
      <c r="AW622" s="115"/>
      <c r="AX622" s="115"/>
      <c r="AY622" s="13"/>
      <c r="AZ622" s="15"/>
      <c r="BC622" s="114"/>
    </row>
    <row r="623" spans="16:55" ht="19.5" x14ac:dyDescent="0.4">
      <c r="AA623" s="26"/>
      <c r="AB623" s="15"/>
      <c r="AG623" s="117"/>
      <c r="AH623" s="123"/>
      <c r="AI623" s="123"/>
      <c r="AJ623" s="123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115"/>
      <c r="AU623" s="115"/>
      <c r="AV623" s="115"/>
      <c r="AW623" s="115"/>
      <c r="AX623" s="115"/>
      <c r="AY623" s="25">
        <v>45275</v>
      </c>
      <c r="AZ623" s="15" t="s">
        <v>163</v>
      </c>
      <c r="BC623" s="114"/>
    </row>
    <row r="624" spans="16:55" ht="19.5" x14ac:dyDescent="0.4">
      <c r="AA624" s="26"/>
      <c r="AB624" s="15"/>
      <c r="AG624" s="117"/>
      <c r="AH624" s="123"/>
      <c r="AI624" s="123"/>
      <c r="AJ624" s="123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115"/>
      <c r="AU624" s="115"/>
      <c r="AV624" s="115"/>
      <c r="AW624" s="115"/>
      <c r="AX624" s="115" t="s">
        <v>168</v>
      </c>
      <c r="AY624" s="13">
        <f>SUBTOTAL(3,AY623:AY623)</f>
        <v>1</v>
      </c>
      <c r="AZ624" s="15">
        <f>SUBTOTAL(3,AZ623:AZ623)</f>
        <v>1</v>
      </c>
      <c r="BC624" s="114"/>
    </row>
    <row r="625" spans="6:55" ht="19.5" x14ac:dyDescent="0.4">
      <c r="AA625" s="26"/>
      <c r="AB625" s="15"/>
      <c r="AG625" s="117"/>
      <c r="AH625" s="123"/>
      <c r="AI625" s="123"/>
      <c r="AJ625" s="123"/>
      <c r="AK625" s="115"/>
      <c r="AL625" s="115"/>
      <c r="AM625" s="115"/>
      <c r="AN625" s="115"/>
      <c r="AO625" s="115"/>
      <c r="AP625" s="115"/>
      <c r="AQ625" s="115"/>
      <c r="AR625" s="115"/>
      <c r="AS625" s="115"/>
      <c r="AT625" s="115"/>
      <c r="AU625" s="115"/>
      <c r="AV625" s="115"/>
      <c r="AW625" s="115"/>
      <c r="AX625" s="115"/>
      <c r="AY625" s="25">
        <v>45276</v>
      </c>
      <c r="AZ625" s="15" t="s">
        <v>164</v>
      </c>
      <c r="BC625" s="114"/>
    </row>
    <row r="626" spans="6:55" ht="19.5" x14ac:dyDescent="0.4">
      <c r="AA626" s="26"/>
      <c r="AB626" s="15"/>
      <c r="AG626" s="117"/>
      <c r="AH626" s="123"/>
      <c r="AI626" s="123"/>
      <c r="AJ626" s="123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115"/>
      <c r="AU626" s="115"/>
      <c r="AV626" s="115"/>
      <c r="AW626" s="115"/>
      <c r="AX626" s="115"/>
      <c r="AY626" s="25">
        <v>45276</v>
      </c>
      <c r="AZ626" s="15" t="s">
        <v>162</v>
      </c>
      <c r="BC626" s="114"/>
    </row>
    <row r="627" spans="6:55" ht="19.5" x14ac:dyDescent="0.4">
      <c r="AA627" s="26"/>
      <c r="AB627" s="15"/>
      <c r="AG627" s="117"/>
      <c r="AH627" s="123"/>
      <c r="AI627" s="123"/>
      <c r="AJ627" s="123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115"/>
      <c r="AU627" s="115"/>
      <c r="AV627" s="115"/>
      <c r="AW627" s="115"/>
      <c r="AX627" s="115"/>
      <c r="AY627" s="25">
        <v>45276</v>
      </c>
      <c r="AZ627" s="15" t="s">
        <v>162</v>
      </c>
      <c r="BC627" s="114"/>
    </row>
    <row r="628" spans="6:55" ht="19.5" x14ac:dyDescent="0.4">
      <c r="AA628" s="26"/>
      <c r="AB628" s="15"/>
      <c r="AG628" s="117"/>
      <c r="AH628" s="123"/>
      <c r="AI628" s="123"/>
      <c r="AJ628" s="123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115"/>
      <c r="AU628" s="115"/>
      <c r="AV628" s="115"/>
      <c r="AW628" s="115"/>
      <c r="AX628" s="115"/>
      <c r="AY628" s="25">
        <v>45276</v>
      </c>
      <c r="AZ628" s="15" t="s">
        <v>162</v>
      </c>
      <c r="BC628" s="114"/>
    </row>
    <row r="629" spans="6:55" ht="19.5" x14ac:dyDescent="0.4">
      <c r="AA629" s="26"/>
      <c r="AB629" s="15"/>
      <c r="AG629" s="117"/>
      <c r="AH629" s="123"/>
      <c r="AI629" s="123"/>
      <c r="AJ629" s="123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115"/>
      <c r="AU629" s="115"/>
      <c r="AV629" s="115"/>
      <c r="AW629" s="115"/>
      <c r="AX629" s="115"/>
      <c r="AY629" s="25">
        <v>45276</v>
      </c>
      <c r="AZ629" s="15" t="s">
        <v>162</v>
      </c>
      <c r="BC629" s="114"/>
    </row>
    <row r="630" spans="6:55" ht="19.5" x14ac:dyDescent="0.4"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26"/>
      <c r="AB630" s="15"/>
      <c r="AG630" s="117"/>
      <c r="AH630" s="123"/>
      <c r="AI630" s="123"/>
      <c r="AJ630" s="123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115"/>
      <c r="AU630" s="115"/>
      <c r="AV630" s="115"/>
      <c r="AW630" s="115"/>
      <c r="AX630" s="115"/>
      <c r="AY630" s="25"/>
      <c r="AZ630" s="15"/>
      <c r="BC630" s="114"/>
    </row>
    <row r="631" spans="6:55" ht="19.5" x14ac:dyDescent="0.4">
      <c r="AA631" s="26"/>
      <c r="AB631" s="15"/>
      <c r="AG631" s="117"/>
      <c r="AH631" s="123"/>
      <c r="AI631" s="123"/>
      <c r="AJ631" s="123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115"/>
      <c r="AU631" s="115"/>
      <c r="AV631" s="115"/>
      <c r="AW631" s="115"/>
      <c r="AX631" s="115"/>
      <c r="AY631" s="25">
        <v>45276</v>
      </c>
      <c r="AZ631" s="15" t="s">
        <v>162</v>
      </c>
      <c r="BC631" s="114"/>
    </row>
    <row r="632" spans="6:55" ht="19.5" x14ac:dyDescent="0.4">
      <c r="AA632" s="26"/>
      <c r="AB632" s="15"/>
      <c r="AG632" s="117"/>
      <c r="AH632" s="123"/>
      <c r="AI632" s="123"/>
      <c r="AJ632" s="123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115"/>
      <c r="AU632" s="115"/>
      <c r="AV632" s="115"/>
      <c r="AW632" s="115"/>
      <c r="AX632" s="115"/>
      <c r="AY632" s="25">
        <v>45276</v>
      </c>
      <c r="AZ632" s="15" t="s">
        <v>162</v>
      </c>
      <c r="BC632" s="114"/>
    </row>
    <row r="633" spans="6:55" ht="19.5" x14ac:dyDescent="0.4">
      <c r="S633" s="115"/>
      <c r="T633" s="115"/>
      <c r="U633" s="115"/>
      <c r="V633" s="115"/>
      <c r="W633" s="115"/>
      <c r="X633" s="115"/>
      <c r="Y633" s="115"/>
      <c r="Z633" s="115"/>
      <c r="AA633" s="17"/>
      <c r="AB633" s="15"/>
      <c r="AG633" s="117"/>
      <c r="AH633" s="123"/>
      <c r="AI633" s="123"/>
      <c r="AJ633" s="123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115"/>
      <c r="AU633" s="115"/>
      <c r="AV633" s="115"/>
      <c r="AW633" s="115"/>
      <c r="AX633" s="115"/>
      <c r="AY633" s="25"/>
      <c r="AZ633" s="15"/>
      <c r="BC633" s="114"/>
    </row>
    <row r="634" spans="6:55" ht="19.5" x14ac:dyDescent="0.4"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26"/>
      <c r="AB634" s="15"/>
      <c r="AG634" s="117"/>
      <c r="AH634" s="123"/>
      <c r="AI634" s="123"/>
      <c r="AJ634" s="123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115"/>
      <c r="AU634" s="115"/>
      <c r="AV634" s="115"/>
      <c r="AW634" s="115"/>
      <c r="AX634" s="115"/>
      <c r="AY634" s="25"/>
      <c r="AZ634" s="15"/>
      <c r="BC634" s="114"/>
    </row>
    <row r="635" spans="6:55" ht="19.5" x14ac:dyDescent="0.4"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26"/>
      <c r="AB635" s="15"/>
      <c r="AG635" s="117"/>
      <c r="AH635" s="123"/>
      <c r="AI635" s="123"/>
      <c r="AJ635" s="123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115"/>
      <c r="AU635" s="115"/>
      <c r="AV635" s="115"/>
      <c r="AW635" s="115"/>
      <c r="AX635" s="115"/>
      <c r="AY635" s="25"/>
      <c r="AZ635" s="15"/>
      <c r="BC635" s="114"/>
    </row>
    <row r="636" spans="6:55" ht="19.5" x14ac:dyDescent="0.4"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26"/>
      <c r="AB636" s="15"/>
      <c r="AG636" s="117"/>
      <c r="AH636" s="123"/>
      <c r="AI636" s="123"/>
      <c r="AJ636" s="123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115"/>
      <c r="AU636" s="115"/>
      <c r="AV636" s="115"/>
      <c r="AW636" s="115"/>
      <c r="AX636" s="115"/>
      <c r="AY636" s="25"/>
      <c r="AZ636" s="15"/>
      <c r="BC636" s="114"/>
    </row>
    <row r="637" spans="6:55" ht="19.5" x14ac:dyDescent="0.4">
      <c r="AA637" s="26"/>
      <c r="AB637" s="15"/>
      <c r="AF637" s="115"/>
      <c r="AG637" s="117"/>
      <c r="AH637" s="123"/>
      <c r="AI637" s="123"/>
      <c r="AJ637" s="123"/>
      <c r="AK637" s="115"/>
      <c r="AL637" s="115"/>
      <c r="AM637" s="115"/>
      <c r="AN637" s="115"/>
      <c r="AO637" s="115"/>
      <c r="AP637" s="115"/>
      <c r="AQ637" s="115"/>
      <c r="AR637" s="115"/>
      <c r="AS637" s="115"/>
      <c r="AT637" s="115"/>
      <c r="AU637" s="115"/>
      <c r="AV637" s="115"/>
      <c r="AW637" s="115"/>
      <c r="AX637" s="115"/>
      <c r="AY637" s="25">
        <v>45276</v>
      </c>
      <c r="AZ637" s="15" t="s">
        <v>162</v>
      </c>
      <c r="BC637" s="114"/>
    </row>
    <row r="638" spans="6:55" ht="19.5" x14ac:dyDescent="0.4">
      <c r="AA638" s="26"/>
      <c r="AB638" s="15"/>
      <c r="AF638" s="115"/>
      <c r="AG638" s="117"/>
      <c r="AH638" s="123"/>
      <c r="AI638" s="123"/>
      <c r="AJ638" s="123"/>
      <c r="AK638" s="115"/>
      <c r="AL638" s="115"/>
      <c r="AM638" s="115"/>
      <c r="AN638" s="115"/>
      <c r="AO638" s="115"/>
      <c r="AP638" s="115"/>
      <c r="AQ638" s="115"/>
      <c r="AR638" s="115"/>
      <c r="AS638" s="115"/>
      <c r="AT638" s="115"/>
      <c r="AU638" s="115"/>
      <c r="AV638" s="115"/>
      <c r="AW638" s="115"/>
      <c r="AX638" s="115"/>
      <c r="AY638" s="25">
        <v>45276</v>
      </c>
      <c r="AZ638" s="15" t="s">
        <v>162</v>
      </c>
      <c r="BC638" s="114"/>
    </row>
    <row r="639" spans="6:55" ht="19.5" x14ac:dyDescent="0.4">
      <c r="AA639" s="26"/>
      <c r="AB639" s="15"/>
      <c r="AF639" s="115"/>
      <c r="AG639" s="117"/>
      <c r="AH639" s="123"/>
      <c r="AI639" s="123"/>
      <c r="AJ639" s="123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115"/>
      <c r="AU639" s="115"/>
      <c r="AV639" s="115"/>
      <c r="AW639" s="115"/>
      <c r="AX639" s="115"/>
      <c r="AY639" s="25">
        <v>45276</v>
      </c>
      <c r="AZ639" s="15" t="s">
        <v>162</v>
      </c>
      <c r="BC639" s="114"/>
    </row>
    <row r="640" spans="6:55" ht="19.5" x14ac:dyDescent="0.4">
      <c r="S640" s="115"/>
      <c r="T640" s="115"/>
      <c r="U640" s="115"/>
      <c r="V640" s="115"/>
      <c r="W640" s="115"/>
      <c r="X640" s="115"/>
      <c r="Y640" s="115"/>
      <c r="Z640" s="115"/>
      <c r="AA640" s="17"/>
      <c r="AB640" s="15"/>
      <c r="AF640" s="115"/>
      <c r="AG640" s="117"/>
      <c r="AH640" s="123"/>
      <c r="AI640" s="123"/>
      <c r="AJ640" s="123"/>
      <c r="AK640" s="115"/>
      <c r="AL640" s="115"/>
      <c r="AM640" s="115"/>
      <c r="AN640" s="115"/>
      <c r="AO640" s="115"/>
      <c r="AP640" s="115"/>
      <c r="AQ640" s="115"/>
      <c r="AR640" s="115"/>
      <c r="AS640" s="115"/>
      <c r="AT640" s="115"/>
      <c r="AU640" s="115"/>
      <c r="AV640" s="115"/>
      <c r="AW640" s="115"/>
      <c r="AX640" s="115"/>
      <c r="AY640" s="25"/>
      <c r="AZ640" s="15"/>
      <c r="BC640" s="114"/>
    </row>
    <row r="641" spans="6:55" ht="19.5" x14ac:dyDescent="0.4"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26"/>
      <c r="AB641" s="15"/>
      <c r="AF641" s="115"/>
      <c r="AG641" s="117"/>
      <c r="AH641" s="123"/>
      <c r="AI641" s="123"/>
      <c r="AJ641" s="123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115"/>
      <c r="AU641" s="115"/>
      <c r="AV641" s="115"/>
      <c r="AW641" s="115"/>
      <c r="AX641" s="115"/>
      <c r="AY641" s="25"/>
      <c r="AZ641" s="15"/>
      <c r="BC641" s="114"/>
    </row>
    <row r="642" spans="6:55" ht="19.5" x14ac:dyDescent="0.4"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7"/>
      <c r="AB642" s="15"/>
      <c r="AF642" s="115"/>
      <c r="AG642" s="117"/>
      <c r="AH642" s="123"/>
      <c r="AI642" s="123"/>
      <c r="AJ642" s="123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115"/>
      <c r="AU642" s="115"/>
      <c r="AV642" s="115"/>
      <c r="AW642" s="115"/>
      <c r="AX642" s="115"/>
      <c r="AY642" s="25"/>
      <c r="AZ642" s="15"/>
      <c r="BC642" s="114"/>
    </row>
    <row r="643" spans="6:55" ht="19.5" x14ac:dyDescent="0.4">
      <c r="AA643" s="26"/>
      <c r="AB643" s="15"/>
      <c r="AF643" s="115"/>
      <c r="AG643" s="117"/>
      <c r="AH643" s="123"/>
      <c r="AI643" s="123"/>
      <c r="AJ643" s="123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115"/>
      <c r="AU643" s="115"/>
      <c r="AV643" s="115"/>
      <c r="AW643" s="115"/>
      <c r="AX643" s="115"/>
      <c r="AY643" s="25"/>
      <c r="AZ643" s="15"/>
      <c r="BC643" s="114"/>
    </row>
    <row r="644" spans="6:55" ht="19.5" x14ac:dyDescent="0.4"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26"/>
      <c r="AB644" s="15"/>
      <c r="AF644" s="115"/>
      <c r="AG644" s="117"/>
      <c r="AH644" s="123"/>
      <c r="AI644" s="123"/>
      <c r="AJ644" s="123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115"/>
      <c r="AU644" s="115"/>
      <c r="AV644" s="115"/>
      <c r="AW644" s="115"/>
      <c r="AX644" s="115"/>
      <c r="AY644" s="25"/>
      <c r="AZ644" s="15"/>
      <c r="BC644" s="114"/>
    </row>
    <row r="645" spans="6:55" ht="19.5" x14ac:dyDescent="0.4">
      <c r="AA645" s="26"/>
      <c r="AB645" s="15"/>
      <c r="AF645" s="115"/>
      <c r="AG645" s="117"/>
      <c r="AH645" s="123"/>
      <c r="AI645" s="123"/>
      <c r="AJ645" s="123"/>
      <c r="AK645" s="115"/>
      <c r="AL645" s="115"/>
      <c r="AM645" s="115"/>
      <c r="AN645" s="115"/>
      <c r="AO645" s="115"/>
      <c r="AP645" s="115"/>
      <c r="AQ645" s="115"/>
      <c r="AR645" s="115"/>
      <c r="AS645" s="115"/>
      <c r="AT645" s="115"/>
      <c r="AU645" s="115"/>
      <c r="AV645" s="115"/>
      <c r="AW645" s="115"/>
      <c r="AX645" s="115"/>
      <c r="AY645" s="25">
        <v>45276</v>
      </c>
      <c r="AZ645" s="15" t="s">
        <v>162</v>
      </c>
      <c r="BC645" s="114"/>
    </row>
    <row r="646" spans="6:55" ht="19.5" x14ac:dyDescent="0.4">
      <c r="S646" s="115"/>
      <c r="T646" s="115"/>
      <c r="U646" s="115"/>
      <c r="V646" s="115"/>
      <c r="W646" s="115"/>
      <c r="X646" s="115"/>
      <c r="Y646" s="115"/>
      <c r="Z646" s="115"/>
      <c r="AA646" s="17"/>
      <c r="AB646" s="15"/>
      <c r="AF646" s="115"/>
      <c r="AG646" s="117"/>
      <c r="AH646" s="123"/>
      <c r="AI646" s="123"/>
      <c r="AJ646" s="123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115"/>
      <c r="AU646" s="115"/>
      <c r="AV646" s="115"/>
      <c r="AW646" s="115"/>
      <c r="AX646" s="115"/>
      <c r="AY646" s="25"/>
      <c r="AZ646" s="15"/>
      <c r="BC646" s="114"/>
    </row>
    <row r="647" spans="6:55" ht="19.5" x14ac:dyDescent="0.4">
      <c r="AA647" s="26"/>
      <c r="AB647" s="15"/>
      <c r="AF647" s="115"/>
      <c r="AG647" s="117"/>
      <c r="AH647" s="123"/>
      <c r="AI647" s="123"/>
      <c r="AJ647" s="123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115"/>
      <c r="AU647" s="115"/>
      <c r="AV647" s="115"/>
      <c r="AW647" s="115"/>
      <c r="AX647" s="115"/>
      <c r="AY647" s="25">
        <v>45276</v>
      </c>
      <c r="AZ647" s="15" t="s">
        <v>162</v>
      </c>
      <c r="BC647" s="114"/>
    </row>
    <row r="648" spans="6:55" ht="19.5" x14ac:dyDescent="0.4">
      <c r="S648" s="115"/>
      <c r="T648" s="115"/>
      <c r="U648" s="115"/>
      <c r="V648" s="115"/>
      <c r="W648" s="115"/>
      <c r="X648" s="115"/>
      <c r="Y648" s="115"/>
      <c r="Z648" s="115"/>
      <c r="AA648" s="17"/>
      <c r="AB648" s="15"/>
      <c r="AF648" s="115"/>
      <c r="AG648" s="117"/>
      <c r="AH648" s="123"/>
      <c r="AI648" s="123"/>
      <c r="AJ648" s="123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115"/>
      <c r="AU648" s="115"/>
      <c r="AV648" s="115"/>
      <c r="AW648" s="115"/>
      <c r="AX648" s="115"/>
      <c r="AY648" s="25"/>
      <c r="AZ648" s="15"/>
      <c r="BC648" s="114"/>
    </row>
    <row r="649" spans="6:55" ht="19.5" x14ac:dyDescent="0.4">
      <c r="R649" s="115"/>
      <c r="S649" s="115"/>
      <c r="T649" s="115"/>
      <c r="U649" s="115"/>
      <c r="V649" s="115"/>
      <c r="W649" s="115"/>
      <c r="X649" s="115"/>
      <c r="Y649" s="115"/>
      <c r="Z649" s="115"/>
      <c r="AA649" s="26"/>
      <c r="AB649" s="15"/>
      <c r="AF649" s="115"/>
      <c r="AG649" s="117"/>
      <c r="AH649" s="123"/>
      <c r="AI649" s="123"/>
      <c r="AJ649" s="123"/>
      <c r="AK649" s="115"/>
      <c r="AL649" s="115"/>
      <c r="AM649" s="115"/>
      <c r="AN649" s="115"/>
      <c r="AO649" s="115"/>
      <c r="AP649" s="115"/>
      <c r="AQ649" s="115"/>
      <c r="AR649" s="115"/>
      <c r="AS649" s="115"/>
      <c r="AT649" s="115"/>
      <c r="AU649" s="115"/>
      <c r="AV649" s="115"/>
      <c r="AW649" s="115"/>
      <c r="AX649" s="115"/>
      <c r="AY649" s="25"/>
      <c r="AZ649" s="15"/>
      <c r="BC649" s="114"/>
    </row>
    <row r="650" spans="6:55" ht="19.5" x14ac:dyDescent="0.4">
      <c r="R650" s="115"/>
      <c r="S650" s="115"/>
      <c r="T650" s="115"/>
      <c r="U650" s="115"/>
      <c r="V650" s="115"/>
      <c r="W650" s="115"/>
      <c r="X650" s="115"/>
      <c r="Y650" s="115"/>
      <c r="Z650" s="115"/>
      <c r="AA650" s="17"/>
      <c r="AB650" s="15"/>
      <c r="AF650" s="115"/>
      <c r="AG650" s="117"/>
      <c r="AH650" s="123"/>
      <c r="AI650" s="123"/>
      <c r="AJ650" s="123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115"/>
      <c r="AU650" s="115"/>
      <c r="AV650" s="115"/>
      <c r="AW650" s="115"/>
      <c r="AX650" s="115"/>
      <c r="AY650" s="25"/>
      <c r="AZ650" s="15"/>
      <c r="BC650" s="114"/>
    </row>
    <row r="651" spans="6:55" ht="19.5" x14ac:dyDescent="0.4">
      <c r="AA651" s="26"/>
      <c r="AB651" s="15"/>
      <c r="AF651" s="115"/>
      <c r="AG651" s="117"/>
      <c r="AH651" s="123"/>
      <c r="AI651" s="123"/>
      <c r="AJ651" s="123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115"/>
      <c r="AU651" s="115"/>
      <c r="AV651" s="115"/>
      <c r="AW651" s="115"/>
      <c r="AX651" s="115"/>
      <c r="AY651" s="25">
        <v>45276</v>
      </c>
      <c r="AZ651" s="15" t="s">
        <v>162</v>
      </c>
      <c r="BC651" s="114"/>
    </row>
    <row r="652" spans="6:55" ht="19.5" x14ac:dyDescent="0.4">
      <c r="AA652" s="26"/>
      <c r="AB652" s="15"/>
      <c r="AF652" s="115"/>
      <c r="AG652" s="117"/>
      <c r="AH652" s="123"/>
      <c r="AI652" s="123"/>
      <c r="AJ652" s="123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115"/>
      <c r="AU652" s="115"/>
      <c r="AV652" s="115"/>
      <c r="AW652" s="115"/>
      <c r="AX652" s="115"/>
      <c r="AY652" s="25">
        <v>45276</v>
      </c>
      <c r="AZ652" s="15" t="s">
        <v>162</v>
      </c>
      <c r="BC652" s="114"/>
    </row>
    <row r="653" spans="6:55" ht="19.5" x14ac:dyDescent="0.4">
      <c r="AA653" s="26"/>
      <c r="AB653" s="15"/>
      <c r="AF653" s="115"/>
      <c r="AG653" s="117"/>
      <c r="AH653" s="123"/>
      <c r="AI653" s="123"/>
      <c r="AJ653" s="123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115"/>
      <c r="AU653" s="115"/>
      <c r="AV653" s="115"/>
      <c r="AW653" s="115"/>
      <c r="AX653" s="115"/>
      <c r="AY653" s="25">
        <v>45276</v>
      </c>
      <c r="AZ653" s="15" t="s">
        <v>162</v>
      </c>
      <c r="BC653" s="114"/>
    </row>
    <row r="654" spans="6:55" ht="19.5" x14ac:dyDescent="0.4">
      <c r="AA654" s="26"/>
      <c r="AB654" s="15"/>
      <c r="AF654" s="115"/>
      <c r="AG654" s="117"/>
      <c r="AH654" s="123"/>
      <c r="AI654" s="123"/>
      <c r="AJ654" s="123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115"/>
      <c r="AU654" s="115"/>
      <c r="AV654" s="115"/>
      <c r="AW654" s="115"/>
      <c r="AX654" s="115"/>
      <c r="AY654" s="25"/>
      <c r="AZ654" s="15"/>
      <c r="BC654" s="114"/>
    </row>
    <row r="655" spans="6:55" ht="19.5" x14ac:dyDescent="0.4">
      <c r="S655" s="115"/>
      <c r="T655" s="115"/>
      <c r="U655" s="115"/>
      <c r="V655" s="115"/>
      <c r="W655" s="115"/>
      <c r="X655" s="115"/>
      <c r="Y655" s="115"/>
      <c r="Z655" s="115"/>
      <c r="AA655" s="17"/>
      <c r="AB655" s="15"/>
      <c r="AF655" s="115"/>
      <c r="AG655" s="117"/>
      <c r="AH655" s="123"/>
      <c r="AI655" s="123"/>
      <c r="AJ655" s="123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115"/>
      <c r="AU655" s="115"/>
      <c r="AV655" s="115"/>
      <c r="AW655" s="115"/>
      <c r="AX655" s="115"/>
      <c r="AY655" s="25"/>
      <c r="AZ655" s="15"/>
      <c r="BC655" s="114"/>
    </row>
    <row r="656" spans="6:55" ht="19.5" x14ac:dyDescent="0.4">
      <c r="AA656" s="26"/>
      <c r="AB656" s="15"/>
      <c r="AF656" s="115"/>
      <c r="AG656" s="117"/>
      <c r="AH656" s="123"/>
      <c r="AI656" s="123"/>
      <c r="AJ656" s="123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115"/>
      <c r="AU656" s="115"/>
      <c r="AV656" s="115"/>
      <c r="AW656" s="115"/>
      <c r="AX656" s="115"/>
      <c r="AY656" s="25">
        <v>45276</v>
      </c>
      <c r="AZ656" s="15" t="s">
        <v>162</v>
      </c>
      <c r="BC656" s="114"/>
    </row>
    <row r="657" spans="16:55" ht="19.5" x14ac:dyDescent="0.4">
      <c r="AA657" s="26"/>
      <c r="AB657" s="15"/>
      <c r="AF657" s="115"/>
      <c r="AG657" s="117"/>
      <c r="AH657" s="123"/>
      <c r="AI657" s="123"/>
      <c r="AJ657" s="123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115"/>
      <c r="AU657" s="115"/>
      <c r="AV657" s="115"/>
      <c r="AW657" s="115"/>
      <c r="AX657" s="115"/>
      <c r="AY657" s="25">
        <v>45276</v>
      </c>
      <c r="AZ657" s="15" t="s">
        <v>162</v>
      </c>
      <c r="BC657" s="114"/>
    </row>
    <row r="658" spans="16:55" ht="19.5" x14ac:dyDescent="0.4">
      <c r="S658" s="115"/>
      <c r="T658" s="115"/>
      <c r="U658" s="115"/>
      <c r="V658" s="115"/>
      <c r="W658" s="115"/>
      <c r="X658" s="115"/>
      <c r="Y658" s="115"/>
      <c r="Z658" s="115"/>
      <c r="AA658" s="17"/>
      <c r="AB658" s="15"/>
      <c r="AF658" s="115"/>
      <c r="AG658" s="117"/>
      <c r="AH658" s="123"/>
      <c r="AI658" s="123"/>
      <c r="AJ658" s="123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115"/>
      <c r="AU658" s="115"/>
      <c r="AV658" s="115"/>
      <c r="AW658" s="115"/>
      <c r="AX658" s="115"/>
      <c r="AY658" s="25"/>
      <c r="AZ658" s="15"/>
      <c r="BC658" s="114"/>
    </row>
    <row r="659" spans="16:55" ht="19.5" x14ac:dyDescent="0.4"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26"/>
      <c r="AB659" s="15"/>
      <c r="AF659" s="115"/>
      <c r="AG659" s="117"/>
      <c r="AH659" s="123"/>
      <c r="AI659" s="123"/>
      <c r="AJ659" s="123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115"/>
      <c r="AU659" s="115"/>
      <c r="AV659" s="115"/>
      <c r="AW659" s="115"/>
      <c r="AX659" s="115"/>
      <c r="AY659" s="25"/>
      <c r="AZ659" s="15"/>
      <c r="BC659" s="114"/>
    </row>
    <row r="660" spans="16:55" ht="19.5" x14ac:dyDescent="0.4"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7"/>
      <c r="AB660" s="15"/>
      <c r="AF660" s="115"/>
      <c r="AG660" s="117"/>
      <c r="AH660" s="123"/>
      <c r="AI660" s="123"/>
      <c r="AJ660" s="123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115"/>
      <c r="AU660" s="115"/>
      <c r="AV660" s="115"/>
      <c r="AW660" s="115"/>
      <c r="AX660" s="115"/>
      <c r="AY660" s="25"/>
      <c r="AZ660" s="15"/>
      <c r="BC660" s="114"/>
    </row>
    <row r="661" spans="16:55" ht="19.5" x14ac:dyDescent="0.4"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26"/>
      <c r="AB661" s="15"/>
      <c r="AF661" s="115"/>
      <c r="AG661" s="117"/>
      <c r="AH661" s="123"/>
      <c r="AI661" s="123"/>
      <c r="AJ661" s="123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115"/>
      <c r="AU661" s="115"/>
      <c r="AV661" s="115"/>
      <c r="AW661" s="115"/>
      <c r="AX661" s="115"/>
      <c r="AY661" s="25"/>
      <c r="AZ661" s="15"/>
      <c r="BC661" s="114"/>
    </row>
    <row r="662" spans="16:55" ht="19.5" x14ac:dyDescent="0.4">
      <c r="AA662" s="26"/>
      <c r="AB662" s="15"/>
      <c r="AF662" s="115"/>
      <c r="AG662" s="117"/>
      <c r="AH662" s="123"/>
      <c r="AI662" s="123"/>
      <c r="AJ662" s="123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115"/>
      <c r="AU662" s="115"/>
      <c r="AV662" s="115"/>
      <c r="AW662" s="115"/>
      <c r="AX662" s="115" t="s">
        <v>169</v>
      </c>
      <c r="AY662" s="13">
        <f>SUBTOTAL(3,AY625:AY657)</f>
        <v>17</v>
      </c>
      <c r="AZ662" s="15">
        <f>SUBTOTAL(3,AZ625:AZ657)</f>
        <v>17</v>
      </c>
      <c r="BC662" s="114"/>
    </row>
    <row r="663" spans="16:55" ht="19.5" x14ac:dyDescent="0.4"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26"/>
      <c r="AB663" s="15"/>
      <c r="AF663" s="115"/>
      <c r="AG663" s="117"/>
      <c r="AH663" s="123"/>
      <c r="AI663" s="123"/>
      <c r="AJ663" s="123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115"/>
      <c r="AU663" s="115"/>
      <c r="AV663" s="115"/>
      <c r="AW663" s="115"/>
      <c r="AX663" s="115"/>
      <c r="AY663" s="13"/>
      <c r="AZ663" s="15"/>
      <c r="BC663" s="114"/>
    </row>
    <row r="664" spans="16:55" ht="19.5" x14ac:dyDescent="0.4">
      <c r="AA664" s="26"/>
      <c r="AB664" s="15"/>
      <c r="AF664" s="115"/>
      <c r="AG664" s="117"/>
      <c r="AH664" s="123"/>
      <c r="AI664" s="123"/>
      <c r="AJ664" s="123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115"/>
      <c r="AU664" s="115"/>
      <c r="AV664" s="115"/>
      <c r="AW664" s="115"/>
      <c r="AX664" s="115"/>
      <c r="AY664" s="25">
        <v>45277</v>
      </c>
      <c r="AZ664" s="15" t="s">
        <v>162</v>
      </c>
      <c r="BC664" s="114"/>
    </row>
    <row r="665" spans="16:55" ht="19.5" x14ac:dyDescent="0.4">
      <c r="S665" s="115"/>
      <c r="T665" s="115"/>
      <c r="U665" s="115"/>
      <c r="V665" s="115"/>
      <c r="W665" s="115"/>
      <c r="X665" s="115"/>
      <c r="Y665" s="115"/>
      <c r="Z665" s="115"/>
      <c r="AA665" s="17"/>
      <c r="AB665" s="15"/>
      <c r="AF665" s="115"/>
      <c r="AG665" s="117"/>
      <c r="AH665" s="123"/>
      <c r="AI665" s="123"/>
      <c r="AJ665" s="123"/>
      <c r="AK665" s="115"/>
      <c r="AL665" s="115"/>
      <c r="AM665" s="115"/>
      <c r="AN665" s="115"/>
      <c r="AO665" s="115"/>
      <c r="AP665" s="115"/>
      <c r="AQ665" s="115"/>
      <c r="AR665" s="115"/>
      <c r="AS665" s="115"/>
      <c r="AT665" s="115"/>
      <c r="AU665" s="115"/>
      <c r="AV665" s="115"/>
      <c r="AW665" s="115"/>
      <c r="AX665" s="115"/>
      <c r="AY665" s="25"/>
      <c r="AZ665" s="15"/>
      <c r="BC665" s="114"/>
    </row>
    <row r="666" spans="16:55" ht="19.5" x14ac:dyDescent="0.4"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26"/>
      <c r="AB666" s="15"/>
      <c r="AF666" s="115"/>
      <c r="AG666" s="117"/>
      <c r="AH666" s="123"/>
      <c r="AI666" s="123"/>
      <c r="AJ666" s="123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115"/>
      <c r="AU666" s="115"/>
      <c r="AV666" s="115"/>
      <c r="AW666" s="115"/>
      <c r="AX666" s="115"/>
      <c r="AY666" s="25"/>
      <c r="AZ666" s="15"/>
      <c r="BC666" s="114"/>
    </row>
    <row r="667" spans="16:55" ht="19.5" x14ac:dyDescent="0.4"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7"/>
      <c r="AB667" s="15"/>
      <c r="AF667" s="115"/>
      <c r="AG667" s="117"/>
      <c r="AH667" s="123"/>
      <c r="AI667" s="123"/>
      <c r="AJ667" s="123"/>
      <c r="AK667" s="115"/>
      <c r="AL667" s="115"/>
      <c r="AM667" s="115"/>
      <c r="AN667" s="115"/>
      <c r="AO667" s="115"/>
      <c r="AP667" s="115"/>
      <c r="AQ667" s="115"/>
      <c r="AR667" s="115"/>
      <c r="AS667" s="115"/>
      <c r="AT667" s="115"/>
      <c r="AU667" s="115"/>
      <c r="AV667" s="115"/>
      <c r="AW667" s="115"/>
      <c r="AX667" s="115"/>
      <c r="AY667" s="25"/>
      <c r="AZ667" s="15"/>
      <c r="BC667" s="114"/>
    </row>
    <row r="668" spans="16:55" ht="19.5" x14ac:dyDescent="0.4"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7"/>
      <c r="AB668" s="15"/>
      <c r="AF668" s="115"/>
      <c r="AG668" s="117"/>
      <c r="AH668" s="123"/>
      <c r="AI668" s="123"/>
      <c r="AJ668" s="123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115"/>
      <c r="AU668" s="115"/>
      <c r="AV668" s="115"/>
      <c r="AW668" s="115"/>
      <c r="AX668" s="115"/>
      <c r="AY668" s="25"/>
      <c r="AZ668" s="15"/>
      <c r="BC668" s="114"/>
    </row>
    <row r="669" spans="16:55" ht="19.5" x14ac:dyDescent="0.4">
      <c r="AA669" s="26"/>
      <c r="AB669" s="15"/>
      <c r="AF669" s="115"/>
      <c r="AG669" s="117"/>
      <c r="AH669" s="123"/>
      <c r="AI669" s="123"/>
      <c r="AJ669" s="123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115"/>
      <c r="AU669" s="115"/>
      <c r="AV669" s="115"/>
      <c r="AW669" s="115"/>
      <c r="AX669" s="115"/>
      <c r="AY669" s="25">
        <v>45277</v>
      </c>
      <c r="AZ669" s="15" t="s">
        <v>162</v>
      </c>
      <c r="BC669" s="114"/>
    </row>
    <row r="670" spans="16:55" ht="19.5" x14ac:dyDescent="0.4">
      <c r="R670" s="115"/>
      <c r="S670" s="115"/>
      <c r="T670" s="115"/>
      <c r="U670" s="115"/>
      <c r="V670" s="115"/>
      <c r="W670" s="115"/>
      <c r="X670" s="115"/>
      <c r="Y670" s="115"/>
      <c r="Z670" s="115"/>
      <c r="AA670" s="17"/>
      <c r="AB670" s="15"/>
      <c r="AF670" s="115"/>
      <c r="AG670" s="117"/>
      <c r="AH670" s="123"/>
      <c r="AI670" s="123"/>
      <c r="AJ670" s="123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115"/>
      <c r="AU670" s="115"/>
      <c r="AV670" s="115"/>
      <c r="AW670" s="115"/>
      <c r="AX670" s="115"/>
      <c r="AY670" s="131"/>
      <c r="AZ670" s="13"/>
      <c r="BC670" s="114"/>
    </row>
    <row r="671" spans="16:55" ht="19.5" x14ac:dyDescent="0.4">
      <c r="AA671" s="26"/>
      <c r="AB671" s="15"/>
      <c r="AF671" s="115"/>
      <c r="AG671" s="117"/>
      <c r="AH671" s="123"/>
      <c r="AI671" s="123"/>
      <c r="AJ671" s="123"/>
      <c r="AK671" s="115"/>
      <c r="AL671" s="115"/>
      <c r="AM671" s="115"/>
      <c r="AN671" s="115"/>
      <c r="AO671" s="115"/>
      <c r="AP671" s="115"/>
      <c r="AQ671" s="115"/>
      <c r="AR671" s="115"/>
      <c r="AS671" s="115"/>
      <c r="AT671" s="115"/>
      <c r="AU671" s="115"/>
      <c r="AV671" s="115"/>
      <c r="AW671" s="115"/>
      <c r="AX671" s="115"/>
      <c r="AY671" s="26">
        <v>45277</v>
      </c>
      <c r="AZ671" s="13" t="s">
        <v>162</v>
      </c>
      <c r="BC671" s="114"/>
    </row>
    <row r="672" spans="16:55" ht="19.5" x14ac:dyDescent="0.4">
      <c r="AA672" s="26"/>
      <c r="AB672" s="15"/>
      <c r="AF672" s="115"/>
      <c r="AG672" s="117"/>
      <c r="AH672" s="123"/>
      <c r="AI672" s="123"/>
      <c r="AJ672" s="123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115"/>
      <c r="AU672" s="115"/>
      <c r="AV672" s="115"/>
      <c r="AW672" s="115"/>
      <c r="AX672" s="115"/>
      <c r="AY672" s="26">
        <v>45277</v>
      </c>
      <c r="AZ672" s="15" t="s">
        <v>162</v>
      </c>
      <c r="BC672" s="114"/>
    </row>
    <row r="673" spans="6:55" ht="19.5" x14ac:dyDescent="0.4"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26"/>
      <c r="AB673" s="15"/>
      <c r="AF673" s="115"/>
      <c r="AG673" s="117"/>
      <c r="AH673" s="123"/>
      <c r="AI673" s="123"/>
      <c r="AJ673" s="123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115"/>
      <c r="AU673" s="115"/>
      <c r="AV673" s="115"/>
      <c r="AW673" s="115"/>
      <c r="AX673" s="115"/>
      <c r="AY673" s="26"/>
      <c r="AZ673" s="15"/>
      <c r="BC673" s="114"/>
    </row>
    <row r="674" spans="6:55" ht="19.5" x14ac:dyDescent="0.4">
      <c r="AA674" s="26"/>
      <c r="AB674" s="15"/>
      <c r="AF674" s="115"/>
      <c r="AG674" s="117"/>
      <c r="AH674" s="123"/>
      <c r="AI674" s="123"/>
      <c r="AJ674" s="123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115"/>
      <c r="AU674" s="115"/>
      <c r="AV674" s="115"/>
      <c r="AW674" s="115"/>
      <c r="AX674" s="115"/>
      <c r="AY674" s="26">
        <v>45277</v>
      </c>
      <c r="AZ674" s="15" t="s">
        <v>162</v>
      </c>
      <c r="BC674" s="114"/>
    </row>
    <row r="675" spans="6:55" ht="19.5" x14ac:dyDescent="0.4">
      <c r="AA675" s="26"/>
      <c r="AB675" s="15"/>
      <c r="AF675" s="115"/>
      <c r="AG675" s="117"/>
      <c r="AH675" s="123"/>
      <c r="AI675" s="123"/>
      <c r="AJ675" s="123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115"/>
      <c r="AU675" s="115"/>
      <c r="AV675" s="115"/>
      <c r="AW675" s="115"/>
      <c r="AX675" s="115" t="s">
        <v>160</v>
      </c>
      <c r="AY675" s="17">
        <f>SUBTOTAL(3,AY664:AY674)</f>
        <v>5</v>
      </c>
      <c r="AZ675" s="15">
        <f>SUBTOTAL(3,AZ664:AZ674)</f>
        <v>5</v>
      </c>
      <c r="BC675" s="114"/>
    </row>
    <row r="676" spans="6:55" ht="19.5" x14ac:dyDescent="0.4"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26"/>
      <c r="AB676" s="15"/>
      <c r="AF676" s="115"/>
      <c r="AG676" s="117"/>
      <c r="AH676" s="123"/>
      <c r="AI676" s="123"/>
      <c r="AJ676" s="123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115"/>
      <c r="AU676" s="115"/>
      <c r="AV676" s="115"/>
      <c r="AW676" s="115"/>
      <c r="AX676" s="115"/>
      <c r="AY676" s="17"/>
      <c r="AZ676" s="15"/>
      <c r="BC676" s="114"/>
    </row>
    <row r="677" spans="6:55" ht="19.5" x14ac:dyDescent="0.4"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26"/>
      <c r="AB677" s="15"/>
      <c r="AF677" s="115"/>
      <c r="AG677" s="117"/>
      <c r="AH677" s="123"/>
      <c r="AI677" s="123"/>
      <c r="AJ677" s="123"/>
      <c r="AK677" s="115"/>
      <c r="AL677" s="115"/>
      <c r="AM677" s="115"/>
      <c r="AN677" s="115"/>
      <c r="AO677" s="115"/>
      <c r="AP677" s="115"/>
      <c r="AQ677" s="115"/>
      <c r="AR677" s="115"/>
      <c r="AS677" s="115"/>
      <c r="AT677" s="115"/>
      <c r="AU677" s="115"/>
      <c r="AV677" s="115"/>
      <c r="AW677" s="115"/>
      <c r="AX677" s="115"/>
      <c r="AY677" s="17"/>
      <c r="AZ677" s="15"/>
      <c r="BC677" s="114"/>
    </row>
    <row r="678" spans="6:55" ht="19.5" x14ac:dyDescent="0.4">
      <c r="AA678" s="26"/>
      <c r="AB678" s="15"/>
      <c r="AF678" s="115"/>
      <c r="AG678" s="117"/>
      <c r="AH678" s="123"/>
      <c r="AI678" s="123"/>
      <c r="AJ678" s="123"/>
      <c r="AK678" s="115"/>
      <c r="AL678" s="115"/>
      <c r="AM678" s="115"/>
      <c r="AN678" s="115"/>
      <c r="AO678" s="115"/>
      <c r="AP678" s="115"/>
      <c r="AQ678" s="115"/>
      <c r="AR678" s="115"/>
      <c r="AS678" s="115"/>
      <c r="AT678" s="115"/>
      <c r="AU678" s="115"/>
      <c r="AV678" s="115"/>
      <c r="AW678" s="115"/>
      <c r="AX678" s="115"/>
      <c r="AY678" s="26">
        <v>45278</v>
      </c>
      <c r="AZ678" s="15" t="s">
        <v>164</v>
      </c>
      <c r="BC678" s="114"/>
    </row>
    <row r="679" spans="6:55" ht="19.5" x14ac:dyDescent="0.4">
      <c r="AA679" s="26"/>
      <c r="AB679" s="15"/>
      <c r="AF679" s="115"/>
      <c r="AG679" s="117"/>
      <c r="AH679" s="123"/>
      <c r="AI679" s="123"/>
      <c r="AJ679" s="123"/>
      <c r="AK679" s="115"/>
      <c r="AL679" s="115"/>
      <c r="AM679" s="115"/>
      <c r="AN679" s="115"/>
      <c r="AO679" s="115"/>
      <c r="AP679" s="115"/>
      <c r="AQ679" s="115"/>
      <c r="AR679" s="115"/>
      <c r="AS679" s="115"/>
      <c r="AT679" s="115"/>
      <c r="AU679" s="115"/>
      <c r="AV679" s="115"/>
      <c r="AW679" s="115"/>
      <c r="AX679" s="115"/>
      <c r="AY679" s="26">
        <v>45278</v>
      </c>
      <c r="AZ679" s="15" t="s">
        <v>164</v>
      </c>
      <c r="BC679" s="114"/>
    </row>
    <row r="680" spans="6:55" ht="19.5" x14ac:dyDescent="0.4"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26"/>
      <c r="AB680" s="15"/>
      <c r="AF680" s="115"/>
      <c r="AG680" s="117"/>
      <c r="AH680" s="123"/>
      <c r="AI680" s="123"/>
      <c r="AJ680" s="123"/>
      <c r="AK680" s="115"/>
      <c r="AL680" s="115"/>
      <c r="AM680" s="115"/>
      <c r="AN680" s="115"/>
      <c r="AO680" s="115"/>
      <c r="AP680" s="115"/>
      <c r="AQ680" s="115"/>
      <c r="AR680" s="115"/>
      <c r="AS680" s="115"/>
      <c r="AT680" s="115"/>
      <c r="AU680" s="115"/>
      <c r="AV680" s="115"/>
      <c r="AW680" s="115"/>
      <c r="AX680" s="115"/>
      <c r="AY680" s="26"/>
      <c r="AZ680" s="15"/>
      <c r="BC680" s="114"/>
    </row>
    <row r="681" spans="6:55" ht="19.5" x14ac:dyDescent="0.4">
      <c r="AA681" s="26"/>
      <c r="AB681" s="15"/>
      <c r="AF681" s="115"/>
      <c r="AG681" s="117"/>
      <c r="AH681" s="123"/>
      <c r="AI681" s="123"/>
      <c r="AJ681" s="123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115"/>
      <c r="AU681" s="115"/>
      <c r="AV681" s="115"/>
      <c r="AW681" s="115"/>
      <c r="AX681" s="115"/>
      <c r="AY681" s="26">
        <v>45278</v>
      </c>
      <c r="AZ681" s="15" t="s">
        <v>162</v>
      </c>
      <c r="BC681" s="114"/>
    </row>
    <row r="682" spans="6:55" ht="19.5" x14ac:dyDescent="0.4">
      <c r="R682" s="115"/>
      <c r="S682" s="115"/>
      <c r="T682" s="115"/>
      <c r="U682" s="115"/>
      <c r="V682" s="115"/>
      <c r="W682" s="115"/>
      <c r="X682" s="115"/>
      <c r="Y682" s="115"/>
      <c r="Z682" s="115"/>
      <c r="AA682" s="17"/>
      <c r="AB682" s="15"/>
      <c r="AF682" s="115"/>
      <c r="AG682" s="117"/>
      <c r="AH682" s="123"/>
      <c r="AI682" s="123"/>
      <c r="AJ682" s="123"/>
      <c r="AK682" s="115"/>
      <c r="AL682" s="115"/>
      <c r="AM682" s="115"/>
      <c r="AN682" s="115"/>
      <c r="AO682" s="115"/>
      <c r="AP682" s="115"/>
      <c r="AQ682" s="115"/>
      <c r="AR682" s="115"/>
      <c r="AS682" s="115"/>
      <c r="AT682" s="115"/>
      <c r="AU682" s="115"/>
      <c r="AV682" s="115"/>
      <c r="AW682" s="115"/>
      <c r="AX682" s="115"/>
      <c r="AY682" s="26"/>
      <c r="AZ682" s="15"/>
      <c r="BC682" s="114"/>
    </row>
    <row r="683" spans="6:55" ht="19.5" x14ac:dyDescent="0.4"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26"/>
      <c r="AB683" s="15"/>
      <c r="AF683" s="115"/>
      <c r="AG683" s="117"/>
      <c r="AH683" s="123"/>
      <c r="AI683" s="123"/>
      <c r="AJ683" s="123"/>
      <c r="AK683" s="115"/>
      <c r="AL683" s="115"/>
      <c r="AM683" s="115"/>
      <c r="AN683" s="115"/>
      <c r="AO683" s="115"/>
      <c r="AP683" s="115"/>
      <c r="AQ683" s="115"/>
      <c r="AR683" s="115"/>
      <c r="AS683" s="115"/>
      <c r="AT683" s="115"/>
      <c r="AU683" s="115"/>
      <c r="AV683" s="115"/>
      <c r="AW683" s="115"/>
      <c r="AX683" s="115"/>
      <c r="AY683" s="26"/>
      <c r="AZ683" s="15"/>
      <c r="BC683" s="114"/>
    </row>
    <row r="684" spans="6:55" ht="19.5" x14ac:dyDescent="0.4"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7"/>
      <c r="AB684" s="15"/>
      <c r="AF684" s="115"/>
      <c r="AG684" s="117"/>
      <c r="AH684" s="123"/>
      <c r="AI684" s="123"/>
      <c r="AJ684" s="123"/>
      <c r="AK684" s="115"/>
      <c r="AL684" s="115"/>
      <c r="AM684" s="115"/>
      <c r="AN684" s="115"/>
      <c r="AO684" s="115"/>
      <c r="AP684" s="115"/>
      <c r="AQ684" s="115"/>
      <c r="AR684" s="115"/>
      <c r="AS684" s="115"/>
      <c r="AT684" s="115"/>
      <c r="AU684" s="115"/>
      <c r="AV684" s="115"/>
      <c r="AW684" s="115"/>
      <c r="AX684" s="115"/>
      <c r="AY684" s="26"/>
      <c r="AZ684" s="15"/>
      <c r="BC684" s="114"/>
    </row>
    <row r="685" spans="6:55" ht="19.5" x14ac:dyDescent="0.4">
      <c r="AA685" s="26"/>
      <c r="AB685" s="15"/>
      <c r="AF685" s="115"/>
      <c r="AG685" s="117"/>
      <c r="AH685" s="123"/>
      <c r="AI685" s="123"/>
      <c r="AJ685" s="123"/>
      <c r="AK685" s="115"/>
      <c r="AL685" s="115"/>
      <c r="AM685" s="115"/>
      <c r="AN685" s="115"/>
      <c r="AO685" s="115"/>
      <c r="AP685" s="115"/>
      <c r="AQ685" s="115"/>
      <c r="AR685" s="115"/>
      <c r="AS685" s="115"/>
      <c r="AT685" s="115"/>
      <c r="AU685" s="115"/>
      <c r="AV685" s="115"/>
      <c r="AW685" s="115"/>
      <c r="AX685" s="115"/>
      <c r="AY685" s="26">
        <v>45278</v>
      </c>
      <c r="AZ685" s="15" t="s">
        <v>142</v>
      </c>
      <c r="BC685" s="114"/>
    </row>
    <row r="686" spans="6:55" ht="19.5" x14ac:dyDescent="0.4">
      <c r="AA686" s="26"/>
      <c r="AB686" s="15"/>
      <c r="AF686" s="115"/>
      <c r="AG686" s="117"/>
      <c r="AH686" s="123"/>
      <c r="AI686" s="123"/>
      <c r="AJ686" s="123"/>
      <c r="AK686" s="115"/>
      <c r="AL686" s="115"/>
      <c r="AM686" s="115"/>
      <c r="AN686" s="115"/>
      <c r="AO686" s="115"/>
      <c r="AP686" s="115"/>
      <c r="AQ686" s="115"/>
      <c r="AR686" s="115"/>
      <c r="AS686" s="115"/>
      <c r="AT686" s="115"/>
      <c r="AU686" s="115"/>
      <c r="AV686" s="115"/>
      <c r="AW686" s="115"/>
      <c r="AX686" s="115"/>
      <c r="AY686" s="26">
        <v>45278</v>
      </c>
      <c r="AZ686" s="15" t="s">
        <v>162</v>
      </c>
      <c r="BC686" s="114"/>
    </row>
    <row r="687" spans="6:55" ht="19.5" x14ac:dyDescent="0.4">
      <c r="AA687" s="26"/>
      <c r="AB687" s="15"/>
      <c r="AF687" s="115"/>
      <c r="AG687" s="117"/>
      <c r="AH687" s="123"/>
      <c r="AI687" s="123"/>
      <c r="AJ687" s="123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115"/>
      <c r="AU687" s="115"/>
      <c r="AV687" s="115"/>
      <c r="AW687" s="115"/>
      <c r="AX687" s="115"/>
      <c r="AY687" s="26">
        <v>45278</v>
      </c>
      <c r="AZ687" s="15" t="s">
        <v>162</v>
      </c>
      <c r="BC687" s="114"/>
    </row>
    <row r="688" spans="6:55" ht="19.5" x14ac:dyDescent="0.4">
      <c r="R688" s="115"/>
      <c r="S688" s="115"/>
      <c r="T688" s="115"/>
      <c r="U688" s="115"/>
      <c r="V688" s="115"/>
      <c r="W688" s="115"/>
      <c r="X688" s="115"/>
      <c r="Y688" s="115"/>
      <c r="Z688" s="115"/>
      <c r="AA688" s="17"/>
      <c r="AB688" s="15"/>
      <c r="AF688" s="115"/>
      <c r="AG688" s="117"/>
      <c r="AH688" s="123"/>
      <c r="AI688" s="123"/>
      <c r="AJ688" s="123"/>
      <c r="AK688" s="115"/>
      <c r="AL688" s="115"/>
      <c r="AM688" s="115"/>
      <c r="AN688" s="115"/>
      <c r="AO688" s="115"/>
      <c r="AP688" s="115"/>
      <c r="AQ688" s="115"/>
      <c r="AR688" s="115"/>
      <c r="AS688" s="115"/>
      <c r="AT688" s="115"/>
      <c r="AU688" s="115"/>
      <c r="AV688" s="115"/>
      <c r="AW688" s="115"/>
      <c r="AX688" s="115"/>
      <c r="AY688" s="26"/>
      <c r="AZ688" s="15"/>
      <c r="BC688" s="114"/>
    </row>
    <row r="689" spans="6:55" ht="19.5" x14ac:dyDescent="0.4"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26"/>
      <c r="AB689" s="15"/>
      <c r="AF689" s="115"/>
      <c r="AG689" s="117"/>
      <c r="AH689" s="123"/>
      <c r="AI689" s="123"/>
      <c r="AJ689" s="123"/>
      <c r="AK689" s="115"/>
      <c r="AL689" s="115"/>
      <c r="AM689" s="115"/>
      <c r="AN689" s="115"/>
      <c r="AO689" s="115"/>
      <c r="AP689" s="115"/>
      <c r="AQ689" s="115"/>
      <c r="AR689" s="115"/>
      <c r="AS689" s="115"/>
      <c r="AT689" s="115"/>
      <c r="AU689" s="115"/>
      <c r="AV689" s="115"/>
      <c r="AW689" s="115"/>
      <c r="AX689" s="115"/>
      <c r="AY689" s="26"/>
      <c r="AZ689" s="15"/>
      <c r="BC689" s="114"/>
    </row>
    <row r="690" spans="6:55" ht="19.5" x14ac:dyDescent="0.4"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26"/>
      <c r="AB690" s="15"/>
      <c r="AF690" s="115"/>
      <c r="AG690" s="117"/>
      <c r="AH690" s="123"/>
      <c r="AI690" s="123"/>
      <c r="AJ690" s="123"/>
      <c r="AK690" s="115"/>
      <c r="AL690" s="115"/>
      <c r="AM690" s="115"/>
      <c r="AN690" s="115"/>
      <c r="AO690" s="115"/>
      <c r="AP690" s="115"/>
      <c r="AQ690" s="115"/>
      <c r="AR690" s="115"/>
      <c r="AS690" s="115"/>
      <c r="AT690" s="115"/>
      <c r="AU690" s="115"/>
      <c r="AV690" s="115"/>
      <c r="AW690" s="115"/>
      <c r="AX690" s="115"/>
      <c r="AY690" s="26"/>
      <c r="AZ690" s="15"/>
      <c r="BC690" s="114"/>
    </row>
    <row r="691" spans="6:55" ht="19.5" x14ac:dyDescent="0.4"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7"/>
      <c r="AB691" s="15"/>
      <c r="AF691" s="115"/>
      <c r="AG691" s="117"/>
      <c r="AH691" s="123"/>
      <c r="AI691" s="123"/>
      <c r="AJ691" s="123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115"/>
      <c r="AU691" s="115"/>
      <c r="AV691" s="115"/>
      <c r="AW691" s="115"/>
      <c r="AX691" s="115"/>
      <c r="AY691" s="26"/>
      <c r="AZ691" s="15"/>
      <c r="BC691" s="114"/>
    </row>
    <row r="692" spans="6:55" ht="19.5" x14ac:dyDescent="0.4"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26"/>
      <c r="AB692" s="15"/>
      <c r="AF692" s="115"/>
      <c r="AG692" s="117"/>
      <c r="AH692" s="123"/>
      <c r="AI692" s="123"/>
      <c r="AJ692" s="123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115"/>
      <c r="AU692" s="115"/>
      <c r="AV692" s="115"/>
      <c r="AW692" s="115"/>
      <c r="AX692" s="115"/>
      <c r="AY692" s="26"/>
      <c r="AZ692" s="15"/>
      <c r="BC692" s="114"/>
    </row>
    <row r="693" spans="6:55" ht="19.5" x14ac:dyDescent="0.4">
      <c r="AA693" s="26"/>
      <c r="AB693" s="15"/>
      <c r="AF693" s="115"/>
      <c r="AG693" s="117"/>
      <c r="AH693" s="123"/>
      <c r="AI693" s="123"/>
      <c r="AJ693" s="123"/>
      <c r="AK693" s="115"/>
      <c r="AL693" s="115"/>
      <c r="AM693" s="115"/>
      <c r="AN693" s="115"/>
      <c r="AO693" s="115"/>
      <c r="AP693" s="115"/>
      <c r="AQ693" s="115"/>
      <c r="AR693" s="115"/>
      <c r="AS693" s="115"/>
      <c r="AT693" s="115"/>
      <c r="AU693" s="115"/>
      <c r="AV693" s="115"/>
      <c r="AW693" s="115"/>
      <c r="AX693" s="115"/>
      <c r="AY693" s="26">
        <v>45278</v>
      </c>
      <c r="AZ693" s="15" t="s">
        <v>162</v>
      </c>
      <c r="BC693" s="114"/>
    </row>
    <row r="694" spans="6:55" ht="19.5" x14ac:dyDescent="0.4"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26"/>
      <c r="AB694" s="15"/>
      <c r="AF694" s="115"/>
      <c r="AG694" s="117"/>
      <c r="AH694" s="123"/>
      <c r="AI694" s="123"/>
      <c r="AJ694" s="123"/>
      <c r="AK694" s="115"/>
      <c r="AL694" s="115"/>
      <c r="AM694" s="115"/>
      <c r="AN694" s="115"/>
      <c r="AO694" s="115"/>
      <c r="AP694" s="115"/>
      <c r="AQ694" s="115"/>
      <c r="AR694" s="115"/>
      <c r="AS694" s="115"/>
      <c r="AT694" s="115"/>
      <c r="AU694" s="115"/>
      <c r="AV694" s="115"/>
      <c r="AW694" s="115"/>
      <c r="AX694" s="115"/>
      <c r="AY694" s="26"/>
      <c r="AZ694" s="15"/>
      <c r="BC694" s="114"/>
    </row>
    <row r="695" spans="6:55" ht="19.5" x14ac:dyDescent="0.4">
      <c r="AA695" s="26"/>
      <c r="AB695" s="15"/>
      <c r="AF695" s="115"/>
      <c r="AG695" s="117"/>
      <c r="AH695" s="123"/>
      <c r="AI695" s="123"/>
      <c r="AJ695" s="123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115"/>
      <c r="AU695" s="115"/>
      <c r="AV695" s="115"/>
      <c r="AW695" s="115"/>
      <c r="AX695" s="115"/>
      <c r="AY695" s="26">
        <v>45278</v>
      </c>
      <c r="AZ695" s="15" t="s">
        <v>163</v>
      </c>
      <c r="BC695" s="114"/>
    </row>
    <row r="696" spans="6:55" ht="19.5" x14ac:dyDescent="0.4">
      <c r="AA696" s="26"/>
      <c r="AB696" s="15"/>
      <c r="AF696" s="115"/>
      <c r="AG696" s="117"/>
      <c r="AH696" s="123"/>
      <c r="AI696" s="123"/>
      <c r="AJ696" s="123"/>
      <c r="AK696" s="115"/>
      <c r="AL696" s="115"/>
      <c r="AM696" s="115"/>
      <c r="AN696" s="115"/>
      <c r="AO696" s="115"/>
      <c r="AP696" s="115"/>
      <c r="AQ696" s="115"/>
      <c r="AR696" s="115"/>
      <c r="AS696" s="115"/>
      <c r="AT696" s="115"/>
      <c r="AU696" s="115"/>
      <c r="AV696" s="115"/>
      <c r="AW696" s="115"/>
      <c r="AX696" s="115"/>
      <c r="AY696" s="26">
        <v>45278</v>
      </c>
      <c r="AZ696" s="105" t="s">
        <v>163</v>
      </c>
      <c r="BC696" s="114"/>
    </row>
    <row r="697" spans="6:55" ht="19.5" x14ac:dyDescent="0.4">
      <c r="AA697" s="25"/>
      <c r="AB697" s="13"/>
      <c r="AF697" s="115"/>
      <c r="AG697" s="117"/>
      <c r="AH697" s="123"/>
      <c r="AI697" s="123"/>
      <c r="AJ697" s="123"/>
      <c r="AK697" s="115"/>
      <c r="AL697" s="115"/>
      <c r="AM697" s="115"/>
      <c r="AN697" s="115"/>
      <c r="AO697" s="115"/>
      <c r="AP697" s="115"/>
      <c r="AQ697" s="115"/>
      <c r="AR697" s="115"/>
      <c r="AS697" s="115"/>
      <c r="AT697" s="115"/>
      <c r="AU697" s="115"/>
      <c r="AV697" s="115"/>
      <c r="AW697" s="115"/>
      <c r="AX697" s="115"/>
      <c r="AY697" s="26">
        <v>45278</v>
      </c>
      <c r="AZ697" s="15" t="s">
        <v>163</v>
      </c>
      <c r="BC697" s="114"/>
    </row>
    <row r="698" spans="6:55" ht="19.5" x14ac:dyDescent="0.4"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25"/>
      <c r="AB698" s="13"/>
      <c r="AF698" s="115"/>
      <c r="AG698" s="117"/>
      <c r="AH698" s="123"/>
      <c r="AI698" s="123"/>
      <c r="AJ698" s="123"/>
      <c r="AK698" s="115"/>
      <c r="AL698" s="115"/>
      <c r="AM698" s="115"/>
      <c r="AN698" s="115"/>
      <c r="AO698" s="115"/>
      <c r="AP698" s="115"/>
      <c r="AQ698" s="115"/>
      <c r="AR698" s="115"/>
      <c r="AS698" s="115"/>
      <c r="AT698" s="115"/>
      <c r="AU698" s="115"/>
      <c r="AV698" s="115"/>
      <c r="AW698" s="115"/>
      <c r="AX698" s="115"/>
      <c r="AY698" s="26"/>
      <c r="AZ698" s="15"/>
      <c r="BC698" s="114"/>
    </row>
    <row r="699" spans="6:55" ht="19.5" x14ac:dyDescent="0.4"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25"/>
      <c r="AB699" s="13"/>
      <c r="AF699" s="115"/>
      <c r="AG699" s="117"/>
      <c r="AH699" s="123"/>
      <c r="AI699" s="123"/>
      <c r="AJ699" s="123"/>
      <c r="AK699" s="115"/>
      <c r="AL699" s="115"/>
      <c r="AM699" s="115"/>
      <c r="AN699" s="115"/>
      <c r="AO699" s="115"/>
      <c r="AP699" s="115"/>
      <c r="AQ699" s="115"/>
      <c r="AR699" s="115"/>
      <c r="AS699" s="115"/>
      <c r="AT699" s="115"/>
      <c r="AU699" s="115"/>
      <c r="AV699" s="115"/>
      <c r="AW699" s="115"/>
      <c r="AX699" s="115"/>
      <c r="AY699" s="26"/>
      <c r="AZ699" s="15"/>
      <c r="BC699" s="114"/>
    </row>
    <row r="700" spans="6:55" ht="19.5" x14ac:dyDescent="0.4"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25"/>
      <c r="AB700" s="13"/>
      <c r="AF700" s="115"/>
      <c r="AG700" s="117"/>
      <c r="AH700" s="123"/>
      <c r="AI700" s="123"/>
      <c r="AJ700" s="123"/>
      <c r="AK700" s="115"/>
      <c r="AL700" s="115"/>
      <c r="AM700" s="115"/>
      <c r="AN700" s="115"/>
      <c r="AO700" s="115"/>
      <c r="AP700" s="115"/>
      <c r="AQ700" s="115"/>
      <c r="AR700" s="115"/>
      <c r="AS700" s="115"/>
      <c r="AT700" s="115"/>
      <c r="AU700" s="115"/>
      <c r="AV700" s="115"/>
      <c r="AW700" s="115"/>
      <c r="AX700" s="115"/>
      <c r="AY700" s="26"/>
      <c r="AZ700" s="15"/>
      <c r="BC700" s="114"/>
    </row>
    <row r="701" spans="6:55" ht="19.5" x14ac:dyDescent="0.4"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25"/>
      <c r="AB701" s="13"/>
      <c r="AF701" s="115"/>
      <c r="AG701" s="117"/>
      <c r="AH701" s="123"/>
      <c r="AI701" s="123"/>
      <c r="AJ701" s="123"/>
      <c r="AK701" s="115"/>
      <c r="AL701" s="115"/>
      <c r="AM701" s="115"/>
      <c r="AN701" s="115"/>
      <c r="AO701" s="115"/>
      <c r="AP701" s="115"/>
      <c r="AQ701" s="115"/>
      <c r="AR701" s="115"/>
      <c r="AS701" s="115"/>
      <c r="AT701" s="115"/>
      <c r="AU701" s="115"/>
      <c r="AV701" s="115"/>
      <c r="AW701" s="115"/>
      <c r="AX701" s="115"/>
      <c r="AY701" s="26"/>
      <c r="AZ701" s="15"/>
      <c r="BC701" s="114"/>
    </row>
    <row r="702" spans="6:55" ht="19.5" x14ac:dyDescent="0.4"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25"/>
      <c r="AB702" s="13"/>
      <c r="AF702" s="115"/>
      <c r="AG702" s="117"/>
      <c r="AH702" s="123"/>
      <c r="AI702" s="123"/>
      <c r="AJ702" s="123"/>
      <c r="AK702" s="115"/>
      <c r="AL702" s="115"/>
      <c r="AM702" s="115"/>
      <c r="AN702" s="115"/>
      <c r="AO702" s="115"/>
      <c r="AP702" s="115"/>
      <c r="AQ702" s="115"/>
      <c r="AR702" s="115"/>
      <c r="AS702" s="115"/>
      <c r="AT702" s="115"/>
      <c r="AU702" s="115"/>
      <c r="AV702" s="115"/>
      <c r="AW702" s="115"/>
      <c r="AX702" s="115"/>
      <c r="AY702" s="26"/>
      <c r="AZ702" s="15"/>
      <c r="BC702" s="114"/>
    </row>
    <row r="703" spans="6:55" ht="19.5" x14ac:dyDescent="0.4"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25"/>
      <c r="AB703" s="13"/>
      <c r="AF703" s="115"/>
      <c r="AG703" s="117"/>
      <c r="AH703" s="123"/>
      <c r="AI703" s="123"/>
      <c r="AJ703" s="123"/>
      <c r="AK703" s="115"/>
      <c r="AL703" s="115"/>
      <c r="AM703" s="115"/>
      <c r="AN703" s="115"/>
      <c r="AO703" s="115"/>
      <c r="AP703" s="115"/>
      <c r="AQ703" s="115"/>
      <c r="AR703" s="115"/>
      <c r="AS703" s="115"/>
      <c r="AT703" s="115"/>
      <c r="AU703" s="115"/>
      <c r="AV703" s="115"/>
      <c r="AW703" s="115"/>
      <c r="AX703" s="115"/>
      <c r="AY703" s="26"/>
      <c r="AZ703" s="15"/>
      <c r="BC703" s="114"/>
    </row>
    <row r="704" spans="6:55" ht="19.5" x14ac:dyDescent="0.4">
      <c r="AA704" s="25"/>
      <c r="AB704" s="13"/>
      <c r="AF704" s="115"/>
      <c r="AG704" s="117"/>
      <c r="AH704" s="123"/>
      <c r="AI704" s="123"/>
      <c r="AJ704" s="123"/>
      <c r="AK704" s="115"/>
      <c r="AL704" s="115"/>
      <c r="AM704" s="115"/>
      <c r="AN704" s="115"/>
      <c r="AO704" s="115"/>
      <c r="AP704" s="115"/>
      <c r="AQ704" s="115"/>
      <c r="AR704" s="115"/>
      <c r="AS704" s="115"/>
      <c r="AT704" s="115"/>
      <c r="AU704" s="115"/>
      <c r="AV704" s="115"/>
      <c r="AW704" s="115"/>
      <c r="AX704" s="115"/>
      <c r="AY704" s="26">
        <v>45278</v>
      </c>
      <c r="AZ704" s="15" t="s">
        <v>163</v>
      </c>
      <c r="BC704" s="114"/>
    </row>
    <row r="705" spans="18:55" ht="19.5" x14ac:dyDescent="0.4">
      <c r="AA705" s="25"/>
      <c r="AB705" s="13"/>
      <c r="AF705" s="115"/>
      <c r="AG705" s="117"/>
      <c r="AH705" s="123"/>
      <c r="AI705" s="123"/>
      <c r="AJ705" s="123"/>
      <c r="AK705" s="115"/>
      <c r="AL705" s="115"/>
      <c r="AM705" s="115"/>
      <c r="AN705" s="115"/>
      <c r="AO705" s="115"/>
      <c r="AP705" s="115"/>
      <c r="AQ705" s="115"/>
      <c r="AR705" s="115"/>
      <c r="AS705" s="115"/>
      <c r="AT705" s="115"/>
      <c r="AU705" s="115"/>
      <c r="AV705" s="115"/>
      <c r="AW705" s="115"/>
      <c r="AX705" s="115"/>
      <c r="AY705" s="26"/>
      <c r="AZ705" s="15"/>
      <c r="BC705" s="114"/>
    </row>
    <row r="706" spans="18:55" ht="19.5" x14ac:dyDescent="0.4">
      <c r="R706" s="115"/>
      <c r="S706" s="115"/>
      <c r="T706" s="115"/>
      <c r="U706" s="115"/>
      <c r="V706" s="115"/>
      <c r="W706" s="115"/>
      <c r="X706" s="115"/>
      <c r="Y706" s="115"/>
      <c r="Z706" s="115"/>
      <c r="AA706" s="13"/>
      <c r="AB706" s="13"/>
      <c r="AF706" s="115"/>
      <c r="AG706" s="117"/>
      <c r="AH706" s="123"/>
      <c r="AI706" s="123"/>
      <c r="AJ706" s="123"/>
      <c r="AK706" s="115"/>
      <c r="AL706" s="115"/>
      <c r="AM706" s="115"/>
      <c r="AN706" s="115"/>
      <c r="AO706" s="115"/>
      <c r="AP706" s="115"/>
      <c r="AQ706" s="115"/>
      <c r="AR706" s="115"/>
      <c r="AS706" s="115"/>
      <c r="AT706" s="115"/>
      <c r="AU706" s="115"/>
      <c r="AV706" s="115"/>
      <c r="AW706" s="115"/>
      <c r="AX706" s="115"/>
      <c r="AY706" s="26"/>
      <c r="AZ706" s="15"/>
      <c r="BC706" s="114"/>
    </row>
    <row r="707" spans="18:55" ht="19.5" x14ac:dyDescent="0.4">
      <c r="AA707" s="25"/>
      <c r="AB707" s="13"/>
      <c r="AF707" s="115"/>
      <c r="AG707" s="117"/>
      <c r="AH707" s="123"/>
      <c r="AI707" s="123"/>
      <c r="AJ707" s="123"/>
      <c r="AK707" s="115"/>
      <c r="AL707" s="115"/>
      <c r="AM707" s="115"/>
      <c r="AN707" s="115"/>
      <c r="AO707" s="115"/>
      <c r="AP707" s="115"/>
      <c r="AQ707" s="115"/>
      <c r="AR707" s="115"/>
      <c r="AS707" s="115"/>
      <c r="AT707" s="115"/>
      <c r="AU707" s="115"/>
      <c r="AV707" s="115"/>
      <c r="AW707" s="115"/>
      <c r="AX707" s="115"/>
      <c r="AY707" s="26">
        <v>45278</v>
      </c>
      <c r="AZ707" s="15" t="s">
        <v>163</v>
      </c>
      <c r="BC707" s="114"/>
    </row>
    <row r="708" spans="18:55" ht="19.5" x14ac:dyDescent="0.4">
      <c r="R708" s="115"/>
      <c r="S708" s="115"/>
      <c r="T708" s="115"/>
      <c r="U708" s="115"/>
      <c r="V708" s="115"/>
      <c r="W708" s="115"/>
      <c r="X708" s="115"/>
      <c r="Y708" s="115"/>
      <c r="Z708" s="115"/>
      <c r="AA708" s="13"/>
      <c r="AB708" s="13"/>
      <c r="AF708" s="115"/>
      <c r="AG708" s="117"/>
      <c r="AH708" s="123"/>
      <c r="AI708" s="123"/>
      <c r="AJ708" s="123"/>
      <c r="AK708" s="115"/>
      <c r="AL708" s="115"/>
      <c r="AM708" s="115"/>
      <c r="AN708" s="115"/>
      <c r="AO708" s="115"/>
      <c r="AP708" s="115"/>
      <c r="AQ708" s="115"/>
      <c r="AR708" s="115"/>
      <c r="AS708" s="115"/>
      <c r="AT708" s="115"/>
      <c r="AU708" s="115"/>
      <c r="AV708" s="115"/>
      <c r="AW708" s="115"/>
      <c r="AX708" s="115"/>
      <c r="AY708" s="26"/>
      <c r="AZ708" s="13"/>
      <c r="BC708" s="114"/>
    </row>
    <row r="709" spans="18:55" ht="19.5" x14ac:dyDescent="0.4">
      <c r="AA709" s="25"/>
      <c r="AB709" s="13"/>
      <c r="AF709" s="115"/>
      <c r="AG709" s="117"/>
      <c r="AH709" s="123"/>
      <c r="AI709" s="123"/>
      <c r="AJ709" s="123"/>
      <c r="AK709" s="115"/>
      <c r="AL709" s="115"/>
      <c r="AM709" s="115"/>
      <c r="AN709" s="115"/>
      <c r="AO709" s="115"/>
      <c r="AP709" s="115"/>
      <c r="AQ709" s="115"/>
      <c r="AR709" s="115"/>
      <c r="AS709" s="115"/>
      <c r="AT709" s="115"/>
      <c r="AU709" s="115"/>
      <c r="AV709" s="115"/>
      <c r="AW709" s="115"/>
      <c r="AX709" s="115" t="s">
        <v>153</v>
      </c>
      <c r="AY709" s="17">
        <f>SUBTOTAL(3,AY678:AY707)</f>
        <v>12</v>
      </c>
      <c r="AZ709" s="13">
        <f>SUBTOTAL(3,AZ678:AZ707)</f>
        <v>12</v>
      </c>
      <c r="BC709" s="114"/>
    </row>
    <row r="710" spans="18:55" ht="19.5" x14ac:dyDescent="0.4">
      <c r="R710" s="115"/>
      <c r="S710" s="115"/>
      <c r="T710" s="115"/>
      <c r="U710" s="115"/>
      <c r="V710" s="115"/>
      <c r="W710" s="115"/>
      <c r="X710" s="115"/>
      <c r="Y710" s="115"/>
      <c r="Z710" s="115"/>
      <c r="AA710" s="13"/>
      <c r="AB710" s="13"/>
      <c r="AF710" s="115"/>
      <c r="AG710" s="117"/>
      <c r="AH710" s="123"/>
      <c r="AI710" s="123"/>
      <c r="AJ710" s="123"/>
      <c r="AK710" s="115"/>
      <c r="AL710" s="115"/>
      <c r="AM710" s="115"/>
      <c r="AN710" s="115"/>
      <c r="AO710" s="115"/>
      <c r="AP710" s="115"/>
      <c r="AQ710" s="115"/>
      <c r="AR710" s="115"/>
      <c r="AS710" s="115"/>
      <c r="AT710" s="115"/>
      <c r="AU710" s="115"/>
      <c r="AV710" s="115"/>
      <c r="AW710" s="115"/>
      <c r="AX710" s="115"/>
      <c r="AY710" s="17"/>
      <c r="AZ710" s="13"/>
      <c r="BC710" s="114"/>
    </row>
    <row r="711" spans="18:55" ht="19.5" x14ac:dyDescent="0.4">
      <c r="AA711" s="25"/>
      <c r="AB711" s="13"/>
      <c r="AF711" s="115"/>
      <c r="AG711" s="117"/>
      <c r="AH711" s="123"/>
      <c r="AI711" s="123"/>
      <c r="AJ711" s="123"/>
      <c r="AK711" s="115"/>
      <c r="AL711" s="115"/>
      <c r="AM711" s="115"/>
      <c r="AN711" s="115"/>
      <c r="AO711" s="115"/>
      <c r="AP711" s="115"/>
      <c r="AQ711" s="115"/>
      <c r="AR711" s="115"/>
      <c r="AS711" s="115"/>
      <c r="AT711" s="115"/>
      <c r="AU711" s="115"/>
      <c r="AV711" s="115"/>
      <c r="AW711" s="115"/>
      <c r="AX711" s="115"/>
      <c r="AY711" s="26">
        <v>45279</v>
      </c>
      <c r="AZ711" s="25" t="s">
        <v>162</v>
      </c>
      <c r="BC711" s="114"/>
    </row>
    <row r="712" spans="18:55" ht="19.5" x14ac:dyDescent="0.4">
      <c r="AA712" s="25"/>
      <c r="AB712" s="13"/>
      <c r="AF712" s="115"/>
      <c r="AG712" s="117"/>
      <c r="AH712" s="123"/>
      <c r="AI712" s="123"/>
      <c r="AJ712" s="123"/>
      <c r="AK712" s="115"/>
      <c r="AL712" s="115"/>
      <c r="AM712" s="115"/>
      <c r="AN712" s="115"/>
      <c r="AO712" s="115"/>
      <c r="AP712" s="115"/>
      <c r="AQ712" s="115"/>
      <c r="AR712" s="115"/>
      <c r="AS712" s="115"/>
      <c r="AT712" s="115"/>
      <c r="AU712" s="115"/>
      <c r="AV712" s="115"/>
      <c r="AW712" s="115"/>
      <c r="AX712" s="115"/>
      <c r="AY712" s="26">
        <v>45279</v>
      </c>
      <c r="AZ712" s="13" t="s">
        <v>162</v>
      </c>
      <c r="BC712" s="114"/>
    </row>
    <row r="713" spans="18:55" ht="19.5" x14ac:dyDescent="0.4">
      <c r="R713" s="115"/>
      <c r="S713" s="115"/>
      <c r="T713" s="115"/>
      <c r="U713" s="115"/>
      <c r="V713" s="115"/>
      <c r="W713" s="115"/>
      <c r="X713" s="115"/>
      <c r="Y713" s="115"/>
      <c r="Z713" s="115"/>
      <c r="AA713" s="20"/>
      <c r="AB713" s="13"/>
      <c r="AF713" s="115"/>
      <c r="AG713" s="117"/>
      <c r="AH713" s="123"/>
      <c r="AI713" s="123"/>
      <c r="AJ713" s="123"/>
      <c r="AK713" s="115"/>
      <c r="AL713" s="115"/>
      <c r="AM713" s="115"/>
      <c r="AN713" s="115"/>
      <c r="AO713" s="115"/>
      <c r="AP713" s="115"/>
      <c r="AQ713" s="115"/>
      <c r="AR713" s="115"/>
      <c r="AS713" s="115"/>
      <c r="AT713" s="115"/>
      <c r="AU713" s="115"/>
      <c r="AV713" s="115"/>
      <c r="AW713" s="115"/>
      <c r="AX713" s="115"/>
      <c r="AY713" s="26"/>
      <c r="AZ713" s="13"/>
      <c r="BC713" s="114"/>
    </row>
    <row r="714" spans="18:55" ht="19.5" x14ac:dyDescent="0.4">
      <c r="R714" s="115"/>
      <c r="S714" s="115"/>
      <c r="T714" s="115"/>
      <c r="U714" s="115"/>
      <c r="V714" s="115"/>
      <c r="W714" s="115"/>
      <c r="X714" s="115"/>
      <c r="Y714" s="115"/>
      <c r="Z714" s="115"/>
      <c r="AA714" s="20"/>
      <c r="AB714" s="13"/>
      <c r="AF714" s="115"/>
      <c r="AG714" s="117"/>
      <c r="AH714" s="123"/>
      <c r="AI714" s="123"/>
      <c r="AJ714" s="123"/>
      <c r="AK714" s="115"/>
      <c r="AL714" s="115"/>
      <c r="AM714" s="115"/>
      <c r="AN714" s="115"/>
      <c r="AO714" s="115"/>
      <c r="AP714" s="115"/>
      <c r="AQ714" s="115"/>
      <c r="AR714" s="115"/>
      <c r="AS714" s="115"/>
      <c r="AT714" s="115"/>
      <c r="AU714" s="115"/>
      <c r="AV714" s="115"/>
      <c r="AW714" s="115"/>
      <c r="AX714" s="115"/>
      <c r="AY714" s="26"/>
      <c r="AZ714" s="13"/>
      <c r="BC714" s="114"/>
    </row>
    <row r="715" spans="18:55" ht="19.5" x14ac:dyDescent="0.4">
      <c r="AA715" s="26"/>
      <c r="AB715" s="13"/>
      <c r="AF715" s="115"/>
      <c r="AG715" s="117"/>
      <c r="AH715" s="123"/>
      <c r="AI715" s="123"/>
      <c r="AJ715" s="123"/>
      <c r="AK715" s="115"/>
      <c r="AL715" s="115"/>
      <c r="AM715" s="115"/>
      <c r="AN715" s="115"/>
      <c r="AO715" s="115"/>
      <c r="AP715" s="115"/>
      <c r="AQ715" s="115"/>
      <c r="AR715" s="115"/>
      <c r="AS715" s="115"/>
      <c r="AT715" s="115"/>
      <c r="AU715" s="115"/>
      <c r="AV715" s="115"/>
      <c r="AW715" s="115"/>
      <c r="AX715" s="115"/>
      <c r="AY715" s="26">
        <v>45279</v>
      </c>
      <c r="AZ715" s="13" t="s">
        <v>162</v>
      </c>
      <c r="BC715" s="114"/>
    </row>
    <row r="716" spans="18:55" ht="19.5" x14ac:dyDescent="0.4">
      <c r="AA716" s="26"/>
      <c r="AB716" s="13"/>
      <c r="AF716" s="115"/>
      <c r="AG716" s="117"/>
      <c r="AH716" s="123"/>
      <c r="AI716" s="123"/>
      <c r="AJ716" s="123"/>
      <c r="AK716" s="115"/>
      <c r="AL716" s="115"/>
      <c r="AM716" s="115"/>
      <c r="AN716" s="115"/>
      <c r="AO716" s="115"/>
      <c r="AP716" s="115"/>
      <c r="AQ716" s="115"/>
      <c r="AR716" s="115"/>
      <c r="AS716" s="115"/>
      <c r="AT716" s="115"/>
      <c r="AU716" s="115"/>
      <c r="AV716" s="115"/>
      <c r="AW716" s="115"/>
      <c r="AX716" s="115"/>
      <c r="AY716" s="26">
        <v>45279</v>
      </c>
      <c r="AZ716" s="13" t="s">
        <v>162</v>
      </c>
      <c r="BC716" s="114"/>
    </row>
    <row r="717" spans="18:55" ht="19.5" x14ac:dyDescent="0.4">
      <c r="AA717" s="129"/>
      <c r="AB717" s="13"/>
      <c r="AF717" s="115"/>
      <c r="AG717" s="117"/>
      <c r="AH717" s="123"/>
      <c r="AI717" s="123"/>
      <c r="AJ717" s="123"/>
      <c r="AK717" s="115"/>
      <c r="AL717" s="115"/>
      <c r="AM717" s="115"/>
      <c r="AN717" s="115"/>
      <c r="AO717" s="115"/>
      <c r="AP717" s="115"/>
      <c r="AQ717" s="115"/>
      <c r="AR717" s="115"/>
      <c r="AS717" s="115"/>
      <c r="AT717" s="115"/>
      <c r="AU717" s="115"/>
      <c r="AV717" s="115"/>
      <c r="AW717" s="115"/>
      <c r="AX717" s="115"/>
      <c r="AY717" s="26"/>
      <c r="AZ717" s="13"/>
      <c r="BC717" s="114"/>
    </row>
    <row r="718" spans="18:55" ht="19.5" x14ac:dyDescent="0.4">
      <c r="AA718" s="26"/>
      <c r="AB718" s="13"/>
      <c r="AF718" s="115"/>
      <c r="AG718" s="117"/>
      <c r="AH718" s="123"/>
      <c r="AI718" s="123"/>
      <c r="AJ718" s="123"/>
      <c r="AK718" s="115"/>
      <c r="AL718" s="115"/>
      <c r="AM718" s="115"/>
      <c r="AN718" s="115"/>
      <c r="AO718" s="115"/>
      <c r="AP718" s="115"/>
      <c r="AQ718" s="115"/>
      <c r="AR718" s="115"/>
      <c r="AS718" s="115"/>
      <c r="AT718" s="115"/>
      <c r="AU718" s="115"/>
      <c r="AV718" s="115"/>
      <c r="AW718" s="115"/>
      <c r="AX718" s="115"/>
      <c r="AY718" s="26">
        <v>45279</v>
      </c>
      <c r="AZ718" s="13" t="s">
        <v>162</v>
      </c>
      <c r="BC718" s="114"/>
    </row>
    <row r="719" spans="18:55" ht="19.5" x14ac:dyDescent="0.4">
      <c r="AA719" s="26"/>
      <c r="AB719" s="13"/>
      <c r="AF719" s="115"/>
      <c r="AG719" s="117"/>
      <c r="AH719" s="123"/>
      <c r="AI719" s="123"/>
      <c r="AJ719" s="123"/>
      <c r="AK719" s="115"/>
      <c r="AL719" s="115"/>
      <c r="AM719" s="115"/>
      <c r="AN719" s="115"/>
      <c r="AO719" s="115"/>
      <c r="AP719" s="115"/>
      <c r="AQ719" s="115"/>
      <c r="AR719" s="115"/>
      <c r="AS719" s="115"/>
      <c r="AT719" s="115"/>
      <c r="AU719" s="115"/>
      <c r="AV719" s="115"/>
      <c r="AW719" s="115"/>
      <c r="AX719" s="115"/>
      <c r="AY719" s="26">
        <v>45279</v>
      </c>
      <c r="AZ719" s="13" t="s">
        <v>162</v>
      </c>
      <c r="BC719" s="114"/>
    </row>
    <row r="720" spans="18:55" ht="19.5" x14ac:dyDescent="0.4">
      <c r="AA720" s="26"/>
      <c r="AB720" s="13"/>
      <c r="AF720" s="115"/>
      <c r="AG720" s="117"/>
      <c r="AH720" s="123"/>
      <c r="AI720" s="123"/>
      <c r="AJ720" s="123"/>
      <c r="AK720" s="115"/>
      <c r="AL720" s="115"/>
      <c r="AM720" s="115"/>
      <c r="AN720" s="115"/>
      <c r="AO720" s="115"/>
      <c r="AP720" s="115"/>
      <c r="AQ720" s="115"/>
      <c r="AR720" s="115"/>
      <c r="AS720" s="115"/>
      <c r="AT720" s="115"/>
      <c r="AU720" s="115"/>
      <c r="AV720" s="115"/>
      <c r="AW720" s="115"/>
      <c r="AX720" s="115" t="s">
        <v>170</v>
      </c>
      <c r="AY720" s="17">
        <f>SUBTOTAL(3,AY711:AY719)</f>
        <v>6</v>
      </c>
      <c r="AZ720" s="13">
        <f>SUBTOTAL(3,AZ711:AZ719)</f>
        <v>6</v>
      </c>
      <c r="BC720" s="114"/>
    </row>
    <row r="721" spans="27:55" ht="19.5" x14ac:dyDescent="0.4">
      <c r="AA721" s="129"/>
      <c r="AB721" s="13"/>
      <c r="AF721" s="115"/>
      <c r="AG721" s="117"/>
      <c r="AH721" s="123"/>
      <c r="AI721" s="123"/>
      <c r="AJ721" s="123"/>
      <c r="AK721" s="115"/>
      <c r="AL721" s="115"/>
      <c r="AM721" s="115"/>
      <c r="AN721" s="115"/>
      <c r="AO721" s="115"/>
      <c r="AP721" s="115"/>
      <c r="AQ721" s="115"/>
      <c r="AR721" s="115"/>
      <c r="AS721" s="115"/>
      <c r="AT721" s="115"/>
      <c r="AU721" s="115"/>
      <c r="AV721" s="115"/>
      <c r="AW721" s="115"/>
      <c r="AX721" s="115"/>
      <c r="AY721" s="17"/>
      <c r="AZ721" s="13"/>
      <c r="BC721" s="114"/>
    </row>
    <row r="722" spans="27:55" ht="19.5" x14ac:dyDescent="0.4">
      <c r="AA722" s="26"/>
      <c r="AB722" s="13"/>
      <c r="AF722" s="115"/>
      <c r="AG722" s="117"/>
      <c r="AH722" s="123"/>
      <c r="AI722" s="123"/>
      <c r="AJ722" s="123"/>
      <c r="AK722" s="115"/>
      <c r="AL722" s="115"/>
      <c r="AM722" s="115"/>
      <c r="AN722" s="115"/>
      <c r="AO722" s="115"/>
      <c r="AP722" s="115"/>
      <c r="AQ722" s="115"/>
      <c r="AR722" s="115"/>
      <c r="AS722" s="115"/>
      <c r="AT722" s="115"/>
      <c r="AU722" s="115"/>
      <c r="AV722" s="115"/>
      <c r="AW722" s="115"/>
      <c r="AX722" s="115"/>
      <c r="AY722" s="26">
        <v>45280</v>
      </c>
      <c r="AZ722" s="13" t="s">
        <v>162</v>
      </c>
      <c r="BC722" s="114"/>
    </row>
    <row r="723" spans="27:55" ht="19.5" x14ac:dyDescent="0.4">
      <c r="AA723" s="26"/>
      <c r="AB723" s="13"/>
      <c r="AF723" s="115"/>
      <c r="AG723" s="116"/>
      <c r="AH723" s="123"/>
      <c r="AI723" s="123"/>
      <c r="AJ723" s="123"/>
      <c r="AK723" s="115"/>
      <c r="AL723" s="115"/>
      <c r="AM723" s="115"/>
      <c r="AN723" s="115"/>
      <c r="AO723" s="115"/>
      <c r="AP723" s="115"/>
      <c r="AQ723" s="115"/>
      <c r="AR723" s="115"/>
      <c r="AS723" s="115"/>
      <c r="AT723" s="115"/>
      <c r="AU723" s="115"/>
      <c r="AV723" s="115"/>
      <c r="AW723" s="115"/>
      <c r="AX723" s="115"/>
      <c r="AY723" s="26">
        <v>45280</v>
      </c>
      <c r="AZ723" s="13" t="s">
        <v>162</v>
      </c>
      <c r="BC723" s="114"/>
    </row>
    <row r="724" spans="27:55" ht="19.5" x14ac:dyDescent="0.4">
      <c r="AA724" s="26"/>
      <c r="AB724" s="13"/>
      <c r="AF724" s="115"/>
      <c r="AG724" s="116"/>
      <c r="AH724" s="123"/>
      <c r="AI724" s="123"/>
      <c r="AJ724" s="123"/>
      <c r="AK724" s="115"/>
      <c r="AL724" s="115"/>
      <c r="AM724" s="115"/>
      <c r="AN724" s="115"/>
      <c r="AO724" s="115"/>
      <c r="AP724" s="115"/>
      <c r="AQ724" s="115"/>
      <c r="AR724" s="115"/>
      <c r="AS724" s="115"/>
      <c r="AT724" s="115"/>
      <c r="AU724" s="115"/>
      <c r="AV724" s="115"/>
      <c r="AW724" s="115"/>
      <c r="AX724" s="115"/>
      <c r="AY724" s="26">
        <v>45280</v>
      </c>
      <c r="AZ724" s="13" t="s">
        <v>162</v>
      </c>
      <c r="BC724" s="114"/>
    </row>
    <row r="725" spans="27:55" ht="19.5" x14ac:dyDescent="0.4">
      <c r="AA725" s="26"/>
      <c r="AB725" s="13"/>
      <c r="AF725" s="115"/>
      <c r="AG725" s="116"/>
      <c r="AH725" s="123"/>
      <c r="AI725" s="123"/>
      <c r="AJ725" s="123"/>
      <c r="AK725" s="115"/>
      <c r="AL725" s="115"/>
      <c r="AM725" s="115"/>
      <c r="AN725" s="115"/>
      <c r="AO725" s="115"/>
      <c r="AP725" s="115"/>
      <c r="AQ725" s="115"/>
      <c r="AR725" s="115"/>
      <c r="AS725" s="115"/>
      <c r="AT725" s="115"/>
      <c r="AU725" s="115"/>
      <c r="AV725" s="115"/>
      <c r="AW725" s="115"/>
      <c r="AX725" s="115"/>
      <c r="AY725" s="26">
        <v>45280</v>
      </c>
      <c r="AZ725" s="13" t="s">
        <v>162</v>
      </c>
      <c r="BC725" s="114"/>
    </row>
    <row r="726" spans="27:55" ht="19.5" x14ac:dyDescent="0.4">
      <c r="AA726" s="129"/>
      <c r="AB726" s="13"/>
      <c r="AF726" s="115"/>
      <c r="AG726" s="116"/>
      <c r="AH726" s="123"/>
      <c r="AI726" s="123"/>
      <c r="AJ726" s="123"/>
      <c r="AK726" s="115"/>
      <c r="AL726" s="115"/>
      <c r="AM726" s="115"/>
      <c r="AN726" s="115"/>
      <c r="AO726" s="115"/>
      <c r="AP726" s="115"/>
      <c r="AQ726" s="115"/>
      <c r="AR726" s="115"/>
      <c r="AS726" s="115"/>
      <c r="AT726" s="115"/>
      <c r="AU726" s="115"/>
      <c r="AV726" s="115"/>
      <c r="AW726" s="115"/>
      <c r="AX726" s="115"/>
      <c r="AY726" s="26"/>
      <c r="AZ726" s="13"/>
      <c r="BC726" s="114"/>
    </row>
    <row r="727" spans="27:55" ht="19.5" x14ac:dyDescent="0.4">
      <c r="AA727" s="26"/>
      <c r="AB727" s="13"/>
      <c r="AF727" s="115"/>
      <c r="AG727" s="116"/>
      <c r="AH727" s="123"/>
      <c r="AI727" s="123"/>
      <c r="AJ727" s="123"/>
      <c r="AK727" s="115"/>
      <c r="AL727" s="115"/>
      <c r="AM727" s="115"/>
      <c r="AN727" s="115"/>
      <c r="AO727" s="115"/>
      <c r="AP727" s="115"/>
      <c r="AQ727" s="115"/>
      <c r="AR727" s="115"/>
      <c r="AS727" s="115"/>
      <c r="AT727" s="115"/>
      <c r="AU727" s="115"/>
      <c r="AV727" s="115"/>
      <c r="AW727" s="115"/>
      <c r="AX727" s="115"/>
      <c r="AY727" s="26">
        <v>45280</v>
      </c>
      <c r="AZ727" s="13" t="s">
        <v>162</v>
      </c>
      <c r="BC727" s="114"/>
    </row>
    <row r="728" spans="27:55" ht="19.5" x14ac:dyDescent="0.4">
      <c r="AA728" s="130"/>
      <c r="AB728" s="119"/>
      <c r="AF728" s="115"/>
      <c r="AG728" s="116"/>
      <c r="AH728" s="123"/>
      <c r="AI728" s="123"/>
      <c r="AJ728" s="123"/>
      <c r="AK728" s="115"/>
      <c r="AL728" s="115"/>
      <c r="AM728" s="115"/>
      <c r="AN728" s="115"/>
      <c r="AO728" s="115"/>
      <c r="AP728" s="115"/>
      <c r="AQ728" s="115"/>
      <c r="AR728" s="115"/>
      <c r="AS728" s="115"/>
      <c r="AT728" s="115"/>
      <c r="AU728" s="115"/>
      <c r="AV728" s="115"/>
      <c r="AW728" s="115"/>
      <c r="AX728" s="115"/>
      <c r="AY728" s="26"/>
      <c r="AZ728" s="13"/>
      <c r="BC728" s="114"/>
    </row>
    <row r="729" spans="27:55" ht="19.5" x14ac:dyDescent="0.4">
      <c r="AA729" s="130"/>
      <c r="AB729" s="119"/>
      <c r="AF729" s="115"/>
      <c r="AG729" s="116"/>
      <c r="AH729" s="123"/>
      <c r="AI729" s="123"/>
      <c r="AJ729" s="123"/>
      <c r="AK729" s="115"/>
      <c r="AL729" s="115"/>
      <c r="AM729" s="115"/>
      <c r="AN729" s="115"/>
      <c r="AO729" s="115"/>
      <c r="AP729" s="115"/>
      <c r="AQ729" s="115"/>
      <c r="AR729" s="115"/>
      <c r="AS729" s="115"/>
      <c r="AT729" s="115"/>
      <c r="AU729" s="115"/>
      <c r="AV729" s="115"/>
      <c r="AW729" s="115"/>
      <c r="AX729" s="115"/>
      <c r="AY729" s="26"/>
      <c r="AZ729" s="13"/>
      <c r="BC729" s="114"/>
    </row>
    <row r="730" spans="27:55" ht="19.5" x14ac:dyDescent="0.4">
      <c r="AF730" s="115"/>
      <c r="AG730" s="116"/>
      <c r="AH730" s="123"/>
      <c r="AI730" s="123"/>
      <c r="AJ730" s="123"/>
      <c r="AK730" s="115"/>
      <c r="AL730" s="115"/>
      <c r="AM730" s="115"/>
      <c r="AN730" s="115"/>
      <c r="AO730" s="115"/>
      <c r="AP730" s="115"/>
      <c r="AQ730" s="115"/>
      <c r="AR730" s="115"/>
      <c r="AS730" s="115"/>
      <c r="AT730" s="115"/>
      <c r="AU730" s="115"/>
      <c r="AV730" s="115"/>
      <c r="AW730" s="115"/>
      <c r="AX730" s="115"/>
      <c r="AY730" s="26">
        <v>45280</v>
      </c>
      <c r="AZ730" s="13" t="s">
        <v>162</v>
      </c>
      <c r="BC730" s="114"/>
    </row>
    <row r="731" spans="27:55" ht="19.5" x14ac:dyDescent="0.4">
      <c r="AF731" s="115"/>
      <c r="AG731" s="116"/>
      <c r="AH731" s="123"/>
      <c r="AI731" s="123"/>
      <c r="AJ731" s="123"/>
      <c r="AK731" s="115"/>
      <c r="AL731" s="115"/>
      <c r="AM731" s="115"/>
      <c r="AN731" s="115"/>
      <c r="AO731" s="115"/>
      <c r="AP731" s="115"/>
      <c r="AQ731" s="115"/>
      <c r="AR731" s="115"/>
      <c r="AS731" s="115"/>
      <c r="AT731" s="115"/>
      <c r="AU731" s="115"/>
      <c r="AV731" s="115"/>
      <c r="AW731" s="115"/>
      <c r="AX731" s="115"/>
      <c r="AY731" s="26">
        <v>45280</v>
      </c>
      <c r="AZ731" s="13" t="s">
        <v>162</v>
      </c>
      <c r="BC731" s="114"/>
    </row>
    <row r="732" spans="27:55" ht="19.5" x14ac:dyDescent="0.4">
      <c r="AF732" s="115"/>
      <c r="AG732" s="116"/>
      <c r="AH732" s="123"/>
      <c r="AI732" s="123"/>
      <c r="AJ732" s="123"/>
      <c r="AK732" s="115"/>
      <c r="AL732" s="115"/>
      <c r="AM732" s="115"/>
      <c r="AN732" s="115"/>
      <c r="AO732" s="115"/>
      <c r="AP732" s="115"/>
      <c r="AQ732" s="115"/>
      <c r="AR732" s="115"/>
      <c r="AS732" s="115"/>
      <c r="AT732" s="115"/>
      <c r="AU732" s="115"/>
      <c r="AV732" s="115"/>
      <c r="AW732" s="115"/>
      <c r="AX732" s="115"/>
      <c r="AY732" s="26">
        <v>45280</v>
      </c>
      <c r="AZ732" s="13" t="s">
        <v>162</v>
      </c>
      <c r="BC732" s="114"/>
    </row>
    <row r="733" spans="27:55" ht="19.5" x14ac:dyDescent="0.4">
      <c r="AE733" s="115"/>
      <c r="AF733" s="115"/>
      <c r="AG733" s="116"/>
      <c r="AH733" s="123"/>
      <c r="AI733" s="123"/>
      <c r="AJ733" s="123"/>
      <c r="AK733" s="115"/>
      <c r="AL733" s="115"/>
      <c r="AM733" s="115"/>
      <c r="AN733" s="115"/>
      <c r="AO733" s="115"/>
      <c r="AP733" s="115"/>
      <c r="AQ733" s="115"/>
      <c r="AR733" s="115"/>
      <c r="AS733" s="115"/>
      <c r="AT733" s="115"/>
      <c r="AU733" s="115"/>
      <c r="AV733" s="115"/>
      <c r="AW733" s="115"/>
      <c r="AX733" s="115"/>
      <c r="AY733" s="26">
        <v>45280</v>
      </c>
      <c r="AZ733" s="13" t="s">
        <v>162</v>
      </c>
      <c r="BC733" s="114"/>
    </row>
    <row r="734" spans="27:55" ht="19.5" x14ac:dyDescent="0.4">
      <c r="AE734" s="115"/>
      <c r="AF734" s="115"/>
      <c r="AG734" s="116"/>
      <c r="AH734" s="123"/>
      <c r="AI734" s="123"/>
      <c r="AJ734" s="123"/>
      <c r="AK734" s="115"/>
      <c r="AL734" s="115"/>
      <c r="AM734" s="115"/>
      <c r="AN734" s="115"/>
      <c r="AO734" s="115"/>
      <c r="AP734" s="115"/>
      <c r="AQ734" s="115"/>
      <c r="AR734" s="115"/>
      <c r="AS734" s="115"/>
      <c r="AT734" s="115"/>
      <c r="AU734" s="115"/>
      <c r="AV734" s="115"/>
      <c r="AW734" s="115"/>
      <c r="AX734" s="115"/>
      <c r="AY734" s="26">
        <v>45280</v>
      </c>
      <c r="AZ734" s="13" t="s">
        <v>162</v>
      </c>
      <c r="BC734" s="114"/>
    </row>
    <row r="735" spans="27:55" ht="19.5" x14ac:dyDescent="0.4">
      <c r="AC735" s="115"/>
      <c r="AD735" s="115"/>
      <c r="AE735" s="115"/>
      <c r="AF735" s="115"/>
      <c r="AG735" s="116"/>
      <c r="AH735" s="123"/>
      <c r="AI735" s="123"/>
      <c r="AJ735" s="123"/>
      <c r="AK735" s="115"/>
      <c r="AL735" s="115"/>
      <c r="AM735" s="115"/>
      <c r="AN735" s="115"/>
      <c r="AO735" s="115"/>
      <c r="AP735" s="115"/>
      <c r="AQ735" s="115"/>
      <c r="AR735" s="115"/>
      <c r="AS735" s="115"/>
      <c r="AT735" s="115"/>
      <c r="AU735" s="115"/>
      <c r="AV735" s="115"/>
      <c r="AW735" s="115"/>
      <c r="AX735" s="115"/>
      <c r="AY735" s="26">
        <v>45280</v>
      </c>
      <c r="AZ735" s="13" t="s">
        <v>162</v>
      </c>
      <c r="BC735" s="114"/>
    </row>
    <row r="736" spans="27:55" x14ac:dyDescent="0.4">
      <c r="AC736" s="115"/>
      <c r="AD736" s="115"/>
      <c r="AE736" s="115"/>
      <c r="AF736" s="115"/>
      <c r="AG736" s="115"/>
      <c r="AH736" s="122"/>
      <c r="AI736" s="122"/>
      <c r="AJ736" s="122"/>
      <c r="AK736" s="115"/>
      <c r="AL736" s="115"/>
      <c r="AM736" s="115"/>
      <c r="AN736" s="115"/>
      <c r="AO736" s="115"/>
      <c r="AP736" s="115"/>
      <c r="AQ736" s="115"/>
      <c r="AR736" s="115"/>
      <c r="AS736" s="115"/>
      <c r="AT736" s="115"/>
      <c r="AU736" s="115"/>
      <c r="AV736" s="115"/>
      <c r="AW736" s="115"/>
      <c r="AX736" s="115"/>
      <c r="AY736" s="26">
        <v>45280</v>
      </c>
      <c r="AZ736" s="13" t="s">
        <v>162</v>
      </c>
      <c r="BC736" s="114"/>
    </row>
    <row r="737" spans="29:55" x14ac:dyDescent="0.4">
      <c r="AC737" s="115"/>
      <c r="AD737" s="115"/>
      <c r="AE737" s="115"/>
      <c r="AF737" s="115"/>
      <c r="AG737" s="115"/>
      <c r="AH737" s="122"/>
      <c r="AI737" s="122"/>
      <c r="AJ737" s="122"/>
      <c r="AK737" s="115"/>
      <c r="AL737" s="115"/>
      <c r="AM737" s="115"/>
      <c r="AN737" s="115"/>
      <c r="AO737" s="115"/>
      <c r="AP737" s="115"/>
      <c r="AQ737" s="115"/>
      <c r="AR737" s="115"/>
      <c r="AS737" s="115"/>
      <c r="AT737" s="115"/>
      <c r="AU737" s="115"/>
      <c r="AV737" s="115"/>
      <c r="AW737" s="115"/>
      <c r="AX737" s="115"/>
      <c r="AY737" s="26">
        <v>45280</v>
      </c>
      <c r="AZ737" s="13" t="s">
        <v>162</v>
      </c>
      <c r="BC737" s="114"/>
    </row>
    <row r="738" spans="29:55" x14ac:dyDescent="0.4">
      <c r="AC738" s="115"/>
      <c r="AD738" s="115"/>
      <c r="AE738" s="115"/>
      <c r="AF738" s="115"/>
      <c r="AG738" s="115"/>
      <c r="AH738" s="122"/>
      <c r="AI738" s="122"/>
      <c r="AJ738" s="122"/>
      <c r="AK738" s="115"/>
      <c r="AL738" s="115"/>
      <c r="AM738" s="115"/>
      <c r="AN738" s="115"/>
      <c r="AO738" s="115"/>
      <c r="AP738" s="115"/>
      <c r="AQ738" s="115"/>
      <c r="AR738" s="115"/>
      <c r="AS738" s="115"/>
      <c r="AT738" s="115"/>
      <c r="AU738" s="115"/>
      <c r="AV738" s="115"/>
      <c r="AW738" s="115"/>
      <c r="AX738" s="115" t="s">
        <v>171</v>
      </c>
      <c r="AY738" s="17">
        <f>SUBTOTAL(3,AY722:AY737)</f>
        <v>13</v>
      </c>
      <c r="AZ738" s="13">
        <f>SUBTOTAL(3,AZ722:AZ737)</f>
        <v>13</v>
      </c>
      <c r="BC738" s="114"/>
    </row>
    <row r="739" spans="29:55" x14ac:dyDescent="0.4">
      <c r="AC739" s="115"/>
      <c r="AD739" s="115"/>
      <c r="AE739" s="115"/>
      <c r="AF739" s="115"/>
      <c r="AG739" s="115"/>
      <c r="AH739" s="122"/>
      <c r="AI739" s="122"/>
      <c r="AJ739" s="122"/>
      <c r="AK739" s="115"/>
      <c r="AL739" s="115"/>
      <c r="AM739" s="115"/>
      <c r="AN739" s="115"/>
      <c r="AO739" s="115"/>
      <c r="AP739" s="115"/>
      <c r="AQ739" s="115"/>
      <c r="AR739" s="115"/>
      <c r="AS739" s="115"/>
      <c r="AT739" s="115"/>
      <c r="AU739" s="115"/>
      <c r="AV739" s="115"/>
      <c r="AW739" s="115"/>
      <c r="AX739" s="115"/>
      <c r="AY739" s="26">
        <v>45283</v>
      </c>
      <c r="AZ739" s="13" t="s">
        <v>162</v>
      </c>
      <c r="BC739" s="114"/>
    </row>
    <row r="740" spans="29:55" x14ac:dyDescent="0.4">
      <c r="AC740" s="115"/>
      <c r="AD740" s="115"/>
      <c r="AE740" s="115"/>
      <c r="AF740" s="115"/>
      <c r="AG740" s="115"/>
      <c r="AH740" s="122"/>
      <c r="AI740" s="122"/>
      <c r="AJ740" s="122"/>
      <c r="AK740" s="115"/>
      <c r="AL740" s="115"/>
      <c r="AM740" s="115"/>
      <c r="AN740" s="115"/>
      <c r="AO740" s="115"/>
      <c r="AP740" s="115"/>
      <c r="AQ740" s="115"/>
      <c r="AR740" s="115"/>
      <c r="AS740" s="115"/>
      <c r="AT740" s="115"/>
      <c r="AU740" s="115"/>
      <c r="AV740" s="115"/>
      <c r="AW740" s="115"/>
      <c r="AX740" s="115"/>
      <c r="AY740" s="26">
        <v>45283</v>
      </c>
      <c r="AZ740" s="13" t="s">
        <v>162</v>
      </c>
      <c r="BC740" s="114"/>
    </row>
    <row r="741" spans="29:55" x14ac:dyDescent="0.4">
      <c r="AC741" s="115"/>
      <c r="AD741" s="115"/>
      <c r="AE741" s="115"/>
      <c r="AF741" s="115"/>
      <c r="AG741" s="115"/>
      <c r="AH741" s="122"/>
      <c r="AI741" s="122"/>
      <c r="AJ741" s="122"/>
      <c r="AK741" s="115"/>
      <c r="AL741" s="115"/>
      <c r="AM741" s="115"/>
      <c r="AN741" s="115"/>
      <c r="AO741" s="115"/>
      <c r="AP741" s="115"/>
      <c r="AQ741" s="115"/>
      <c r="AR741" s="115"/>
      <c r="AS741" s="115"/>
      <c r="AT741" s="115"/>
      <c r="AU741" s="115"/>
      <c r="AV741" s="115"/>
      <c r="AW741" s="115"/>
      <c r="AX741" s="115"/>
      <c r="AY741" s="26">
        <v>45283</v>
      </c>
      <c r="AZ741" s="13" t="s">
        <v>162</v>
      </c>
      <c r="BC741" s="114"/>
    </row>
    <row r="742" spans="29:55" x14ac:dyDescent="0.4">
      <c r="AC742" s="115"/>
      <c r="AD742" s="115"/>
      <c r="AE742" s="115"/>
      <c r="AF742" s="115"/>
      <c r="AG742" s="115"/>
      <c r="AH742" s="122"/>
      <c r="AI742" s="122"/>
      <c r="AJ742" s="122"/>
      <c r="AK742" s="115"/>
      <c r="AL742" s="115"/>
      <c r="AM742" s="115"/>
      <c r="AN742" s="115"/>
      <c r="AO742" s="115"/>
      <c r="AP742" s="115"/>
      <c r="AQ742" s="115"/>
      <c r="AR742" s="115"/>
      <c r="AS742" s="115"/>
      <c r="AT742" s="115"/>
      <c r="AU742" s="115"/>
      <c r="AV742" s="115"/>
      <c r="AW742" s="115"/>
      <c r="AX742" s="115"/>
      <c r="AY742" s="26">
        <v>45283</v>
      </c>
      <c r="AZ742" s="13" t="s">
        <v>162</v>
      </c>
      <c r="BC742" s="114"/>
    </row>
    <row r="743" spans="29:55" x14ac:dyDescent="0.4">
      <c r="AC743" s="115"/>
      <c r="AD743" s="115"/>
      <c r="AE743" s="115"/>
      <c r="AF743" s="115"/>
      <c r="AG743" s="115"/>
      <c r="AH743" s="122"/>
      <c r="AI743" s="122"/>
      <c r="AJ743" s="122"/>
      <c r="AK743" s="115"/>
      <c r="AL743" s="115"/>
      <c r="AM743" s="115"/>
      <c r="AN743" s="115"/>
      <c r="AO743" s="115"/>
      <c r="AP743" s="115"/>
      <c r="AQ743" s="115"/>
      <c r="AR743" s="115"/>
      <c r="AS743" s="115"/>
      <c r="AT743" s="115"/>
      <c r="AU743" s="115"/>
      <c r="AV743" s="115"/>
      <c r="AW743" s="115"/>
      <c r="AX743" s="115"/>
      <c r="AY743" s="26">
        <v>45283</v>
      </c>
      <c r="AZ743" s="13" t="s">
        <v>162</v>
      </c>
      <c r="BC743" s="114"/>
    </row>
    <row r="744" spans="29:55" x14ac:dyDescent="0.4">
      <c r="AC744" s="115"/>
      <c r="AD744" s="115"/>
      <c r="AE744" s="115"/>
      <c r="AF744" s="115"/>
      <c r="AG744" s="115"/>
      <c r="AH744" s="122"/>
      <c r="AI744" s="122"/>
      <c r="AJ744" s="122"/>
      <c r="AK744" s="115"/>
      <c r="AL744" s="115"/>
      <c r="AM744" s="115"/>
      <c r="AN744" s="115"/>
      <c r="AO744" s="115"/>
      <c r="AP744" s="115"/>
      <c r="AQ744" s="115"/>
      <c r="AR744" s="115"/>
      <c r="AS744" s="115"/>
      <c r="AT744" s="115"/>
      <c r="AU744" s="115"/>
      <c r="AV744" s="115"/>
      <c r="AW744" s="115"/>
      <c r="AX744" s="115"/>
      <c r="AY744" s="26">
        <v>45283</v>
      </c>
      <c r="AZ744" s="13" t="s">
        <v>162</v>
      </c>
      <c r="BC744" s="114"/>
    </row>
    <row r="745" spans="29:55" x14ac:dyDescent="0.4">
      <c r="AC745" s="115"/>
      <c r="AD745" s="115"/>
      <c r="AE745" s="115"/>
      <c r="AF745" s="115"/>
      <c r="AG745" s="115"/>
      <c r="AH745" s="122"/>
      <c r="AI745" s="122"/>
      <c r="AJ745" s="122"/>
      <c r="AK745" s="115"/>
      <c r="AL745" s="115"/>
      <c r="AM745" s="115"/>
      <c r="AN745" s="115"/>
      <c r="AO745" s="115"/>
      <c r="AP745" s="115"/>
      <c r="AQ745" s="115"/>
      <c r="AR745" s="115"/>
      <c r="AS745" s="115"/>
      <c r="AT745" s="115"/>
      <c r="AU745" s="115"/>
      <c r="AV745" s="115"/>
      <c r="AW745" s="115"/>
      <c r="AX745" s="115"/>
      <c r="AY745" s="26">
        <v>45283</v>
      </c>
      <c r="AZ745" s="13" t="s">
        <v>162</v>
      </c>
      <c r="BC745" s="114"/>
    </row>
    <row r="746" spans="29:55" x14ac:dyDescent="0.4">
      <c r="AC746" s="115"/>
      <c r="AD746" s="115"/>
      <c r="AE746" s="115"/>
      <c r="AF746" s="115"/>
      <c r="AG746" s="115"/>
      <c r="AH746" s="122"/>
      <c r="AI746" s="122"/>
      <c r="AJ746" s="122"/>
      <c r="AK746" s="115"/>
      <c r="AL746" s="115"/>
      <c r="AM746" s="115"/>
      <c r="AN746" s="115"/>
      <c r="AO746" s="115"/>
      <c r="AP746" s="115"/>
      <c r="AQ746" s="115"/>
      <c r="AR746" s="115"/>
      <c r="AS746" s="115"/>
      <c r="AT746" s="115"/>
      <c r="AU746" s="115"/>
      <c r="AV746" s="115"/>
      <c r="AW746" s="115"/>
      <c r="AX746" s="115"/>
      <c r="AY746" s="26">
        <v>45283</v>
      </c>
      <c r="AZ746" s="13" t="s">
        <v>162</v>
      </c>
      <c r="BC746" s="114"/>
    </row>
    <row r="747" spans="29:55" x14ac:dyDescent="0.4">
      <c r="AC747" s="115"/>
      <c r="AD747" s="115"/>
      <c r="AE747" s="115"/>
      <c r="AF747" s="115"/>
      <c r="AG747" s="115"/>
      <c r="AH747" s="122"/>
      <c r="AI747" s="122"/>
      <c r="AJ747" s="122"/>
      <c r="AK747" s="115"/>
      <c r="AL747" s="115"/>
      <c r="AM747" s="115"/>
      <c r="AN747" s="115"/>
      <c r="AO747" s="115"/>
      <c r="AP747" s="115"/>
      <c r="AQ747" s="115"/>
      <c r="AR747" s="115"/>
      <c r="AS747" s="115"/>
      <c r="AT747" s="115"/>
      <c r="AU747" s="115"/>
      <c r="AV747" s="115"/>
      <c r="AW747" s="115"/>
      <c r="AX747" s="115"/>
      <c r="AY747" s="26">
        <v>45283</v>
      </c>
      <c r="AZ747" s="13" t="s">
        <v>162</v>
      </c>
      <c r="BC747" s="114"/>
    </row>
    <row r="748" spans="29:55" x14ac:dyDescent="0.4">
      <c r="AC748" s="115"/>
      <c r="AD748" s="115"/>
      <c r="AE748" s="115"/>
      <c r="AF748" s="115"/>
      <c r="AG748" s="115"/>
      <c r="AH748" s="122"/>
      <c r="AI748" s="122"/>
      <c r="AJ748" s="122"/>
      <c r="AK748" s="115"/>
      <c r="AL748" s="115"/>
      <c r="AM748" s="115"/>
      <c r="AN748" s="115"/>
      <c r="AO748" s="115"/>
      <c r="AP748" s="115"/>
      <c r="AQ748" s="115"/>
      <c r="AR748" s="115"/>
      <c r="AS748" s="115"/>
      <c r="AT748" s="115"/>
      <c r="AU748" s="115"/>
      <c r="AV748" s="115"/>
      <c r="AW748" s="115"/>
      <c r="AX748" s="115"/>
      <c r="AY748" s="26">
        <v>45283</v>
      </c>
      <c r="AZ748" s="13" t="s">
        <v>162</v>
      </c>
      <c r="BC748" s="114"/>
    </row>
    <row r="749" spans="29:55" x14ac:dyDescent="0.4">
      <c r="AC749" s="115"/>
      <c r="AD749" s="115"/>
      <c r="AE749" s="115"/>
      <c r="AF749" s="115"/>
      <c r="AG749" s="115"/>
      <c r="AH749" s="122"/>
      <c r="AI749" s="122"/>
      <c r="AJ749" s="122"/>
      <c r="AK749" s="115"/>
      <c r="AL749" s="115"/>
      <c r="AM749" s="115"/>
      <c r="AN749" s="115"/>
      <c r="AO749" s="115"/>
      <c r="AP749" s="115"/>
      <c r="AQ749" s="115"/>
      <c r="AR749" s="115"/>
      <c r="AS749" s="115"/>
      <c r="AT749" s="115"/>
      <c r="AU749" s="115"/>
      <c r="AV749" s="115"/>
      <c r="AW749" s="115"/>
      <c r="AX749" s="115"/>
      <c r="AY749" s="26">
        <v>45283</v>
      </c>
      <c r="AZ749" s="13" t="s">
        <v>163</v>
      </c>
      <c r="BC749" s="114"/>
    </row>
    <row r="750" spans="29:55" x14ac:dyDescent="0.4">
      <c r="AC750" s="115"/>
      <c r="AD750" s="115"/>
      <c r="AE750" s="115"/>
      <c r="AF750" s="115"/>
      <c r="AG750" s="115"/>
      <c r="AH750" s="122"/>
      <c r="AI750" s="122"/>
      <c r="AJ750" s="122"/>
      <c r="AK750" s="115"/>
      <c r="AL750" s="115"/>
      <c r="AM750" s="115"/>
      <c r="AN750" s="115"/>
      <c r="AO750" s="115"/>
      <c r="AP750" s="115"/>
      <c r="AQ750" s="115"/>
      <c r="AR750" s="115"/>
      <c r="AS750" s="115"/>
      <c r="AT750" s="115"/>
      <c r="AU750" s="115"/>
      <c r="AV750" s="115"/>
      <c r="AW750" s="115"/>
      <c r="AX750" s="115"/>
      <c r="AY750" s="26">
        <v>45283</v>
      </c>
      <c r="AZ750" s="13" t="s">
        <v>163</v>
      </c>
      <c r="BC750" s="114"/>
    </row>
    <row r="751" spans="29:55" x14ac:dyDescent="0.4">
      <c r="AC751" s="115"/>
      <c r="AD751" s="115"/>
      <c r="AE751" s="115"/>
      <c r="AF751" s="115"/>
      <c r="AG751" s="115"/>
      <c r="AH751" s="122"/>
      <c r="AI751" s="122"/>
      <c r="AJ751" s="122"/>
      <c r="AK751" s="115"/>
      <c r="AL751" s="115"/>
      <c r="AM751" s="115"/>
      <c r="AN751" s="115"/>
      <c r="AO751" s="115"/>
      <c r="AP751" s="115"/>
      <c r="AQ751" s="115"/>
      <c r="AR751" s="115"/>
      <c r="AS751" s="115"/>
      <c r="AT751" s="115"/>
      <c r="AU751" s="115"/>
      <c r="AV751" s="115"/>
      <c r="AW751" s="115"/>
      <c r="AX751" s="115"/>
      <c r="AY751" s="26">
        <v>45283</v>
      </c>
      <c r="AZ751" s="13" t="s">
        <v>163</v>
      </c>
      <c r="BC751" s="114"/>
    </row>
    <row r="752" spans="29:55" x14ac:dyDescent="0.4">
      <c r="AC752" s="115"/>
      <c r="AD752" s="115"/>
      <c r="AE752" s="115"/>
      <c r="AF752" s="115"/>
      <c r="AG752" s="115"/>
      <c r="AH752" s="122"/>
      <c r="AI752" s="122"/>
      <c r="AJ752" s="122"/>
      <c r="AK752" s="115"/>
      <c r="AL752" s="115"/>
      <c r="AM752" s="115"/>
      <c r="AN752" s="115"/>
      <c r="AO752" s="115"/>
      <c r="AP752" s="115"/>
      <c r="AQ752" s="115"/>
      <c r="AR752" s="115"/>
      <c r="AS752" s="115"/>
      <c r="AT752" s="115"/>
      <c r="AU752" s="115"/>
      <c r="AV752" s="115"/>
      <c r="AW752" s="115"/>
      <c r="AX752" s="115" t="s">
        <v>161</v>
      </c>
      <c r="AY752" s="17">
        <f>SUBTOTAL(3,AY739:AY751)</f>
        <v>13</v>
      </c>
      <c r="AZ752" s="13">
        <f>SUBTOTAL(3,AZ739:AZ751)</f>
        <v>13</v>
      </c>
      <c r="BC752" s="114"/>
    </row>
    <row r="753" spans="29:55" x14ac:dyDescent="0.4">
      <c r="AC753" s="115"/>
      <c r="AD753" s="115"/>
      <c r="AE753" s="115"/>
      <c r="AF753" s="115"/>
      <c r="AG753" s="115"/>
      <c r="AH753" s="122"/>
      <c r="AI753" s="122"/>
      <c r="AJ753" s="122"/>
      <c r="AK753" s="115"/>
      <c r="AL753" s="115"/>
      <c r="AM753" s="115"/>
      <c r="AN753" s="115"/>
      <c r="AO753" s="115"/>
      <c r="AP753" s="115"/>
      <c r="AQ753" s="115"/>
      <c r="AR753" s="115"/>
      <c r="AS753" s="115"/>
      <c r="AT753" s="115"/>
      <c r="AU753" s="115"/>
      <c r="AV753" s="115"/>
      <c r="AW753" s="115"/>
      <c r="AX753" s="115"/>
      <c r="AY753" s="26">
        <v>45285</v>
      </c>
      <c r="AZ753" s="13" t="s">
        <v>163</v>
      </c>
      <c r="BC753" s="114"/>
    </row>
    <row r="754" spans="29:55" x14ac:dyDescent="0.4">
      <c r="AC754" s="115"/>
      <c r="AD754" s="115"/>
      <c r="AE754" s="115"/>
      <c r="AF754" s="115"/>
      <c r="AG754" s="115"/>
      <c r="AH754" s="122"/>
      <c r="AI754" s="122"/>
      <c r="AJ754" s="122"/>
      <c r="AK754" s="115"/>
      <c r="AL754" s="115"/>
      <c r="AM754" s="115"/>
      <c r="AN754" s="115"/>
      <c r="AO754" s="115"/>
      <c r="AP754" s="115"/>
      <c r="AQ754" s="115"/>
      <c r="AR754" s="115"/>
      <c r="AS754" s="115"/>
      <c r="AT754" s="115"/>
      <c r="AU754" s="115"/>
      <c r="AV754" s="115"/>
      <c r="AW754" s="115"/>
      <c r="AX754" s="115" t="s">
        <v>172</v>
      </c>
      <c r="AY754" s="17">
        <f>SUBTOTAL(3,AY753:AY753)</f>
        <v>1</v>
      </c>
      <c r="AZ754" s="13">
        <f>SUBTOTAL(3,AZ753:AZ753)</f>
        <v>1</v>
      </c>
      <c r="BC754" s="114"/>
    </row>
    <row r="755" spans="29:55" x14ac:dyDescent="0.4">
      <c r="AC755" s="115"/>
      <c r="AD755" s="115"/>
      <c r="AE755" s="115"/>
      <c r="AF755" s="115"/>
      <c r="AG755" s="115"/>
      <c r="AH755" s="122"/>
      <c r="AI755" s="122"/>
      <c r="AJ755" s="122"/>
      <c r="AK755" s="115"/>
      <c r="AL755" s="115"/>
      <c r="AM755" s="115"/>
      <c r="AN755" s="115"/>
      <c r="AO755" s="115"/>
      <c r="AP755" s="115"/>
      <c r="AQ755" s="115"/>
      <c r="AR755" s="115"/>
      <c r="AS755" s="115"/>
      <c r="AT755" s="115"/>
      <c r="AU755" s="115"/>
      <c r="AV755" s="115"/>
      <c r="AW755" s="115"/>
      <c r="AX755" s="115"/>
      <c r="AY755" s="26">
        <v>45299</v>
      </c>
      <c r="AZ755" s="13" t="s">
        <v>164</v>
      </c>
      <c r="BC755" s="114"/>
    </row>
    <row r="756" spans="29:55" x14ac:dyDescent="0.4">
      <c r="AC756" s="115"/>
      <c r="AD756" s="115"/>
      <c r="AE756" s="115"/>
      <c r="AF756" s="115"/>
      <c r="AG756" s="115"/>
      <c r="AH756" s="122"/>
      <c r="AI756" s="122"/>
      <c r="AJ756" s="122"/>
      <c r="AK756" s="115"/>
      <c r="AL756" s="115"/>
      <c r="AM756" s="115"/>
      <c r="AN756" s="115"/>
      <c r="AO756" s="115"/>
      <c r="AP756" s="115"/>
      <c r="AQ756" s="115"/>
      <c r="AR756" s="115"/>
      <c r="AS756" s="115"/>
      <c r="AT756" s="115"/>
      <c r="AU756" s="115"/>
      <c r="AV756" s="115"/>
      <c r="AW756" s="115"/>
      <c r="AX756" s="115"/>
      <c r="AY756" s="26">
        <v>45299</v>
      </c>
      <c r="AZ756" s="13" t="s">
        <v>162</v>
      </c>
      <c r="BC756" s="114"/>
    </row>
    <row r="757" spans="29:55" x14ac:dyDescent="0.4">
      <c r="AC757" s="115"/>
      <c r="AD757" s="115"/>
      <c r="AE757" s="115"/>
      <c r="AF757" s="115"/>
      <c r="AG757" s="115"/>
      <c r="AH757" s="122"/>
      <c r="AI757" s="122"/>
      <c r="AJ757" s="122"/>
      <c r="AK757" s="115"/>
      <c r="AL757" s="115"/>
      <c r="AM757" s="115"/>
      <c r="AN757" s="115"/>
      <c r="AO757" s="115"/>
      <c r="AP757" s="115"/>
      <c r="AQ757" s="115"/>
      <c r="AR757" s="115"/>
      <c r="AS757" s="115"/>
      <c r="AT757" s="115"/>
      <c r="AU757" s="115"/>
      <c r="AV757" s="115"/>
      <c r="AW757" s="115"/>
      <c r="AX757" s="115"/>
      <c r="AY757" s="26">
        <v>45299</v>
      </c>
      <c r="AZ757" s="13" t="s">
        <v>162</v>
      </c>
      <c r="BC757" s="114"/>
    </row>
    <row r="758" spans="29:55" x14ac:dyDescent="0.4">
      <c r="AC758" s="115"/>
      <c r="AD758" s="115"/>
      <c r="AE758" s="115"/>
      <c r="AF758" s="115"/>
      <c r="AG758" s="115"/>
      <c r="AH758" s="122"/>
      <c r="AI758" s="122"/>
      <c r="AJ758" s="122"/>
      <c r="AK758" s="115"/>
      <c r="AL758" s="115"/>
      <c r="AM758" s="115"/>
      <c r="AN758" s="115"/>
      <c r="AO758" s="115"/>
      <c r="AP758" s="115"/>
      <c r="AQ758" s="115"/>
      <c r="AR758" s="115"/>
      <c r="AS758" s="115"/>
      <c r="AT758" s="115"/>
      <c r="AU758" s="115"/>
      <c r="AV758" s="115"/>
      <c r="AW758" s="115"/>
      <c r="AX758" s="115"/>
      <c r="AY758" s="26">
        <v>45299</v>
      </c>
      <c r="AZ758" s="15" t="s">
        <v>162</v>
      </c>
      <c r="BC758" s="114"/>
    </row>
    <row r="759" spans="29:55" x14ac:dyDescent="0.4">
      <c r="AC759" s="115"/>
      <c r="AD759" s="115"/>
      <c r="AE759" s="115"/>
      <c r="AF759" s="115"/>
      <c r="AG759" s="115"/>
      <c r="AH759" s="122"/>
      <c r="AI759" s="122"/>
      <c r="AJ759" s="122"/>
      <c r="AK759" s="115"/>
      <c r="AL759" s="115"/>
      <c r="AM759" s="115"/>
      <c r="AN759" s="115"/>
      <c r="AO759" s="115"/>
      <c r="AP759" s="115"/>
      <c r="AQ759" s="115"/>
      <c r="AR759" s="115"/>
      <c r="AS759" s="115"/>
      <c r="AT759" s="115"/>
      <c r="AU759" s="115"/>
      <c r="AV759" s="115"/>
      <c r="AW759" s="115"/>
      <c r="AX759" s="115" t="s">
        <v>173</v>
      </c>
      <c r="AY759" s="17">
        <f>SUBTOTAL(3,AY755:AY758)</f>
        <v>4</v>
      </c>
      <c r="AZ759" s="13">
        <f>SUBTOTAL(3,AZ755:AZ758)</f>
        <v>4</v>
      </c>
      <c r="BC759" s="114"/>
    </row>
    <row r="760" spans="29:55" x14ac:dyDescent="0.4">
      <c r="AC760" s="115"/>
      <c r="AD760" s="115"/>
      <c r="AE760" s="115"/>
      <c r="AF760" s="115"/>
      <c r="AG760" s="115"/>
      <c r="AH760" s="122"/>
      <c r="AI760" s="122"/>
      <c r="AJ760" s="122"/>
      <c r="AK760" s="115"/>
      <c r="AL760" s="115"/>
      <c r="AM760" s="115"/>
      <c r="AN760" s="115"/>
      <c r="AO760" s="115"/>
      <c r="AP760" s="115"/>
      <c r="AQ760" s="115"/>
      <c r="AR760" s="115"/>
      <c r="AS760" s="115"/>
      <c r="AT760" s="115"/>
      <c r="AU760" s="115"/>
      <c r="AV760" s="115"/>
      <c r="AW760" s="115"/>
      <c r="AX760" s="115" t="s">
        <v>145</v>
      </c>
      <c r="AY760" s="17">
        <f>SUBTOTAL(3,AY2:AY758)</f>
        <v>136</v>
      </c>
      <c r="AZ760" s="13">
        <f>SUBTOTAL(3,AZ2:AZ758)</f>
        <v>136</v>
      </c>
      <c r="BC760" s="114"/>
    </row>
    <row r="761" spans="29:55" x14ac:dyDescent="0.4">
      <c r="AC761" s="115"/>
      <c r="AD761" s="115"/>
      <c r="AE761" s="115"/>
      <c r="AF761" s="115"/>
      <c r="AG761" s="115"/>
      <c r="AH761" s="122"/>
      <c r="AI761" s="122"/>
      <c r="AJ761" s="122"/>
      <c r="AK761" s="115"/>
      <c r="AL761" s="115"/>
      <c r="AM761" s="115"/>
      <c r="AN761" s="115"/>
      <c r="AO761" s="115"/>
      <c r="AP761" s="115"/>
      <c r="AQ761" s="115"/>
      <c r="AR761" s="115"/>
      <c r="AS761" s="115"/>
      <c r="AT761" s="115"/>
      <c r="AU761" s="115"/>
      <c r="AV761" s="115" t="s">
        <v>145</v>
      </c>
      <c r="AW761" s="115"/>
      <c r="AX761" s="115"/>
      <c r="AY761" s="26"/>
      <c r="AZ761" s="13"/>
      <c r="BC761" s="114"/>
    </row>
    <row r="762" spans="29:55" x14ac:dyDescent="0.4">
      <c r="AC762" s="115"/>
      <c r="AD762" s="115"/>
      <c r="AE762" s="115"/>
      <c r="AF762" s="115"/>
      <c r="AG762" s="115"/>
      <c r="AH762" s="122"/>
      <c r="AI762" s="122"/>
      <c r="AJ762" s="122"/>
      <c r="AK762" s="115"/>
      <c r="AL762" s="115"/>
      <c r="AM762" s="115"/>
      <c r="AN762" s="115"/>
      <c r="AO762" s="115"/>
      <c r="AP762" s="115"/>
      <c r="AQ762" s="115"/>
      <c r="AR762" s="115"/>
      <c r="AS762" s="115"/>
      <c r="AT762" s="115"/>
      <c r="AU762" s="115"/>
      <c r="AV762" s="115"/>
      <c r="AW762" s="115"/>
      <c r="AX762" s="115"/>
      <c r="AY762" s="17"/>
      <c r="AZ762" s="13"/>
      <c r="BC762" s="114"/>
    </row>
    <row r="763" spans="29:55" x14ac:dyDescent="0.4">
      <c r="AC763" s="115"/>
      <c r="AD763" s="115"/>
      <c r="AE763" s="115"/>
      <c r="AF763" s="115"/>
      <c r="AG763" s="115"/>
      <c r="AH763" s="122"/>
      <c r="AI763" s="122"/>
      <c r="AJ763" s="122"/>
      <c r="AK763" s="115"/>
      <c r="AL763" s="115"/>
      <c r="AM763" s="115"/>
      <c r="AN763" s="115"/>
      <c r="AO763" s="115"/>
      <c r="AP763" s="115"/>
      <c r="AQ763" s="115"/>
      <c r="AR763" s="115"/>
      <c r="AS763" s="115"/>
      <c r="AT763" s="115"/>
      <c r="AU763" s="115"/>
      <c r="AV763" s="115"/>
      <c r="AW763" s="115"/>
      <c r="AX763" s="115"/>
      <c r="AY763" s="26"/>
      <c r="AZ763" s="13"/>
      <c r="BC763" s="114"/>
    </row>
    <row r="764" spans="29:55" x14ac:dyDescent="0.4">
      <c r="AC764" s="115"/>
      <c r="AD764" s="115"/>
      <c r="AE764" s="115"/>
      <c r="AF764" s="115"/>
      <c r="AG764" s="115"/>
      <c r="AH764" s="122"/>
      <c r="AI764" s="122"/>
      <c r="AJ764" s="122"/>
      <c r="AK764" s="115"/>
      <c r="AL764" s="115"/>
      <c r="AM764" s="115"/>
      <c r="AN764" s="115"/>
      <c r="AO764" s="115"/>
      <c r="AP764" s="115"/>
      <c r="AQ764" s="115"/>
      <c r="AR764" s="115"/>
      <c r="AS764" s="115"/>
      <c r="AT764" s="115"/>
      <c r="AU764" s="115"/>
      <c r="AV764" s="115"/>
      <c r="AW764" s="115"/>
      <c r="AX764" s="115"/>
      <c r="AY764" s="17"/>
      <c r="AZ764" s="13"/>
      <c r="BC764" s="114"/>
    </row>
    <row r="765" spans="29:55" x14ac:dyDescent="0.4">
      <c r="AC765" s="115"/>
      <c r="AD765" s="115"/>
      <c r="AE765" s="115"/>
      <c r="AF765" s="115"/>
      <c r="AG765" s="115"/>
      <c r="AH765" s="122"/>
      <c r="AI765" s="122"/>
      <c r="AJ765" s="122"/>
      <c r="AK765" s="115"/>
      <c r="AL765" s="115"/>
      <c r="AM765" s="115"/>
      <c r="AN765" s="115"/>
      <c r="AO765" s="115"/>
      <c r="AP765" s="115"/>
      <c r="AQ765" s="115"/>
      <c r="AR765" s="115"/>
      <c r="AS765" s="115"/>
      <c r="AT765" s="115"/>
      <c r="AU765" s="115"/>
      <c r="AV765" s="115"/>
      <c r="AW765" s="115"/>
      <c r="AX765" s="115"/>
      <c r="AY765" s="26"/>
      <c r="AZ765" s="13"/>
      <c r="BC765" s="114"/>
    </row>
    <row r="766" spans="29:55" x14ac:dyDescent="0.4">
      <c r="AC766" s="115"/>
      <c r="AD766" s="115"/>
      <c r="AE766" s="115"/>
      <c r="AF766" s="115"/>
      <c r="AG766" s="115"/>
      <c r="AH766" s="122"/>
      <c r="AI766" s="122"/>
      <c r="AJ766" s="122"/>
      <c r="AK766" s="115"/>
      <c r="AL766" s="115"/>
      <c r="AM766" s="115"/>
      <c r="AN766" s="115"/>
      <c r="AO766" s="115"/>
      <c r="AP766" s="115"/>
      <c r="AQ766" s="115"/>
      <c r="AR766" s="115"/>
      <c r="AS766" s="115"/>
      <c r="AT766" s="115"/>
      <c r="AU766" s="115"/>
      <c r="AV766" s="115"/>
      <c r="AW766" s="115"/>
      <c r="AX766" s="115"/>
      <c r="AY766" s="26"/>
      <c r="AZ766" s="13"/>
      <c r="BC766" s="114"/>
    </row>
    <row r="767" spans="29:55" x14ac:dyDescent="0.4">
      <c r="AC767" s="115"/>
      <c r="AD767" s="115"/>
      <c r="AE767" s="115"/>
      <c r="AF767" s="115"/>
      <c r="AG767" s="115"/>
      <c r="AH767" s="122"/>
      <c r="AI767" s="122"/>
      <c r="AJ767" s="122"/>
      <c r="AK767" s="115"/>
      <c r="AL767" s="115"/>
      <c r="AM767" s="115"/>
      <c r="AN767" s="115"/>
      <c r="AO767" s="115"/>
      <c r="AP767" s="115"/>
      <c r="AQ767" s="115"/>
      <c r="AR767" s="115"/>
      <c r="AS767" s="115"/>
      <c r="AT767" s="115"/>
      <c r="AU767" s="115"/>
      <c r="AV767" s="115"/>
      <c r="AW767" s="115"/>
      <c r="AX767" s="115"/>
      <c r="AY767" s="26"/>
      <c r="AZ767" s="13"/>
      <c r="BC767" s="114"/>
    </row>
    <row r="768" spans="29:55" x14ac:dyDescent="0.4">
      <c r="AC768" s="115"/>
      <c r="AD768" s="115"/>
      <c r="AE768" s="115"/>
      <c r="AF768" s="115"/>
      <c r="AG768" s="115"/>
      <c r="AH768" s="122"/>
      <c r="AI768" s="122"/>
      <c r="AJ768" s="122"/>
      <c r="AK768" s="115"/>
      <c r="AL768" s="115"/>
      <c r="AM768" s="115"/>
      <c r="AN768" s="115"/>
      <c r="AO768" s="115"/>
      <c r="AP768" s="115"/>
      <c r="AQ768" s="115"/>
      <c r="AR768" s="115"/>
      <c r="AS768" s="115"/>
      <c r="AT768" s="115"/>
      <c r="AU768" s="115"/>
      <c r="AV768" s="115"/>
      <c r="AW768" s="115"/>
      <c r="AX768" s="115"/>
      <c r="AY768" s="17"/>
      <c r="AZ768" s="13"/>
      <c r="BC768" s="114"/>
    </row>
    <row r="769" spans="29:55" x14ac:dyDescent="0.4">
      <c r="AC769" s="115"/>
      <c r="AD769" s="115"/>
      <c r="AE769" s="115"/>
      <c r="AF769" s="115"/>
      <c r="AG769" s="115"/>
      <c r="AH769" s="122"/>
      <c r="AI769" s="122"/>
      <c r="AJ769" s="122"/>
      <c r="AK769" s="115"/>
      <c r="AL769" s="115"/>
      <c r="AM769" s="115"/>
      <c r="AN769" s="115"/>
      <c r="AO769" s="115"/>
      <c r="AP769" s="115"/>
      <c r="AQ769" s="115"/>
      <c r="AR769" s="115"/>
      <c r="AS769" s="115"/>
      <c r="AT769" s="115"/>
      <c r="AU769" s="115"/>
      <c r="AV769" s="115"/>
      <c r="AW769" s="115"/>
      <c r="AX769" s="115"/>
      <c r="AY769" s="26"/>
      <c r="AZ769" s="13"/>
      <c r="BC769" s="114"/>
    </row>
    <row r="770" spans="29:55" x14ac:dyDescent="0.4">
      <c r="AC770" s="115"/>
      <c r="AD770" s="115"/>
      <c r="AE770" s="115"/>
      <c r="AF770" s="115"/>
      <c r="AG770" s="115"/>
      <c r="AH770" s="122"/>
      <c r="AI770" s="122"/>
      <c r="AJ770" s="122"/>
      <c r="AK770" s="115"/>
      <c r="AL770" s="115"/>
      <c r="AM770" s="115"/>
      <c r="AN770" s="115"/>
      <c r="AO770" s="115"/>
      <c r="AP770" s="115"/>
      <c r="AQ770" s="115"/>
      <c r="AR770" s="115"/>
      <c r="AS770" s="115"/>
      <c r="AT770" s="115"/>
      <c r="AU770" s="115"/>
      <c r="AV770" s="115"/>
      <c r="AW770" s="115"/>
      <c r="AX770" s="115"/>
      <c r="AY770" s="17"/>
      <c r="AZ770" s="13"/>
      <c r="BC770" s="114"/>
    </row>
    <row r="771" spans="29:55" x14ac:dyDescent="0.4">
      <c r="AC771" s="115"/>
      <c r="AD771" s="115"/>
      <c r="AE771" s="115"/>
      <c r="AF771" s="115"/>
      <c r="AG771" s="115"/>
      <c r="AH771" s="122"/>
      <c r="AI771" s="122"/>
      <c r="AJ771" s="122"/>
      <c r="AK771" s="115"/>
      <c r="AL771" s="115"/>
      <c r="AM771" s="115"/>
      <c r="AN771" s="115"/>
      <c r="AO771" s="115"/>
      <c r="AP771" s="115"/>
      <c r="AQ771" s="115"/>
      <c r="AR771" s="115"/>
      <c r="AS771" s="115"/>
      <c r="AT771" s="115"/>
      <c r="AU771" s="115"/>
      <c r="AV771" s="115"/>
      <c r="AW771" s="115"/>
      <c r="AX771" s="115"/>
      <c r="AY771" s="26"/>
      <c r="AZ771" s="13"/>
      <c r="BC771" s="114"/>
    </row>
    <row r="772" spans="29:55" x14ac:dyDescent="0.4">
      <c r="AC772" s="115"/>
      <c r="AD772" s="115"/>
      <c r="AE772" s="115"/>
      <c r="AF772" s="115"/>
      <c r="AG772" s="115"/>
      <c r="AH772" s="122"/>
      <c r="AI772" s="122"/>
      <c r="AJ772" s="122"/>
      <c r="AK772" s="115"/>
      <c r="AL772" s="115"/>
      <c r="AM772" s="115"/>
      <c r="AN772" s="115"/>
      <c r="AO772" s="115"/>
      <c r="AP772" s="115"/>
      <c r="AQ772" s="115"/>
      <c r="AR772" s="115"/>
      <c r="AS772" s="115"/>
      <c r="AT772" s="115"/>
      <c r="AU772" s="115"/>
      <c r="AV772" s="115"/>
      <c r="AW772" s="115"/>
      <c r="AX772" s="115"/>
      <c r="AY772" s="17"/>
      <c r="AZ772" s="13"/>
      <c r="BC772" s="114"/>
    </row>
    <row r="773" spans="29:55" x14ac:dyDescent="0.4">
      <c r="AC773" s="115"/>
      <c r="AD773" s="115"/>
      <c r="AE773" s="115"/>
      <c r="AF773" s="115"/>
      <c r="AG773" s="115"/>
      <c r="AH773" s="122"/>
      <c r="AI773" s="122"/>
      <c r="AJ773" s="122"/>
      <c r="AK773" s="115"/>
      <c r="AL773" s="115"/>
      <c r="AM773" s="115"/>
      <c r="AN773" s="115"/>
      <c r="AO773" s="115"/>
      <c r="AP773" s="115"/>
      <c r="AQ773" s="115"/>
      <c r="AR773" s="115"/>
      <c r="AS773" s="115"/>
      <c r="AT773" s="115"/>
      <c r="AU773" s="115"/>
      <c r="AV773" s="115"/>
      <c r="AW773" s="115"/>
      <c r="AX773" s="115"/>
      <c r="AY773" s="17"/>
      <c r="AZ773" s="13"/>
      <c r="BC773" s="114"/>
    </row>
    <row r="774" spans="29:55" x14ac:dyDescent="0.4">
      <c r="AC774" s="115"/>
      <c r="AD774" s="115"/>
      <c r="AE774" s="115"/>
      <c r="AF774" s="115"/>
      <c r="AG774" s="115"/>
      <c r="AH774" s="122"/>
      <c r="AI774" s="122"/>
      <c r="AJ774" s="122"/>
      <c r="AK774" s="115"/>
      <c r="AL774" s="115"/>
      <c r="AM774" s="115"/>
      <c r="AN774" s="115"/>
      <c r="AO774" s="115"/>
      <c r="AP774" s="115"/>
      <c r="AQ774" s="115"/>
      <c r="AR774" s="115"/>
      <c r="AS774" s="115"/>
      <c r="AT774" s="115"/>
      <c r="AU774" s="115"/>
      <c r="AV774" s="115"/>
      <c r="AW774" s="115"/>
      <c r="AX774" s="115"/>
      <c r="AY774" s="17"/>
      <c r="AZ774" s="13"/>
      <c r="BC774" s="114"/>
    </row>
    <row r="775" spans="29:55" x14ac:dyDescent="0.4">
      <c r="AC775" s="115"/>
      <c r="AD775" s="115"/>
      <c r="AE775" s="115"/>
      <c r="AF775" s="115"/>
      <c r="AG775" s="115"/>
      <c r="AH775" s="122"/>
      <c r="AI775" s="122"/>
      <c r="AJ775" s="122"/>
      <c r="AK775" s="115"/>
      <c r="AL775" s="115"/>
      <c r="AM775" s="115"/>
      <c r="AN775" s="115"/>
      <c r="AO775" s="115"/>
      <c r="AP775" s="115"/>
      <c r="AQ775" s="115"/>
      <c r="AR775" s="115"/>
      <c r="AS775" s="115"/>
      <c r="AT775" s="115"/>
      <c r="AU775" s="115"/>
      <c r="AV775" s="115"/>
      <c r="AW775" s="115"/>
      <c r="AX775" s="115"/>
      <c r="AY775" s="26"/>
      <c r="AZ775" s="13"/>
      <c r="BC775" s="114"/>
    </row>
    <row r="776" spans="29:55" x14ac:dyDescent="0.4">
      <c r="AC776" s="115"/>
      <c r="AD776" s="115"/>
      <c r="AE776" s="115"/>
      <c r="AF776" s="115"/>
      <c r="AG776" s="115"/>
      <c r="AH776" s="122"/>
      <c r="AI776" s="122"/>
      <c r="AJ776" s="122"/>
      <c r="AK776" s="115"/>
      <c r="AL776" s="115"/>
      <c r="AM776" s="115"/>
      <c r="AN776" s="115"/>
      <c r="AO776" s="115"/>
      <c r="AP776" s="115"/>
      <c r="AQ776" s="115"/>
      <c r="AR776" s="115"/>
      <c r="AS776" s="115"/>
      <c r="AT776" s="115"/>
      <c r="AU776" s="115"/>
      <c r="AV776" s="115"/>
      <c r="AW776" s="115"/>
      <c r="AX776" s="115"/>
      <c r="AY776" s="17"/>
      <c r="AZ776" s="13"/>
      <c r="BC776" s="114"/>
    </row>
    <row r="777" spans="29:55" x14ac:dyDescent="0.4">
      <c r="AC777" s="115"/>
      <c r="AD777" s="115"/>
      <c r="AE777" s="115"/>
      <c r="AF777" s="115"/>
      <c r="AG777" s="115"/>
      <c r="AH777" s="122"/>
      <c r="AI777" s="122"/>
      <c r="AJ777" s="122"/>
      <c r="AK777" s="115"/>
      <c r="AL777" s="115"/>
      <c r="AM777" s="115"/>
      <c r="AN777" s="115"/>
      <c r="AO777" s="115"/>
      <c r="AP777" s="115"/>
      <c r="AQ777" s="115"/>
      <c r="AR777" s="115"/>
      <c r="AS777" s="115"/>
      <c r="AT777" s="115"/>
      <c r="AU777" s="115"/>
      <c r="AV777" s="115"/>
      <c r="AW777" s="115"/>
      <c r="AX777" s="115"/>
      <c r="AY777" s="26"/>
      <c r="AZ777" s="13"/>
      <c r="BC777" s="114"/>
    </row>
    <row r="778" spans="29:55" x14ac:dyDescent="0.4">
      <c r="AC778" s="115"/>
      <c r="AD778" s="115"/>
      <c r="AE778" s="115"/>
      <c r="AF778" s="115"/>
      <c r="AG778" s="115"/>
      <c r="AH778" s="122"/>
      <c r="AI778" s="122"/>
      <c r="AJ778" s="122"/>
      <c r="AK778" s="115"/>
      <c r="AL778" s="115"/>
      <c r="AM778" s="115"/>
      <c r="AN778" s="115"/>
      <c r="AO778" s="115"/>
      <c r="AP778" s="115"/>
      <c r="AQ778" s="115"/>
      <c r="AR778" s="115"/>
      <c r="AS778" s="115"/>
      <c r="AT778" s="115"/>
      <c r="AU778" s="115"/>
      <c r="AV778" s="115"/>
      <c r="AW778" s="115"/>
      <c r="AX778" s="115"/>
      <c r="AY778" s="17"/>
      <c r="AZ778" s="13"/>
      <c r="BC778" s="114"/>
    </row>
    <row r="779" spans="29:55" x14ac:dyDescent="0.4">
      <c r="AC779" s="115"/>
      <c r="AD779" s="115"/>
      <c r="AE779" s="115"/>
      <c r="AF779" s="115"/>
      <c r="AG779" s="115"/>
      <c r="AH779" s="122"/>
      <c r="AI779" s="122"/>
      <c r="AJ779" s="122"/>
      <c r="AK779" s="115"/>
      <c r="AL779" s="115"/>
      <c r="AM779" s="115"/>
      <c r="AN779" s="115"/>
      <c r="AO779" s="115"/>
      <c r="AP779" s="115"/>
      <c r="AQ779" s="115"/>
      <c r="AR779" s="115"/>
      <c r="AS779" s="115"/>
      <c r="AT779" s="115"/>
      <c r="AU779" s="115"/>
      <c r="AV779" s="115"/>
      <c r="AW779" s="115"/>
      <c r="AX779" s="115"/>
      <c r="AY779" s="26"/>
      <c r="AZ779" s="25"/>
      <c r="BC779" s="114"/>
    </row>
    <row r="780" spans="29:55" x14ac:dyDescent="0.4">
      <c r="AC780" s="115"/>
      <c r="AD780" s="115"/>
      <c r="AE780" s="115"/>
      <c r="AF780" s="115"/>
      <c r="AG780" s="115"/>
      <c r="AH780" s="122"/>
      <c r="AI780" s="122"/>
      <c r="AJ780" s="122"/>
      <c r="AK780" s="115"/>
      <c r="AL780" s="115"/>
      <c r="AM780" s="115"/>
      <c r="AN780" s="115"/>
      <c r="AO780" s="115"/>
      <c r="AP780" s="115"/>
      <c r="AQ780" s="115"/>
      <c r="AR780" s="115"/>
      <c r="AS780" s="115"/>
      <c r="AT780" s="115"/>
      <c r="AU780" s="115"/>
      <c r="AV780" s="115"/>
      <c r="AW780" s="115"/>
      <c r="AX780" s="115"/>
      <c r="AY780" s="17"/>
      <c r="AZ780" s="13"/>
      <c r="BC780" s="114"/>
    </row>
    <row r="781" spans="29:55" x14ac:dyDescent="0.4">
      <c r="AC781" s="115"/>
      <c r="AD781" s="115"/>
      <c r="AE781" s="115"/>
      <c r="AF781" s="115"/>
      <c r="AG781" s="115"/>
      <c r="AH781" s="122"/>
      <c r="AI781" s="122"/>
      <c r="AJ781" s="122"/>
      <c r="AK781" s="115"/>
      <c r="AL781" s="115"/>
      <c r="AM781" s="115"/>
      <c r="AN781" s="115"/>
      <c r="AO781" s="115"/>
      <c r="AP781" s="115"/>
      <c r="AQ781" s="115"/>
      <c r="AR781" s="115"/>
      <c r="AS781" s="115"/>
      <c r="AT781" s="115"/>
      <c r="AU781" s="115"/>
      <c r="AV781" s="115"/>
      <c r="AW781" s="115"/>
      <c r="AX781" s="115"/>
      <c r="AY781" s="17"/>
      <c r="AZ781" s="13"/>
      <c r="BC781" s="114"/>
    </row>
    <row r="782" spans="29:55" x14ac:dyDescent="0.4">
      <c r="AC782" s="115"/>
      <c r="AD782" s="115"/>
      <c r="AE782" s="115"/>
      <c r="AF782" s="115"/>
      <c r="AG782" s="115"/>
      <c r="AH782" s="122"/>
      <c r="AI782" s="122"/>
      <c r="AJ782" s="122"/>
      <c r="AK782" s="115"/>
      <c r="AL782" s="115"/>
      <c r="AM782" s="115"/>
      <c r="AN782" s="115"/>
      <c r="AO782" s="115"/>
      <c r="AP782" s="115"/>
      <c r="AQ782" s="115"/>
      <c r="AR782" s="115"/>
      <c r="AS782" s="115"/>
      <c r="AT782" s="115"/>
      <c r="AU782" s="115"/>
      <c r="AV782" s="115"/>
      <c r="AW782" s="115"/>
      <c r="AX782" s="115"/>
      <c r="AY782" s="26"/>
      <c r="AZ782" s="15"/>
      <c r="BC782" s="114"/>
    </row>
    <row r="783" spans="29:55" x14ac:dyDescent="0.4">
      <c r="AC783" s="115"/>
      <c r="AD783" s="115"/>
      <c r="AE783" s="115"/>
      <c r="AF783" s="115"/>
      <c r="AG783" s="115"/>
      <c r="AH783" s="122"/>
      <c r="AI783" s="122"/>
      <c r="AJ783" s="122"/>
      <c r="AK783" s="115"/>
      <c r="AL783" s="115"/>
      <c r="AM783" s="115"/>
      <c r="AN783" s="115"/>
      <c r="AO783" s="115"/>
      <c r="AP783" s="115"/>
      <c r="AQ783" s="115"/>
      <c r="AR783" s="115"/>
      <c r="AS783" s="115"/>
      <c r="AT783" s="115"/>
      <c r="AU783" s="115"/>
      <c r="AV783" s="115"/>
      <c r="AW783" s="115"/>
      <c r="AX783" s="115"/>
      <c r="AY783" s="26"/>
      <c r="AZ783" s="15"/>
      <c r="BC783" s="114"/>
    </row>
    <row r="784" spans="29:55" x14ac:dyDescent="0.4">
      <c r="AC784" s="115"/>
      <c r="AD784" s="115"/>
      <c r="AE784" s="115"/>
      <c r="AF784" s="115"/>
      <c r="AG784" s="115"/>
      <c r="AH784" s="122"/>
      <c r="AI784" s="122"/>
      <c r="AJ784" s="122"/>
      <c r="AK784" s="115"/>
      <c r="AL784" s="115"/>
      <c r="AM784" s="115"/>
      <c r="AN784" s="115"/>
      <c r="AO784" s="115"/>
      <c r="AP784" s="115"/>
      <c r="AQ784" s="115"/>
      <c r="AR784" s="115"/>
      <c r="AS784" s="115"/>
      <c r="AT784" s="115"/>
      <c r="AU784" s="115"/>
      <c r="AV784" s="115"/>
      <c r="AW784" s="115"/>
      <c r="AX784" s="115"/>
      <c r="AY784" s="26"/>
      <c r="AZ784" s="15"/>
      <c r="BC784" s="114"/>
    </row>
    <row r="785" spans="29:55" x14ac:dyDescent="0.4">
      <c r="AC785" s="115"/>
      <c r="AD785" s="115"/>
      <c r="AE785" s="115"/>
      <c r="AF785" s="115"/>
      <c r="AG785" s="115"/>
      <c r="AH785" s="122"/>
      <c r="AI785" s="122"/>
      <c r="AJ785" s="122"/>
      <c r="AK785" s="115"/>
      <c r="AL785" s="115"/>
      <c r="AM785" s="115"/>
      <c r="AN785" s="115"/>
      <c r="AO785" s="115"/>
      <c r="AP785" s="115"/>
      <c r="AQ785" s="115"/>
      <c r="AR785" s="115"/>
      <c r="AS785" s="115"/>
      <c r="AT785" s="115"/>
      <c r="AU785" s="115"/>
      <c r="AV785" s="115"/>
      <c r="AW785" s="115"/>
      <c r="AX785" s="115"/>
      <c r="AY785" s="26"/>
      <c r="AZ785" s="15"/>
      <c r="BC785" s="114"/>
    </row>
    <row r="786" spans="29:55" x14ac:dyDescent="0.4">
      <c r="AC786" s="115"/>
      <c r="AD786" s="115"/>
      <c r="AE786" s="115"/>
      <c r="AF786" s="115"/>
      <c r="AG786" s="115"/>
      <c r="AH786" s="122"/>
      <c r="AI786" s="122"/>
      <c r="AJ786" s="122"/>
      <c r="AK786" s="115"/>
      <c r="AL786" s="115"/>
      <c r="AM786" s="115"/>
      <c r="AN786" s="115"/>
      <c r="AO786" s="115"/>
      <c r="AP786" s="115"/>
      <c r="AQ786" s="115"/>
      <c r="AR786" s="115"/>
      <c r="AS786" s="115"/>
      <c r="AT786" s="115"/>
      <c r="AU786" s="115"/>
      <c r="AV786" s="115"/>
      <c r="AW786" s="115"/>
      <c r="AX786" s="115"/>
      <c r="AY786" s="26"/>
      <c r="AZ786" s="15"/>
      <c r="BC786" s="114"/>
    </row>
    <row r="787" spans="29:55" x14ac:dyDescent="0.4">
      <c r="AC787" s="115"/>
      <c r="AD787" s="115"/>
      <c r="AE787" s="115"/>
      <c r="AF787" s="115"/>
      <c r="AG787" s="115"/>
      <c r="AH787" s="122"/>
      <c r="AI787" s="122"/>
      <c r="AJ787" s="122"/>
      <c r="AK787" s="115"/>
      <c r="AL787" s="115"/>
      <c r="AM787" s="115"/>
      <c r="AN787" s="115"/>
      <c r="AO787" s="115"/>
      <c r="AP787" s="115"/>
      <c r="AQ787" s="115"/>
      <c r="AR787" s="115"/>
      <c r="AS787" s="115"/>
      <c r="AT787" s="115"/>
      <c r="AU787" s="115"/>
      <c r="AV787" s="115"/>
      <c r="AW787" s="115"/>
      <c r="AX787" s="115"/>
      <c r="AY787" s="26"/>
      <c r="AZ787" s="15"/>
      <c r="BC787" s="114"/>
    </row>
    <row r="788" spans="29:55" x14ac:dyDescent="0.4">
      <c r="AC788" s="115"/>
      <c r="AD788" s="115"/>
      <c r="AE788" s="115"/>
      <c r="AF788" s="115"/>
      <c r="AG788" s="115"/>
      <c r="AH788" s="122"/>
      <c r="AI788" s="122"/>
      <c r="AJ788" s="122"/>
      <c r="AK788" s="115"/>
      <c r="AL788" s="115"/>
      <c r="AM788" s="115"/>
      <c r="AN788" s="115"/>
      <c r="AO788" s="115"/>
      <c r="AP788" s="115"/>
      <c r="AQ788" s="115"/>
      <c r="AR788" s="115"/>
      <c r="AS788" s="115"/>
      <c r="AT788" s="115"/>
      <c r="AU788" s="115"/>
      <c r="AV788" s="115"/>
      <c r="AW788" s="115"/>
      <c r="AX788" s="115"/>
      <c r="AY788" s="26"/>
      <c r="AZ788" s="15"/>
      <c r="BC788" s="114"/>
    </row>
    <row r="789" spans="29:55" x14ac:dyDescent="0.4">
      <c r="AC789" s="115"/>
      <c r="AD789" s="115"/>
      <c r="AE789" s="115"/>
      <c r="AF789" s="115"/>
      <c r="AG789" s="115"/>
      <c r="AH789" s="122"/>
      <c r="AI789" s="122"/>
      <c r="AJ789" s="122"/>
      <c r="AK789" s="115"/>
      <c r="AL789" s="115"/>
      <c r="AM789" s="115"/>
      <c r="AN789" s="115"/>
      <c r="AO789" s="115"/>
      <c r="AP789" s="115"/>
      <c r="AQ789" s="115"/>
      <c r="AR789" s="115"/>
      <c r="AS789" s="115"/>
      <c r="AT789" s="115"/>
      <c r="AU789" s="115"/>
      <c r="AV789" s="115"/>
      <c r="AW789" s="115"/>
      <c r="AX789" s="115"/>
      <c r="AY789" s="26"/>
      <c r="AZ789" s="15"/>
      <c r="BC789" s="114"/>
    </row>
    <row r="790" spans="29:55" x14ac:dyDescent="0.4">
      <c r="AC790" s="115"/>
      <c r="AD790" s="115"/>
      <c r="AE790" s="115"/>
      <c r="AF790" s="115"/>
      <c r="AG790" s="115"/>
      <c r="AH790" s="122"/>
      <c r="AI790" s="122"/>
      <c r="AJ790" s="122"/>
      <c r="AK790" s="115"/>
      <c r="AL790" s="115"/>
      <c r="AM790" s="115"/>
      <c r="AN790" s="115"/>
      <c r="AO790" s="115"/>
      <c r="AP790" s="115"/>
      <c r="AQ790" s="115"/>
      <c r="AR790" s="115"/>
      <c r="AS790" s="115"/>
      <c r="AT790" s="115"/>
      <c r="AU790" s="115"/>
      <c r="AV790" s="115"/>
      <c r="AW790" s="115"/>
      <c r="AX790" s="115"/>
      <c r="AY790" s="17"/>
      <c r="AZ790" s="15"/>
      <c r="BC790" s="114"/>
    </row>
    <row r="791" spans="29:55" x14ac:dyDescent="0.4">
      <c r="AC791" s="115"/>
      <c r="AD791" s="115"/>
      <c r="AE791" s="115"/>
      <c r="AF791" s="115"/>
      <c r="AG791" s="115"/>
      <c r="AH791" s="122"/>
      <c r="AI791" s="122"/>
      <c r="AJ791" s="122"/>
      <c r="AK791" s="115"/>
      <c r="AL791" s="115"/>
      <c r="AM791" s="115"/>
      <c r="AN791" s="115"/>
      <c r="AO791" s="115"/>
      <c r="AP791" s="115"/>
      <c r="AQ791" s="115"/>
      <c r="AR791" s="115"/>
      <c r="AS791" s="115"/>
      <c r="AT791" s="115"/>
      <c r="AU791" s="115"/>
      <c r="AV791" s="115"/>
      <c r="AW791" s="115"/>
      <c r="AX791" s="115"/>
      <c r="AY791" s="26"/>
      <c r="AZ791" s="15"/>
      <c r="BC791" s="114"/>
    </row>
    <row r="792" spans="29:55" x14ac:dyDescent="0.4">
      <c r="AC792" s="115"/>
      <c r="AD792" s="115"/>
      <c r="AE792" s="115"/>
      <c r="AF792" s="115"/>
      <c r="AG792" s="115"/>
      <c r="AH792" s="122"/>
      <c r="AI792" s="122"/>
      <c r="AJ792" s="122"/>
      <c r="AK792" s="115"/>
      <c r="AL792" s="115"/>
      <c r="AM792" s="115"/>
      <c r="AN792" s="115"/>
      <c r="AO792" s="115"/>
      <c r="AP792" s="115"/>
      <c r="AQ792" s="115"/>
      <c r="AR792" s="115"/>
      <c r="AS792" s="115"/>
      <c r="AT792" s="115"/>
      <c r="AU792" s="115"/>
      <c r="AV792" s="115"/>
      <c r="AW792" s="115"/>
      <c r="AX792" s="115"/>
      <c r="AY792" s="26"/>
      <c r="AZ792" s="13"/>
      <c r="BC792" s="114"/>
    </row>
    <row r="793" spans="29:55" x14ac:dyDescent="0.4">
      <c r="AC793" s="115"/>
      <c r="AD793" s="115"/>
      <c r="AE793" s="115"/>
      <c r="AF793" s="115"/>
      <c r="AG793" s="115"/>
      <c r="AH793" s="122"/>
      <c r="AI793" s="122"/>
      <c r="AJ793" s="122"/>
      <c r="AK793" s="115"/>
      <c r="AL793" s="115"/>
      <c r="AM793" s="115"/>
      <c r="AN793" s="115"/>
      <c r="AO793" s="115"/>
      <c r="AP793" s="115"/>
      <c r="AQ793" s="115"/>
      <c r="AR793" s="115"/>
      <c r="AS793" s="115"/>
      <c r="AT793" s="115"/>
      <c r="AU793" s="115"/>
      <c r="AV793" s="115"/>
      <c r="AW793" s="115"/>
      <c r="AX793" s="115"/>
      <c r="AY793" s="26"/>
      <c r="AZ793" s="13"/>
      <c r="BC793" s="114"/>
    </row>
    <row r="794" spans="29:55" x14ac:dyDescent="0.4">
      <c r="AC794" s="115"/>
      <c r="AD794" s="115"/>
      <c r="AE794" s="115"/>
      <c r="AF794" s="115"/>
      <c r="AG794" s="115"/>
      <c r="AH794" s="122"/>
      <c r="AI794" s="122"/>
      <c r="AJ794" s="122"/>
      <c r="AK794" s="115"/>
      <c r="AL794" s="115"/>
      <c r="AM794" s="115"/>
      <c r="AN794" s="115"/>
      <c r="AO794" s="115"/>
      <c r="AP794" s="115"/>
      <c r="AQ794" s="115"/>
      <c r="AR794" s="115"/>
      <c r="AS794" s="115"/>
      <c r="AT794" s="115"/>
      <c r="AU794" s="115"/>
      <c r="AV794" s="115"/>
      <c r="AW794" s="115"/>
      <c r="AX794" s="115"/>
      <c r="AY794" s="26"/>
      <c r="AZ794" s="13"/>
      <c r="BC794" s="114"/>
    </row>
    <row r="795" spans="29:55" x14ac:dyDescent="0.4">
      <c r="AC795" s="115"/>
      <c r="AD795" s="115"/>
      <c r="AE795" s="115"/>
      <c r="AF795" s="115"/>
      <c r="AG795" s="115"/>
      <c r="AH795" s="122"/>
      <c r="AI795" s="122"/>
      <c r="AJ795" s="122"/>
      <c r="AK795" s="115"/>
      <c r="AL795" s="115"/>
      <c r="AM795" s="115"/>
      <c r="AN795" s="115"/>
      <c r="AO795" s="115"/>
      <c r="AP795" s="115"/>
      <c r="AQ795" s="115"/>
      <c r="AR795" s="115"/>
      <c r="AS795" s="115"/>
      <c r="AT795" s="115"/>
      <c r="AU795" s="115"/>
      <c r="AV795" s="115"/>
      <c r="AW795" s="115"/>
      <c r="AX795" s="115"/>
      <c r="AY795" s="26"/>
      <c r="AZ795" s="13"/>
      <c r="BC795" s="114"/>
    </row>
    <row r="796" spans="29:55" x14ac:dyDescent="0.4">
      <c r="AC796" s="115"/>
      <c r="AD796" s="115"/>
      <c r="AE796" s="115"/>
      <c r="AF796" s="115"/>
      <c r="AG796" s="115"/>
      <c r="AH796" s="122"/>
      <c r="AI796" s="122"/>
      <c r="AJ796" s="122"/>
      <c r="AK796" s="115"/>
      <c r="AL796" s="115"/>
      <c r="AM796" s="115"/>
      <c r="AN796" s="115"/>
      <c r="AO796" s="115"/>
      <c r="AP796" s="115"/>
      <c r="AQ796" s="115"/>
      <c r="AR796" s="115"/>
      <c r="AS796" s="115"/>
      <c r="AT796" s="115"/>
      <c r="AU796" s="115"/>
      <c r="AV796" s="115"/>
      <c r="AW796" s="115"/>
      <c r="AX796" s="115"/>
      <c r="AY796" s="26"/>
      <c r="AZ796" s="13"/>
      <c r="BC796" s="114"/>
    </row>
    <row r="797" spans="29:55" x14ac:dyDescent="0.4">
      <c r="AC797" s="115"/>
      <c r="AD797" s="115"/>
      <c r="AE797" s="115"/>
      <c r="AF797" s="115"/>
      <c r="AG797" s="115"/>
      <c r="AH797" s="122"/>
      <c r="AI797" s="122"/>
      <c r="AJ797" s="122"/>
      <c r="AK797" s="115"/>
      <c r="AL797" s="115"/>
      <c r="AM797" s="115"/>
      <c r="AN797" s="115"/>
      <c r="AO797" s="115"/>
      <c r="AP797" s="115"/>
      <c r="AQ797" s="115"/>
      <c r="AR797" s="115"/>
      <c r="AS797" s="115"/>
      <c r="AT797" s="115"/>
      <c r="AU797" s="115"/>
      <c r="AV797" s="115"/>
      <c r="AW797" s="115"/>
      <c r="AX797" s="115"/>
      <c r="AY797" s="26"/>
      <c r="AZ797" s="13"/>
      <c r="BC797" s="114"/>
    </row>
    <row r="798" spans="29:55" x14ac:dyDescent="0.4">
      <c r="AC798" s="115"/>
      <c r="AD798" s="115"/>
      <c r="AE798" s="115"/>
      <c r="AF798" s="115"/>
      <c r="AG798" s="115"/>
      <c r="AH798" s="122"/>
      <c r="AI798" s="122"/>
      <c r="AJ798" s="122"/>
      <c r="AK798" s="115"/>
      <c r="AL798" s="115"/>
      <c r="AM798" s="115"/>
      <c r="AN798" s="115"/>
      <c r="AO798" s="115"/>
      <c r="AP798" s="115"/>
      <c r="AQ798" s="115"/>
      <c r="AR798" s="115"/>
      <c r="AS798" s="115"/>
      <c r="AT798" s="115"/>
      <c r="AU798" s="115"/>
      <c r="AV798" s="115"/>
      <c r="AW798" s="115"/>
      <c r="AX798" s="115"/>
      <c r="AY798" s="26"/>
      <c r="AZ798" s="13"/>
      <c r="BC798" s="114"/>
    </row>
    <row r="799" spans="29:55" x14ac:dyDescent="0.4">
      <c r="AC799" s="115"/>
      <c r="AD799" s="115"/>
      <c r="AE799" s="115"/>
      <c r="AF799" s="115"/>
      <c r="AG799" s="115"/>
      <c r="AH799" s="122"/>
      <c r="AI799" s="122"/>
      <c r="AJ799" s="122"/>
      <c r="AK799" s="115"/>
      <c r="AL799" s="115"/>
      <c r="AM799" s="115"/>
      <c r="AN799" s="115"/>
      <c r="AO799" s="115"/>
      <c r="AP799" s="115"/>
      <c r="AQ799" s="115"/>
      <c r="AR799" s="115"/>
      <c r="AS799" s="115"/>
      <c r="AT799" s="115"/>
      <c r="AU799" s="115"/>
      <c r="AV799" s="115"/>
      <c r="AW799" s="115"/>
      <c r="AX799" s="115"/>
      <c r="AY799" s="26"/>
      <c r="AZ799" s="13"/>
      <c r="BC799" s="114"/>
    </row>
    <row r="800" spans="29:55" x14ac:dyDescent="0.4">
      <c r="AC800" s="115"/>
      <c r="AD800" s="115"/>
      <c r="AE800" s="115"/>
      <c r="AF800" s="115"/>
      <c r="AG800" s="115"/>
      <c r="AH800" s="122"/>
      <c r="AI800" s="122"/>
      <c r="AJ800" s="122"/>
      <c r="AK800" s="115"/>
      <c r="AL800" s="115"/>
      <c r="AM800" s="115"/>
      <c r="AN800" s="115"/>
      <c r="AO800" s="115"/>
      <c r="AP800" s="115"/>
      <c r="AQ800" s="115"/>
      <c r="AR800" s="115"/>
      <c r="AS800" s="115"/>
      <c r="AT800" s="115"/>
      <c r="AU800" s="115"/>
      <c r="AV800" s="115"/>
      <c r="AW800" s="115"/>
      <c r="AX800" s="115"/>
      <c r="AY800" s="26"/>
      <c r="AZ800" s="13"/>
      <c r="BC800" s="114"/>
    </row>
    <row r="801" spans="28:55" x14ac:dyDescent="0.4">
      <c r="AC801" s="115"/>
      <c r="AD801" s="115"/>
      <c r="AE801" s="115"/>
      <c r="AF801" s="115"/>
      <c r="AG801" s="115"/>
      <c r="AH801" s="122"/>
      <c r="AI801" s="122"/>
      <c r="AJ801" s="122"/>
      <c r="AK801" s="115"/>
      <c r="AL801" s="115"/>
      <c r="AM801" s="115"/>
      <c r="AN801" s="115"/>
      <c r="AO801" s="115"/>
      <c r="AP801" s="115"/>
      <c r="AQ801" s="115"/>
      <c r="AR801" s="115"/>
      <c r="AS801" s="115"/>
      <c r="AT801" s="115"/>
      <c r="AU801" s="115"/>
      <c r="AV801" s="115"/>
      <c r="AW801" s="115"/>
      <c r="AX801" s="115"/>
      <c r="AY801" s="26"/>
      <c r="AZ801" s="13"/>
      <c r="BC801" s="114"/>
    </row>
    <row r="802" spans="28:55" x14ac:dyDescent="0.4">
      <c r="AC802" s="115"/>
      <c r="AD802" s="115"/>
      <c r="AE802" s="115"/>
      <c r="AF802" s="115"/>
      <c r="AG802" s="115"/>
      <c r="AH802" s="122"/>
      <c r="AI802" s="122"/>
      <c r="AJ802" s="122"/>
      <c r="AK802" s="115"/>
      <c r="AL802" s="115"/>
      <c r="AM802" s="115"/>
      <c r="AN802" s="115"/>
      <c r="AO802" s="115"/>
      <c r="AP802" s="115"/>
      <c r="AQ802" s="115"/>
      <c r="AR802" s="115"/>
      <c r="AS802" s="115"/>
      <c r="AT802" s="115"/>
      <c r="AU802" s="115"/>
      <c r="AV802" s="115"/>
      <c r="AW802" s="115"/>
      <c r="AX802" s="115"/>
      <c r="AY802" s="26"/>
      <c r="AZ802" s="13"/>
      <c r="BC802" s="114"/>
    </row>
    <row r="803" spans="28:55" x14ac:dyDescent="0.4">
      <c r="AC803" s="115"/>
      <c r="AD803" s="115"/>
      <c r="AE803" s="115"/>
      <c r="AF803" s="115"/>
      <c r="AG803" s="115"/>
      <c r="AH803" s="122"/>
      <c r="AI803" s="122"/>
      <c r="AJ803" s="122"/>
      <c r="AK803" s="115"/>
      <c r="AL803" s="115"/>
      <c r="AM803" s="115"/>
      <c r="AN803" s="115"/>
      <c r="AO803" s="115"/>
      <c r="AP803" s="115"/>
      <c r="AQ803" s="115"/>
      <c r="AR803" s="115"/>
      <c r="AS803" s="115"/>
      <c r="AT803" s="115"/>
      <c r="AU803" s="115"/>
      <c r="AV803" s="115"/>
      <c r="AW803" s="115"/>
      <c r="AX803" s="115"/>
      <c r="AY803" s="17"/>
      <c r="AZ803" s="13"/>
      <c r="BC803" s="114"/>
    </row>
    <row r="804" spans="28:55" x14ac:dyDescent="0.4">
      <c r="AC804" s="115"/>
      <c r="AD804" s="115"/>
      <c r="AE804" s="115"/>
      <c r="AF804" s="115"/>
      <c r="AG804" s="115"/>
      <c r="AH804" s="122"/>
      <c r="AI804" s="122"/>
      <c r="AJ804" s="122"/>
      <c r="AK804" s="115"/>
      <c r="AL804" s="115"/>
      <c r="AM804" s="115"/>
      <c r="AN804" s="115"/>
      <c r="AO804" s="115"/>
      <c r="AP804" s="115"/>
      <c r="AQ804" s="115"/>
      <c r="AR804" s="115"/>
      <c r="AS804" s="115"/>
      <c r="AT804" s="115"/>
      <c r="AU804" s="115"/>
      <c r="AV804" s="115"/>
      <c r="AW804" s="115"/>
      <c r="AX804" s="115"/>
      <c r="AY804" s="26"/>
      <c r="AZ804" s="13"/>
      <c r="BC804" s="114"/>
    </row>
    <row r="805" spans="28:55" x14ac:dyDescent="0.4">
      <c r="AC805" s="115"/>
      <c r="AD805" s="115"/>
      <c r="AE805" s="115"/>
      <c r="AF805" s="115"/>
      <c r="AG805" s="115"/>
      <c r="AH805" s="122"/>
      <c r="AI805" s="122"/>
      <c r="AJ805" s="122"/>
      <c r="AK805" s="115"/>
      <c r="AL805" s="115"/>
      <c r="AM805" s="115"/>
      <c r="AN805" s="115"/>
      <c r="AO805" s="115"/>
      <c r="AP805" s="115"/>
      <c r="AQ805" s="115"/>
      <c r="AR805" s="115"/>
      <c r="AS805" s="115"/>
      <c r="AT805" s="115"/>
      <c r="AU805" s="115"/>
      <c r="AV805" s="115"/>
      <c r="AW805" s="115"/>
      <c r="AX805" s="115"/>
      <c r="AY805" s="26"/>
      <c r="AZ805" s="13"/>
      <c r="BC805" s="114"/>
    </row>
    <row r="806" spans="28:55" x14ac:dyDescent="0.4">
      <c r="AC806" s="115"/>
      <c r="AD806" s="115"/>
      <c r="AE806" s="115"/>
      <c r="AF806" s="115"/>
      <c r="AG806" s="115"/>
      <c r="AH806" s="122"/>
      <c r="AI806" s="122"/>
      <c r="AJ806" s="122"/>
      <c r="AK806" s="115"/>
      <c r="AL806" s="115"/>
      <c r="AM806" s="115"/>
      <c r="AN806" s="115"/>
      <c r="AO806" s="115"/>
      <c r="AP806" s="115"/>
      <c r="AQ806" s="115"/>
      <c r="AR806" s="115"/>
      <c r="AS806" s="115"/>
      <c r="AT806" s="115"/>
      <c r="AU806" s="115"/>
      <c r="AV806" s="115"/>
      <c r="AW806" s="115"/>
      <c r="AX806" s="115"/>
      <c r="AY806" s="26"/>
      <c r="AZ806" s="13"/>
      <c r="BC806" s="114"/>
    </row>
    <row r="807" spans="28:55" x14ac:dyDescent="0.4">
      <c r="AC807" s="115"/>
      <c r="AD807" s="115"/>
      <c r="AE807" s="115"/>
      <c r="AF807" s="115"/>
      <c r="AG807" s="115"/>
      <c r="AH807" s="122"/>
      <c r="AI807" s="122"/>
      <c r="AJ807" s="122"/>
      <c r="AK807" s="115"/>
      <c r="AL807" s="115"/>
      <c r="AM807" s="115"/>
      <c r="AN807" s="115"/>
      <c r="AO807" s="115"/>
      <c r="AP807" s="115"/>
      <c r="AQ807" s="115"/>
      <c r="AR807" s="115"/>
      <c r="AS807" s="115"/>
      <c r="AT807" s="115"/>
      <c r="AU807" s="115"/>
      <c r="AV807" s="115"/>
      <c r="AW807" s="115"/>
      <c r="AX807" s="115"/>
      <c r="AY807" s="17"/>
      <c r="AZ807" s="13"/>
      <c r="BC807" s="114"/>
    </row>
    <row r="808" spans="28:55" x14ac:dyDescent="0.4">
      <c r="AC808" s="115"/>
      <c r="AD808" s="115"/>
      <c r="AE808" s="115"/>
      <c r="AF808" s="115"/>
      <c r="AG808" s="115"/>
      <c r="AH808" s="122"/>
      <c r="AI808" s="122"/>
      <c r="AJ808" s="122"/>
      <c r="AK808" s="115"/>
      <c r="AL808" s="115"/>
      <c r="AM808" s="115"/>
      <c r="AN808" s="115"/>
      <c r="AO808" s="115"/>
      <c r="AP808" s="115"/>
      <c r="AQ808" s="115"/>
      <c r="AR808" s="115"/>
      <c r="AS808" s="115"/>
      <c r="AT808" s="115"/>
      <c r="AU808" s="115"/>
      <c r="AV808" s="115"/>
      <c r="AW808" s="115"/>
      <c r="AX808" s="115"/>
      <c r="AY808" s="26"/>
      <c r="AZ808" s="13"/>
      <c r="BC808" s="114"/>
    </row>
    <row r="809" spans="28:55" x14ac:dyDescent="0.4">
      <c r="AC809" s="115"/>
      <c r="AD809" s="115"/>
      <c r="AE809" s="115"/>
      <c r="AF809" s="115"/>
      <c r="AG809" s="115"/>
      <c r="AH809" s="122"/>
      <c r="AI809" s="122"/>
      <c r="AJ809" s="122"/>
      <c r="AK809" s="115"/>
      <c r="AL809" s="115"/>
      <c r="AM809" s="115"/>
      <c r="AN809" s="115"/>
      <c r="AO809" s="115"/>
      <c r="AP809" s="115"/>
      <c r="AQ809" s="115"/>
      <c r="AR809" s="115"/>
      <c r="AS809" s="115"/>
      <c r="AT809" s="115"/>
      <c r="AU809" s="115"/>
      <c r="AV809" s="115"/>
      <c r="AW809" s="115"/>
      <c r="AX809" s="115"/>
      <c r="AY809" s="17"/>
      <c r="AZ809" s="13"/>
      <c r="BC809" s="114"/>
    </row>
    <row r="810" spans="28:55" x14ac:dyDescent="0.4">
      <c r="AC810" s="115"/>
      <c r="AD810" s="115"/>
      <c r="AE810" s="115"/>
      <c r="AF810" s="115"/>
      <c r="AG810" s="115"/>
      <c r="AH810" s="122"/>
      <c r="AI810" s="122"/>
      <c r="AJ810" s="122"/>
      <c r="AK810" s="115"/>
      <c r="AL810" s="115"/>
      <c r="AM810" s="115"/>
      <c r="AN810" s="115"/>
      <c r="AO810" s="115"/>
      <c r="AP810" s="115"/>
      <c r="AQ810" s="115"/>
      <c r="AR810" s="115"/>
      <c r="AS810" s="115"/>
      <c r="AT810" s="115"/>
      <c r="AU810" s="115"/>
      <c r="AV810" s="115"/>
      <c r="AW810" s="115"/>
      <c r="AX810" s="115"/>
      <c r="AY810" s="26"/>
      <c r="AZ810" s="13"/>
      <c r="BC810" s="114"/>
    </row>
    <row r="811" spans="28:55" x14ac:dyDescent="0.4">
      <c r="AC811" s="115"/>
      <c r="AD811" s="115"/>
      <c r="AE811" s="115"/>
      <c r="AF811" s="115"/>
      <c r="AG811" s="115"/>
      <c r="AH811" s="122"/>
      <c r="AI811" s="122"/>
      <c r="AJ811" s="122"/>
      <c r="AK811" s="115"/>
      <c r="AL811" s="115"/>
      <c r="AM811" s="115"/>
      <c r="AN811" s="115"/>
      <c r="AO811" s="115"/>
      <c r="AP811" s="115"/>
      <c r="AQ811" s="115"/>
      <c r="AR811" s="115"/>
      <c r="AS811" s="115"/>
      <c r="AT811" s="115"/>
      <c r="AU811" s="115"/>
      <c r="AV811" s="115"/>
      <c r="AW811" s="115"/>
      <c r="AX811" s="115"/>
      <c r="AY811" s="26"/>
      <c r="AZ811" s="15"/>
      <c r="BC811" s="114"/>
    </row>
    <row r="812" spans="28:55" x14ac:dyDescent="0.4">
      <c r="AC812" s="115"/>
      <c r="AD812" s="115"/>
      <c r="AE812" s="115"/>
      <c r="AF812" s="115"/>
      <c r="AG812" s="115"/>
      <c r="AH812" s="122"/>
      <c r="AI812" s="122"/>
      <c r="AJ812" s="122"/>
      <c r="AK812" s="115"/>
      <c r="AL812" s="115"/>
      <c r="AM812" s="115"/>
      <c r="AN812" s="115"/>
      <c r="AO812" s="115"/>
      <c r="AP812" s="115"/>
      <c r="AQ812" s="115"/>
      <c r="AR812" s="115"/>
      <c r="AS812" s="115"/>
      <c r="AT812" s="115"/>
      <c r="AU812" s="115"/>
      <c r="AV812" s="115"/>
      <c r="AW812" s="115"/>
      <c r="AX812" s="115"/>
      <c r="AY812" s="17"/>
      <c r="AZ812" s="15"/>
      <c r="BC812" s="114"/>
    </row>
    <row r="813" spans="28:55" x14ac:dyDescent="0.4">
      <c r="AC813" s="115"/>
      <c r="AD813" s="115"/>
      <c r="AE813" s="115"/>
      <c r="AF813" s="115"/>
      <c r="AG813" s="115"/>
      <c r="AH813" s="122"/>
      <c r="AI813" s="122"/>
      <c r="AJ813" s="122"/>
      <c r="AK813" s="115"/>
      <c r="AL813" s="115"/>
      <c r="AM813" s="115"/>
      <c r="AN813" s="115"/>
      <c r="AO813" s="115"/>
      <c r="AP813" s="115"/>
      <c r="AQ813" s="115"/>
      <c r="AR813" s="115"/>
      <c r="AS813" s="115"/>
      <c r="AT813" s="115"/>
      <c r="AU813" s="115"/>
      <c r="AV813" s="115"/>
      <c r="AW813" s="115"/>
      <c r="AX813" s="115"/>
      <c r="AY813" s="17"/>
      <c r="AZ813" s="15"/>
      <c r="BC813" s="114"/>
    </row>
    <row r="814" spans="28:55" x14ac:dyDescent="0.4">
      <c r="AB814" s="115"/>
      <c r="AC814" s="115"/>
      <c r="AD814" s="115"/>
      <c r="AE814" s="115"/>
      <c r="AF814" s="115"/>
      <c r="AG814" s="115"/>
      <c r="AH814" s="122"/>
      <c r="AI814" s="122"/>
      <c r="AJ814" s="122"/>
      <c r="AK814" s="115"/>
      <c r="AL814" s="115"/>
      <c r="AM814" s="115"/>
      <c r="AN814" s="115"/>
      <c r="AO814" s="115"/>
      <c r="AP814" s="115"/>
      <c r="AQ814" s="115"/>
      <c r="AR814" s="115"/>
      <c r="AS814" s="115"/>
      <c r="AT814" s="115"/>
      <c r="AU814" s="115"/>
      <c r="AV814" s="115"/>
      <c r="AW814" s="115"/>
      <c r="AX814" s="115"/>
      <c r="AY814" s="26"/>
      <c r="AZ814" s="15"/>
      <c r="BC814" s="114"/>
    </row>
    <row r="815" spans="28:55" x14ac:dyDescent="0.4">
      <c r="AB815" s="115"/>
      <c r="AC815" s="115"/>
      <c r="AD815" s="115"/>
      <c r="AE815" s="115"/>
      <c r="AF815" s="115"/>
      <c r="AG815" s="115"/>
      <c r="AH815" s="122"/>
      <c r="AI815" s="122"/>
      <c r="AJ815" s="122"/>
      <c r="AK815" s="115"/>
      <c r="AL815" s="115"/>
      <c r="AM815" s="115"/>
      <c r="AN815" s="115"/>
      <c r="AO815" s="115"/>
      <c r="AP815" s="115"/>
      <c r="AQ815" s="115"/>
      <c r="AR815" s="115"/>
      <c r="AS815" s="115"/>
      <c r="AT815" s="115"/>
      <c r="AU815" s="115"/>
      <c r="AV815" s="115"/>
      <c r="AW815" s="115"/>
      <c r="AX815" s="115"/>
      <c r="AY815" s="17"/>
      <c r="AZ815" s="15"/>
      <c r="BC815" s="114"/>
    </row>
    <row r="816" spans="28:55" x14ac:dyDescent="0.4">
      <c r="AB816" s="115"/>
      <c r="AC816" s="115"/>
      <c r="AD816" s="115"/>
      <c r="AE816" s="115"/>
      <c r="AF816" s="115"/>
      <c r="AG816" s="115"/>
      <c r="AH816" s="122"/>
      <c r="AI816" s="122"/>
      <c r="AJ816" s="122"/>
      <c r="AK816" s="115"/>
      <c r="AL816" s="115"/>
      <c r="AM816" s="115"/>
      <c r="AN816" s="115"/>
      <c r="AO816" s="115"/>
      <c r="AP816" s="115"/>
      <c r="AQ816" s="115"/>
      <c r="AR816" s="115"/>
      <c r="AS816" s="115"/>
      <c r="AT816" s="115"/>
      <c r="AU816" s="115"/>
      <c r="AV816" s="115"/>
      <c r="AW816" s="115"/>
      <c r="AX816" s="115"/>
      <c r="AY816" s="26"/>
      <c r="AZ816" s="15"/>
      <c r="BC816" s="114"/>
    </row>
    <row r="817" spans="28:55" x14ac:dyDescent="0.4">
      <c r="AB817" s="115"/>
      <c r="AC817" s="115"/>
      <c r="AD817" s="115"/>
      <c r="AE817" s="115"/>
      <c r="AF817" s="115"/>
      <c r="AG817" s="115"/>
      <c r="AH817" s="122"/>
      <c r="AI817" s="122"/>
      <c r="AJ817" s="122"/>
      <c r="AK817" s="115"/>
      <c r="AL817" s="115"/>
      <c r="AM817" s="115"/>
      <c r="AN817" s="115"/>
      <c r="AO817" s="115"/>
      <c r="AP817" s="115"/>
      <c r="AQ817" s="115"/>
      <c r="AR817" s="115"/>
      <c r="AS817" s="115"/>
      <c r="AT817" s="115"/>
      <c r="AU817" s="115"/>
      <c r="AV817" s="115"/>
      <c r="AW817" s="115"/>
      <c r="AX817" s="115"/>
      <c r="AY817" s="26"/>
      <c r="AZ817" s="15"/>
      <c r="BC817" s="114"/>
    </row>
    <row r="818" spans="28:55" x14ac:dyDescent="0.4">
      <c r="AB818" s="115"/>
      <c r="AC818" s="115"/>
      <c r="AD818" s="115"/>
      <c r="AE818" s="115"/>
      <c r="AF818" s="115"/>
      <c r="AG818" s="115"/>
      <c r="AH818" s="122"/>
      <c r="AI818" s="122"/>
      <c r="AJ818" s="122"/>
      <c r="AK818" s="115"/>
      <c r="AL818" s="115"/>
      <c r="AM818" s="115"/>
      <c r="AN818" s="115"/>
      <c r="AO818" s="115"/>
      <c r="AP818" s="115"/>
      <c r="AQ818" s="115"/>
      <c r="AR818" s="115"/>
      <c r="AS818" s="115"/>
      <c r="AT818" s="115"/>
      <c r="AU818" s="115"/>
      <c r="AV818" s="115"/>
      <c r="AW818" s="115"/>
      <c r="AX818" s="115"/>
      <c r="AY818" s="17"/>
      <c r="AZ818" s="15"/>
      <c r="BC818" s="114"/>
    </row>
    <row r="819" spans="28:55" x14ac:dyDescent="0.4">
      <c r="AB819" s="115"/>
      <c r="AC819" s="115"/>
      <c r="AD819" s="115"/>
      <c r="AE819" s="115"/>
      <c r="AF819" s="115"/>
      <c r="AG819" s="115"/>
      <c r="AH819" s="122"/>
      <c r="AI819" s="122"/>
      <c r="AJ819" s="122"/>
      <c r="AK819" s="115"/>
      <c r="AL819" s="115"/>
      <c r="AM819" s="115"/>
      <c r="AN819" s="115"/>
      <c r="AO819" s="115"/>
      <c r="AP819" s="115"/>
      <c r="AQ819" s="115"/>
      <c r="AR819" s="115"/>
      <c r="AS819" s="115"/>
      <c r="AT819" s="115"/>
      <c r="AU819" s="115"/>
      <c r="AV819" s="115"/>
      <c r="AW819" s="115"/>
      <c r="AX819" s="115"/>
      <c r="AY819" s="26"/>
      <c r="AZ819" s="15"/>
      <c r="BC819" s="114"/>
    </row>
    <row r="820" spans="28:55" x14ac:dyDescent="0.4">
      <c r="AB820" s="115"/>
      <c r="AC820" s="115"/>
      <c r="AD820" s="115"/>
      <c r="AE820" s="115"/>
      <c r="AF820" s="115"/>
      <c r="AG820" s="115"/>
      <c r="AH820" s="122"/>
      <c r="AI820" s="122"/>
      <c r="AJ820" s="122"/>
      <c r="AK820" s="115"/>
      <c r="AL820" s="115"/>
      <c r="AM820" s="115"/>
      <c r="AN820" s="115"/>
      <c r="AO820" s="115"/>
      <c r="AP820" s="115"/>
      <c r="AQ820" s="115"/>
      <c r="AR820" s="115"/>
      <c r="AS820" s="115"/>
      <c r="AT820" s="115"/>
      <c r="AU820" s="115"/>
      <c r="AV820" s="115"/>
      <c r="AW820" s="115"/>
      <c r="AX820" s="115"/>
      <c r="AY820" s="17"/>
      <c r="AZ820" s="15"/>
      <c r="BC820" s="114"/>
    </row>
    <row r="821" spans="28:55" x14ac:dyDescent="0.4">
      <c r="AB821" s="115"/>
      <c r="AC821" s="115"/>
      <c r="AD821" s="115"/>
      <c r="AE821" s="115"/>
      <c r="AF821" s="115"/>
      <c r="AG821" s="115"/>
      <c r="AH821" s="122"/>
      <c r="AI821" s="122"/>
      <c r="AJ821" s="122"/>
      <c r="AK821" s="115"/>
      <c r="AL821" s="115"/>
      <c r="AM821" s="115"/>
      <c r="AN821" s="115"/>
      <c r="AO821" s="115"/>
      <c r="AP821" s="115"/>
      <c r="AQ821" s="115"/>
      <c r="AR821" s="115"/>
      <c r="AS821" s="115"/>
      <c r="AT821" s="115"/>
      <c r="AU821" s="115"/>
      <c r="AV821" s="115"/>
      <c r="AW821" s="115"/>
      <c r="AX821" s="115"/>
      <c r="AY821" s="17"/>
      <c r="AZ821" s="15"/>
      <c r="BC821" s="114"/>
    </row>
    <row r="822" spans="28:55" x14ac:dyDescent="0.4">
      <c r="AB822" s="115"/>
      <c r="AC822" s="115"/>
      <c r="AD822" s="115"/>
      <c r="AE822" s="115"/>
      <c r="AF822" s="115"/>
      <c r="AG822" s="115"/>
      <c r="AH822" s="122"/>
      <c r="AI822" s="122"/>
      <c r="AJ822" s="122"/>
      <c r="AK822" s="115"/>
      <c r="AL822" s="115"/>
      <c r="AM822" s="115"/>
      <c r="AN822" s="115"/>
      <c r="AO822" s="115"/>
      <c r="AP822" s="115"/>
      <c r="AQ822" s="115"/>
      <c r="AR822" s="115"/>
      <c r="AS822" s="115"/>
      <c r="AT822" s="115"/>
      <c r="AU822" s="115"/>
      <c r="AV822" s="115"/>
      <c r="AW822" s="115"/>
      <c r="AX822" s="115"/>
      <c r="AY822" s="26"/>
      <c r="AZ822" s="15"/>
      <c r="BC822" s="114"/>
    </row>
    <row r="823" spans="28:55" x14ac:dyDescent="0.4">
      <c r="AB823" s="115"/>
      <c r="AC823" s="115"/>
      <c r="AD823" s="115"/>
      <c r="AE823" s="115"/>
      <c r="AF823" s="115"/>
      <c r="AG823" s="115"/>
      <c r="AH823" s="122"/>
      <c r="AI823" s="122"/>
      <c r="AJ823" s="122"/>
      <c r="AK823" s="115"/>
      <c r="AL823" s="115"/>
      <c r="AM823" s="115"/>
      <c r="AN823" s="115"/>
      <c r="AO823" s="115"/>
      <c r="AP823" s="115"/>
      <c r="AQ823" s="115"/>
      <c r="AR823" s="115"/>
      <c r="AS823" s="115"/>
      <c r="AT823" s="115"/>
      <c r="AU823" s="115"/>
      <c r="AV823" s="115"/>
      <c r="AW823" s="115"/>
      <c r="AX823" s="115"/>
      <c r="AY823" s="26"/>
      <c r="AZ823" s="15"/>
      <c r="BC823" s="114"/>
    </row>
    <row r="824" spans="28:55" x14ac:dyDescent="0.4">
      <c r="AB824" s="115"/>
      <c r="AC824" s="115"/>
      <c r="AD824" s="115"/>
      <c r="AE824" s="115"/>
      <c r="AF824" s="115"/>
      <c r="AG824" s="115"/>
      <c r="AH824" s="122"/>
      <c r="AI824" s="122"/>
      <c r="AJ824" s="122"/>
      <c r="AK824" s="115"/>
      <c r="AL824" s="115"/>
      <c r="AM824" s="115"/>
      <c r="AN824" s="115"/>
      <c r="AO824" s="115"/>
      <c r="AP824" s="115"/>
      <c r="AQ824" s="115"/>
      <c r="AR824" s="115"/>
      <c r="AS824" s="115"/>
      <c r="AT824" s="115"/>
      <c r="AU824" s="115"/>
      <c r="AV824" s="115"/>
      <c r="AW824" s="115"/>
      <c r="AX824" s="115"/>
      <c r="AY824" s="26"/>
      <c r="AZ824" s="15"/>
      <c r="BC824" s="114"/>
    </row>
    <row r="825" spans="28:55" x14ac:dyDescent="0.4">
      <c r="AB825" s="115"/>
      <c r="AC825" s="115"/>
      <c r="AD825" s="115"/>
      <c r="AE825" s="115"/>
      <c r="AF825" s="115"/>
      <c r="AG825" s="115"/>
      <c r="AH825" s="122"/>
      <c r="AI825" s="122"/>
      <c r="AJ825" s="122"/>
      <c r="AK825" s="115"/>
      <c r="AL825" s="115"/>
      <c r="AM825" s="115"/>
      <c r="AN825" s="115"/>
      <c r="AO825" s="115"/>
      <c r="AP825" s="115"/>
      <c r="AQ825" s="115"/>
      <c r="AR825" s="115"/>
      <c r="AS825" s="115"/>
      <c r="AT825" s="115"/>
      <c r="AU825" s="115"/>
      <c r="AV825" s="115"/>
      <c r="AW825" s="115"/>
      <c r="AX825" s="115"/>
      <c r="AY825" s="26"/>
      <c r="AZ825" s="15"/>
      <c r="BC825" s="114"/>
    </row>
    <row r="826" spans="28:55" x14ac:dyDescent="0.4">
      <c r="AB826" s="115"/>
      <c r="AC826" s="115"/>
      <c r="AD826" s="115"/>
      <c r="AE826" s="115"/>
      <c r="AF826" s="115"/>
      <c r="AG826" s="115"/>
      <c r="AH826" s="122"/>
      <c r="AI826" s="122"/>
      <c r="AJ826" s="122"/>
      <c r="AK826" s="115"/>
      <c r="AL826" s="115"/>
      <c r="AM826" s="115"/>
      <c r="AN826" s="115"/>
      <c r="AO826" s="115"/>
      <c r="AP826" s="115"/>
      <c r="AQ826" s="115"/>
      <c r="AR826" s="115"/>
      <c r="AS826" s="115"/>
      <c r="AT826" s="115"/>
      <c r="AU826" s="115"/>
      <c r="AV826" s="115"/>
      <c r="AW826" s="115"/>
      <c r="AX826" s="115"/>
      <c r="AY826" s="26"/>
      <c r="AZ826" s="15"/>
      <c r="BC826" s="114"/>
    </row>
    <row r="827" spans="28:55" x14ac:dyDescent="0.4">
      <c r="AB827" s="115"/>
      <c r="AC827" s="115"/>
      <c r="AD827" s="115"/>
      <c r="AE827" s="115"/>
      <c r="AF827" s="115"/>
      <c r="AG827" s="115"/>
      <c r="AH827" s="122"/>
      <c r="AI827" s="122"/>
      <c r="AJ827" s="122"/>
      <c r="AK827" s="115"/>
      <c r="AL827" s="115"/>
      <c r="AM827" s="115"/>
      <c r="AN827" s="115"/>
      <c r="AO827" s="115"/>
      <c r="AP827" s="115"/>
      <c r="AQ827" s="115"/>
      <c r="AR827" s="115"/>
      <c r="AS827" s="115"/>
      <c r="AT827" s="115"/>
      <c r="AU827" s="115"/>
      <c r="AV827" s="115"/>
      <c r="AW827" s="115"/>
      <c r="AX827" s="115"/>
      <c r="AY827" s="26"/>
      <c r="AZ827" s="15"/>
      <c r="BC827" s="114"/>
    </row>
    <row r="828" spans="28:55" x14ac:dyDescent="0.4">
      <c r="AB828" s="115"/>
      <c r="AC828" s="115"/>
      <c r="AD828" s="115"/>
      <c r="AE828" s="115"/>
      <c r="AF828" s="115"/>
      <c r="AG828" s="115"/>
      <c r="AH828" s="122"/>
      <c r="AI828" s="122"/>
      <c r="AJ828" s="122"/>
      <c r="AK828" s="115"/>
      <c r="AL828" s="115"/>
      <c r="AM828" s="115"/>
      <c r="AN828" s="115"/>
      <c r="AO828" s="115"/>
      <c r="AP828" s="115"/>
      <c r="AQ828" s="115"/>
      <c r="AR828" s="115"/>
      <c r="AS828" s="115"/>
      <c r="AT828" s="115"/>
      <c r="AU828" s="115"/>
      <c r="AV828" s="115"/>
      <c r="AW828" s="115"/>
      <c r="AX828" s="115"/>
      <c r="AY828" s="26"/>
      <c r="AZ828" s="15"/>
      <c r="BC828" s="114"/>
    </row>
    <row r="829" spans="28:55" x14ac:dyDescent="0.4">
      <c r="AB829" s="115"/>
      <c r="AC829" s="115"/>
      <c r="AD829" s="115"/>
      <c r="AE829" s="115"/>
      <c r="AF829" s="115"/>
      <c r="AG829" s="115"/>
      <c r="AH829" s="122"/>
      <c r="AI829" s="122"/>
      <c r="AJ829" s="122"/>
      <c r="AK829" s="115"/>
      <c r="AL829" s="115"/>
      <c r="AM829" s="115"/>
      <c r="AN829" s="115"/>
      <c r="AO829" s="115"/>
      <c r="AP829" s="115"/>
      <c r="AQ829" s="115"/>
      <c r="AR829" s="115"/>
      <c r="AS829" s="115"/>
      <c r="AT829" s="115"/>
      <c r="AU829" s="115"/>
      <c r="AV829" s="115"/>
      <c r="AW829" s="115"/>
      <c r="AX829" s="115"/>
      <c r="AY829" s="17"/>
      <c r="AZ829" s="15"/>
      <c r="BC829" s="114"/>
    </row>
    <row r="830" spans="28:55" x14ac:dyDescent="0.4">
      <c r="AB830" s="115"/>
      <c r="AC830" s="115"/>
      <c r="AD830" s="115"/>
      <c r="AE830" s="115"/>
      <c r="AF830" s="115"/>
      <c r="AG830" s="115"/>
      <c r="AH830" s="122"/>
      <c r="AI830" s="122"/>
      <c r="AJ830" s="122"/>
      <c r="AK830" s="115"/>
      <c r="AL830" s="115"/>
      <c r="AM830" s="115"/>
      <c r="AN830" s="115"/>
      <c r="AO830" s="115"/>
      <c r="AP830" s="115"/>
      <c r="AQ830" s="115"/>
      <c r="AR830" s="115"/>
      <c r="AS830" s="115"/>
      <c r="AT830" s="115"/>
      <c r="AU830" s="115"/>
      <c r="AV830" s="115"/>
      <c r="AW830" s="115"/>
      <c r="AX830" s="115"/>
      <c r="AY830" s="26"/>
      <c r="AZ830" s="15"/>
      <c r="BC830" s="114"/>
    </row>
    <row r="831" spans="28:55" x14ac:dyDescent="0.4">
      <c r="AB831" s="115"/>
      <c r="AC831" s="115"/>
      <c r="AD831" s="115"/>
      <c r="AE831" s="115"/>
      <c r="AF831" s="115"/>
      <c r="AG831" s="115"/>
      <c r="AH831" s="122"/>
      <c r="AI831" s="122"/>
      <c r="AJ831" s="122"/>
      <c r="AK831" s="115"/>
      <c r="AL831" s="115"/>
      <c r="AM831" s="115"/>
      <c r="AN831" s="115"/>
      <c r="AO831" s="115"/>
      <c r="AP831" s="115"/>
      <c r="AQ831" s="115"/>
      <c r="AR831" s="115"/>
      <c r="AS831" s="115"/>
      <c r="AT831" s="115"/>
      <c r="AU831" s="115"/>
      <c r="AV831" s="115"/>
      <c r="AW831" s="115"/>
      <c r="AX831" s="115"/>
      <c r="AY831" s="26"/>
      <c r="AZ831" s="15"/>
      <c r="BC831" s="114"/>
    </row>
    <row r="832" spans="28:55" x14ac:dyDescent="0.4">
      <c r="AB832" s="115"/>
      <c r="AC832" s="115"/>
      <c r="AD832" s="115"/>
      <c r="AE832" s="115"/>
      <c r="AF832" s="115"/>
      <c r="AG832" s="115"/>
      <c r="AH832" s="122"/>
      <c r="AI832" s="122"/>
      <c r="AJ832" s="122"/>
      <c r="AK832" s="115"/>
      <c r="AL832" s="115"/>
      <c r="AM832" s="115"/>
      <c r="AN832" s="115"/>
      <c r="AO832" s="115"/>
      <c r="AP832" s="115"/>
      <c r="AQ832" s="115"/>
      <c r="AR832" s="115"/>
      <c r="AS832" s="115"/>
      <c r="AT832" s="115"/>
      <c r="AU832" s="115"/>
      <c r="AV832" s="115"/>
      <c r="AW832" s="115"/>
      <c r="AX832" s="115"/>
      <c r="AY832" s="26"/>
      <c r="AZ832" s="15"/>
      <c r="BC832" s="114"/>
    </row>
    <row r="833" spans="5:55" x14ac:dyDescent="0.4">
      <c r="AB833" s="115"/>
      <c r="AC833" s="115"/>
      <c r="AD833" s="115"/>
      <c r="AE833" s="115"/>
      <c r="AF833" s="115"/>
      <c r="AG833" s="115"/>
      <c r="AH833" s="122"/>
      <c r="AI833" s="122"/>
      <c r="AJ833" s="122"/>
      <c r="AK833" s="115"/>
      <c r="AL833" s="115"/>
      <c r="AM833" s="115"/>
      <c r="AN833" s="115"/>
      <c r="AO833" s="115"/>
      <c r="AP833" s="115"/>
      <c r="AQ833" s="115"/>
      <c r="AR833" s="115"/>
      <c r="AS833" s="115"/>
      <c r="AT833" s="115"/>
      <c r="AU833" s="115"/>
      <c r="AV833" s="115"/>
      <c r="AW833" s="115"/>
      <c r="AX833" s="115"/>
      <c r="AY833" s="26"/>
      <c r="AZ833" s="13"/>
      <c r="BC833" s="114"/>
    </row>
    <row r="834" spans="5:55" x14ac:dyDescent="0.4">
      <c r="AB834" s="115"/>
      <c r="AC834" s="115"/>
      <c r="AD834" s="115"/>
      <c r="AE834" s="115"/>
      <c r="AF834" s="115"/>
      <c r="AG834" s="115"/>
      <c r="AH834" s="122"/>
      <c r="AI834" s="122"/>
      <c r="AJ834" s="122"/>
      <c r="AK834" s="115"/>
      <c r="AL834" s="115"/>
      <c r="AM834" s="115"/>
      <c r="AN834" s="115"/>
      <c r="AO834" s="115"/>
      <c r="AP834" s="115"/>
      <c r="AQ834" s="115"/>
      <c r="AR834" s="115"/>
      <c r="AS834" s="115"/>
      <c r="AT834" s="115"/>
      <c r="AU834" s="115"/>
      <c r="AV834" s="115"/>
      <c r="AW834" s="115"/>
      <c r="AX834" s="115"/>
      <c r="AY834" s="17"/>
      <c r="AZ834" s="13"/>
      <c r="BC834" s="114"/>
    </row>
    <row r="835" spans="5:55" x14ac:dyDescent="0.4">
      <c r="AB835" s="115"/>
      <c r="AC835" s="115"/>
      <c r="AD835" s="115"/>
      <c r="AE835" s="115"/>
      <c r="AF835" s="115"/>
      <c r="AG835" s="115"/>
      <c r="AH835" s="122"/>
      <c r="AI835" s="122"/>
      <c r="AJ835" s="122"/>
      <c r="AK835" s="115"/>
      <c r="AL835" s="115"/>
      <c r="AM835" s="115"/>
      <c r="AN835" s="115"/>
      <c r="AO835" s="115"/>
      <c r="AP835" s="115"/>
      <c r="AQ835" s="115"/>
      <c r="AR835" s="115"/>
      <c r="AS835" s="115"/>
      <c r="AT835" s="115"/>
      <c r="AU835" s="115"/>
      <c r="AV835" s="115"/>
      <c r="AW835" s="115"/>
      <c r="AX835" s="115"/>
      <c r="AY835" s="26"/>
      <c r="AZ835" s="13"/>
      <c r="BC835" s="114"/>
    </row>
    <row r="836" spans="5:55" x14ac:dyDescent="0.4">
      <c r="AB836" s="115"/>
      <c r="AC836" s="115"/>
      <c r="AD836" s="115"/>
      <c r="AE836" s="115"/>
      <c r="AF836" s="115"/>
      <c r="AG836" s="115"/>
      <c r="AH836" s="122"/>
      <c r="AI836" s="122"/>
      <c r="AJ836" s="122"/>
      <c r="AK836" s="115"/>
      <c r="AL836" s="115"/>
      <c r="AM836" s="115"/>
      <c r="AN836" s="115"/>
      <c r="AO836" s="115"/>
      <c r="AP836" s="115"/>
      <c r="AQ836" s="115"/>
      <c r="AR836" s="115"/>
      <c r="AS836" s="115"/>
      <c r="AT836" s="115"/>
      <c r="AU836" s="115"/>
      <c r="AV836" s="115"/>
      <c r="AW836" s="115"/>
      <c r="AX836" s="115"/>
      <c r="AY836" s="26"/>
      <c r="AZ836" s="13"/>
      <c r="BC836" s="114"/>
    </row>
    <row r="837" spans="5:55" x14ac:dyDescent="0.4">
      <c r="AB837" s="115"/>
      <c r="AC837" s="115"/>
      <c r="AD837" s="115"/>
      <c r="AE837" s="115"/>
      <c r="AF837" s="115"/>
      <c r="AG837" s="115"/>
      <c r="AH837" s="122"/>
      <c r="AI837" s="122"/>
      <c r="AJ837" s="122"/>
      <c r="AK837" s="115"/>
      <c r="AL837" s="115"/>
      <c r="AM837" s="115"/>
      <c r="AN837" s="115"/>
      <c r="AO837" s="115"/>
      <c r="AP837" s="115"/>
      <c r="AQ837" s="115"/>
      <c r="AR837" s="115"/>
      <c r="AS837" s="115"/>
      <c r="AT837" s="115"/>
      <c r="AU837" s="115"/>
      <c r="AV837" s="115"/>
      <c r="AW837" s="115"/>
      <c r="AX837" s="115"/>
      <c r="AY837" s="26"/>
      <c r="AZ837" s="13"/>
      <c r="BC837" s="114"/>
    </row>
    <row r="838" spans="5:55" x14ac:dyDescent="0.4">
      <c r="AB838" s="115"/>
      <c r="AC838" s="115"/>
      <c r="AD838" s="115"/>
      <c r="AE838" s="115"/>
      <c r="AF838" s="115"/>
      <c r="AG838" s="115"/>
      <c r="AH838" s="122"/>
      <c r="AI838" s="122"/>
      <c r="AJ838" s="122"/>
      <c r="AK838" s="115"/>
      <c r="AL838" s="115"/>
      <c r="AM838" s="115"/>
      <c r="AN838" s="115"/>
      <c r="AO838" s="115"/>
      <c r="AP838" s="115"/>
      <c r="AQ838" s="115"/>
      <c r="AR838" s="115"/>
      <c r="AS838" s="115"/>
      <c r="AT838" s="115"/>
      <c r="AU838" s="115"/>
      <c r="AV838" s="115"/>
      <c r="AW838" s="115"/>
      <c r="AX838" s="115"/>
      <c r="AY838" s="26"/>
      <c r="AZ838" s="13"/>
      <c r="BC838" s="114"/>
    </row>
    <row r="839" spans="5:55" x14ac:dyDescent="0.4">
      <c r="AB839" s="115"/>
      <c r="AC839" s="115"/>
      <c r="AD839" s="115"/>
      <c r="AE839" s="115"/>
      <c r="AF839" s="115"/>
      <c r="AG839" s="115"/>
      <c r="AH839" s="122"/>
      <c r="AI839" s="122"/>
      <c r="AJ839" s="122"/>
      <c r="AK839" s="115"/>
      <c r="AL839" s="115"/>
      <c r="AM839" s="115"/>
      <c r="AN839" s="115"/>
      <c r="AO839" s="115"/>
      <c r="AP839" s="115"/>
      <c r="AQ839" s="115"/>
      <c r="AR839" s="115"/>
      <c r="AS839" s="115"/>
      <c r="AT839" s="115"/>
      <c r="AU839" s="115"/>
      <c r="AV839" s="115"/>
      <c r="AW839" s="115"/>
      <c r="AX839" s="115"/>
      <c r="AY839" s="26"/>
      <c r="AZ839" s="13"/>
      <c r="BC839" s="114"/>
    </row>
    <row r="840" spans="5:55" x14ac:dyDescent="0.4">
      <c r="AB840" s="115"/>
      <c r="AC840" s="115"/>
      <c r="AD840" s="115"/>
      <c r="AE840" s="115"/>
      <c r="AF840" s="115"/>
      <c r="AG840" s="115"/>
      <c r="AH840" s="122"/>
      <c r="AI840" s="122"/>
      <c r="AJ840" s="122"/>
      <c r="AK840" s="115"/>
      <c r="AL840" s="115"/>
      <c r="AM840" s="115"/>
      <c r="AN840" s="115"/>
      <c r="AO840" s="115"/>
      <c r="AP840" s="115"/>
      <c r="AQ840" s="115"/>
      <c r="AR840" s="115"/>
      <c r="AS840" s="115"/>
      <c r="AT840" s="115"/>
      <c r="AU840" s="115"/>
      <c r="AV840" s="115"/>
      <c r="AW840" s="115"/>
      <c r="AX840" s="115"/>
      <c r="AY840" s="26"/>
      <c r="AZ840" s="13"/>
      <c r="BC840" s="114"/>
    </row>
    <row r="841" spans="5:55" x14ac:dyDescent="0.4">
      <c r="AB841" s="115"/>
      <c r="AC841" s="115"/>
      <c r="AD841" s="115"/>
      <c r="AE841" s="115"/>
      <c r="AF841" s="115"/>
      <c r="AG841" s="115"/>
      <c r="AH841" s="122"/>
      <c r="AI841" s="122"/>
      <c r="AJ841" s="122"/>
      <c r="AK841" s="115"/>
      <c r="AL841" s="115"/>
      <c r="AM841" s="115"/>
      <c r="AN841" s="115"/>
      <c r="AO841" s="115"/>
      <c r="AP841" s="115"/>
      <c r="AQ841" s="115"/>
      <c r="AR841" s="115"/>
      <c r="AS841" s="115"/>
      <c r="AT841" s="115"/>
      <c r="AU841" s="115"/>
      <c r="AV841" s="115"/>
      <c r="AW841" s="115"/>
      <c r="AX841" s="115"/>
      <c r="AY841" s="17"/>
      <c r="AZ841" s="13"/>
      <c r="BC841" s="114"/>
    </row>
    <row r="842" spans="5:55" x14ac:dyDescent="0.4">
      <c r="AB842" s="115"/>
      <c r="AC842" s="115"/>
      <c r="AD842" s="115"/>
      <c r="AE842" s="115"/>
      <c r="AF842" s="115"/>
      <c r="AG842" s="115"/>
      <c r="AH842" s="122"/>
      <c r="AI842" s="122"/>
      <c r="AJ842" s="122"/>
      <c r="AK842" s="115"/>
      <c r="AL842" s="115"/>
      <c r="AM842" s="115"/>
      <c r="AN842" s="115"/>
      <c r="AO842" s="115"/>
      <c r="AP842" s="115"/>
      <c r="AQ842" s="115"/>
      <c r="AR842" s="115"/>
      <c r="AS842" s="115"/>
      <c r="AT842" s="115"/>
      <c r="AU842" s="115"/>
      <c r="AV842" s="115"/>
      <c r="AW842" s="115"/>
      <c r="AX842" s="115"/>
      <c r="AY842" s="26"/>
      <c r="AZ842" s="13"/>
      <c r="BC842" s="114"/>
    </row>
    <row r="843" spans="5:55" x14ac:dyDescent="0.4">
      <c r="AB843" s="115"/>
      <c r="AC843" s="115"/>
      <c r="AD843" s="115"/>
      <c r="AE843" s="115"/>
      <c r="AF843" s="115"/>
      <c r="AG843" s="115"/>
      <c r="AH843" s="122"/>
      <c r="AI843" s="122"/>
      <c r="AJ843" s="122"/>
      <c r="AK843" s="115"/>
      <c r="AL843" s="115"/>
      <c r="AM843" s="115"/>
      <c r="AN843" s="115"/>
      <c r="AO843" s="115"/>
      <c r="AP843" s="115"/>
      <c r="AQ843" s="115"/>
      <c r="AR843" s="115"/>
      <c r="AS843" s="115"/>
      <c r="AT843" s="115"/>
      <c r="AU843" s="115"/>
      <c r="AV843" s="115"/>
      <c r="AW843" s="115"/>
      <c r="AX843" s="115"/>
      <c r="AY843" s="26"/>
      <c r="AZ843" s="13"/>
      <c r="BC843" s="114"/>
    </row>
    <row r="844" spans="5:55" x14ac:dyDescent="0.4"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22"/>
      <c r="AI844" s="122"/>
      <c r="AJ844" s="122"/>
      <c r="AK844" s="115"/>
      <c r="AL844" s="115"/>
      <c r="AM844" s="115"/>
      <c r="AN844" s="115"/>
      <c r="AO844" s="115"/>
      <c r="AP844" s="115"/>
      <c r="AQ844" s="115"/>
      <c r="AR844" s="115"/>
      <c r="AS844" s="115"/>
      <c r="AT844" s="115"/>
      <c r="AU844" s="115"/>
      <c r="AV844" s="115"/>
      <c r="AW844" s="115"/>
      <c r="AX844" s="115"/>
      <c r="AY844" s="26"/>
      <c r="AZ844" s="13"/>
      <c r="BC844" s="114"/>
    </row>
    <row r="845" spans="5:55" x14ac:dyDescent="0.4"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22"/>
      <c r="AI845" s="122"/>
      <c r="AJ845" s="122"/>
      <c r="AK845" s="115"/>
      <c r="AL845" s="115"/>
      <c r="AM845" s="115"/>
      <c r="AN845" s="115"/>
      <c r="AO845" s="115"/>
      <c r="AP845" s="115"/>
      <c r="AQ845" s="115"/>
      <c r="AR845" s="115"/>
      <c r="AS845" s="115"/>
      <c r="AT845" s="115"/>
      <c r="AU845" s="115"/>
      <c r="AV845" s="115"/>
      <c r="AW845" s="115"/>
      <c r="AX845" s="115"/>
      <c r="AY845" s="26"/>
      <c r="AZ845" s="13"/>
      <c r="BC845" s="114"/>
    </row>
    <row r="846" spans="5:55" x14ac:dyDescent="0.4"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22"/>
      <c r="AI846" s="122"/>
      <c r="AJ846" s="122"/>
      <c r="AK846" s="115"/>
      <c r="AL846" s="115"/>
      <c r="AM846" s="115"/>
      <c r="AN846" s="115"/>
      <c r="AO846" s="115"/>
      <c r="AP846" s="115"/>
      <c r="AQ846" s="115"/>
      <c r="AR846" s="115"/>
      <c r="AS846" s="115"/>
      <c r="AT846" s="115"/>
      <c r="AU846" s="115"/>
      <c r="AV846" s="115"/>
      <c r="AW846" s="115"/>
      <c r="AX846" s="115"/>
      <c r="AY846" s="26"/>
      <c r="AZ846" s="13"/>
      <c r="BC846" s="114"/>
    </row>
    <row r="847" spans="5:55" x14ac:dyDescent="0.4"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22"/>
      <c r="AI847" s="122"/>
      <c r="AJ847" s="122"/>
      <c r="AK847" s="115"/>
      <c r="AL847" s="115"/>
      <c r="AM847" s="115"/>
      <c r="AN847" s="115"/>
      <c r="AO847" s="115"/>
      <c r="AP847" s="115"/>
      <c r="AQ847" s="115"/>
      <c r="AR847" s="115"/>
      <c r="AS847" s="115"/>
      <c r="AT847" s="115"/>
      <c r="AU847" s="115"/>
      <c r="AV847" s="115"/>
      <c r="AW847" s="115"/>
      <c r="AX847" s="115"/>
      <c r="AY847" s="26"/>
      <c r="AZ847" s="13"/>
      <c r="BC847" s="114"/>
    </row>
    <row r="848" spans="5:55" x14ac:dyDescent="0.4"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22"/>
      <c r="AI848" s="122"/>
      <c r="AJ848" s="122"/>
      <c r="AK848" s="115"/>
      <c r="AL848" s="115"/>
      <c r="AM848" s="115"/>
      <c r="AN848" s="115"/>
      <c r="AO848" s="115"/>
      <c r="AP848" s="115"/>
      <c r="AQ848" s="115"/>
      <c r="AR848" s="115"/>
      <c r="AS848" s="115"/>
      <c r="AT848" s="115"/>
      <c r="AU848" s="115"/>
      <c r="AV848" s="115"/>
      <c r="AW848" s="115"/>
      <c r="AX848" s="115"/>
      <c r="AY848" s="26"/>
      <c r="AZ848" s="13"/>
      <c r="BC848" s="114"/>
    </row>
    <row r="849" spans="4:55" x14ac:dyDescent="0.4"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22"/>
      <c r="AI849" s="122"/>
      <c r="AJ849" s="122"/>
      <c r="AK849" s="115"/>
      <c r="AL849" s="115"/>
      <c r="AM849" s="115"/>
      <c r="AN849" s="115"/>
      <c r="AO849" s="115"/>
      <c r="AP849" s="115"/>
      <c r="AQ849" s="115"/>
      <c r="AR849" s="115"/>
      <c r="AS849" s="115"/>
      <c r="AT849" s="115"/>
      <c r="AU849" s="115"/>
      <c r="AV849" s="115"/>
      <c r="AW849" s="115"/>
      <c r="AX849" s="115"/>
      <c r="AY849" s="26"/>
      <c r="AZ849" s="13"/>
      <c r="BC849" s="114"/>
    </row>
    <row r="850" spans="4:55" x14ac:dyDescent="0.4"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22"/>
      <c r="AI850" s="122"/>
      <c r="AJ850" s="122"/>
      <c r="AK850" s="115"/>
      <c r="AL850" s="115"/>
      <c r="AM850" s="115"/>
      <c r="AN850" s="115"/>
      <c r="AO850" s="115"/>
      <c r="AP850" s="115"/>
      <c r="AQ850" s="115"/>
      <c r="AR850" s="115"/>
      <c r="AS850" s="115"/>
      <c r="AT850" s="115"/>
      <c r="AU850" s="115"/>
      <c r="AV850" s="115"/>
      <c r="AW850" s="115"/>
      <c r="AX850" s="115"/>
      <c r="AY850" s="26"/>
      <c r="AZ850" s="13"/>
      <c r="BC850" s="114"/>
    </row>
    <row r="851" spans="4:55" x14ac:dyDescent="0.4"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22"/>
      <c r="AI851" s="122"/>
      <c r="AJ851" s="122"/>
      <c r="AK851" s="115"/>
      <c r="AL851" s="115"/>
      <c r="AM851" s="115"/>
      <c r="AN851" s="115"/>
      <c r="AO851" s="115"/>
      <c r="AP851" s="115"/>
      <c r="AQ851" s="115"/>
      <c r="AR851" s="115"/>
      <c r="AS851" s="115"/>
      <c r="AT851" s="115"/>
      <c r="AU851" s="115"/>
      <c r="AV851" s="115"/>
      <c r="AW851" s="115"/>
      <c r="AX851" s="115"/>
      <c r="AY851" s="26"/>
      <c r="AZ851" s="13"/>
      <c r="BC851" s="114"/>
    </row>
    <row r="852" spans="4:55" x14ac:dyDescent="0.4"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22"/>
      <c r="AI852" s="122"/>
      <c r="AJ852" s="122"/>
      <c r="AK852" s="115"/>
      <c r="AL852" s="115"/>
      <c r="AM852" s="115"/>
      <c r="AN852" s="115"/>
      <c r="AO852" s="115"/>
      <c r="AP852" s="115"/>
      <c r="AQ852" s="115"/>
      <c r="AR852" s="115"/>
      <c r="AS852" s="115"/>
      <c r="AT852" s="115"/>
      <c r="AU852" s="115"/>
      <c r="AV852" s="115"/>
      <c r="AW852" s="115"/>
      <c r="AX852" s="115"/>
      <c r="AY852" s="26"/>
      <c r="AZ852" s="13"/>
      <c r="BC852" s="114"/>
    </row>
    <row r="853" spans="4:55" x14ac:dyDescent="0.4"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22"/>
      <c r="AI853" s="122"/>
      <c r="AJ853" s="122"/>
      <c r="AK853" s="115"/>
      <c r="AL853" s="115"/>
      <c r="AM853" s="115"/>
      <c r="AN853" s="115"/>
      <c r="AO853" s="115"/>
      <c r="AP853" s="115"/>
      <c r="AQ853" s="115"/>
      <c r="AR853" s="115"/>
      <c r="AS853" s="115"/>
      <c r="AT853" s="115"/>
      <c r="AU853" s="115"/>
      <c r="AV853" s="115"/>
      <c r="AW853" s="115"/>
      <c r="AX853" s="115"/>
      <c r="AY853" s="26"/>
      <c r="AZ853" s="13"/>
      <c r="BC853" s="114"/>
    </row>
    <row r="854" spans="4:55" x14ac:dyDescent="0.4"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22"/>
      <c r="AI854" s="122"/>
      <c r="AJ854" s="122"/>
      <c r="AK854" s="115"/>
      <c r="AL854" s="115"/>
      <c r="AM854" s="115"/>
      <c r="AN854" s="115"/>
      <c r="AO854" s="115"/>
      <c r="AP854" s="115"/>
      <c r="AQ854" s="115"/>
      <c r="AR854" s="115"/>
      <c r="AS854" s="115"/>
      <c r="AT854" s="115"/>
      <c r="AU854" s="115"/>
      <c r="AV854" s="115"/>
      <c r="AW854" s="115"/>
      <c r="AX854" s="115"/>
      <c r="AY854" s="26"/>
      <c r="AZ854" s="13"/>
      <c r="BC854" s="114"/>
    </row>
    <row r="855" spans="4:55" x14ac:dyDescent="0.4"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22"/>
      <c r="AI855" s="122"/>
      <c r="AJ855" s="122"/>
      <c r="AK855" s="115"/>
      <c r="AL855" s="115"/>
      <c r="AM855" s="115"/>
      <c r="AN855" s="115"/>
      <c r="AO855" s="115"/>
      <c r="AP855" s="115"/>
      <c r="AQ855" s="115"/>
      <c r="AR855" s="115"/>
      <c r="AS855" s="115"/>
      <c r="AT855" s="115"/>
      <c r="AU855" s="115"/>
      <c r="AV855" s="115"/>
      <c r="AW855" s="115"/>
      <c r="AX855" s="115"/>
      <c r="AY855" s="26"/>
      <c r="AZ855" s="13"/>
      <c r="BC855" s="114"/>
    </row>
    <row r="856" spans="4:55" x14ac:dyDescent="0.4"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22"/>
      <c r="AI856" s="122"/>
      <c r="AJ856" s="122"/>
      <c r="AK856" s="115"/>
      <c r="AL856" s="115"/>
      <c r="AM856" s="115"/>
      <c r="AN856" s="115"/>
      <c r="AO856" s="115"/>
      <c r="AP856" s="115"/>
      <c r="AQ856" s="115"/>
      <c r="AR856" s="115"/>
      <c r="AS856" s="115"/>
      <c r="AT856" s="115"/>
      <c r="AU856" s="115"/>
      <c r="AV856" s="115"/>
      <c r="AW856" s="115"/>
      <c r="AX856" s="115"/>
      <c r="AY856" s="26"/>
      <c r="AZ856" s="13"/>
      <c r="BC856" s="114"/>
    </row>
    <row r="857" spans="4:55" x14ac:dyDescent="0.4"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22"/>
      <c r="AI857" s="122"/>
      <c r="AJ857" s="122"/>
      <c r="AK857" s="115"/>
      <c r="AL857" s="115"/>
      <c r="AM857" s="115"/>
      <c r="AN857" s="115"/>
      <c r="AO857" s="115"/>
      <c r="AP857" s="115"/>
      <c r="AQ857" s="115"/>
      <c r="AR857" s="115"/>
      <c r="AS857" s="115"/>
      <c r="AT857" s="115"/>
      <c r="AU857" s="115"/>
      <c r="AV857" s="115"/>
      <c r="AW857" s="115"/>
      <c r="AX857" s="115"/>
      <c r="AY857" s="26"/>
      <c r="AZ857" s="13"/>
      <c r="BC857" s="114"/>
    </row>
    <row r="858" spans="4:55" x14ac:dyDescent="0.4"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22"/>
      <c r="AI858" s="122"/>
      <c r="AJ858" s="122"/>
      <c r="AK858" s="115"/>
      <c r="AL858" s="115"/>
      <c r="AM858" s="115"/>
      <c r="AN858" s="115"/>
      <c r="AO858" s="115"/>
      <c r="AP858" s="115"/>
      <c r="AQ858" s="115"/>
      <c r="AR858" s="115"/>
      <c r="AS858" s="115"/>
      <c r="AT858" s="115"/>
      <c r="AU858" s="115"/>
      <c r="AV858" s="115"/>
      <c r="AW858" s="115"/>
      <c r="AX858" s="115"/>
      <c r="AY858" s="26"/>
      <c r="AZ858" s="13"/>
      <c r="BC858" s="114"/>
    </row>
    <row r="859" spans="4:55" x14ac:dyDescent="0.4"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22"/>
      <c r="AI859" s="122"/>
      <c r="AJ859" s="122"/>
      <c r="AK859" s="115"/>
      <c r="AL859" s="115"/>
      <c r="AM859" s="115"/>
      <c r="AN859" s="115"/>
      <c r="AO859" s="115"/>
      <c r="AP859" s="115"/>
      <c r="AQ859" s="115"/>
      <c r="AR859" s="115"/>
      <c r="AS859" s="115"/>
      <c r="AT859" s="115"/>
      <c r="AU859" s="115"/>
      <c r="AV859" s="115"/>
      <c r="AW859" s="115"/>
      <c r="AX859" s="115"/>
      <c r="AY859" s="26"/>
      <c r="AZ859" s="13"/>
      <c r="BC859" s="114"/>
    </row>
    <row r="860" spans="4:55" x14ac:dyDescent="0.4"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22"/>
      <c r="AI860" s="122"/>
      <c r="AJ860" s="122"/>
      <c r="AK860" s="115"/>
      <c r="AL860" s="115"/>
      <c r="AM860" s="115"/>
      <c r="AN860" s="115"/>
      <c r="AO860" s="115"/>
      <c r="AP860" s="115"/>
      <c r="AQ860" s="115"/>
      <c r="AR860" s="115"/>
      <c r="AS860" s="115"/>
      <c r="AT860" s="115"/>
      <c r="AU860" s="115"/>
      <c r="AV860" s="115"/>
      <c r="AW860" s="115"/>
      <c r="AX860" s="115"/>
      <c r="AY860" s="17"/>
      <c r="AZ860" s="13"/>
      <c r="BC860" s="114"/>
    </row>
    <row r="861" spans="4:55" x14ac:dyDescent="0.4"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22"/>
      <c r="AI861" s="122"/>
      <c r="AJ861" s="122"/>
      <c r="AK861" s="115"/>
      <c r="AL861" s="115"/>
      <c r="AM861" s="115"/>
      <c r="AN861" s="115"/>
      <c r="AO861" s="115"/>
      <c r="AP861" s="115"/>
      <c r="AQ861" s="115"/>
      <c r="AR861" s="115"/>
      <c r="AS861" s="115"/>
      <c r="AT861" s="115"/>
      <c r="AU861" s="115"/>
      <c r="AV861" s="115"/>
      <c r="AW861" s="115"/>
      <c r="AX861" s="115"/>
      <c r="AY861" s="26"/>
      <c r="AZ861" s="13"/>
      <c r="BC861" s="114"/>
    </row>
    <row r="862" spans="4:55" x14ac:dyDescent="0.4"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22"/>
      <c r="AI862" s="122"/>
      <c r="AJ862" s="122"/>
      <c r="AK862" s="115"/>
      <c r="AL862" s="115"/>
      <c r="AM862" s="115"/>
      <c r="AN862" s="115"/>
      <c r="AO862" s="115"/>
      <c r="AP862" s="115"/>
      <c r="AQ862" s="115"/>
      <c r="AR862" s="115"/>
      <c r="AS862" s="115"/>
      <c r="AT862" s="115"/>
      <c r="AU862" s="115"/>
      <c r="AV862" s="115"/>
      <c r="AW862" s="115"/>
      <c r="AX862" s="115"/>
      <c r="AY862" s="26"/>
      <c r="AZ862" s="13"/>
      <c r="BC862" s="114"/>
    </row>
    <row r="863" spans="4:55" x14ac:dyDescent="0.4"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22"/>
      <c r="AI863" s="122"/>
      <c r="AJ863" s="122"/>
      <c r="AK863" s="115"/>
      <c r="AL863" s="115"/>
      <c r="AM863" s="115"/>
      <c r="AN863" s="115"/>
      <c r="AO863" s="115"/>
      <c r="AP863" s="115"/>
      <c r="AQ863" s="115"/>
      <c r="AR863" s="115"/>
      <c r="AS863" s="115"/>
      <c r="AT863" s="115"/>
      <c r="AU863" s="115"/>
      <c r="AV863" s="115"/>
      <c r="AW863" s="115"/>
      <c r="AX863" s="115"/>
      <c r="AY863" s="26"/>
      <c r="AZ863" s="13"/>
      <c r="BC863" s="114"/>
    </row>
    <row r="864" spans="4:55" x14ac:dyDescent="0.4"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22"/>
      <c r="AI864" s="122"/>
      <c r="AJ864" s="122"/>
      <c r="AK864" s="115"/>
      <c r="AL864" s="115"/>
      <c r="AM864" s="115"/>
      <c r="AN864" s="115"/>
      <c r="AO864" s="115"/>
      <c r="AP864" s="115"/>
      <c r="AQ864" s="115"/>
      <c r="AR864" s="115"/>
      <c r="AS864" s="115"/>
      <c r="AT864" s="115"/>
      <c r="AU864" s="115"/>
      <c r="AV864" s="115"/>
      <c r="AW864" s="115"/>
      <c r="AX864" s="115"/>
      <c r="AY864" s="26"/>
      <c r="AZ864" s="15"/>
      <c r="BC864" s="114"/>
    </row>
    <row r="865" spans="3:55" x14ac:dyDescent="0.4"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22"/>
      <c r="AI865" s="122"/>
      <c r="AJ865" s="122"/>
      <c r="AK865" s="115"/>
      <c r="AL865" s="115"/>
      <c r="AM865" s="115"/>
      <c r="AN865" s="115"/>
      <c r="AO865" s="115"/>
      <c r="AP865" s="115"/>
      <c r="AQ865" s="115"/>
      <c r="AR865" s="115"/>
      <c r="AS865" s="115"/>
      <c r="AT865" s="115"/>
      <c r="AU865" s="115"/>
      <c r="AV865" s="115"/>
      <c r="AW865" s="115"/>
      <c r="AX865" s="115"/>
      <c r="AY865" s="26"/>
      <c r="AZ865" s="15"/>
      <c r="BC865" s="114"/>
    </row>
    <row r="866" spans="3:55" x14ac:dyDescent="0.4"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22"/>
      <c r="AI866" s="122"/>
      <c r="AJ866" s="122"/>
      <c r="AK866" s="115"/>
      <c r="AL866" s="115"/>
      <c r="AM866" s="115"/>
      <c r="AN866" s="115"/>
      <c r="AO866" s="115"/>
      <c r="AP866" s="115"/>
      <c r="AQ866" s="115"/>
      <c r="AR866" s="115"/>
      <c r="AS866" s="115"/>
      <c r="AT866" s="115"/>
      <c r="AU866" s="115"/>
      <c r="AV866" s="115"/>
      <c r="AW866" s="115"/>
      <c r="AX866" s="115"/>
      <c r="AY866" s="26"/>
      <c r="AZ866" s="15"/>
      <c r="BC866" s="114"/>
    </row>
    <row r="867" spans="3:55" x14ac:dyDescent="0.4"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22"/>
      <c r="AI867" s="122"/>
      <c r="AJ867" s="122"/>
      <c r="AK867" s="115"/>
      <c r="AL867" s="115"/>
      <c r="AM867" s="115"/>
      <c r="AN867" s="115"/>
      <c r="AO867" s="115"/>
      <c r="AP867" s="115"/>
      <c r="AQ867" s="115"/>
      <c r="AR867" s="115"/>
      <c r="AS867" s="115"/>
      <c r="AT867" s="115"/>
      <c r="AU867" s="115"/>
      <c r="AV867" s="115"/>
      <c r="AW867" s="115"/>
      <c r="AX867" s="115"/>
      <c r="AY867" s="26"/>
      <c r="AZ867" s="13"/>
      <c r="BC867" s="114"/>
    </row>
    <row r="868" spans="3:55" x14ac:dyDescent="0.4"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22"/>
      <c r="AI868" s="122"/>
      <c r="AJ868" s="122"/>
      <c r="AK868" s="115"/>
      <c r="AL868" s="115"/>
      <c r="AM868" s="115"/>
      <c r="AN868" s="115"/>
      <c r="AO868" s="115"/>
      <c r="AP868" s="115"/>
      <c r="AQ868" s="115"/>
      <c r="AR868" s="115"/>
      <c r="AS868" s="115"/>
      <c r="AT868" s="115"/>
      <c r="AU868" s="115"/>
      <c r="AV868" s="115"/>
      <c r="AW868" s="115"/>
      <c r="AX868" s="115"/>
      <c r="AY868" s="26"/>
      <c r="AZ868" s="13"/>
      <c r="BC868" s="114"/>
    </row>
    <row r="869" spans="3:55" x14ac:dyDescent="0.4"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22"/>
      <c r="AI869" s="122"/>
      <c r="AJ869" s="122"/>
      <c r="AK869" s="115"/>
      <c r="AL869" s="115"/>
      <c r="AM869" s="115"/>
      <c r="AN869" s="115"/>
      <c r="AO869" s="115"/>
      <c r="AP869" s="115"/>
      <c r="AQ869" s="115"/>
      <c r="AR869" s="115"/>
      <c r="AS869" s="115"/>
      <c r="AT869" s="115"/>
      <c r="AU869" s="115"/>
      <c r="AV869" s="115"/>
      <c r="AW869" s="115"/>
      <c r="AX869" s="115"/>
      <c r="AY869" s="26"/>
      <c r="AZ869" s="13"/>
      <c r="BC869" s="114"/>
    </row>
    <row r="870" spans="3:55" x14ac:dyDescent="0.4"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22"/>
      <c r="AI870" s="122"/>
      <c r="AJ870" s="122"/>
      <c r="AK870" s="115"/>
      <c r="AL870" s="115"/>
      <c r="AM870" s="115"/>
      <c r="AN870" s="115"/>
      <c r="AO870" s="115"/>
      <c r="AP870" s="115"/>
      <c r="AQ870" s="115"/>
      <c r="AR870" s="115"/>
      <c r="AS870" s="115"/>
      <c r="AT870" s="115"/>
      <c r="AU870" s="115"/>
      <c r="AV870" s="115"/>
      <c r="AW870" s="115"/>
      <c r="AX870" s="115"/>
      <c r="AY870" s="17"/>
      <c r="AZ870" s="13"/>
      <c r="BC870" s="114"/>
    </row>
    <row r="871" spans="3:55" x14ac:dyDescent="0.4"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22"/>
      <c r="AI871" s="122"/>
      <c r="AJ871" s="122"/>
      <c r="AK871" s="115"/>
      <c r="AL871" s="115"/>
      <c r="AM871" s="115"/>
      <c r="AN871" s="115"/>
      <c r="AO871" s="115"/>
      <c r="AP871" s="115"/>
      <c r="AQ871" s="115"/>
      <c r="AR871" s="115"/>
      <c r="AS871" s="115"/>
      <c r="AT871" s="115"/>
      <c r="AU871" s="115"/>
      <c r="AV871" s="115"/>
      <c r="AW871" s="115"/>
      <c r="AX871" s="115"/>
      <c r="AY871" s="26"/>
      <c r="AZ871" s="13"/>
      <c r="BC871" s="114"/>
    </row>
    <row r="872" spans="3:55" x14ac:dyDescent="0.4"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22"/>
      <c r="AI872" s="122"/>
      <c r="AJ872" s="122"/>
      <c r="AK872" s="115"/>
      <c r="AL872" s="115"/>
      <c r="AM872" s="115"/>
      <c r="AN872" s="115"/>
      <c r="AO872" s="115"/>
      <c r="AP872" s="115"/>
      <c r="AQ872" s="115"/>
      <c r="AR872" s="115"/>
      <c r="AS872" s="115"/>
      <c r="AT872" s="115"/>
      <c r="AU872" s="115"/>
      <c r="AV872" s="115"/>
      <c r="AW872" s="115"/>
      <c r="AX872" s="115"/>
      <c r="AY872" s="26"/>
      <c r="AZ872" s="25"/>
      <c r="BC872" s="114"/>
    </row>
    <row r="873" spans="3:55" x14ac:dyDescent="0.4"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22"/>
      <c r="AI873" s="122"/>
      <c r="AJ873" s="122"/>
      <c r="AK873" s="115"/>
      <c r="AL873" s="115"/>
      <c r="AM873" s="115"/>
      <c r="AN873" s="115"/>
      <c r="AO873" s="115"/>
      <c r="AP873" s="115"/>
      <c r="AQ873" s="115"/>
      <c r="AR873" s="115"/>
      <c r="AS873" s="115"/>
      <c r="AT873" s="115"/>
      <c r="AU873" s="115"/>
      <c r="AV873" s="115"/>
      <c r="AW873" s="115"/>
      <c r="AX873" s="115"/>
      <c r="AY873" s="26"/>
      <c r="AZ873" s="13"/>
      <c r="BC873" s="114"/>
    </row>
    <row r="874" spans="3:55" x14ac:dyDescent="0.4"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22"/>
      <c r="AI874" s="122"/>
      <c r="AJ874" s="122"/>
      <c r="AK874" s="115"/>
      <c r="AL874" s="115"/>
      <c r="AM874" s="115"/>
      <c r="AN874" s="115"/>
      <c r="AO874" s="115"/>
      <c r="AP874" s="115"/>
      <c r="AQ874" s="115"/>
      <c r="AR874" s="115"/>
      <c r="AS874" s="115"/>
      <c r="AT874" s="115"/>
      <c r="AU874" s="115"/>
      <c r="AV874" s="115"/>
      <c r="AW874" s="115"/>
      <c r="AX874" s="115"/>
      <c r="AY874" s="26"/>
      <c r="AZ874" s="13"/>
      <c r="BC874" s="114"/>
    </row>
    <row r="875" spans="3:55" x14ac:dyDescent="0.4"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22"/>
      <c r="AI875" s="122"/>
      <c r="AJ875" s="122"/>
      <c r="AK875" s="115"/>
      <c r="AL875" s="115"/>
      <c r="AM875" s="115"/>
      <c r="AN875" s="115"/>
      <c r="AO875" s="115"/>
      <c r="AP875" s="115"/>
      <c r="AQ875" s="115"/>
      <c r="AR875" s="115"/>
      <c r="AS875" s="115"/>
      <c r="AT875" s="115"/>
      <c r="AU875" s="115"/>
      <c r="AV875" s="115"/>
      <c r="AW875" s="115"/>
      <c r="AX875" s="115"/>
      <c r="AY875" s="26"/>
      <c r="AZ875" s="13"/>
      <c r="BC875" s="114"/>
    </row>
    <row r="876" spans="3:55" x14ac:dyDescent="0.4"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22"/>
      <c r="AI876" s="122"/>
      <c r="AJ876" s="122"/>
      <c r="AK876" s="115"/>
      <c r="AL876" s="115"/>
      <c r="AM876" s="115"/>
      <c r="AN876" s="115"/>
      <c r="AO876" s="115"/>
      <c r="AP876" s="115"/>
      <c r="AQ876" s="115"/>
      <c r="AR876" s="115"/>
      <c r="AS876" s="115"/>
      <c r="AT876" s="115"/>
      <c r="AU876" s="115"/>
      <c r="AV876" s="115"/>
      <c r="AW876" s="115"/>
      <c r="AX876" s="115"/>
      <c r="AY876" s="26"/>
      <c r="AZ876" s="13"/>
      <c r="BC876" s="114"/>
    </row>
    <row r="877" spans="3:55" x14ac:dyDescent="0.4"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22"/>
      <c r="AI877" s="122"/>
      <c r="AJ877" s="122"/>
      <c r="AK877" s="115"/>
      <c r="AL877" s="115"/>
      <c r="AM877" s="115"/>
      <c r="AN877" s="115"/>
      <c r="AY877" s="26"/>
      <c r="AZ877" s="13"/>
      <c r="BC877" s="114"/>
    </row>
    <row r="878" spans="3:55" x14ac:dyDescent="0.4"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22"/>
      <c r="AI878" s="122"/>
      <c r="AJ878" s="122"/>
      <c r="AK878" s="115"/>
      <c r="AL878" s="115"/>
      <c r="AM878" s="115"/>
      <c r="AN878" s="115"/>
      <c r="AO878" s="115"/>
      <c r="AP878" s="115"/>
      <c r="AQ878" s="115"/>
      <c r="AR878" s="115"/>
      <c r="AS878" s="115"/>
      <c r="AT878" s="115"/>
      <c r="AU878" s="115"/>
      <c r="AV878" s="115"/>
      <c r="AW878" s="115"/>
      <c r="AX878" s="115"/>
      <c r="AY878" s="26"/>
      <c r="AZ878" s="13"/>
      <c r="BC878" s="114"/>
    </row>
    <row r="879" spans="3:55" x14ac:dyDescent="0.4"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22"/>
      <c r="AI879" s="122"/>
      <c r="AJ879" s="122"/>
      <c r="AK879" s="115"/>
      <c r="AL879" s="115"/>
      <c r="AM879" s="115"/>
      <c r="AN879" s="115"/>
      <c r="AO879" s="115"/>
      <c r="AP879" s="115"/>
      <c r="AQ879" s="115"/>
      <c r="AR879" s="115"/>
      <c r="AS879" s="115"/>
      <c r="AT879" s="115"/>
      <c r="AU879" s="115"/>
      <c r="AV879" s="115"/>
      <c r="AW879" s="115"/>
      <c r="AX879" s="115"/>
      <c r="AY879" s="17"/>
      <c r="AZ879" s="13"/>
      <c r="BC879" s="114"/>
    </row>
    <row r="880" spans="3:55" x14ac:dyDescent="0.4"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22"/>
      <c r="AI880" s="122"/>
      <c r="AJ880" s="122"/>
      <c r="AK880" s="115"/>
      <c r="AL880" s="115"/>
      <c r="AM880" s="115"/>
      <c r="AN880" s="115"/>
      <c r="AO880" s="115"/>
      <c r="AP880" s="115"/>
      <c r="AQ880" s="115"/>
      <c r="AR880" s="115"/>
      <c r="AS880" s="115"/>
      <c r="AT880" s="115"/>
      <c r="AU880" s="115"/>
      <c r="AV880" s="115"/>
      <c r="AW880" s="115"/>
      <c r="AX880" s="115"/>
      <c r="AY880" s="26"/>
      <c r="AZ880" s="13"/>
      <c r="BC880" s="114"/>
    </row>
    <row r="881" spans="1:55" x14ac:dyDescent="0.4"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22"/>
      <c r="AI881" s="122"/>
      <c r="AJ881" s="122"/>
      <c r="AK881" s="115"/>
      <c r="AL881" s="115"/>
      <c r="AM881" s="115"/>
      <c r="AN881" s="115"/>
      <c r="AO881" s="115"/>
      <c r="AP881" s="115"/>
      <c r="AQ881" s="115"/>
      <c r="AR881" s="115"/>
      <c r="AS881" s="115"/>
      <c r="AT881" s="115"/>
      <c r="AU881" s="115"/>
      <c r="AV881" s="115"/>
      <c r="AW881" s="115"/>
      <c r="AX881" s="115"/>
      <c r="AY881" s="26"/>
      <c r="AZ881" s="15"/>
      <c r="BC881" s="114"/>
    </row>
    <row r="882" spans="1:55" x14ac:dyDescent="0.4"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22"/>
      <c r="AI882" s="122"/>
      <c r="AJ882" s="122"/>
      <c r="AK882" s="115"/>
      <c r="AL882" s="115"/>
      <c r="AM882" s="115"/>
      <c r="AN882" s="115"/>
      <c r="AO882" s="115"/>
      <c r="AP882" s="115"/>
      <c r="AQ882" s="115"/>
      <c r="AR882" s="115"/>
      <c r="AS882" s="115"/>
      <c r="AT882" s="115"/>
      <c r="AU882" s="115"/>
      <c r="AV882" s="115"/>
      <c r="AW882" s="115"/>
      <c r="AX882" s="115"/>
      <c r="AY882" s="17"/>
      <c r="AZ882" s="15"/>
      <c r="BC882" s="114"/>
    </row>
    <row r="883" spans="1:55" x14ac:dyDescent="0.4"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22"/>
      <c r="AI883" s="122"/>
      <c r="AJ883" s="122"/>
      <c r="AK883" s="115"/>
      <c r="AL883" s="115"/>
      <c r="AM883" s="115"/>
      <c r="AN883" s="115"/>
      <c r="AO883" s="115"/>
      <c r="AP883" s="115"/>
      <c r="AQ883" s="115"/>
      <c r="AR883" s="115"/>
      <c r="AS883" s="115"/>
      <c r="AT883" s="115"/>
      <c r="AU883" s="115"/>
      <c r="AV883" s="115"/>
      <c r="AW883" s="115"/>
      <c r="AX883" s="115"/>
      <c r="AY883" s="26"/>
      <c r="AZ883" s="15"/>
      <c r="BC883" s="114"/>
    </row>
    <row r="884" spans="1:55" x14ac:dyDescent="0.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22"/>
      <c r="AI884" s="122"/>
      <c r="AJ884" s="122"/>
      <c r="AK884" s="115"/>
      <c r="AL884" s="115"/>
      <c r="AM884" s="115"/>
      <c r="AN884" s="115"/>
      <c r="AO884" s="115"/>
      <c r="AP884" s="115"/>
      <c r="AQ884" s="115"/>
      <c r="AR884" s="115"/>
      <c r="AS884" s="115"/>
      <c r="AT884" s="115"/>
      <c r="AU884" s="115"/>
      <c r="AV884" s="115"/>
      <c r="AW884" s="115"/>
      <c r="AX884" s="115"/>
      <c r="AY884" s="26"/>
      <c r="AZ884" s="15"/>
      <c r="BC884" s="114"/>
    </row>
    <row r="885" spans="1:55" x14ac:dyDescent="0.4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22"/>
      <c r="AI885" s="122"/>
      <c r="AJ885" s="122"/>
      <c r="AK885" s="115"/>
      <c r="AL885" s="115"/>
      <c r="AM885" s="115"/>
      <c r="AN885" s="115"/>
      <c r="AO885" s="115"/>
      <c r="AP885" s="115"/>
      <c r="AQ885" s="115"/>
      <c r="AR885" s="115"/>
      <c r="AS885" s="115"/>
      <c r="AT885" s="115"/>
      <c r="AU885" s="115"/>
      <c r="AV885" s="115"/>
      <c r="AW885" s="115"/>
      <c r="AX885" s="115"/>
      <c r="AY885" s="17"/>
      <c r="AZ885" s="13"/>
      <c r="BC885" s="114"/>
    </row>
    <row r="886" spans="1:55" x14ac:dyDescent="0.4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22"/>
      <c r="AI886" s="122"/>
      <c r="AJ886" s="122"/>
      <c r="AK886" s="115"/>
      <c r="AL886" s="115"/>
      <c r="AM886" s="115"/>
      <c r="AN886" s="115"/>
      <c r="AO886" s="115"/>
      <c r="AP886" s="115"/>
      <c r="AQ886" s="115"/>
      <c r="AR886" s="115"/>
      <c r="AS886" s="115"/>
      <c r="AT886" s="115"/>
      <c r="AU886" s="115"/>
      <c r="AV886" s="115"/>
      <c r="AW886" s="115"/>
      <c r="AX886" s="115"/>
      <c r="AY886" s="17"/>
      <c r="AZ886" s="13"/>
      <c r="BC886" s="114"/>
    </row>
    <row r="887" spans="1:55" x14ac:dyDescent="0.4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22"/>
      <c r="AI887" s="122"/>
      <c r="AJ887" s="122"/>
      <c r="AK887" s="115"/>
      <c r="AL887" s="115"/>
      <c r="AM887" s="115"/>
      <c r="AN887" s="115"/>
      <c r="AO887" s="115"/>
      <c r="AP887" s="115"/>
      <c r="AQ887" s="115"/>
      <c r="AR887" s="115"/>
      <c r="AS887" s="115"/>
      <c r="AT887" s="115"/>
      <c r="AU887" s="115"/>
      <c r="AV887" s="115"/>
      <c r="AW887" s="115"/>
      <c r="AX887" s="115"/>
      <c r="AY887" s="26"/>
      <c r="AZ887" s="13"/>
      <c r="BC887" s="114"/>
    </row>
    <row r="888" spans="1:55" x14ac:dyDescent="0.4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22"/>
      <c r="AI888" s="122"/>
      <c r="AJ888" s="122"/>
      <c r="AK888" s="115"/>
      <c r="AL888" s="115"/>
      <c r="AM888" s="115"/>
      <c r="AN888" s="115"/>
      <c r="AO888" s="115"/>
      <c r="AP888" s="115"/>
      <c r="AQ888" s="115"/>
      <c r="AR888" s="115"/>
      <c r="AS888" s="115"/>
      <c r="AT888" s="115"/>
      <c r="AU888" s="115"/>
      <c r="AV888" s="115"/>
      <c r="AW888" s="115"/>
      <c r="AX888" s="115"/>
      <c r="AY888" s="26"/>
      <c r="AZ888" s="13"/>
      <c r="BC888" s="114"/>
    </row>
    <row r="889" spans="1:55" x14ac:dyDescent="0.4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22"/>
      <c r="AI889" s="122"/>
      <c r="AJ889" s="122"/>
      <c r="AK889" s="115"/>
      <c r="AL889" s="115"/>
      <c r="AM889" s="115"/>
      <c r="AN889" s="115"/>
      <c r="AO889" s="115"/>
      <c r="AP889" s="115"/>
      <c r="AQ889" s="115"/>
      <c r="AR889" s="115"/>
      <c r="AS889" s="115"/>
      <c r="AT889" s="115"/>
      <c r="AU889" s="115"/>
      <c r="AV889" s="115"/>
      <c r="AW889" s="115"/>
      <c r="AX889" s="115"/>
      <c r="AY889" s="17"/>
      <c r="AZ889" s="13"/>
      <c r="BC889" s="114"/>
    </row>
    <row r="890" spans="1:55" x14ac:dyDescent="0.4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22"/>
      <c r="AI890" s="122"/>
      <c r="AJ890" s="122"/>
      <c r="AK890" s="115"/>
      <c r="AL890" s="115"/>
      <c r="AM890" s="115"/>
      <c r="AN890" s="115"/>
      <c r="AO890" s="115"/>
      <c r="AP890" s="115"/>
      <c r="AQ890" s="115"/>
      <c r="AR890" s="115"/>
      <c r="AS890" s="115"/>
      <c r="AT890" s="115"/>
      <c r="AU890" s="115"/>
      <c r="AV890" s="115"/>
      <c r="AW890" s="115"/>
      <c r="AX890" s="115"/>
      <c r="AY890" s="26"/>
      <c r="AZ890" s="15"/>
      <c r="BC890" s="114"/>
    </row>
    <row r="891" spans="1:55" x14ac:dyDescent="0.4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22"/>
      <c r="AI891" s="122"/>
      <c r="AJ891" s="122"/>
      <c r="AK891" s="115"/>
      <c r="AL891" s="115"/>
      <c r="AM891" s="115"/>
      <c r="AN891" s="115"/>
      <c r="AO891" s="115"/>
      <c r="AP891" s="115"/>
      <c r="AQ891" s="115"/>
      <c r="AR891" s="115"/>
      <c r="AS891" s="115"/>
      <c r="AT891" s="115"/>
      <c r="AU891" s="115"/>
      <c r="AV891" s="115"/>
      <c r="AW891" s="115"/>
      <c r="AX891" s="115"/>
      <c r="AY891" s="26"/>
      <c r="AZ891" s="15"/>
      <c r="BC891" s="114"/>
    </row>
    <row r="892" spans="1:55" x14ac:dyDescent="0.4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22"/>
      <c r="AI892" s="122"/>
      <c r="AJ892" s="122"/>
      <c r="AK892" s="115"/>
      <c r="AL892" s="115"/>
      <c r="AM892" s="115"/>
      <c r="AN892" s="115"/>
      <c r="AO892" s="115"/>
      <c r="AP892" s="115"/>
      <c r="AQ892" s="115"/>
      <c r="AR892" s="115"/>
      <c r="AS892" s="115"/>
      <c r="AT892" s="115"/>
      <c r="AU892" s="115"/>
      <c r="AV892" s="115"/>
      <c r="AW892" s="115"/>
      <c r="AX892" s="115"/>
      <c r="AY892" s="26"/>
      <c r="AZ892" s="15"/>
      <c r="BC892" s="114"/>
    </row>
    <row r="893" spans="1:55" x14ac:dyDescent="0.4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22"/>
      <c r="AI893" s="122"/>
      <c r="AJ893" s="122"/>
      <c r="AK893" s="115"/>
      <c r="AL893" s="115"/>
      <c r="AM893" s="115"/>
      <c r="AN893" s="115"/>
      <c r="AO893" s="115"/>
      <c r="AP893" s="115"/>
      <c r="AQ893" s="115"/>
      <c r="AR893" s="115"/>
      <c r="AS893" s="115"/>
      <c r="AT893" s="115"/>
      <c r="AU893" s="115"/>
      <c r="AV893" s="115"/>
      <c r="AW893" s="115"/>
      <c r="AX893" s="115"/>
      <c r="AY893" s="26"/>
      <c r="AZ893" s="13"/>
      <c r="BC893" s="114"/>
    </row>
    <row r="894" spans="1:55" x14ac:dyDescent="0.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22"/>
      <c r="AI894" s="122"/>
      <c r="AJ894" s="122"/>
      <c r="AK894" s="115"/>
      <c r="AL894" s="115"/>
      <c r="AM894" s="115"/>
      <c r="AN894" s="115"/>
      <c r="AO894" s="115"/>
      <c r="AP894" s="115"/>
      <c r="AQ894" s="115"/>
      <c r="AR894" s="115"/>
      <c r="AS894" s="115"/>
      <c r="AT894" s="115"/>
      <c r="AU894" s="115"/>
      <c r="AV894" s="115"/>
      <c r="AW894" s="115"/>
      <c r="AX894" s="115"/>
      <c r="AY894" s="26"/>
      <c r="AZ894" s="25"/>
      <c r="BC894" s="114"/>
    </row>
    <row r="895" spans="1:55" x14ac:dyDescent="0.4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22"/>
      <c r="AI895" s="122"/>
      <c r="AJ895" s="122"/>
      <c r="AK895" s="115"/>
      <c r="AL895" s="115"/>
      <c r="AM895" s="115"/>
      <c r="AN895" s="115"/>
      <c r="AO895" s="115"/>
      <c r="AP895" s="115"/>
      <c r="AQ895" s="115"/>
      <c r="AR895" s="115"/>
      <c r="AS895" s="115"/>
      <c r="AT895" s="115"/>
      <c r="AU895" s="115"/>
      <c r="AV895" s="115"/>
      <c r="AW895" s="115"/>
      <c r="AX895" s="115"/>
      <c r="AY895" s="26"/>
      <c r="AZ895" s="13"/>
      <c r="BC895" s="114"/>
    </row>
    <row r="896" spans="1:55" x14ac:dyDescent="0.4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22"/>
      <c r="AI896" s="122"/>
      <c r="AJ896" s="122"/>
      <c r="AK896" s="115"/>
      <c r="AL896" s="115"/>
      <c r="AM896" s="115"/>
      <c r="AN896" s="115"/>
      <c r="AO896" s="115"/>
      <c r="AP896" s="115"/>
      <c r="AQ896" s="115"/>
      <c r="AR896" s="115"/>
      <c r="AS896" s="115"/>
      <c r="AT896" s="115"/>
      <c r="AU896" s="115"/>
      <c r="AV896" s="115"/>
      <c r="AW896" s="115"/>
      <c r="AX896" s="115"/>
      <c r="AY896" s="26"/>
      <c r="AZ896" s="13"/>
      <c r="BC896" s="114"/>
    </row>
    <row r="897" spans="1:55" x14ac:dyDescent="0.4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22"/>
      <c r="AI897" s="122"/>
      <c r="AJ897" s="122"/>
      <c r="AK897" s="115"/>
      <c r="AL897" s="115"/>
      <c r="AM897" s="115"/>
      <c r="AN897" s="115"/>
      <c r="AO897" s="115"/>
      <c r="AP897" s="115"/>
      <c r="AQ897" s="115"/>
      <c r="AR897" s="115"/>
      <c r="AS897" s="115"/>
      <c r="AT897" s="115"/>
      <c r="AU897" s="115"/>
      <c r="AV897" s="115"/>
      <c r="AW897" s="115"/>
      <c r="AX897" s="115"/>
      <c r="AY897" s="26"/>
      <c r="AZ897" s="13"/>
      <c r="BC897" s="114"/>
    </row>
    <row r="898" spans="1:55" x14ac:dyDescent="0.4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22"/>
      <c r="AI898" s="122"/>
      <c r="AJ898" s="122"/>
      <c r="AK898" s="115"/>
      <c r="AL898" s="115"/>
      <c r="AM898" s="115"/>
      <c r="AN898" s="115"/>
      <c r="AO898" s="115"/>
      <c r="AP898" s="115"/>
      <c r="AQ898" s="115"/>
      <c r="AR898" s="115"/>
      <c r="AS898" s="115"/>
      <c r="AT898" s="115"/>
      <c r="AU898" s="115"/>
      <c r="AV898" s="115"/>
      <c r="AW898" s="115"/>
      <c r="AX898" s="115"/>
      <c r="AY898" s="26"/>
      <c r="AZ898" s="13"/>
      <c r="BC898" s="114"/>
    </row>
    <row r="899" spans="1:55" x14ac:dyDescent="0.4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22"/>
      <c r="AI899" s="122"/>
      <c r="AJ899" s="122"/>
      <c r="AK899" s="115"/>
      <c r="AL899" s="115"/>
      <c r="AM899" s="115"/>
      <c r="AN899" s="115"/>
      <c r="AO899" s="115"/>
      <c r="AP899" s="115"/>
      <c r="AQ899" s="115"/>
      <c r="AR899" s="115"/>
      <c r="AS899" s="115"/>
      <c r="AT899" s="115"/>
      <c r="AU899" s="115"/>
      <c r="AV899" s="115"/>
      <c r="AW899" s="115"/>
      <c r="AX899" s="115"/>
      <c r="AY899" s="26"/>
      <c r="AZ899" s="13"/>
      <c r="BC899" s="114"/>
    </row>
    <row r="900" spans="1:55" x14ac:dyDescent="0.4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22"/>
      <c r="AI900" s="122"/>
      <c r="AJ900" s="122"/>
      <c r="AK900" s="115"/>
      <c r="AL900" s="115"/>
      <c r="AM900" s="115"/>
      <c r="AN900" s="115"/>
      <c r="AO900" s="115"/>
      <c r="AP900" s="115"/>
      <c r="AQ900" s="115"/>
      <c r="AR900" s="115"/>
      <c r="AS900" s="115"/>
      <c r="AT900" s="115"/>
      <c r="AU900" s="115"/>
      <c r="AV900" s="115"/>
      <c r="AW900" s="115"/>
      <c r="AX900" s="115"/>
      <c r="AY900" s="26"/>
      <c r="AZ900" s="13"/>
      <c r="BC900" s="114"/>
    </row>
    <row r="901" spans="1:55" x14ac:dyDescent="0.4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22"/>
      <c r="AI901" s="122"/>
      <c r="AJ901" s="122"/>
      <c r="AK901" s="115"/>
      <c r="AL901" s="115"/>
      <c r="AM901" s="115"/>
      <c r="AN901" s="115"/>
      <c r="AO901" s="115"/>
      <c r="AP901" s="115"/>
      <c r="AQ901" s="115"/>
      <c r="AR901" s="115"/>
      <c r="AS901" s="115"/>
      <c r="AT901" s="115"/>
      <c r="AU901" s="115"/>
      <c r="AV901" s="115"/>
      <c r="AW901" s="115"/>
      <c r="AX901" s="115"/>
      <c r="AY901" s="26"/>
      <c r="AZ901" s="13"/>
      <c r="BC901" s="114"/>
    </row>
    <row r="902" spans="1:55" x14ac:dyDescent="0.4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22"/>
      <c r="AI902" s="122"/>
      <c r="AJ902" s="122"/>
      <c r="AK902" s="115"/>
      <c r="AL902" s="115"/>
      <c r="AM902" s="115"/>
      <c r="AN902" s="115"/>
      <c r="AO902" s="115"/>
      <c r="AP902" s="115"/>
      <c r="AQ902" s="115"/>
      <c r="AR902" s="115"/>
      <c r="AS902" s="115"/>
      <c r="AT902" s="115"/>
      <c r="AU902" s="115"/>
      <c r="AV902" s="115"/>
      <c r="AW902" s="115"/>
      <c r="AX902" s="115"/>
      <c r="AY902" s="26"/>
      <c r="AZ902" s="13"/>
      <c r="BC902" s="114"/>
    </row>
    <row r="903" spans="1:55" x14ac:dyDescent="0.4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22"/>
      <c r="AI903" s="122"/>
      <c r="AJ903" s="122"/>
      <c r="AK903" s="115"/>
      <c r="AL903" s="115"/>
      <c r="AM903" s="115"/>
      <c r="AN903" s="115"/>
      <c r="AO903" s="115"/>
      <c r="AP903" s="115"/>
      <c r="AQ903" s="115"/>
      <c r="AR903" s="115"/>
      <c r="AS903" s="115"/>
      <c r="AT903" s="115"/>
      <c r="AU903" s="115"/>
      <c r="AV903" s="115"/>
      <c r="AW903" s="115"/>
      <c r="AX903" s="115"/>
      <c r="AY903" s="26"/>
      <c r="AZ903" s="13"/>
      <c r="BC903" s="114"/>
    </row>
    <row r="904" spans="1:55" x14ac:dyDescent="0.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22"/>
      <c r="AI904" s="122"/>
      <c r="AJ904" s="122"/>
      <c r="AK904" s="115"/>
      <c r="AL904" s="115"/>
      <c r="AM904" s="115"/>
      <c r="AN904" s="115"/>
      <c r="AO904" s="115"/>
      <c r="AP904" s="115"/>
      <c r="AQ904" s="115"/>
      <c r="AR904" s="115"/>
      <c r="AS904" s="115"/>
      <c r="AT904" s="115"/>
      <c r="AU904" s="115"/>
      <c r="AV904" s="115"/>
      <c r="AW904" s="115"/>
      <c r="AX904" s="115"/>
      <c r="AY904" s="26"/>
      <c r="AZ904" s="13"/>
      <c r="BC904" s="114"/>
    </row>
    <row r="905" spans="1:55" x14ac:dyDescent="0.4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22"/>
      <c r="AI905" s="122"/>
      <c r="AJ905" s="122"/>
      <c r="AK905" s="115"/>
      <c r="AL905" s="115"/>
      <c r="AM905" s="115"/>
      <c r="AN905" s="115"/>
      <c r="AO905" s="115"/>
      <c r="AP905" s="115"/>
      <c r="AQ905" s="115"/>
      <c r="AR905" s="115"/>
      <c r="AS905" s="115"/>
      <c r="AT905" s="115"/>
      <c r="AU905" s="115"/>
      <c r="AV905" s="115"/>
      <c r="AW905" s="115"/>
      <c r="AX905" s="115"/>
      <c r="AY905" s="26"/>
      <c r="AZ905" s="15"/>
      <c r="BC905" s="114"/>
    </row>
    <row r="906" spans="1:55" x14ac:dyDescent="0.4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22"/>
      <c r="AI906" s="122"/>
      <c r="AJ906" s="122"/>
      <c r="AK906" s="115"/>
      <c r="AL906" s="115"/>
      <c r="AM906" s="115"/>
      <c r="AN906" s="115"/>
      <c r="AO906" s="115"/>
      <c r="AP906" s="115"/>
      <c r="AQ906" s="115"/>
      <c r="AR906" s="115"/>
      <c r="AS906" s="115"/>
      <c r="AT906" s="115"/>
      <c r="AU906" s="115"/>
      <c r="AV906" s="115"/>
      <c r="AW906" s="115"/>
      <c r="AX906" s="115"/>
      <c r="AY906" s="26"/>
      <c r="AZ906" s="15"/>
      <c r="BC906" s="114"/>
    </row>
    <row r="907" spans="1:55" x14ac:dyDescent="0.4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22"/>
      <c r="AI907" s="122"/>
      <c r="AJ907" s="122"/>
      <c r="AK907" s="115"/>
      <c r="AL907" s="115"/>
      <c r="AM907" s="115"/>
      <c r="AN907" s="115"/>
      <c r="AO907" s="115"/>
      <c r="AP907" s="115"/>
      <c r="AQ907" s="115"/>
      <c r="AR907" s="115"/>
      <c r="AS907" s="115"/>
      <c r="AT907" s="115"/>
      <c r="AU907" s="115"/>
      <c r="AV907" s="115"/>
      <c r="AW907" s="115"/>
      <c r="AX907" s="115"/>
      <c r="AY907" s="26"/>
      <c r="AZ907" s="15"/>
      <c r="BC907" s="114"/>
    </row>
    <row r="908" spans="1:55" x14ac:dyDescent="0.4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22"/>
      <c r="AI908" s="122"/>
      <c r="AJ908" s="122"/>
      <c r="AK908" s="115"/>
      <c r="AL908" s="115"/>
      <c r="AM908" s="115"/>
      <c r="AN908" s="115"/>
      <c r="AO908" s="115"/>
      <c r="AP908" s="115"/>
      <c r="AQ908" s="115"/>
      <c r="AR908" s="115"/>
      <c r="AS908" s="115"/>
      <c r="AT908" s="115"/>
      <c r="AU908" s="115"/>
      <c r="AV908" s="115"/>
      <c r="AW908" s="115"/>
      <c r="AX908" s="115"/>
      <c r="AY908" s="26"/>
      <c r="AZ908" s="15"/>
      <c r="BC908" s="114"/>
    </row>
    <row r="909" spans="1:55" x14ac:dyDescent="0.4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22"/>
      <c r="AI909" s="122"/>
      <c r="AJ909" s="122"/>
      <c r="AK909" s="115"/>
      <c r="AL909" s="115"/>
      <c r="AM909" s="115"/>
      <c r="AN909" s="115"/>
      <c r="AO909" s="115"/>
      <c r="AP909" s="115"/>
      <c r="AQ909" s="115"/>
      <c r="AR909" s="115"/>
      <c r="AS909" s="115"/>
      <c r="AT909" s="115"/>
      <c r="AU909" s="115"/>
      <c r="AV909" s="115"/>
      <c r="AW909" s="115"/>
      <c r="AX909" s="115"/>
      <c r="AY909" s="26"/>
      <c r="AZ909" s="13"/>
      <c r="BC909" s="114"/>
    </row>
    <row r="910" spans="1:55" x14ac:dyDescent="0.4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22"/>
      <c r="AI910" s="122"/>
      <c r="AJ910" s="122"/>
      <c r="AK910" s="115"/>
      <c r="AL910" s="115"/>
      <c r="AM910" s="115"/>
      <c r="AN910" s="115"/>
      <c r="AO910" s="115"/>
      <c r="AP910" s="115"/>
      <c r="AQ910" s="115"/>
      <c r="AR910" s="115"/>
      <c r="AS910" s="115"/>
      <c r="AT910" s="115"/>
      <c r="AU910" s="115"/>
      <c r="AV910" s="115"/>
      <c r="AW910" s="115"/>
      <c r="AX910" s="115"/>
      <c r="AY910" s="26"/>
      <c r="AZ910" s="15"/>
      <c r="BC910" s="114"/>
    </row>
    <row r="911" spans="1:55" x14ac:dyDescent="0.4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22"/>
      <c r="AI911" s="122"/>
      <c r="AJ911" s="122"/>
      <c r="AK911" s="115"/>
      <c r="AL911" s="115"/>
      <c r="AM911" s="115"/>
      <c r="AN911" s="115"/>
      <c r="AO911" s="115"/>
      <c r="AP911" s="115"/>
      <c r="AQ911" s="115"/>
      <c r="AR911" s="115"/>
      <c r="AS911" s="115"/>
      <c r="AT911" s="115"/>
      <c r="AU911" s="115"/>
      <c r="AV911" s="115"/>
      <c r="AW911" s="115"/>
      <c r="AX911" s="115"/>
      <c r="AY911" s="26"/>
      <c r="AZ911" s="15"/>
      <c r="BC911" s="114"/>
    </row>
    <row r="912" spans="1:55" x14ac:dyDescent="0.4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22"/>
      <c r="AI912" s="122"/>
      <c r="AJ912" s="122"/>
      <c r="AK912" s="115"/>
      <c r="AL912" s="115"/>
      <c r="AM912" s="115"/>
      <c r="AN912" s="115"/>
      <c r="AO912" s="115"/>
      <c r="AP912" s="115"/>
      <c r="AQ912" s="115"/>
      <c r="AR912" s="115"/>
      <c r="AS912" s="115"/>
      <c r="AT912" s="115"/>
      <c r="AU912" s="115"/>
      <c r="AV912" s="115"/>
      <c r="AW912" s="115"/>
      <c r="AX912" s="115"/>
      <c r="AY912" s="26"/>
      <c r="AZ912" s="15"/>
      <c r="BC912" s="114"/>
    </row>
    <row r="913" spans="1:55" x14ac:dyDescent="0.4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22"/>
      <c r="AI913" s="122"/>
      <c r="AJ913" s="122"/>
      <c r="AK913" s="115"/>
      <c r="AL913" s="115"/>
      <c r="AM913" s="115"/>
      <c r="AN913" s="115"/>
      <c r="AO913" s="115"/>
      <c r="AP913" s="115"/>
      <c r="AQ913" s="115"/>
      <c r="AR913" s="115"/>
      <c r="AS913" s="115"/>
      <c r="AT913" s="115"/>
      <c r="AU913" s="115"/>
      <c r="AV913" s="115"/>
      <c r="AW913" s="115"/>
      <c r="AX913" s="115"/>
      <c r="AY913" s="26"/>
      <c r="AZ913" s="15"/>
      <c r="BC913" s="114"/>
    </row>
    <row r="914" spans="1:55" x14ac:dyDescent="0.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22"/>
      <c r="AI914" s="122"/>
      <c r="AJ914" s="122"/>
      <c r="AK914" s="115"/>
      <c r="AL914" s="115"/>
      <c r="AM914" s="115"/>
      <c r="AN914" s="115"/>
      <c r="AO914" s="115"/>
      <c r="AP914" s="115"/>
      <c r="AQ914" s="115"/>
      <c r="AR914" s="115"/>
      <c r="AS914" s="115"/>
      <c r="AT914" s="115"/>
      <c r="AU914" s="115"/>
      <c r="AV914" s="115"/>
      <c r="AW914" s="115"/>
      <c r="AX914" s="115"/>
      <c r="AY914" s="26"/>
      <c r="AZ914" s="15"/>
      <c r="BC914" s="114"/>
    </row>
    <row r="915" spans="1:55" x14ac:dyDescent="0.4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22"/>
      <c r="AI915" s="122"/>
      <c r="AJ915" s="122"/>
      <c r="AK915" s="115"/>
      <c r="AL915" s="115"/>
      <c r="AM915" s="115"/>
      <c r="AN915" s="115"/>
      <c r="AO915" s="115"/>
      <c r="AP915" s="115"/>
      <c r="AQ915" s="115"/>
      <c r="AR915" s="115"/>
      <c r="AS915" s="115"/>
      <c r="AT915" s="115"/>
      <c r="AU915" s="115"/>
      <c r="AV915" s="115"/>
      <c r="AW915" s="115"/>
      <c r="AX915" s="115"/>
      <c r="AY915" s="26"/>
      <c r="AZ915" s="105"/>
      <c r="BC915" s="114"/>
    </row>
    <row r="916" spans="1:55" x14ac:dyDescent="0.4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22"/>
      <c r="AI916" s="122"/>
      <c r="AJ916" s="122"/>
      <c r="AK916" s="115"/>
      <c r="AL916" s="115"/>
      <c r="AM916" s="115"/>
      <c r="AN916" s="115"/>
      <c r="AO916" s="115"/>
      <c r="AP916" s="115"/>
      <c r="AQ916" s="115"/>
      <c r="AR916" s="115"/>
      <c r="AS916" s="115"/>
      <c r="AT916" s="115"/>
      <c r="AU916" s="115"/>
      <c r="AV916" s="115"/>
      <c r="AW916" s="115"/>
      <c r="AX916" s="115"/>
      <c r="AY916" s="17"/>
      <c r="AZ916" s="15"/>
      <c r="BC916" s="114"/>
    </row>
    <row r="917" spans="1:55" x14ac:dyDescent="0.4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22"/>
      <c r="AI917" s="122"/>
      <c r="AJ917" s="122"/>
      <c r="AK917" s="115"/>
      <c r="AL917" s="115"/>
      <c r="AM917" s="115"/>
      <c r="AN917" s="115"/>
      <c r="AO917" s="115"/>
      <c r="AP917" s="115"/>
      <c r="AQ917" s="115"/>
      <c r="AR917" s="115"/>
      <c r="AS917" s="115"/>
      <c r="AT917" s="115"/>
      <c r="AU917" s="115"/>
      <c r="AV917" s="115"/>
      <c r="AW917" s="115"/>
      <c r="AX917" s="115"/>
      <c r="AY917" s="26"/>
      <c r="AZ917" s="15"/>
      <c r="BC917" s="114"/>
    </row>
    <row r="918" spans="1:55" x14ac:dyDescent="0.4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22"/>
      <c r="AI918" s="122"/>
      <c r="AJ918" s="122"/>
      <c r="AK918" s="115"/>
      <c r="AL918" s="115"/>
      <c r="AM918" s="115"/>
      <c r="AN918" s="115"/>
      <c r="AO918" s="115"/>
      <c r="AP918" s="115"/>
      <c r="AQ918" s="115"/>
      <c r="AR918" s="115"/>
      <c r="AS918" s="115"/>
      <c r="AT918" s="115"/>
      <c r="AU918" s="115"/>
      <c r="AV918" s="115"/>
      <c r="AW918" s="115"/>
      <c r="AX918" s="115"/>
      <c r="AY918" s="26"/>
      <c r="AZ918" s="15"/>
      <c r="BC918" s="114"/>
    </row>
    <row r="919" spans="1:55" x14ac:dyDescent="0.4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22"/>
      <c r="AI919" s="122"/>
      <c r="AJ919" s="122"/>
      <c r="AK919" s="115"/>
      <c r="AL919" s="115"/>
      <c r="AM919" s="115"/>
      <c r="AN919" s="115"/>
      <c r="AO919" s="115"/>
      <c r="AP919" s="115"/>
      <c r="AQ919" s="115"/>
      <c r="AR919" s="115"/>
      <c r="AS919" s="115"/>
      <c r="AT919" s="115"/>
      <c r="AU919" s="115"/>
      <c r="AV919" s="115"/>
      <c r="AW919" s="115"/>
      <c r="AX919" s="115"/>
      <c r="AY919" s="26"/>
      <c r="AZ919" s="105"/>
      <c r="BC919" s="114"/>
    </row>
    <row r="920" spans="1:55" x14ac:dyDescent="0.4">
      <c r="AY920" s="26"/>
      <c r="AZ920" s="15"/>
      <c r="BC920" s="114"/>
    </row>
    <row r="921" spans="1:55" x14ac:dyDescent="0.4">
      <c r="AI921" s="122"/>
      <c r="AJ921" s="122"/>
      <c r="AK921" s="115"/>
      <c r="AL921" s="115"/>
      <c r="AM921" s="115"/>
      <c r="AN921" s="115"/>
      <c r="AO921" s="115"/>
      <c r="AP921" s="115"/>
      <c r="AQ921" s="115"/>
      <c r="AR921" s="115"/>
      <c r="AS921" s="115"/>
      <c r="AT921" s="115"/>
      <c r="AU921" s="115"/>
      <c r="AV921" s="115"/>
      <c r="AW921" s="115"/>
      <c r="AX921" s="115"/>
      <c r="AY921" s="26"/>
      <c r="AZ921" s="15"/>
      <c r="BC921" s="114"/>
    </row>
    <row r="922" spans="1:55" x14ac:dyDescent="0.4">
      <c r="AE922" s="115"/>
      <c r="AF922" s="115"/>
      <c r="AG922" s="115"/>
      <c r="AH922" s="122"/>
      <c r="AI922" s="122"/>
      <c r="AJ922" s="122"/>
      <c r="AK922" s="115"/>
      <c r="AL922" s="115"/>
      <c r="AM922" s="115"/>
      <c r="AN922" s="115"/>
      <c r="AO922" s="115"/>
      <c r="AP922" s="115"/>
      <c r="AQ922" s="115"/>
      <c r="AR922" s="115"/>
      <c r="AS922" s="115"/>
      <c r="AT922" s="115"/>
      <c r="AU922" s="115"/>
      <c r="AV922" s="115"/>
      <c r="AW922" s="115"/>
      <c r="AX922" s="115"/>
      <c r="AY922" s="26"/>
      <c r="AZ922" s="15"/>
      <c r="BC922" s="114"/>
    </row>
    <row r="923" spans="1:55" x14ac:dyDescent="0.4"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22"/>
      <c r="AI923" s="122"/>
      <c r="AJ923" s="122"/>
      <c r="AK923" s="115"/>
      <c r="AL923" s="115"/>
      <c r="AM923" s="115"/>
      <c r="AN923" s="115"/>
      <c r="AO923" s="115"/>
      <c r="AP923" s="115"/>
      <c r="AQ923" s="115"/>
      <c r="AR923" s="115"/>
      <c r="AS923" s="115"/>
      <c r="AT923" s="115"/>
      <c r="AU923" s="115"/>
      <c r="AV923" s="115"/>
      <c r="AW923" s="115"/>
      <c r="AX923" s="115"/>
      <c r="AY923" s="26"/>
      <c r="AZ923" s="15"/>
      <c r="BC923" s="114"/>
    </row>
    <row r="924" spans="1:55" x14ac:dyDescent="0.4"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22"/>
      <c r="AI924" s="122"/>
      <c r="AJ924" s="122"/>
      <c r="AK924" s="115"/>
      <c r="AL924" s="115"/>
      <c r="AM924" s="115"/>
      <c r="AN924" s="115"/>
      <c r="AO924" s="115"/>
      <c r="AP924" s="115"/>
      <c r="AQ924" s="115"/>
      <c r="AR924" s="115"/>
      <c r="AS924" s="115"/>
      <c r="AT924" s="115"/>
      <c r="AU924" s="115"/>
      <c r="AV924" s="115"/>
      <c r="AW924" s="115"/>
      <c r="AX924" s="115"/>
      <c r="AY924" s="17"/>
      <c r="AZ924" s="15"/>
      <c r="BC924" s="114"/>
    </row>
    <row r="925" spans="1:55" x14ac:dyDescent="0.4"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22"/>
      <c r="AI925" s="122"/>
      <c r="AJ925" s="122"/>
      <c r="AK925" s="115"/>
      <c r="AL925" s="115"/>
      <c r="AM925" s="115"/>
      <c r="AN925" s="115"/>
      <c r="AO925" s="115"/>
      <c r="AP925" s="115"/>
      <c r="AQ925" s="115"/>
      <c r="AR925" s="115"/>
      <c r="AS925" s="115"/>
      <c r="AT925" s="115"/>
      <c r="AU925" s="115"/>
      <c r="AV925" s="115"/>
      <c r="AW925" s="115"/>
      <c r="AX925" s="115"/>
      <c r="AY925" s="26"/>
      <c r="AZ925" s="15"/>
      <c r="BC925" s="114"/>
    </row>
    <row r="926" spans="1:55" x14ac:dyDescent="0.4"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22"/>
      <c r="AI926" s="122"/>
      <c r="AJ926" s="122"/>
      <c r="AK926" s="115"/>
      <c r="AL926" s="115"/>
      <c r="AM926" s="115"/>
      <c r="AN926" s="115"/>
      <c r="AO926" s="115"/>
      <c r="AP926" s="115"/>
      <c r="AQ926" s="115"/>
      <c r="AR926" s="115"/>
      <c r="AS926" s="115"/>
      <c r="AT926" s="115"/>
      <c r="AU926" s="115"/>
      <c r="AV926" s="115"/>
      <c r="AW926" s="115"/>
      <c r="AX926" s="115"/>
      <c r="AY926" s="26"/>
      <c r="AZ926" s="15"/>
      <c r="BC926" s="114"/>
    </row>
    <row r="927" spans="1:55" x14ac:dyDescent="0.4"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22"/>
      <c r="AI927" s="122"/>
      <c r="AJ927" s="122"/>
      <c r="AK927" s="115"/>
      <c r="AL927" s="115"/>
      <c r="AM927" s="115"/>
      <c r="AN927" s="115"/>
      <c r="AO927" s="115"/>
      <c r="AP927" s="115"/>
      <c r="AQ927" s="115"/>
      <c r="AR927" s="115"/>
      <c r="AS927" s="115"/>
      <c r="AT927" s="115"/>
      <c r="AU927" s="115"/>
      <c r="AV927" s="115"/>
      <c r="AW927" s="115"/>
      <c r="AX927" s="115"/>
      <c r="AY927" s="26"/>
      <c r="AZ927" s="15"/>
      <c r="BC927" s="114"/>
    </row>
    <row r="928" spans="1:55" x14ac:dyDescent="0.4"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22"/>
      <c r="AI928" s="122"/>
      <c r="AJ928" s="122"/>
      <c r="AK928" s="115"/>
      <c r="AL928" s="115"/>
      <c r="AM928" s="115"/>
      <c r="AN928" s="115"/>
      <c r="AO928" s="115"/>
      <c r="AP928" s="115"/>
      <c r="AQ928" s="115"/>
      <c r="AR928" s="115"/>
      <c r="AS928" s="115"/>
      <c r="AT928" s="115"/>
      <c r="AU928" s="115"/>
      <c r="AV928" s="115"/>
      <c r="AW928" s="115"/>
      <c r="AX928" s="115"/>
      <c r="AY928" s="26"/>
      <c r="AZ928" s="15"/>
      <c r="BC928" s="114"/>
    </row>
    <row r="929" spans="2:55" x14ac:dyDescent="0.4"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22"/>
      <c r="AI929" s="122"/>
      <c r="AJ929" s="122"/>
      <c r="AK929" s="115"/>
      <c r="AL929" s="115"/>
      <c r="AM929" s="115"/>
      <c r="AN929" s="115"/>
      <c r="AO929" s="115"/>
      <c r="AP929" s="115"/>
      <c r="AQ929" s="115"/>
      <c r="AR929" s="115"/>
      <c r="AS929" s="115"/>
      <c r="AT929" s="115"/>
      <c r="AU929" s="115"/>
      <c r="AV929" s="115"/>
      <c r="AW929" s="115"/>
      <c r="AX929" s="115"/>
      <c r="AY929" s="26"/>
      <c r="AZ929" s="15"/>
      <c r="BC929" s="114"/>
    </row>
    <row r="930" spans="2:55" x14ac:dyDescent="0.4"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22"/>
      <c r="AI930" s="122"/>
      <c r="AJ930" s="122"/>
      <c r="AK930" s="115"/>
      <c r="AL930" s="115"/>
      <c r="AM930" s="115"/>
      <c r="AN930" s="115"/>
      <c r="AO930" s="115"/>
      <c r="AP930" s="115"/>
      <c r="AQ930" s="115"/>
      <c r="AR930" s="115"/>
      <c r="AS930" s="115"/>
      <c r="AT930" s="115"/>
      <c r="AU930" s="115"/>
      <c r="AV930" s="115"/>
      <c r="AW930" s="115"/>
      <c r="AX930" s="115"/>
      <c r="AY930" s="26"/>
      <c r="AZ930" s="15"/>
      <c r="BC930" s="114"/>
    </row>
    <row r="931" spans="2:55" x14ac:dyDescent="0.4"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22"/>
      <c r="AI931" s="122"/>
      <c r="AJ931" s="122"/>
      <c r="AK931" s="115"/>
      <c r="AL931" s="115"/>
      <c r="AM931" s="115"/>
      <c r="AN931" s="115"/>
      <c r="AO931" s="115"/>
      <c r="AP931" s="115"/>
      <c r="AQ931" s="115"/>
      <c r="AR931" s="115"/>
      <c r="AS931" s="115"/>
      <c r="AT931" s="115"/>
      <c r="AU931" s="115"/>
      <c r="AV931" s="115"/>
      <c r="AW931" s="115"/>
      <c r="AX931" s="115"/>
      <c r="AY931" s="26"/>
      <c r="AZ931" s="15"/>
      <c r="BC931" s="114"/>
    </row>
    <row r="932" spans="2:55" x14ac:dyDescent="0.4"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22"/>
      <c r="AI932" s="122"/>
      <c r="AJ932" s="122"/>
      <c r="AK932" s="115"/>
      <c r="AL932" s="115"/>
      <c r="AM932" s="115"/>
      <c r="AN932" s="115"/>
      <c r="AO932" s="115"/>
      <c r="AP932" s="115"/>
      <c r="AQ932" s="115"/>
      <c r="AR932" s="115"/>
      <c r="AS932" s="115"/>
      <c r="AT932" s="115"/>
      <c r="AU932" s="115"/>
      <c r="AV932" s="115"/>
      <c r="AW932" s="115"/>
      <c r="AX932" s="115"/>
      <c r="AY932" s="17"/>
      <c r="AZ932" s="15"/>
      <c r="BC932" s="114"/>
    </row>
    <row r="933" spans="2:55" x14ac:dyDescent="0.4"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22"/>
      <c r="AI933" s="122"/>
      <c r="AJ933" s="122"/>
      <c r="AK933" s="115"/>
      <c r="AL933" s="115"/>
      <c r="AM933" s="115"/>
      <c r="AN933" s="115"/>
      <c r="AO933" s="115"/>
      <c r="AP933" s="115"/>
      <c r="AQ933" s="115"/>
      <c r="AR933" s="115"/>
      <c r="AS933" s="115"/>
      <c r="AT933" s="115"/>
      <c r="AU933" s="115"/>
      <c r="AV933" s="115"/>
      <c r="AW933" s="115"/>
      <c r="AX933" s="115"/>
      <c r="AY933" s="26"/>
      <c r="AZ933" s="15"/>
      <c r="BC933" s="114"/>
    </row>
    <row r="934" spans="2:55" x14ac:dyDescent="0.4"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22"/>
      <c r="AI934" s="122"/>
      <c r="AJ934" s="122"/>
      <c r="AK934" s="115"/>
      <c r="AL934" s="115"/>
      <c r="AM934" s="115"/>
      <c r="AN934" s="115"/>
      <c r="AO934" s="115"/>
      <c r="AP934" s="115"/>
      <c r="AQ934" s="115"/>
      <c r="AR934" s="115"/>
      <c r="AS934" s="115"/>
      <c r="AT934" s="115"/>
      <c r="AU934" s="115"/>
      <c r="AV934" s="115"/>
      <c r="AW934" s="115"/>
      <c r="AX934" s="115"/>
      <c r="AY934" s="26"/>
      <c r="AZ934" s="15"/>
      <c r="BC934" s="114"/>
    </row>
    <row r="935" spans="2:55" x14ac:dyDescent="0.4"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22"/>
      <c r="AI935" s="122"/>
      <c r="AJ935" s="122"/>
      <c r="AK935" s="115"/>
      <c r="AL935" s="115"/>
      <c r="AM935" s="115"/>
      <c r="AN935" s="115"/>
      <c r="AO935" s="115"/>
      <c r="AP935" s="115"/>
      <c r="AQ935" s="115"/>
      <c r="AR935" s="115"/>
      <c r="AS935" s="115"/>
      <c r="AT935" s="115"/>
      <c r="AU935" s="115"/>
      <c r="AV935" s="115"/>
      <c r="AW935" s="115"/>
      <c r="AX935" s="115"/>
      <c r="AY935" s="26"/>
      <c r="AZ935" s="15"/>
      <c r="BC935" s="114"/>
    </row>
    <row r="936" spans="2:55" x14ac:dyDescent="0.4"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22"/>
      <c r="AI936" s="122"/>
      <c r="AJ936" s="122"/>
      <c r="AK936" s="115"/>
      <c r="AL936" s="115"/>
      <c r="AM936" s="115"/>
      <c r="AN936" s="115"/>
      <c r="AO936" s="115"/>
      <c r="AP936" s="115"/>
      <c r="AQ936" s="115"/>
      <c r="AR936" s="115"/>
      <c r="AS936" s="115"/>
      <c r="AT936" s="115"/>
      <c r="AU936" s="115"/>
      <c r="AV936" s="115"/>
      <c r="AW936" s="115"/>
      <c r="AX936" s="115"/>
      <c r="AY936" s="26"/>
      <c r="AZ936" s="15"/>
      <c r="BC936" s="114"/>
    </row>
    <row r="937" spans="2:55" x14ac:dyDescent="0.4"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22"/>
      <c r="AI937" s="122"/>
      <c r="AJ937" s="122"/>
      <c r="AK937" s="115"/>
      <c r="AL937" s="115"/>
      <c r="AM937" s="115"/>
      <c r="AN937" s="115"/>
      <c r="AO937" s="115"/>
      <c r="AP937" s="115"/>
      <c r="AQ937" s="115"/>
      <c r="AR937" s="115"/>
      <c r="AS937" s="115"/>
      <c r="AT937" s="115"/>
      <c r="AU937" s="115"/>
      <c r="AV937" s="115"/>
      <c r="AW937" s="115"/>
      <c r="AX937" s="115"/>
      <c r="AY937" s="26"/>
      <c r="AZ937" s="15"/>
      <c r="BC937" s="114"/>
    </row>
    <row r="938" spans="2:55" x14ac:dyDescent="0.4"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22"/>
      <c r="AI938" s="122"/>
      <c r="AJ938" s="122"/>
      <c r="AK938" s="115"/>
      <c r="AL938" s="115"/>
      <c r="AM938" s="115"/>
      <c r="AN938" s="115"/>
      <c r="AO938" s="115"/>
      <c r="AP938" s="115"/>
      <c r="AQ938" s="115"/>
      <c r="AR938" s="115"/>
      <c r="AS938" s="115"/>
      <c r="AT938" s="115"/>
      <c r="AU938" s="115"/>
      <c r="AV938" s="115"/>
      <c r="AW938" s="115"/>
      <c r="AX938" s="115"/>
      <c r="AY938" s="26"/>
      <c r="AZ938" s="15"/>
      <c r="BC938" s="114"/>
    </row>
    <row r="939" spans="2:55" x14ac:dyDescent="0.4"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22"/>
      <c r="AI939" s="122"/>
      <c r="AJ939" s="122"/>
      <c r="AK939" s="115"/>
      <c r="AL939" s="115"/>
      <c r="AM939" s="115"/>
      <c r="AN939" s="115"/>
      <c r="AO939" s="115"/>
      <c r="AP939" s="115"/>
      <c r="AQ939" s="115"/>
      <c r="AR939" s="115"/>
      <c r="AS939" s="115"/>
      <c r="AT939" s="115"/>
      <c r="AU939" s="115"/>
      <c r="AV939" s="115"/>
      <c r="AW939" s="115"/>
      <c r="AX939" s="115"/>
      <c r="AY939" s="26"/>
      <c r="AZ939" s="15"/>
      <c r="BC939" s="114"/>
    </row>
    <row r="940" spans="2:55" x14ac:dyDescent="0.4"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22"/>
      <c r="AI940" s="122"/>
      <c r="AJ940" s="122"/>
      <c r="AK940" s="115"/>
      <c r="AL940" s="115"/>
      <c r="AM940" s="115"/>
      <c r="AN940" s="115"/>
      <c r="AO940" s="115"/>
      <c r="AP940" s="115"/>
      <c r="AQ940" s="115"/>
      <c r="AR940" s="115"/>
      <c r="AS940" s="115"/>
      <c r="AT940" s="115"/>
      <c r="AU940" s="115"/>
      <c r="AV940" s="115"/>
      <c r="AW940" s="115"/>
      <c r="AX940" s="115"/>
      <c r="AY940" s="17"/>
      <c r="AZ940" s="15"/>
      <c r="BC940" s="114"/>
    </row>
    <row r="941" spans="2:55" x14ac:dyDescent="0.4"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22"/>
      <c r="AI941" s="122"/>
      <c r="AJ941" s="122"/>
      <c r="AK941" s="115"/>
      <c r="AL941" s="115"/>
      <c r="AM941" s="115"/>
      <c r="AN941" s="115"/>
      <c r="AO941" s="115"/>
      <c r="AP941" s="115"/>
      <c r="AQ941" s="115"/>
      <c r="AR941" s="115"/>
      <c r="AS941" s="115"/>
      <c r="AT941" s="115"/>
      <c r="AU941" s="115"/>
      <c r="AV941" s="115"/>
      <c r="AW941" s="115"/>
      <c r="AX941" s="115"/>
      <c r="AY941" s="26"/>
      <c r="AZ941" s="15"/>
      <c r="BC941" s="114"/>
    </row>
    <row r="942" spans="2:55" x14ac:dyDescent="0.4"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22"/>
      <c r="AI942" s="122"/>
      <c r="AJ942" s="122"/>
      <c r="AK942" s="115"/>
      <c r="AL942" s="115"/>
      <c r="AM942" s="115"/>
      <c r="AN942" s="115"/>
      <c r="AO942" s="115"/>
      <c r="AP942" s="115"/>
      <c r="AQ942" s="115"/>
      <c r="AR942" s="115"/>
      <c r="AS942" s="115"/>
      <c r="AT942" s="115"/>
      <c r="AU942" s="115"/>
      <c r="AV942" s="115"/>
      <c r="AW942" s="115"/>
      <c r="AX942" s="115"/>
      <c r="AY942" s="26"/>
      <c r="AZ942" s="15"/>
      <c r="BC942" s="114"/>
    </row>
    <row r="943" spans="2:55" x14ac:dyDescent="0.4"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22"/>
      <c r="AI943" s="122"/>
      <c r="AJ943" s="122"/>
      <c r="AK943" s="115"/>
      <c r="AL943" s="115"/>
      <c r="AM943" s="115"/>
      <c r="AN943" s="115"/>
      <c r="AO943" s="115"/>
      <c r="AP943" s="115"/>
      <c r="AQ943" s="115"/>
      <c r="AR943" s="115"/>
      <c r="AS943" s="115"/>
      <c r="AT943" s="115"/>
      <c r="AU943" s="115"/>
      <c r="AV943" s="115"/>
      <c r="AW943" s="115"/>
      <c r="AX943" s="115"/>
      <c r="AY943" s="26"/>
      <c r="AZ943" s="15"/>
      <c r="BC943" s="114"/>
    </row>
    <row r="944" spans="2:55" x14ac:dyDescent="0.4"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22"/>
      <c r="AI944" s="122"/>
      <c r="AJ944" s="122"/>
      <c r="AK944" s="115"/>
      <c r="AL944" s="115"/>
      <c r="AM944" s="115"/>
      <c r="AN944" s="115"/>
      <c r="AO944" s="115"/>
      <c r="AP944" s="115"/>
      <c r="AQ944" s="115"/>
      <c r="AR944" s="115"/>
      <c r="AS944" s="115"/>
      <c r="AT944" s="115"/>
      <c r="AU944" s="115"/>
      <c r="AV944" s="115"/>
      <c r="AW944" s="115"/>
      <c r="AX944" s="115"/>
      <c r="AY944" s="26"/>
      <c r="AZ944" s="15"/>
      <c r="BC944" s="114"/>
    </row>
    <row r="945" spans="1:55" x14ac:dyDescent="0.4"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22"/>
      <c r="AI945" s="122"/>
      <c r="AJ945" s="122"/>
      <c r="AK945" s="115"/>
      <c r="AL945" s="115"/>
      <c r="AM945" s="115"/>
      <c r="AN945" s="115"/>
      <c r="AO945" s="115"/>
      <c r="AP945" s="115"/>
      <c r="AQ945" s="115"/>
      <c r="AR945" s="115"/>
      <c r="AS945" s="115"/>
      <c r="AT945" s="115"/>
      <c r="AU945" s="115"/>
      <c r="AV945" s="115"/>
      <c r="AW945" s="115"/>
      <c r="AX945" s="115"/>
      <c r="AY945" s="26"/>
      <c r="AZ945" s="15"/>
      <c r="BC945" s="114"/>
    </row>
    <row r="946" spans="1:55" x14ac:dyDescent="0.4"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22"/>
      <c r="AI946" s="122"/>
      <c r="AJ946" s="122"/>
      <c r="AK946" s="115"/>
      <c r="AL946" s="115"/>
      <c r="AM946" s="115"/>
      <c r="AN946" s="115"/>
      <c r="AO946" s="115"/>
      <c r="AP946" s="115"/>
      <c r="AQ946" s="115"/>
      <c r="AR946" s="115"/>
      <c r="AS946" s="115"/>
      <c r="AT946" s="115"/>
      <c r="AU946" s="115"/>
      <c r="AV946" s="115"/>
      <c r="AW946" s="115"/>
      <c r="AX946" s="115"/>
      <c r="AY946" s="26"/>
      <c r="AZ946" s="15"/>
      <c r="BC946" s="114"/>
    </row>
    <row r="947" spans="1:55" x14ac:dyDescent="0.4"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22"/>
      <c r="AI947" s="122"/>
      <c r="AJ947" s="122"/>
      <c r="AK947" s="115"/>
      <c r="AL947" s="115"/>
      <c r="AM947" s="115"/>
      <c r="AN947" s="115"/>
      <c r="AO947" s="115"/>
      <c r="AP947" s="115"/>
      <c r="AQ947" s="115"/>
      <c r="AR947" s="115"/>
      <c r="AS947" s="115"/>
      <c r="AT947" s="115"/>
      <c r="AU947" s="115"/>
      <c r="AV947" s="115"/>
      <c r="AW947" s="115"/>
      <c r="AX947" s="115"/>
      <c r="AY947" s="26"/>
      <c r="AZ947" s="15"/>
      <c r="BC947" s="114"/>
    </row>
    <row r="948" spans="1:55" x14ac:dyDescent="0.4"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22"/>
      <c r="AI948" s="122"/>
      <c r="AJ948" s="122"/>
      <c r="AK948" s="115"/>
      <c r="AL948" s="115"/>
      <c r="AM948" s="115"/>
      <c r="AN948" s="115"/>
      <c r="AO948" s="115"/>
      <c r="AP948" s="115"/>
      <c r="AQ948" s="115"/>
      <c r="AR948" s="115"/>
      <c r="AS948" s="115"/>
      <c r="AT948" s="115"/>
      <c r="AU948" s="115"/>
      <c r="AV948" s="115"/>
      <c r="AW948" s="115"/>
      <c r="AX948" s="115"/>
      <c r="AY948" s="26"/>
      <c r="AZ948" s="15"/>
      <c r="BC948" s="114"/>
    </row>
    <row r="949" spans="1:55" x14ac:dyDescent="0.4"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22"/>
      <c r="AI949" s="122"/>
      <c r="AJ949" s="122"/>
      <c r="AK949" s="115"/>
      <c r="AL949" s="115"/>
      <c r="AM949" s="115"/>
      <c r="AN949" s="115"/>
      <c r="AO949" s="115"/>
      <c r="AP949" s="115"/>
      <c r="AQ949" s="115"/>
      <c r="AR949" s="115"/>
      <c r="AS949" s="115"/>
      <c r="AT949" s="115"/>
      <c r="AU949" s="115"/>
      <c r="AV949" s="115"/>
      <c r="AW949" s="115"/>
      <c r="AX949" s="115"/>
      <c r="AY949" s="17"/>
      <c r="AZ949" s="15"/>
      <c r="BC949" s="114"/>
    </row>
    <row r="950" spans="1:55" x14ac:dyDescent="0.4"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22"/>
      <c r="AI950" s="122"/>
      <c r="AJ950" s="122"/>
      <c r="AK950" s="115"/>
      <c r="AL950" s="115"/>
      <c r="AM950" s="115"/>
      <c r="AN950" s="115"/>
      <c r="AO950" s="115"/>
      <c r="AP950" s="115"/>
      <c r="AQ950" s="115"/>
      <c r="AR950" s="115"/>
      <c r="AS950" s="115"/>
      <c r="AT950" s="115"/>
      <c r="AU950" s="115"/>
      <c r="AV950" s="115"/>
      <c r="AW950" s="115"/>
      <c r="AX950" s="115"/>
      <c r="AY950" s="26"/>
      <c r="AZ950" s="15"/>
      <c r="BC950" s="114"/>
    </row>
    <row r="951" spans="1:55" x14ac:dyDescent="0.4"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22"/>
      <c r="AI951" s="122"/>
      <c r="AJ951" s="122"/>
      <c r="AK951" s="115"/>
      <c r="AL951" s="115"/>
      <c r="AM951" s="115"/>
      <c r="AN951" s="115"/>
      <c r="AO951" s="115"/>
      <c r="AP951" s="115"/>
      <c r="AQ951" s="115"/>
      <c r="AR951" s="115"/>
      <c r="AS951" s="115"/>
      <c r="AT951" s="115"/>
      <c r="AU951" s="115"/>
      <c r="AV951" s="115"/>
      <c r="AW951" s="115"/>
      <c r="AX951" s="115"/>
      <c r="AY951" s="17"/>
      <c r="AZ951" s="15"/>
      <c r="BC951" s="114"/>
    </row>
    <row r="952" spans="1:55" x14ac:dyDescent="0.4"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22"/>
      <c r="AI952" s="122"/>
      <c r="AJ952" s="122"/>
      <c r="AK952" s="115"/>
      <c r="AL952" s="115"/>
      <c r="AM952" s="115"/>
      <c r="AN952" s="115"/>
      <c r="AO952" s="115"/>
      <c r="AP952" s="115"/>
      <c r="AQ952" s="115"/>
      <c r="AR952" s="115"/>
      <c r="AS952" s="115"/>
      <c r="AT952" s="115"/>
      <c r="AU952" s="115"/>
      <c r="AV952" s="115"/>
      <c r="AW952" s="115"/>
      <c r="AX952" s="115"/>
      <c r="AY952" s="26"/>
      <c r="AZ952" s="15"/>
      <c r="BC952" s="114"/>
    </row>
    <row r="953" spans="1:55" x14ac:dyDescent="0.4"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22"/>
      <c r="AI953" s="122"/>
      <c r="AJ953" s="122"/>
      <c r="AK953" s="115"/>
      <c r="AL953" s="115"/>
      <c r="AM953" s="115"/>
      <c r="AN953" s="115"/>
      <c r="AO953" s="115"/>
      <c r="AP953" s="115"/>
      <c r="AQ953" s="115"/>
      <c r="AR953" s="115"/>
      <c r="AS953" s="115"/>
      <c r="AT953" s="115"/>
      <c r="AU953" s="115"/>
      <c r="AV953" s="115"/>
      <c r="AW953" s="115"/>
      <c r="AX953" s="115"/>
      <c r="AY953" s="17"/>
      <c r="AZ953" s="15"/>
      <c r="BC953" s="114"/>
    </row>
    <row r="954" spans="1:55" x14ac:dyDescent="0.4"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22"/>
      <c r="AI954" s="122"/>
      <c r="AJ954" s="122"/>
      <c r="AK954" s="115"/>
      <c r="AL954" s="115"/>
      <c r="AM954" s="115"/>
      <c r="AN954" s="115"/>
      <c r="AO954" s="115"/>
      <c r="AP954" s="115"/>
      <c r="AQ954" s="115"/>
      <c r="AR954" s="115"/>
      <c r="AS954" s="115"/>
      <c r="AT954" s="115"/>
      <c r="AU954" s="115"/>
      <c r="AV954" s="115"/>
      <c r="AW954" s="115"/>
      <c r="AX954" s="115"/>
      <c r="AY954" s="26"/>
      <c r="AZ954" s="15"/>
      <c r="BC954" s="114"/>
    </row>
    <row r="955" spans="1:55" x14ac:dyDescent="0.4"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22"/>
      <c r="AI955" s="122"/>
      <c r="AJ955" s="122"/>
      <c r="AK955" s="115"/>
      <c r="AL955" s="115"/>
      <c r="AM955" s="115"/>
      <c r="AN955" s="115"/>
      <c r="AO955" s="115"/>
      <c r="AP955" s="115"/>
      <c r="AQ955" s="115"/>
      <c r="AR955" s="115"/>
      <c r="AS955" s="115"/>
      <c r="AT955" s="115"/>
      <c r="AU955" s="115"/>
      <c r="AV955" s="115"/>
      <c r="AW955" s="115"/>
      <c r="AX955" s="115"/>
      <c r="AY955" s="26"/>
      <c r="AZ955" s="15"/>
      <c r="BC955" s="114"/>
    </row>
    <row r="956" spans="1:55" x14ac:dyDescent="0.4"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22"/>
      <c r="AI956" s="122"/>
      <c r="AJ956" s="122"/>
      <c r="AK956" s="115"/>
      <c r="AL956" s="115"/>
      <c r="AM956" s="115"/>
      <c r="AN956" s="115"/>
      <c r="AO956" s="115"/>
      <c r="AP956" s="115"/>
      <c r="AQ956" s="115"/>
      <c r="AR956" s="115"/>
      <c r="AS956" s="115"/>
      <c r="AT956" s="115"/>
      <c r="AU956" s="115"/>
      <c r="AV956" s="115"/>
      <c r="AW956" s="115"/>
      <c r="AX956" s="115"/>
      <c r="AY956" s="17"/>
      <c r="AZ956" s="15"/>
      <c r="BC956" s="114"/>
    </row>
    <row r="957" spans="1:55" x14ac:dyDescent="0.4"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22"/>
      <c r="AI957" s="122"/>
      <c r="AJ957" s="122"/>
      <c r="AK957" s="115"/>
      <c r="AL957" s="115"/>
      <c r="AM957" s="115"/>
      <c r="AN957" s="115"/>
      <c r="AO957" s="115"/>
      <c r="AP957" s="115"/>
      <c r="AQ957" s="115"/>
      <c r="AR957" s="115"/>
      <c r="AS957" s="115"/>
      <c r="AT957" s="115"/>
      <c r="AU957" s="115"/>
      <c r="AV957" s="115"/>
      <c r="AW957" s="115"/>
      <c r="AX957" s="115"/>
      <c r="AY957" s="26"/>
      <c r="AZ957" s="15"/>
      <c r="BC957" s="114"/>
    </row>
    <row r="958" spans="1:55" x14ac:dyDescent="0.4"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22"/>
      <c r="AI958" s="122"/>
      <c r="AJ958" s="122"/>
      <c r="AK958" s="115"/>
      <c r="AL958" s="115"/>
      <c r="AM958" s="115"/>
      <c r="AN958" s="115"/>
      <c r="AO958" s="115"/>
      <c r="AP958" s="115"/>
      <c r="AQ958" s="115"/>
      <c r="AR958" s="115"/>
      <c r="AS958" s="115"/>
      <c r="AT958" s="115"/>
      <c r="AU958" s="115"/>
      <c r="AV958" s="115"/>
      <c r="AW958" s="115"/>
      <c r="AX958" s="115"/>
      <c r="AY958" s="26"/>
      <c r="AZ958" s="15"/>
      <c r="BC958" s="114"/>
    </row>
    <row r="959" spans="1:55" x14ac:dyDescent="0.4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22"/>
      <c r="AI959" s="122"/>
      <c r="AJ959" s="122"/>
      <c r="AK959" s="115"/>
      <c r="AL959" s="115"/>
      <c r="AM959" s="115"/>
      <c r="AN959" s="115"/>
      <c r="AO959" s="115"/>
      <c r="AP959" s="115"/>
      <c r="AQ959" s="115"/>
      <c r="AR959" s="115"/>
      <c r="AS959" s="115"/>
      <c r="AT959" s="115"/>
      <c r="AU959" s="115"/>
      <c r="AV959" s="115"/>
      <c r="AW959" s="115"/>
      <c r="AX959" s="115"/>
      <c r="AY959" s="26"/>
      <c r="AZ959" s="105"/>
      <c r="BC959" s="114"/>
    </row>
    <row r="960" spans="1:55" x14ac:dyDescent="0.4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22"/>
      <c r="AI960" s="122"/>
      <c r="AJ960" s="122"/>
      <c r="AK960" s="115"/>
      <c r="AL960" s="115"/>
      <c r="AM960" s="115"/>
      <c r="AN960" s="115"/>
      <c r="AO960" s="115"/>
      <c r="AP960" s="115"/>
      <c r="AQ960" s="115"/>
      <c r="AR960" s="115"/>
      <c r="AS960" s="115"/>
      <c r="AT960" s="115"/>
      <c r="AU960" s="115"/>
      <c r="AV960" s="115"/>
      <c r="AW960" s="115"/>
      <c r="AX960" s="115"/>
      <c r="AY960" s="17"/>
      <c r="AZ960" s="15"/>
      <c r="BC960" s="114"/>
    </row>
    <row r="961" spans="1:55" x14ac:dyDescent="0.4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22"/>
      <c r="AI961" s="122"/>
      <c r="AJ961" s="122"/>
      <c r="AK961" s="115"/>
      <c r="AL961" s="115"/>
      <c r="AM961" s="115"/>
      <c r="AN961" s="115"/>
      <c r="AO961" s="115"/>
      <c r="AP961" s="115"/>
      <c r="AQ961" s="115"/>
      <c r="AR961" s="115"/>
      <c r="AS961" s="115"/>
      <c r="AT961" s="115"/>
      <c r="AU961" s="115"/>
      <c r="AV961" s="115"/>
      <c r="AW961" s="115"/>
      <c r="AX961" s="115"/>
      <c r="AY961" s="17"/>
      <c r="AZ961" s="15"/>
      <c r="BC961" s="114"/>
    </row>
    <row r="962" spans="1:55" x14ac:dyDescent="0.4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22"/>
      <c r="AI962" s="122"/>
      <c r="AJ962" s="122"/>
      <c r="AK962" s="115"/>
      <c r="AL962" s="115"/>
      <c r="AM962" s="115"/>
      <c r="AN962" s="115"/>
      <c r="AO962" s="115"/>
      <c r="AP962" s="115"/>
      <c r="AQ962" s="115"/>
      <c r="AR962" s="115"/>
      <c r="AS962" s="115"/>
      <c r="AT962" s="115"/>
      <c r="AU962" s="115"/>
      <c r="AV962" s="115"/>
      <c r="AW962" s="115"/>
      <c r="AX962" s="115"/>
      <c r="AY962" s="26"/>
      <c r="AZ962" s="15"/>
      <c r="BC962" s="114"/>
    </row>
    <row r="963" spans="1:55" x14ac:dyDescent="0.4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22"/>
      <c r="AI963" s="122"/>
      <c r="AJ963" s="122"/>
      <c r="AK963" s="115"/>
      <c r="AL963" s="115"/>
      <c r="AM963" s="115"/>
      <c r="AN963" s="115"/>
      <c r="AO963" s="115"/>
      <c r="AP963" s="115"/>
      <c r="AQ963" s="115"/>
      <c r="AR963" s="115"/>
      <c r="AS963" s="115"/>
      <c r="AT963" s="115"/>
      <c r="AU963" s="115"/>
      <c r="AV963" s="115"/>
      <c r="AW963" s="115"/>
      <c r="AX963" s="115"/>
      <c r="AY963" s="26"/>
      <c r="AZ963" s="15"/>
      <c r="BC963" s="114"/>
    </row>
    <row r="964" spans="1:55" x14ac:dyDescent="0.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22"/>
      <c r="AI964" s="122"/>
      <c r="AJ964" s="122"/>
      <c r="AK964" s="115"/>
      <c r="AL964" s="115"/>
      <c r="AM964" s="115"/>
      <c r="AN964" s="115"/>
      <c r="AO964" s="115"/>
      <c r="AP964" s="115"/>
      <c r="AQ964" s="115"/>
      <c r="AR964" s="115"/>
      <c r="AS964" s="115"/>
      <c r="AT964" s="115"/>
      <c r="AU964" s="115"/>
      <c r="AV964" s="115"/>
      <c r="AW964" s="115"/>
      <c r="AX964" s="115"/>
      <c r="AY964" s="26"/>
      <c r="AZ964" s="15"/>
      <c r="BC964" s="114"/>
    </row>
    <row r="965" spans="1:55" x14ac:dyDescent="0.4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22"/>
      <c r="AI965" s="122"/>
      <c r="AJ965" s="122"/>
      <c r="AK965" s="115"/>
      <c r="AL965" s="115"/>
      <c r="AM965" s="115"/>
      <c r="AN965" s="115"/>
      <c r="AO965" s="115"/>
      <c r="AP965" s="115"/>
      <c r="AQ965" s="115"/>
      <c r="AR965" s="115"/>
      <c r="AS965" s="115"/>
      <c r="AT965" s="115"/>
      <c r="AU965" s="115"/>
      <c r="AV965" s="115"/>
      <c r="AW965" s="115"/>
      <c r="AX965" s="115"/>
      <c r="AY965" s="26"/>
      <c r="AZ965" s="15"/>
      <c r="BC965" s="114"/>
    </row>
    <row r="966" spans="1:55" x14ac:dyDescent="0.4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22"/>
      <c r="AI966" s="122"/>
      <c r="AJ966" s="122"/>
      <c r="AK966" s="115"/>
      <c r="AL966" s="115"/>
      <c r="AM966" s="115"/>
      <c r="AN966" s="115"/>
      <c r="AO966" s="115"/>
      <c r="AP966" s="115"/>
      <c r="AQ966" s="115"/>
      <c r="AR966" s="115"/>
      <c r="AS966" s="115"/>
      <c r="AT966" s="115"/>
      <c r="AU966" s="115"/>
      <c r="AV966" s="115"/>
      <c r="AW966" s="115"/>
      <c r="AX966" s="115"/>
      <c r="AY966" s="26"/>
      <c r="AZ966" s="15"/>
      <c r="BC966" s="114"/>
    </row>
    <row r="967" spans="1:55" x14ac:dyDescent="0.4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22"/>
      <c r="AI967" s="122"/>
      <c r="AJ967" s="122"/>
      <c r="AK967" s="115"/>
      <c r="AL967" s="115"/>
      <c r="AM967" s="115"/>
      <c r="AN967" s="115"/>
      <c r="AO967" s="115"/>
      <c r="AP967" s="115"/>
      <c r="AQ967" s="115"/>
      <c r="AR967" s="115"/>
      <c r="AS967" s="115"/>
      <c r="AT967" s="115"/>
      <c r="AU967" s="115"/>
      <c r="AV967" s="115"/>
      <c r="AW967" s="115"/>
      <c r="AX967" s="115"/>
      <c r="AY967" s="26"/>
      <c r="AZ967" s="15"/>
      <c r="BC967" s="114"/>
    </row>
    <row r="968" spans="1:55" x14ac:dyDescent="0.4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22"/>
      <c r="AI968" s="122"/>
      <c r="AJ968" s="122"/>
      <c r="AK968" s="115"/>
      <c r="AL968" s="115"/>
      <c r="AM968" s="115"/>
      <c r="AN968" s="115"/>
      <c r="AO968" s="115"/>
      <c r="AP968" s="115"/>
      <c r="AQ968" s="115"/>
      <c r="AR968" s="115"/>
      <c r="AS968" s="115"/>
      <c r="AT968" s="115"/>
      <c r="AU968" s="115"/>
      <c r="AV968" s="115"/>
      <c r="AW968" s="115"/>
      <c r="AX968" s="115"/>
      <c r="AY968" s="26"/>
      <c r="AZ968" s="15"/>
      <c r="BC968" s="114"/>
    </row>
    <row r="969" spans="1:55" x14ac:dyDescent="0.4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22"/>
      <c r="AI969" s="122"/>
      <c r="AJ969" s="122"/>
      <c r="AK969" s="115"/>
      <c r="AL969" s="115"/>
      <c r="AM969" s="115"/>
      <c r="AN969" s="115"/>
      <c r="AO969" s="115"/>
      <c r="AP969" s="115"/>
      <c r="AQ969" s="115"/>
      <c r="AR969" s="115"/>
      <c r="AS969" s="115"/>
      <c r="AT969" s="115"/>
      <c r="AU969" s="115"/>
      <c r="AV969" s="115"/>
      <c r="AW969" s="115"/>
      <c r="AX969" s="115"/>
      <c r="AY969" s="26"/>
      <c r="AZ969" s="15"/>
      <c r="BC969" s="114"/>
    </row>
    <row r="970" spans="1:55" x14ac:dyDescent="0.4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22"/>
      <c r="AI970" s="122"/>
      <c r="AJ970" s="122"/>
      <c r="AK970" s="115"/>
      <c r="AL970" s="115"/>
      <c r="AM970" s="115"/>
      <c r="AN970" s="115"/>
      <c r="AO970" s="115"/>
      <c r="AP970" s="115"/>
      <c r="AQ970" s="115"/>
      <c r="AR970" s="115"/>
      <c r="AS970" s="115"/>
      <c r="AT970" s="115"/>
      <c r="AU970" s="115"/>
      <c r="AV970" s="115"/>
      <c r="AW970" s="115"/>
      <c r="AX970" s="115"/>
      <c r="AY970" s="26"/>
      <c r="AZ970" s="105"/>
      <c r="BC970" s="114"/>
    </row>
    <row r="971" spans="1:55" x14ac:dyDescent="0.4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22"/>
      <c r="AI971" s="122"/>
      <c r="AJ971" s="122"/>
      <c r="AK971" s="115"/>
      <c r="AL971" s="115"/>
      <c r="AM971" s="115"/>
      <c r="AN971" s="115"/>
      <c r="AO971" s="115"/>
      <c r="AP971" s="115"/>
      <c r="AQ971" s="115"/>
      <c r="AR971" s="115"/>
      <c r="AS971" s="115"/>
      <c r="AT971" s="115"/>
      <c r="AU971" s="115"/>
      <c r="AV971" s="115"/>
      <c r="AW971" s="115"/>
      <c r="AX971" s="115"/>
      <c r="AY971" s="26"/>
      <c r="AZ971" s="15"/>
      <c r="BC971" s="114"/>
    </row>
    <row r="972" spans="1:55" x14ac:dyDescent="0.4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22"/>
      <c r="AI972" s="122"/>
      <c r="AJ972" s="122"/>
      <c r="AK972" s="115"/>
      <c r="AL972" s="115"/>
      <c r="AM972" s="115"/>
      <c r="AN972" s="115"/>
      <c r="AO972" s="115"/>
      <c r="AP972" s="115"/>
      <c r="AQ972" s="115"/>
      <c r="AR972" s="115"/>
      <c r="AS972" s="115"/>
      <c r="AT972" s="115"/>
      <c r="AU972" s="115"/>
      <c r="AV972" s="115"/>
      <c r="AW972" s="115"/>
      <c r="AX972" s="115"/>
      <c r="AY972" s="26"/>
      <c r="AZ972" s="15"/>
      <c r="BC972" s="114"/>
    </row>
    <row r="973" spans="1:55" x14ac:dyDescent="0.4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22"/>
      <c r="AI973" s="122"/>
      <c r="AJ973" s="122"/>
      <c r="AK973" s="115"/>
      <c r="AL973" s="115"/>
      <c r="AM973" s="115"/>
      <c r="AN973" s="115"/>
      <c r="AO973" s="115"/>
      <c r="AP973" s="115"/>
      <c r="AQ973" s="115"/>
      <c r="AR973" s="115"/>
      <c r="AS973" s="115"/>
      <c r="AT973" s="115"/>
      <c r="AU973" s="115"/>
      <c r="AV973" s="115"/>
      <c r="AW973" s="115"/>
      <c r="AX973" s="115"/>
      <c r="AY973" s="26"/>
      <c r="AZ973" s="13"/>
      <c r="BC973" s="114"/>
    </row>
    <row r="974" spans="1:55" x14ac:dyDescent="0.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22"/>
      <c r="AI974" s="122"/>
      <c r="AJ974" s="122"/>
      <c r="AK974" s="115"/>
      <c r="AL974" s="115"/>
      <c r="AM974" s="115"/>
      <c r="AN974" s="115"/>
      <c r="AO974" s="115"/>
      <c r="AP974" s="115"/>
      <c r="AQ974" s="115"/>
      <c r="AR974" s="115"/>
      <c r="AS974" s="115"/>
      <c r="AT974" s="115"/>
      <c r="AU974" s="115"/>
      <c r="AV974" s="115"/>
      <c r="AW974" s="115"/>
      <c r="AX974" s="115"/>
      <c r="AY974" s="17"/>
      <c r="AZ974" s="13"/>
      <c r="BC974" s="114"/>
    </row>
    <row r="975" spans="1:55" x14ac:dyDescent="0.4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22"/>
      <c r="AI975" s="122"/>
      <c r="AJ975" s="122"/>
      <c r="AK975" s="115"/>
      <c r="AL975" s="115"/>
      <c r="AM975" s="115"/>
      <c r="AN975" s="115"/>
      <c r="AO975" s="115"/>
      <c r="AP975" s="115"/>
      <c r="AQ975" s="115"/>
      <c r="AR975" s="115"/>
      <c r="AS975" s="115"/>
      <c r="AT975" s="115"/>
      <c r="AU975" s="115"/>
      <c r="AV975" s="115"/>
      <c r="AW975" s="115"/>
      <c r="AX975" s="115"/>
      <c r="AY975" s="26"/>
      <c r="AZ975" s="13"/>
      <c r="BC975" s="114"/>
    </row>
    <row r="976" spans="1:55" x14ac:dyDescent="0.4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22"/>
      <c r="AI976" s="122"/>
      <c r="AJ976" s="122"/>
      <c r="AK976" s="115"/>
      <c r="AL976" s="115"/>
      <c r="AM976" s="115"/>
      <c r="AN976" s="115"/>
      <c r="AO976" s="115"/>
      <c r="AP976" s="115"/>
      <c r="AQ976" s="115"/>
      <c r="AR976" s="115"/>
      <c r="AS976" s="115"/>
      <c r="AT976" s="115"/>
      <c r="AU976" s="115"/>
      <c r="AV976" s="115"/>
      <c r="AW976" s="115"/>
      <c r="AX976" s="115"/>
      <c r="AY976" s="26"/>
      <c r="AZ976" s="13"/>
      <c r="BC976" s="114"/>
    </row>
    <row r="977" spans="1:55" x14ac:dyDescent="0.4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22"/>
      <c r="AI977" s="122"/>
      <c r="AJ977" s="122"/>
      <c r="AK977" s="115"/>
      <c r="AL977" s="115"/>
      <c r="AM977" s="115"/>
      <c r="AN977" s="115"/>
      <c r="AO977" s="115"/>
      <c r="AP977" s="115"/>
      <c r="AQ977" s="115"/>
      <c r="AR977" s="115"/>
      <c r="AS977" s="115"/>
      <c r="AT977" s="115"/>
      <c r="AU977" s="115"/>
      <c r="AV977" s="115"/>
      <c r="AW977" s="115"/>
      <c r="AX977" s="115"/>
      <c r="AY977" s="26"/>
      <c r="AZ977" s="13"/>
      <c r="BC977" s="114"/>
    </row>
    <row r="978" spans="1:55" x14ac:dyDescent="0.4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22"/>
      <c r="AI978" s="122"/>
      <c r="AJ978" s="122"/>
      <c r="AK978" s="115"/>
      <c r="AL978" s="115"/>
      <c r="AM978" s="115"/>
      <c r="AN978" s="115"/>
      <c r="AO978" s="115"/>
      <c r="AP978" s="115"/>
      <c r="AQ978" s="115"/>
      <c r="AR978" s="115"/>
      <c r="AS978" s="115"/>
      <c r="AT978" s="115"/>
      <c r="AU978" s="115"/>
      <c r="AV978" s="115"/>
      <c r="AW978" s="115"/>
      <c r="AX978" s="115"/>
      <c r="AY978" s="26"/>
      <c r="AZ978" s="13"/>
      <c r="BC978" s="114"/>
    </row>
    <row r="979" spans="1:55" x14ac:dyDescent="0.4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22"/>
      <c r="AI979" s="122"/>
      <c r="AJ979" s="122"/>
      <c r="AK979" s="115"/>
      <c r="AL979" s="115"/>
      <c r="AM979" s="115"/>
      <c r="AN979" s="115"/>
      <c r="AO979" s="115"/>
      <c r="AP979" s="115"/>
      <c r="AQ979" s="115"/>
      <c r="AR979" s="115"/>
      <c r="AS979" s="115"/>
      <c r="AT979" s="115"/>
      <c r="AU979" s="115"/>
      <c r="AV979" s="115"/>
      <c r="AW979" s="115"/>
      <c r="AX979" s="115"/>
      <c r="AY979" s="26"/>
      <c r="AZ979" s="13"/>
      <c r="BC979" s="114"/>
    </row>
    <row r="980" spans="1:55" x14ac:dyDescent="0.4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22"/>
      <c r="AI980" s="122"/>
      <c r="AJ980" s="122"/>
      <c r="AK980" s="115"/>
      <c r="AL980" s="115"/>
      <c r="AM980" s="115"/>
      <c r="AN980" s="115"/>
      <c r="AO980" s="115"/>
      <c r="AP980" s="115"/>
      <c r="AQ980" s="115"/>
      <c r="AR980" s="115"/>
      <c r="AS980" s="115"/>
      <c r="AT980" s="115"/>
      <c r="AU980" s="115"/>
      <c r="AV980" s="115"/>
      <c r="AW980" s="115"/>
      <c r="AX980" s="115"/>
      <c r="AY980" s="26"/>
      <c r="AZ980" s="13"/>
      <c r="BC980" s="114"/>
    </row>
    <row r="981" spans="1:55" x14ac:dyDescent="0.4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22"/>
      <c r="AI981" s="122"/>
      <c r="AJ981" s="122"/>
      <c r="AK981" s="115"/>
      <c r="AL981" s="115"/>
      <c r="AM981" s="115"/>
      <c r="AN981" s="115"/>
      <c r="AO981" s="115"/>
      <c r="AP981" s="115"/>
      <c r="AQ981" s="115"/>
      <c r="AR981" s="115"/>
      <c r="AS981" s="115"/>
      <c r="AT981" s="115"/>
      <c r="AU981" s="115"/>
      <c r="AV981" s="115"/>
      <c r="AW981" s="115"/>
      <c r="AX981" s="115"/>
      <c r="AY981" s="17"/>
      <c r="AZ981" s="13"/>
      <c r="BC981" s="114"/>
    </row>
    <row r="982" spans="1:55" x14ac:dyDescent="0.4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22"/>
      <c r="AI982" s="122"/>
      <c r="AJ982" s="122"/>
      <c r="AK982" s="115"/>
      <c r="AL982" s="115"/>
      <c r="AM982" s="115"/>
      <c r="AN982" s="115"/>
      <c r="AO982" s="115"/>
      <c r="AP982" s="115"/>
      <c r="AQ982" s="115"/>
      <c r="AR982" s="115"/>
      <c r="AS982" s="115"/>
      <c r="AT982" s="115"/>
      <c r="AU982" s="115"/>
      <c r="AV982" s="115"/>
      <c r="AW982" s="115"/>
      <c r="AX982" s="115"/>
      <c r="AY982" s="26"/>
      <c r="AZ982" s="13"/>
      <c r="BC982" s="114"/>
    </row>
    <row r="983" spans="1:55" x14ac:dyDescent="0.4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22"/>
      <c r="AI983" s="122"/>
      <c r="AJ983" s="122"/>
      <c r="AK983" s="115"/>
      <c r="AL983" s="115"/>
      <c r="AM983" s="115"/>
      <c r="AN983" s="115"/>
      <c r="AO983" s="115"/>
      <c r="AP983" s="115"/>
      <c r="AQ983" s="115"/>
      <c r="AR983" s="115"/>
      <c r="AS983" s="115"/>
      <c r="AT983" s="115"/>
      <c r="AU983" s="115"/>
      <c r="AV983" s="115"/>
      <c r="AW983" s="115"/>
      <c r="AX983" s="115"/>
      <c r="AY983" s="26"/>
      <c r="AZ983" s="13"/>
      <c r="BC983" s="114"/>
    </row>
    <row r="984" spans="1:55" x14ac:dyDescent="0.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22"/>
      <c r="AI984" s="122"/>
      <c r="AJ984" s="122"/>
      <c r="AK984" s="115"/>
      <c r="AL984" s="115"/>
      <c r="AM984" s="115"/>
      <c r="AN984" s="115"/>
      <c r="AO984" s="115"/>
      <c r="AP984" s="115"/>
      <c r="AQ984" s="115"/>
      <c r="AR984" s="115"/>
      <c r="AS984" s="115"/>
      <c r="AT984" s="115"/>
      <c r="AU984" s="115"/>
      <c r="AV984" s="115"/>
      <c r="AW984" s="115"/>
      <c r="AX984" s="115"/>
      <c r="AY984" s="26"/>
      <c r="AZ984" s="13"/>
      <c r="BC984" s="114"/>
    </row>
    <row r="985" spans="1:55" x14ac:dyDescent="0.4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22"/>
      <c r="AI985" s="122"/>
      <c r="AJ985" s="122"/>
      <c r="AK985" s="115"/>
      <c r="AL985" s="115"/>
      <c r="AM985" s="115"/>
      <c r="AN985" s="115"/>
      <c r="AO985" s="115"/>
      <c r="AP985" s="115"/>
      <c r="AQ985" s="115"/>
      <c r="AR985" s="115"/>
      <c r="AS985" s="115"/>
      <c r="AT985" s="115"/>
      <c r="AU985" s="115"/>
      <c r="AV985" s="115"/>
      <c r="AW985" s="115"/>
      <c r="AX985" s="115"/>
      <c r="AY985" s="26"/>
      <c r="AZ985" s="13"/>
      <c r="BC985" s="114"/>
    </row>
    <row r="986" spans="1:55" x14ac:dyDescent="0.4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22"/>
      <c r="AI986" s="122"/>
      <c r="AJ986" s="122"/>
      <c r="AK986" s="115"/>
      <c r="AL986" s="115"/>
      <c r="AM986" s="115"/>
      <c r="AN986" s="115"/>
      <c r="AO986" s="115"/>
      <c r="AP986" s="115"/>
      <c r="AQ986" s="115"/>
      <c r="AR986" s="115"/>
      <c r="AS986" s="115"/>
      <c r="AT986" s="115"/>
      <c r="AU986" s="115"/>
      <c r="AV986" s="115"/>
      <c r="AW986" s="115"/>
      <c r="AX986" s="115"/>
      <c r="AY986" s="26"/>
      <c r="AZ986" s="25"/>
      <c r="BC986" s="114"/>
    </row>
    <row r="987" spans="1:55" x14ac:dyDescent="0.4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22"/>
      <c r="AI987" s="122"/>
      <c r="AJ987" s="122"/>
      <c r="AK987" s="115"/>
      <c r="AL987" s="115"/>
      <c r="AM987" s="115"/>
      <c r="AN987" s="115"/>
      <c r="AO987" s="115"/>
      <c r="AP987" s="115"/>
      <c r="AQ987" s="115"/>
      <c r="AR987" s="115"/>
      <c r="AS987" s="115"/>
      <c r="AT987" s="115"/>
      <c r="AU987" s="115"/>
      <c r="AV987" s="115"/>
      <c r="AW987" s="115"/>
      <c r="AX987" s="115"/>
      <c r="AY987" s="17"/>
      <c r="AZ987" s="13"/>
      <c r="BC987" s="114"/>
    </row>
    <row r="988" spans="1:55" x14ac:dyDescent="0.4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22"/>
      <c r="AI988" s="122"/>
      <c r="AJ988" s="122"/>
      <c r="AK988" s="115"/>
      <c r="AL988" s="115"/>
      <c r="AM988" s="115"/>
      <c r="AN988" s="115"/>
      <c r="AO988" s="115"/>
      <c r="AP988" s="115"/>
      <c r="AQ988" s="115"/>
      <c r="AR988" s="115"/>
      <c r="AS988" s="115"/>
      <c r="AT988" s="115"/>
      <c r="AU988" s="115"/>
      <c r="AV988" s="115"/>
      <c r="AW988" s="115"/>
      <c r="AX988" s="115"/>
      <c r="AY988" s="26"/>
      <c r="AZ988" s="15"/>
      <c r="BC988" s="114"/>
    </row>
    <row r="989" spans="1:55" x14ac:dyDescent="0.4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22"/>
      <c r="AI989" s="122"/>
      <c r="AJ989" s="122"/>
      <c r="AK989" s="115"/>
      <c r="AL989" s="115"/>
      <c r="AM989" s="115"/>
      <c r="AN989" s="115"/>
      <c r="AO989" s="115"/>
      <c r="AP989" s="115"/>
      <c r="AQ989" s="115"/>
      <c r="AR989" s="115"/>
      <c r="AS989" s="115"/>
      <c r="AT989" s="115"/>
      <c r="AU989" s="115"/>
      <c r="AV989" s="115"/>
      <c r="AW989" s="115"/>
      <c r="AX989" s="115"/>
      <c r="AY989" s="26"/>
      <c r="AZ989" s="15"/>
      <c r="BC989" s="114"/>
    </row>
    <row r="990" spans="1:55" x14ac:dyDescent="0.4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22"/>
      <c r="AI990" s="122"/>
      <c r="AJ990" s="122"/>
      <c r="AK990" s="115"/>
      <c r="AL990" s="115"/>
      <c r="AM990" s="115"/>
      <c r="AN990" s="115"/>
      <c r="AO990" s="115"/>
      <c r="AP990" s="115"/>
      <c r="AQ990" s="115"/>
      <c r="AR990" s="115"/>
      <c r="AS990" s="115"/>
      <c r="AT990" s="115"/>
      <c r="AU990" s="115"/>
      <c r="AV990" s="115"/>
      <c r="AW990" s="115"/>
      <c r="AX990" s="115"/>
      <c r="AY990" s="17"/>
      <c r="AZ990" s="15"/>
      <c r="BC990" s="114"/>
    </row>
    <row r="991" spans="1:55" x14ac:dyDescent="0.4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22"/>
      <c r="AI991" s="122"/>
      <c r="AJ991" s="122"/>
      <c r="AK991" s="115"/>
      <c r="AL991" s="115"/>
      <c r="AM991" s="115"/>
      <c r="AN991" s="115"/>
      <c r="AO991" s="115"/>
      <c r="AP991" s="115"/>
      <c r="AQ991" s="115"/>
      <c r="AR991" s="115"/>
      <c r="AS991" s="115"/>
      <c r="AT991" s="115"/>
      <c r="AU991" s="115"/>
      <c r="AV991" s="115"/>
      <c r="AW991" s="115"/>
      <c r="AX991" s="115"/>
      <c r="AY991" s="26"/>
      <c r="AZ991" s="15"/>
      <c r="BC991" s="114"/>
    </row>
    <row r="992" spans="1:55" x14ac:dyDescent="0.4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22"/>
      <c r="AI992" s="122"/>
      <c r="AJ992" s="122"/>
      <c r="AK992" s="115"/>
      <c r="AL992" s="115"/>
      <c r="AM992" s="115"/>
      <c r="AN992" s="115"/>
      <c r="AO992" s="115"/>
      <c r="AP992" s="115"/>
      <c r="AQ992" s="115"/>
      <c r="AR992" s="115"/>
      <c r="AS992" s="115"/>
      <c r="AT992" s="115"/>
      <c r="AU992" s="115"/>
      <c r="AV992" s="115"/>
      <c r="AW992" s="115"/>
      <c r="AX992" s="115"/>
      <c r="AY992" s="26"/>
      <c r="AZ992" s="15"/>
      <c r="BC992" s="114"/>
    </row>
    <row r="993" spans="1:55" x14ac:dyDescent="0.4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22"/>
      <c r="AI993" s="122"/>
      <c r="AJ993" s="122"/>
      <c r="AK993" s="115"/>
      <c r="AL993" s="115"/>
      <c r="AM993" s="115"/>
      <c r="AN993" s="115"/>
      <c r="AO993" s="115"/>
      <c r="AP993" s="115"/>
      <c r="AQ993" s="115"/>
      <c r="AR993" s="115"/>
      <c r="AS993" s="115"/>
      <c r="AT993" s="115"/>
      <c r="AU993" s="115"/>
      <c r="AV993" s="115"/>
      <c r="AW993" s="115"/>
      <c r="AX993" s="115"/>
      <c r="AY993" s="26"/>
      <c r="AZ993" s="13"/>
      <c r="BC993" s="114"/>
    </row>
    <row r="994" spans="1:55" x14ac:dyDescent="0.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22"/>
      <c r="AI994" s="122"/>
      <c r="AJ994" s="122"/>
      <c r="AK994" s="115"/>
      <c r="AL994" s="115"/>
      <c r="AM994" s="115"/>
      <c r="AN994" s="115"/>
      <c r="AO994" s="115"/>
      <c r="AP994" s="115"/>
      <c r="AQ994" s="115"/>
      <c r="AR994" s="115"/>
      <c r="AS994" s="115"/>
      <c r="AT994" s="115"/>
      <c r="AU994" s="115"/>
      <c r="AV994" s="115"/>
      <c r="AW994" s="115"/>
      <c r="AX994" s="115"/>
      <c r="AY994" s="26"/>
      <c r="AZ994" s="13"/>
      <c r="BC994" s="114"/>
    </row>
    <row r="995" spans="1:55" x14ac:dyDescent="0.4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22"/>
      <c r="AI995" s="122"/>
      <c r="AJ995" s="122"/>
      <c r="AK995" s="115"/>
      <c r="AL995" s="115"/>
      <c r="AM995" s="115"/>
      <c r="AN995" s="115"/>
      <c r="AO995" s="115"/>
      <c r="AP995" s="115"/>
      <c r="AQ995" s="115"/>
      <c r="AR995" s="115"/>
      <c r="AS995" s="115"/>
      <c r="AT995" s="115"/>
      <c r="AU995" s="115"/>
      <c r="AV995" s="115"/>
      <c r="AW995" s="115"/>
      <c r="AX995" s="115"/>
      <c r="AY995" s="26"/>
      <c r="AZ995" s="13"/>
      <c r="BC995" s="114"/>
    </row>
    <row r="996" spans="1:55" x14ac:dyDescent="0.4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22"/>
      <c r="AI996" s="122"/>
      <c r="AJ996" s="122"/>
      <c r="AK996" s="115"/>
      <c r="AL996" s="115"/>
      <c r="AM996" s="115"/>
      <c r="AN996" s="115"/>
      <c r="AO996" s="115"/>
      <c r="AP996" s="115"/>
      <c r="AQ996" s="115"/>
      <c r="AR996" s="115"/>
      <c r="AS996" s="115"/>
      <c r="AT996" s="115"/>
      <c r="AU996" s="115"/>
      <c r="AV996" s="115"/>
      <c r="AW996" s="115"/>
      <c r="AX996" s="115"/>
      <c r="AY996" s="26"/>
      <c r="AZ996" s="13"/>
      <c r="BC996" s="114"/>
    </row>
    <row r="997" spans="1:55" x14ac:dyDescent="0.4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22"/>
      <c r="AI997" s="122"/>
      <c r="AJ997" s="122"/>
      <c r="AK997" s="115"/>
      <c r="AL997" s="115"/>
      <c r="AM997" s="115"/>
      <c r="AN997" s="115"/>
      <c r="AO997" s="115"/>
      <c r="AP997" s="115"/>
      <c r="AQ997" s="115"/>
      <c r="AR997" s="115"/>
      <c r="AS997" s="115"/>
      <c r="AT997" s="115"/>
      <c r="AU997" s="115"/>
      <c r="AV997" s="115"/>
      <c r="AW997" s="115"/>
      <c r="AX997" s="115"/>
      <c r="AY997" s="26"/>
      <c r="AZ997" s="13"/>
      <c r="BC997" s="114"/>
    </row>
    <row r="998" spans="1:55" x14ac:dyDescent="0.4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22"/>
      <c r="AI998" s="122"/>
      <c r="AJ998" s="122"/>
      <c r="AK998" s="115"/>
      <c r="AL998" s="115"/>
      <c r="AM998" s="115"/>
      <c r="AN998" s="115"/>
      <c r="AO998" s="115"/>
      <c r="AP998" s="115"/>
      <c r="AQ998" s="115"/>
      <c r="AR998" s="115"/>
      <c r="AS998" s="115"/>
      <c r="AT998" s="115"/>
      <c r="AU998" s="115"/>
      <c r="AV998" s="115"/>
      <c r="AW998" s="115"/>
      <c r="AX998" s="115"/>
      <c r="AY998" s="26"/>
      <c r="AZ998" s="13"/>
      <c r="BC998" s="114"/>
    </row>
    <row r="999" spans="1:55" x14ac:dyDescent="0.4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22"/>
      <c r="AI999" s="122"/>
      <c r="AJ999" s="122"/>
      <c r="AK999" s="115"/>
      <c r="AL999" s="115"/>
      <c r="AM999" s="115"/>
      <c r="AN999" s="115"/>
      <c r="AO999" s="115"/>
      <c r="AP999" s="115"/>
      <c r="AQ999" s="115"/>
      <c r="AR999" s="115"/>
      <c r="AS999" s="115"/>
      <c r="AT999" s="115"/>
      <c r="AU999" s="115"/>
      <c r="AV999" s="115"/>
      <c r="AW999" s="115"/>
      <c r="AX999" s="115"/>
      <c r="AY999" s="26"/>
      <c r="AZ999" s="13"/>
      <c r="BC999" s="114"/>
    </row>
    <row r="1000" spans="1:55" x14ac:dyDescent="0.4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22"/>
      <c r="AI1000" s="122"/>
      <c r="AJ1000" s="122"/>
      <c r="AK1000" s="115"/>
      <c r="AL1000" s="115"/>
      <c r="AM1000" s="115"/>
      <c r="AN1000" s="115"/>
      <c r="AO1000" s="115"/>
      <c r="AP1000" s="115"/>
      <c r="AQ1000" s="115"/>
      <c r="AR1000" s="115"/>
      <c r="AS1000" s="115"/>
      <c r="AT1000" s="115"/>
      <c r="AU1000" s="115"/>
      <c r="AV1000" s="115"/>
      <c r="AW1000" s="115"/>
      <c r="AX1000" s="115"/>
      <c r="AY1000" s="26"/>
      <c r="AZ1000" s="13"/>
      <c r="BC1000" s="114"/>
    </row>
    <row r="1001" spans="1:55" x14ac:dyDescent="0.4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22"/>
      <c r="AI1001" s="122"/>
      <c r="AJ1001" s="122"/>
      <c r="AK1001" s="115"/>
      <c r="AL1001" s="115"/>
      <c r="AM1001" s="115"/>
      <c r="AN1001" s="115"/>
      <c r="AO1001" s="115"/>
      <c r="AP1001" s="115"/>
      <c r="AQ1001" s="115"/>
      <c r="AR1001" s="115"/>
      <c r="AS1001" s="115"/>
      <c r="AT1001" s="115"/>
      <c r="AU1001" s="115"/>
      <c r="AV1001" s="115"/>
      <c r="AW1001" s="115"/>
      <c r="AX1001" s="115"/>
      <c r="AY1001" s="17"/>
      <c r="AZ1001" s="13"/>
      <c r="BC1001" s="114"/>
    </row>
    <row r="1002" spans="1:55" x14ac:dyDescent="0.4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22"/>
      <c r="AI1002" s="122"/>
      <c r="AJ1002" s="122"/>
      <c r="AK1002" s="115"/>
      <c r="AL1002" s="115"/>
      <c r="AM1002" s="115"/>
      <c r="AN1002" s="115"/>
      <c r="AO1002" s="115"/>
      <c r="AP1002" s="115"/>
      <c r="AQ1002" s="115"/>
      <c r="AR1002" s="115"/>
      <c r="AS1002" s="115"/>
      <c r="AT1002" s="115"/>
      <c r="AU1002" s="115"/>
      <c r="AV1002" s="115"/>
      <c r="AW1002" s="115"/>
      <c r="AX1002" s="115"/>
      <c r="AY1002" s="26"/>
      <c r="AZ1002" s="13"/>
      <c r="BC1002" s="114"/>
    </row>
    <row r="1003" spans="1:55" x14ac:dyDescent="0.4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22"/>
      <c r="AI1003" s="122"/>
      <c r="AJ1003" s="122"/>
      <c r="AK1003" s="115"/>
      <c r="AL1003" s="115"/>
      <c r="AM1003" s="115"/>
      <c r="AN1003" s="115"/>
      <c r="AO1003" s="115"/>
      <c r="AP1003" s="115"/>
      <c r="AQ1003" s="115"/>
      <c r="AR1003" s="115"/>
      <c r="AS1003" s="115"/>
      <c r="AT1003" s="115"/>
      <c r="AU1003" s="115"/>
      <c r="AV1003" s="115"/>
      <c r="AW1003" s="115"/>
      <c r="AX1003" s="115"/>
      <c r="AY1003" s="17"/>
      <c r="AZ1003" s="13"/>
      <c r="BC1003" s="114"/>
    </row>
    <row r="1004" spans="1:55" x14ac:dyDescent="0.4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22"/>
      <c r="AI1004" s="122"/>
      <c r="AJ1004" s="122"/>
      <c r="AK1004" s="115"/>
      <c r="AL1004" s="115"/>
      <c r="AM1004" s="115"/>
      <c r="AN1004" s="115"/>
      <c r="AO1004" s="115"/>
      <c r="AP1004" s="115"/>
      <c r="AQ1004" s="115"/>
      <c r="AR1004" s="115"/>
      <c r="AS1004" s="115"/>
      <c r="AT1004" s="115"/>
      <c r="AU1004" s="115"/>
      <c r="AV1004" s="115"/>
      <c r="AW1004" s="115"/>
      <c r="AX1004" s="115"/>
      <c r="AY1004" s="26"/>
      <c r="AZ1004" s="13"/>
      <c r="BC1004" s="114"/>
    </row>
    <row r="1005" spans="1:55" x14ac:dyDescent="0.4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22"/>
      <c r="AI1005" s="122"/>
      <c r="AJ1005" s="122"/>
      <c r="AK1005" s="115"/>
      <c r="AL1005" s="115"/>
      <c r="AM1005" s="115"/>
      <c r="AN1005" s="115"/>
      <c r="AO1005" s="115"/>
      <c r="AP1005" s="115"/>
      <c r="AQ1005" s="115"/>
      <c r="AR1005" s="115"/>
      <c r="AS1005" s="115"/>
      <c r="AT1005" s="115"/>
      <c r="AU1005" s="115"/>
      <c r="AV1005" s="115"/>
      <c r="AW1005" s="115"/>
      <c r="AX1005" s="115"/>
      <c r="AY1005" s="26"/>
      <c r="AZ1005" s="13"/>
      <c r="BC1005" s="114"/>
    </row>
    <row r="1006" spans="1:55" x14ac:dyDescent="0.4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22"/>
      <c r="AI1006" s="122"/>
      <c r="AJ1006" s="122"/>
      <c r="AK1006" s="115"/>
      <c r="AL1006" s="115"/>
      <c r="AM1006" s="115"/>
      <c r="AN1006" s="115"/>
      <c r="AO1006" s="115"/>
      <c r="AP1006" s="115"/>
      <c r="AQ1006" s="115"/>
      <c r="AR1006" s="115"/>
      <c r="AS1006" s="115"/>
      <c r="AT1006" s="115"/>
      <c r="AU1006" s="115"/>
      <c r="AV1006" s="115"/>
      <c r="AW1006" s="115"/>
      <c r="AX1006" s="115"/>
      <c r="AY1006" s="26"/>
      <c r="AZ1006" s="13"/>
      <c r="BC1006" s="114"/>
    </row>
    <row r="1007" spans="1:55" x14ac:dyDescent="0.4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22"/>
      <c r="AI1007" s="122"/>
      <c r="AJ1007" s="122"/>
      <c r="AK1007" s="115"/>
      <c r="AL1007" s="115"/>
      <c r="AM1007" s="115"/>
      <c r="AN1007" s="115"/>
      <c r="AO1007" s="115"/>
      <c r="AP1007" s="115"/>
      <c r="AQ1007" s="115"/>
      <c r="AR1007" s="115"/>
      <c r="AS1007" s="115"/>
      <c r="AT1007" s="115"/>
      <c r="AU1007" s="115"/>
      <c r="AV1007" s="115"/>
      <c r="AW1007" s="115"/>
      <c r="AX1007" s="115"/>
      <c r="AY1007" s="26"/>
      <c r="AZ1007" s="15"/>
      <c r="BC1007" s="114"/>
    </row>
    <row r="1008" spans="1:55" x14ac:dyDescent="0.4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22"/>
      <c r="AI1008" s="122"/>
      <c r="AJ1008" s="122"/>
      <c r="AK1008" s="115"/>
      <c r="AL1008" s="115"/>
      <c r="AM1008" s="115"/>
      <c r="AN1008" s="115"/>
      <c r="AO1008" s="115"/>
      <c r="AP1008" s="115"/>
      <c r="AQ1008" s="115"/>
      <c r="AR1008" s="115"/>
      <c r="AS1008" s="115"/>
      <c r="AT1008" s="115"/>
      <c r="AU1008" s="115"/>
      <c r="AV1008" s="115"/>
      <c r="AW1008" s="115"/>
      <c r="AX1008" s="115"/>
      <c r="AY1008" s="26"/>
      <c r="AZ1008" s="15"/>
      <c r="BC1008" s="114"/>
    </row>
    <row r="1009" spans="1:56" x14ac:dyDescent="0.4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22"/>
      <c r="AI1009" s="122"/>
      <c r="AJ1009" s="122"/>
      <c r="AK1009" s="115"/>
      <c r="AL1009" s="115"/>
      <c r="AM1009" s="115"/>
      <c r="AN1009" s="115"/>
      <c r="AO1009" s="115"/>
      <c r="AP1009" s="115"/>
      <c r="AQ1009" s="115"/>
      <c r="AR1009" s="115"/>
      <c r="AS1009" s="115"/>
      <c r="AT1009" s="115"/>
      <c r="AU1009" s="115"/>
      <c r="AV1009" s="115"/>
      <c r="AW1009" s="115"/>
      <c r="AX1009" s="115"/>
      <c r="AY1009" s="26"/>
      <c r="AZ1009" s="15"/>
      <c r="BC1009" s="114"/>
    </row>
    <row r="1010" spans="1:56" x14ac:dyDescent="0.4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22"/>
      <c r="AI1010" s="122"/>
      <c r="AJ1010" s="122"/>
      <c r="AK1010" s="115"/>
      <c r="AL1010" s="115"/>
      <c r="AM1010" s="115"/>
      <c r="AN1010" s="115"/>
      <c r="AO1010" s="115"/>
      <c r="AP1010" s="115"/>
      <c r="AQ1010" s="115"/>
      <c r="AR1010" s="115"/>
      <c r="AS1010" s="115"/>
      <c r="AT1010" s="115"/>
      <c r="AU1010" s="115"/>
      <c r="AV1010" s="115"/>
      <c r="AW1010" s="115"/>
      <c r="AX1010" s="115"/>
      <c r="AY1010" s="26"/>
      <c r="AZ1010" s="13"/>
      <c r="BC1010" s="114"/>
    </row>
    <row r="1011" spans="1:56" x14ac:dyDescent="0.4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22"/>
      <c r="AI1011" s="122"/>
      <c r="AJ1011" s="122"/>
      <c r="AK1011" s="115"/>
      <c r="AL1011" s="115"/>
      <c r="AM1011" s="115"/>
      <c r="AN1011" s="115"/>
      <c r="AO1011" s="115"/>
      <c r="AP1011" s="115"/>
      <c r="AQ1011" s="115"/>
      <c r="AR1011" s="115"/>
      <c r="AS1011" s="115"/>
      <c r="AT1011" s="115"/>
      <c r="AU1011" s="115"/>
      <c r="AV1011" s="115"/>
      <c r="AW1011" s="115"/>
      <c r="AX1011" s="115"/>
      <c r="AY1011" s="26"/>
      <c r="AZ1011" s="15"/>
      <c r="BC1011" s="114"/>
    </row>
    <row r="1012" spans="1:56" x14ac:dyDescent="0.4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22"/>
      <c r="AI1012" s="122"/>
      <c r="AJ1012" s="122"/>
      <c r="AK1012" s="115"/>
      <c r="AL1012" s="115"/>
      <c r="AM1012" s="115"/>
      <c r="AN1012" s="115"/>
      <c r="AO1012" s="115"/>
      <c r="AP1012" s="115"/>
      <c r="AQ1012" s="115"/>
      <c r="AR1012" s="115"/>
      <c r="AS1012" s="115"/>
      <c r="AT1012" s="115"/>
      <c r="AU1012" s="115"/>
      <c r="AV1012" s="115"/>
      <c r="AW1012" s="115"/>
      <c r="AX1012" s="115"/>
      <c r="AY1012" s="26"/>
      <c r="AZ1012" s="15"/>
      <c r="BC1012" s="114"/>
      <c r="BD1012" s="120"/>
    </row>
    <row r="1013" spans="1:56" x14ac:dyDescent="0.4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22"/>
      <c r="AI1013" s="122"/>
      <c r="AJ1013" s="122"/>
      <c r="AK1013" s="115"/>
      <c r="AL1013" s="115"/>
      <c r="AM1013" s="115"/>
      <c r="AN1013" s="115"/>
      <c r="AO1013" s="115"/>
      <c r="AP1013" s="115"/>
      <c r="AQ1013" s="115"/>
      <c r="AR1013" s="115"/>
      <c r="AS1013" s="115"/>
      <c r="AT1013" s="115"/>
      <c r="AU1013" s="115"/>
      <c r="AV1013" s="115"/>
      <c r="AW1013" s="115"/>
      <c r="AX1013" s="115"/>
      <c r="AY1013" s="26"/>
      <c r="AZ1013" s="15"/>
      <c r="BC1013" s="114"/>
      <c r="BD1013" s="120"/>
    </row>
    <row r="1014" spans="1:56" x14ac:dyDescent="0.4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22"/>
      <c r="AI1014" s="122"/>
      <c r="AJ1014" s="122"/>
      <c r="AK1014" s="115"/>
      <c r="AL1014" s="115"/>
      <c r="AM1014" s="115"/>
      <c r="AN1014" s="115"/>
      <c r="AO1014" s="115"/>
      <c r="AP1014" s="115"/>
      <c r="AQ1014" s="115"/>
      <c r="AR1014" s="115"/>
      <c r="AS1014" s="115"/>
      <c r="AT1014" s="115"/>
      <c r="AU1014" s="115"/>
      <c r="AV1014" s="115"/>
      <c r="AW1014" s="115"/>
      <c r="AX1014" s="115"/>
      <c r="AY1014" s="26"/>
      <c r="AZ1014" s="15"/>
      <c r="BC1014" s="114"/>
      <c r="BD1014" s="120"/>
    </row>
    <row r="1015" spans="1:56" x14ac:dyDescent="0.4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22"/>
      <c r="AI1015" s="122"/>
      <c r="AJ1015" s="122"/>
      <c r="AK1015" s="115"/>
      <c r="AL1015" s="115"/>
      <c r="AM1015" s="115"/>
      <c r="AN1015" s="115"/>
      <c r="AO1015" s="115"/>
      <c r="AP1015" s="115"/>
      <c r="AQ1015" s="115"/>
      <c r="AR1015" s="115"/>
      <c r="AS1015" s="115"/>
      <c r="AT1015" s="115"/>
      <c r="AU1015" s="115"/>
      <c r="AV1015" s="115"/>
      <c r="AW1015" s="115"/>
      <c r="AX1015" s="115"/>
      <c r="AY1015" s="26"/>
      <c r="AZ1015" s="15"/>
      <c r="BC1015" s="114"/>
      <c r="BD1015" s="120"/>
    </row>
    <row r="1016" spans="1:56" x14ac:dyDescent="0.4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22"/>
      <c r="AI1016" s="122"/>
      <c r="AJ1016" s="122"/>
      <c r="AK1016" s="115"/>
      <c r="AL1016" s="115"/>
      <c r="AM1016" s="115"/>
      <c r="AN1016" s="115"/>
      <c r="AO1016" s="115"/>
      <c r="AP1016" s="115"/>
      <c r="AQ1016" s="115"/>
      <c r="AR1016" s="115"/>
      <c r="AS1016" s="115"/>
      <c r="AT1016" s="115"/>
      <c r="AU1016" s="115"/>
      <c r="AV1016" s="115"/>
      <c r="AW1016" s="115"/>
      <c r="AX1016" s="115"/>
      <c r="AY1016" s="26"/>
      <c r="AZ1016" s="15"/>
      <c r="BC1016" s="114"/>
      <c r="BD1016" s="120"/>
    </row>
    <row r="1017" spans="1:56" x14ac:dyDescent="0.4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22"/>
      <c r="AI1017" s="122"/>
      <c r="AJ1017" s="122"/>
      <c r="AK1017" s="115"/>
      <c r="AL1017" s="115"/>
      <c r="AM1017" s="115"/>
      <c r="AN1017" s="115"/>
      <c r="AO1017" s="115"/>
      <c r="AP1017" s="115"/>
      <c r="AQ1017" s="115"/>
      <c r="AR1017" s="115"/>
      <c r="AS1017" s="115"/>
      <c r="AT1017" s="115"/>
      <c r="AU1017" s="115"/>
      <c r="AV1017" s="115"/>
      <c r="AW1017" s="115"/>
      <c r="AX1017" s="115"/>
      <c r="AY1017" s="26"/>
      <c r="AZ1017" s="15"/>
      <c r="BC1017" s="114"/>
      <c r="BD1017" s="120"/>
    </row>
    <row r="1018" spans="1:56" x14ac:dyDescent="0.4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22"/>
      <c r="AI1018" s="122"/>
      <c r="AJ1018" s="122"/>
      <c r="AK1018" s="115"/>
      <c r="AL1018" s="115"/>
      <c r="AM1018" s="115"/>
      <c r="AN1018" s="115"/>
      <c r="AO1018" s="115"/>
      <c r="AP1018" s="115"/>
      <c r="AQ1018" s="115"/>
      <c r="AR1018" s="115"/>
      <c r="AS1018" s="115"/>
      <c r="AT1018" s="115"/>
      <c r="AU1018" s="115"/>
      <c r="AV1018" s="115"/>
      <c r="AW1018" s="115"/>
      <c r="AX1018" s="115"/>
      <c r="AY1018" s="26"/>
      <c r="AZ1018" s="15"/>
      <c r="BC1018" s="114"/>
      <c r="BD1018" s="120"/>
    </row>
    <row r="1019" spans="1:56" x14ac:dyDescent="0.4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22"/>
      <c r="AI1019" s="122"/>
      <c r="AJ1019" s="122"/>
      <c r="AK1019" s="115"/>
      <c r="AL1019" s="115"/>
      <c r="AM1019" s="115"/>
      <c r="AN1019" s="115"/>
      <c r="AO1019" s="115"/>
      <c r="AP1019" s="115"/>
      <c r="AQ1019" s="115"/>
      <c r="AR1019" s="115"/>
      <c r="AS1019" s="115"/>
      <c r="AT1019" s="115"/>
      <c r="AU1019" s="115"/>
      <c r="AV1019" s="115"/>
      <c r="AW1019" s="115"/>
      <c r="AX1019" s="115"/>
      <c r="AY1019" s="17"/>
      <c r="AZ1019" s="15"/>
      <c r="BC1019" s="114"/>
      <c r="BD1019" s="120"/>
    </row>
    <row r="1020" spans="1:56" x14ac:dyDescent="0.4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22"/>
      <c r="AI1020" s="122"/>
      <c r="AJ1020" s="122"/>
      <c r="AK1020" s="115"/>
      <c r="AL1020" s="115"/>
      <c r="AM1020" s="115"/>
      <c r="AN1020" s="115"/>
      <c r="AO1020" s="115"/>
      <c r="AP1020" s="115"/>
      <c r="AQ1020" s="115"/>
      <c r="AR1020" s="115"/>
      <c r="AS1020" s="115"/>
      <c r="AT1020" s="115"/>
      <c r="AU1020" s="115"/>
      <c r="AV1020" s="115"/>
      <c r="AW1020" s="115"/>
      <c r="AX1020" s="115"/>
      <c r="AY1020" s="26"/>
      <c r="AZ1020" s="15"/>
      <c r="BC1020" s="114"/>
      <c r="BD1020" s="120"/>
    </row>
    <row r="1021" spans="1:56" x14ac:dyDescent="0.4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22"/>
      <c r="AI1021" s="122"/>
      <c r="AJ1021" s="122"/>
      <c r="AK1021" s="115"/>
      <c r="AL1021" s="115"/>
      <c r="AM1021" s="115"/>
      <c r="AN1021" s="115"/>
      <c r="AO1021" s="115"/>
      <c r="AP1021" s="115"/>
      <c r="AQ1021" s="115"/>
      <c r="AR1021" s="115"/>
      <c r="AS1021" s="115"/>
      <c r="AT1021" s="115"/>
      <c r="AU1021" s="115"/>
      <c r="AV1021" s="115"/>
      <c r="AW1021" s="115"/>
      <c r="AX1021" s="115"/>
      <c r="AY1021" s="26"/>
      <c r="AZ1021" s="15"/>
      <c r="BC1021" s="114"/>
    </row>
    <row r="1022" spans="1:56" x14ac:dyDescent="0.4">
      <c r="AY1022" s="26"/>
      <c r="AZ1022" s="15"/>
      <c r="BC1022" s="114"/>
    </row>
    <row r="1023" spans="1:56" x14ac:dyDescent="0.4">
      <c r="AL1023" s="115"/>
      <c r="AM1023" s="115"/>
      <c r="AN1023" s="115"/>
      <c r="AO1023" s="115"/>
      <c r="AP1023" s="115"/>
      <c r="AQ1023" s="115"/>
      <c r="AR1023" s="115"/>
      <c r="AS1023" s="115"/>
      <c r="AT1023" s="115"/>
      <c r="AU1023" s="115"/>
      <c r="AV1023" s="115"/>
      <c r="AW1023" s="115"/>
      <c r="AX1023" s="115"/>
      <c r="AY1023" s="17"/>
      <c r="AZ1023" s="15"/>
      <c r="BC1023" s="114"/>
    </row>
    <row r="1024" spans="1:56" x14ac:dyDescent="0.4">
      <c r="AL1024" s="115"/>
      <c r="AM1024" s="115"/>
      <c r="AN1024" s="115"/>
      <c r="AO1024" s="115"/>
      <c r="AP1024" s="115"/>
      <c r="AQ1024" s="115"/>
      <c r="AR1024" s="115"/>
      <c r="AS1024" s="115"/>
      <c r="AT1024" s="115"/>
      <c r="AU1024" s="115"/>
      <c r="AV1024" s="115"/>
      <c r="AW1024" s="115"/>
      <c r="AX1024" s="115"/>
      <c r="AY1024" s="17"/>
      <c r="AZ1024" s="15"/>
      <c r="BC1024" s="114"/>
    </row>
    <row r="1025" spans="4:59" x14ac:dyDescent="0.4">
      <c r="AJ1025" s="122"/>
      <c r="AK1025" s="115"/>
      <c r="AL1025" s="115"/>
      <c r="AM1025" s="115"/>
      <c r="AN1025" s="115"/>
      <c r="AO1025" s="115"/>
      <c r="AP1025" s="115"/>
      <c r="AQ1025" s="115"/>
      <c r="AR1025" s="115"/>
      <c r="AS1025" s="115"/>
      <c r="AT1025" s="115"/>
      <c r="AU1025" s="115"/>
      <c r="AV1025" s="115"/>
      <c r="AW1025" s="115"/>
      <c r="AX1025" s="115"/>
      <c r="AY1025" s="17"/>
      <c r="AZ1025" s="15"/>
      <c r="BC1025" s="114"/>
    </row>
    <row r="1026" spans="4:59" x14ac:dyDescent="0.4">
      <c r="AE1026" s="115"/>
      <c r="AF1026" s="115"/>
      <c r="AG1026" s="115"/>
      <c r="AH1026" s="122"/>
      <c r="AI1026" s="122"/>
      <c r="AJ1026" s="122"/>
      <c r="AK1026" s="115"/>
      <c r="AL1026" s="115"/>
      <c r="AM1026" s="115"/>
      <c r="AN1026" s="115"/>
      <c r="AO1026" s="115"/>
      <c r="AP1026" s="115"/>
      <c r="AQ1026" s="115"/>
      <c r="AR1026" s="115"/>
      <c r="AS1026" s="115"/>
      <c r="AT1026" s="115"/>
      <c r="AU1026" s="115"/>
      <c r="AV1026" s="115"/>
      <c r="AW1026" s="115"/>
      <c r="AX1026" s="115"/>
      <c r="AY1026" s="26"/>
      <c r="AZ1026" s="15"/>
      <c r="BC1026" s="114"/>
    </row>
    <row r="1027" spans="4:59" x14ac:dyDescent="0.4">
      <c r="AE1027" s="115"/>
      <c r="AF1027" s="115"/>
      <c r="AG1027" s="115"/>
      <c r="AH1027" s="122"/>
      <c r="AI1027" s="122"/>
      <c r="AJ1027" s="122"/>
      <c r="AK1027" s="115"/>
      <c r="AL1027" s="115"/>
      <c r="AM1027" s="115"/>
      <c r="AN1027" s="115"/>
      <c r="AO1027" s="115"/>
      <c r="AP1027" s="115"/>
      <c r="AQ1027" s="115"/>
      <c r="AR1027" s="115"/>
      <c r="AS1027" s="115"/>
      <c r="AT1027" s="115"/>
      <c r="AU1027" s="115"/>
      <c r="AV1027" s="115"/>
      <c r="AW1027" s="115"/>
      <c r="AX1027" s="115"/>
      <c r="AY1027" s="17"/>
      <c r="AZ1027" s="15"/>
      <c r="BC1027" s="114"/>
    </row>
    <row r="1028" spans="4:59" x14ac:dyDescent="0.4">
      <c r="AD1028" s="115"/>
      <c r="AE1028" s="115"/>
      <c r="AF1028" s="115"/>
      <c r="AG1028" s="115"/>
      <c r="AH1028" s="122"/>
      <c r="AI1028" s="122"/>
      <c r="AJ1028" s="122"/>
      <c r="AK1028" s="115"/>
      <c r="AL1028" s="115"/>
      <c r="AM1028" s="115"/>
      <c r="AN1028" s="115"/>
      <c r="AO1028" s="115"/>
      <c r="AP1028" s="115"/>
      <c r="AQ1028" s="115"/>
      <c r="AR1028" s="115"/>
      <c r="AS1028" s="115"/>
      <c r="AT1028" s="115"/>
      <c r="AU1028" s="115"/>
      <c r="AV1028" s="115"/>
      <c r="AW1028" s="115"/>
      <c r="AX1028" s="115"/>
      <c r="AY1028" s="26"/>
      <c r="AZ1028" s="15"/>
      <c r="BC1028" s="114"/>
    </row>
    <row r="1029" spans="4:59" x14ac:dyDescent="0.4">
      <c r="AD1029" s="115"/>
      <c r="AE1029" s="115"/>
      <c r="AF1029" s="115"/>
      <c r="AG1029" s="115"/>
      <c r="AH1029" s="122"/>
      <c r="AI1029" s="122"/>
      <c r="AJ1029" s="122"/>
      <c r="AK1029" s="115"/>
      <c r="AL1029" s="115"/>
      <c r="AM1029" s="115"/>
      <c r="AN1029" s="115"/>
      <c r="AO1029" s="115"/>
      <c r="AP1029" s="115"/>
      <c r="AQ1029" s="115"/>
      <c r="AR1029" s="115"/>
      <c r="AS1029" s="115"/>
      <c r="AT1029" s="115"/>
      <c r="AU1029" s="115"/>
      <c r="AV1029" s="115"/>
      <c r="AW1029" s="115"/>
      <c r="AX1029" s="115"/>
      <c r="AY1029" s="17"/>
      <c r="AZ1029" s="15"/>
      <c r="BC1029" s="114"/>
    </row>
    <row r="1030" spans="4:59" x14ac:dyDescent="0.4">
      <c r="AD1030" s="115"/>
      <c r="AE1030" s="115"/>
      <c r="AF1030" s="115"/>
      <c r="AG1030" s="115"/>
      <c r="AH1030" s="122"/>
      <c r="AI1030" s="122"/>
      <c r="AJ1030" s="122"/>
      <c r="AK1030" s="115"/>
      <c r="AL1030" s="115"/>
      <c r="AM1030" s="115"/>
      <c r="AN1030" s="115"/>
      <c r="AO1030" s="115"/>
      <c r="AP1030" s="115"/>
      <c r="AQ1030" s="115"/>
      <c r="AR1030" s="115"/>
      <c r="AS1030" s="115"/>
      <c r="AT1030" s="115"/>
      <c r="AU1030" s="115"/>
      <c r="AV1030" s="115"/>
      <c r="AW1030" s="115"/>
      <c r="AX1030" s="115"/>
      <c r="AY1030" s="17"/>
      <c r="AZ1030" s="15"/>
      <c r="BC1030" s="114"/>
    </row>
    <row r="1031" spans="4:59" x14ac:dyDescent="0.4">
      <c r="AD1031" s="115"/>
      <c r="AE1031" s="115"/>
      <c r="AF1031" s="115"/>
      <c r="AG1031" s="115"/>
      <c r="AH1031" s="122"/>
      <c r="AI1031" s="122"/>
      <c r="AJ1031" s="122"/>
      <c r="AK1031" s="115"/>
      <c r="AL1031" s="115"/>
      <c r="AM1031" s="115"/>
      <c r="AN1031" s="115"/>
      <c r="AO1031" s="115"/>
      <c r="AP1031" s="115"/>
      <c r="AQ1031" s="115"/>
      <c r="AR1031" s="115"/>
      <c r="AS1031" s="115"/>
      <c r="AT1031" s="115"/>
      <c r="AU1031" s="115"/>
      <c r="AV1031" s="115"/>
      <c r="AW1031" s="115"/>
      <c r="AX1031" s="115"/>
      <c r="AY1031" s="17"/>
      <c r="AZ1031" s="15"/>
      <c r="BC1031" s="114"/>
    </row>
    <row r="1032" spans="4:59" x14ac:dyDescent="0.4">
      <c r="AD1032" s="115"/>
      <c r="AE1032" s="115"/>
      <c r="AF1032" s="115"/>
      <c r="AG1032" s="115"/>
      <c r="AH1032" s="122"/>
      <c r="AI1032" s="122"/>
      <c r="AJ1032" s="122"/>
      <c r="AK1032" s="115"/>
      <c r="AL1032" s="115"/>
      <c r="AM1032" s="115"/>
      <c r="AN1032" s="115"/>
      <c r="AO1032" s="115"/>
      <c r="AP1032" s="115"/>
      <c r="AQ1032" s="115"/>
      <c r="AR1032" s="115"/>
      <c r="AS1032" s="115"/>
      <c r="AT1032" s="115"/>
      <c r="AU1032" s="115"/>
      <c r="AV1032" s="115"/>
      <c r="AW1032" s="115"/>
      <c r="AX1032" s="115"/>
      <c r="AY1032" s="26"/>
      <c r="AZ1032" s="15"/>
      <c r="BC1032" s="114"/>
    </row>
    <row r="1033" spans="4:59" x14ac:dyDescent="0.4">
      <c r="AD1033" s="115"/>
      <c r="AE1033" s="115"/>
      <c r="AF1033" s="115"/>
      <c r="AG1033" s="115"/>
      <c r="AH1033" s="122"/>
      <c r="AI1033" s="122"/>
      <c r="AJ1033" s="122"/>
      <c r="AK1033" s="115"/>
      <c r="AL1033" s="115"/>
      <c r="AM1033" s="115"/>
      <c r="AN1033" s="115"/>
      <c r="AO1033" s="115"/>
      <c r="AP1033" s="115"/>
      <c r="AQ1033" s="115"/>
      <c r="AR1033" s="115"/>
      <c r="AS1033" s="115"/>
      <c r="AT1033" s="115"/>
      <c r="AU1033" s="115"/>
      <c r="AV1033" s="115"/>
      <c r="AW1033" s="115"/>
      <c r="AX1033" s="115"/>
      <c r="AY1033" s="17"/>
      <c r="AZ1033" s="15"/>
      <c r="BC1033" s="114"/>
    </row>
    <row r="1034" spans="4:59" ht="19.5" x14ac:dyDescent="0.4">
      <c r="AY1034" s="26"/>
      <c r="AZ1034" s="15"/>
      <c r="BD1034" s="116"/>
      <c r="BE1034" s="116"/>
      <c r="BF1034" s="116"/>
      <c r="BG1034" s="116"/>
    </row>
    <row r="1035" spans="4:59" ht="19.5" x14ac:dyDescent="0.4">
      <c r="AI1035" s="122"/>
      <c r="AJ1035" s="122"/>
      <c r="AK1035" s="115"/>
      <c r="AL1035" s="115"/>
      <c r="AM1035" s="115"/>
      <c r="AN1035" s="115"/>
      <c r="AO1035" s="115"/>
      <c r="AP1035" s="115"/>
      <c r="AQ1035" s="115"/>
      <c r="AR1035" s="115"/>
      <c r="AS1035" s="115"/>
      <c r="AT1035" s="115"/>
      <c r="AU1035" s="115"/>
      <c r="AV1035" s="115"/>
      <c r="AW1035" s="115"/>
      <c r="AX1035" s="115"/>
      <c r="AY1035" s="17"/>
      <c r="AZ1035" s="15"/>
      <c r="BD1035" s="117"/>
      <c r="BE1035" s="116"/>
      <c r="BF1035" s="116"/>
      <c r="BG1035" s="116"/>
    </row>
    <row r="1036" spans="4:59" ht="19.5" x14ac:dyDescent="0.4">
      <c r="AA1036" s="115"/>
      <c r="AB1036" s="115"/>
      <c r="AC1036" s="115"/>
      <c r="AD1036" s="115"/>
      <c r="AE1036" s="115"/>
      <c r="AF1036" s="115"/>
      <c r="AG1036" s="115"/>
      <c r="AH1036" s="122"/>
      <c r="AI1036" s="122"/>
      <c r="AJ1036" s="122"/>
      <c r="AK1036" s="115"/>
      <c r="AL1036" s="115"/>
      <c r="AM1036" s="115"/>
      <c r="AN1036" s="115"/>
      <c r="AO1036" s="115"/>
      <c r="AP1036" s="115"/>
      <c r="AQ1036" s="115"/>
      <c r="AR1036" s="115"/>
      <c r="AS1036" s="115"/>
      <c r="AT1036" s="115"/>
      <c r="AU1036" s="115"/>
      <c r="AV1036" s="115"/>
      <c r="AW1036" s="115"/>
      <c r="AX1036" s="115"/>
      <c r="AY1036" s="26"/>
      <c r="AZ1036" s="15"/>
      <c r="BD1036" s="117"/>
      <c r="BE1036" s="116"/>
      <c r="BF1036" s="116"/>
      <c r="BG1036" s="116"/>
    </row>
    <row r="1037" spans="4:59" ht="19.5" x14ac:dyDescent="0.4"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22"/>
      <c r="AI1037" s="122"/>
      <c r="AJ1037" s="122"/>
      <c r="AK1037" s="115"/>
      <c r="AL1037" s="115"/>
      <c r="AM1037" s="115"/>
      <c r="AN1037" s="115"/>
      <c r="AO1037" s="115"/>
      <c r="AP1037" s="115"/>
      <c r="AQ1037" s="115"/>
      <c r="AR1037" s="115"/>
      <c r="AS1037" s="115"/>
      <c r="AT1037" s="115"/>
      <c r="AU1037" s="115"/>
      <c r="AV1037" s="115"/>
      <c r="AW1037" s="115"/>
      <c r="AX1037" s="115"/>
      <c r="AY1037" s="26"/>
      <c r="AZ1037" s="13"/>
      <c r="BD1037" s="117"/>
      <c r="BE1037" s="116"/>
      <c r="BF1037" s="116"/>
      <c r="BG1037" s="116"/>
    </row>
    <row r="1038" spans="4:59" ht="19.5" x14ac:dyDescent="0.4"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22"/>
      <c r="AI1038" s="122"/>
      <c r="AJ1038" s="122"/>
      <c r="AK1038" s="115"/>
      <c r="AL1038" s="115"/>
      <c r="AM1038" s="115"/>
      <c r="AN1038" s="115"/>
      <c r="AO1038" s="115"/>
      <c r="AP1038" s="115"/>
      <c r="AQ1038" s="115"/>
      <c r="AR1038" s="115"/>
      <c r="AS1038" s="115"/>
      <c r="AT1038" s="115"/>
      <c r="AU1038" s="115"/>
      <c r="AV1038" s="115"/>
      <c r="AW1038" s="115"/>
      <c r="AX1038" s="115"/>
      <c r="AY1038" s="26"/>
      <c r="AZ1038" s="15"/>
      <c r="BD1038" s="117"/>
      <c r="BE1038" s="116"/>
      <c r="BF1038" s="116"/>
      <c r="BG1038" s="116"/>
    </row>
    <row r="1039" spans="4:59" ht="19.5" x14ac:dyDescent="0.4"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22"/>
      <c r="AI1039" s="122"/>
      <c r="AJ1039" s="122"/>
      <c r="AK1039" s="115"/>
      <c r="AL1039" s="115"/>
      <c r="AM1039" s="115"/>
      <c r="AN1039" s="115"/>
      <c r="AO1039" s="115"/>
      <c r="AP1039" s="115"/>
      <c r="AQ1039" s="115"/>
      <c r="AR1039" s="115"/>
      <c r="AS1039" s="115"/>
      <c r="AT1039" s="115"/>
      <c r="AU1039" s="115"/>
      <c r="AV1039" s="115"/>
      <c r="AW1039" s="115"/>
      <c r="AX1039" s="115"/>
      <c r="AY1039" s="17"/>
      <c r="AZ1039" s="15"/>
      <c r="BD1039" s="117"/>
      <c r="BE1039" s="116"/>
      <c r="BF1039" s="116"/>
      <c r="BG1039" s="116"/>
    </row>
    <row r="1040" spans="4:59" ht="19.5" x14ac:dyDescent="0.4">
      <c r="D1040" s="115"/>
      <c r="E1040" s="115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22"/>
      <c r="AI1040" s="122"/>
      <c r="AJ1040" s="122"/>
      <c r="AK1040" s="115"/>
      <c r="AL1040" s="115"/>
      <c r="AM1040" s="115"/>
      <c r="AN1040" s="115"/>
      <c r="AO1040" s="115"/>
      <c r="AP1040" s="115"/>
      <c r="AQ1040" s="115"/>
      <c r="AR1040" s="115"/>
      <c r="AS1040" s="115"/>
      <c r="AT1040" s="115"/>
      <c r="AU1040" s="115"/>
      <c r="AV1040" s="115"/>
      <c r="AW1040" s="115"/>
      <c r="AX1040" s="115"/>
      <c r="AY1040" s="26"/>
      <c r="AZ1040" s="15"/>
      <c r="BD1040" s="117"/>
      <c r="BE1040" s="116"/>
      <c r="BF1040" s="116"/>
      <c r="BG1040" s="116"/>
    </row>
    <row r="1041" spans="1:59" ht="19.5" x14ac:dyDescent="0.4"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22"/>
      <c r="AI1041" s="122"/>
      <c r="AJ1041" s="122"/>
      <c r="AK1041" s="115"/>
      <c r="AL1041" s="115"/>
      <c r="AM1041" s="115"/>
      <c r="AN1041" s="115"/>
      <c r="AO1041" s="115"/>
      <c r="AP1041" s="115"/>
      <c r="AQ1041" s="115"/>
      <c r="AR1041" s="115"/>
      <c r="AS1041" s="115"/>
      <c r="AT1041" s="115"/>
      <c r="AU1041" s="115"/>
      <c r="AV1041" s="115"/>
      <c r="AW1041" s="115"/>
      <c r="AX1041" s="115"/>
      <c r="AY1041" s="26"/>
      <c r="AZ1041" s="15"/>
      <c r="BD1041" s="117"/>
      <c r="BE1041" s="116"/>
      <c r="BF1041" s="116"/>
      <c r="BG1041" s="116"/>
    </row>
    <row r="1042" spans="1:59" ht="19.5" x14ac:dyDescent="0.4">
      <c r="D1042" s="115"/>
      <c r="E1042" s="115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22"/>
      <c r="AI1042" s="122"/>
      <c r="AJ1042" s="122"/>
      <c r="AK1042" s="115"/>
      <c r="AL1042" s="115"/>
      <c r="AM1042" s="115"/>
      <c r="AN1042" s="115"/>
      <c r="AO1042" s="115"/>
      <c r="AP1042" s="115"/>
      <c r="AQ1042" s="115"/>
      <c r="AR1042" s="115"/>
      <c r="AS1042" s="115"/>
      <c r="AT1042" s="115"/>
      <c r="AU1042" s="115"/>
      <c r="AV1042" s="115"/>
      <c r="AW1042" s="115"/>
      <c r="AX1042" s="115"/>
      <c r="AY1042" s="17"/>
      <c r="AZ1042" s="15"/>
      <c r="BD1042" s="117"/>
      <c r="BE1042" s="116"/>
      <c r="BF1042" s="116"/>
      <c r="BG1042" s="116"/>
    </row>
    <row r="1043" spans="1:59" ht="19.5" x14ac:dyDescent="0.4"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22"/>
      <c r="AI1043" s="122"/>
      <c r="AJ1043" s="122"/>
      <c r="AK1043" s="115"/>
      <c r="AL1043" s="115"/>
      <c r="AM1043" s="115"/>
      <c r="AN1043" s="115"/>
      <c r="AO1043" s="115"/>
      <c r="AP1043" s="115"/>
      <c r="AQ1043" s="115"/>
      <c r="AR1043" s="115"/>
      <c r="AS1043" s="115"/>
      <c r="AT1043" s="115"/>
      <c r="AU1043" s="115"/>
      <c r="AV1043" s="115"/>
      <c r="AW1043" s="115"/>
      <c r="AX1043" s="115"/>
      <c r="AY1043" s="26"/>
      <c r="AZ1043" s="15"/>
      <c r="BD1043" s="117"/>
      <c r="BE1043" s="116"/>
      <c r="BF1043" s="116"/>
      <c r="BG1043" s="116"/>
    </row>
    <row r="1044" spans="1:59" ht="19.5" x14ac:dyDescent="0.4">
      <c r="AY1044" s="26"/>
      <c r="AZ1044" s="15"/>
      <c r="BD1044" s="117"/>
      <c r="BE1044" s="116"/>
      <c r="BF1044" s="116"/>
      <c r="BG1044" s="116"/>
    </row>
    <row r="1045" spans="1:59" ht="19.5" x14ac:dyDescent="0.4">
      <c r="AI1045" s="122"/>
      <c r="AJ1045" s="122"/>
      <c r="AK1045" s="115"/>
      <c r="AL1045" s="115"/>
      <c r="AM1045" s="115"/>
      <c r="AN1045" s="115"/>
      <c r="AO1045" s="115"/>
      <c r="AP1045" s="115"/>
      <c r="AQ1045" s="115"/>
      <c r="AR1045" s="115"/>
      <c r="AS1045" s="115"/>
      <c r="AT1045" s="115"/>
      <c r="AU1045" s="115"/>
      <c r="AV1045" s="115"/>
      <c r="AW1045" s="115"/>
      <c r="AX1045" s="115"/>
      <c r="AY1045" s="17"/>
      <c r="AZ1045" s="15"/>
      <c r="BD1045" s="117"/>
      <c r="BE1045" s="116"/>
      <c r="BF1045" s="116"/>
      <c r="BG1045" s="116"/>
    </row>
    <row r="1046" spans="1:59" ht="19.5" x14ac:dyDescent="0.4">
      <c r="AF1046" s="115"/>
      <c r="AG1046" s="115"/>
      <c r="AH1046" s="122"/>
      <c r="AI1046" s="122"/>
      <c r="AJ1046" s="122"/>
      <c r="AK1046" s="115"/>
      <c r="AL1046" s="115"/>
      <c r="AM1046" s="115"/>
      <c r="AN1046" s="115"/>
      <c r="AO1046" s="115"/>
      <c r="AP1046" s="115"/>
      <c r="AQ1046" s="115"/>
      <c r="AR1046" s="115"/>
      <c r="AS1046" s="115"/>
      <c r="AT1046" s="115"/>
      <c r="AU1046" s="115"/>
      <c r="AV1046" s="115"/>
      <c r="AW1046" s="115"/>
      <c r="AX1046" s="115"/>
      <c r="AY1046" s="26"/>
      <c r="AZ1046" s="15"/>
      <c r="BD1046" s="117"/>
      <c r="BE1046" s="116"/>
      <c r="BF1046" s="116"/>
      <c r="BG1046" s="116"/>
    </row>
    <row r="1047" spans="1:59" ht="19.5" x14ac:dyDescent="0.4">
      <c r="AF1047" s="115"/>
      <c r="AG1047" s="115"/>
      <c r="AH1047" s="122"/>
      <c r="AI1047" s="122"/>
      <c r="AJ1047" s="122"/>
      <c r="AK1047" s="115"/>
      <c r="AL1047" s="115"/>
      <c r="AM1047" s="115"/>
      <c r="AN1047" s="115"/>
      <c r="AO1047" s="115"/>
      <c r="AP1047" s="115"/>
      <c r="AQ1047" s="115"/>
      <c r="AR1047" s="115"/>
      <c r="AS1047" s="115"/>
      <c r="AT1047" s="115"/>
      <c r="AU1047" s="115"/>
      <c r="AV1047" s="115"/>
      <c r="AW1047" s="115"/>
      <c r="AX1047" s="115"/>
      <c r="AY1047" s="17"/>
      <c r="AZ1047" s="15"/>
      <c r="BD1047" s="117"/>
      <c r="BE1047" s="116"/>
      <c r="BF1047" s="116"/>
      <c r="BG1047" s="116"/>
    </row>
    <row r="1048" spans="1:59" ht="19.5" x14ac:dyDescent="0.4">
      <c r="AE1048" s="115"/>
      <c r="AF1048" s="115"/>
      <c r="AG1048" s="115"/>
      <c r="AH1048" s="122"/>
      <c r="AI1048" s="122"/>
      <c r="AJ1048" s="122"/>
      <c r="AK1048" s="115"/>
      <c r="AL1048" s="115"/>
      <c r="AM1048" s="115"/>
      <c r="AN1048" s="115"/>
      <c r="AO1048" s="115"/>
      <c r="AP1048" s="115"/>
      <c r="AQ1048" s="115"/>
      <c r="AR1048" s="115"/>
      <c r="AS1048" s="115"/>
      <c r="AT1048" s="115"/>
      <c r="AU1048" s="115"/>
      <c r="AV1048" s="115"/>
      <c r="AW1048" s="115"/>
      <c r="AX1048" s="115"/>
      <c r="AY1048" s="26"/>
      <c r="AZ1048" s="15"/>
      <c r="BD1048" s="117"/>
      <c r="BE1048" s="116"/>
      <c r="BF1048" s="116"/>
      <c r="BG1048" s="116"/>
    </row>
    <row r="1049" spans="1:59" ht="19.5" x14ac:dyDescent="0.4">
      <c r="A1049" s="115"/>
      <c r="B1049" s="115"/>
      <c r="C1049" s="115"/>
      <c r="D1049" s="115"/>
      <c r="E1049" s="115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22"/>
      <c r="AI1049" s="122"/>
      <c r="AJ1049" s="122"/>
      <c r="AK1049" s="115"/>
      <c r="AL1049" s="115"/>
      <c r="AM1049" s="115"/>
      <c r="AN1049" s="115"/>
      <c r="AO1049" s="115"/>
      <c r="AP1049" s="115"/>
      <c r="AQ1049" s="115"/>
      <c r="AR1049" s="115"/>
      <c r="AS1049" s="115"/>
      <c r="AT1049" s="115"/>
      <c r="AU1049" s="115"/>
      <c r="AV1049" s="115"/>
      <c r="AW1049" s="115"/>
      <c r="AX1049" s="115"/>
      <c r="AY1049" s="26"/>
      <c r="AZ1049" s="15"/>
      <c r="BD1049" s="117"/>
      <c r="BE1049" s="116"/>
      <c r="BF1049" s="116"/>
      <c r="BG1049" s="116"/>
    </row>
    <row r="1050" spans="1:59" ht="19.5" x14ac:dyDescent="0.4">
      <c r="A1050" s="115"/>
      <c r="B1050" s="115"/>
      <c r="C1050" s="115"/>
      <c r="D1050" s="115"/>
      <c r="E1050" s="115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22"/>
      <c r="AI1050" s="122"/>
      <c r="AJ1050" s="122"/>
      <c r="AK1050" s="115"/>
      <c r="AL1050" s="115"/>
      <c r="AM1050" s="115"/>
      <c r="AN1050" s="115"/>
      <c r="AO1050" s="115"/>
      <c r="AP1050" s="115"/>
      <c r="AQ1050" s="115"/>
      <c r="AR1050" s="115"/>
      <c r="AS1050" s="115"/>
      <c r="AT1050" s="115"/>
      <c r="AU1050" s="115"/>
      <c r="AV1050" s="115"/>
      <c r="AW1050" s="115"/>
      <c r="AX1050" s="115"/>
      <c r="AY1050" s="26"/>
      <c r="AZ1050" s="15"/>
      <c r="BD1050" s="117"/>
      <c r="BE1050" s="116"/>
      <c r="BF1050" s="116"/>
      <c r="BG1050" s="116"/>
    </row>
    <row r="1051" spans="1:59" ht="19.5" x14ac:dyDescent="0.4">
      <c r="A1051" s="115"/>
      <c r="B1051" s="115"/>
      <c r="C1051" s="115"/>
      <c r="D1051" s="115"/>
      <c r="E1051" s="115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22"/>
      <c r="AI1051" s="122"/>
      <c r="AJ1051" s="122"/>
      <c r="AK1051" s="115"/>
      <c r="AL1051" s="115"/>
      <c r="AM1051" s="115"/>
      <c r="AN1051" s="115"/>
      <c r="AO1051" s="115"/>
      <c r="AP1051" s="115"/>
      <c r="AQ1051" s="115"/>
      <c r="AR1051" s="115"/>
      <c r="AS1051" s="115"/>
      <c r="AT1051" s="115"/>
      <c r="AU1051" s="115"/>
      <c r="AV1051" s="115"/>
      <c r="AW1051" s="115"/>
      <c r="AX1051" s="115"/>
      <c r="AY1051" s="26"/>
      <c r="AZ1051" s="15"/>
      <c r="BD1051" s="117"/>
      <c r="BE1051" s="116"/>
      <c r="BF1051" s="116"/>
      <c r="BG1051" s="116"/>
    </row>
    <row r="1052" spans="1:59" ht="19.5" x14ac:dyDescent="0.4">
      <c r="A1052" s="115"/>
      <c r="B1052" s="115"/>
      <c r="C1052" s="115"/>
      <c r="D1052" s="115"/>
      <c r="E1052" s="115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22"/>
      <c r="AI1052" s="122"/>
      <c r="AJ1052" s="122"/>
      <c r="AK1052" s="115"/>
      <c r="AL1052" s="115"/>
      <c r="AM1052" s="115"/>
      <c r="AN1052" s="115"/>
      <c r="AO1052" s="115"/>
      <c r="AP1052" s="115"/>
      <c r="AQ1052" s="115"/>
      <c r="AR1052" s="115"/>
      <c r="AS1052" s="115"/>
      <c r="AT1052" s="115"/>
      <c r="AU1052" s="115"/>
      <c r="AV1052" s="115"/>
      <c r="AW1052" s="115"/>
      <c r="AX1052" s="115"/>
      <c r="AY1052" s="26"/>
      <c r="AZ1052" s="105"/>
      <c r="BD1052" s="117"/>
      <c r="BE1052" s="116"/>
      <c r="BF1052" s="116"/>
      <c r="BG1052" s="116"/>
    </row>
    <row r="1053" spans="1:59" ht="19.5" x14ac:dyDescent="0.4">
      <c r="A1053" s="115"/>
      <c r="B1053" s="115"/>
      <c r="C1053" s="115"/>
      <c r="D1053" s="115"/>
      <c r="E1053" s="115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22"/>
      <c r="AI1053" s="122"/>
      <c r="AJ1053" s="122"/>
      <c r="AK1053" s="115"/>
      <c r="AL1053" s="115"/>
      <c r="AM1053" s="115"/>
      <c r="AN1053" s="115"/>
      <c r="AO1053" s="115"/>
      <c r="AP1053" s="115"/>
      <c r="AQ1053" s="115"/>
      <c r="AR1053" s="115"/>
      <c r="AS1053" s="115"/>
      <c r="AT1053" s="115"/>
      <c r="AU1053" s="115"/>
      <c r="AV1053" s="115"/>
      <c r="AW1053" s="115"/>
      <c r="AX1053" s="115"/>
      <c r="AY1053" s="26"/>
      <c r="AZ1053" s="105"/>
      <c r="BD1053" s="117"/>
      <c r="BE1053" s="116"/>
      <c r="BF1053" s="116"/>
      <c r="BG1053" s="116"/>
    </row>
    <row r="1054" spans="1:59" ht="19.5" x14ac:dyDescent="0.4">
      <c r="AY1054" s="26"/>
      <c r="AZ1054" s="13"/>
      <c r="BD1054" s="117"/>
      <c r="BE1054" s="116"/>
      <c r="BF1054" s="116"/>
      <c r="BG1054" s="116"/>
    </row>
    <row r="1055" spans="1:59" ht="19.5" x14ac:dyDescent="0.4">
      <c r="AF1055" s="115"/>
      <c r="AG1055" s="115"/>
      <c r="AH1055" s="122"/>
      <c r="AI1055" s="122"/>
      <c r="AJ1055" s="122"/>
      <c r="AK1055" s="115"/>
      <c r="AL1055" s="115"/>
      <c r="AM1055" s="115"/>
      <c r="AN1055" s="115"/>
      <c r="AO1055" s="115"/>
      <c r="AP1055" s="115"/>
      <c r="AQ1055" s="115"/>
      <c r="AR1055" s="115"/>
      <c r="AS1055" s="115"/>
      <c r="AT1055" s="115"/>
      <c r="AU1055" s="115"/>
      <c r="AV1055" s="115"/>
      <c r="AW1055" s="115"/>
      <c r="AX1055" s="115"/>
      <c r="AY1055" s="26"/>
      <c r="AZ1055" s="13"/>
      <c r="BD1055" s="117"/>
      <c r="BE1055" s="116"/>
      <c r="BF1055" s="116"/>
      <c r="BG1055" s="116"/>
    </row>
    <row r="1056" spans="1:59" ht="19.5" x14ac:dyDescent="0.4">
      <c r="AA1056" s="115"/>
      <c r="AB1056" s="115"/>
      <c r="AC1056" s="115"/>
      <c r="AD1056" s="115"/>
      <c r="AE1056" s="115"/>
      <c r="AF1056" s="115"/>
      <c r="AG1056" s="115"/>
      <c r="AH1056" s="122"/>
      <c r="AI1056" s="122"/>
      <c r="AJ1056" s="122"/>
      <c r="AK1056" s="115"/>
      <c r="AL1056" s="115"/>
      <c r="AM1056" s="115"/>
      <c r="AN1056" s="115"/>
      <c r="AO1056" s="115"/>
      <c r="AP1056" s="115"/>
      <c r="AQ1056" s="115"/>
      <c r="AR1056" s="115"/>
      <c r="AS1056" s="115"/>
      <c r="AT1056" s="115"/>
      <c r="AU1056" s="115"/>
      <c r="AV1056" s="115"/>
      <c r="AW1056" s="115"/>
      <c r="AX1056" s="115"/>
      <c r="AY1056" s="26"/>
      <c r="AZ1056" s="13"/>
      <c r="BD1056" s="117"/>
      <c r="BE1056" s="116"/>
      <c r="BF1056" s="116"/>
      <c r="BG1056" s="116"/>
    </row>
    <row r="1057" spans="3:59" ht="19.5" x14ac:dyDescent="0.4">
      <c r="AY1057" s="26"/>
      <c r="AZ1057" s="13"/>
      <c r="BD1057" s="117"/>
      <c r="BE1057" s="116"/>
      <c r="BF1057" s="116"/>
      <c r="BG1057" s="116"/>
    </row>
    <row r="1058" spans="3:59" ht="19.5" x14ac:dyDescent="0.4">
      <c r="E1058" s="115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22"/>
      <c r="AI1058" s="122"/>
      <c r="AJ1058" s="122"/>
      <c r="AK1058" s="115"/>
      <c r="AL1058" s="115"/>
      <c r="AM1058" s="115"/>
      <c r="AN1058" s="115"/>
      <c r="AO1058" s="115"/>
      <c r="AP1058" s="115"/>
      <c r="AQ1058" s="115"/>
      <c r="AR1058" s="115"/>
      <c r="AS1058" s="115"/>
      <c r="AT1058" s="115"/>
      <c r="AU1058" s="115"/>
      <c r="AV1058" s="115"/>
      <c r="AW1058" s="115"/>
      <c r="AX1058" s="115"/>
      <c r="AY1058" s="26"/>
      <c r="AZ1058" s="13"/>
      <c r="BD1058" s="117"/>
      <c r="BE1058" s="116"/>
      <c r="BF1058" s="116"/>
      <c r="BG1058" s="116"/>
    </row>
    <row r="1059" spans="3:59" ht="19.5" x14ac:dyDescent="0.4">
      <c r="E1059" s="115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22"/>
      <c r="AI1059" s="122"/>
      <c r="AJ1059" s="122"/>
      <c r="AK1059" s="115"/>
      <c r="AL1059" s="115"/>
      <c r="AM1059" s="115"/>
      <c r="AN1059" s="115"/>
      <c r="AO1059" s="115"/>
      <c r="AP1059" s="115"/>
      <c r="AQ1059" s="115"/>
      <c r="AR1059" s="115"/>
      <c r="AS1059" s="115"/>
      <c r="AT1059" s="115"/>
      <c r="AU1059" s="115"/>
      <c r="AV1059" s="115"/>
      <c r="AW1059" s="115"/>
      <c r="AX1059" s="115"/>
      <c r="AY1059" s="26"/>
      <c r="AZ1059" s="13"/>
      <c r="BD1059" s="117"/>
      <c r="BE1059" s="116"/>
      <c r="BF1059" s="116"/>
      <c r="BG1059" s="116"/>
    </row>
    <row r="1060" spans="3:59" ht="19.5" x14ac:dyDescent="0.4">
      <c r="C1060" s="115"/>
      <c r="D1060" s="115"/>
      <c r="E1060" s="115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22"/>
      <c r="AI1060" s="122"/>
      <c r="AJ1060" s="122"/>
      <c r="AK1060" s="115"/>
      <c r="AL1060" s="115"/>
      <c r="AM1060" s="115"/>
      <c r="AN1060" s="115"/>
      <c r="AO1060" s="115"/>
      <c r="AP1060" s="115"/>
      <c r="AQ1060" s="115"/>
      <c r="AR1060" s="115"/>
      <c r="AS1060" s="115"/>
      <c r="AT1060" s="115"/>
      <c r="AU1060" s="115"/>
      <c r="AV1060" s="115"/>
      <c r="AW1060" s="115"/>
      <c r="AX1060" s="115"/>
      <c r="AY1060" s="26"/>
      <c r="AZ1060" s="13"/>
      <c r="BD1060" s="117"/>
      <c r="BE1060" s="116"/>
      <c r="BF1060" s="116"/>
      <c r="BG1060" s="116"/>
    </row>
    <row r="1061" spans="3:59" ht="19.5" x14ac:dyDescent="0.4">
      <c r="C1061" s="115"/>
      <c r="D1061" s="115"/>
      <c r="E1061" s="115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22"/>
      <c r="AI1061" s="122"/>
      <c r="AJ1061" s="122"/>
      <c r="AK1061" s="115"/>
      <c r="AL1061" s="115"/>
      <c r="AM1061" s="115"/>
      <c r="AN1061" s="115"/>
      <c r="AO1061" s="115"/>
      <c r="AP1061" s="115"/>
      <c r="AQ1061" s="115"/>
      <c r="AR1061" s="115"/>
      <c r="AS1061" s="115"/>
      <c r="AT1061" s="115"/>
      <c r="AU1061" s="115"/>
      <c r="AV1061" s="115"/>
      <c r="AW1061" s="115"/>
      <c r="AX1061" s="115"/>
      <c r="AY1061" s="26"/>
      <c r="AZ1061" s="13"/>
      <c r="BD1061" s="117"/>
      <c r="BE1061" s="116"/>
      <c r="BF1061" s="116"/>
      <c r="BG1061" s="116"/>
    </row>
    <row r="1062" spans="3:59" ht="19.5" x14ac:dyDescent="0.4">
      <c r="C1062" s="115"/>
      <c r="D1062" s="115"/>
      <c r="E1062" s="115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22"/>
      <c r="AI1062" s="122"/>
      <c r="AJ1062" s="122"/>
      <c r="AK1062" s="115"/>
      <c r="AL1062" s="115"/>
      <c r="AM1062" s="115"/>
      <c r="AN1062" s="115"/>
      <c r="AO1062" s="115"/>
      <c r="AP1062" s="115"/>
      <c r="AQ1062" s="115"/>
      <c r="AR1062" s="115"/>
      <c r="AS1062" s="115"/>
      <c r="AT1062" s="115"/>
      <c r="AU1062" s="115"/>
      <c r="AV1062" s="115"/>
      <c r="AW1062" s="115"/>
      <c r="AX1062" s="115"/>
      <c r="AY1062" s="26"/>
      <c r="AZ1062" s="13"/>
      <c r="BD1062" s="117"/>
      <c r="BE1062" s="116"/>
      <c r="BF1062" s="116"/>
      <c r="BG1062" s="116"/>
    </row>
    <row r="1063" spans="3:59" ht="19.5" x14ac:dyDescent="0.4">
      <c r="C1063" s="115"/>
      <c r="D1063" s="115"/>
      <c r="E1063" s="115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22"/>
      <c r="AI1063" s="122"/>
      <c r="AJ1063" s="122"/>
      <c r="AK1063" s="115"/>
      <c r="AL1063" s="115"/>
      <c r="AM1063" s="115"/>
      <c r="AN1063" s="115"/>
      <c r="AO1063" s="115"/>
      <c r="AP1063" s="115"/>
      <c r="AQ1063" s="115"/>
      <c r="AR1063" s="115"/>
      <c r="AS1063" s="115"/>
      <c r="AT1063" s="115"/>
      <c r="AU1063" s="115"/>
      <c r="AV1063" s="115"/>
      <c r="AW1063" s="115"/>
      <c r="AX1063" s="115"/>
      <c r="AY1063" s="26"/>
      <c r="AZ1063" s="13"/>
      <c r="BD1063" s="117"/>
      <c r="BE1063" s="116"/>
      <c r="BF1063" s="116"/>
      <c r="BG1063" s="116"/>
    </row>
    <row r="1064" spans="3:59" ht="19.5" x14ac:dyDescent="0.4">
      <c r="C1064" s="115"/>
      <c r="D1064" s="115"/>
      <c r="E1064" s="115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22"/>
      <c r="AI1064" s="122"/>
      <c r="AJ1064" s="122"/>
      <c r="AK1064" s="115"/>
      <c r="AL1064" s="115"/>
      <c r="AM1064" s="115"/>
      <c r="AN1064" s="115"/>
      <c r="AO1064" s="115"/>
      <c r="AP1064" s="115"/>
      <c r="AQ1064" s="115"/>
      <c r="AR1064" s="115"/>
      <c r="AS1064" s="115"/>
      <c r="AT1064" s="115"/>
      <c r="AU1064" s="115"/>
      <c r="AV1064" s="115"/>
      <c r="AW1064" s="115"/>
      <c r="AX1064" s="115"/>
      <c r="AY1064" s="26"/>
      <c r="AZ1064" s="13"/>
      <c r="BD1064" s="117"/>
      <c r="BE1064" s="116"/>
      <c r="BF1064" s="116"/>
      <c r="BG1064" s="116"/>
    </row>
    <row r="1065" spans="3:59" ht="19.5" x14ac:dyDescent="0.4">
      <c r="C1065" s="115"/>
      <c r="D1065" s="115"/>
      <c r="E1065" s="115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22"/>
      <c r="AI1065" s="122"/>
      <c r="AJ1065" s="122"/>
      <c r="AK1065" s="115"/>
      <c r="AL1065" s="115"/>
      <c r="AM1065" s="115"/>
      <c r="AN1065" s="115"/>
      <c r="AO1065" s="115"/>
      <c r="AP1065" s="115"/>
      <c r="AQ1065" s="115"/>
      <c r="AR1065" s="115"/>
      <c r="AS1065" s="115"/>
      <c r="AT1065" s="115"/>
      <c r="AU1065" s="115"/>
      <c r="AV1065" s="115"/>
      <c r="AW1065" s="115"/>
      <c r="AX1065" s="115"/>
      <c r="AY1065" s="26"/>
      <c r="AZ1065" s="13"/>
      <c r="BD1065" s="117"/>
      <c r="BE1065" s="116"/>
      <c r="BF1065" s="116"/>
      <c r="BG1065" s="116"/>
    </row>
    <row r="1066" spans="3:59" ht="19.5" x14ac:dyDescent="0.4">
      <c r="AY1066" s="26"/>
      <c r="AZ1066" s="15"/>
      <c r="BD1066" s="117"/>
      <c r="BE1066" s="116"/>
      <c r="BF1066" s="116"/>
      <c r="BG1066" s="116"/>
    </row>
    <row r="1067" spans="3:59" ht="19.5" x14ac:dyDescent="0.4">
      <c r="D1067" s="115"/>
      <c r="E1067" s="115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22"/>
      <c r="AI1067" s="122"/>
      <c r="AJ1067" s="122"/>
      <c r="AK1067" s="115"/>
      <c r="AL1067" s="115"/>
      <c r="AM1067" s="115"/>
      <c r="AN1067" s="115"/>
      <c r="AO1067" s="115"/>
      <c r="AP1067" s="115"/>
      <c r="AQ1067" s="115"/>
      <c r="AR1067" s="115"/>
      <c r="AS1067" s="115"/>
      <c r="AT1067" s="115"/>
      <c r="AU1067" s="115"/>
      <c r="AV1067" s="115"/>
      <c r="AW1067" s="115"/>
      <c r="AX1067" s="115"/>
      <c r="AY1067" s="26"/>
      <c r="AZ1067" s="15"/>
      <c r="BD1067" s="117"/>
      <c r="BE1067" s="116"/>
      <c r="BF1067" s="116"/>
      <c r="BG1067" s="116"/>
    </row>
    <row r="1068" spans="3:59" ht="19.5" x14ac:dyDescent="0.4">
      <c r="D1068" s="115"/>
      <c r="E1068" s="115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22"/>
      <c r="AI1068" s="122"/>
      <c r="AJ1068" s="122"/>
      <c r="AK1068" s="115"/>
      <c r="AL1068" s="115"/>
      <c r="AM1068" s="115"/>
      <c r="AN1068" s="115"/>
      <c r="AO1068" s="115"/>
      <c r="AP1068" s="115"/>
      <c r="AQ1068" s="115"/>
      <c r="AR1068" s="115"/>
      <c r="AS1068" s="115"/>
      <c r="AT1068" s="115"/>
      <c r="AU1068" s="115"/>
      <c r="AV1068" s="115"/>
      <c r="AW1068" s="115"/>
      <c r="AX1068" s="115"/>
      <c r="AY1068" s="17"/>
      <c r="AZ1068" s="15"/>
      <c r="BD1068" s="117"/>
      <c r="BE1068" s="116"/>
      <c r="BF1068" s="116"/>
      <c r="BG1068" s="116"/>
    </row>
    <row r="1069" spans="3:59" ht="19.5" x14ac:dyDescent="0.4">
      <c r="AY1069" s="26"/>
      <c r="AZ1069" s="15"/>
      <c r="BD1069" s="117"/>
      <c r="BE1069" s="116"/>
      <c r="BF1069" s="116"/>
      <c r="BG1069" s="116"/>
    </row>
    <row r="1070" spans="3:59" ht="19.5" x14ac:dyDescent="0.4">
      <c r="AY1070" s="26"/>
      <c r="AZ1070" s="13"/>
      <c r="BD1070" s="117"/>
      <c r="BE1070" s="116"/>
      <c r="BF1070" s="116"/>
      <c r="BG1070" s="116"/>
    </row>
    <row r="1071" spans="3:59" ht="19.5" x14ac:dyDescent="0.4">
      <c r="AE1071" s="115"/>
      <c r="AF1071" s="115"/>
      <c r="AG1071" s="115"/>
      <c r="AH1071" s="122"/>
      <c r="AI1071" s="122"/>
      <c r="AJ1071" s="122"/>
      <c r="AK1071" s="115"/>
      <c r="AL1071" s="115"/>
      <c r="AM1071" s="115"/>
      <c r="AN1071" s="115"/>
      <c r="AO1071" s="115"/>
      <c r="AP1071" s="115"/>
      <c r="AQ1071" s="115"/>
      <c r="AR1071" s="115"/>
      <c r="AS1071" s="115"/>
      <c r="AT1071" s="115"/>
      <c r="AU1071" s="115"/>
      <c r="AV1071" s="115"/>
      <c r="AW1071" s="115"/>
      <c r="AX1071" s="115"/>
      <c r="AY1071" s="26"/>
      <c r="AZ1071" s="13"/>
      <c r="BD1071" s="117"/>
      <c r="BE1071" s="116"/>
      <c r="BF1071" s="116"/>
      <c r="BG1071" s="116"/>
    </row>
    <row r="1072" spans="3:59" ht="19.5" x14ac:dyDescent="0.4">
      <c r="D1072" s="115"/>
      <c r="E1072" s="115"/>
      <c r="F1072" s="115"/>
      <c r="G1072" s="115"/>
      <c r="H1072" s="115"/>
      <c r="I1072" s="115"/>
      <c r="J1072" s="115"/>
      <c r="K1072" s="115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  <c r="AA1072" s="115"/>
      <c r="AB1072" s="115"/>
      <c r="AC1072" s="115"/>
      <c r="AD1072" s="115"/>
      <c r="AE1072" s="115"/>
      <c r="AF1072" s="115"/>
      <c r="AG1072" s="115"/>
      <c r="AH1072" s="122"/>
      <c r="AI1072" s="122"/>
      <c r="AJ1072" s="122"/>
      <c r="AK1072" s="115"/>
      <c r="AL1072" s="115"/>
      <c r="AM1072" s="115"/>
      <c r="AN1072" s="115"/>
      <c r="AO1072" s="115"/>
      <c r="AP1072" s="115"/>
      <c r="AQ1072" s="115"/>
      <c r="AR1072" s="115"/>
      <c r="AS1072" s="115"/>
      <c r="AT1072" s="115"/>
      <c r="AU1072" s="115"/>
      <c r="AV1072" s="115"/>
      <c r="AW1072" s="115"/>
      <c r="AX1072" s="115"/>
      <c r="AY1072" s="26"/>
      <c r="AZ1072" s="13"/>
      <c r="BD1072" s="117"/>
      <c r="BE1072" s="116"/>
      <c r="BF1072" s="116"/>
      <c r="BG1072" s="116"/>
    </row>
    <row r="1073" spans="1:59" ht="19.5" x14ac:dyDescent="0.4">
      <c r="D1073" s="115"/>
      <c r="E1073" s="115"/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  <c r="AA1073" s="115"/>
      <c r="AB1073" s="115"/>
      <c r="AC1073" s="115"/>
      <c r="AD1073" s="115"/>
      <c r="AE1073" s="115"/>
      <c r="AF1073" s="115"/>
      <c r="AG1073" s="115"/>
      <c r="AH1073" s="122"/>
      <c r="AI1073" s="122"/>
      <c r="AJ1073" s="122"/>
      <c r="AK1073" s="115"/>
      <c r="AL1073" s="115"/>
      <c r="AM1073" s="115"/>
      <c r="AN1073" s="115"/>
      <c r="AO1073" s="115"/>
      <c r="AP1073" s="115"/>
      <c r="AQ1073" s="115"/>
      <c r="AR1073" s="115"/>
      <c r="AS1073" s="115"/>
      <c r="AT1073" s="115"/>
      <c r="AU1073" s="115"/>
      <c r="AV1073" s="115"/>
      <c r="AW1073" s="115"/>
      <c r="AX1073" s="115"/>
      <c r="AY1073" s="17"/>
      <c r="AZ1073" s="13"/>
      <c r="BD1073" s="117"/>
      <c r="BE1073" s="116"/>
      <c r="BF1073" s="116"/>
      <c r="BG1073" s="116"/>
    </row>
    <row r="1074" spans="1:59" ht="19.5" x14ac:dyDescent="0.4">
      <c r="D1074" s="115"/>
      <c r="E1074" s="115"/>
      <c r="F1074" s="115"/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  <c r="AA1074" s="115"/>
      <c r="AB1074" s="115"/>
      <c r="AC1074" s="115"/>
      <c r="AD1074" s="115"/>
      <c r="AE1074" s="115"/>
      <c r="AF1074" s="115"/>
      <c r="AG1074" s="115"/>
      <c r="AH1074" s="122"/>
      <c r="AI1074" s="122"/>
      <c r="AJ1074" s="122"/>
      <c r="AK1074" s="115"/>
      <c r="AL1074" s="115"/>
      <c r="AM1074" s="115"/>
      <c r="AN1074" s="115"/>
      <c r="AO1074" s="115"/>
      <c r="AP1074" s="115"/>
      <c r="AQ1074" s="115"/>
      <c r="AR1074" s="115"/>
      <c r="AS1074" s="115"/>
      <c r="AT1074" s="115"/>
      <c r="AU1074" s="115"/>
      <c r="AV1074" s="115"/>
      <c r="AW1074" s="115"/>
      <c r="AX1074" s="115"/>
      <c r="AY1074" s="26"/>
      <c r="AZ1074" s="25"/>
      <c r="BD1074" s="117"/>
      <c r="BE1074" s="116"/>
      <c r="BF1074" s="116"/>
      <c r="BG1074" s="116"/>
    </row>
    <row r="1075" spans="1:59" ht="19.5" x14ac:dyDescent="0.4">
      <c r="D1075" s="115"/>
      <c r="E1075" s="115"/>
      <c r="F1075" s="115"/>
      <c r="G1075" s="115"/>
      <c r="H1075" s="115"/>
      <c r="I1075" s="115"/>
      <c r="J1075" s="115"/>
      <c r="K1075" s="115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15"/>
      <c r="Z1075" s="115"/>
      <c r="AA1075" s="115"/>
      <c r="AB1075" s="115"/>
      <c r="AC1075" s="115"/>
      <c r="AD1075" s="115"/>
      <c r="AE1075" s="115"/>
      <c r="AF1075" s="115"/>
      <c r="AG1075" s="115"/>
      <c r="AH1075" s="122"/>
      <c r="AI1075" s="122"/>
      <c r="AJ1075" s="122"/>
      <c r="AK1075" s="115"/>
      <c r="AL1075" s="115"/>
      <c r="AM1075" s="115"/>
      <c r="AN1075" s="115"/>
      <c r="AO1075" s="115"/>
      <c r="AP1075" s="115"/>
      <c r="AQ1075" s="115"/>
      <c r="AR1075" s="115"/>
      <c r="AS1075" s="115"/>
      <c r="AT1075" s="115"/>
      <c r="AU1075" s="115"/>
      <c r="AV1075" s="115"/>
      <c r="AW1075" s="115"/>
      <c r="AX1075" s="115"/>
      <c r="AY1075" s="17"/>
      <c r="AZ1075" s="13"/>
      <c r="BD1075" s="117"/>
      <c r="BE1075" s="116"/>
      <c r="BF1075" s="116"/>
      <c r="BG1075" s="116"/>
    </row>
    <row r="1076" spans="1:59" ht="19.5" x14ac:dyDescent="0.4">
      <c r="D1076" s="115"/>
      <c r="E1076" s="115"/>
      <c r="F1076" s="115"/>
      <c r="G1076" s="115"/>
      <c r="H1076" s="115"/>
      <c r="I1076" s="115"/>
      <c r="J1076" s="115"/>
      <c r="K1076" s="115"/>
      <c r="L1076" s="115"/>
      <c r="M1076" s="115"/>
      <c r="N1076" s="115"/>
      <c r="O1076" s="115"/>
      <c r="P1076" s="115"/>
      <c r="Q1076" s="115"/>
      <c r="R1076" s="115"/>
      <c r="S1076" s="115"/>
      <c r="T1076" s="115"/>
      <c r="U1076" s="115"/>
      <c r="V1076" s="115"/>
      <c r="W1076" s="115"/>
      <c r="X1076" s="115"/>
      <c r="Y1076" s="115"/>
      <c r="Z1076" s="115"/>
      <c r="AA1076" s="115"/>
      <c r="AB1076" s="115"/>
      <c r="AC1076" s="115"/>
      <c r="AD1076" s="115"/>
      <c r="AE1076" s="115"/>
      <c r="AF1076" s="115"/>
      <c r="AG1076" s="115"/>
      <c r="AH1076" s="122"/>
      <c r="AI1076" s="122"/>
      <c r="AJ1076" s="122"/>
      <c r="AK1076" s="115"/>
      <c r="AL1076" s="115"/>
      <c r="AM1076" s="115"/>
      <c r="AN1076" s="115"/>
      <c r="AO1076" s="115"/>
      <c r="AP1076" s="115"/>
      <c r="AQ1076" s="115"/>
      <c r="AR1076" s="115"/>
      <c r="AS1076" s="115"/>
      <c r="AT1076" s="115"/>
      <c r="AU1076" s="115"/>
      <c r="AV1076" s="115"/>
      <c r="AW1076" s="115"/>
      <c r="AX1076" s="115"/>
      <c r="AY1076" s="26"/>
      <c r="AZ1076" s="13"/>
      <c r="BD1076" s="117"/>
      <c r="BE1076" s="116"/>
      <c r="BF1076" s="116"/>
      <c r="BG1076" s="116"/>
    </row>
    <row r="1077" spans="1:59" ht="19.5" x14ac:dyDescent="0.4">
      <c r="A1077" s="115"/>
      <c r="B1077" s="115"/>
      <c r="C1077" s="115"/>
      <c r="D1077" s="115"/>
      <c r="E1077" s="115"/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15"/>
      <c r="AB1077" s="115"/>
      <c r="AC1077" s="115"/>
      <c r="AD1077" s="115"/>
      <c r="AE1077" s="115"/>
      <c r="AF1077" s="115"/>
      <c r="AG1077" s="115"/>
      <c r="AH1077" s="122"/>
      <c r="AI1077" s="122"/>
      <c r="AJ1077" s="122"/>
      <c r="AK1077" s="115"/>
      <c r="AL1077" s="115"/>
      <c r="AM1077" s="115"/>
      <c r="AN1077" s="115"/>
      <c r="AO1077" s="115"/>
      <c r="AP1077" s="115"/>
      <c r="AQ1077" s="115"/>
      <c r="AR1077" s="115"/>
      <c r="AS1077" s="115"/>
      <c r="AT1077" s="115"/>
      <c r="AU1077" s="115"/>
      <c r="AV1077" s="115"/>
      <c r="AW1077" s="115"/>
      <c r="AX1077" s="115"/>
      <c r="AY1077" s="26"/>
      <c r="AZ1077" s="13"/>
      <c r="BD1077" s="117"/>
      <c r="BE1077" s="116"/>
      <c r="BF1077" s="116"/>
      <c r="BG1077" s="116"/>
    </row>
    <row r="1078" spans="1:59" ht="19.5" x14ac:dyDescent="0.4">
      <c r="A1078" s="115"/>
      <c r="B1078" s="115"/>
      <c r="C1078" s="115"/>
      <c r="D1078" s="115"/>
      <c r="E1078" s="115"/>
      <c r="F1078" s="115"/>
      <c r="G1078" s="115"/>
      <c r="H1078" s="115"/>
      <c r="I1078" s="115"/>
      <c r="J1078" s="115"/>
      <c r="K1078" s="115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15"/>
      <c r="AA1078" s="115"/>
      <c r="AB1078" s="115"/>
      <c r="AC1078" s="115"/>
      <c r="AD1078" s="115"/>
      <c r="AE1078" s="115"/>
      <c r="AF1078" s="115"/>
      <c r="AG1078" s="115"/>
      <c r="AH1078" s="122"/>
      <c r="AI1078" s="122"/>
      <c r="AJ1078" s="122"/>
      <c r="AK1078" s="115"/>
      <c r="AL1078" s="115"/>
      <c r="AM1078" s="115"/>
      <c r="AN1078" s="115"/>
      <c r="AO1078" s="115"/>
      <c r="AP1078" s="115"/>
      <c r="AQ1078" s="115"/>
      <c r="AR1078" s="115"/>
      <c r="AS1078" s="115"/>
      <c r="AT1078" s="115"/>
      <c r="AU1078" s="115"/>
      <c r="AV1078" s="115"/>
      <c r="AW1078" s="115"/>
      <c r="AX1078" s="115"/>
      <c r="AY1078" s="26"/>
      <c r="AZ1078" s="13"/>
      <c r="BD1078" s="117"/>
      <c r="BE1078" s="116"/>
      <c r="BF1078" s="116"/>
      <c r="BG1078" s="116"/>
    </row>
    <row r="1079" spans="1:59" ht="19.5" x14ac:dyDescent="0.4">
      <c r="A1079" s="115"/>
      <c r="B1079" s="115"/>
      <c r="C1079" s="115"/>
      <c r="D1079" s="115"/>
      <c r="E1079" s="115"/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  <c r="AA1079" s="115"/>
      <c r="AB1079" s="115"/>
      <c r="AC1079" s="115"/>
      <c r="AD1079" s="115"/>
      <c r="AE1079" s="115"/>
      <c r="AF1079" s="115"/>
      <c r="AG1079" s="115"/>
      <c r="AH1079" s="122"/>
      <c r="AI1079" s="122"/>
      <c r="AJ1079" s="122"/>
      <c r="AK1079" s="115"/>
      <c r="AL1079" s="115"/>
      <c r="AM1079" s="115"/>
      <c r="AN1079" s="115"/>
      <c r="AO1079" s="115"/>
      <c r="AP1079" s="115"/>
      <c r="AQ1079" s="115"/>
      <c r="AR1079" s="115"/>
      <c r="AS1079" s="115"/>
      <c r="AT1079" s="115"/>
      <c r="AU1079" s="115"/>
      <c r="AV1079" s="115"/>
      <c r="AW1079" s="115"/>
      <c r="AX1079" s="115"/>
      <c r="AY1079" s="26"/>
      <c r="AZ1079" s="13"/>
      <c r="BD1079" s="117"/>
      <c r="BE1079" s="116"/>
      <c r="BF1079" s="116"/>
      <c r="BG1079" s="116"/>
    </row>
    <row r="1080" spans="1:59" ht="19.5" x14ac:dyDescent="0.4">
      <c r="A1080" s="115"/>
      <c r="B1080" s="115"/>
      <c r="C1080" s="115"/>
      <c r="D1080" s="115"/>
      <c r="E1080" s="115"/>
      <c r="F1080" s="115"/>
      <c r="G1080" s="115"/>
      <c r="H1080" s="115"/>
      <c r="I1080" s="115"/>
      <c r="J1080" s="115"/>
      <c r="K1080" s="11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  <c r="AA1080" s="115"/>
      <c r="AB1080" s="115"/>
      <c r="AC1080" s="115"/>
      <c r="AD1080" s="115"/>
      <c r="AE1080" s="115"/>
      <c r="AF1080" s="115"/>
      <c r="AG1080" s="115"/>
      <c r="AH1080" s="122"/>
      <c r="AI1080" s="122"/>
      <c r="AJ1080" s="122"/>
      <c r="AK1080" s="115"/>
      <c r="AL1080" s="115"/>
      <c r="AM1080" s="115"/>
      <c r="AN1080" s="115"/>
      <c r="AO1080" s="115"/>
      <c r="AP1080" s="115"/>
      <c r="AQ1080" s="115"/>
      <c r="AR1080" s="115"/>
      <c r="AS1080" s="115"/>
      <c r="AT1080" s="115"/>
      <c r="AU1080" s="115"/>
      <c r="AV1080" s="115"/>
      <c r="AW1080" s="115"/>
      <c r="AX1080" s="115"/>
      <c r="AY1080" s="26"/>
      <c r="AZ1080" s="13"/>
      <c r="BD1080" s="117"/>
      <c r="BE1080" s="116"/>
      <c r="BF1080" s="116"/>
      <c r="BG1080" s="116"/>
    </row>
    <row r="1081" spans="1:59" ht="19.5" x14ac:dyDescent="0.4">
      <c r="A1081" s="115"/>
      <c r="B1081" s="115"/>
      <c r="C1081" s="115"/>
      <c r="D1081" s="115"/>
      <c r="E1081" s="115"/>
      <c r="F1081" s="115"/>
      <c r="G1081" s="115"/>
      <c r="H1081" s="115"/>
      <c r="I1081" s="115"/>
      <c r="J1081" s="115"/>
      <c r="K1081" s="115"/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15"/>
      <c r="AA1081" s="115"/>
      <c r="AB1081" s="115"/>
      <c r="AC1081" s="115"/>
      <c r="AD1081" s="115"/>
      <c r="AE1081" s="115"/>
      <c r="AF1081" s="115"/>
      <c r="AG1081" s="115"/>
      <c r="AH1081" s="122"/>
      <c r="AI1081" s="122"/>
      <c r="AJ1081" s="122"/>
      <c r="AK1081" s="115"/>
      <c r="AL1081" s="115"/>
      <c r="AM1081" s="115"/>
      <c r="AN1081" s="115"/>
      <c r="AO1081" s="115"/>
      <c r="AP1081" s="115"/>
      <c r="AQ1081" s="115"/>
      <c r="AR1081" s="115"/>
      <c r="AS1081" s="115"/>
      <c r="AT1081" s="115"/>
      <c r="AU1081" s="115"/>
      <c r="AV1081" s="115"/>
      <c r="AW1081" s="115"/>
      <c r="AX1081" s="115"/>
      <c r="AY1081" s="26"/>
      <c r="AZ1081" s="13"/>
      <c r="BD1081" s="117"/>
      <c r="BE1081" s="116"/>
      <c r="BF1081" s="116"/>
      <c r="BG1081" s="116"/>
    </row>
    <row r="1082" spans="1:59" ht="19.5" x14ac:dyDescent="0.4">
      <c r="A1082" s="115"/>
      <c r="B1082" s="115"/>
      <c r="C1082" s="115"/>
      <c r="D1082" s="115"/>
      <c r="E1082" s="115"/>
      <c r="F1082" s="115"/>
      <c r="G1082" s="115"/>
      <c r="H1082" s="115"/>
      <c r="I1082" s="115"/>
      <c r="J1082" s="115"/>
      <c r="K1082" s="115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  <c r="AA1082" s="115"/>
      <c r="AB1082" s="115"/>
      <c r="AC1082" s="115"/>
      <c r="AD1082" s="115"/>
      <c r="AE1082" s="115"/>
      <c r="AF1082" s="115"/>
      <c r="AG1082" s="115"/>
      <c r="AH1082" s="122"/>
      <c r="AI1082" s="122"/>
      <c r="AJ1082" s="122"/>
      <c r="AK1082" s="115"/>
      <c r="AL1082" s="115"/>
      <c r="AM1082" s="115"/>
      <c r="AN1082" s="115"/>
      <c r="AO1082" s="115"/>
      <c r="AP1082" s="115"/>
      <c r="AQ1082" s="115"/>
      <c r="AR1082" s="115"/>
      <c r="AS1082" s="115"/>
      <c r="AT1082" s="115"/>
      <c r="AU1082" s="115"/>
      <c r="AV1082" s="115"/>
      <c r="AW1082" s="115"/>
      <c r="AX1082" s="115"/>
      <c r="AY1082" s="26"/>
      <c r="AZ1082" s="13"/>
      <c r="BD1082" s="117"/>
      <c r="BE1082" s="116"/>
      <c r="BF1082" s="116"/>
      <c r="BG1082" s="116"/>
    </row>
    <row r="1083" spans="1:59" ht="19.5" x14ac:dyDescent="0.4">
      <c r="A1083" s="115"/>
      <c r="B1083" s="115"/>
      <c r="C1083" s="115"/>
      <c r="D1083" s="115"/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  <c r="AA1083" s="115"/>
      <c r="AB1083" s="115"/>
      <c r="AC1083" s="115"/>
      <c r="AD1083" s="115"/>
      <c r="AE1083" s="115"/>
      <c r="AF1083" s="115"/>
      <c r="AG1083" s="115"/>
      <c r="AH1083" s="122"/>
      <c r="AI1083" s="122"/>
      <c r="AJ1083" s="122"/>
      <c r="AK1083" s="115"/>
      <c r="AL1083" s="115"/>
      <c r="AM1083" s="115"/>
      <c r="AN1083" s="115"/>
      <c r="AO1083" s="115"/>
      <c r="AP1083" s="115"/>
      <c r="AQ1083" s="115"/>
      <c r="AR1083" s="115"/>
      <c r="AS1083" s="115"/>
      <c r="AT1083" s="115"/>
      <c r="AU1083" s="115"/>
      <c r="AV1083" s="115"/>
      <c r="AW1083" s="115"/>
      <c r="AX1083" s="115"/>
      <c r="AY1083" s="26"/>
      <c r="AZ1083" s="13"/>
      <c r="BD1083" s="117"/>
      <c r="BE1083" s="116"/>
      <c r="BF1083" s="116"/>
      <c r="BG1083" s="116"/>
    </row>
    <row r="1084" spans="1:59" ht="19.5" x14ac:dyDescent="0.4">
      <c r="A1084" s="115"/>
      <c r="B1084" s="115"/>
      <c r="C1084" s="115"/>
      <c r="D1084" s="115"/>
      <c r="E1084" s="115"/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  <c r="AB1084" s="115"/>
      <c r="AC1084" s="115"/>
      <c r="AD1084" s="115"/>
      <c r="AE1084" s="115"/>
      <c r="AF1084" s="115"/>
      <c r="AG1084" s="115"/>
      <c r="AH1084" s="122"/>
      <c r="AI1084" s="122"/>
      <c r="AJ1084" s="122"/>
      <c r="AK1084" s="115"/>
      <c r="AL1084" s="115"/>
      <c r="AM1084" s="115"/>
      <c r="AN1084" s="115"/>
      <c r="AO1084" s="115"/>
      <c r="AP1084" s="115"/>
      <c r="AQ1084" s="115"/>
      <c r="AR1084" s="115"/>
      <c r="AS1084" s="115"/>
      <c r="AT1084" s="115"/>
      <c r="AU1084" s="115"/>
      <c r="AV1084" s="115"/>
      <c r="AW1084" s="115"/>
      <c r="AX1084" s="115"/>
      <c r="AY1084" s="26"/>
      <c r="AZ1084" s="15"/>
      <c r="BD1084" s="117"/>
      <c r="BE1084" s="116"/>
      <c r="BF1084" s="116"/>
      <c r="BG1084" s="116"/>
    </row>
    <row r="1085" spans="1:59" ht="19.5" x14ac:dyDescent="0.4">
      <c r="A1085" s="115"/>
      <c r="B1085" s="115"/>
      <c r="C1085" s="115"/>
      <c r="D1085" s="115"/>
      <c r="E1085" s="115"/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  <c r="AB1085" s="115"/>
      <c r="AC1085" s="115"/>
      <c r="AD1085" s="115"/>
      <c r="AE1085" s="115"/>
      <c r="AF1085" s="115"/>
      <c r="AG1085" s="115"/>
      <c r="AH1085" s="122"/>
      <c r="AI1085" s="122"/>
      <c r="AJ1085" s="122"/>
      <c r="AK1085" s="115"/>
      <c r="AL1085" s="115"/>
      <c r="AM1085" s="115"/>
      <c r="AN1085" s="115"/>
      <c r="AO1085" s="115"/>
      <c r="AP1085" s="115"/>
      <c r="AQ1085" s="115"/>
      <c r="AR1085" s="115"/>
      <c r="AS1085" s="115"/>
      <c r="AT1085" s="115"/>
      <c r="AU1085" s="115"/>
      <c r="AV1085" s="115"/>
      <c r="AW1085" s="115"/>
      <c r="AX1085" s="115"/>
      <c r="AY1085" s="26"/>
      <c r="AZ1085" s="15"/>
      <c r="BD1085" s="117"/>
      <c r="BE1085" s="116"/>
      <c r="BF1085" s="116"/>
      <c r="BG1085" s="116"/>
    </row>
    <row r="1086" spans="1:59" ht="19.5" x14ac:dyDescent="0.4">
      <c r="A1086" s="115"/>
      <c r="B1086" s="115"/>
      <c r="C1086" s="115"/>
      <c r="D1086" s="115"/>
      <c r="E1086" s="115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15"/>
      <c r="AC1086" s="115"/>
      <c r="AD1086" s="115"/>
      <c r="AE1086" s="115"/>
      <c r="AF1086" s="115"/>
      <c r="AG1086" s="115"/>
      <c r="AH1086" s="122"/>
      <c r="AI1086" s="122"/>
      <c r="AJ1086" s="122"/>
      <c r="AK1086" s="115"/>
      <c r="AL1086" s="115"/>
      <c r="AM1086" s="115"/>
      <c r="AN1086" s="115"/>
      <c r="AO1086" s="115"/>
      <c r="AP1086" s="115"/>
      <c r="AQ1086" s="115"/>
      <c r="AR1086" s="115"/>
      <c r="AS1086" s="115"/>
      <c r="AT1086" s="115"/>
      <c r="AU1086" s="115"/>
      <c r="AV1086" s="115"/>
      <c r="AW1086" s="115"/>
      <c r="AX1086" s="115"/>
      <c r="AY1086" s="26"/>
      <c r="AZ1086" s="15"/>
      <c r="BD1086" s="117"/>
      <c r="BE1086" s="116"/>
      <c r="BF1086" s="116"/>
      <c r="BG1086" s="116"/>
    </row>
    <row r="1087" spans="1:59" ht="19.5" x14ac:dyDescent="0.4">
      <c r="A1087" s="115"/>
      <c r="B1087" s="115"/>
      <c r="C1087" s="115"/>
      <c r="D1087" s="115"/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15"/>
      <c r="AC1087" s="115"/>
      <c r="AD1087" s="115"/>
      <c r="AE1087" s="115"/>
      <c r="AF1087" s="115"/>
      <c r="AG1087" s="115"/>
      <c r="AH1087" s="122"/>
      <c r="AI1087" s="122"/>
      <c r="AJ1087" s="122"/>
      <c r="AK1087" s="115"/>
      <c r="AL1087" s="115"/>
      <c r="AM1087" s="115"/>
      <c r="AN1087" s="115"/>
      <c r="AO1087" s="115"/>
      <c r="AP1087" s="115"/>
      <c r="AQ1087" s="115"/>
      <c r="AR1087" s="115"/>
      <c r="AS1087" s="115"/>
      <c r="AT1087" s="115"/>
      <c r="AU1087" s="115"/>
      <c r="AV1087" s="115"/>
      <c r="AW1087" s="115"/>
      <c r="AX1087" s="115"/>
      <c r="AY1087" s="26"/>
      <c r="AZ1087" s="15"/>
      <c r="BD1087" s="117"/>
      <c r="BE1087" s="116"/>
      <c r="BF1087" s="116"/>
      <c r="BG1087" s="116"/>
    </row>
    <row r="1088" spans="1:59" ht="19.5" x14ac:dyDescent="0.4">
      <c r="A1088" s="115"/>
      <c r="B1088" s="115"/>
      <c r="C1088" s="115"/>
      <c r="D1088" s="115"/>
      <c r="E1088" s="115"/>
      <c r="F1088" s="115"/>
      <c r="G1088" s="115"/>
      <c r="H1088" s="115"/>
      <c r="I1088" s="115"/>
      <c r="J1088" s="115"/>
      <c r="K1088" s="115"/>
      <c r="L1088" s="115"/>
      <c r="M1088" s="115"/>
      <c r="N1088" s="115"/>
      <c r="O1088" s="115"/>
      <c r="P1088" s="115"/>
      <c r="Q1088" s="115"/>
      <c r="R1088" s="115"/>
      <c r="S1088" s="115"/>
      <c r="T1088" s="115"/>
      <c r="U1088" s="115"/>
      <c r="V1088" s="115"/>
      <c r="W1088" s="115"/>
      <c r="X1088" s="115"/>
      <c r="Y1088" s="115"/>
      <c r="Z1088" s="115"/>
      <c r="AA1088" s="115"/>
      <c r="AB1088" s="115"/>
      <c r="AC1088" s="115"/>
      <c r="AD1088" s="115"/>
      <c r="AE1088" s="115"/>
      <c r="AF1088" s="115"/>
      <c r="AG1088" s="115"/>
      <c r="AH1088" s="122"/>
      <c r="AI1088" s="122"/>
      <c r="AJ1088" s="122"/>
      <c r="AK1088" s="115"/>
      <c r="AL1088" s="115"/>
      <c r="AM1088" s="115"/>
      <c r="AN1088" s="115"/>
      <c r="AO1088" s="115"/>
      <c r="AP1088" s="115"/>
      <c r="AQ1088" s="115"/>
      <c r="AR1088" s="115"/>
      <c r="AS1088" s="115"/>
      <c r="AT1088" s="115"/>
      <c r="AU1088" s="115"/>
      <c r="AV1088" s="115"/>
      <c r="AW1088" s="115"/>
      <c r="AX1088" s="115"/>
      <c r="AY1088" s="26"/>
      <c r="AZ1088" s="25"/>
      <c r="BD1088" s="117"/>
      <c r="BE1088" s="116"/>
      <c r="BF1088" s="116"/>
      <c r="BG1088" s="116"/>
    </row>
    <row r="1089" spans="1:59" ht="19.5" x14ac:dyDescent="0.4">
      <c r="AY1089" s="26"/>
      <c r="AZ1089" s="15"/>
      <c r="BD1089" s="117"/>
      <c r="BE1089" s="116"/>
      <c r="BF1089" s="116"/>
      <c r="BG1089" s="116"/>
    </row>
    <row r="1090" spans="1:59" ht="19.5" x14ac:dyDescent="0.4">
      <c r="AG1090" s="115"/>
      <c r="AH1090" s="122"/>
      <c r="AI1090" s="122"/>
      <c r="AJ1090" s="122"/>
      <c r="AK1090" s="115"/>
      <c r="AL1090" s="115"/>
      <c r="AM1090" s="115"/>
      <c r="AN1090" s="115"/>
      <c r="AO1090" s="115"/>
      <c r="AP1090" s="115"/>
      <c r="AQ1090" s="115"/>
      <c r="AR1090" s="115"/>
      <c r="AS1090" s="115"/>
      <c r="AT1090" s="115"/>
      <c r="AU1090" s="115"/>
      <c r="AV1090" s="115"/>
      <c r="AW1090" s="115"/>
      <c r="AX1090" s="115"/>
      <c r="AY1090" s="26"/>
      <c r="AZ1090" s="15"/>
      <c r="BD1090" s="117"/>
      <c r="BE1090" s="116"/>
      <c r="BF1090" s="116"/>
      <c r="BG1090" s="116"/>
    </row>
    <row r="1091" spans="1:59" ht="19.5" x14ac:dyDescent="0.4">
      <c r="AE1091" s="115"/>
      <c r="AF1091" s="115"/>
      <c r="AG1091" s="115"/>
      <c r="AH1091" s="122"/>
      <c r="AI1091" s="122"/>
      <c r="AJ1091" s="122"/>
      <c r="AK1091" s="115"/>
      <c r="AL1091" s="115"/>
      <c r="AM1091" s="115"/>
      <c r="AN1091" s="115"/>
      <c r="AO1091" s="115"/>
      <c r="AP1091" s="115"/>
      <c r="AQ1091" s="115"/>
      <c r="AR1091" s="115"/>
      <c r="AS1091" s="115"/>
      <c r="AT1091" s="115"/>
      <c r="AU1091" s="115"/>
      <c r="AV1091" s="115"/>
      <c r="AW1091" s="115"/>
      <c r="AX1091" s="115"/>
      <c r="AY1091" s="26"/>
      <c r="AZ1091" s="15"/>
      <c r="BD1091" s="117"/>
      <c r="BE1091" s="116"/>
      <c r="BF1091" s="116"/>
      <c r="BG1091" s="116"/>
    </row>
    <row r="1092" spans="1:59" ht="19.5" x14ac:dyDescent="0.4">
      <c r="AE1092" s="115"/>
      <c r="AF1092" s="115"/>
      <c r="AG1092" s="115"/>
      <c r="AH1092" s="122"/>
      <c r="AI1092" s="122"/>
      <c r="AJ1092" s="122"/>
      <c r="AK1092" s="115"/>
      <c r="AL1092" s="115"/>
      <c r="AM1092" s="115"/>
      <c r="AN1092" s="115"/>
      <c r="AO1092" s="115"/>
      <c r="AP1092" s="115"/>
      <c r="AQ1092" s="115"/>
      <c r="AR1092" s="115"/>
      <c r="AS1092" s="115"/>
      <c r="AT1092" s="115"/>
      <c r="AU1092" s="115"/>
      <c r="AV1092" s="115"/>
      <c r="AW1092" s="115"/>
      <c r="AX1092" s="115"/>
      <c r="AY1092" s="17"/>
      <c r="AZ1092" s="15"/>
      <c r="BD1092" s="117"/>
      <c r="BE1092" s="116"/>
      <c r="BF1092" s="116"/>
      <c r="BG1092" s="116"/>
    </row>
    <row r="1093" spans="1:59" ht="19.5" x14ac:dyDescent="0.4">
      <c r="AB1093" s="115"/>
      <c r="AC1093" s="115"/>
      <c r="AD1093" s="115"/>
      <c r="AE1093" s="115"/>
      <c r="AF1093" s="115"/>
      <c r="AG1093" s="115"/>
      <c r="AH1093" s="122"/>
      <c r="AI1093" s="122"/>
      <c r="AJ1093" s="122"/>
      <c r="AK1093" s="115"/>
      <c r="AL1093" s="115"/>
      <c r="AM1093" s="115"/>
      <c r="AN1093" s="115"/>
      <c r="AO1093" s="115"/>
      <c r="AP1093" s="115"/>
      <c r="AQ1093" s="115"/>
      <c r="AR1093" s="115"/>
      <c r="AS1093" s="115"/>
      <c r="AT1093" s="115"/>
      <c r="AU1093" s="115"/>
      <c r="AV1093" s="115"/>
      <c r="AW1093" s="115"/>
      <c r="AX1093" s="115"/>
      <c r="AY1093" s="26"/>
      <c r="AZ1093" s="15"/>
      <c r="BD1093" s="117"/>
      <c r="BE1093" s="116"/>
      <c r="BF1093" s="116"/>
      <c r="BG1093" s="116"/>
    </row>
    <row r="1094" spans="1:59" ht="19.5" x14ac:dyDescent="0.4">
      <c r="AB1094" s="115"/>
      <c r="AC1094" s="115"/>
      <c r="AD1094" s="115"/>
      <c r="AE1094" s="115"/>
      <c r="AF1094" s="115"/>
      <c r="AG1094" s="115"/>
      <c r="AH1094" s="122"/>
      <c r="AI1094" s="122"/>
      <c r="AJ1094" s="122"/>
      <c r="AK1094" s="115"/>
      <c r="AL1094" s="115"/>
      <c r="AM1094" s="115"/>
      <c r="AN1094" s="115"/>
      <c r="AO1094" s="115"/>
      <c r="AP1094" s="115"/>
      <c r="AQ1094" s="115"/>
      <c r="AR1094" s="115"/>
      <c r="AS1094" s="115"/>
      <c r="AT1094" s="115"/>
      <c r="AU1094" s="115"/>
      <c r="AV1094" s="115"/>
      <c r="AW1094" s="115"/>
      <c r="AX1094" s="115"/>
      <c r="AY1094" s="17"/>
      <c r="AZ1094" s="15"/>
      <c r="BD1094" s="117"/>
      <c r="BE1094" s="116"/>
      <c r="BF1094" s="116"/>
      <c r="BG1094" s="116"/>
    </row>
    <row r="1095" spans="1:59" ht="19.5" x14ac:dyDescent="0.4">
      <c r="AB1095" s="115"/>
      <c r="AC1095" s="115"/>
      <c r="AD1095" s="115"/>
      <c r="AE1095" s="115"/>
      <c r="AF1095" s="115"/>
      <c r="AG1095" s="115"/>
      <c r="AH1095" s="122"/>
      <c r="AI1095" s="122"/>
      <c r="AJ1095" s="122"/>
      <c r="AK1095" s="115"/>
      <c r="AL1095" s="115"/>
      <c r="AM1095" s="115"/>
      <c r="AN1095" s="115"/>
      <c r="AO1095" s="115"/>
      <c r="AP1095" s="115"/>
      <c r="AQ1095" s="115"/>
      <c r="AR1095" s="115"/>
      <c r="AS1095" s="115"/>
      <c r="AT1095" s="115"/>
      <c r="AU1095" s="115"/>
      <c r="AV1095" s="115"/>
      <c r="AW1095" s="115"/>
      <c r="AX1095" s="115"/>
      <c r="AY1095" s="26"/>
      <c r="AZ1095" s="15"/>
      <c r="BD1095" s="117"/>
      <c r="BE1095" s="116"/>
      <c r="BF1095" s="116"/>
      <c r="BG1095" s="116"/>
    </row>
    <row r="1096" spans="1:59" ht="19.5" x14ac:dyDescent="0.4">
      <c r="AB1096" s="115"/>
      <c r="AC1096" s="115"/>
      <c r="AD1096" s="115"/>
      <c r="AE1096" s="115"/>
      <c r="AF1096" s="115"/>
      <c r="AG1096" s="115"/>
      <c r="AH1096" s="122"/>
      <c r="AI1096" s="122"/>
      <c r="AJ1096" s="122"/>
      <c r="AK1096" s="115"/>
      <c r="AL1096" s="115"/>
      <c r="AM1096" s="115"/>
      <c r="AN1096" s="115"/>
      <c r="AO1096" s="115"/>
      <c r="AP1096" s="115"/>
      <c r="AQ1096" s="115"/>
      <c r="AR1096" s="115"/>
      <c r="AS1096" s="115"/>
      <c r="AT1096" s="115"/>
      <c r="AU1096" s="115"/>
      <c r="AV1096" s="115"/>
      <c r="AW1096" s="115"/>
      <c r="AX1096" s="115"/>
      <c r="AY1096" s="17"/>
      <c r="AZ1096" s="13"/>
      <c r="BD1096" s="117"/>
      <c r="BE1096" s="116"/>
      <c r="BF1096" s="116"/>
      <c r="BG1096" s="116"/>
    </row>
    <row r="1097" spans="1:59" ht="19.5" x14ac:dyDescent="0.4">
      <c r="AB1097" s="115"/>
      <c r="AC1097" s="115"/>
      <c r="AD1097" s="115"/>
      <c r="AE1097" s="115"/>
      <c r="AF1097" s="115"/>
      <c r="AG1097" s="115"/>
      <c r="AH1097" s="122"/>
      <c r="AI1097" s="122"/>
      <c r="AJ1097" s="122"/>
      <c r="AK1097" s="115"/>
      <c r="AL1097" s="115"/>
      <c r="AM1097" s="115"/>
      <c r="AN1097" s="115"/>
      <c r="AO1097" s="115"/>
      <c r="AP1097" s="115"/>
      <c r="AQ1097" s="115"/>
      <c r="AR1097" s="115"/>
      <c r="AS1097" s="115"/>
      <c r="AT1097" s="115"/>
      <c r="AU1097" s="115"/>
      <c r="AV1097" s="115"/>
      <c r="AW1097" s="115"/>
      <c r="AX1097" s="115"/>
      <c r="AY1097" s="17"/>
      <c r="AZ1097" s="13"/>
      <c r="BD1097" s="117"/>
      <c r="BE1097" s="116"/>
      <c r="BF1097" s="116"/>
      <c r="BG1097" s="116"/>
    </row>
    <row r="1098" spans="1:59" ht="19.5" x14ac:dyDescent="0.4">
      <c r="AY1098" s="26"/>
      <c r="AZ1098" s="13"/>
      <c r="BD1098" s="117"/>
      <c r="BE1098" s="116"/>
      <c r="BF1098" s="116"/>
      <c r="BG1098" s="116"/>
    </row>
    <row r="1099" spans="1:59" ht="19.5" x14ac:dyDescent="0.4">
      <c r="AG1099" s="115"/>
      <c r="AH1099" s="122"/>
      <c r="AI1099" s="122"/>
      <c r="AJ1099" s="122"/>
      <c r="AK1099" s="115"/>
      <c r="AL1099" s="115"/>
      <c r="AM1099" s="115"/>
      <c r="AN1099" s="115"/>
      <c r="AO1099" s="115"/>
      <c r="AP1099" s="115"/>
      <c r="AQ1099" s="115"/>
      <c r="AR1099" s="115"/>
      <c r="AS1099" s="115"/>
      <c r="AT1099" s="115"/>
      <c r="AU1099" s="115"/>
      <c r="AV1099" s="115"/>
      <c r="AW1099" s="115"/>
      <c r="AX1099" s="115"/>
      <c r="AY1099" s="17"/>
      <c r="AZ1099" s="13"/>
      <c r="BD1099" s="117"/>
      <c r="BE1099" s="116"/>
      <c r="BF1099" s="116"/>
      <c r="BG1099" s="116"/>
    </row>
    <row r="1100" spans="1:59" ht="19.5" x14ac:dyDescent="0.4">
      <c r="A1100" s="115"/>
      <c r="B1100" s="115"/>
      <c r="C1100" s="115"/>
      <c r="D1100" s="115"/>
      <c r="E1100" s="115"/>
      <c r="F1100" s="115"/>
      <c r="G1100" s="115"/>
      <c r="H1100" s="115"/>
      <c r="I1100" s="115"/>
      <c r="J1100" s="115"/>
      <c r="K1100" s="115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  <c r="AA1100" s="115"/>
      <c r="AB1100" s="115"/>
      <c r="AC1100" s="115"/>
      <c r="AD1100" s="115"/>
      <c r="AE1100" s="115"/>
      <c r="AF1100" s="115"/>
      <c r="AG1100" s="115"/>
      <c r="AH1100" s="122"/>
      <c r="AI1100" s="122"/>
      <c r="AJ1100" s="122"/>
      <c r="AK1100" s="115"/>
      <c r="AL1100" s="115"/>
      <c r="AM1100" s="115"/>
      <c r="AN1100" s="115"/>
      <c r="AO1100" s="115"/>
      <c r="AP1100" s="115"/>
      <c r="AQ1100" s="115"/>
      <c r="AR1100" s="115"/>
      <c r="AS1100" s="115"/>
      <c r="AT1100" s="115"/>
      <c r="AU1100" s="115"/>
      <c r="AV1100" s="115"/>
      <c r="AW1100" s="115"/>
      <c r="AX1100" s="115"/>
      <c r="AY1100" s="26"/>
      <c r="AZ1100" s="13"/>
      <c r="BD1100" s="117"/>
      <c r="BE1100" s="116"/>
      <c r="BF1100" s="116"/>
      <c r="BG1100" s="116"/>
    </row>
    <row r="1101" spans="1:59" ht="19.5" x14ac:dyDescent="0.4">
      <c r="A1101" s="115"/>
      <c r="B1101" s="115"/>
      <c r="C1101" s="115"/>
      <c r="D1101" s="115"/>
      <c r="E1101" s="115"/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  <c r="AA1101" s="115"/>
      <c r="AB1101" s="115"/>
      <c r="AC1101" s="115"/>
      <c r="AD1101" s="115"/>
      <c r="AE1101" s="115"/>
      <c r="AF1101" s="115"/>
      <c r="AG1101" s="115"/>
      <c r="AH1101" s="122"/>
      <c r="AI1101" s="122"/>
      <c r="AJ1101" s="122"/>
      <c r="AK1101" s="115"/>
      <c r="AL1101" s="115"/>
      <c r="AM1101" s="115"/>
      <c r="AN1101" s="115"/>
      <c r="AO1101" s="115"/>
      <c r="AP1101" s="115"/>
      <c r="AQ1101" s="115"/>
      <c r="AR1101" s="115"/>
      <c r="AS1101" s="115"/>
      <c r="AT1101" s="115"/>
      <c r="AU1101" s="115"/>
      <c r="AV1101" s="115"/>
      <c r="AW1101" s="115"/>
      <c r="AX1101" s="115"/>
      <c r="AY1101" s="26"/>
      <c r="AZ1101" s="13"/>
      <c r="BD1101" s="117"/>
      <c r="BE1101" s="116"/>
      <c r="BF1101" s="116"/>
      <c r="BG1101" s="116"/>
    </row>
    <row r="1102" spans="1:59" ht="19.5" x14ac:dyDescent="0.4">
      <c r="A1102" s="115"/>
      <c r="B1102" s="115"/>
      <c r="C1102" s="115"/>
      <c r="D1102" s="115"/>
      <c r="E1102" s="115"/>
      <c r="F1102" s="115"/>
      <c r="G1102" s="115"/>
      <c r="H1102" s="115"/>
      <c r="I1102" s="115"/>
      <c r="J1102" s="115"/>
      <c r="K1102" s="11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  <c r="AA1102" s="115"/>
      <c r="AB1102" s="115"/>
      <c r="AC1102" s="115"/>
      <c r="AD1102" s="115"/>
      <c r="AE1102" s="115"/>
      <c r="AF1102" s="115"/>
      <c r="AG1102" s="115"/>
      <c r="AH1102" s="122"/>
      <c r="AI1102" s="122"/>
      <c r="AJ1102" s="122"/>
      <c r="AK1102" s="115"/>
      <c r="AL1102" s="115"/>
      <c r="AM1102" s="115"/>
      <c r="AN1102" s="115"/>
      <c r="AO1102" s="115"/>
      <c r="AP1102" s="115"/>
      <c r="AQ1102" s="115"/>
      <c r="AR1102" s="115"/>
      <c r="AS1102" s="115"/>
      <c r="AT1102" s="115"/>
      <c r="AU1102" s="115"/>
      <c r="AV1102" s="115"/>
      <c r="AW1102" s="115"/>
      <c r="AX1102" s="115"/>
      <c r="AY1102" s="26"/>
      <c r="AZ1102" s="13"/>
      <c r="BD1102" s="117"/>
      <c r="BE1102" s="116"/>
      <c r="BF1102" s="116"/>
      <c r="BG1102" s="116"/>
    </row>
    <row r="1103" spans="1:59" ht="19.5" x14ac:dyDescent="0.4">
      <c r="A1103" s="115"/>
      <c r="B1103" s="115"/>
      <c r="C1103" s="115"/>
      <c r="D1103" s="115"/>
      <c r="E1103" s="115"/>
      <c r="F1103" s="115"/>
      <c r="G1103" s="115"/>
      <c r="H1103" s="115"/>
      <c r="I1103" s="115"/>
      <c r="J1103" s="115"/>
      <c r="K1103" s="11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  <c r="AA1103" s="115"/>
      <c r="AB1103" s="115"/>
      <c r="AC1103" s="115"/>
      <c r="AD1103" s="115"/>
      <c r="AE1103" s="115"/>
      <c r="AF1103" s="115"/>
      <c r="AG1103" s="115"/>
      <c r="AH1103" s="122"/>
      <c r="AI1103" s="122"/>
      <c r="AJ1103" s="122"/>
      <c r="AK1103" s="115"/>
      <c r="AL1103" s="115"/>
      <c r="AM1103" s="115"/>
      <c r="AN1103" s="115"/>
      <c r="AO1103" s="115"/>
      <c r="AP1103" s="115"/>
      <c r="AQ1103" s="115"/>
      <c r="AR1103" s="115"/>
      <c r="AS1103" s="115"/>
      <c r="AT1103" s="115"/>
      <c r="AU1103" s="115"/>
      <c r="AV1103" s="115"/>
      <c r="AW1103" s="115"/>
      <c r="AX1103" s="115"/>
      <c r="AY1103" s="26"/>
      <c r="AZ1103" s="13"/>
      <c r="BD1103" s="117"/>
      <c r="BE1103" s="116"/>
      <c r="BF1103" s="116"/>
      <c r="BG1103" s="116"/>
    </row>
    <row r="1104" spans="1:59" ht="19.5" x14ac:dyDescent="0.4">
      <c r="A1104" s="115"/>
      <c r="B1104" s="115"/>
      <c r="C1104" s="115"/>
      <c r="D1104" s="115"/>
      <c r="E1104" s="115"/>
      <c r="F1104" s="115"/>
      <c r="G1104" s="115"/>
      <c r="H1104" s="115"/>
      <c r="I1104" s="115"/>
      <c r="J1104" s="115"/>
      <c r="K1104" s="115"/>
      <c r="L1104" s="115"/>
      <c r="M1104" s="115"/>
      <c r="N1104" s="115"/>
      <c r="O1104" s="115"/>
      <c r="P1104" s="115"/>
      <c r="Q1104" s="115"/>
      <c r="R1104" s="115"/>
      <c r="S1104" s="115"/>
      <c r="T1104" s="115"/>
      <c r="U1104" s="115"/>
      <c r="V1104" s="115"/>
      <c r="W1104" s="115"/>
      <c r="X1104" s="115"/>
      <c r="Y1104" s="115"/>
      <c r="Z1104" s="115"/>
      <c r="AA1104" s="115"/>
      <c r="AB1104" s="115"/>
      <c r="AC1104" s="115"/>
      <c r="AD1104" s="115"/>
      <c r="AE1104" s="115"/>
      <c r="AF1104" s="115"/>
      <c r="AG1104" s="115"/>
      <c r="AH1104" s="122"/>
      <c r="AI1104" s="122"/>
      <c r="AJ1104" s="122"/>
      <c r="AK1104" s="115"/>
      <c r="AL1104" s="115"/>
      <c r="AM1104" s="115"/>
      <c r="AN1104" s="115"/>
      <c r="AO1104" s="115"/>
      <c r="AP1104" s="115"/>
      <c r="AQ1104" s="115"/>
      <c r="AR1104" s="115"/>
      <c r="AS1104" s="115"/>
      <c r="AT1104" s="115"/>
      <c r="AU1104" s="115"/>
      <c r="AV1104" s="115"/>
      <c r="AW1104" s="115"/>
      <c r="AX1104" s="115"/>
      <c r="AY1104" s="17"/>
      <c r="AZ1104" s="13"/>
      <c r="BD1104" s="117"/>
      <c r="BE1104" s="116"/>
      <c r="BF1104" s="116"/>
      <c r="BG1104" s="116"/>
    </row>
    <row r="1105" spans="1:59" ht="19.5" x14ac:dyDescent="0.4">
      <c r="A1105" s="115"/>
      <c r="B1105" s="115"/>
      <c r="C1105" s="115"/>
      <c r="D1105" s="115"/>
      <c r="E1105" s="115"/>
      <c r="F1105" s="115"/>
      <c r="G1105" s="115"/>
      <c r="H1105" s="115"/>
      <c r="I1105" s="115"/>
      <c r="J1105" s="115"/>
      <c r="K1105" s="11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  <c r="AA1105" s="115"/>
      <c r="AB1105" s="115"/>
      <c r="AC1105" s="115"/>
      <c r="AD1105" s="115"/>
      <c r="AE1105" s="115"/>
      <c r="AF1105" s="115"/>
      <c r="AG1105" s="115"/>
      <c r="AH1105" s="122"/>
      <c r="AI1105" s="122"/>
      <c r="AJ1105" s="122"/>
      <c r="AK1105" s="115"/>
      <c r="AL1105" s="115"/>
      <c r="AM1105" s="115"/>
      <c r="AN1105" s="115"/>
      <c r="AO1105" s="115"/>
      <c r="AP1105" s="115"/>
      <c r="AQ1105" s="115"/>
      <c r="AR1105" s="115"/>
      <c r="AS1105" s="115"/>
      <c r="AT1105" s="115"/>
      <c r="AU1105" s="115"/>
      <c r="AV1105" s="115"/>
      <c r="AW1105" s="115"/>
      <c r="AX1105" s="115"/>
      <c r="AY1105" s="26"/>
      <c r="AZ1105" s="13"/>
      <c r="BD1105" s="117"/>
      <c r="BE1105" s="116"/>
      <c r="BF1105" s="116"/>
      <c r="BG1105" s="116"/>
    </row>
    <row r="1106" spans="1:59" ht="19.5" x14ac:dyDescent="0.4">
      <c r="A1106" s="115"/>
      <c r="B1106" s="115"/>
      <c r="C1106" s="115"/>
      <c r="D1106" s="115"/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15"/>
      <c r="AC1106" s="115"/>
      <c r="AD1106" s="115"/>
      <c r="AE1106" s="115"/>
      <c r="AF1106" s="115"/>
      <c r="AG1106" s="115"/>
      <c r="AH1106" s="122"/>
      <c r="AI1106" s="122"/>
      <c r="AJ1106" s="122"/>
      <c r="AK1106" s="115"/>
      <c r="AL1106" s="115"/>
      <c r="AM1106" s="115"/>
      <c r="AN1106" s="115"/>
      <c r="AO1106" s="115"/>
      <c r="AP1106" s="115"/>
      <c r="AQ1106" s="115"/>
      <c r="AR1106" s="115"/>
      <c r="AS1106" s="115"/>
      <c r="AT1106" s="115"/>
      <c r="AU1106" s="115"/>
      <c r="AV1106" s="115"/>
      <c r="AW1106" s="115"/>
      <c r="AX1106" s="115"/>
      <c r="AY1106" s="26"/>
      <c r="AZ1106" s="15"/>
      <c r="BD1106" s="117"/>
      <c r="BE1106" s="116"/>
      <c r="BF1106" s="116"/>
      <c r="BG1106" s="116"/>
    </row>
    <row r="1107" spans="1:59" ht="19.5" x14ac:dyDescent="0.4">
      <c r="AY1107" s="26"/>
      <c r="AZ1107" s="15"/>
      <c r="BD1107" s="117"/>
      <c r="BE1107" s="116"/>
      <c r="BF1107" s="116"/>
      <c r="BG1107" s="116"/>
    </row>
    <row r="1108" spans="1:59" ht="19.5" x14ac:dyDescent="0.4">
      <c r="AF1108" s="115"/>
      <c r="AG1108" s="115"/>
      <c r="AH1108" s="122"/>
      <c r="AI1108" s="122"/>
      <c r="AJ1108" s="122"/>
      <c r="AK1108" s="115"/>
      <c r="AL1108" s="115"/>
      <c r="AM1108" s="115"/>
      <c r="AN1108" s="115"/>
      <c r="AO1108" s="115"/>
      <c r="AP1108" s="115"/>
      <c r="AQ1108" s="115"/>
      <c r="AR1108" s="115"/>
      <c r="AS1108" s="115"/>
      <c r="AT1108" s="115"/>
      <c r="AU1108" s="115"/>
      <c r="AV1108" s="115"/>
      <c r="AW1108" s="115"/>
      <c r="AX1108" s="115"/>
      <c r="AY1108" s="26"/>
      <c r="AZ1108" s="13"/>
      <c r="BD1108" s="117"/>
      <c r="BE1108" s="116"/>
      <c r="BF1108" s="116"/>
      <c r="BG1108" s="116"/>
    </row>
    <row r="1109" spans="1:59" ht="19.5" x14ac:dyDescent="0.4">
      <c r="AD1109" s="115"/>
      <c r="AE1109" s="115"/>
      <c r="AF1109" s="115"/>
      <c r="AG1109" s="115"/>
      <c r="AH1109" s="122"/>
      <c r="AI1109" s="122"/>
      <c r="AJ1109" s="122"/>
      <c r="AK1109" s="115"/>
      <c r="AL1109" s="115"/>
      <c r="AM1109" s="115"/>
      <c r="AN1109" s="115"/>
      <c r="AO1109" s="115"/>
      <c r="AP1109" s="115"/>
      <c r="AQ1109" s="115"/>
      <c r="AR1109" s="115"/>
      <c r="AS1109" s="115"/>
      <c r="AT1109" s="115"/>
      <c r="AU1109" s="115"/>
      <c r="AV1109" s="115"/>
      <c r="AW1109" s="115"/>
      <c r="AX1109" s="115"/>
      <c r="AY1109" s="26"/>
      <c r="AZ1109" s="15"/>
      <c r="BD1109" s="117"/>
      <c r="BE1109" s="116"/>
      <c r="BF1109" s="116"/>
      <c r="BG1109" s="116"/>
    </row>
    <row r="1110" spans="1:59" ht="19.5" x14ac:dyDescent="0.4">
      <c r="AD1110" s="115"/>
      <c r="AE1110" s="115"/>
      <c r="AF1110" s="115"/>
      <c r="AG1110" s="115"/>
      <c r="AH1110" s="122"/>
      <c r="AI1110" s="122"/>
      <c r="AJ1110" s="122"/>
      <c r="AK1110" s="115"/>
      <c r="AL1110" s="115"/>
      <c r="AM1110" s="115"/>
      <c r="AN1110" s="115"/>
      <c r="AO1110" s="115"/>
      <c r="AP1110" s="115"/>
      <c r="AQ1110" s="115"/>
      <c r="AR1110" s="115"/>
      <c r="AS1110" s="115"/>
      <c r="AT1110" s="115"/>
      <c r="AU1110" s="115"/>
      <c r="AV1110" s="115"/>
      <c r="AW1110" s="115"/>
      <c r="AX1110" s="115"/>
      <c r="AY1110" s="26"/>
      <c r="AZ1110" s="15"/>
      <c r="BD1110" s="117"/>
      <c r="BE1110" s="116"/>
      <c r="BF1110" s="116"/>
      <c r="BG1110" s="116"/>
    </row>
    <row r="1111" spans="1:59" ht="19.5" x14ac:dyDescent="0.4">
      <c r="AD1111" s="115"/>
      <c r="AE1111" s="115"/>
      <c r="AF1111" s="115"/>
      <c r="AG1111" s="115"/>
      <c r="AH1111" s="122"/>
      <c r="AI1111" s="122"/>
      <c r="AJ1111" s="122"/>
      <c r="AK1111" s="115"/>
      <c r="AL1111" s="115"/>
      <c r="AM1111" s="115"/>
      <c r="AN1111" s="115"/>
      <c r="AO1111" s="115"/>
      <c r="AP1111" s="115"/>
      <c r="AQ1111" s="115"/>
      <c r="AR1111" s="115"/>
      <c r="AS1111" s="115"/>
      <c r="AT1111" s="115"/>
      <c r="AU1111" s="115"/>
      <c r="AV1111" s="115"/>
      <c r="AW1111" s="115"/>
      <c r="AX1111" s="115"/>
      <c r="AY1111" s="17"/>
      <c r="AZ1111" s="15"/>
      <c r="BD1111" s="117"/>
      <c r="BE1111" s="116"/>
      <c r="BF1111" s="116"/>
      <c r="BG1111" s="116"/>
    </row>
    <row r="1112" spans="1:59" ht="19.5" x14ac:dyDescent="0.4">
      <c r="AC1112" s="115"/>
      <c r="AD1112" s="115"/>
      <c r="AE1112" s="115"/>
      <c r="AF1112" s="115"/>
      <c r="AG1112" s="115"/>
      <c r="AH1112" s="122"/>
      <c r="AI1112" s="122"/>
      <c r="AJ1112" s="122"/>
      <c r="AK1112" s="115"/>
      <c r="AL1112" s="115"/>
      <c r="AM1112" s="115"/>
      <c r="AN1112" s="115"/>
      <c r="AO1112" s="115"/>
      <c r="AP1112" s="115"/>
      <c r="AQ1112" s="115"/>
      <c r="AR1112" s="115"/>
      <c r="AS1112" s="115"/>
      <c r="AT1112" s="115"/>
      <c r="AU1112" s="115"/>
      <c r="AV1112" s="115"/>
      <c r="AW1112" s="115"/>
      <c r="AX1112" s="115"/>
      <c r="AY1112" s="26"/>
      <c r="AZ1112" s="15"/>
      <c r="BD1112" s="117"/>
      <c r="BE1112" s="116"/>
      <c r="BF1112" s="116"/>
      <c r="BG1112" s="116"/>
    </row>
    <row r="1113" spans="1:59" ht="19.5" x14ac:dyDescent="0.4">
      <c r="AC1113" s="115"/>
      <c r="AD1113" s="115"/>
      <c r="AE1113" s="115"/>
      <c r="AF1113" s="115"/>
      <c r="AG1113" s="115"/>
      <c r="AH1113" s="122"/>
      <c r="AI1113" s="122"/>
      <c r="AJ1113" s="122"/>
      <c r="AK1113" s="115"/>
      <c r="AL1113" s="115"/>
      <c r="AM1113" s="115"/>
      <c r="AN1113" s="115"/>
      <c r="AO1113" s="115"/>
      <c r="AP1113" s="115"/>
      <c r="AQ1113" s="115"/>
      <c r="AR1113" s="115"/>
      <c r="AS1113" s="115"/>
      <c r="AT1113" s="115"/>
      <c r="AU1113" s="115"/>
      <c r="AV1113" s="115"/>
      <c r="AW1113" s="115"/>
      <c r="AX1113" s="115"/>
      <c r="AY1113" s="26"/>
      <c r="AZ1113" s="15"/>
      <c r="BD1113" s="117"/>
      <c r="BE1113" s="116"/>
      <c r="BF1113" s="116"/>
      <c r="BG1113" s="116"/>
    </row>
    <row r="1114" spans="1:59" ht="19.5" x14ac:dyDescent="0.4">
      <c r="AC1114" s="115"/>
      <c r="AD1114" s="115"/>
      <c r="AE1114" s="115"/>
      <c r="AF1114" s="115"/>
      <c r="AG1114" s="115"/>
      <c r="AH1114" s="122"/>
      <c r="AI1114" s="122"/>
      <c r="AJ1114" s="122"/>
      <c r="AK1114" s="115"/>
      <c r="AL1114" s="115"/>
      <c r="AM1114" s="115"/>
      <c r="AN1114" s="115"/>
      <c r="AO1114" s="115"/>
      <c r="AP1114" s="115"/>
      <c r="AQ1114" s="115"/>
      <c r="AR1114" s="115"/>
      <c r="AS1114" s="115"/>
      <c r="AT1114" s="115"/>
      <c r="AU1114" s="115"/>
      <c r="AV1114" s="115"/>
      <c r="AW1114" s="115"/>
      <c r="AX1114" s="115"/>
      <c r="AY1114" s="26"/>
      <c r="AZ1114" s="105"/>
      <c r="BD1114" s="117"/>
      <c r="BE1114" s="116"/>
      <c r="BF1114" s="116"/>
      <c r="BG1114" s="116"/>
    </row>
    <row r="1115" spans="1:59" ht="19.5" x14ac:dyDescent="0.4">
      <c r="AC1115" s="115"/>
      <c r="AD1115" s="115"/>
      <c r="AE1115" s="115"/>
      <c r="AF1115" s="115"/>
      <c r="AG1115" s="115"/>
      <c r="AH1115" s="122"/>
      <c r="AI1115" s="122"/>
      <c r="AJ1115" s="122"/>
      <c r="AK1115" s="115"/>
      <c r="AL1115" s="115"/>
      <c r="AM1115" s="115"/>
      <c r="AN1115" s="115"/>
      <c r="AO1115" s="115"/>
      <c r="AP1115" s="115"/>
      <c r="AQ1115" s="115"/>
      <c r="AR1115" s="115"/>
      <c r="AS1115" s="115"/>
      <c r="AT1115" s="115"/>
      <c r="AU1115" s="115"/>
      <c r="AV1115" s="115"/>
      <c r="AW1115" s="115"/>
      <c r="AX1115" s="115"/>
      <c r="AY1115" s="17"/>
      <c r="AZ1115" s="15"/>
      <c r="BD1115" s="117"/>
      <c r="BE1115" s="116"/>
      <c r="BF1115" s="116"/>
      <c r="BG1115" s="116"/>
    </row>
    <row r="1116" spans="1:59" ht="19.5" x14ac:dyDescent="0.4">
      <c r="AC1116" s="115"/>
      <c r="AD1116" s="115"/>
      <c r="AE1116" s="115"/>
      <c r="AF1116" s="115"/>
      <c r="AG1116" s="115"/>
      <c r="AH1116" s="122"/>
      <c r="AI1116" s="122"/>
      <c r="AJ1116" s="122"/>
      <c r="AK1116" s="115"/>
      <c r="AL1116" s="115"/>
      <c r="AM1116" s="115"/>
      <c r="AN1116" s="115"/>
      <c r="AO1116" s="115"/>
      <c r="AP1116" s="115"/>
      <c r="AQ1116" s="115"/>
      <c r="AR1116" s="115"/>
      <c r="AS1116" s="115"/>
      <c r="AT1116" s="115"/>
      <c r="AU1116" s="115"/>
      <c r="AV1116" s="115"/>
      <c r="AW1116" s="115"/>
      <c r="AX1116" s="115"/>
      <c r="AY1116" s="26"/>
      <c r="AZ1116" s="15"/>
      <c r="BD1116" s="117"/>
      <c r="BE1116" s="116"/>
      <c r="BF1116" s="116"/>
      <c r="BG1116" s="116"/>
    </row>
    <row r="1117" spans="1:59" ht="19.5" x14ac:dyDescent="0.4">
      <c r="AC1117" s="115"/>
      <c r="AD1117" s="115"/>
      <c r="AE1117" s="115"/>
      <c r="AF1117" s="115"/>
      <c r="AG1117" s="115"/>
      <c r="AH1117" s="122"/>
      <c r="AI1117" s="122"/>
      <c r="AJ1117" s="122"/>
      <c r="AK1117" s="115"/>
      <c r="AL1117" s="115"/>
      <c r="AM1117" s="115"/>
      <c r="AN1117" s="115"/>
      <c r="AO1117" s="115"/>
      <c r="AP1117" s="115"/>
      <c r="AQ1117" s="115"/>
      <c r="AR1117" s="115"/>
      <c r="AS1117" s="115"/>
      <c r="AT1117" s="115"/>
      <c r="AU1117" s="115"/>
      <c r="AV1117" s="115"/>
      <c r="AW1117" s="115"/>
      <c r="AX1117" s="115"/>
      <c r="AY1117" s="17"/>
      <c r="AZ1117" s="15"/>
      <c r="BD1117" s="117"/>
      <c r="BE1117" s="116"/>
      <c r="BF1117" s="116"/>
      <c r="BG1117" s="116"/>
    </row>
    <row r="1118" spans="1:59" ht="19.5" x14ac:dyDescent="0.4">
      <c r="E1118" s="115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22"/>
      <c r="AI1118" s="122"/>
      <c r="AJ1118" s="122"/>
      <c r="AK1118" s="115"/>
      <c r="AL1118" s="115"/>
      <c r="AM1118" s="115"/>
      <c r="AN1118" s="115"/>
      <c r="AO1118" s="115"/>
      <c r="AP1118" s="115"/>
      <c r="AQ1118" s="115"/>
      <c r="AR1118" s="115"/>
      <c r="AS1118" s="115"/>
      <c r="AT1118" s="115"/>
      <c r="AU1118" s="115"/>
      <c r="AV1118" s="115"/>
      <c r="AW1118" s="115"/>
      <c r="AX1118" s="115"/>
      <c r="AY1118" s="26"/>
      <c r="AZ1118" s="15"/>
      <c r="BD1118" s="117"/>
      <c r="BE1118" s="116"/>
      <c r="BF1118" s="116"/>
      <c r="BG1118" s="116"/>
    </row>
    <row r="1119" spans="1:59" ht="19.5" x14ac:dyDescent="0.4">
      <c r="E1119" s="115"/>
      <c r="F1119" s="115"/>
      <c r="G1119" s="115"/>
      <c r="H1119" s="115"/>
      <c r="I1119" s="115"/>
      <c r="J1119" s="115"/>
      <c r="K1119" s="115"/>
      <c r="L1119" s="115"/>
      <c r="M1119" s="115"/>
      <c r="N1119" s="115"/>
      <c r="O1119" s="115"/>
      <c r="P1119" s="115"/>
      <c r="Q1119" s="115"/>
      <c r="R1119" s="115"/>
      <c r="S1119" s="115"/>
      <c r="T1119" s="115"/>
      <c r="U1119" s="115"/>
      <c r="V1119" s="115"/>
      <c r="W1119" s="115"/>
      <c r="X1119" s="115"/>
      <c r="Y1119" s="115"/>
      <c r="Z1119" s="115"/>
      <c r="AA1119" s="115"/>
      <c r="AB1119" s="115"/>
      <c r="AC1119" s="115"/>
      <c r="AD1119" s="115"/>
      <c r="AE1119" s="115"/>
      <c r="AF1119" s="115"/>
      <c r="AG1119" s="115"/>
      <c r="AH1119" s="122"/>
      <c r="AI1119" s="122"/>
      <c r="AJ1119" s="122"/>
      <c r="AK1119" s="115"/>
      <c r="AL1119" s="115"/>
      <c r="AM1119" s="115"/>
      <c r="AN1119" s="115"/>
      <c r="AO1119" s="115"/>
      <c r="AP1119" s="115"/>
      <c r="AQ1119" s="115"/>
      <c r="AR1119" s="115"/>
      <c r="AS1119" s="115"/>
      <c r="AT1119" s="115"/>
      <c r="AU1119" s="115"/>
      <c r="AV1119" s="115"/>
      <c r="AW1119" s="115"/>
      <c r="AX1119" s="115"/>
      <c r="AY1119" s="17"/>
      <c r="AZ1119" s="15"/>
      <c r="BD1119" s="117"/>
      <c r="BE1119" s="116"/>
      <c r="BF1119" s="116"/>
      <c r="BG1119" s="116"/>
    </row>
    <row r="1120" spans="1:59" ht="19.5" x14ac:dyDescent="0.4">
      <c r="E1120" s="115"/>
      <c r="F1120" s="115"/>
      <c r="G1120" s="115"/>
      <c r="H1120" s="115"/>
      <c r="I1120" s="115"/>
      <c r="J1120" s="115"/>
      <c r="K1120" s="11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  <c r="AA1120" s="115"/>
      <c r="AB1120" s="115"/>
      <c r="AC1120" s="115"/>
      <c r="AD1120" s="115"/>
      <c r="AE1120" s="115"/>
      <c r="AF1120" s="115"/>
      <c r="AG1120" s="115"/>
      <c r="AH1120" s="122"/>
      <c r="AI1120" s="122"/>
      <c r="AJ1120" s="122"/>
      <c r="AK1120" s="115"/>
      <c r="AL1120" s="115"/>
      <c r="AM1120" s="115"/>
      <c r="AN1120" s="115"/>
      <c r="AO1120" s="115"/>
      <c r="AP1120" s="115"/>
      <c r="AQ1120" s="115"/>
      <c r="AR1120" s="115"/>
      <c r="AS1120" s="115"/>
      <c r="AT1120" s="115"/>
      <c r="AU1120" s="115"/>
      <c r="AV1120" s="115"/>
      <c r="AW1120" s="115"/>
      <c r="AX1120" s="115"/>
      <c r="AY1120" s="26"/>
      <c r="AZ1120" s="15"/>
      <c r="BD1120" s="117"/>
      <c r="BE1120" s="116"/>
      <c r="BF1120" s="116"/>
      <c r="BG1120" s="116"/>
    </row>
    <row r="1121" spans="1:59" ht="19.5" x14ac:dyDescent="0.4">
      <c r="E1121" s="115"/>
      <c r="F1121" s="115"/>
      <c r="G1121" s="115"/>
      <c r="H1121" s="115"/>
      <c r="I1121" s="115"/>
      <c r="J1121" s="115"/>
      <c r="K1121" s="115"/>
      <c r="L1121" s="115"/>
      <c r="M1121" s="115"/>
      <c r="N1121" s="115"/>
      <c r="O1121" s="115"/>
      <c r="P1121" s="115"/>
      <c r="Q1121" s="115"/>
      <c r="R1121" s="115"/>
      <c r="S1121" s="115"/>
      <c r="T1121" s="115"/>
      <c r="U1121" s="115"/>
      <c r="V1121" s="115"/>
      <c r="W1121" s="115"/>
      <c r="X1121" s="115"/>
      <c r="Y1121" s="115"/>
      <c r="Z1121" s="115"/>
      <c r="AA1121" s="115"/>
      <c r="AB1121" s="115"/>
      <c r="AC1121" s="115"/>
      <c r="AD1121" s="115"/>
      <c r="AE1121" s="115"/>
      <c r="AF1121" s="115"/>
      <c r="AG1121" s="115"/>
      <c r="AH1121" s="122"/>
      <c r="AI1121" s="122"/>
      <c r="AJ1121" s="122"/>
      <c r="AK1121" s="115"/>
      <c r="AL1121" s="115"/>
      <c r="AM1121" s="115"/>
      <c r="AN1121" s="115"/>
      <c r="AO1121" s="115"/>
      <c r="AP1121" s="115"/>
      <c r="AQ1121" s="115"/>
      <c r="AR1121" s="115"/>
      <c r="AS1121" s="115"/>
      <c r="AT1121" s="115"/>
      <c r="AU1121" s="115"/>
      <c r="AV1121" s="115"/>
      <c r="AW1121" s="115"/>
      <c r="AX1121" s="115"/>
      <c r="AY1121" s="17"/>
      <c r="AZ1121" s="15"/>
      <c r="BD1121" s="117"/>
      <c r="BE1121" s="116"/>
      <c r="BF1121" s="116"/>
      <c r="BG1121" s="116"/>
    </row>
    <row r="1122" spans="1:59" ht="19.5" x14ac:dyDescent="0.4">
      <c r="A1122" s="115"/>
      <c r="B1122" s="115"/>
      <c r="C1122" s="115"/>
      <c r="D1122" s="115"/>
      <c r="E1122" s="115"/>
      <c r="F1122" s="115"/>
      <c r="G1122" s="115"/>
      <c r="H1122" s="115"/>
      <c r="I1122" s="115"/>
      <c r="J1122" s="115"/>
      <c r="K1122" s="115"/>
      <c r="L1122" s="115"/>
      <c r="M1122" s="115"/>
      <c r="N1122" s="115"/>
      <c r="O1122" s="115"/>
      <c r="P1122" s="115"/>
      <c r="Q1122" s="115"/>
      <c r="R1122" s="115"/>
      <c r="S1122" s="115"/>
      <c r="T1122" s="115"/>
      <c r="U1122" s="115"/>
      <c r="V1122" s="115"/>
      <c r="W1122" s="115"/>
      <c r="X1122" s="115"/>
      <c r="Y1122" s="115"/>
      <c r="Z1122" s="115"/>
      <c r="AA1122" s="115"/>
      <c r="AB1122" s="115"/>
      <c r="AC1122" s="115"/>
      <c r="AD1122" s="115"/>
      <c r="AE1122" s="115"/>
      <c r="AF1122" s="115"/>
      <c r="AG1122" s="115"/>
      <c r="AH1122" s="122"/>
      <c r="AI1122" s="122"/>
      <c r="AJ1122" s="122"/>
      <c r="AK1122" s="115"/>
      <c r="AL1122" s="115"/>
      <c r="AM1122" s="115"/>
      <c r="AN1122" s="115"/>
      <c r="AO1122" s="115"/>
      <c r="AP1122" s="115"/>
      <c r="AQ1122" s="115"/>
      <c r="AR1122" s="115"/>
      <c r="AS1122" s="115"/>
      <c r="AT1122" s="115"/>
      <c r="AU1122" s="115"/>
      <c r="AV1122" s="115"/>
      <c r="AW1122" s="115"/>
      <c r="AX1122" s="115"/>
      <c r="AY1122" s="26"/>
      <c r="AZ1122" s="15"/>
      <c r="BD1122" s="117"/>
      <c r="BE1122" s="116"/>
      <c r="BF1122" s="116"/>
      <c r="BG1122" s="116"/>
    </row>
    <row r="1123" spans="1:59" ht="19.5" x14ac:dyDescent="0.4">
      <c r="A1123" s="115"/>
      <c r="B1123" s="115"/>
      <c r="C1123" s="115"/>
      <c r="D1123" s="115"/>
      <c r="E1123" s="115"/>
      <c r="F1123" s="115"/>
      <c r="G1123" s="115"/>
      <c r="H1123" s="115"/>
      <c r="I1123" s="115"/>
      <c r="J1123" s="115"/>
      <c r="K1123" s="11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  <c r="AA1123" s="115"/>
      <c r="AB1123" s="115"/>
      <c r="AC1123" s="115"/>
      <c r="AD1123" s="115"/>
      <c r="AE1123" s="115"/>
      <c r="AF1123" s="115"/>
      <c r="AG1123" s="115"/>
      <c r="AH1123" s="122"/>
      <c r="AI1123" s="122"/>
      <c r="AJ1123" s="122"/>
      <c r="AK1123" s="115"/>
      <c r="AL1123" s="115"/>
      <c r="AM1123" s="115"/>
      <c r="AN1123" s="115"/>
      <c r="AO1123" s="115"/>
      <c r="AP1123" s="115"/>
      <c r="AQ1123" s="115"/>
      <c r="AR1123" s="115"/>
      <c r="AS1123" s="115"/>
      <c r="AT1123" s="115"/>
      <c r="AU1123" s="115"/>
      <c r="AV1123" s="115"/>
      <c r="AW1123" s="115"/>
      <c r="AX1123" s="115"/>
      <c r="AY1123" s="26"/>
      <c r="AZ1123" s="15"/>
      <c r="BD1123" s="117"/>
      <c r="BE1123" s="116"/>
      <c r="BF1123" s="116"/>
      <c r="BG1123" s="116"/>
    </row>
    <row r="1124" spans="1:59" ht="19.5" x14ac:dyDescent="0.4">
      <c r="A1124" s="115"/>
      <c r="B1124" s="115"/>
      <c r="C1124" s="115"/>
      <c r="D1124" s="115"/>
      <c r="E1124" s="115"/>
      <c r="F1124" s="115"/>
      <c r="G1124" s="115"/>
      <c r="H1124" s="115"/>
      <c r="I1124" s="115"/>
      <c r="J1124" s="115"/>
      <c r="K1124" s="115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15"/>
      <c r="AA1124" s="115"/>
      <c r="AB1124" s="115"/>
      <c r="AC1124" s="115"/>
      <c r="AD1124" s="115"/>
      <c r="AE1124" s="115"/>
      <c r="AF1124" s="115"/>
      <c r="AG1124" s="115"/>
      <c r="AH1124" s="122"/>
      <c r="AI1124" s="122"/>
      <c r="AJ1124" s="122"/>
      <c r="AK1124" s="115"/>
      <c r="AL1124" s="115"/>
      <c r="AM1124" s="115"/>
      <c r="AN1124" s="115"/>
      <c r="AO1124" s="115"/>
      <c r="AP1124" s="115"/>
      <c r="AQ1124" s="115"/>
      <c r="AR1124" s="115"/>
      <c r="AS1124" s="115"/>
      <c r="AT1124" s="115"/>
      <c r="AU1124" s="115"/>
      <c r="AV1124" s="115"/>
      <c r="AW1124" s="115"/>
      <c r="AX1124" s="115"/>
      <c r="AY1124" s="26"/>
      <c r="AZ1124" s="15"/>
      <c r="BD1124" s="117"/>
      <c r="BE1124" s="116"/>
      <c r="BF1124" s="116"/>
      <c r="BG1124" s="116"/>
    </row>
    <row r="1125" spans="1:59" ht="19.5" x14ac:dyDescent="0.4">
      <c r="A1125" s="115"/>
      <c r="B1125" s="115"/>
      <c r="C1125" s="115"/>
      <c r="D1125" s="115"/>
      <c r="E1125" s="115"/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15"/>
      <c r="AC1125" s="115"/>
      <c r="AD1125" s="115"/>
      <c r="AE1125" s="115"/>
      <c r="AF1125" s="115"/>
      <c r="AG1125" s="115"/>
      <c r="AH1125" s="122"/>
      <c r="AI1125" s="122"/>
      <c r="AJ1125" s="122"/>
      <c r="AK1125" s="115"/>
      <c r="AL1125" s="115"/>
      <c r="AM1125" s="115"/>
      <c r="AN1125" s="115"/>
      <c r="AO1125" s="115"/>
      <c r="AP1125" s="115"/>
      <c r="AQ1125" s="115"/>
      <c r="AR1125" s="115"/>
      <c r="AS1125" s="115"/>
      <c r="AT1125" s="115"/>
      <c r="AU1125" s="115"/>
      <c r="AV1125" s="115"/>
      <c r="AW1125" s="115"/>
      <c r="AX1125" s="115"/>
      <c r="AY1125" s="26"/>
      <c r="AZ1125" s="15"/>
      <c r="BD1125" s="117"/>
      <c r="BE1125" s="116"/>
      <c r="BF1125" s="116"/>
      <c r="BG1125" s="116"/>
    </row>
    <row r="1126" spans="1:59" ht="19.5" x14ac:dyDescent="0.4">
      <c r="A1126" s="115"/>
      <c r="B1126" s="115"/>
      <c r="C1126" s="115"/>
      <c r="D1126" s="115"/>
      <c r="E1126" s="115"/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  <c r="AB1126" s="115"/>
      <c r="AC1126" s="115"/>
      <c r="AD1126" s="115"/>
      <c r="AE1126" s="115"/>
      <c r="AF1126" s="115"/>
      <c r="AG1126" s="115"/>
      <c r="AH1126" s="122"/>
      <c r="AI1126" s="122"/>
      <c r="AJ1126" s="122"/>
      <c r="AK1126" s="115"/>
      <c r="AL1126" s="115"/>
      <c r="AM1126" s="115"/>
      <c r="AN1126" s="115"/>
      <c r="AO1126" s="115"/>
      <c r="AP1126" s="115"/>
      <c r="AQ1126" s="115"/>
      <c r="AR1126" s="115"/>
      <c r="AS1126" s="115"/>
      <c r="AT1126" s="115"/>
      <c r="AU1126" s="115"/>
      <c r="AV1126" s="115"/>
      <c r="AW1126" s="115"/>
      <c r="AX1126" s="115"/>
      <c r="AY1126" s="26"/>
      <c r="AZ1126" s="15"/>
      <c r="BD1126" s="117"/>
      <c r="BE1126" s="116"/>
      <c r="BF1126" s="116"/>
      <c r="BG1126" s="116"/>
    </row>
    <row r="1127" spans="1:59" ht="19.5" x14ac:dyDescent="0.4">
      <c r="A1127" s="115"/>
      <c r="B1127" s="115"/>
      <c r="C1127" s="115"/>
      <c r="D1127" s="115"/>
      <c r="E1127" s="115"/>
      <c r="F1127" s="115"/>
      <c r="G1127" s="115"/>
      <c r="H1127" s="115"/>
      <c r="I1127" s="115"/>
      <c r="J1127" s="115"/>
      <c r="K1127" s="115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  <c r="AA1127" s="115"/>
      <c r="AB1127" s="115"/>
      <c r="AC1127" s="115"/>
      <c r="AD1127" s="115"/>
      <c r="AE1127" s="115"/>
      <c r="AF1127" s="115"/>
      <c r="AG1127" s="115"/>
      <c r="AH1127" s="122"/>
      <c r="AI1127" s="122"/>
      <c r="AJ1127" s="122"/>
      <c r="AK1127" s="115"/>
      <c r="AL1127" s="115"/>
      <c r="AM1127" s="115"/>
      <c r="AN1127" s="115"/>
      <c r="AO1127" s="115"/>
      <c r="AP1127" s="115"/>
      <c r="AQ1127" s="115"/>
      <c r="AR1127" s="115"/>
      <c r="AS1127" s="115"/>
      <c r="AT1127" s="115"/>
      <c r="AU1127" s="115"/>
      <c r="AV1127" s="115"/>
      <c r="AW1127" s="115"/>
      <c r="AX1127" s="115"/>
      <c r="AY1127" s="26"/>
      <c r="AZ1127" s="15"/>
      <c r="BD1127" s="117"/>
      <c r="BE1127" s="116"/>
      <c r="BF1127" s="116"/>
      <c r="BG1127" s="116"/>
    </row>
    <row r="1128" spans="1:59" ht="19.5" x14ac:dyDescent="0.4">
      <c r="A1128" s="115"/>
      <c r="B1128" s="115"/>
      <c r="C1128" s="115"/>
      <c r="D1128" s="115"/>
      <c r="E1128" s="115"/>
      <c r="F1128" s="115"/>
      <c r="G1128" s="115"/>
      <c r="H1128" s="115"/>
      <c r="I1128" s="115"/>
      <c r="J1128" s="115"/>
      <c r="K1128" s="115"/>
      <c r="L1128" s="115"/>
      <c r="M1128" s="115"/>
      <c r="N1128" s="115"/>
      <c r="O1128" s="115"/>
      <c r="P1128" s="115"/>
      <c r="Q1128" s="115"/>
      <c r="R1128" s="115"/>
      <c r="S1128" s="115"/>
      <c r="T1128" s="115"/>
      <c r="U1128" s="115"/>
      <c r="V1128" s="115"/>
      <c r="W1128" s="115"/>
      <c r="X1128" s="115"/>
      <c r="Y1128" s="115"/>
      <c r="Z1128" s="115"/>
      <c r="AA1128" s="115"/>
      <c r="AB1128" s="115"/>
      <c r="AC1128" s="115"/>
      <c r="AD1128" s="115"/>
      <c r="AE1128" s="115"/>
      <c r="AF1128" s="115"/>
      <c r="AG1128" s="115"/>
      <c r="AH1128" s="122"/>
      <c r="AI1128" s="122"/>
      <c r="AJ1128" s="122"/>
      <c r="AK1128" s="115"/>
      <c r="AL1128" s="115"/>
      <c r="AM1128" s="115"/>
      <c r="AN1128" s="115"/>
      <c r="AO1128" s="115"/>
      <c r="AP1128" s="115"/>
      <c r="AQ1128" s="115"/>
      <c r="AR1128" s="115"/>
      <c r="AS1128" s="115"/>
      <c r="AT1128" s="115"/>
      <c r="AU1128" s="115"/>
      <c r="AV1128" s="115"/>
      <c r="AW1128" s="115"/>
      <c r="AX1128" s="115"/>
      <c r="AY1128" s="17"/>
      <c r="AZ1128" s="15"/>
      <c r="BD1128" s="117"/>
      <c r="BE1128" s="116"/>
      <c r="BF1128" s="116"/>
      <c r="BG1128" s="116"/>
    </row>
    <row r="1129" spans="1:59" ht="19.5" x14ac:dyDescent="0.4">
      <c r="A1129" s="115"/>
      <c r="B1129" s="115"/>
      <c r="C1129" s="115"/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15"/>
      <c r="AC1129" s="115"/>
      <c r="AD1129" s="115"/>
      <c r="AE1129" s="115"/>
      <c r="AF1129" s="115"/>
      <c r="AG1129" s="115"/>
      <c r="AH1129" s="122"/>
      <c r="AI1129" s="122"/>
      <c r="AJ1129" s="122"/>
      <c r="AK1129" s="115"/>
      <c r="AL1129" s="115"/>
      <c r="AM1129" s="115"/>
      <c r="AN1129" s="115"/>
      <c r="AO1129" s="115"/>
      <c r="AP1129" s="115"/>
      <c r="AQ1129" s="115"/>
      <c r="AR1129" s="115"/>
      <c r="AS1129" s="115"/>
      <c r="AT1129" s="115"/>
      <c r="AU1129" s="115"/>
      <c r="AV1129" s="115"/>
      <c r="AW1129" s="115"/>
      <c r="AX1129" s="115"/>
      <c r="AY1129" s="26"/>
      <c r="AZ1129" s="15"/>
      <c r="BD1129" s="117"/>
      <c r="BE1129" s="116"/>
      <c r="BF1129" s="116"/>
      <c r="BG1129" s="116"/>
    </row>
    <row r="1130" spans="1:59" ht="19.5" x14ac:dyDescent="0.4">
      <c r="A1130" s="115"/>
      <c r="B1130" s="115"/>
      <c r="C1130" s="115"/>
      <c r="D1130" s="115"/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15"/>
      <c r="AD1130" s="115"/>
      <c r="AE1130" s="115"/>
      <c r="AF1130" s="115"/>
      <c r="AG1130" s="115"/>
      <c r="AH1130" s="122"/>
      <c r="AI1130" s="122"/>
      <c r="AJ1130" s="122"/>
      <c r="AK1130" s="115"/>
      <c r="AL1130" s="115"/>
      <c r="AM1130" s="115"/>
      <c r="AN1130" s="115"/>
      <c r="AO1130" s="115"/>
      <c r="AP1130" s="115"/>
      <c r="AQ1130" s="115"/>
      <c r="AR1130" s="115"/>
      <c r="AS1130" s="115"/>
      <c r="AT1130" s="115"/>
      <c r="AU1130" s="115"/>
      <c r="AV1130" s="115"/>
      <c r="AW1130" s="115"/>
      <c r="AX1130" s="115"/>
      <c r="AY1130" s="17"/>
      <c r="AZ1130" s="15"/>
      <c r="BD1130" s="117"/>
      <c r="BE1130" s="116"/>
      <c r="BF1130" s="116"/>
      <c r="BG1130" s="116"/>
    </row>
    <row r="1131" spans="1:59" ht="19.5" x14ac:dyDescent="0.4">
      <c r="A1131" s="115"/>
      <c r="B1131" s="115"/>
      <c r="C1131" s="115"/>
      <c r="D1131" s="115"/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15"/>
      <c r="AE1131" s="115"/>
      <c r="AF1131" s="115"/>
      <c r="AG1131" s="115"/>
      <c r="AH1131" s="122"/>
      <c r="AI1131" s="122"/>
      <c r="AJ1131" s="122"/>
      <c r="AK1131" s="115"/>
      <c r="AL1131" s="115"/>
      <c r="AM1131" s="115"/>
      <c r="AN1131" s="115"/>
      <c r="AO1131" s="115"/>
      <c r="AP1131" s="115"/>
      <c r="AQ1131" s="115"/>
      <c r="AR1131" s="115"/>
      <c r="AS1131" s="115"/>
      <c r="AT1131" s="115"/>
      <c r="AU1131" s="115"/>
      <c r="AV1131" s="115"/>
      <c r="AW1131" s="115"/>
      <c r="AX1131" s="115"/>
      <c r="AY1131" s="26"/>
      <c r="AZ1131" s="15"/>
      <c r="BD1131" s="117"/>
      <c r="BE1131" s="116"/>
      <c r="BF1131" s="116"/>
      <c r="BG1131" s="116"/>
    </row>
    <row r="1132" spans="1:59" ht="19.5" x14ac:dyDescent="0.4">
      <c r="A1132" s="115"/>
      <c r="B1132" s="115"/>
      <c r="C1132" s="115"/>
      <c r="D1132" s="115"/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15"/>
      <c r="AC1132" s="115"/>
      <c r="AD1132" s="115"/>
      <c r="AE1132" s="115"/>
      <c r="AF1132" s="115"/>
      <c r="AG1132" s="115"/>
      <c r="AH1132" s="122"/>
      <c r="AI1132" s="122"/>
      <c r="AJ1132" s="122"/>
      <c r="AK1132" s="115"/>
      <c r="AL1132" s="115"/>
      <c r="AM1132" s="115"/>
      <c r="AN1132" s="115"/>
      <c r="AO1132" s="115"/>
      <c r="AP1132" s="115"/>
      <c r="AQ1132" s="115"/>
      <c r="AR1132" s="115"/>
      <c r="AS1132" s="115"/>
      <c r="AT1132" s="115"/>
      <c r="AU1132" s="115"/>
      <c r="AV1132" s="115"/>
      <c r="AW1132" s="115"/>
      <c r="AX1132" s="115"/>
      <c r="AY1132" s="20"/>
      <c r="AZ1132" s="15"/>
      <c r="BD1132" s="117"/>
      <c r="BE1132" s="116"/>
      <c r="BF1132" s="116"/>
      <c r="BG1132" s="116"/>
    </row>
    <row r="1133" spans="1:59" ht="19.5" x14ac:dyDescent="0.4">
      <c r="A1133" s="115"/>
      <c r="B1133" s="115"/>
      <c r="C1133" s="115"/>
      <c r="D1133" s="115"/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15"/>
      <c r="AF1133" s="115"/>
      <c r="AG1133" s="115"/>
      <c r="AH1133" s="122"/>
      <c r="AI1133" s="122"/>
      <c r="AJ1133" s="122"/>
      <c r="AK1133" s="115"/>
      <c r="AL1133" s="115"/>
      <c r="AM1133" s="115"/>
      <c r="AN1133" s="115"/>
      <c r="AO1133" s="115"/>
      <c r="AP1133" s="115"/>
      <c r="AQ1133" s="115"/>
      <c r="AR1133" s="115"/>
      <c r="AS1133" s="115"/>
      <c r="AT1133" s="115"/>
      <c r="AU1133" s="115"/>
      <c r="AV1133" s="115"/>
      <c r="AW1133" s="115"/>
      <c r="AX1133" s="115"/>
      <c r="AY1133" s="20"/>
      <c r="AZ1133" s="15"/>
      <c r="BD1133" s="117"/>
      <c r="BE1133" s="116"/>
      <c r="BF1133" s="116"/>
      <c r="BG1133" s="116"/>
    </row>
    <row r="1134" spans="1:59" ht="19.5" x14ac:dyDescent="0.4">
      <c r="A1134" s="115"/>
      <c r="B1134" s="115"/>
      <c r="C1134" s="115"/>
      <c r="D1134" s="115"/>
      <c r="E1134" s="115"/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  <c r="AB1134" s="115"/>
      <c r="AC1134" s="115"/>
      <c r="AD1134" s="115"/>
      <c r="AE1134" s="115"/>
      <c r="AF1134" s="115"/>
      <c r="AG1134" s="115"/>
      <c r="AH1134" s="122"/>
      <c r="AI1134" s="122"/>
      <c r="AJ1134" s="122"/>
      <c r="AK1134" s="115"/>
      <c r="AL1134" s="115"/>
      <c r="AM1134" s="115"/>
      <c r="AN1134" s="115"/>
      <c r="AO1134" s="115"/>
      <c r="AP1134" s="115"/>
      <c r="AQ1134" s="115"/>
      <c r="AR1134" s="115"/>
      <c r="AS1134" s="115"/>
      <c r="AT1134" s="115"/>
      <c r="AU1134" s="115"/>
      <c r="AV1134" s="115"/>
      <c r="AW1134" s="115"/>
      <c r="AX1134" s="115"/>
      <c r="AY1134" s="20"/>
      <c r="AZ1134" s="15"/>
      <c r="BD1134" s="117"/>
      <c r="BE1134" s="116"/>
      <c r="BF1134" s="116"/>
      <c r="BG1134" s="116"/>
    </row>
    <row r="1135" spans="1:59" ht="19.5" x14ac:dyDescent="0.4">
      <c r="A1135" s="115"/>
      <c r="B1135" s="115"/>
      <c r="C1135" s="115"/>
      <c r="D1135" s="115"/>
      <c r="E1135" s="115"/>
      <c r="F1135" s="115"/>
      <c r="G1135" s="115"/>
      <c r="H1135" s="115"/>
      <c r="I1135" s="115"/>
      <c r="J1135" s="115"/>
      <c r="K1135" s="115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  <c r="AA1135" s="115"/>
      <c r="AB1135" s="115"/>
      <c r="AC1135" s="115"/>
      <c r="AD1135" s="115"/>
      <c r="AE1135" s="115"/>
      <c r="AF1135" s="115"/>
      <c r="AG1135" s="115"/>
      <c r="AH1135" s="122"/>
      <c r="AI1135" s="122"/>
      <c r="AJ1135" s="122"/>
      <c r="AK1135" s="115"/>
      <c r="AL1135" s="115"/>
      <c r="AM1135" s="115"/>
      <c r="AN1135" s="115"/>
      <c r="AO1135" s="115"/>
      <c r="AP1135" s="115"/>
      <c r="AQ1135" s="115"/>
      <c r="AR1135" s="115"/>
      <c r="AS1135" s="115"/>
      <c r="AT1135" s="115"/>
      <c r="AU1135" s="115"/>
      <c r="AV1135" s="115"/>
      <c r="AW1135" s="115"/>
      <c r="AX1135" s="115"/>
      <c r="AY1135" s="20"/>
      <c r="AZ1135" s="15"/>
      <c r="BD1135" s="117"/>
      <c r="BE1135" s="116"/>
      <c r="BF1135" s="116"/>
      <c r="BG1135" s="116"/>
    </row>
    <row r="1136" spans="1:59" ht="19.5" x14ac:dyDescent="0.4">
      <c r="A1136" s="115"/>
      <c r="B1136" s="115"/>
      <c r="C1136" s="115"/>
      <c r="D1136" s="115"/>
      <c r="E1136" s="115"/>
      <c r="F1136" s="115"/>
      <c r="G1136" s="115"/>
      <c r="H1136" s="115"/>
      <c r="I1136" s="115"/>
      <c r="J1136" s="115"/>
      <c r="K1136" s="115"/>
      <c r="L1136" s="115"/>
      <c r="M1136" s="115"/>
      <c r="N1136" s="115"/>
      <c r="O1136" s="115"/>
      <c r="P1136" s="115"/>
      <c r="Q1136" s="115"/>
      <c r="R1136" s="115"/>
      <c r="S1136" s="115"/>
      <c r="T1136" s="115"/>
      <c r="U1136" s="115"/>
      <c r="V1136" s="115"/>
      <c r="W1136" s="115"/>
      <c r="X1136" s="115"/>
      <c r="Y1136" s="115"/>
      <c r="Z1136" s="115"/>
      <c r="AA1136" s="115"/>
      <c r="AB1136" s="115"/>
      <c r="AC1136" s="115"/>
      <c r="AD1136" s="115"/>
      <c r="AE1136" s="115"/>
      <c r="AF1136" s="115"/>
      <c r="AG1136" s="115"/>
      <c r="AH1136" s="122"/>
      <c r="AI1136" s="122"/>
      <c r="AJ1136" s="122"/>
      <c r="AK1136" s="115"/>
      <c r="AL1136" s="115"/>
      <c r="AM1136" s="115"/>
      <c r="AN1136" s="115"/>
      <c r="AO1136" s="115"/>
      <c r="AP1136" s="115"/>
      <c r="AQ1136" s="115"/>
      <c r="AR1136" s="115"/>
      <c r="AS1136" s="115"/>
      <c r="AT1136" s="115"/>
      <c r="AU1136" s="115"/>
      <c r="AV1136" s="115"/>
      <c r="AW1136" s="115"/>
      <c r="AX1136" s="115"/>
      <c r="AY1136" s="25"/>
      <c r="AZ1136" s="15"/>
      <c r="BD1136" s="117"/>
      <c r="BE1136" s="116"/>
      <c r="BF1136" s="116"/>
      <c r="BG1136" s="116"/>
    </row>
    <row r="1137" spans="1:59" ht="19.5" x14ac:dyDescent="0.4">
      <c r="A1137" s="115"/>
      <c r="B1137" s="115"/>
      <c r="C1137" s="115"/>
      <c r="D1137" s="115"/>
      <c r="E1137" s="115"/>
      <c r="F1137" s="115"/>
      <c r="G1137" s="115"/>
      <c r="H1137" s="115"/>
      <c r="I1137" s="115"/>
      <c r="J1137" s="115"/>
      <c r="K1137" s="115"/>
      <c r="L1137" s="115"/>
      <c r="M1137" s="115"/>
      <c r="N1137" s="115"/>
      <c r="O1137" s="115"/>
      <c r="P1137" s="115"/>
      <c r="Q1137" s="115"/>
      <c r="R1137" s="115"/>
      <c r="S1137" s="115"/>
      <c r="T1137" s="115"/>
      <c r="U1137" s="115"/>
      <c r="V1137" s="115"/>
      <c r="W1137" s="115"/>
      <c r="X1137" s="115"/>
      <c r="Y1137" s="115"/>
      <c r="Z1137" s="115"/>
      <c r="AA1137" s="115"/>
      <c r="AB1137" s="115"/>
      <c r="AC1137" s="115"/>
      <c r="AD1137" s="115"/>
      <c r="AE1137" s="115"/>
      <c r="AF1137" s="115"/>
      <c r="AG1137" s="115"/>
      <c r="AH1137" s="122"/>
      <c r="AI1137" s="122"/>
      <c r="AJ1137" s="122"/>
      <c r="AK1137" s="115"/>
      <c r="AL1137" s="115"/>
      <c r="AM1137" s="115"/>
      <c r="AN1137" s="115"/>
      <c r="AO1137" s="115"/>
      <c r="AP1137" s="115"/>
      <c r="AQ1137" s="115"/>
      <c r="AR1137" s="115"/>
      <c r="AS1137" s="115"/>
      <c r="AT1137" s="115"/>
      <c r="AU1137" s="115"/>
      <c r="AV1137" s="115"/>
      <c r="AW1137" s="115"/>
      <c r="AX1137" s="115"/>
      <c r="AY1137" s="13"/>
      <c r="AZ1137" s="15"/>
      <c r="BD1137" s="117"/>
      <c r="BE1137" s="116"/>
      <c r="BF1137" s="116"/>
      <c r="BG1137" s="116"/>
    </row>
    <row r="1138" spans="1:59" ht="19.5" x14ac:dyDescent="0.4">
      <c r="AY1138" s="25"/>
      <c r="AZ1138" s="15"/>
      <c r="BD1138" s="117"/>
      <c r="BE1138" s="116"/>
      <c r="BF1138" s="116"/>
      <c r="BG1138" s="116"/>
    </row>
    <row r="1139" spans="1:59" ht="19.5" x14ac:dyDescent="0.4">
      <c r="AE1139" s="115"/>
      <c r="AF1139" s="115"/>
      <c r="AG1139" s="115"/>
      <c r="AH1139" s="122"/>
      <c r="AI1139" s="122"/>
      <c r="AJ1139" s="122"/>
      <c r="AK1139" s="115"/>
      <c r="AL1139" s="115"/>
      <c r="AM1139" s="115"/>
      <c r="AN1139" s="115"/>
      <c r="AO1139" s="115"/>
      <c r="AP1139" s="115"/>
      <c r="AQ1139" s="115"/>
      <c r="AR1139" s="115"/>
      <c r="AS1139" s="115"/>
      <c r="AT1139" s="115"/>
      <c r="AU1139" s="115"/>
      <c r="AV1139" s="115"/>
      <c r="AW1139" s="115"/>
      <c r="AX1139" s="115"/>
      <c r="AY1139" s="13"/>
      <c r="AZ1139" s="15"/>
      <c r="BD1139" s="117"/>
      <c r="BE1139" s="116"/>
      <c r="BF1139" s="116"/>
      <c r="BG1139" s="116"/>
    </row>
    <row r="1140" spans="1:59" ht="19.5" x14ac:dyDescent="0.4">
      <c r="D1140" s="115"/>
      <c r="E1140" s="115"/>
      <c r="F1140" s="115"/>
      <c r="G1140" s="115"/>
      <c r="H1140" s="115"/>
      <c r="I1140" s="115"/>
      <c r="J1140" s="115"/>
      <c r="K1140" s="115"/>
      <c r="L1140" s="115"/>
      <c r="M1140" s="115"/>
      <c r="N1140" s="115"/>
      <c r="O1140" s="115"/>
      <c r="P1140" s="115"/>
      <c r="Q1140" s="115"/>
      <c r="R1140" s="115"/>
      <c r="S1140" s="115"/>
      <c r="T1140" s="115"/>
      <c r="U1140" s="115"/>
      <c r="V1140" s="115"/>
      <c r="W1140" s="115"/>
      <c r="X1140" s="115"/>
      <c r="Y1140" s="115"/>
      <c r="Z1140" s="115"/>
      <c r="AA1140" s="115"/>
      <c r="AB1140" s="115"/>
      <c r="AC1140" s="115"/>
      <c r="AD1140" s="115"/>
      <c r="AE1140" s="115"/>
      <c r="AF1140" s="115"/>
      <c r="AG1140" s="115"/>
      <c r="AH1140" s="122"/>
      <c r="AI1140" s="122"/>
      <c r="AJ1140" s="122"/>
      <c r="AK1140" s="115"/>
      <c r="AL1140" s="115"/>
      <c r="AM1140" s="115"/>
      <c r="AN1140" s="115"/>
      <c r="AO1140" s="115"/>
      <c r="AP1140" s="115"/>
      <c r="AQ1140" s="115"/>
      <c r="AR1140" s="115"/>
      <c r="AS1140" s="115"/>
      <c r="AT1140" s="115"/>
      <c r="AU1140" s="115"/>
      <c r="AV1140" s="115"/>
      <c r="AW1140" s="115"/>
      <c r="AX1140" s="115"/>
      <c r="AY1140" s="25"/>
      <c r="AZ1140" s="15"/>
      <c r="BD1140" s="117"/>
      <c r="BE1140" s="116"/>
      <c r="BF1140" s="116"/>
      <c r="BG1140" s="116"/>
    </row>
    <row r="1141" spans="1:59" ht="19.5" x14ac:dyDescent="0.4">
      <c r="A1141" s="115"/>
      <c r="B1141" s="115"/>
      <c r="C1141" s="115"/>
      <c r="D1141" s="115"/>
      <c r="E1141" s="115"/>
      <c r="F1141" s="115"/>
      <c r="G1141" s="115"/>
      <c r="H1141" s="115"/>
      <c r="I1141" s="115"/>
      <c r="J1141" s="115"/>
      <c r="K1141" s="115"/>
      <c r="L1141" s="115"/>
      <c r="M1141" s="115"/>
      <c r="N1141" s="115"/>
      <c r="O1141" s="115"/>
      <c r="P1141" s="115"/>
      <c r="Q1141" s="115"/>
      <c r="R1141" s="115"/>
      <c r="S1141" s="115"/>
      <c r="T1141" s="115"/>
      <c r="U1141" s="115"/>
      <c r="V1141" s="115"/>
      <c r="W1141" s="115"/>
      <c r="X1141" s="115"/>
      <c r="Y1141" s="115"/>
      <c r="Z1141" s="115"/>
      <c r="AA1141" s="115"/>
      <c r="AB1141" s="115"/>
      <c r="AC1141" s="115"/>
      <c r="AD1141" s="115"/>
      <c r="AE1141" s="115"/>
      <c r="AF1141" s="115"/>
      <c r="AG1141" s="115"/>
      <c r="AH1141" s="122"/>
      <c r="AI1141" s="122"/>
      <c r="AJ1141" s="122"/>
      <c r="AK1141" s="115"/>
      <c r="AL1141" s="115"/>
      <c r="AM1141" s="115"/>
      <c r="AN1141" s="115"/>
      <c r="AO1141" s="115"/>
      <c r="AP1141" s="115"/>
      <c r="AQ1141" s="115"/>
      <c r="AR1141" s="115"/>
      <c r="AS1141" s="115"/>
      <c r="AT1141" s="115"/>
      <c r="AU1141" s="115"/>
      <c r="AV1141" s="115"/>
      <c r="AW1141" s="115"/>
      <c r="AX1141" s="115"/>
      <c r="AY1141" s="25"/>
      <c r="AZ1141" s="15"/>
      <c r="BD1141" s="117"/>
      <c r="BE1141" s="116"/>
      <c r="BF1141" s="116"/>
      <c r="BG1141" s="116"/>
    </row>
    <row r="1142" spans="1:59" ht="19.5" x14ac:dyDescent="0.4">
      <c r="A1142" s="115"/>
      <c r="B1142" s="115"/>
      <c r="C1142" s="115"/>
      <c r="D1142" s="115"/>
      <c r="E1142" s="115"/>
      <c r="F1142" s="115"/>
      <c r="G1142" s="115"/>
      <c r="H1142" s="115"/>
      <c r="I1142" s="115"/>
      <c r="J1142" s="115"/>
      <c r="K1142" s="115"/>
      <c r="L1142" s="115"/>
      <c r="M1142" s="115"/>
      <c r="N1142" s="115"/>
      <c r="O1142" s="115"/>
      <c r="P1142" s="115"/>
      <c r="Q1142" s="115"/>
      <c r="R1142" s="115"/>
      <c r="S1142" s="115"/>
      <c r="T1142" s="115"/>
      <c r="U1142" s="115"/>
      <c r="V1142" s="115"/>
      <c r="W1142" s="115"/>
      <c r="X1142" s="115"/>
      <c r="Y1142" s="115"/>
      <c r="Z1142" s="115"/>
      <c r="AA1142" s="115"/>
      <c r="AB1142" s="115"/>
      <c r="AC1142" s="115"/>
      <c r="AD1142" s="115"/>
      <c r="AE1142" s="115"/>
      <c r="AF1142" s="115"/>
      <c r="AG1142" s="115"/>
      <c r="AH1142" s="122"/>
      <c r="AI1142" s="122"/>
      <c r="AJ1142" s="122"/>
      <c r="AK1142" s="115"/>
      <c r="AL1142" s="115"/>
      <c r="AM1142" s="115"/>
      <c r="AN1142" s="115"/>
      <c r="AO1142" s="115"/>
      <c r="AP1142" s="115"/>
      <c r="AQ1142" s="115"/>
      <c r="AR1142" s="115"/>
      <c r="AS1142" s="115"/>
      <c r="AT1142" s="115"/>
      <c r="AU1142" s="115"/>
      <c r="AV1142" s="115"/>
      <c r="AW1142" s="115"/>
      <c r="AX1142" s="115"/>
      <c r="AY1142" s="13"/>
      <c r="AZ1142" s="15"/>
      <c r="BD1142" s="117"/>
      <c r="BE1142" s="116"/>
      <c r="BF1142" s="116"/>
      <c r="BG1142" s="116"/>
    </row>
    <row r="1143" spans="1:59" ht="19.5" x14ac:dyDescent="0.4">
      <c r="A1143" s="115"/>
      <c r="B1143" s="115"/>
      <c r="C1143" s="115"/>
      <c r="D1143" s="115"/>
      <c r="E1143" s="115"/>
      <c r="F1143" s="115"/>
      <c r="G1143" s="115"/>
      <c r="H1143" s="115"/>
      <c r="I1143" s="115"/>
      <c r="J1143" s="115"/>
      <c r="K1143" s="115"/>
      <c r="L1143" s="115"/>
      <c r="M1143" s="115"/>
      <c r="N1143" s="115"/>
      <c r="O1143" s="115"/>
      <c r="P1143" s="115"/>
      <c r="Q1143" s="115"/>
      <c r="R1143" s="115"/>
      <c r="S1143" s="115"/>
      <c r="T1143" s="115"/>
      <c r="U1143" s="115"/>
      <c r="V1143" s="115"/>
      <c r="W1143" s="115"/>
      <c r="X1143" s="115"/>
      <c r="Y1143" s="115"/>
      <c r="Z1143" s="115"/>
      <c r="AA1143" s="115"/>
      <c r="AB1143" s="115"/>
      <c r="AC1143" s="115"/>
      <c r="AD1143" s="115"/>
      <c r="AE1143" s="115"/>
      <c r="AF1143" s="115"/>
      <c r="AG1143" s="115"/>
      <c r="AH1143" s="122"/>
      <c r="AI1143" s="122"/>
      <c r="AJ1143" s="122"/>
      <c r="AK1143" s="115"/>
      <c r="AL1143" s="115"/>
      <c r="AM1143" s="115"/>
      <c r="AN1143" s="115"/>
      <c r="AO1143" s="115"/>
      <c r="AP1143" s="115"/>
      <c r="AQ1143" s="115"/>
      <c r="AR1143" s="115"/>
      <c r="AS1143" s="115"/>
      <c r="AT1143" s="115"/>
      <c r="AU1143" s="115"/>
      <c r="AV1143" s="115"/>
      <c r="AW1143" s="115"/>
      <c r="AX1143" s="115"/>
      <c r="AY1143" s="25"/>
      <c r="AZ1143" s="15"/>
      <c r="BD1143" s="117"/>
      <c r="BE1143" s="116"/>
      <c r="BF1143" s="116"/>
      <c r="BG1143" s="116"/>
    </row>
    <row r="1144" spans="1:59" ht="19.5" x14ac:dyDescent="0.4">
      <c r="A1144" s="115"/>
      <c r="B1144" s="115"/>
      <c r="C1144" s="115"/>
      <c r="D1144" s="115"/>
      <c r="E1144" s="115"/>
      <c r="F1144" s="115"/>
      <c r="G1144" s="115"/>
      <c r="H1144" s="115"/>
      <c r="I1144" s="115"/>
      <c r="J1144" s="115"/>
      <c r="K1144" s="115"/>
      <c r="L1144" s="115"/>
      <c r="M1144" s="115"/>
      <c r="N1144" s="115"/>
      <c r="O1144" s="115"/>
      <c r="P1144" s="115"/>
      <c r="Q1144" s="115"/>
      <c r="R1144" s="115"/>
      <c r="S1144" s="115"/>
      <c r="T1144" s="115"/>
      <c r="U1144" s="115"/>
      <c r="V1144" s="115"/>
      <c r="W1144" s="115"/>
      <c r="X1144" s="115"/>
      <c r="Y1144" s="115"/>
      <c r="Z1144" s="115"/>
      <c r="AA1144" s="115"/>
      <c r="AB1144" s="115"/>
      <c r="AC1144" s="115"/>
      <c r="AD1144" s="115"/>
      <c r="AE1144" s="115"/>
      <c r="AF1144" s="115"/>
      <c r="AG1144" s="115"/>
      <c r="AH1144" s="122"/>
      <c r="AI1144" s="122"/>
      <c r="AJ1144" s="122"/>
      <c r="AK1144" s="115"/>
      <c r="AL1144" s="115"/>
      <c r="AM1144" s="115"/>
      <c r="AN1144" s="115"/>
      <c r="AO1144" s="115"/>
      <c r="AP1144" s="115"/>
      <c r="AQ1144" s="115"/>
      <c r="AR1144" s="115"/>
      <c r="AS1144" s="115"/>
      <c r="AT1144" s="115"/>
      <c r="AU1144" s="115"/>
      <c r="AV1144" s="115"/>
      <c r="AW1144" s="115"/>
      <c r="AX1144" s="115"/>
      <c r="AY1144" s="13"/>
      <c r="AZ1144" s="15"/>
      <c r="BD1144" s="117"/>
      <c r="BE1144" s="116"/>
      <c r="BF1144" s="116"/>
      <c r="BG1144" s="116"/>
    </row>
    <row r="1145" spans="1:59" ht="19.5" x14ac:dyDescent="0.4">
      <c r="A1145" s="115"/>
      <c r="B1145" s="115"/>
      <c r="C1145" s="115"/>
      <c r="D1145" s="115"/>
      <c r="E1145" s="115"/>
      <c r="F1145" s="115"/>
      <c r="G1145" s="115"/>
      <c r="H1145" s="115"/>
      <c r="I1145" s="115"/>
      <c r="J1145" s="115"/>
      <c r="K1145" s="115"/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15"/>
      <c r="V1145" s="115"/>
      <c r="W1145" s="115"/>
      <c r="X1145" s="115"/>
      <c r="Y1145" s="115"/>
      <c r="Z1145" s="115"/>
      <c r="AA1145" s="115"/>
      <c r="AB1145" s="115"/>
      <c r="AC1145" s="115"/>
      <c r="AD1145" s="115"/>
      <c r="AE1145" s="115"/>
      <c r="AF1145" s="115"/>
      <c r="AG1145" s="115"/>
      <c r="AH1145" s="122"/>
      <c r="AI1145" s="122"/>
      <c r="AJ1145" s="122"/>
      <c r="AK1145" s="115"/>
      <c r="AL1145" s="115"/>
      <c r="AM1145" s="115"/>
      <c r="AN1145" s="115"/>
      <c r="AO1145" s="115"/>
      <c r="AP1145" s="115"/>
      <c r="AQ1145" s="115"/>
      <c r="AR1145" s="115"/>
      <c r="AS1145" s="115"/>
      <c r="AT1145" s="115"/>
      <c r="AU1145" s="115"/>
      <c r="AV1145" s="115"/>
      <c r="AW1145" s="115"/>
      <c r="AX1145" s="115"/>
      <c r="AY1145" s="25"/>
      <c r="AZ1145" s="15"/>
      <c r="BD1145" s="117"/>
      <c r="BE1145" s="116"/>
      <c r="BF1145" s="116"/>
      <c r="BG1145" s="116"/>
    </row>
    <row r="1146" spans="1:59" ht="19.5" x14ac:dyDescent="0.4">
      <c r="A1146" s="115"/>
      <c r="B1146" s="115"/>
      <c r="C1146" s="115"/>
      <c r="D1146" s="115"/>
      <c r="E1146" s="115"/>
      <c r="F1146" s="115"/>
      <c r="G1146" s="115"/>
      <c r="H1146" s="115"/>
      <c r="I1146" s="115"/>
      <c r="J1146" s="115"/>
      <c r="K1146" s="115"/>
      <c r="L1146" s="115"/>
      <c r="M1146" s="115"/>
      <c r="N1146" s="115"/>
      <c r="O1146" s="115"/>
      <c r="P1146" s="115"/>
      <c r="Q1146" s="115"/>
      <c r="R1146" s="115"/>
      <c r="S1146" s="115"/>
      <c r="T1146" s="115"/>
      <c r="U1146" s="115"/>
      <c r="V1146" s="115"/>
      <c r="W1146" s="115"/>
      <c r="X1146" s="115"/>
      <c r="Y1146" s="115"/>
      <c r="Z1146" s="115"/>
      <c r="AA1146" s="115"/>
      <c r="AB1146" s="115"/>
      <c r="AC1146" s="115"/>
      <c r="AD1146" s="115"/>
      <c r="AE1146" s="115"/>
      <c r="AF1146" s="115"/>
      <c r="AG1146" s="115"/>
      <c r="AH1146" s="122"/>
      <c r="AI1146" s="122"/>
      <c r="AJ1146" s="122"/>
      <c r="AK1146" s="115"/>
      <c r="AL1146" s="115"/>
      <c r="AM1146" s="115"/>
      <c r="AN1146" s="115"/>
      <c r="AO1146" s="115"/>
      <c r="AP1146" s="115"/>
      <c r="AQ1146" s="115"/>
      <c r="AR1146" s="115"/>
      <c r="AS1146" s="115"/>
      <c r="AT1146" s="115"/>
      <c r="AU1146" s="115"/>
      <c r="AV1146" s="115"/>
      <c r="AW1146" s="115"/>
      <c r="AX1146" s="115"/>
      <c r="AY1146" s="26"/>
      <c r="AZ1146" s="15"/>
      <c r="BD1146" s="117"/>
      <c r="BE1146" s="116"/>
      <c r="BF1146" s="116"/>
      <c r="BG1146" s="116"/>
    </row>
    <row r="1147" spans="1:59" ht="19.5" x14ac:dyDescent="0.4">
      <c r="A1147" s="115"/>
      <c r="B1147" s="115"/>
      <c r="C1147" s="115"/>
      <c r="D1147" s="115"/>
      <c r="E1147" s="115"/>
      <c r="F1147" s="115"/>
      <c r="G1147" s="115"/>
      <c r="H1147" s="115"/>
      <c r="I1147" s="115"/>
      <c r="J1147" s="115"/>
      <c r="K1147" s="115"/>
      <c r="L1147" s="115"/>
      <c r="M1147" s="115"/>
      <c r="N1147" s="115"/>
      <c r="O1147" s="115"/>
      <c r="P1147" s="115"/>
      <c r="Q1147" s="115"/>
      <c r="R1147" s="115"/>
      <c r="S1147" s="115"/>
      <c r="T1147" s="115"/>
      <c r="U1147" s="115"/>
      <c r="V1147" s="115"/>
      <c r="W1147" s="115"/>
      <c r="X1147" s="115"/>
      <c r="Y1147" s="115"/>
      <c r="Z1147" s="115"/>
      <c r="AA1147" s="115"/>
      <c r="AB1147" s="115"/>
      <c r="AC1147" s="115"/>
      <c r="AD1147" s="115"/>
      <c r="AE1147" s="115"/>
      <c r="AF1147" s="115"/>
      <c r="AG1147" s="115"/>
      <c r="AH1147" s="122"/>
      <c r="AI1147" s="122"/>
      <c r="AJ1147" s="122"/>
      <c r="AK1147" s="115"/>
      <c r="AL1147" s="115"/>
      <c r="AM1147" s="115"/>
      <c r="AN1147" s="115"/>
      <c r="AO1147" s="115"/>
      <c r="AP1147" s="115"/>
      <c r="AQ1147" s="115"/>
      <c r="AR1147" s="115"/>
      <c r="AS1147" s="115"/>
      <c r="AT1147" s="115"/>
      <c r="AU1147" s="115"/>
      <c r="AV1147" s="115"/>
      <c r="AW1147" s="115"/>
      <c r="AX1147" s="115"/>
      <c r="AY1147" s="17"/>
      <c r="AZ1147" s="13"/>
      <c r="BD1147" s="117"/>
      <c r="BE1147" s="116"/>
      <c r="BF1147" s="116"/>
      <c r="BG1147" s="116"/>
    </row>
    <row r="1148" spans="1:59" ht="19.5" x14ac:dyDescent="0.4">
      <c r="A1148" s="115"/>
      <c r="B1148" s="115"/>
      <c r="C1148" s="115"/>
      <c r="D1148" s="115"/>
      <c r="E1148" s="115"/>
      <c r="F1148" s="115"/>
      <c r="G1148" s="115"/>
      <c r="H1148" s="115"/>
      <c r="I1148" s="115"/>
      <c r="J1148" s="115"/>
      <c r="K1148" s="115"/>
      <c r="L1148" s="115"/>
      <c r="M1148" s="115"/>
      <c r="N1148" s="115"/>
      <c r="O1148" s="115"/>
      <c r="P1148" s="115"/>
      <c r="Q1148" s="115"/>
      <c r="R1148" s="115"/>
      <c r="S1148" s="115"/>
      <c r="T1148" s="115"/>
      <c r="U1148" s="115"/>
      <c r="V1148" s="115"/>
      <c r="W1148" s="115"/>
      <c r="X1148" s="115"/>
      <c r="Y1148" s="115"/>
      <c r="Z1148" s="115"/>
      <c r="AA1148" s="115"/>
      <c r="AB1148" s="115"/>
      <c r="AC1148" s="115"/>
      <c r="AD1148" s="115"/>
      <c r="AE1148" s="115"/>
      <c r="AF1148" s="115"/>
      <c r="AG1148" s="115"/>
      <c r="AH1148" s="122"/>
      <c r="AI1148" s="122"/>
      <c r="AJ1148" s="122"/>
      <c r="AK1148" s="115"/>
      <c r="AL1148" s="115"/>
      <c r="AM1148" s="115"/>
      <c r="AN1148" s="115"/>
      <c r="AO1148" s="115"/>
      <c r="AP1148" s="115"/>
      <c r="AQ1148" s="115"/>
      <c r="AR1148" s="115"/>
      <c r="AS1148" s="115"/>
      <c r="AT1148" s="115"/>
      <c r="AU1148" s="115"/>
      <c r="AV1148" s="115"/>
      <c r="AW1148" s="115"/>
      <c r="AX1148" s="115"/>
      <c r="AY1148" s="26"/>
      <c r="AZ1148" s="13"/>
      <c r="BD1148" s="117"/>
      <c r="BE1148" s="116"/>
      <c r="BF1148" s="116"/>
      <c r="BG1148" s="116"/>
    </row>
    <row r="1149" spans="1:59" ht="19.5" x14ac:dyDescent="0.4">
      <c r="A1149" s="115"/>
      <c r="B1149" s="115"/>
      <c r="C1149" s="115"/>
      <c r="D1149" s="115"/>
      <c r="E1149" s="115"/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15"/>
      <c r="AC1149" s="115"/>
      <c r="AD1149" s="115"/>
      <c r="AE1149" s="115"/>
      <c r="AF1149" s="115"/>
      <c r="AG1149" s="115"/>
      <c r="AH1149" s="122"/>
      <c r="AI1149" s="122"/>
      <c r="AJ1149" s="122"/>
      <c r="AK1149" s="115"/>
      <c r="AL1149" s="115"/>
      <c r="AM1149" s="115"/>
      <c r="AN1149" s="115"/>
      <c r="AO1149" s="115"/>
      <c r="AP1149" s="115"/>
      <c r="AQ1149" s="115"/>
      <c r="AR1149" s="115"/>
      <c r="AS1149" s="115"/>
      <c r="AT1149" s="115"/>
      <c r="AU1149" s="115"/>
      <c r="AV1149" s="115"/>
      <c r="AW1149" s="115"/>
      <c r="AX1149" s="115"/>
      <c r="AY1149" s="17"/>
      <c r="AZ1149" s="13"/>
      <c r="BD1149" s="117"/>
      <c r="BE1149" s="116"/>
      <c r="BF1149" s="116"/>
      <c r="BG1149" s="116"/>
    </row>
    <row r="1150" spans="1:59" ht="19.5" x14ac:dyDescent="0.4">
      <c r="A1150" s="115"/>
      <c r="B1150" s="115"/>
      <c r="C1150" s="115"/>
      <c r="D1150" s="115"/>
      <c r="E1150" s="115"/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15"/>
      <c r="AC1150" s="115"/>
      <c r="AD1150" s="115"/>
      <c r="AE1150" s="115"/>
      <c r="AF1150" s="115"/>
      <c r="AG1150" s="115"/>
      <c r="AH1150" s="122"/>
      <c r="AI1150" s="122"/>
      <c r="AJ1150" s="122"/>
      <c r="AK1150" s="115"/>
      <c r="AL1150" s="115"/>
      <c r="AM1150" s="115"/>
      <c r="AN1150" s="115"/>
      <c r="AO1150" s="115"/>
      <c r="AP1150" s="115"/>
      <c r="AQ1150" s="115"/>
      <c r="AR1150" s="115"/>
      <c r="AS1150" s="115"/>
      <c r="AT1150" s="115"/>
      <c r="AU1150" s="115"/>
      <c r="AV1150" s="115"/>
      <c r="AW1150" s="115"/>
      <c r="AX1150" s="115"/>
      <c r="AY1150" s="26"/>
      <c r="AZ1150" s="15"/>
      <c r="BD1150" s="117"/>
      <c r="BE1150" s="116"/>
      <c r="BF1150" s="116"/>
      <c r="BG1150" s="116"/>
    </row>
    <row r="1151" spans="1:59" ht="19.5" x14ac:dyDescent="0.4">
      <c r="A1151" s="115"/>
      <c r="B1151" s="115"/>
      <c r="C1151" s="115"/>
      <c r="D1151" s="115"/>
      <c r="E1151" s="115"/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15"/>
      <c r="AC1151" s="115"/>
      <c r="AD1151" s="115"/>
      <c r="AE1151" s="115"/>
      <c r="AF1151" s="115"/>
      <c r="AG1151" s="115"/>
      <c r="AH1151" s="122"/>
      <c r="AI1151" s="122"/>
      <c r="AJ1151" s="122"/>
      <c r="AK1151" s="115"/>
      <c r="AL1151" s="115"/>
      <c r="AM1151" s="115"/>
      <c r="AN1151" s="115"/>
      <c r="AO1151" s="115"/>
      <c r="AP1151" s="115"/>
      <c r="AQ1151" s="115"/>
      <c r="AR1151" s="115"/>
      <c r="AS1151" s="115"/>
      <c r="AT1151" s="115"/>
      <c r="AU1151" s="115"/>
      <c r="AV1151" s="115"/>
      <c r="AW1151" s="115"/>
      <c r="AX1151" s="115"/>
      <c r="AY1151" s="17"/>
      <c r="AZ1151" s="15"/>
      <c r="BD1151" s="117"/>
      <c r="BE1151" s="116"/>
      <c r="BF1151" s="116"/>
      <c r="BG1151" s="116"/>
    </row>
    <row r="1152" spans="1:59" ht="19.5" x14ac:dyDescent="0.4">
      <c r="AY1152" s="26"/>
      <c r="AZ1152" s="105"/>
      <c r="BD1152" s="117"/>
      <c r="BE1152" s="116"/>
      <c r="BF1152" s="116"/>
      <c r="BG1152" s="116"/>
    </row>
    <row r="1153" spans="1:59" ht="19.5" x14ac:dyDescent="0.4">
      <c r="AE1153" s="115"/>
      <c r="AF1153" s="115"/>
      <c r="AG1153" s="115"/>
      <c r="AH1153" s="122"/>
      <c r="AI1153" s="122"/>
      <c r="AJ1153" s="122"/>
      <c r="AK1153" s="115"/>
      <c r="AL1153" s="115"/>
      <c r="AM1153" s="115"/>
      <c r="AN1153" s="115"/>
      <c r="AO1153" s="115"/>
      <c r="AP1153" s="115"/>
      <c r="AQ1153" s="115"/>
      <c r="AR1153" s="115"/>
      <c r="AS1153" s="115"/>
      <c r="AT1153" s="115"/>
      <c r="AU1153" s="115"/>
      <c r="AV1153" s="115"/>
      <c r="AW1153" s="115"/>
      <c r="AX1153" s="115"/>
      <c r="AY1153" s="17"/>
      <c r="AZ1153" s="15"/>
      <c r="BD1153" s="117"/>
      <c r="BE1153" s="116"/>
      <c r="BF1153" s="116"/>
      <c r="BG1153" s="116"/>
    </row>
    <row r="1154" spans="1:59" ht="19.5" x14ac:dyDescent="0.4">
      <c r="AB1154" s="115"/>
      <c r="AC1154" s="115"/>
      <c r="AD1154" s="115"/>
      <c r="AE1154" s="115"/>
      <c r="AF1154" s="115"/>
      <c r="AG1154" s="115"/>
      <c r="AH1154" s="122"/>
      <c r="AI1154" s="122"/>
      <c r="AJ1154" s="122"/>
      <c r="AK1154" s="115"/>
      <c r="AL1154" s="115"/>
      <c r="AM1154" s="115"/>
      <c r="AN1154" s="115"/>
      <c r="AO1154" s="115"/>
      <c r="AP1154" s="115"/>
      <c r="AQ1154" s="115"/>
      <c r="AR1154" s="115"/>
      <c r="AS1154" s="115"/>
      <c r="AT1154" s="115"/>
      <c r="AU1154" s="115"/>
      <c r="AV1154" s="115"/>
      <c r="AW1154" s="115"/>
      <c r="AX1154" s="115"/>
      <c r="AY1154" s="26"/>
      <c r="AZ1154" s="15"/>
      <c r="BD1154" s="117"/>
      <c r="BE1154" s="116"/>
      <c r="BF1154" s="116"/>
      <c r="BG1154" s="116"/>
    </row>
    <row r="1155" spans="1:59" ht="19.5" x14ac:dyDescent="0.4">
      <c r="AB1155" s="115"/>
      <c r="AC1155" s="115"/>
      <c r="AD1155" s="115"/>
      <c r="AE1155" s="115"/>
      <c r="AF1155" s="115"/>
      <c r="AG1155" s="115"/>
      <c r="AH1155" s="122"/>
      <c r="AI1155" s="122"/>
      <c r="AJ1155" s="122"/>
      <c r="AK1155" s="115"/>
      <c r="AL1155" s="115"/>
      <c r="AM1155" s="115"/>
      <c r="AN1155" s="115"/>
      <c r="AO1155" s="115"/>
      <c r="AP1155" s="115"/>
      <c r="AQ1155" s="115"/>
      <c r="AR1155" s="115"/>
      <c r="AS1155" s="115"/>
      <c r="AT1155" s="115"/>
      <c r="AU1155" s="115"/>
      <c r="AV1155" s="115"/>
      <c r="AW1155" s="115"/>
      <c r="AX1155" s="115"/>
      <c r="AY1155" s="17"/>
      <c r="AZ1155" s="15"/>
      <c r="BD1155" s="117"/>
      <c r="BE1155" s="116"/>
      <c r="BF1155" s="116"/>
      <c r="BG1155" s="116"/>
    </row>
    <row r="1156" spans="1:59" ht="19.5" x14ac:dyDescent="0.4">
      <c r="E1156" s="115"/>
      <c r="F1156" s="115"/>
      <c r="G1156" s="115"/>
      <c r="H1156" s="115"/>
      <c r="I1156" s="115"/>
      <c r="J1156" s="115"/>
      <c r="K1156" s="115"/>
      <c r="L1156" s="115"/>
      <c r="M1156" s="115"/>
      <c r="N1156" s="115"/>
      <c r="O1156" s="115"/>
      <c r="P1156" s="115"/>
      <c r="Q1156" s="115"/>
      <c r="R1156" s="115"/>
      <c r="S1156" s="115"/>
      <c r="T1156" s="115"/>
      <c r="U1156" s="115"/>
      <c r="V1156" s="115"/>
      <c r="W1156" s="115"/>
      <c r="X1156" s="115"/>
      <c r="Y1156" s="115"/>
      <c r="Z1156" s="115"/>
      <c r="AA1156" s="115"/>
      <c r="AB1156" s="115"/>
      <c r="AC1156" s="115"/>
      <c r="AD1156" s="115"/>
      <c r="AE1156" s="115"/>
      <c r="AF1156" s="115"/>
      <c r="AG1156" s="115"/>
      <c r="AH1156" s="122"/>
      <c r="AI1156" s="122"/>
      <c r="AJ1156" s="122"/>
      <c r="AK1156" s="115"/>
      <c r="AL1156" s="115"/>
      <c r="AM1156" s="115"/>
      <c r="AN1156" s="115"/>
      <c r="AO1156" s="115"/>
      <c r="AP1156" s="115"/>
      <c r="AQ1156" s="115"/>
      <c r="AR1156" s="115"/>
      <c r="AS1156" s="115"/>
      <c r="AT1156" s="115"/>
      <c r="AU1156" s="115"/>
      <c r="AV1156" s="115"/>
      <c r="AW1156" s="115"/>
      <c r="AX1156" s="115"/>
      <c r="AY1156" s="26"/>
      <c r="AZ1156" s="15"/>
      <c r="BD1156" s="117"/>
      <c r="BE1156" s="116"/>
      <c r="BF1156" s="116"/>
      <c r="BG1156" s="116"/>
    </row>
    <row r="1157" spans="1:59" ht="19.5" x14ac:dyDescent="0.4">
      <c r="E1157" s="115"/>
      <c r="F1157" s="115"/>
      <c r="G1157" s="115"/>
      <c r="H1157" s="115"/>
      <c r="I1157" s="115"/>
      <c r="J1157" s="115"/>
      <c r="K1157" s="11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  <c r="AA1157" s="115"/>
      <c r="AB1157" s="115"/>
      <c r="AC1157" s="115"/>
      <c r="AD1157" s="115"/>
      <c r="AE1157" s="115"/>
      <c r="AF1157" s="115"/>
      <c r="AG1157" s="115"/>
      <c r="AH1157" s="122"/>
      <c r="AI1157" s="122"/>
      <c r="AJ1157" s="122"/>
      <c r="AK1157" s="115"/>
      <c r="AL1157" s="115"/>
      <c r="AM1157" s="115"/>
      <c r="AN1157" s="115"/>
      <c r="AO1157" s="115"/>
      <c r="AP1157" s="115"/>
      <c r="AQ1157" s="115"/>
      <c r="AR1157" s="115"/>
      <c r="AS1157" s="115"/>
      <c r="AT1157" s="115"/>
      <c r="AU1157" s="115"/>
      <c r="AV1157" s="115"/>
      <c r="AW1157" s="115"/>
      <c r="AX1157" s="115"/>
      <c r="AY1157" s="17"/>
      <c r="AZ1157" s="15"/>
      <c r="BD1157" s="117"/>
      <c r="BE1157" s="116"/>
      <c r="BF1157" s="116"/>
      <c r="BG1157" s="116"/>
    </row>
    <row r="1158" spans="1:59" ht="19.5" x14ac:dyDescent="0.4">
      <c r="A1158" s="115"/>
      <c r="B1158" s="115"/>
      <c r="C1158" s="115"/>
      <c r="D1158" s="115"/>
      <c r="E1158" s="115"/>
      <c r="F1158" s="115"/>
      <c r="G1158" s="115"/>
      <c r="H1158" s="115"/>
      <c r="I1158" s="115"/>
      <c r="J1158" s="115"/>
      <c r="K1158" s="115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  <c r="AA1158" s="115"/>
      <c r="AB1158" s="115"/>
      <c r="AC1158" s="115"/>
      <c r="AD1158" s="115"/>
      <c r="AE1158" s="115"/>
      <c r="AF1158" s="115"/>
      <c r="AG1158" s="115"/>
      <c r="AH1158" s="122"/>
      <c r="AI1158" s="122"/>
      <c r="AJ1158" s="122"/>
      <c r="AK1158" s="115"/>
      <c r="AL1158" s="115"/>
      <c r="AM1158" s="115"/>
      <c r="AN1158" s="115"/>
      <c r="AO1158" s="115"/>
      <c r="AP1158" s="115"/>
      <c r="AQ1158" s="115"/>
      <c r="AR1158" s="115"/>
      <c r="AS1158" s="115"/>
      <c r="AT1158" s="115"/>
      <c r="AU1158" s="115"/>
      <c r="AV1158" s="115"/>
      <c r="AW1158" s="115"/>
      <c r="AX1158" s="115"/>
      <c r="AY1158" s="26"/>
      <c r="AZ1158" s="15"/>
      <c r="BD1158" s="117"/>
      <c r="BE1158" s="116"/>
      <c r="BF1158" s="116"/>
      <c r="BG1158" s="116"/>
    </row>
    <row r="1159" spans="1:59" ht="19.5" x14ac:dyDescent="0.4">
      <c r="A1159" s="115"/>
      <c r="B1159" s="115"/>
      <c r="C1159" s="115"/>
      <c r="D1159" s="115"/>
      <c r="E1159" s="115"/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15"/>
      <c r="AB1159" s="115"/>
      <c r="AC1159" s="115"/>
      <c r="AD1159" s="115"/>
      <c r="AE1159" s="115"/>
      <c r="AF1159" s="115"/>
      <c r="AG1159" s="115"/>
      <c r="AH1159" s="122"/>
      <c r="AI1159" s="122"/>
      <c r="AJ1159" s="122"/>
      <c r="AK1159" s="115"/>
      <c r="AL1159" s="115"/>
      <c r="AM1159" s="115"/>
      <c r="AN1159" s="115"/>
      <c r="AO1159" s="115"/>
      <c r="AP1159" s="115"/>
      <c r="AQ1159" s="115"/>
      <c r="AR1159" s="115"/>
      <c r="AS1159" s="115"/>
      <c r="AT1159" s="115"/>
      <c r="AU1159" s="115"/>
      <c r="AV1159" s="115"/>
      <c r="AW1159" s="115"/>
      <c r="AX1159" s="115"/>
      <c r="AY1159" s="26"/>
      <c r="AZ1159" s="15"/>
      <c r="BD1159" s="117"/>
      <c r="BE1159" s="116"/>
      <c r="BF1159" s="116"/>
      <c r="BG1159" s="116"/>
    </row>
    <row r="1160" spans="1:59" ht="19.5" x14ac:dyDescent="0.4">
      <c r="A1160" s="115"/>
      <c r="B1160" s="115"/>
      <c r="C1160" s="115"/>
      <c r="D1160" s="115"/>
      <c r="E1160" s="115"/>
      <c r="F1160" s="115"/>
      <c r="G1160" s="115"/>
      <c r="H1160" s="115"/>
      <c r="I1160" s="115"/>
      <c r="J1160" s="115"/>
      <c r="K1160" s="115"/>
      <c r="L1160" s="115"/>
      <c r="M1160" s="115"/>
      <c r="N1160" s="115"/>
      <c r="O1160" s="115"/>
      <c r="P1160" s="115"/>
      <c r="Q1160" s="115"/>
      <c r="R1160" s="115"/>
      <c r="S1160" s="115"/>
      <c r="T1160" s="115"/>
      <c r="U1160" s="115"/>
      <c r="V1160" s="115"/>
      <c r="W1160" s="115"/>
      <c r="X1160" s="115"/>
      <c r="Y1160" s="115"/>
      <c r="Z1160" s="115"/>
      <c r="AA1160" s="115"/>
      <c r="AB1160" s="115"/>
      <c r="AC1160" s="115"/>
      <c r="AD1160" s="115"/>
      <c r="AE1160" s="115"/>
      <c r="AF1160" s="115"/>
      <c r="AG1160" s="115"/>
      <c r="AH1160" s="122"/>
      <c r="AI1160" s="122"/>
      <c r="AJ1160" s="122"/>
      <c r="AK1160" s="115"/>
      <c r="AL1160" s="115"/>
      <c r="AM1160" s="115"/>
      <c r="AN1160" s="115"/>
      <c r="AO1160" s="115"/>
      <c r="AP1160" s="115"/>
      <c r="AQ1160" s="115"/>
      <c r="AR1160" s="115"/>
      <c r="AS1160" s="115"/>
      <c r="AT1160" s="115"/>
      <c r="AU1160" s="115"/>
      <c r="AV1160" s="115"/>
      <c r="AW1160" s="115"/>
      <c r="AX1160" s="115"/>
      <c r="AY1160" s="17"/>
      <c r="AZ1160" s="15"/>
      <c r="BD1160" s="117"/>
      <c r="BE1160" s="116"/>
      <c r="BF1160" s="116"/>
      <c r="BG1160" s="116"/>
    </row>
    <row r="1161" spans="1:59" ht="19.5" x14ac:dyDescent="0.4">
      <c r="A1161" s="115"/>
      <c r="B1161" s="115"/>
      <c r="C1161" s="115"/>
      <c r="D1161" s="115"/>
      <c r="E1161" s="115"/>
      <c r="F1161" s="115"/>
      <c r="G1161" s="115"/>
      <c r="H1161" s="115"/>
      <c r="I1161" s="115"/>
      <c r="J1161" s="115"/>
      <c r="K1161" s="115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  <c r="AA1161" s="115"/>
      <c r="AB1161" s="115"/>
      <c r="AC1161" s="115"/>
      <c r="AD1161" s="115"/>
      <c r="AE1161" s="115"/>
      <c r="AF1161" s="115"/>
      <c r="AG1161" s="115"/>
      <c r="AH1161" s="122"/>
      <c r="AI1161" s="122"/>
      <c r="AJ1161" s="122"/>
      <c r="AK1161" s="115"/>
      <c r="AL1161" s="115"/>
      <c r="AM1161" s="115"/>
      <c r="AN1161" s="115"/>
      <c r="AO1161" s="115"/>
      <c r="AP1161" s="115"/>
      <c r="AQ1161" s="115"/>
      <c r="AR1161" s="115"/>
      <c r="AS1161" s="115"/>
      <c r="AT1161" s="115"/>
      <c r="AU1161" s="115"/>
      <c r="AV1161" s="115"/>
      <c r="AW1161" s="115"/>
      <c r="AX1161" s="115"/>
      <c r="AY1161" s="26"/>
      <c r="AZ1161" s="15"/>
      <c r="BD1161" s="117"/>
      <c r="BE1161" s="116"/>
      <c r="BF1161" s="116"/>
      <c r="BG1161" s="116"/>
    </row>
    <row r="1162" spans="1:59" ht="19.5" x14ac:dyDescent="0.4">
      <c r="A1162" s="115"/>
      <c r="B1162" s="115"/>
      <c r="C1162" s="115"/>
      <c r="D1162" s="115"/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15"/>
      <c r="AC1162" s="115"/>
      <c r="AD1162" s="115"/>
      <c r="AE1162" s="115"/>
      <c r="AF1162" s="115"/>
      <c r="AG1162" s="115"/>
      <c r="AH1162" s="122"/>
      <c r="AI1162" s="122"/>
      <c r="AJ1162" s="122"/>
      <c r="AK1162" s="115"/>
      <c r="AL1162" s="115"/>
      <c r="AM1162" s="115"/>
      <c r="AN1162" s="115"/>
      <c r="AO1162" s="115"/>
      <c r="AP1162" s="115"/>
      <c r="AQ1162" s="115"/>
      <c r="AR1162" s="115"/>
      <c r="AS1162" s="115"/>
      <c r="AT1162" s="115"/>
      <c r="AU1162" s="115"/>
      <c r="AV1162" s="115"/>
      <c r="AW1162" s="115"/>
      <c r="AX1162" s="115"/>
      <c r="AY1162" s="17"/>
      <c r="AZ1162" s="15"/>
      <c r="BD1162" s="117"/>
      <c r="BE1162" s="116"/>
      <c r="BF1162" s="116"/>
      <c r="BG1162" s="116"/>
    </row>
    <row r="1163" spans="1:59" ht="19.5" x14ac:dyDescent="0.4">
      <c r="AY1163" s="26"/>
      <c r="AZ1163" s="15"/>
      <c r="BD1163" s="117"/>
      <c r="BE1163" s="116"/>
      <c r="BF1163" s="116"/>
      <c r="BG1163" s="116"/>
    </row>
    <row r="1164" spans="1:59" ht="19.5" x14ac:dyDescent="0.4">
      <c r="AE1164" s="115"/>
      <c r="AF1164" s="115"/>
      <c r="AG1164" s="115"/>
      <c r="AH1164" s="122"/>
      <c r="AI1164" s="122"/>
      <c r="AJ1164" s="122"/>
      <c r="AK1164" s="115"/>
      <c r="AL1164" s="115"/>
      <c r="AM1164" s="115"/>
      <c r="AN1164" s="115"/>
      <c r="AO1164" s="115"/>
      <c r="AP1164" s="115"/>
      <c r="AQ1164" s="115"/>
      <c r="AR1164" s="115"/>
      <c r="AS1164" s="115"/>
      <c r="AT1164" s="115"/>
      <c r="AU1164" s="115"/>
      <c r="AV1164" s="115"/>
      <c r="AW1164" s="115"/>
      <c r="AX1164" s="115"/>
      <c r="AY1164" s="17"/>
      <c r="AZ1164" s="15"/>
      <c r="BD1164" s="117"/>
      <c r="BE1164" s="116"/>
      <c r="BF1164" s="116"/>
      <c r="BG1164" s="116"/>
    </row>
    <row r="1165" spans="1:59" ht="19.5" x14ac:dyDescent="0.4">
      <c r="AY1165" s="26"/>
      <c r="AZ1165" s="15"/>
      <c r="BD1165" s="117"/>
      <c r="BE1165" s="116"/>
      <c r="BF1165" s="116"/>
      <c r="BG1165" s="116"/>
    </row>
    <row r="1166" spans="1:59" ht="19.5" x14ac:dyDescent="0.4">
      <c r="AE1166" s="115"/>
      <c r="AF1166" s="115"/>
      <c r="AG1166" s="115"/>
      <c r="AH1166" s="122"/>
      <c r="AI1166" s="122"/>
      <c r="AJ1166" s="122"/>
      <c r="AK1166" s="115"/>
      <c r="AL1166" s="115"/>
      <c r="AM1166" s="115"/>
      <c r="AN1166" s="115"/>
      <c r="AO1166" s="115"/>
      <c r="AP1166" s="115"/>
      <c r="AQ1166" s="115"/>
      <c r="AR1166" s="115"/>
      <c r="AS1166" s="115"/>
      <c r="AT1166" s="115"/>
      <c r="AU1166" s="115"/>
      <c r="AV1166" s="115"/>
      <c r="AW1166" s="115"/>
      <c r="AX1166" s="115"/>
      <c r="AY1166" s="17"/>
      <c r="AZ1166" s="15"/>
      <c r="BD1166" s="117"/>
      <c r="BE1166" s="116"/>
      <c r="BF1166" s="116"/>
      <c r="BG1166" s="116"/>
    </row>
    <row r="1167" spans="1:59" ht="19.5" x14ac:dyDescent="0.4">
      <c r="AY1167" s="26"/>
      <c r="AZ1167" s="15"/>
      <c r="BD1167" s="117"/>
      <c r="BE1167" s="116"/>
      <c r="BF1167" s="116"/>
      <c r="BG1167" s="116"/>
    </row>
    <row r="1168" spans="1:59" ht="19.5" x14ac:dyDescent="0.4">
      <c r="AE1168" s="115"/>
      <c r="AF1168" s="115"/>
      <c r="AG1168" s="115"/>
      <c r="AH1168" s="122"/>
      <c r="AI1168" s="122"/>
      <c r="AJ1168" s="122"/>
      <c r="AK1168" s="115"/>
      <c r="AL1168" s="115"/>
      <c r="AM1168" s="115"/>
      <c r="AN1168" s="115"/>
      <c r="AO1168" s="115"/>
      <c r="AP1168" s="115"/>
      <c r="AQ1168" s="115"/>
      <c r="AR1168" s="115"/>
      <c r="AS1168" s="115"/>
      <c r="AT1168" s="115"/>
      <c r="AU1168" s="115"/>
      <c r="AV1168" s="115"/>
      <c r="AW1168" s="115"/>
      <c r="AX1168" s="115"/>
      <c r="AY1168" s="17"/>
      <c r="AZ1168" s="15"/>
      <c r="BD1168" s="117"/>
      <c r="BE1168" s="116"/>
      <c r="BF1168" s="116"/>
      <c r="BG1168" s="116"/>
    </row>
    <row r="1169" spans="2:59" ht="19.5" x14ac:dyDescent="0.4">
      <c r="B1169" s="115"/>
      <c r="C1169" s="115"/>
      <c r="D1169" s="115"/>
      <c r="E1169" s="115"/>
      <c r="F1169" s="115"/>
      <c r="G1169" s="115"/>
      <c r="H1169" s="115"/>
      <c r="I1169" s="115"/>
      <c r="J1169" s="115"/>
      <c r="K1169" s="115"/>
      <c r="L1169" s="115"/>
      <c r="M1169" s="115"/>
      <c r="N1169" s="115"/>
      <c r="O1169" s="115"/>
      <c r="P1169" s="115"/>
      <c r="Q1169" s="115"/>
      <c r="R1169" s="115"/>
      <c r="S1169" s="115"/>
      <c r="T1169" s="115"/>
      <c r="U1169" s="115"/>
      <c r="V1169" s="115"/>
      <c r="W1169" s="115"/>
      <c r="X1169" s="115"/>
      <c r="Y1169" s="115"/>
      <c r="Z1169" s="115"/>
      <c r="AA1169" s="115"/>
      <c r="AB1169" s="115"/>
      <c r="AC1169" s="115"/>
      <c r="AD1169" s="115"/>
      <c r="AE1169" s="115"/>
      <c r="AF1169" s="115"/>
      <c r="AG1169" s="115"/>
      <c r="AH1169" s="122"/>
      <c r="AI1169" s="122"/>
      <c r="AJ1169" s="122"/>
      <c r="AK1169" s="115"/>
      <c r="AL1169" s="115"/>
      <c r="AM1169" s="115"/>
      <c r="AN1169" s="115"/>
      <c r="AO1169" s="115"/>
      <c r="AP1169" s="115"/>
      <c r="AQ1169" s="115"/>
      <c r="AR1169" s="115"/>
      <c r="AS1169" s="115"/>
      <c r="AT1169" s="115"/>
      <c r="AU1169" s="115"/>
      <c r="AV1169" s="115"/>
      <c r="AW1169" s="115"/>
      <c r="AX1169" s="115"/>
      <c r="AY1169" s="26"/>
      <c r="AZ1169" s="15"/>
      <c r="BD1169" s="117"/>
      <c r="BE1169" s="116"/>
      <c r="BF1169" s="116"/>
      <c r="BG1169" s="116"/>
    </row>
    <row r="1170" spans="2:59" ht="19.5" x14ac:dyDescent="0.4">
      <c r="B1170" s="115"/>
      <c r="C1170" s="115"/>
      <c r="D1170" s="115"/>
      <c r="E1170" s="115"/>
      <c r="F1170" s="115"/>
      <c r="G1170" s="115"/>
      <c r="H1170" s="115"/>
      <c r="I1170" s="115"/>
      <c r="J1170" s="115"/>
      <c r="K1170" s="115"/>
      <c r="L1170" s="115"/>
      <c r="M1170" s="115"/>
      <c r="N1170" s="115"/>
      <c r="O1170" s="115"/>
      <c r="P1170" s="115"/>
      <c r="Q1170" s="115"/>
      <c r="R1170" s="115"/>
      <c r="S1170" s="115"/>
      <c r="T1170" s="115"/>
      <c r="U1170" s="115"/>
      <c r="V1170" s="115"/>
      <c r="W1170" s="115"/>
      <c r="X1170" s="115"/>
      <c r="Y1170" s="115"/>
      <c r="Z1170" s="115"/>
      <c r="AA1170" s="115"/>
      <c r="AB1170" s="115"/>
      <c r="AC1170" s="115"/>
      <c r="AD1170" s="115"/>
      <c r="AE1170" s="115"/>
      <c r="AF1170" s="115"/>
      <c r="AG1170" s="115"/>
      <c r="AH1170" s="122"/>
      <c r="AI1170" s="122"/>
      <c r="AJ1170" s="122"/>
      <c r="AK1170" s="115"/>
      <c r="AL1170" s="115"/>
      <c r="AM1170" s="115"/>
      <c r="AN1170" s="115"/>
      <c r="AO1170" s="115"/>
      <c r="AP1170" s="115"/>
      <c r="AQ1170" s="115"/>
      <c r="AR1170" s="115"/>
      <c r="AS1170" s="115"/>
      <c r="AT1170" s="115"/>
      <c r="AU1170" s="115"/>
      <c r="AV1170" s="115"/>
      <c r="AW1170" s="115"/>
      <c r="AX1170" s="115"/>
      <c r="AY1170" s="17"/>
      <c r="AZ1170" s="15"/>
      <c r="BD1170" s="117"/>
      <c r="BE1170" s="116"/>
      <c r="BF1170" s="116"/>
      <c r="BG1170" s="116"/>
    </row>
    <row r="1171" spans="2:59" ht="19.5" x14ac:dyDescent="0.4">
      <c r="B1171" s="115"/>
      <c r="C1171" s="115"/>
      <c r="D1171" s="115"/>
      <c r="E1171" s="115"/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15"/>
      <c r="AB1171" s="115"/>
      <c r="AC1171" s="115"/>
      <c r="AD1171" s="115"/>
      <c r="AE1171" s="115"/>
      <c r="AF1171" s="115"/>
      <c r="AG1171" s="115"/>
      <c r="AH1171" s="122"/>
      <c r="AI1171" s="122"/>
      <c r="AJ1171" s="122"/>
      <c r="AK1171" s="115"/>
      <c r="AL1171" s="115"/>
      <c r="AM1171" s="115"/>
      <c r="AN1171" s="115"/>
      <c r="AO1171" s="115"/>
      <c r="AP1171" s="115"/>
      <c r="AQ1171" s="115"/>
      <c r="AR1171" s="115"/>
      <c r="AS1171" s="115"/>
      <c r="AT1171" s="115"/>
      <c r="AU1171" s="115"/>
      <c r="AV1171" s="115"/>
      <c r="AW1171" s="115"/>
      <c r="AX1171" s="115"/>
      <c r="AY1171" s="26"/>
      <c r="AZ1171" s="15"/>
      <c r="BD1171" s="117"/>
      <c r="BE1171" s="116"/>
      <c r="BF1171" s="116"/>
      <c r="BG1171" s="116"/>
    </row>
    <row r="1172" spans="2:59" ht="19.5" x14ac:dyDescent="0.4">
      <c r="AY1172" s="26"/>
      <c r="AZ1172" s="15"/>
      <c r="BD1172" s="117"/>
      <c r="BE1172" s="116"/>
      <c r="BF1172" s="116"/>
      <c r="BG1172" s="116"/>
    </row>
    <row r="1173" spans="2:59" ht="19.5" x14ac:dyDescent="0.4">
      <c r="AE1173" s="115"/>
      <c r="AF1173" s="115"/>
      <c r="AG1173" s="115"/>
      <c r="AH1173" s="122"/>
      <c r="AI1173" s="122"/>
      <c r="AJ1173" s="122"/>
      <c r="AK1173" s="115"/>
      <c r="AL1173" s="115"/>
      <c r="AM1173" s="115"/>
      <c r="AN1173" s="115"/>
      <c r="AO1173" s="115"/>
      <c r="AP1173" s="115"/>
      <c r="AQ1173" s="115"/>
      <c r="AR1173" s="115"/>
      <c r="AS1173" s="115"/>
      <c r="AT1173" s="115"/>
      <c r="AU1173" s="115"/>
      <c r="AV1173" s="115"/>
      <c r="AW1173" s="115"/>
      <c r="AX1173" s="115"/>
      <c r="AY1173" s="17"/>
      <c r="AZ1173" s="15"/>
      <c r="BD1173" s="117"/>
      <c r="BE1173" s="116"/>
      <c r="BF1173" s="116"/>
      <c r="BG1173" s="116"/>
    </row>
    <row r="1174" spans="2:59" ht="19.5" x14ac:dyDescent="0.4">
      <c r="AC1174" s="115"/>
      <c r="AD1174" s="115"/>
      <c r="AE1174" s="115"/>
      <c r="AF1174" s="115"/>
      <c r="AG1174" s="115"/>
      <c r="AH1174" s="122"/>
      <c r="AI1174" s="122"/>
      <c r="AJ1174" s="122"/>
      <c r="AK1174" s="115"/>
      <c r="AL1174" s="115"/>
      <c r="AM1174" s="115"/>
      <c r="AN1174" s="115"/>
      <c r="AO1174" s="115"/>
      <c r="AP1174" s="115"/>
      <c r="AQ1174" s="115"/>
      <c r="AR1174" s="115"/>
      <c r="AS1174" s="115"/>
      <c r="AT1174" s="115"/>
      <c r="AU1174" s="115"/>
      <c r="AV1174" s="115"/>
      <c r="AW1174" s="115"/>
      <c r="AX1174" s="115"/>
      <c r="AY1174" s="26"/>
      <c r="AZ1174" s="15"/>
      <c r="BD1174" s="117"/>
      <c r="BE1174" s="116"/>
      <c r="BF1174" s="116"/>
      <c r="BG1174" s="116"/>
    </row>
    <row r="1175" spans="2:59" ht="19.5" x14ac:dyDescent="0.4">
      <c r="AC1175" s="115"/>
      <c r="AD1175" s="115"/>
      <c r="AE1175" s="115"/>
      <c r="AF1175" s="115"/>
      <c r="AG1175" s="115"/>
      <c r="AH1175" s="122"/>
      <c r="AI1175" s="122"/>
      <c r="AJ1175" s="122"/>
      <c r="AK1175" s="115"/>
      <c r="AL1175" s="115"/>
      <c r="AM1175" s="115"/>
      <c r="AN1175" s="115"/>
      <c r="AO1175" s="115"/>
      <c r="AP1175" s="115"/>
      <c r="AQ1175" s="115"/>
      <c r="AR1175" s="115"/>
      <c r="AS1175" s="115"/>
      <c r="AT1175" s="115"/>
      <c r="AU1175" s="115"/>
      <c r="AV1175" s="115"/>
      <c r="AW1175" s="115"/>
      <c r="AX1175" s="115"/>
      <c r="AY1175" s="17"/>
      <c r="AZ1175" s="13"/>
      <c r="BD1175" s="117"/>
      <c r="BE1175" s="116"/>
      <c r="BF1175" s="116"/>
      <c r="BG1175" s="116"/>
    </row>
    <row r="1176" spans="2:59" ht="19.5" x14ac:dyDescent="0.4">
      <c r="AB1176" s="115"/>
      <c r="AC1176" s="115"/>
      <c r="AD1176" s="115"/>
      <c r="AE1176" s="115"/>
      <c r="AF1176" s="115"/>
      <c r="AG1176" s="115"/>
      <c r="AH1176" s="122"/>
      <c r="AI1176" s="122"/>
      <c r="AJ1176" s="122"/>
      <c r="AK1176" s="115"/>
      <c r="AL1176" s="115"/>
      <c r="AM1176" s="115"/>
      <c r="AN1176" s="115"/>
      <c r="AO1176" s="115"/>
      <c r="AP1176" s="115"/>
      <c r="AQ1176" s="115"/>
      <c r="AR1176" s="115"/>
      <c r="AS1176" s="115"/>
      <c r="AT1176" s="115"/>
      <c r="AU1176" s="115"/>
      <c r="AV1176" s="115"/>
      <c r="AW1176" s="115"/>
      <c r="AX1176" s="115"/>
      <c r="AY1176" s="26"/>
      <c r="AZ1176" s="13"/>
      <c r="BD1176" s="117"/>
      <c r="BE1176" s="116"/>
      <c r="BF1176" s="116"/>
      <c r="BG1176" s="116"/>
    </row>
    <row r="1177" spans="2:59" ht="19.5" x14ac:dyDescent="0.4">
      <c r="AB1177" s="115"/>
      <c r="AC1177" s="115"/>
      <c r="AD1177" s="115"/>
      <c r="AE1177" s="115"/>
      <c r="AF1177" s="115"/>
      <c r="AG1177" s="115"/>
      <c r="AH1177" s="122"/>
      <c r="AI1177" s="122"/>
      <c r="AJ1177" s="122"/>
      <c r="AK1177" s="115"/>
      <c r="AL1177" s="115"/>
      <c r="AM1177" s="115"/>
      <c r="AN1177" s="115"/>
      <c r="AO1177" s="115"/>
      <c r="AP1177" s="115"/>
      <c r="AQ1177" s="115"/>
      <c r="AR1177" s="115"/>
      <c r="AS1177" s="115"/>
      <c r="AT1177" s="115"/>
      <c r="AU1177" s="115"/>
      <c r="AV1177" s="115"/>
      <c r="AW1177" s="115"/>
      <c r="AX1177" s="115"/>
      <c r="AY1177" s="17"/>
      <c r="AZ1177" s="13"/>
      <c r="BD1177" s="117"/>
      <c r="BE1177" s="116"/>
      <c r="BF1177" s="116"/>
      <c r="BG1177" s="116"/>
    </row>
    <row r="1178" spans="2:59" ht="19.5" x14ac:dyDescent="0.4">
      <c r="C1178" s="115"/>
      <c r="D1178" s="115"/>
      <c r="E1178" s="115"/>
      <c r="F1178" s="115"/>
      <c r="G1178" s="115"/>
      <c r="H1178" s="115"/>
      <c r="I1178" s="115"/>
      <c r="J1178" s="115"/>
      <c r="K1178" s="115"/>
      <c r="L1178" s="115"/>
      <c r="M1178" s="115"/>
      <c r="N1178" s="115"/>
      <c r="O1178" s="115"/>
      <c r="P1178" s="115"/>
      <c r="Q1178" s="115"/>
      <c r="R1178" s="115"/>
      <c r="S1178" s="115"/>
      <c r="T1178" s="115"/>
      <c r="U1178" s="115"/>
      <c r="V1178" s="115"/>
      <c r="W1178" s="115"/>
      <c r="X1178" s="115"/>
      <c r="Y1178" s="115"/>
      <c r="Z1178" s="115"/>
      <c r="AA1178" s="115"/>
      <c r="AB1178" s="115"/>
      <c r="AC1178" s="115"/>
      <c r="AD1178" s="115"/>
      <c r="AE1178" s="115"/>
      <c r="AF1178" s="115"/>
      <c r="AG1178" s="115"/>
      <c r="AH1178" s="122"/>
      <c r="AI1178" s="122"/>
      <c r="AJ1178" s="122"/>
      <c r="AK1178" s="115"/>
      <c r="AL1178" s="115"/>
      <c r="AM1178" s="115"/>
      <c r="AN1178" s="115"/>
      <c r="AO1178" s="115"/>
      <c r="AP1178" s="115"/>
      <c r="AQ1178" s="115"/>
      <c r="AR1178" s="115"/>
      <c r="AS1178" s="115"/>
      <c r="AT1178" s="115"/>
      <c r="AU1178" s="115"/>
      <c r="AV1178" s="115"/>
      <c r="AW1178" s="115"/>
      <c r="AX1178" s="115"/>
      <c r="AY1178" s="26"/>
      <c r="AZ1178" s="15"/>
      <c r="BD1178" s="117"/>
      <c r="BE1178" s="116"/>
      <c r="BF1178" s="116"/>
      <c r="BG1178" s="116"/>
    </row>
    <row r="1179" spans="2:59" ht="19.5" x14ac:dyDescent="0.4">
      <c r="C1179" s="115"/>
      <c r="D1179" s="115"/>
      <c r="E1179" s="115"/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15"/>
      <c r="AC1179" s="115"/>
      <c r="AD1179" s="115"/>
      <c r="AE1179" s="115"/>
      <c r="AF1179" s="115"/>
      <c r="AG1179" s="115"/>
      <c r="AH1179" s="122"/>
      <c r="AI1179" s="122"/>
      <c r="AJ1179" s="122"/>
      <c r="AK1179" s="115"/>
      <c r="AL1179" s="115"/>
      <c r="AM1179" s="115"/>
      <c r="AN1179" s="115"/>
      <c r="AO1179" s="115"/>
      <c r="AP1179" s="115"/>
      <c r="AQ1179" s="115"/>
      <c r="AR1179" s="115"/>
      <c r="AS1179" s="115"/>
      <c r="AT1179" s="115"/>
      <c r="AU1179" s="115"/>
      <c r="AV1179" s="115"/>
      <c r="AW1179" s="115"/>
      <c r="AX1179" s="115"/>
      <c r="AY1179" s="17"/>
      <c r="AZ1179" s="15"/>
      <c r="BD1179" s="117"/>
      <c r="BE1179" s="116"/>
      <c r="BF1179" s="116"/>
      <c r="BG1179" s="116"/>
    </row>
    <row r="1180" spans="2:59" ht="19.5" x14ac:dyDescent="0.4">
      <c r="C1180" s="115"/>
      <c r="D1180" s="115"/>
      <c r="E1180" s="115"/>
      <c r="F1180" s="115"/>
      <c r="G1180" s="115"/>
      <c r="H1180" s="115"/>
      <c r="I1180" s="115"/>
      <c r="J1180" s="115"/>
      <c r="K1180" s="115"/>
      <c r="L1180" s="115"/>
      <c r="M1180" s="115"/>
      <c r="N1180" s="115"/>
      <c r="O1180" s="115"/>
      <c r="P1180" s="115"/>
      <c r="Q1180" s="115"/>
      <c r="R1180" s="115"/>
      <c r="S1180" s="115"/>
      <c r="T1180" s="115"/>
      <c r="U1180" s="115"/>
      <c r="V1180" s="115"/>
      <c r="W1180" s="115"/>
      <c r="X1180" s="115"/>
      <c r="Y1180" s="115"/>
      <c r="Z1180" s="115"/>
      <c r="AA1180" s="115"/>
      <c r="AB1180" s="115"/>
      <c r="AC1180" s="115"/>
      <c r="AD1180" s="115"/>
      <c r="AE1180" s="115"/>
      <c r="AF1180" s="115"/>
      <c r="AG1180" s="115"/>
      <c r="AH1180" s="122"/>
      <c r="AI1180" s="122"/>
      <c r="AJ1180" s="122"/>
      <c r="AK1180" s="115"/>
      <c r="AL1180" s="115"/>
      <c r="AM1180" s="115"/>
      <c r="AN1180" s="115"/>
      <c r="AO1180" s="115"/>
      <c r="AP1180" s="115"/>
      <c r="AQ1180" s="115"/>
      <c r="AR1180" s="115"/>
      <c r="AS1180" s="115"/>
      <c r="AT1180" s="115"/>
      <c r="AU1180" s="115"/>
      <c r="AV1180" s="115"/>
      <c r="AW1180" s="115"/>
      <c r="AX1180" s="115"/>
      <c r="AY1180" s="26"/>
      <c r="AZ1180" s="105"/>
      <c r="BD1180" s="117"/>
      <c r="BE1180" s="116"/>
      <c r="BF1180" s="116"/>
      <c r="BG1180" s="116"/>
    </row>
    <row r="1181" spans="2:59" ht="19.5" x14ac:dyDescent="0.4">
      <c r="C1181" s="115"/>
      <c r="D1181" s="115"/>
      <c r="E1181" s="115"/>
      <c r="F1181" s="115"/>
      <c r="G1181" s="115"/>
      <c r="H1181" s="115"/>
      <c r="I1181" s="115"/>
      <c r="J1181" s="115"/>
      <c r="K1181" s="115"/>
      <c r="L1181" s="115"/>
      <c r="M1181" s="115"/>
      <c r="N1181" s="115"/>
      <c r="O1181" s="115"/>
      <c r="P1181" s="115"/>
      <c r="Q1181" s="115"/>
      <c r="R1181" s="115"/>
      <c r="S1181" s="115"/>
      <c r="T1181" s="115"/>
      <c r="U1181" s="115"/>
      <c r="V1181" s="115"/>
      <c r="W1181" s="115"/>
      <c r="X1181" s="115"/>
      <c r="Y1181" s="115"/>
      <c r="Z1181" s="115"/>
      <c r="AA1181" s="115"/>
      <c r="AB1181" s="115"/>
      <c r="AC1181" s="115"/>
      <c r="AD1181" s="115"/>
      <c r="AE1181" s="115"/>
      <c r="AF1181" s="115"/>
      <c r="AG1181" s="115"/>
      <c r="AH1181" s="122"/>
      <c r="AI1181" s="122"/>
      <c r="AJ1181" s="122"/>
      <c r="AK1181" s="115"/>
      <c r="AL1181" s="115"/>
      <c r="AM1181" s="115"/>
      <c r="AN1181" s="115"/>
      <c r="AO1181" s="115"/>
      <c r="AP1181" s="115"/>
      <c r="AQ1181" s="115"/>
      <c r="AR1181" s="115"/>
      <c r="AS1181" s="115"/>
      <c r="AT1181" s="115"/>
      <c r="AU1181" s="115"/>
      <c r="AV1181" s="115"/>
      <c r="AW1181" s="115"/>
      <c r="AX1181" s="115"/>
      <c r="AY1181" s="17"/>
      <c r="AZ1181" s="15"/>
      <c r="BD1181" s="117"/>
      <c r="BE1181" s="116"/>
      <c r="BF1181" s="116"/>
      <c r="BG1181" s="116"/>
    </row>
    <row r="1182" spans="2:59" ht="19.5" x14ac:dyDescent="0.4">
      <c r="C1182" s="115"/>
      <c r="D1182" s="115"/>
      <c r="E1182" s="115"/>
      <c r="F1182" s="115"/>
      <c r="G1182" s="115"/>
      <c r="H1182" s="115"/>
      <c r="I1182" s="115"/>
      <c r="J1182" s="115"/>
      <c r="K1182" s="115"/>
      <c r="L1182" s="115"/>
      <c r="M1182" s="115"/>
      <c r="N1182" s="115"/>
      <c r="O1182" s="115"/>
      <c r="P1182" s="115"/>
      <c r="Q1182" s="115"/>
      <c r="R1182" s="115"/>
      <c r="S1182" s="115"/>
      <c r="T1182" s="115"/>
      <c r="U1182" s="115"/>
      <c r="V1182" s="115"/>
      <c r="W1182" s="115"/>
      <c r="X1182" s="115"/>
      <c r="Y1182" s="115"/>
      <c r="Z1182" s="115"/>
      <c r="AA1182" s="115"/>
      <c r="AB1182" s="115"/>
      <c r="AC1182" s="115"/>
      <c r="AD1182" s="115"/>
      <c r="AE1182" s="115"/>
      <c r="AF1182" s="115"/>
      <c r="AG1182" s="115"/>
      <c r="AH1182" s="122"/>
      <c r="AI1182" s="122"/>
      <c r="AJ1182" s="122"/>
      <c r="AK1182" s="115"/>
      <c r="AL1182" s="115"/>
      <c r="AM1182" s="115"/>
      <c r="AN1182" s="115"/>
      <c r="AO1182" s="115"/>
      <c r="AP1182" s="115"/>
      <c r="AQ1182" s="115"/>
      <c r="AR1182" s="115"/>
      <c r="AS1182" s="115"/>
      <c r="AT1182" s="115"/>
      <c r="AU1182" s="115"/>
      <c r="AV1182" s="115"/>
      <c r="AW1182" s="115"/>
      <c r="AX1182" s="115"/>
      <c r="AY1182" s="26"/>
      <c r="AZ1182" s="15"/>
      <c r="BD1182" s="117"/>
      <c r="BE1182" s="116"/>
      <c r="BF1182" s="116"/>
      <c r="BG1182" s="116"/>
    </row>
    <row r="1183" spans="2:59" ht="19.5" x14ac:dyDescent="0.4">
      <c r="C1183" s="115"/>
      <c r="D1183" s="115"/>
      <c r="E1183" s="115"/>
      <c r="F1183" s="115"/>
      <c r="G1183" s="115"/>
      <c r="H1183" s="115"/>
      <c r="I1183" s="115"/>
      <c r="J1183" s="115"/>
      <c r="K1183" s="115"/>
      <c r="L1183" s="115"/>
      <c r="M1183" s="115"/>
      <c r="N1183" s="115"/>
      <c r="O1183" s="115"/>
      <c r="P1183" s="115"/>
      <c r="Q1183" s="115"/>
      <c r="R1183" s="115"/>
      <c r="S1183" s="115"/>
      <c r="T1183" s="115"/>
      <c r="U1183" s="115"/>
      <c r="V1183" s="115"/>
      <c r="W1183" s="115"/>
      <c r="X1183" s="115"/>
      <c r="Y1183" s="115"/>
      <c r="Z1183" s="115"/>
      <c r="AA1183" s="115"/>
      <c r="AB1183" s="115"/>
      <c r="AC1183" s="115"/>
      <c r="AD1183" s="115"/>
      <c r="AE1183" s="115"/>
      <c r="AF1183" s="115"/>
      <c r="AG1183" s="115"/>
      <c r="AH1183" s="122"/>
      <c r="AI1183" s="122"/>
      <c r="AJ1183" s="122"/>
      <c r="AK1183" s="115"/>
      <c r="AL1183" s="115"/>
      <c r="AM1183" s="115"/>
      <c r="AN1183" s="115"/>
      <c r="AO1183" s="115"/>
      <c r="AP1183" s="115"/>
      <c r="AQ1183" s="115"/>
      <c r="AR1183" s="115"/>
      <c r="AS1183" s="115"/>
      <c r="AT1183" s="115"/>
      <c r="AU1183" s="115"/>
      <c r="AV1183" s="115"/>
      <c r="AW1183" s="115"/>
      <c r="AX1183" s="115"/>
      <c r="AY1183" s="26"/>
      <c r="AZ1183" s="15"/>
      <c r="BD1183" s="117"/>
      <c r="BE1183" s="116"/>
      <c r="BF1183" s="116"/>
      <c r="BG1183" s="116"/>
    </row>
    <row r="1184" spans="2:59" ht="19.5" x14ac:dyDescent="0.4">
      <c r="AY1184" s="26"/>
      <c r="AZ1184" s="15"/>
      <c r="BD1184" s="117"/>
      <c r="BE1184" s="116"/>
      <c r="BF1184" s="116"/>
      <c r="BG1184" s="116"/>
    </row>
    <row r="1185" spans="1:59" ht="19.5" x14ac:dyDescent="0.4">
      <c r="AD1185" s="115"/>
      <c r="AE1185" s="115"/>
      <c r="AF1185" s="115"/>
      <c r="AG1185" s="115"/>
      <c r="AH1185" s="122"/>
      <c r="AI1185" s="122"/>
      <c r="AJ1185" s="122"/>
      <c r="AK1185" s="115"/>
      <c r="AL1185" s="115"/>
      <c r="AM1185" s="115"/>
      <c r="AN1185" s="115"/>
      <c r="AO1185" s="115"/>
      <c r="AP1185" s="115"/>
      <c r="AQ1185" s="115"/>
      <c r="AR1185" s="115"/>
      <c r="AS1185" s="115"/>
      <c r="AT1185" s="115"/>
      <c r="AU1185" s="115"/>
      <c r="AV1185" s="115"/>
      <c r="AW1185" s="115"/>
      <c r="AX1185" s="115"/>
      <c r="AY1185" s="26"/>
      <c r="AZ1185" s="15"/>
      <c r="BD1185" s="117"/>
      <c r="BE1185" s="116"/>
      <c r="BF1185" s="116"/>
      <c r="BG1185" s="116"/>
    </row>
    <row r="1186" spans="1:59" ht="19.5" x14ac:dyDescent="0.4">
      <c r="A1186" s="115"/>
      <c r="B1186" s="115"/>
      <c r="C1186" s="115"/>
      <c r="D1186" s="115"/>
      <c r="E1186" s="115"/>
      <c r="F1186" s="115"/>
      <c r="G1186" s="115"/>
      <c r="H1186" s="115"/>
      <c r="I1186" s="115"/>
      <c r="J1186" s="115"/>
      <c r="K1186" s="115"/>
      <c r="L1186" s="115"/>
      <c r="M1186" s="115"/>
      <c r="N1186" s="115"/>
      <c r="O1186" s="115"/>
      <c r="P1186" s="115"/>
      <c r="Q1186" s="115"/>
      <c r="R1186" s="115"/>
      <c r="S1186" s="115"/>
      <c r="T1186" s="115"/>
      <c r="U1186" s="115"/>
      <c r="V1186" s="115"/>
      <c r="W1186" s="115"/>
      <c r="X1186" s="115"/>
      <c r="Y1186" s="115"/>
      <c r="Z1186" s="115"/>
      <c r="AA1186" s="115"/>
      <c r="AB1186" s="115"/>
      <c r="AC1186" s="115"/>
      <c r="AD1186" s="115"/>
      <c r="AE1186" s="115"/>
      <c r="AF1186" s="115"/>
      <c r="AG1186" s="115"/>
      <c r="AH1186" s="122"/>
      <c r="AI1186" s="122"/>
      <c r="AJ1186" s="122"/>
      <c r="AK1186" s="115"/>
      <c r="AL1186" s="115"/>
      <c r="AM1186" s="115"/>
      <c r="AN1186" s="115"/>
      <c r="AO1186" s="115"/>
      <c r="AP1186" s="115"/>
      <c r="AQ1186" s="115"/>
      <c r="AR1186" s="115"/>
      <c r="AS1186" s="115"/>
      <c r="AT1186" s="115"/>
      <c r="AU1186" s="115"/>
      <c r="AV1186" s="115"/>
      <c r="AW1186" s="115"/>
      <c r="AX1186" s="115"/>
      <c r="AY1186" s="26"/>
      <c r="AZ1186" s="15"/>
      <c r="BD1186" s="117"/>
      <c r="BE1186" s="116"/>
      <c r="BF1186" s="116"/>
      <c r="BG1186" s="116"/>
    </row>
    <row r="1187" spans="1:59" ht="19.5" x14ac:dyDescent="0.4">
      <c r="A1187" s="115"/>
      <c r="B1187" s="115"/>
      <c r="C1187" s="115"/>
      <c r="D1187" s="115"/>
      <c r="E1187" s="115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22"/>
      <c r="AI1187" s="122"/>
      <c r="AJ1187" s="122"/>
      <c r="AK1187" s="115"/>
      <c r="AL1187" s="115"/>
      <c r="AM1187" s="115"/>
      <c r="AN1187" s="115"/>
      <c r="AO1187" s="115"/>
      <c r="AP1187" s="115"/>
      <c r="AQ1187" s="115"/>
      <c r="AR1187" s="115"/>
      <c r="AS1187" s="115"/>
      <c r="AT1187" s="115"/>
      <c r="AU1187" s="115"/>
      <c r="AV1187" s="115"/>
      <c r="AW1187" s="115"/>
      <c r="AX1187" s="115"/>
      <c r="AY1187" s="26"/>
      <c r="AZ1187" s="15"/>
      <c r="BD1187" s="117"/>
      <c r="BE1187" s="116"/>
      <c r="BF1187" s="116"/>
      <c r="BG1187" s="116"/>
    </row>
    <row r="1188" spans="1:59" ht="19.5" x14ac:dyDescent="0.4">
      <c r="A1188" s="115"/>
      <c r="B1188" s="115"/>
      <c r="C1188" s="115"/>
      <c r="D1188" s="115"/>
      <c r="E1188" s="115"/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15"/>
      <c r="AC1188" s="115"/>
      <c r="AD1188" s="115"/>
      <c r="AE1188" s="115"/>
      <c r="AF1188" s="115"/>
      <c r="AG1188" s="115"/>
      <c r="AH1188" s="122"/>
      <c r="AI1188" s="122"/>
      <c r="AJ1188" s="122"/>
      <c r="AK1188" s="115"/>
      <c r="AL1188" s="115"/>
      <c r="AM1188" s="115"/>
      <c r="AN1188" s="115"/>
      <c r="AO1188" s="115"/>
      <c r="AP1188" s="115"/>
      <c r="AQ1188" s="115"/>
      <c r="AR1188" s="115"/>
      <c r="AS1188" s="115"/>
      <c r="AT1188" s="115"/>
      <c r="AU1188" s="115"/>
      <c r="AV1188" s="115"/>
      <c r="AW1188" s="115"/>
      <c r="AX1188" s="115"/>
      <c r="AY1188" s="17"/>
      <c r="AZ1188" s="15"/>
      <c r="BD1188" s="117"/>
      <c r="BE1188" s="116"/>
      <c r="BF1188" s="116"/>
      <c r="BG1188" s="116"/>
    </row>
    <row r="1189" spans="1:59" ht="19.5" x14ac:dyDescent="0.4">
      <c r="AY1189" s="26"/>
      <c r="AZ1189" s="15"/>
      <c r="BD1189" s="117"/>
      <c r="BE1189" s="116"/>
      <c r="BF1189" s="116"/>
      <c r="BG1189" s="116"/>
    </row>
    <row r="1190" spans="1:59" ht="19.5" x14ac:dyDescent="0.4">
      <c r="AE1190" s="115"/>
      <c r="AF1190" s="115"/>
      <c r="AG1190" s="115"/>
      <c r="AH1190" s="122"/>
      <c r="AI1190" s="122"/>
      <c r="AJ1190" s="122"/>
      <c r="AK1190" s="115"/>
      <c r="AL1190" s="115"/>
      <c r="AM1190" s="115"/>
      <c r="AN1190" s="115"/>
      <c r="AO1190" s="115"/>
      <c r="AP1190" s="115"/>
      <c r="AQ1190" s="115"/>
      <c r="AR1190" s="115"/>
      <c r="AS1190" s="115"/>
      <c r="AT1190" s="115"/>
      <c r="AU1190" s="115"/>
      <c r="AV1190" s="115"/>
      <c r="AW1190" s="115"/>
      <c r="AX1190" s="115"/>
      <c r="AY1190" s="17"/>
      <c r="AZ1190" s="15"/>
      <c r="BD1190" s="117"/>
      <c r="BE1190" s="116"/>
      <c r="BF1190" s="116"/>
      <c r="BG1190" s="116"/>
    </row>
    <row r="1191" spans="1:59" ht="19.5" x14ac:dyDescent="0.4">
      <c r="AD1191" s="115"/>
      <c r="AE1191" s="115"/>
      <c r="AF1191" s="115"/>
      <c r="AG1191" s="115"/>
      <c r="AH1191" s="122"/>
      <c r="AI1191" s="122"/>
      <c r="AJ1191" s="122"/>
      <c r="AK1191" s="115"/>
      <c r="AL1191" s="115"/>
      <c r="AM1191" s="115"/>
      <c r="AN1191" s="115"/>
      <c r="AO1191" s="115"/>
      <c r="AP1191" s="115"/>
      <c r="AQ1191" s="115"/>
      <c r="AR1191" s="115"/>
      <c r="AS1191" s="115"/>
      <c r="AT1191" s="115"/>
      <c r="AU1191" s="115"/>
      <c r="AV1191" s="115"/>
      <c r="AW1191" s="115"/>
      <c r="AX1191" s="115"/>
      <c r="AY1191" s="26"/>
      <c r="AZ1191" s="15"/>
      <c r="BD1191" s="117"/>
      <c r="BE1191" s="116"/>
      <c r="BF1191" s="116"/>
      <c r="BG1191" s="116"/>
    </row>
    <row r="1192" spans="1:59" ht="19.5" x14ac:dyDescent="0.4">
      <c r="C1192" s="115"/>
      <c r="D1192" s="115"/>
      <c r="E1192" s="115"/>
      <c r="F1192" s="115"/>
      <c r="G1192" s="115"/>
      <c r="H1192" s="115"/>
      <c r="I1192" s="115"/>
      <c r="J1192" s="115"/>
      <c r="K1192" s="115"/>
      <c r="L1192" s="115"/>
      <c r="M1192" s="115"/>
      <c r="N1192" s="115"/>
      <c r="O1192" s="115"/>
      <c r="P1192" s="115"/>
      <c r="Q1192" s="115"/>
      <c r="R1192" s="115"/>
      <c r="S1192" s="115"/>
      <c r="T1192" s="115"/>
      <c r="U1192" s="115"/>
      <c r="V1192" s="115"/>
      <c r="W1192" s="115"/>
      <c r="X1192" s="115"/>
      <c r="Y1192" s="115"/>
      <c r="Z1192" s="115"/>
      <c r="AA1192" s="115"/>
      <c r="AB1192" s="115"/>
      <c r="AC1192" s="115"/>
      <c r="AD1192" s="115"/>
      <c r="AE1192" s="115"/>
      <c r="AF1192" s="115"/>
      <c r="AG1192" s="115"/>
      <c r="AH1192" s="122"/>
      <c r="AI1192" s="122"/>
      <c r="AJ1192" s="122"/>
      <c r="AK1192" s="115"/>
      <c r="AL1192" s="115"/>
      <c r="AM1192" s="115"/>
      <c r="AN1192" s="115"/>
      <c r="AO1192" s="115"/>
      <c r="AP1192" s="115"/>
      <c r="AQ1192" s="115"/>
      <c r="AR1192" s="115"/>
      <c r="AS1192" s="115"/>
      <c r="AT1192" s="115"/>
      <c r="AU1192" s="115"/>
      <c r="AV1192" s="115"/>
      <c r="AW1192" s="115"/>
      <c r="AX1192" s="115"/>
      <c r="AY1192" s="26"/>
      <c r="AZ1192" s="15"/>
      <c r="BD1192" s="117"/>
      <c r="BE1192" s="116"/>
      <c r="BF1192" s="116"/>
      <c r="BG1192" s="116"/>
    </row>
    <row r="1193" spans="1:59" ht="19.5" x14ac:dyDescent="0.4">
      <c r="C1193" s="115"/>
      <c r="D1193" s="115"/>
      <c r="E1193" s="115"/>
      <c r="F1193" s="115"/>
      <c r="G1193" s="115"/>
      <c r="H1193" s="115"/>
      <c r="I1193" s="115"/>
      <c r="J1193" s="115"/>
      <c r="K1193" s="115"/>
      <c r="L1193" s="115"/>
      <c r="M1193" s="115"/>
      <c r="N1193" s="115"/>
      <c r="O1193" s="115"/>
      <c r="P1193" s="115"/>
      <c r="Q1193" s="115"/>
      <c r="R1193" s="115"/>
      <c r="S1193" s="115"/>
      <c r="T1193" s="115"/>
      <c r="U1193" s="115"/>
      <c r="V1193" s="115"/>
      <c r="W1193" s="115"/>
      <c r="X1193" s="115"/>
      <c r="Y1193" s="115"/>
      <c r="Z1193" s="115"/>
      <c r="AA1193" s="115"/>
      <c r="AB1193" s="115"/>
      <c r="AC1193" s="115"/>
      <c r="AD1193" s="115"/>
      <c r="AE1193" s="115"/>
      <c r="AF1193" s="115"/>
      <c r="AG1193" s="115"/>
      <c r="AH1193" s="122"/>
      <c r="AI1193" s="122"/>
      <c r="AJ1193" s="122"/>
      <c r="AK1193" s="115"/>
      <c r="AL1193" s="115"/>
      <c r="AM1193" s="115"/>
      <c r="AN1193" s="115"/>
      <c r="AO1193" s="115"/>
      <c r="AP1193" s="115"/>
      <c r="AQ1193" s="115"/>
      <c r="AR1193" s="115"/>
      <c r="AS1193" s="115"/>
      <c r="AT1193" s="115"/>
      <c r="AU1193" s="115"/>
      <c r="AV1193" s="115"/>
      <c r="AW1193" s="115"/>
      <c r="AX1193" s="115"/>
      <c r="AY1193" s="26"/>
      <c r="AZ1193" s="15"/>
      <c r="BD1193" s="117"/>
      <c r="BE1193" s="116"/>
      <c r="BF1193" s="116"/>
      <c r="BG1193" s="116"/>
    </row>
    <row r="1194" spans="1:59" ht="19.5" x14ac:dyDescent="0.4">
      <c r="B1194" s="115"/>
      <c r="C1194" s="115"/>
      <c r="D1194" s="115"/>
      <c r="E1194" s="115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22"/>
      <c r="AI1194" s="122"/>
      <c r="AJ1194" s="122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15"/>
      <c r="AU1194" s="115"/>
      <c r="AV1194" s="115"/>
      <c r="AW1194" s="115"/>
      <c r="AX1194" s="115"/>
      <c r="AY1194" s="26"/>
      <c r="AZ1194" s="15"/>
      <c r="BD1194" s="117"/>
      <c r="BE1194" s="116"/>
      <c r="BF1194" s="116"/>
      <c r="BG1194" s="116"/>
    </row>
    <row r="1195" spans="1:59" ht="19.5" x14ac:dyDescent="0.4">
      <c r="A1195" s="115"/>
      <c r="B1195" s="115"/>
      <c r="C1195" s="115"/>
      <c r="D1195" s="115"/>
      <c r="E1195" s="115"/>
      <c r="F1195" s="115"/>
      <c r="G1195" s="115"/>
      <c r="H1195" s="115"/>
      <c r="I1195" s="115"/>
      <c r="J1195" s="115"/>
      <c r="K1195" s="115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  <c r="AA1195" s="115"/>
      <c r="AB1195" s="115"/>
      <c r="AC1195" s="115"/>
      <c r="AD1195" s="115"/>
      <c r="AE1195" s="115"/>
      <c r="AF1195" s="115"/>
      <c r="AG1195" s="115"/>
      <c r="AH1195" s="122"/>
      <c r="AI1195" s="122"/>
      <c r="AJ1195" s="122"/>
      <c r="AK1195" s="115"/>
      <c r="AL1195" s="115"/>
      <c r="AM1195" s="115"/>
      <c r="AN1195" s="115"/>
      <c r="AO1195" s="115"/>
      <c r="AP1195" s="115"/>
      <c r="AQ1195" s="115"/>
      <c r="AR1195" s="115"/>
      <c r="AS1195" s="115"/>
      <c r="AT1195" s="115"/>
      <c r="AU1195" s="115"/>
      <c r="AV1195" s="115"/>
      <c r="AW1195" s="115"/>
      <c r="AX1195" s="115"/>
      <c r="AY1195" s="26"/>
      <c r="AZ1195" s="15"/>
      <c r="BD1195" s="117"/>
      <c r="BE1195" s="116"/>
      <c r="BF1195" s="116"/>
      <c r="BG1195" s="116"/>
    </row>
    <row r="1196" spans="1:59" ht="19.5" x14ac:dyDescent="0.4">
      <c r="A1196" s="115"/>
      <c r="B1196" s="115"/>
      <c r="C1196" s="115"/>
      <c r="D1196" s="115"/>
      <c r="E1196" s="115"/>
      <c r="F1196" s="115"/>
      <c r="G1196" s="115"/>
      <c r="H1196" s="115"/>
      <c r="I1196" s="115"/>
      <c r="J1196" s="115"/>
      <c r="K1196" s="115"/>
      <c r="L1196" s="115"/>
      <c r="M1196" s="115"/>
      <c r="N1196" s="115"/>
      <c r="O1196" s="115"/>
      <c r="P1196" s="115"/>
      <c r="Q1196" s="115"/>
      <c r="R1196" s="115"/>
      <c r="S1196" s="115"/>
      <c r="T1196" s="115"/>
      <c r="U1196" s="115"/>
      <c r="V1196" s="115"/>
      <c r="W1196" s="115"/>
      <c r="X1196" s="115"/>
      <c r="Y1196" s="115"/>
      <c r="Z1196" s="115"/>
      <c r="AA1196" s="115"/>
      <c r="AB1196" s="115"/>
      <c r="AC1196" s="115"/>
      <c r="AD1196" s="115"/>
      <c r="AE1196" s="115"/>
      <c r="AF1196" s="115"/>
      <c r="AG1196" s="115"/>
      <c r="AH1196" s="122"/>
      <c r="AI1196" s="122"/>
      <c r="AJ1196" s="122"/>
      <c r="AK1196" s="115"/>
      <c r="AL1196" s="115"/>
      <c r="AM1196" s="115"/>
      <c r="AN1196" s="115"/>
      <c r="AO1196" s="115"/>
      <c r="AP1196" s="115"/>
      <c r="AQ1196" s="115"/>
      <c r="AR1196" s="115"/>
      <c r="AS1196" s="115"/>
      <c r="AT1196" s="115"/>
      <c r="AU1196" s="115"/>
      <c r="AV1196" s="115"/>
      <c r="AW1196" s="115"/>
      <c r="AX1196" s="115"/>
      <c r="AY1196" s="26"/>
      <c r="AZ1196" s="15"/>
      <c r="BD1196" s="117"/>
      <c r="BE1196" s="116"/>
      <c r="BF1196" s="116"/>
      <c r="BG1196" s="116"/>
    </row>
    <row r="1197" spans="1:59" ht="19.5" x14ac:dyDescent="0.4">
      <c r="A1197" s="115"/>
      <c r="B1197" s="115"/>
      <c r="C1197" s="115"/>
      <c r="D1197" s="115"/>
      <c r="E1197" s="115"/>
      <c r="F1197" s="115"/>
      <c r="G1197" s="115"/>
      <c r="H1197" s="115"/>
      <c r="I1197" s="115"/>
      <c r="J1197" s="115"/>
      <c r="K1197" s="115"/>
      <c r="L1197" s="115"/>
      <c r="M1197" s="115"/>
      <c r="N1197" s="115"/>
      <c r="O1197" s="115"/>
      <c r="P1197" s="115"/>
      <c r="Q1197" s="115"/>
      <c r="R1197" s="115"/>
      <c r="S1197" s="115"/>
      <c r="T1197" s="115"/>
      <c r="U1197" s="115"/>
      <c r="V1197" s="115"/>
      <c r="W1197" s="115"/>
      <c r="X1197" s="115"/>
      <c r="Y1197" s="115"/>
      <c r="Z1197" s="115"/>
      <c r="AA1197" s="115"/>
      <c r="AB1197" s="115"/>
      <c r="AC1197" s="115"/>
      <c r="AD1197" s="115"/>
      <c r="AE1197" s="115"/>
      <c r="AF1197" s="115"/>
      <c r="AG1197" s="115"/>
      <c r="AH1197" s="122"/>
      <c r="AI1197" s="122"/>
      <c r="AJ1197" s="122"/>
      <c r="AK1197" s="115"/>
      <c r="AL1197" s="115"/>
      <c r="AM1197" s="115"/>
      <c r="AN1197" s="115"/>
      <c r="AO1197" s="115"/>
      <c r="AP1197" s="115"/>
      <c r="AQ1197" s="115"/>
      <c r="AR1197" s="115"/>
      <c r="AS1197" s="115"/>
      <c r="AT1197" s="115"/>
      <c r="AU1197" s="115"/>
      <c r="AV1197" s="115"/>
      <c r="AW1197" s="115"/>
      <c r="AX1197" s="115"/>
      <c r="AY1197" s="17"/>
      <c r="AZ1197" s="15"/>
      <c r="BD1197" s="117"/>
      <c r="BE1197" s="116"/>
      <c r="BF1197" s="116"/>
      <c r="BG1197" s="116"/>
    </row>
    <row r="1198" spans="1:59" ht="19.5" x14ac:dyDescent="0.4">
      <c r="AY1198" s="26"/>
      <c r="AZ1198" s="15"/>
      <c r="BD1198" s="117"/>
      <c r="BE1198" s="116"/>
      <c r="BF1198" s="116"/>
      <c r="BG1198" s="116"/>
    </row>
    <row r="1199" spans="1:59" ht="19.5" x14ac:dyDescent="0.4">
      <c r="AE1199" s="115"/>
      <c r="AF1199" s="115"/>
      <c r="AG1199" s="115"/>
      <c r="AH1199" s="122"/>
      <c r="AI1199" s="122"/>
      <c r="AJ1199" s="122"/>
      <c r="AK1199" s="115"/>
      <c r="AL1199" s="115"/>
      <c r="AM1199" s="115"/>
      <c r="AN1199" s="115"/>
      <c r="AO1199" s="115"/>
      <c r="AP1199" s="115"/>
      <c r="AQ1199" s="115"/>
      <c r="AR1199" s="115"/>
      <c r="AS1199" s="115"/>
      <c r="AT1199" s="115"/>
      <c r="AU1199" s="115"/>
      <c r="AV1199" s="115"/>
      <c r="AW1199" s="115"/>
      <c r="AX1199" s="115"/>
      <c r="AY1199" s="17"/>
      <c r="AZ1199" s="13"/>
      <c r="BD1199" s="117"/>
      <c r="BE1199" s="116"/>
      <c r="BF1199" s="116"/>
      <c r="BG1199" s="116"/>
    </row>
    <row r="1200" spans="1:59" ht="19.5" x14ac:dyDescent="0.4">
      <c r="AE1200" s="115"/>
      <c r="AF1200" s="115"/>
      <c r="AG1200" s="115"/>
      <c r="AH1200" s="122"/>
      <c r="AI1200" s="122"/>
      <c r="AJ1200" s="122"/>
      <c r="AK1200" s="115"/>
      <c r="AL1200" s="115"/>
      <c r="AM1200" s="115"/>
      <c r="AN1200" s="115"/>
      <c r="AO1200" s="115"/>
      <c r="AP1200" s="115"/>
      <c r="AQ1200" s="115"/>
      <c r="AR1200" s="115"/>
      <c r="AS1200" s="115"/>
      <c r="AT1200" s="115"/>
      <c r="AU1200" s="115"/>
      <c r="AV1200" s="115"/>
      <c r="AW1200" s="115"/>
      <c r="AX1200" s="115"/>
      <c r="AY1200" s="17"/>
      <c r="AZ1200" s="13"/>
      <c r="BD1200" s="117"/>
      <c r="BE1200" s="116"/>
      <c r="BF1200" s="116"/>
      <c r="BG1200" s="116"/>
    </row>
    <row r="1201" spans="1:59" ht="19.5" x14ac:dyDescent="0.4">
      <c r="AY1201" s="26"/>
      <c r="AZ1201" s="13"/>
      <c r="BD1201" s="117"/>
      <c r="BE1201" s="116"/>
      <c r="BF1201" s="116"/>
      <c r="BG1201" s="116"/>
    </row>
    <row r="1202" spans="1:59" ht="19.5" x14ac:dyDescent="0.4">
      <c r="AY1202" s="26"/>
      <c r="AZ1202" s="13"/>
      <c r="BD1202" s="116"/>
      <c r="BE1202" s="116"/>
      <c r="BF1202" s="116"/>
      <c r="BG1202" s="116"/>
    </row>
    <row r="1203" spans="1:59" ht="19.5" x14ac:dyDescent="0.4">
      <c r="D1203" s="115"/>
      <c r="E1203" s="115"/>
      <c r="F1203" s="115"/>
      <c r="G1203" s="115"/>
      <c r="H1203" s="115"/>
      <c r="I1203" s="115"/>
      <c r="J1203" s="115"/>
      <c r="K1203" s="115"/>
      <c r="L1203" s="115"/>
      <c r="M1203" s="115"/>
      <c r="N1203" s="115"/>
      <c r="O1203" s="115"/>
      <c r="P1203" s="115"/>
      <c r="Q1203" s="115"/>
      <c r="R1203" s="115"/>
      <c r="S1203" s="115"/>
      <c r="T1203" s="115"/>
      <c r="U1203" s="115"/>
      <c r="V1203" s="115"/>
      <c r="W1203" s="115"/>
      <c r="X1203" s="115"/>
      <c r="Y1203" s="115"/>
      <c r="Z1203" s="115"/>
      <c r="AA1203" s="115"/>
      <c r="AB1203" s="115"/>
      <c r="AC1203" s="115"/>
      <c r="AD1203" s="115"/>
      <c r="AE1203" s="115"/>
      <c r="AF1203" s="115"/>
      <c r="AG1203" s="115"/>
      <c r="AH1203" s="122"/>
      <c r="AI1203" s="122"/>
      <c r="AJ1203" s="122"/>
      <c r="AK1203" s="115"/>
      <c r="AL1203" s="115"/>
      <c r="AM1203" s="115"/>
      <c r="AN1203" s="115"/>
      <c r="AO1203" s="115"/>
      <c r="AP1203" s="115"/>
      <c r="AQ1203" s="115"/>
      <c r="AR1203" s="115"/>
      <c r="AS1203" s="115"/>
      <c r="AT1203" s="115"/>
      <c r="AU1203" s="115"/>
      <c r="AV1203" s="115"/>
      <c r="AW1203" s="115"/>
      <c r="AX1203" s="115"/>
      <c r="AY1203" s="26"/>
      <c r="AZ1203" s="13"/>
      <c r="BD1203" s="118"/>
      <c r="BE1203" s="118"/>
      <c r="BF1203" s="118"/>
      <c r="BG1203" s="118"/>
    </row>
    <row r="1204" spans="1:59" ht="19.5" x14ac:dyDescent="0.4">
      <c r="D1204" s="115"/>
      <c r="E1204" s="115"/>
      <c r="F1204" s="115"/>
      <c r="G1204" s="115"/>
      <c r="H1204" s="115"/>
      <c r="I1204" s="115"/>
      <c r="J1204" s="115"/>
      <c r="K1204" s="115"/>
      <c r="L1204" s="115"/>
      <c r="M1204" s="115"/>
      <c r="N1204" s="115"/>
      <c r="O1204" s="115"/>
      <c r="P1204" s="115"/>
      <c r="Q1204" s="115"/>
      <c r="R1204" s="115"/>
      <c r="S1204" s="115"/>
      <c r="T1204" s="115"/>
      <c r="U1204" s="115"/>
      <c r="V1204" s="115"/>
      <c r="W1204" s="115"/>
      <c r="X1204" s="115"/>
      <c r="Y1204" s="115"/>
      <c r="Z1204" s="115"/>
      <c r="AA1204" s="115"/>
      <c r="AB1204" s="115"/>
      <c r="AC1204" s="115"/>
      <c r="AD1204" s="115"/>
      <c r="AE1204" s="115"/>
      <c r="AF1204" s="115"/>
      <c r="AG1204" s="115"/>
      <c r="AH1204" s="122"/>
      <c r="AI1204" s="122"/>
      <c r="AJ1204" s="122"/>
      <c r="AK1204" s="115"/>
      <c r="AL1204" s="115"/>
      <c r="AM1204" s="115"/>
      <c r="AN1204" s="115"/>
      <c r="AO1204" s="115"/>
      <c r="AP1204" s="115"/>
      <c r="AQ1204" s="115"/>
      <c r="AR1204" s="115"/>
      <c r="AS1204" s="115"/>
      <c r="AT1204" s="115"/>
      <c r="AU1204" s="115"/>
      <c r="AV1204" s="115"/>
      <c r="AW1204" s="115"/>
      <c r="AX1204" s="115"/>
      <c r="AY1204" s="26"/>
      <c r="AZ1204" s="13"/>
      <c r="BD1204" s="118"/>
      <c r="BE1204" s="118"/>
      <c r="BF1204" s="118"/>
      <c r="BG1204" s="118"/>
    </row>
    <row r="1205" spans="1:59" ht="19.5" x14ac:dyDescent="0.4">
      <c r="B1205" s="115"/>
      <c r="C1205" s="115"/>
      <c r="D1205" s="115"/>
      <c r="E1205" s="115"/>
      <c r="F1205" s="115"/>
      <c r="G1205" s="115"/>
      <c r="H1205" s="115"/>
      <c r="I1205" s="115"/>
      <c r="J1205" s="115"/>
      <c r="K1205" s="115"/>
      <c r="L1205" s="115"/>
      <c r="M1205" s="115"/>
      <c r="N1205" s="115"/>
      <c r="O1205" s="115"/>
      <c r="P1205" s="115"/>
      <c r="Q1205" s="115"/>
      <c r="R1205" s="115"/>
      <c r="S1205" s="115"/>
      <c r="T1205" s="115"/>
      <c r="U1205" s="115"/>
      <c r="V1205" s="115"/>
      <c r="W1205" s="115"/>
      <c r="X1205" s="115"/>
      <c r="Y1205" s="115"/>
      <c r="Z1205" s="115"/>
      <c r="AA1205" s="115"/>
      <c r="AB1205" s="115"/>
      <c r="AC1205" s="115"/>
      <c r="AD1205" s="115"/>
      <c r="AE1205" s="115"/>
      <c r="AF1205" s="115"/>
      <c r="AG1205" s="115"/>
      <c r="AH1205" s="122"/>
      <c r="AI1205" s="122"/>
      <c r="AJ1205" s="122"/>
      <c r="AK1205" s="115"/>
      <c r="AL1205" s="115"/>
      <c r="AM1205" s="115"/>
      <c r="AN1205" s="115"/>
      <c r="AO1205" s="115"/>
      <c r="AP1205" s="115"/>
      <c r="AQ1205" s="115"/>
      <c r="AR1205" s="115"/>
      <c r="AS1205" s="115"/>
      <c r="AT1205" s="115"/>
      <c r="AU1205" s="115"/>
      <c r="AV1205" s="115"/>
      <c r="AW1205" s="115"/>
      <c r="AX1205" s="115"/>
      <c r="AY1205" s="26"/>
      <c r="AZ1205" s="13"/>
      <c r="BD1205" s="118"/>
      <c r="BE1205" s="118"/>
      <c r="BF1205" s="118"/>
      <c r="BG1205" s="118"/>
    </row>
    <row r="1206" spans="1:59" ht="19.5" x14ac:dyDescent="0.4">
      <c r="B1206" s="115"/>
      <c r="C1206" s="115"/>
      <c r="D1206" s="115"/>
      <c r="E1206" s="115"/>
      <c r="F1206" s="115"/>
      <c r="G1206" s="115"/>
      <c r="H1206" s="115"/>
      <c r="I1206" s="115"/>
      <c r="J1206" s="115"/>
      <c r="K1206" s="115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  <c r="AA1206" s="115"/>
      <c r="AB1206" s="115"/>
      <c r="AC1206" s="115"/>
      <c r="AD1206" s="115"/>
      <c r="AE1206" s="115"/>
      <c r="AF1206" s="115"/>
      <c r="AG1206" s="115"/>
      <c r="AH1206" s="122"/>
      <c r="AI1206" s="122"/>
      <c r="AJ1206" s="122"/>
      <c r="AK1206" s="115"/>
      <c r="AL1206" s="115"/>
      <c r="AM1206" s="115"/>
      <c r="AN1206" s="115"/>
      <c r="AO1206" s="115"/>
      <c r="AP1206" s="115"/>
      <c r="AQ1206" s="115"/>
      <c r="AR1206" s="115"/>
      <c r="AS1206" s="115"/>
      <c r="AT1206" s="115"/>
      <c r="AU1206" s="115"/>
      <c r="AV1206" s="115"/>
      <c r="AW1206" s="115"/>
      <c r="AX1206" s="115"/>
      <c r="AY1206" s="26"/>
      <c r="AZ1206" s="15"/>
      <c r="BD1206" s="118"/>
      <c r="BE1206" s="118"/>
      <c r="BF1206" s="118"/>
      <c r="BG1206" s="118"/>
    </row>
    <row r="1207" spans="1:59" ht="19.5" x14ac:dyDescent="0.4">
      <c r="B1207" s="115"/>
      <c r="C1207" s="115"/>
      <c r="D1207" s="115"/>
      <c r="E1207" s="115"/>
      <c r="F1207" s="115"/>
      <c r="G1207" s="115"/>
      <c r="H1207" s="115"/>
      <c r="I1207" s="115"/>
      <c r="J1207" s="115"/>
      <c r="K1207" s="115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  <c r="AA1207" s="115"/>
      <c r="AB1207" s="115"/>
      <c r="AC1207" s="115"/>
      <c r="AD1207" s="115"/>
      <c r="AE1207" s="115"/>
      <c r="AF1207" s="115"/>
      <c r="AG1207" s="115"/>
      <c r="AH1207" s="122"/>
      <c r="AI1207" s="122"/>
      <c r="AJ1207" s="122"/>
      <c r="AK1207" s="115"/>
      <c r="AL1207" s="115"/>
      <c r="AM1207" s="115"/>
      <c r="AN1207" s="115"/>
      <c r="AO1207" s="115"/>
      <c r="AP1207" s="115"/>
      <c r="AQ1207" s="115"/>
      <c r="AR1207" s="115"/>
      <c r="AS1207" s="115"/>
      <c r="AT1207" s="115"/>
      <c r="AU1207" s="115"/>
      <c r="AV1207" s="115"/>
      <c r="AW1207" s="115"/>
      <c r="AX1207" s="115"/>
      <c r="AY1207" s="26"/>
      <c r="AZ1207" s="15"/>
      <c r="BD1207" s="118"/>
      <c r="BE1207" s="118"/>
      <c r="BF1207" s="118"/>
      <c r="BG1207" s="118"/>
    </row>
    <row r="1208" spans="1:59" ht="19.5" x14ac:dyDescent="0.4">
      <c r="A1208" s="115"/>
      <c r="B1208" s="115"/>
      <c r="C1208" s="115"/>
      <c r="D1208" s="115"/>
      <c r="E1208" s="115"/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15"/>
      <c r="AC1208" s="115"/>
      <c r="AD1208" s="115"/>
      <c r="AE1208" s="115"/>
      <c r="AF1208" s="115"/>
      <c r="AG1208" s="115"/>
      <c r="AH1208" s="122"/>
      <c r="AI1208" s="122"/>
      <c r="AJ1208" s="122"/>
      <c r="AK1208" s="115"/>
      <c r="AL1208" s="115"/>
      <c r="AM1208" s="115"/>
      <c r="AN1208" s="115"/>
      <c r="AO1208" s="115"/>
      <c r="AP1208" s="115"/>
      <c r="AQ1208" s="115"/>
      <c r="AR1208" s="115"/>
      <c r="AS1208" s="115"/>
      <c r="AT1208" s="115"/>
      <c r="AU1208" s="115"/>
      <c r="AV1208" s="115"/>
      <c r="AW1208" s="115"/>
      <c r="AX1208" s="115"/>
      <c r="AY1208" s="26"/>
      <c r="AZ1208" s="15"/>
      <c r="BD1208" s="118"/>
      <c r="BE1208" s="118"/>
      <c r="BF1208" s="118"/>
      <c r="BG1208" s="118"/>
    </row>
    <row r="1209" spans="1:59" ht="19.5" x14ac:dyDescent="0.4">
      <c r="A1209" s="115"/>
      <c r="B1209" s="115"/>
      <c r="C1209" s="115"/>
      <c r="D1209" s="115"/>
      <c r="E1209" s="115"/>
      <c r="F1209" s="115"/>
      <c r="G1209" s="115"/>
      <c r="H1209" s="115"/>
      <c r="I1209" s="115"/>
      <c r="J1209" s="115"/>
      <c r="K1209" s="115"/>
      <c r="L1209" s="115"/>
      <c r="M1209" s="115"/>
      <c r="N1209" s="115"/>
      <c r="O1209" s="115"/>
      <c r="P1209" s="115"/>
      <c r="Q1209" s="115"/>
      <c r="R1209" s="115"/>
      <c r="S1209" s="115"/>
      <c r="T1209" s="115"/>
      <c r="U1209" s="115"/>
      <c r="V1209" s="115"/>
      <c r="W1209" s="115"/>
      <c r="X1209" s="115"/>
      <c r="Y1209" s="115"/>
      <c r="Z1209" s="115"/>
      <c r="AA1209" s="115"/>
      <c r="AB1209" s="115"/>
      <c r="AC1209" s="115"/>
      <c r="AD1209" s="115"/>
      <c r="AE1209" s="115"/>
      <c r="AF1209" s="115"/>
      <c r="AG1209" s="115"/>
      <c r="AH1209" s="122"/>
      <c r="AI1209" s="122"/>
      <c r="AJ1209" s="122"/>
      <c r="AK1209" s="115"/>
      <c r="AL1209" s="115"/>
      <c r="AM1209" s="115"/>
      <c r="AN1209" s="115"/>
      <c r="AO1209" s="115"/>
      <c r="AP1209" s="115"/>
      <c r="AQ1209" s="115"/>
      <c r="AR1209" s="115"/>
      <c r="AS1209" s="115"/>
      <c r="AT1209" s="115"/>
      <c r="AU1209" s="115"/>
      <c r="AV1209" s="115"/>
      <c r="AW1209" s="115"/>
      <c r="AX1209" s="115"/>
      <c r="AY1209" s="26"/>
      <c r="AZ1209" s="15"/>
      <c r="BD1209" s="118"/>
      <c r="BE1209" s="118"/>
      <c r="BF1209" s="118"/>
      <c r="BG1209" s="118"/>
    </row>
    <row r="1210" spans="1:59" ht="20.25" customHeight="1" x14ac:dyDescent="0.4">
      <c r="A1210" s="115"/>
      <c r="B1210" s="115"/>
      <c r="C1210" s="115"/>
      <c r="D1210" s="115"/>
      <c r="E1210" s="115"/>
      <c r="F1210" s="115"/>
      <c r="G1210" s="115"/>
      <c r="H1210" s="115"/>
      <c r="I1210" s="115"/>
      <c r="J1210" s="115"/>
      <c r="K1210" s="115"/>
      <c r="L1210" s="115"/>
      <c r="M1210" s="115"/>
      <c r="N1210" s="115"/>
      <c r="O1210" s="115"/>
      <c r="P1210" s="115"/>
      <c r="Q1210" s="115"/>
      <c r="R1210" s="115"/>
      <c r="S1210" s="115"/>
      <c r="T1210" s="115"/>
      <c r="U1210" s="115"/>
      <c r="V1210" s="115"/>
      <c r="W1210" s="115"/>
      <c r="X1210" s="115"/>
      <c r="Y1210" s="115"/>
      <c r="Z1210" s="115"/>
      <c r="AA1210" s="115"/>
      <c r="AB1210" s="115"/>
      <c r="AC1210" s="115"/>
      <c r="AD1210" s="115"/>
      <c r="AE1210" s="115"/>
      <c r="AF1210" s="115"/>
      <c r="AG1210" s="115"/>
      <c r="AH1210" s="122"/>
      <c r="AI1210" s="122"/>
      <c r="AJ1210" s="122"/>
      <c r="AK1210" s="115"/>
      <c r="AL1210" s="115"/>
      <c r="AM1210" s="115"/>
      <c r="AN1210" s="115"/>
      <c r="AO1210" s="115"/>
      <c r="AP1210" s="115"/>
      <c r="AQ1210" s="115"/>
      <c r="AR1210" s="115"/>
      <c r="AS1210" s="115"/>
      <c r="AT1210" s="115"/>
      <c r="AU1210" s="115"/>
      <c r="AV1210" s="115"/>
      <c r="AW1210" s="115"/>
      <c r="AX1210" s="115"/>
      <c r="AY1210" s="26"/>
      <c r="AZ1210" s="15"/>
      <c r="BD1210" s="118"/>
      <c r="BE1210" s="118"/>
      <c r="BF1210" s="118"/>
      <c r="BG1210" s="118"/>
    </row>
    <row r="1211" spans="1:59" x14ac:dyDescent="0.4">
      <c r="AY1211" s="26"/>
      <c r="AZ1211" s="15"/>
    </row>
    <row r="1212" spans="1:59" x14ac:dyDescent="0.4">
      <c r="AY1212" s="26"/>
      <c r="AZ1212" s="13"/>
    </row>
    <row r="1213" spans="1:59" x14ac:dyDescent="0.4">
      <c r="AC1213" s="115"/>
      <c r="AD1213" s="115"/>
      <c r="AE1213" s="115"/>
      <c r="AF1213" s="115"/>
      <c r="AG1213" s="115"/>
      <c r="AH1213" s="122"/>
      <c r="AI1213" s="122"/>
      <c r="AJ1213" s="122"/>
      <c r="AK1213" s="115"/>
      <c r="AL1213" s="115"/>
      <c r="AM1213" s="115"/>
      <c r="AN1213" s="115"/>
      <c r="AO1213" s="115"/>
      <c r="AP1213" s="115"/>
      <c r="AQ1213" s="115"/>
      <c r="AR1213" s="115"/>
      <c r="AS1213" s="115"/>
      <c r="AT1213" s="115"/>
      <c r="AU1213" s="115"/>
      <c r="AV1213" s="115"/>
      <c r="AW1213" s="115"/>
      <c r="AX1213" s="115"/>
      <c r="AY1213" s="26"/>
      <c r="AZ1213" s="13"/>
    </row>
    <row r="1214" spans="1:59" x14ac:dyDescent="0.4">
      <c r="AC1214" s="115"/>
      <c r="AD1214" s="115"/>
      <c r="AE1214" s="115"/>
      <c r="AF1214" s="115"/>
      <c r="AG1214" s="115"/>
      <c r="AH1214" s="122"/>
      <c r="AI1214" s="122"/>
      <c r="AJ1214" s="122"/>
      <c r="AK1214" s="115"/>
      <c r="AL1214" s="115"/>
      <c r="AM1214" s="115"/>
      <c r="AN1214" s="115"/>
      <c r="AO1214" s="115"/>
      <c r="AP1214" s="115"/>
      <c r="AQ1214" s="115"/>
      <c r="AR1214" s="115"/>
      <c r="AS1214" s="115"/>
      <c r="AT1214" s="115"/>
      <c r="AU1214" s="115"/>
      <c r="AV1214" s="115"/>
      <c r="AW1214" s="115"/>
      <c r="AX1214" s="115"/>
      <c r="AY1214" s="17"/>
      <c r="AZ1214" s="13"/>
    </row>
    <row r="1215" spans="1:59" x14ac:dyDescent="0.4">
      <c r="C1215" s="115"/>
      <c r="D1215" s="115"/>
      <c r="E1215" s="115"/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15"/>
      <c r="AC1215" s="115"/>
      <c r="AD1215" s="115"/>
      <c r="AE1215" s="115"/>
      <c r="AF1215" s="115"/>
      <c r="AG1215" s="115"/>
      <c r="AH1215" s="122"/>
      <c r="AI1215" s="122"/>
      <c r="AJ1215" s="122"/>
      <c r="AK1215" s="115"/>
      <c r="AL1215" s="115"/>
      <c r="AM1215" s="115"/>
      <c r="AN1215" s="115"/>
      <c r="AO1215" s="115"/>
      <c r="AP1215" s="115"/>
      <c r="AQ1215" s="115"/>
      <c r="AR1215" s="115"/>
      <c r="AS1215" s="115"/>
      <c r="AT1215" s="115"/>
      <c r="AU1215" s="115"/>
      <c r="AV1215" s="115"/>
      <c r="AW1215" s="115"/>
      <c r="AX1215" s="115"/>
      <c r="AY1215" s="26"/>
      <c r="AZ1215" s="13"/>
    </row>
    <row r="1216" spans="1:59" x14ac:dyDescent="0.4">
      <c r="C1216" s="115"/>
      <c r="D1216" s="115"/>
      <c r="E1216" s="115"/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15"/>
      <c r="AC1216" s="115"/>
      <c r="AD1216" s="115"/>
      <c r="AE1216" s="115"/>
      <c r="AF1216" s="115"/>
      <c r="AG1216" s="115"/>
      <c r="AH1216" s="122"/>
      <c r="AI1216" s="122"/>
      <c r="AJ1216" s="122"/>
      <c r="AK1216" s="115"/>
      <c r="AL1216" s="115"/>
      <c r="AM1216" s="115"/>
      <c r="AN1216" s="115"/>
      <c r="AO1216" s="115"/>
      <c r="AP1216" s="115"/>
      <c r="AQ1216" s="115"/>
      <c r="AR1216" s="115"/>
      <c r="AS1216" s="115"/>
      <c r="AT1216" s="115"/>
      <c r="AU1216" s="115"/>
      <c r="AV1216" s="115"/>
      <c r="AW1216" s="115"/>
      <c r="AX1216" s="115"/>
      <c r="AY1216" s="26"/>
      <c r="AZ1216" s="13"/>
    </row>
    <row r="1217" spans="1:52" x14ac:dyDescent="0.4">
      <c r="AY1217" s="26"/>
      <c r="AZ1217" s="13"/>
    </row>
    <row r="1218" spans="1:52" x14ac:dyDescent="0.4">
      <c r="E1218" s="115"/>
      <c r="F1218" s="115"/>
      <c r="G1218" s="115"/>
      <c r="H1218" s="115"/>
      <c r="I1218" s="115"/>
      <c r="J1218" s="115"/>
      <c r="K1218" s="115"/>
      <c r="L1218" s="115"/>
      <c r="M1218" s="115"/>
      <c r="N1218" s="115"/>
      <c r="O1218" s="115"/>
      <c r="P1218" s="115"/>
      <c r="Q1218" s="115"/>
      <c r="R1218" s="115"/>
      <c r="S1218" s="115"/>
      <c r="T1218" s="115"/>
      <c r="U1218" s="115"/>
      <c r="V1218" s="115"/>
      <c r="W1218" s="115"/>
      <c r="X1218" s="115"/>
      <c r="Y1218" s="115"/>
      <c r="Z1218" s="115"/>
      <c r="AA1218" s="115"/>
      <c r="AB1218" s="115"/>
      <c r="AC1218" s="115"/>
      <c r="AD1218" s="115"/>
      <c r="AE1218" s="115"/>
      <c r="AF1218" s="115"/>
      <c r="AG1218" s="115"/>
      <c r="AH1218" s="122"/>
      <c r="AI1218" s="122"/>
      <c r="AJ1218" s="122"/>
      <c r="AK1218" s="115"/>
      <c r="AL1218" s="115"/>
      <c r="AM1218" s="115"/>
      <c r="AN1218" s="115"/>
      <c r="AO1218" s="115"/>
      <c r="AP1218" s="115"/>
      <c r="AQ1218" s="115"/>
      <c r="AR1218" s="115"/>
      <c r="AS1218" s="115"/>
      <c r="AT1218" s="115"/>
      <c r="AU1218" s="115"/>
      <c r="AV1218" s="115"/>
      <c r="AW1218" s="115"/>
      <c r="AX1218" s="115"/>
      <c r="AY1218" s="26"/>
      <c r="AZ1218" s="13"/>
    </row>
    <row r="1219" spans="1:52" x14ac:dyDescent="0.4">
      <c r="C1219" s="115"/>
      <c r="D1219" s="115"/>
      <c r="E1219" s="115"/>
      <c r="F1219" s="115"/>
      <c r="G1219" s="115"/>
      <c r="H1219" s="115"/>
      <c r="I1219" s="115"/>
      <c r="J1219" s="115"/>
      <c r="K1219" s="115"/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  <c r="AA1219" s="115"/>
      <c r="AB1219" s="115"/>
      <c r="AC1219" s="115"/>
      <c r="AD1219" s="115"/>
      <c r="AE1219" s="115"/>
      <c r="AF1219" s="115"/>
      <c r="AG1219" s="115"/>
      <c r="AH1219" s="122"/>
      <c r="AI1219" s="122"/>
      <c r="AJ1219" s="122"/>
      <c r="AK1219" s="115"/>
      <c r="AL1219" s="115"/>
      <c r="AM1219" s="115"/>
      <c r="AN1219" s="115"/>
      <c r="AO1219" s="115"/>
      <c r="AP1219" s="115"/>
      <c r="AQ1219" s="115"/>
      <c r="AR1219" s="115"/>
      <c r="AS1219" s="115"/>
      <c r="AT1219" s="115"/>
      <c r="AU1219" s="115"/>
      <c r="AV1219" s="115"/>
      <c r="AW1219" s="115"/>
      <c r="AX1219" s="115"/>
      <c r="AY1219" s="26"/>
      <c r="AZ1219" s="13"/>
    </row>
    <row r="1220" spans="1:52" x14ac:dyDescent="0.4">
      <c r="AY1220" s="26"/>
      <c r="AZ1220" s="13"/>
    </row>
    <row r="1221" spans="1:52" x14ac:dyDescent="0.4">
      <c r="C1221" s="115"/>
      <c r="D1221" s="115"/>
      <c r="E1221" s="115"/>
      <c r="F1221" s="115"/>
      <c r="G1221" s="115"/>
      <c r="H1221" s="115"/>
      <c r="I1221" s="115"/>
      <c r="J1221" s="115"/>
      <c r="K1221" s="115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15"/>
      <c r="AF1221" s="115"/>
      <c r="AG1221" s="115"/>
      <c r="AH1221" s="122"/>
      <c r="AI1221" s="122"/>
      <c r="AJ1221" s="122"/>
      <c r="AK1221" s="115"/>
      <c r="AL1221" s="115"/>
      <c r="AM1221" s="115"/>
      <c r="AN1221" s="115"/>
      <c r="AO1221" s="115"/>
      <c r="AP1221" s="115"/>
      <c r="AQ1221" s="115"/>
      <c r="AR1221" s="115"/>
      <c r="AS1221" s="115"/>
      <c r="AT1221" s="115"/>
      <c r="AU1221" s="115"/>
      <c r="AV1221" s="115"/>
      <c r="AW1221" s="115"/>
      <c r="AX1221" s="115"/>
      <c r="AY1221" s="26"/>
      <c r="AZ1221" s="13"/>
    </row>
    <row r="1222" spans="1:52" x14ac:dyDescent="0.4">
      <c r="AY1222" s="26"/>
      <c r="AZ1222" s="13"/>
    </row>
    <row r="1223" spans="1:52" x14ac:dyDescent="0.4">
      <c r="AB1223" s="115"/>
      <c r="AC1223" s="115"/>
      <c r="AD1223" s="115"/>
      <c r="AE1223" s="115"/>
      <c r="AF1223" s="115"/>
      <c r="AG1223" s="115"/>
      <c r="AH1223" s="122"/>
      <c r="AI1223" s="122"/>
      <c r="AJ1223" s="122"/>
      <c r="AK1223" s="115"/>
      <c r="AL1223" s="115"/>
      <c r="AM1223" s="115"/>
      <c r="AN1223" s="115"/>
      <c r="AO1223" s="115"/>
      <c r="AP1223" s="115"/>
      <c r="AQ1223" s="115"/>
      <c r="AR1223" s="115"/>
      <c r="AS1223" s="115"/>
      <c r="AT1223" s="115"/>
      <c r="AU1223" s="115"/>
      <c r="AV1223" s="115"/>
      <c r="AW1223" s="115"/>
      <c r="AX1223" s="115"/>
      <c r="AY1223" s="26"/>
      <c r="AZ1223" s="13"/>
    </row>
    <row r="1224" spans="1:52" x14ac:dyDescent="0.4">
      <c r="AY1224" s="26"/>
      <c r="AZ1224" s="13"/>
    </row>
    <row r="1225" spans="1:52" x14ac:dyDescent="0.4">
      <c r="D1225" s="115"/>
      <c r="E1225" s="115"/>
      <c r="F1225" s="115"/>
      <c r="G1225" s="115"/>
      <c r="H1225" s="115"/>
      <c r="I1225" s="115"/>
      <c r="J1225" s="115"/>
      <c r="K1225" s="115"/>
      <c r="L1225" s="115"/>
      <c r="M1225" s="115"/>
      <c r="N1225" s="115"/>
      <c r="O1225" s="115"/>
      <c r="P1225" s="115"/>
      <c r="Q1225" s="115"/>
      <c r="R1225" s="115"/>
      <c r="S1225" s="115"/>
      <c r="T1225" s="115"/>
      <c r="U1225" s="115"/>
      <c r="V1225" s="115"/>
      <c r="W1225" s="115"/>
      <c r="X1225" s="115"/>
      <c r="Y1225" s="115"/>
      <c r="Z1225" s="115"/>
      <c r="AA1225" s="115"/>
      <c r="AB1225" s="115"/>
      <c r="AC1225" s="115"/>
      <c r="AD1225" s="115"/>
      <c r="AE1225" s="115"/>
      <c r="AF1225" s="115"/>
      <c r="AG1225" s="115"/>
      <c r="AH1225" s="122"/>
      <c r="AI1225" s="122"/>
      <c r="AJ1225" s="122"/>
      <c r="AK1225" s="115"/>
      <c r="AL1225" s="115"/>
      <c r="AM1225" s="115"/>
      <c r="AN1225" s="115"/>
      <c r="AO1225" s="115"/>
      <c r="AP1225" s="115"/>
      <c r="AQ1225" s="115"/>
      <c r="AR1225" s="115"/>
      <c r="AS1225" s="115"/>
      <c r="AT1225" s="115"/>
      <c r="AU1225" s="115"/>
      <c r="AV1225" s="115"/>
      <c r="AW1225" s="115"/>
      <c r="AX1225" s="115"/>
      <c r="AY1225" s="26"/>
      <c r="AZ1225" s="15"/>
    </row>
    <row r="1226" spans="1:52" x14ac:dyDescent="0.4">
      <c r="D1226" s="115"/>
      <c r="E1226" s="115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22"/>
      <c r="AI1226" s="122"/>
      <c r="AJ1226" s="122"/>
      <c r="AK1226" s="115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15"/>
      <c r="AX1226" s="115"/>
      <c r="AY1226" s="26"/>
      <c r="AZ1226" s="15"/>
    </row>
    <row r="1227" spans="1:52" x14ac:dyDescent="0.4">
      <c r="D1227" s="115"/>
      <c r="E1227" s="115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22"/>
      <c r="AI1227" s="122"/>
      <c r="AJ1227" s="122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15"/>
      <c r="AV1227" s="115"/>
      <c r="AW1227" s="115"/>
      <c r="AX1227" s="115"/>
      <c r="AY1227" s="26"/>
      <c r="AZ1227" s="15"/>
    </row>
    <row r="1228" spans="1:52" x14ac:dyDescent="0.4">
      <c r="AY1228" s="26"/>
      <c r="AZ1228" s="13"/>
    </row>
    <row r="1229" spans="1:52" x14ac:dyDescent="0.4">
      <c r="A1229" s="115"/>
      <c r="B1229" s="115"/>
      <c r="C1229" s="115"/>
      <c r="D1229" s="115"/>
      <c r="E1229" s="115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22"/>
      <c r="AI1229" s="122"/>
      <c r="AJ1229" s="122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115"/>
      <c r="AU1229" s="115"/>
      <c r="AV1229" s="115"/>
      <c r="AW1229" s="115"/>
      <c r="AX1229" s="115"/>
      <c r="AY1229" s="26"/>
      <c r="AZ1229" s="15"/>
    </row>
    <row r="1230" spans="1:52" x14ac:dyDescent="0.4">
      <c r="AY1230" s="26"/>
      <c r="AZ1230" s="15"/>
    </row>
    <row r="1231" spans="1:52" x14ac:dyDescent="0.4">
      <c r="AY1231" s="26"/>
      <c r="AZ1231" s="15"/>
    </row>
    <row r="1232" spans="1:52" x14ac:dyDescent="0.4">
      <c r="E1232" s="115"/>
      <c r="F1232" s="115"/>
      <c r="G1232" s="115"/>
      <c r="H1232" s="115"/>
      <c r="I1232" s="115"/>
      <c r="J1232" s="115"/>
      <c r="K1232" s="115"/>
      <c r="L1232" s="115"/>
      <c r="M1232" s="115"/>
      <c r="N1232" s="115"/>
      <c r="O1232" s="115"/>
      <c r="P1232" s="115"/>
      <c r="Q1232" s="115"/>
      <c r="R1232" s="115"/>
      <c r="S1232" s="115"/>
      <c r="T1232" s="115"/>
      <c r="U1232" s="115"/>
      <c r="V1232" s="115"/>
      <c r="W1232" s="115"/>
      <c r="X1232" s="115"/>
      <c r="Y1232" s="115"/>
      <c r="Z1232" s="115"/>
      <c r="AA1232" s="115"/>
      <c r="AB1232" s="115"/>
      <c r="AC1232" s="115"/>
      <c r="AD1232" s="115"/>
      <c r="AE1232" s="115"/>
      <c r="AF1232" s="115"/>
      <c r="AG1232" s="115"/>
      <c r="AH1232" s="122"/>
      <c r="AI1232" s="122"/>
      <c r="AJ1232" s="122"/>
      <c r="AK1232" s="115"/>
      <c r="AL1232" s="115"/>
      <c r="AM1232" s="115"/>
      <c r="AN1232" s="115"/>
      <c r="AO1232" s="115"/>
      <c r="AP1232" s="115"/>
      <c r="AQ1232" s="115"/>
      <c r="AR1232" s="115"/>
      <c r="AS1232" s="115"/>
      <c r="AT1232" s="115"/>
      <c r="AU1232" s="115"/>
      <c r="AV1232" s="115"/>
      <c r="AW1232" s="115"/>
      <c r="AX1232" s="115"/>
      <c r="AY1232" s="26"/>
      <c r="AZ1232" s="15"/>
    </row>
    <row r="1233" spans="1:52" x14ac:dyDescent="0.4">
      <c r="C1233" s="115"/>
      <c r="D1233" s="115"/>
      <c r="E1233" s="115"/>
      <c r="F1233" s="115"/>
      <c r="G1233" s="115"/>
      <c r="H1233" s="115"/>
      <c r="I1233" s="115"/>
      <c r="J1233" s="115"/>
      <c r="K1233" s="115"/>
      <c r="L1233" s="115"/>
      <c r="M1233" s="115"/>
      <c r="N1233" s="115"/>
      <c r="O1233" s="115"/>
      <c r="P1233" s="115"/>
      <c r="Q1233" s="115"/>
      <c r="R1233" s="115"/>
      <c r="S1233" s="115"/>
      <c r="T1233" s="115"/>
      <c r="U1233" s="115"/>
      <c r="V1233" s="115"/>
      <c r="W1233" s="115"/>
      <c r="X1233" s="115"/>
      <c r="Y1233" s="115"/>
      <c r="Z1233" s="115"/>
      <c r="AA1233" s="115"/>
      <c r="AB1233" s="115"/>
      <c r="AC1233" s="115"/>
      <c r="AD1233" s="115"/>
      <c r="AE1233" s="115"/>
      <c r="AF1233" s="115"/>
      <c r="AG1233" s="115"/>
      <c r="AH1233" s="122"/>
      <c r="AI1233" s="122"/>
      <c r="AJ1233" s="122"/>
      <c r="AK1233" s="115"/>
      <c r="AL1233" s="115"/>
      <c r="AM1233" s="115"/>
      <c r="AN1233" s="115"/>
      <c r="AO1233" s="115"/>
      <c r="AP1233" s="115"/>
      <c r="AQ1233" s="115"/>
      <c r="AR1233" s="115"/>
      <c r="AS1233" s="115"/>
      <c r="AT1233" s="115"/>
      <c r="AU1233" s="115"/>
      <c r="AV1233" s="115"/>
      <c r="AW1233" s="115"/>
      <c r="AX1233" s="115"/>
      <c r="AY1233" s="26"/>
      <c r="AZ1233" s="15"/>
    </row>
    <row r="1234" spans="1:52" x14ac:dyDescent="0.4">
      <c r="AY1234" s="26"/>
      <c r="AZ1234" s="15"/>
    </row>
    <row r="1235" spans="1:52" x14ac:dyDescent="0.4">
      <c r="AA1235" s="115"/>
      <c r="AB1235" s="115"/>
      <c r="AC1235" s="115"/>
      <c r="AD1235" s="115"/>
      <c r="AE1235" s="115"/>
      <c r="AF1235" s="115"/>
      <c r="AG1235" s="115"/>
      <c r="AH1235" s="122"/>
      <c r="AI1235" s="122"/>
      <c r="AJ1235" s="122"/>
      <c r="AK1235" s="115"/>
      <c r="AL1235" s="115"/>
      <c r="AM1235" s="115"/>
      <c r="AN1235" s="115"/>
      <c r="AO1235" s="115"/>
      <c r="AP1235" s="115"/>
      <c r="AQ1235" s="115"/>
      <c r="AR1235" s="115"/>
      <c r="AS1235" s="115"/>
      <c r="AT1235" s="115"/>
      <c r="AU1235" s="115"/>
      <c r="AV1235" s="115"/>
      <c r="AW1235" s="115"/>
      <c r="AX1235" s="115"/>
      <c r="AY1235" s="26"/>
      <c r="AZ1235" s="15"/>
    </row>
    <row r="1236" spans="1:52" x14ac:dyDescent="0.4">
      <c r="D1236" s="115"/>
      <c r="E1236" s="115"/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15"/>
      <c r="AC1236" s="115"/>
      <c r="AD1236" s="115"/>
      <c r="AE1236" s="115"/>
      <c r="AF1236" s="115"/>
      <c r="AG1236" s="115"/>
      <c r="AH1236" s="122"/>
      <c r="AI1236" s="122"/>
      <c r="AJ1236" s="122"/>
      <c r="AK1236" s="115"/>
      <c r="AL1236" s="115"/>
      <c r="AM1236" s="115"/>
      <c r="AN1236" s="115"/>
      <c r="AO1236" s="115"/>
      <c r="AP1236" s="115"/>
      <c r="AQ1236" s="115"/>
      <c r="AR1236" s="115"/>
      <c r="AS1236" s="115"/>
      <c r="AT1236" s="115"/>
      <c r="AU1236" s="115"/>
      <c r="AV1236" s="115"/>
      <c r="AW1236" s="115"/>
      <c r="AX1236" s="115"/>
      <c r="AY1236" s="26"/>
      <c r="AZ1236" s="15"/>
    </row>
    <row r="1237" spans="1:52" x14ac:dyDescent="0.4">
      <c r="D1237" s="115"/>
      <c r="E1237" s="115"/>
      <c r="F1237" s="115"/>
      <c r="G1237" s="115"/>
      <c r="H1237" s="115"/>
      <c r="I1237" s="115"/>
      <c r="J1237" s="115"/>
      <c r="K1237" s="115"/>
      <c r="L1237" s="115"/>
      <c r="M1237" s="115"/>
      <c r="N1237" s="115"/>
      <c r="O1237" s="115"/>
      <c r="P1237" s="115"/>
      <c r="Q1237" s="115"/>
      <c r="R1237" s="115"/>
      <c r="S1237" s="115"/>
      <c r="T1237" s="115"/>
      <c r="U1237" s="115"/>
      <c r="V1237" s="115"/>
      <c r="W1237" s="115"/>
      <c r="X1237" s="115"/>
      <c r="Y1237" s="115"/>
      <c r="Z1237" s="115"/>
      <c r="AA1237" s="115"/>
      <c r="AB1237" s="115"/>
      <c r="AC1237" s="115"/>
      <c r="AD1237" s="115"/>
      <c r="AE1237" s="115"/>
      <c r="AF1237" s="115"/>
      <c r="AG1237" s="115"/>
      <c r="AH1237" s="122"/>
      <c r="AI1237" s="122"/>
      <c r="AJ1237" s="122"/>
      <c r="AK1237" s="115"/>
      <c r="AL1237" s="115"/>
      <c r="AM1237" s="115"/>
      <c r="AN1237" s="115"/>
      <c r="AO1237" s="115"/>
      <c r="AP1237" s="115"/>
      <c r="AQ1237" s="115"/>
      <c r="AR1237" s="115"/>
      <c r="AS1237" s="115"/>
      <c r="AT1237" s="115"/>
      <c r="AU1237" s="115"/>
      <c r="AV1237" s="115"/>
      <c r="AW1237" s="115"/>
      <c r="AX1237" s="115"/>
      <c r="AY1237" s="26"/>
      <c r="AZ1237" s="15"/>
    </row>
    <row r="1238" spans="1:52" x14ac:dyDescent="0.4">
      <c r="D1238" s="115"/>
      <c r="E1238" s="115"/>
      <c r="F1238" s="115"/>
      <c r="G1238" s="115"/>
      <c r="H1238" s="115"/>
      <c r="I1238" s="115"/>
      <c r="J1238" s="115"/>
      <c r="K1238" s="115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15"/>
      <c r="AF1238" s="115"/>
      <c r="AG1238" s="115"/>
      <c r="AH1238" s="122"/>
      <c r="AI1238" s="122"/>
      <c r="AJ1238" s="122"/>
      <c r="AK1238" s="115"/>
      <c r="AL1238" s="115"/>
      <c r="AM1238" s="115"/>
      <c r="AN1238" s="115"/>
      <c r="AO1238" s="115"/>
      <c r="AP1238" s="115"/>
      <c r="AQ1238" s="115"/>
      <c r="AR1238" s="115"/>
      <c r="AS1238" s="115"/>
      <c r="AT1238" s="115"/>
      <c r="AU1238" s="115"/>
      <c r="AV1238" s="115"/>
      <c r="AW1238" s="115"/>
      <c r="AX1238" s="115"/>
      <c r="AY1238" s="26"/>
      <c r="AZ1238" s="15"/>
    </row>
    <row r="1239" spans="1:52" x14ac:dyDescent="0.4">
      <c r="C1239" s="115"/>
      <c r="D1239" s="115"/>
      <c r="E1239" s="115"/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22"/>
      <c r="AI1239" s="122"/>
      <c r="AJ1239" s="122"/>
      <c r="AK1239" s="115"/>
      <c r="AL1239" s="115"/>
      <c r="AM1239" s="115"/>
      <c r="AN1239" s="115"/>
      <c r="AO1239" s="115"/>
      <c r="AP1239" s="115"/>
      <c r="AQ1239" s="115"/>
      <c r="AR1239" s="115"/>
      <c r="AS1239" s="115"/>
      <c r="AT1239" s="115"/>
      <c r="AU1239" s="115"/>
      <c r="AV1239" s="115"/>
      <c r="AW1239" s="115"/>
      <c r="AX1239" s="115"/>
      <c r="AY1239" s="26"/>
      <c r="AZ1239" s="15"/>
    </row>
    <row r="1240" spans="1:52" x14ac:dyDescent="0.4">
      <c r="AY1240" s="26"/>
      <c r="AZ1240" s="15"/>
    </row>
    <row r="1241" spans="1:52" x14ac:dyDescent="0.4">
      <c r="AD1241" s="115"/>
      <c r="AE1241" s="115"/>
      <c r="AF1241" s="115"/>
      <c r="AG1241" s="115"/>
      <c r="AH1241" s="122"/>
      <c r="AI1241" s="122"/>
      <c r="AJ1241" s="122"/>
      <c r="AK1241" s="115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15"/>
      <c r="AY1241" s="17"/>
      <c r="AZ1241" s="15"/>
    </row>
    <row r="1242" spans="1:52" x14ac:dyDescent="0.4">
      <c r="AY1242" s="26"/>
      <c r="AZ1242" s="15"/>
    </row>
    <row r="1243" spans="1:52" x14ac:dyDescent="0.4">
      <c r="AB1243" s="115"/>
      <c r="AC1243" s="115"/>
      <c r="AD1243" s="115"/>
      <c r="AE1243" s="115"/>
      <c r="AF1243" s="115"/>
      <c r="AG1243" s="115"/>
      <c r="AH1243" s="122"/>
      <c r="AI1243" s="122"/>
      <c r="AJ1243" s="122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15"/>
      <c r="AW1243" s="115"/>
      <c r="AX1243" s="115"/>
      <c r="AY1243" s="26"/>
      <c r="AZ1243" s="15"/>
    </row>
    <row r="1244" spans="1:52" x14ac:dyDescent="0.4">
      <c r="AY1244" s="26"/>
      <c r="AZ1244" s="15"/>
    </row>
    <row r="1245" spans="1:52" x14ac:dyDescent="0.4">
      <c r="AY1245" s="26"/>
      <c r="AZ1245" s="15"/>
    </row>
    <row r="1246" spans="1:52" x14ac:dyDescent="0.4">
      <c r="E1246" s="115"/>
      <c r="F1246" s="115"/>
      <c r="G1246" s="115"/>
      <c r="H1246" s="115"/>
      <c r="I1246" s="115"/>
      <c r="J1246" s="115"/>
      <c r="K1246" s="115"/>
      <c r="L1246" s="115"/>
      <c r="M1246" s="115"/>
      <c r="N1246" s="115"/>
      <c r="O1246" s="115"/>
      <c r="P1246" s="115"/>
      <c r="Q1246" s="115"/>
      <c r="R1246" s="115"/>
      <c r="S1246" s="115"/>
      <c r="T1246" s="115"/>
      <c r="U1246" s="115"/>
      <c r="V1246" s="115"/>
      <c r="W1246" s="115"/>
      <c r="X1246" s="115"/>
      <c r="Y1246" s="115"/>
      <c r="Z1246" s="115"/>
      <c r="AA1246" s="115"/>
      <c r="AB1246" s="115"/>
      <c r="AC1246" s="115"/>
      <c r="AD1246" s="115"/>
      <c r="AE1246" s="115"/>
      <c r="AF1246" s="115"/>
      <c r="AG1246" s="115"/>
      <c r="AH1246" s="122"/>
      <c r="AI1246" s="122"/>
      <c r="AJ1246" s="122"/>
      <c r="AK1246" s="115"/>
      <c r="AL1246" s="115"/>
      <c r="AM1246" s="115"/>
      <c r="AN1246" s="115"/>
      <c r="AO1246" s="115"/>
      <c r="AP1246" s="115"/>
      <c r="AQ1246" s="115"/>
      <c r="AR1246" s="115"/>
      <c r="AS1246" s="115"/>
      <c r="AT1246" s="115"/>
      <c r="AU1246" s="115"/>
      <c r="AV1246" s="115"/>
      <c r="AW1246" s="115"/>
      <c r="AX1246" s="115"/>
      <c r="AY1246" s="26"/>
      <c r="AZ1246" s="15"/>
    </row>
    <row r="1247" spans="1:52" x14ac:dyDescent="0.4">
      <c r="E1247" s="115"/>
      <c r="F1247" s="115"/>
      <c r="G1247" s="115"/>
      <c r="H1247" s="115"/>
      <c r="I1247" s="115"/>
      <c r="J1247" s="115"/>
      <c r="K1247" s="115"/>
      <c r="L1247" s="115"/>
      <c r="M1247" s="115"/>
      <c r="N1247" s="115"/>
      <c r="O1247" s="115"/>
      <c r="P1247" s="115"/>
      <c r="Q1247" s="115"/>
      <c r="R1247" s="115"/>
      <c r="S1247" s="115"/>
      <c r="T1247" s="115"/>
      <c r="U1247" s="115"/>
      <c r="V1247" s="115"/>
      <c r="W1247" s="115"/>
      <c r="X1247" s="115"/>
      <c r="Y1247" s="115"/>
      <c r="Z1247" s="115"/>
      <c r="AA1247" s="115"/>
      <c r="AB1247" s="115"/>
      <c r="AC1247" s="115"/>
      <c r="AD1247" s="115"/>
      <c r="AE1247" s="115"/>
      <c r="AF1247" s="115"/>
      <c r="AG1247" s="115"/>
      <c r="AH1247" s="122"/>
      <c r="AI1247" s="122"/>
      <c r="AJ1247" s="122"/>
      <c r="AK1247" s="115"/>
      <c r="AL1247" s="115"/>
      <c r="AM1247" s="115"/>
      <c r="AN1247" s="115"/>
      <c r="AO1247" s="115"/>
      <c r="AP1247" s="115"/>
      <c r="AQ1247" s="115"/>
      <c r="AR1247" s="115"/>
      <c r="AS1247" s="115"/>
      <c r="AT1247" s="115"/>
      <c r="AU1247" s="115"/>
      <c r="AV1247" s="115"/>
      <c r="AW1247" s="115"/>
      <c r="AX1247" s="115"/>
      <c r="AY1247" s="26"/>
      <c r="AZ1247" s="15"/>
    </row>
    <row r="1248" spans="1:52" x14ac:dyDescent="0.4">
      <c r="A1248" s="115"/>
      <c r="B1248" s="115"/>
      <c r="C1248" s="115"/>
      <c r="D1248" s="115"/>
      <c r="E1248" s="115"/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22"/>
      <c r="AI1248" s="122"/>
      <c r="AJ1248" s="122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26"/>
      <c r="AZ1248" s="15"/>
    </row>
    <row r="1249" spans="1:52" x14ac:dyDescent="0.4">
      <c r="A1249" s="115"/>
      <c r="B1249" s="115"/>
      <c r="C1249" s="115"/>
      <c r="D1249" s="115"/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22"/>
      <c r="AI1249" s="122"/>
      <c r="AJ1249" s="122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15"/>
      <c r="AV1249" s="115"/>
      <c r="AW1249" s="115"/>
      <c r="AX1249" s="115"/>
      <c r="AY1249" s="26"/>
      <c r="AZ1249" s="15"/>
    </row>
    <row r="1250" spans="1:52" x14ac:dyDescent="0.4">
      <c r="AY1250" s="26"/>
      <c r="AZ1250" s="15"/>
    </row>
    <row r="1251" spans="1:52" x14ac:dyDescent="0.4">
      <c r="AD1251" s="115"/>
      <c r="AE1251" s="115"/>
      <c r="AF1251" s="115"/>
      <c r="AG1251" s="115"/>
      <c r="AH1251" s="122"/>
      <c r="AI1251" s="122"/>
      <c r="AJ1251" s="122"/>
      <c r="AK1251" s="115"/>
      <c r="AL1251" s="115"/>
      <c r="AM1251" s="115"/>
      <c r="AN1251" s="115"/>
      <c r="AO1251" s="115"/>
      <c r="AP1251" s="115"/>
      <c r="AQ1251" s="115"/>
      <c r="AR1251" s="115"/>
      <c r="AS1251" s="115"/>
      <c r="AT1251" s="115"/>
      <c r="AU1251" s="115"/>
      <c r="AV1251" s="115"/>
      <c r="AW1251" s="115"/>
      <c r="AX1251" s="115"/>
      <c r="AY1251" s="17"/>
      <c r="AZ1251" s="15"/>
    </row>
    <row r="1252" spans="1:52" x14ac:dyDescent="0.4">
      <c r="AY1252" s="26"/>
      <c r="AZ1252" s="15"/>
    </row>
    <row r="1253" spans="1:52" x14ac:dyDescent="0.4"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15"/>
      <c r="AF1253" s="115"/>
      <c r="AG1253" s="115"/>
      <c r="AH1253" s="122"/>
      <c r="AI1253" s="122"/>
      <c r="AJ1253" s="122"/>
      <c r="AK1253" s="115"/>
      <c r="AL1253" s="115"/>
      <c r="AM1253" s="115"/>
      <c r="AN1253" s="115"/>
      <c r="AO1253" s="115"/>
      <c r="AP1253" s="115"/>
      <c r="AQ1253" s="115"/>
      <c r="AR1253" s="115"/>
      <c r="AS1253" s="115"/>
      <c r="AT1253" s="115"/>
      <c r="AU1253" s="115"/>
      <c r="AV1253" s="115"/>
      <c r="AW1253" s="115"/>
      <c r="AX1253" s="115"/>
      <c r="AY1253" s="26"/>
      <c r="AZ1253" s="15"/>
    </row>
    <row r="1254" spans="1:52" x14ac:dyDescent="0.4">
      <c r="C1254" s="115"/>
      <c r="D1254" s="115"/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  <c r="AA1254" s="115"/>
      <c r="AB1254" s="115"/>
      <c r="AC1254" s="115"/>
      <c r="AD1254" s="115"/>
      <c r="AE1254" s="115"/>
      <c r="AF1254" s="115"/>
      <c r="AG1254" s="115"/>
      <c r="AH1254" s="122"/>
      <c r="AI1254" s="122"/>
      <c r="AJ1254" s="122"/>
      <c r="AK1254" s="115"/>
      <c r="AL1254" s="115"/>
      <c r="AM1254" s="115"/>
      <c r="AN1254" s="115"/>
      <c r="AO1254" s="115"/>
      <c r="AP1254" s="115"/>
      <c r="AQ1254" s="115"/>
      <c r="AR1254" s="115"/>
      <c r="AS1254" s="115"/>
      <c r="AT1254" s="115"/>
      <c r="AU1254" s="115"/>
      <c r="AV1254" s="115"/>
      <c r="AW1254" s="115"/>
      <c r="AX1254" s="115"/>
      <c r="AY1254" s="26"/>
      <c r="AZ1254" s="15"/>
    </row>
    <row r="1255" spans="1:52" x14ac:dyDescent="0.4">
      <c r="C1255" s="115"/>
      <c r="D1255" s="115"/>
      <c r="E1255" s="115"/>
      <c r="F1255" s="115"/>
      <c r="G1255" s="115"/>
      <c r="H1255" s="115"/>
      <c r="I1255" s="115"/>
      <c r="J1255" s="115"/>
      <c r="K1255" s="115"/>
      <c r="L1255" s="115"/>
      <c r="M1255" s="115"/>
      <c r="N1255" s="115"/>
      <c r="O1255" s="115"/>
      <c r="P1255" s="115"/>
      <c r="Q1255" s="115"/>
      <c r="R1255" s="115"/>
      <c r="S1255" s="115"/>
      <c r="T1255" s="115"/>
      <c r="U1255" s="115"/>
      <c r="V1255" s="115"/>
      <c r="W1255" s="115"/>
      <c r="X1255" s="115"/>
      <c r="Y1255" s="115"/>
      <c r="Z1255" s="115"/>
      <c r="AA1255" s="115"/>
      <c r="AB1255" s="115"/>
      <c r="AC1255" s="115"/>
      <c r="AD1255" s="115"/>
      <c r="AE1255" s="115"/>
      <c r="AF1255" s="115"/>
      <c r="AG1255" s="115"/>
      <c r="AH1255" s="122"/>
      <c r="AI1255" s="122"/>
      <c r="AJ1255" s="122"/>
      <c r="AK1255" s="115"/>
      <c r="AL1255" s="115"/>
      <c r="AM1255" s="115"/>
      <c r="AN1255" s="115"/>
      <c r="AO1255" s="115"/>
      <c r="AP1255" s="115"/>
      <c r="AQ1255" s="115"/>
      <c r="AR1255" s="115"/>
      <c r="AS1255" s="115"/>
      <c r="AT1255" s="115"/>
      <c r="AU1255" s="115"/>
      <c r="AV1255" s="115"/>
      <c r="AW1255" s="115"/>
      <c r="AX1255" s="115"/>
      <c r="AY1255" s="17"/>
      <c r="AZ1255" s="15"/>
    </row>
    <row r="1256" spans="1:52" x14ac:dyDescent="0.4">
      <c r="AY1256" s="26"/>
      <c r="AZ1256" s="15"/>
    </row>
    <row r="1257" spans="1:52" x14ac:dyDescent="0.4">
      <c r="D1257" s="115"/>
      <c r="E1257" s="115"/>
      <c r="F1257" s="115"/>
      <c r="G1257" s="115"/>
      <c r="H1257" s="115"/>
      <c r="I1257" s="115"/>
      <c r="J1257" s="115"/>
      <c r="K1257" s="115"/>
      <c r="L1257" s="115"/>
      <c r="M1257" s="115"/>
      <c r="N1257" s="115"/>
      <c r="O1257" s="115"/>
      <c r="P1257" s="115"/>
      <c r="Q1257" s="115"/>
      <c r="R1257" s="115"/>
      <c r="S1257" s="115"/>
      <c r="T1257" s="115"/>
      <c r="U1257" s="115"/>
      <c r="V1257" s="115"/>
      <c r="W1257" s="115"/>
      <c r="X1257" s="115"/>
      <c r="Y1257" s="115"/>
      <c r="Z1257" s="115"/>
      <c r="AA1257" s="115"/>
      <c r="AB1257" s="115"/>
      <c r="AC1257" s="115"/>
      <c r="AD1257" s="115"/>
      <c r="AE1257" s="115"/>
      <c r="AF1257" s="115"/>
      <c r="AG1257" s="115"/>
      <c r="AH1257" s="122"/>
      <c r="AI1257" s="122"/>
      <c r="AJ1257" s="122"/>
      <c r="AK1257" s="115"/>
      <c r="AL1257" s="115"/>
      <c r="AM1257" s="115"/>
      <c r="AN1257" s="115"/>
      <c r="AO1257" s="115"/>
      <c r="AP1257" s="115"/>
      <c r="AQ1257" s="115"/>
      <c r="AR1257" s="115"/>
      <c r="AS1257" s="115"/>
      <c r="AT1257" s="115"/>
      <c r="AU1257" s="115"/>
      <c r="AV1257" s="115"/>
      <c r="AW1257" s="115"/>
      <c r="AX1257" s="115"/>
      <c r="AY1257" s="26"/>
      <c r="AZ1257" s="15"/>
    </row>
    <row r="1258" spans="1:52" x14ac:dyDescent="0.4">
      <c r="D1258" s="115"/>
      <c r="E1258" s="115"/>
      <c r="F1258" s="115"/>
      <c r="G1258" s="115"/>
      <c r="H1258" s="115"/>
      <c r="I1258" s="115"/>
      <c r="J1258" s="115"/>
      <c r="K1258" s="115"/>
      <c r="L1258" s="115"/>
      <c r="M1258" s="115"/>
      <c r="N1258" s="115"/>
      <c r="O1258" s="115"/>
      <c r="P1258" s="115"/>
      <c r="Q1258" s="115"/>
      <c r="R1258" s="115"/>
      <c r="S1258" s="115"/>
      <c r="T1258" s="115"/>
      <c r="U1258" s="115"/>
      <c r="V1258" s="115"/>
      <c r="W1258" s="115"/>
      <c r="X1258" s="115"/>
      <c r="Y1258" s="115"/>
      <c r="Z1258" s="115"/>
      <c r="AA1258" s="115"/>
      <c r="AB1258" s="115"/>
      <c r="AC1258" s="115"/>
      <c r="AD1258" s="115"/>
      <c r="AE1258" s="115"/>
      <c r="AF1258" s="115"/>
      <c r="AG1258" s="115"/>
      <c r="AH1258" s="122"/>
      <c r="AI1258" s="122"/>
      <c r="AJ1258" s="122"/>
      <c r="AK1258" s="115"/>
      <c r="AL1258" s="115"/>
      <c r="AM1258" s="115"/>
      <c r="AN1258" s="115"/>
      <c r="AO1258" s="115"/>
      <c r="AP1258" s="115"/>
      <c r="AQ1258" s="115"/>
      <c r="AR1258" s="115"/>
      <c r="AS1258" s="115"/>
      <c r="AT1258" s="115"/>
      <c r="AU1258" s="115"/>
      <c r="AV1258" s="115"/>
      <c r="AW1258" s="115"/>
      <c r="AX1258" s="115"/>
      <c r="AY1258" s="17"/>
      <c r="AZ1258" s="15"/>
    </row>
    <row r="1259" spans="1:52" x14ac:dyDescent="0.4">
      <c r="AY1259" s="26"/>
      <c r="AZ1259" s="15"/>
    </row>
    <row r="1260" spans="1:52" x14ac:dyDescent="0.4">
      <c r="AD1260" s="115"/>
      <c r="AE1260" s="115"/>
      <c r="AF1260" s="115"/>
      <c r="AG1260" s="115"/>
      <c r="AH1260" s="122"/>
      <c r="AI1260" s="122"/>
      <c r="AJ1260" s="122"/>
      <c r="AK1260" s="115"/>
      <c r="AL1260" s="115"/>
      <c r="AM1260" s="115"/>
      <c r="AN1260" s="115"/>
      <c r="AO1260" s="115"/>
      <c r="AP1260" s="115"/>
      <c r="AQ1260" s="115"/>
      <c r="AR1260" s="115"/>
      <c r="AS1260" s="115"/>
      <c r="AT1260" s="115"/>
      <c r="AU1260" s="115"/>
      <c r="AV1260" s="115"/>
      <c r="AW1260" s="115"/>
      <c r="AX1260" s="115"/>
      <c r="AY1260" s="17"/>
      <c r="AZ1260" s="15"/>
    </row>
    <row r="1261" spans="1:52" x14ac:dyDescent="0.4">
      <c r="C1261" s="115"/>
      <c r="D1261" s="115"/>
      <c r="E1261" s="115"/>
      <c r="F1261" s="115"/>
      <c r="G1261" s="115"/>
      <c r="H1261" s="115"/>
      <c r="I1261" s="115"/>
      <c r="J1261" s="115"/>
      <c r="K1261" s="115"/>
      <c r="L1261" s="115"/>
      <c r="M1261" s="115"/>
      <c r="N1261" s="115"/>
      <c r="O1261" s="115"/>
      <c r="P1261" s="115"/>
      <c r="Q1261" s="115"/>
      <c r="R1261" s="115"/>
      <c r="S1261" s="115"/>
      <c r="T1261" s="115"/>
      <c r="U1261" s="115"/>
      <c r="V1261" s="115"/>
      <c r="W1261" s="115"/>
      <c r="X1261" s="115"/>
      <c r="Y1261" s="115"/>
      <c r="Z1261" s="115"/>
      <c r="AA1261" s="115"/>
      <c r="AB1261" s="115"/>
      <c r="AC1261" s="115"/>
      <c r="AD1261" s="115"/>
      <c r="AE1261" s="115"/>
      <c r="AF1261" s="115"/>
      <c r="AG1261" s="115"/>
      <c r="AH1261" s="122"/>
      <c r="AI1261" s="122"/>
      <c r="AJ1261" s="122"/>
      <c r="AK1261" s="115"/>
      <c r="AL1261" s="115"/>
      <c r="AM1261" s="115"/>
      <c r="AN1261" s="115"/>
      <c r="AO1261" s="115"/>
      <c r="AP1261" s="115"/>
      <c r="AQ1261" s="115"/>
      <c r="AR1261" s="115"/>
      <c r="AS1261" s="115"/>
      <c r="AT1261" s="115"/>
      <c r="AU1261" s="115"/>
      <c r="AV1261" s="115"/>
      <c r="AW1261" s="115"/>
      <c r="AX1261" s="115"/>
      <c r="AY1261" s="26"/>
      <c r="AZ1261" s="15"/>
    </row>
    <row r="1262" spans="1:52" x14ac:dyDescent="0.4">
      <c r="C1262" s="115"/>
      <c r="D1262" s="115"/>
      <c r="E1262" s="115"/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22"/>
      <c r="AI1262" s="122"/>
      <c r="AJ1262" s="122"/>
      <c r="AK1262" s="115"/>
      <c r="AL1262" s="115"/>
      <c r="AM1262" s="115"/>
      <c r="AN1262" s="115"/>
      <c r="AO1262" s="115"/>
      <c r="AP1262" s="115"/>
      <c r="AQ1262" s="115"/>
      <c r="AR1262" s="115"/>
      <c r="AS1262" s="115"/>
      <c r="AT1262" s="115"/>
      <c r="AU1262" s="115"/>
      <c r="AV1262" s="115"/>
      <c r="AW1262" s="115"/>
      <c r="AX1262" s="115"/>
      <c r="AY1262" s="17"/>
      <c r="AZ1262" s="15"/>
    </row>
    <row r="1263" spans="1:52" x14ac:dyDescent="0.4">
      <c r="AY1263" s="26"/>
      <c r="AZ1263" s="15"/>
    </row>
    <row r="1264" spans="1:52" x14ac:dyDescent="0.4">
      <c r="AY1264" s="26"/>
      <c r="AZ1264" s="15"/>
    </row>
    <row r="1265" spans="3:52" x14ac:dyDescent="0.4">
      <c r="AC1265" s="115"/>
      <c r="AD1265" s="115"/>
      <c r="AE1265" s="115"/>
      <c r="AF1265" s="115"/>
      <c r="AG1265" s="115"/>
      <c r="AH1265" s="122"/>
      <c r="AI1265" s="122"/>
      <c r="AJ1265" s="122"/>
      <c r="AK1265" s="115"/>
      <c r="AL1265" s="115"/>
      <c r="AM1265" s="115"/>
      <c r="AN1265" s="115"/>
      <c r="AO1265" s="115"/>
      <c r="AP1265" s="115"/>
      <c r="AQ1265" s="115"/>
      <c r="AR1265" s="115"/>
      <c r="AS1265" s="115"/>
      <c r="AT1265" s="115"/>
      <c r="AU1265" s="115"/>
      <c r="AV1265" s="115"/>
      <c r="AW1265" s="115"/>
      <c r="AX1265" s="115"/>
      <c r="AY1265" s="26"/>
      <c r="AZ1265" s="15"/>
    </row>
    <row r="1266" spans="3:52" x14ac:dyDescent="0.4">
      <c r="AA1266" s="115"/>
      <c r="AB1266" s="115"/>
      <c r="AC1266" s="115"/>
      <c r="AD1266" s="115"/>
      <c r="AE1266" s="115"/>
      <c r="AF1266" s="115"/>
      <c r="AG1266" s="115"/>
      <c r="AH1266" s="122"/>
      <c r="AI1266" s="122"/>
      <c r="AJ1266" s="122"/>
      <c r="AK1266" s="115"/>
      <c r="AL1266" s="115"/>
      <c r="AM1266" s="115"/>
      <c r="AN1266" s="115"/>
      <c r="AO1266" s="115"/>
      <c r="AP1266" s="115"/>
      <c r="AQ1266" s="115"/>
      <c r="AR1266" s="115"/>
      <c r="AS1266" s="115"/>
      <c r="AT1266" s="115"/>
      <c r="AU1266" s="115"/>
      <c r="AV1266" s="115"/>
      <c r="AW1266" s="115"/>
      <c r="AX1266" s="115"/>
      <c r="AY1266" s="26"/>
      <c r="AZ1266" s="15"/>
    </row>
    <row r="1267" spans="3:52" x14ac:dyDescent="0.4">
      <c r="AA1267" s="115"/>
      <c r="AB1267" s="115"/>
      <c r="AC1267" s="115"/>
      <c r="AD1267" s="115"/>
      <c r="AE1267" s="115"/>
      <c r="AF1267" s="115"/>
      <c r="AG1267" s="115"/>
      <c r="AH1267" s="122"/>
      <c r="AI1267" s="122"/>
      <c r="AJ1267" s="122"/>
      <c r="AK1267" s="115"/>
      <c r="AL1267" s="115"/>
      <c r="AM1267" s="115"/>
      <c r="AN1267" s="115"/>
      <c r="AO1267" s="115"/>
      <c r="AP1267" s="115"/>
      <c r="AQ1267" s="115"/>
      <c r="AR1267" s="115"/>
      <c r="AS1267" s="115"/>
      <c r="AT1267" s="115"/>
      <c r="AU1267" s="115"/>
      <c r="AV1267" s="115"/>
      <c r="AW1267" s="115"/>
      <c r="AX1267" s="115"/>
      <c r="AY1267" s="26"/>
      <c r="AZ1267" s="15"/>
    </row>
    <row r="1268" spans="3:52" x14ac:dyDescent="0.4">
      <c r="E1268" s="115"/>
      <c r="F1268" s="115"/>
      <c r="G1268" s="115"/>
      <c r="H1268" s="115"/>
      <c r="I1268" s="115"/>
      <c r="J1268" s="115"/>
      <c r="K1268" s="115"/>
      <c r="L1268" s="115"/>
      <c r="M1268" s="115"/>
      <c r="N1268" s="115"/>
      <c r="O1268" s="115"/>
      <c r="P1268" s="115"/>
      <c r="Q1268" s="115"/>
      <c r="R1268" s="115"/>
      <c r="S1268" s="115"/>
      <c r="T1268" s="115"/>
      <c r="U1268" s="115"/>
      <c r="V1268" s="115"/>
      <c r="W1268" s="115"/>
      <c r="X1268" s="115"/>
      <c r="Y1268" s="115"/>
      <c r="Z1268" s="115"/>
      <c r="AA1268" s="115"/>
      <c r="AB1268" s="115"/>
      <c r="AC1268" s="115"/>
      <c r="AD1268" s="115"/>
      <c r="AE1268" s="115"/>
      <c r="AF1268" s="115"/>
      <c r="AG1268" s="115"/>
      <c r="AH1268" s="122"/>
      <c r="AI1268" s="122"/>
      <c r="AJ1268" s="122"/>
      <c r="AK1268" s="115"/>
      <c r="AL1268" s="115"/>
      <c r="AM1268" s="115"/>
      <c r="AN1268" s="115"/>
      <c r="AO1268" s="115"/>
      <c r="AP1268" s="115"/>
      <c r="AQ1268" s="115"/>
      <c r="AR1268" s="115"/>
      <c r="AS1268" s="115"/>
      <c r="AT1268" s="115"/>
      <c r="AU1268" s="115"/>
      <c r="AV1268" s="115"/>
      <c r="AW1268" s="115"/>
      <c r="AX1268" s="115"/>
      <c r="AY1268" s="26"/>
      <c r="AZ1268" s="15"/>
    </row>
    <row r="1269" spans="3:52" x14ac:dyDescent="0.4">
      <c r="E1269" s="115"/>
      <c r="F1269" s="115"/>
      <c r="G1269" s="115"/>
      <c r="H1269" s="115"/>
      <c r="I1269" s="115"/>
      <c r="J1269" s="115"/>
      <c r="K1269" s="115"/>
      <c r="L1269" s="115"/>
      <c r="M1269" s="115"/>
      <c r="N1269" s="115"/>
      <c r="O1269" s="115"/>
      <c r="P1269" s="115"/>
      <c r="Q1269" s="115"/>
      <c r="R1269" s="115"/>
      <c r="S1269" s="115"/>
      <c r="T1269" s="115"/>
      <c r="U1269" s="115"/>
      <c r="V1269" s="115"/>
      <c r="W1269" s="115"/>
      <c r="X1269" s="115"/>
      <c r="Y1269" s="115"/>
      <c r="Z1269" s="115"/>
      <c r="AA1269" s="115"/>
      <c r="AB1269" s="115"/>
      <c r="AC1269" s="115"/>
      <c r="AD1269" s="115"/>
      <c r="AE1269" s="115"/>
      <c r="AF1269" s="115"/>
      <c r="AG1269" s="115"/>
      <c r="AH1269" s="122"/>
      <c r="AI1269" s="122"/>
      <c r="AJ1269" s="122"/>
      <c r="AK1269" s="115"/>
      <c r="AL1269" s="115"/>
      <c r="AM1269" s="115"/>
      <c r="AN1269" s="115"/>
      <c r="AO1269" s="115"/>
      <c r="AP1269" s="115"/>
      <c r="AQ1269" s="115"/>
      <c r="AR1269" s="115"/>
      <c r="AS1269" s="115"/>
      <c r="AT1269" s="115"/>
      <c r="AU1269" s="115"/>
      <c r="AV1269" s="115"/>
      <c r="AW1269" s="115"/>
      <c r="AX1269" s="115"/>
      <c r="AY1269" s="26"/>
      <c r="AZ1269" s="15"/>
    </row>
    <row r="1270" spans="3:52" x14ac:dyDescent="0.4">
      <c r="AY1270" s="26"/>
      <c r="AZ1270" s="15"/>
    </row>
    <row r="1271" spans="3:52" x14ac:dyDescent="0.4">
      <c r="AC1271" s="115"/>
      <c r="AD1271" s="115"/>
      <c r="AE1271" s="115"/>
      <c r="AF1271" s="115"/>
      <c r="AG1271" s="115"/>
      <c r="AH1271" s="122"/>
      <c r="AI1271" s="122"/>
      <c r="AJ1271" s="122"/>
      <c r="AK1271" s="115"/>
      <c r="AL1271" s="115"/>
      <c r="AM1271" s="115"/>
      <c r="AN1271" s="115"/>
      <c r="AO1271" s="115"/>
      <c r="AP1271" s="115"/>
      <c r="AQ1271" s="115"/>
      <c r="AR1271" s="115"/>
      <c r="AS1271" s="115"/>
      <c r="AT1271" s="115"/>
      <c r="AU1271" s="115"/>
      <c r="AV1271" s="115"/>
      <c r="AW1271" s="115"/>
      <c r="AX1271" s="115"/>
      <c r="AY1271" s="26"/>
      <c r="AZ1271" s="15"/>
    </row>
    <row r="1272" spans="3:52" x14ac:dyDescent="0.4">
      <c r="AY1272" s="26"/>
      <c r="AZ1272" s="15"/>
    </row>
    <row r="1273" spans="3:52" x14ac:dyDescent="0.4">
      <c r="AD1273" s="115"/>
      <c r="AE1273" s="115"/>
      <c r="AF1273" s="115"/>
      <c r="AG1273" s="115"/>
      <c r="AH1273" s="122"/>
      <c r="AI1273" s="122"/>
      <c r="AJ1273" s="122"/>
      <c r="AK1273" s="115"/>
      <c r="AL1273" s="115"/>
      <c r="AM1273" s="115"/>
      <c r="AN1273" s="115"/>
      <c r="AO1273" s="115"/>
      <c r="AP1273" s="115"/>
      <c r="AQ1273" s="115"/>
      <c r="AR1273" s="115"/>
      <c r="AS1273" s="115"/>
      <c r="AT1273" s="115"/>
      <c r="AU1273" s="115"/>
      <c r="AV1273" s="115"/>
      <c r="AW1273" s="115"/>
      <c r="AX1273" s="115"/>
      <c r="AY1273" s="17"/>
      <c r="AZ1273" s="15"/>
    </row>
    <row r="1274" spans="3:52" x14ac:dyDescent="0.4">
      <c r="AC1274" s="115"/>
      <c r="AD1274" s="115"/>
      <c r="AE1274" s="115"/>
      <c r="AF1274" s="115"/>
      <c r="AG1274" s="115"/>
      <c r="AH1274" s="122"/>
      <c r="AI1274" s="122"/>
      <c r="AJ1274" s="122"/>
      <c r="AK1274" s="115"/>
      <c r="AL1274" s="115"/>
      <c r="AM1274" s="115"/>
      <c r="AN1274" s="115"/>
      <c r="AO1274" s="115"/>
      <c r="AP1274" s="115"/>
      <c r="AQ1274" s="115"/>
      <c r="AR1274" s="115"/>
      <c r="AS1274" s="115"/>
      <c r="AT1274" s="115"/>
      <c r="AU1274" s="115"/>
      <c r="AV1274" s="115"/>
      <c r="AW1274" s="115"/>
      <c r="AX1274" s="115"/>
      <c r="AY1274" s="26"/>
      <c r="AZ1274" s="15"/>
    </row>
    <row r="1275" spans="3:52" x14ac:dyDescent="0.4">
      <c r="C1275" s="115"/>
      <c r="D1275" s="115"/>
      <c r="E1275" s="115"/>
      <c r="F1275" s="115"/>
      <c r="G1275" s="115"/>
      <c r="H1275" s="115"/>
      <c r="I1275" s="115"/>
      <c r="J1275" s="115"/>
      <c r="K1275" s="115"/>
      <c r="L1275" s="115"/>
      <c r="M1275" s="115"/>
      <c r="N1275" s="115"/>
      <c r="O1275" s="115"/>
      <c r="P1275" s="115"/>
      <c r="Q1275" s="115"/>
      <c r="R1275" s="115"/>
      <c r="S1275" s="115"/>
      <c r="T1275" s="115"/>
      <c r="U1275" s="115"/>
      <c r="V1275" s="115"/>
      <c r="W1275" s="115"/>
      <c r="X1275" s="115"/>
      <c r="Y1275" s="115"/>
      <c r="Z1275" s="115"/>
      <c r="AA1275" s="115"/>
      <c r="AB1275" s="115"/>
      <c r="AC1275" s="115"/>
      <c r="AD1275" s="115"/>
      <c r="AE1275" s="115"/>
      <c r="AF1275" s="115"/>
      <c r="AG1275" s="115"/>
      <c r="AH1275" s="122"/>
      <c r="AI1275" s="122"/>
      <c r="AJ1275" s="122"/>
      <c r="AK1275" s="115"/>
      <c r="AL1275" s="115"/>
      <c r="AM1275" s="115"/>
      <c r="AN1275" s="115"/>
      <c r="AO1275" s="115"/>
      <c r="AP1275" s="115"/>
      <c r="AQ1275" s="115"/>
      <c r="AR1275" s="115"/>
      <c r="AS1275" s="115"/>
      <c r="AT1275" s="115"/>
      <c r="AU1275" s="115"/>
      <c r="AV1275" s="115"/>
      <c r="AW1275" s="115"/>
      <c r="AX1275" s="115"/>
      <c r="AY1275" s="26"/>
      <c r="AZ1275" s="15"/>
    </row>
    <row r="1276" spans="3:52" x14ac:dyDescent="0.4">
      <c r="C1276" s="115"/>
      <c r="D1276" s="115"/>
      <c r="E1276" s="115"/>
      <c r="F1276" s="115"/>
      <c r="G1276" s="115"/>
      <c r="H1276" s="115"/>
      <c r="I1276" s="115"/>
      <c r="J1276" s="115"/>
      <c r="K1276" s="115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  <c r="AA1276" s="115"/>
      <c r="AB1276" s="115"/>
      <c r="AC1276" s="115"/>
      <c r="AD1276" s="115"/>
      <c r="AE1276" s="115"/>
      <c r="AF1276" s="115"/>
      <c r="AG1276" s="115"/>
      <c r="AH1276" s="122"/>
      <c r="AI1276" s="122"/>
      <c r="AJ1276" s="122"/>
      <c r="AK1276" s="115"/>
      <c r="AL1276" s="115"/>
      <c r="AM1276" s="115"/>
      <c r="AN1276" s="115"/>
      <c r="AO1276" s="115"/>
      <c r="AP1276" s="115"/>
      <c r="AQ1276" s="115"/>
      <c r="AR1276" s="115"/>
      <c r="AS1276" s="115"/>
      <c r="AT1276" s="115"/>
      <c r="AU1276" s="115"/>
      <c r="AV1276" s="115"/>
      <c r="AW1276" s="115"/>
      <c r="AX1276" s="115"/>
      <c r="AY1276" s="17"/>
      <c r="AZ1276" s="15"/>
    </row>
    <row r="1277" spans="3:52" x14ac:dyDescent="0.4">
      <c r="AY1277" s="26"/>
      <c r="AZ1277" s="15"/>
    </row>
    <row r="1278" spans="3:52" x14ac:dyDescent="0.4">
      <c r="AD1278" s="115"/>
      <c r="AE1278" s="115"/>
      <c r="AF1278" s="115"/>
      <c r="AG1278" s="115"/>
      <c r="AH1278" s="122"/>
      <c r="AI1278" s="122"/>
      <c r="AJ1278" s="122"/>
      <c r="AK1278" s="115"/>
      <c r="AL1278" s="115"/>
      <c r="AM1278" s="115"/>
      <c r="AN1278" s="115"/>
      <c r="AO1278" s="115"/>
      <c r="AP1278" s="115"/>
      <c r="AQ1278" s="115"/>
      <c r="AR1278" s="115"/>
      <c r="AS1278" s="115"/>
      <c r="AT1278" s="115"/>
      <c r="AU1278" s="115"/>
      <c r="AV1278" s="115"/>
      <c r="AW1278" s="115"/>
      <c r="AX1278" s="115"/>
      <c r="AY1278" s="17"/>
      <c r="AZ1278" s="15"/>
    </row>
    <row r="1279" spans="3:52" x14ac:dyDescent="0.4">
      <c r="AC1279" s="115"/>
      <c r="AD1279" s="115"/>
      <c r="AE1279" s="115"/>
      <c r="AF1279" s="115"/>
      <c r="AG1279" s="115"/>
      <c r="AH1279" s="122"/>
      <c r="AI1279" s="122"/>
      <c r="AJ1279" s="122"/>
      <c r="AK1279" s="115"/>
      <c r="AL1279" s="115"/>
      <c r="AM1279" s="115"/>
      <c r="AN1279" s="115"/>
      <c r="AO1279" s="115"/>
      <c r="AP1279" s="115"/>
      <c r="AQ1279" s="115"/>
      <c r="AR1279" s="115"/>
      <c r="AS1279" s="115"/>
      <c r="AT1279" s="115"/>
      <c r="AU1279" s="115"/>
      <c r="AV1279" s="115"/>
      <c r="AW1279" s="115"/>
      <c r="AX1279" s="115"/>
      <c r="AY1279" s="26"/>
      <c r="AZ1279" s="15"/>
    </row>
    <row r="1280" spans="3:52" x14ac:dyDescent="0.4">
      <c r="AC1280" s="115"/>
      <c r="AD1280" s="115"/>
      <c r="AE1280" s="115"/>
      <c r="AF1280" s="115"/>
      <c r="AG1280" s="115"/>
      <c r="AH1280" s="122"/>
      <c r="AI1280" s="122"/>
      <c r="AJ1280" s="122"/>
      <c r="AK1280" s="115"/>
      <c r="AL1280" s="115"/>
      <c r="AM1280" s="115"/>
      <c r="AN1280" s="115"/>
      <c r="AO1280" s="115"/>
      <c r="AP1280" s="115"/>
      <c r="AQ1280" s="115"/>
      <c r="AR1280" s="115"/>
      <c r="AS1280" s="115"/>
      <c r="AT1280" s="115"/>
      <c r="AU1280" s="115"/>
      <c r="AV1280" s="115"/>
      <c r="AW1280" s="115"/>
      <c r="AX1280" s="115"/>
      <c r="AY1280" s="17"/>
      <c r="AZ1280" s="15"/>
    </row>
    <row r="1281" spans="4:52" x14ac:dyDescent="0.4">
      <c r="AC1281" s="115"/>
      <c r="AD1281" s="115"/>
      <c r="AE1281" s="115"/>
      <c r="AF1281" s="115"/>
      <c r="AG1281" s="115"/>
      <c r="AH1281" s="122"/>
      <c r="AI1281" s="122"/>
      <c r="AJ1281" s="122"/>
      <c r="AK1281" s="115"/>
      <c r="AL1281" s="115"/>
      <c r="AM1281" s="115"/>
      <c r="AN1281" s="115"/>
      <c r="AO1281" s="115"/>
      <c r="AP1281" s="115"/>
      <c r="AQ1281" s="115"/>
      <c r="AR1281" s="115"/>
      <c r="AS1281" s="115"/>
      <c r="AT1281" s="115"/>
      <c r="AU1281" s="115"/>
      <c r="AV1281" s="115"/>
      <c r="AW1281" s="115"/>
      <c r="AX1281" s="115"/>
      <c r="AY1281" s="17"/>
      <c r="AZ1281" s="15"/>
    </row>
    <row r="1282" spans="4:52" x14ac:dyDescent="0.4">
      <c r="E1282" s="115"/>
      <c r="F1282" s="115"/>
      <c r="G1282" s="115"/>
      <c r="H1282" s="115"/>
      <c r="I1282" s="115"/>
      <c r="J1282" s="115"/>
      <c r="K1282" s="115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15"/>
      <c r="AG1282" s="115"/>
      <c r="AH1282" s="122"/>
      <c r="AI1282" s="122"/>
      <c r="AJ1282" s="122"/>
      <c r="AK1282" s="115"/>
      <c r="AL1282" s="115"/>
      <c r="AM1282" s="115"/>
      <c r="AN1282" s="115"/>
      <c r="AO1282" s="115"/>
      <c r="AP1282" s="115"/>
      <c r="AQ1282" s="115"/>
      <c r="AR1282" s="115"/>
      <c r="AS1282" s="115"/>
      <c r="AT1282" s="115"/>
      <c r="AU1282" s="115"/>
      <c r="AV1282" s="115"/>
      <c r="AW1282" s="115"/>
      <c r="AX1282" s="115"/>
      <c r="AY1282" s="26"/>
      <c r="AZ1282" s="15"/>
    </row>
    <row r="1283" spans="4:52" x14ac:dyDescent="0.4">
      <c r="E1283" s="115"/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15"/>
      <c r="AG1283" s="115"/>
      <c r="AH1283" s="122"/>
      <c r="AI1283" s="122"/>
      <c r="AJ1283" s="122"/>
      <c r="AK1283" s="115"/>
      <c r="AL1283" s="115"/>
      <c r="AM1283" s="115"/>
      <c r="AN1283" s="115"/>
      <c r="AO1283" s="115"/>
      <c r="AP1283" s="115"/>
      <c r="AQ1283" s="115"/>
      <c r="AR1283" s="115"/>
      <c r="AS1283" s="115"/>
      <c r="AT1283" s="115"/>
      <c r="AU1283" s="115"/>
      <c r="AV1283" s="115"/>
      <c r="AW1283" s="115"/>
      <c r="AX1283" s="115"/>
      <c r="AY1283" s="26"/>
      <c r="AZ1283" s="15"/>
    </row>
    <row r="1284" spans="4:52" x14ac:dyDescent="0.4">
      <c r="E1284" s="115"/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15"/>
      <c r="AH1284" s="122"/>
      <c r="AI1284" s="122"/>
      <c r="AJ1284" s="122"/>
      <c r="AK1284" s="115"/>
      <c r="AL1284" s="115"/>
      <c r="AM1284" s="115"/>
      <c r="AN1284" s="115"/>
      <c r="AO1284" s="115"/>
      <c r="AP1284" s="115"/>
      <c r="AQ1284" s="115"/>
      <c r="AR1284" s="115"/>
      <c r="AS1284" s="115"/>
      <c r="AT1284" s="115"/>
      <c r="AU1284" s="115"/>
      <c r="AV1284" s="115"/>
      <c r="AW1284" s="115"/>
      <c r="AX1284" s="115"/>
      <c r="AY1284" s="26"/>
      <c r="AZ1284" s="15"/>
    </row>
    <row r="1285" spans="4:52" x14ac:dyDescent="0.4">
      <c r="D1285" s="115"/>
      <c r="E1285" s="115"/>
      <c r="F1285" s="115"/>
      <c r="G1285" s="115"/>
      <c r="H1285" s="115"/>
      <c r="I1285" s="115"/>
      <c r="J1285" s="115"/>
      <c r="K1285" s="115"/>
      <c r="L1285" s="115"/>
      <c r="M1285" s="115"/>
      <c r="N1285" s="115"/>
      <c r="O1285" s="115"/>
      <c r="P1285" s="115"/>
      <c r="Q1285" s="115"/>
      <c r="R1285" s="115"/>
      <c r="S1285" s="115"/>
      <c r="T1285" s="115"/>
      <c r="U1285" s="115"/>
      <c r="V1285" s="115"/>
      <c r="W1285" s="115"/>
      <c r="X1285" s="115"/>
      <c r="Y1285" s="115"/>
      <c r="Z1285" s="115"/>
      <c r="AA1285" s="115"/>
      <c r="AB1285" s="115"/>
      <c r="AC1285" s="115"/>
      <c r="AD1285" s="115"/>
      <c r="AE1285" s="115"/>
      <c r="AF1285" s="115"/>
      <c r="AG1285" s="115"/>
      <c r="AH1285" s="122"/>
      <c r="AI1285" s="122"/>
      <c r="AJ1285" s="122"/>
      <c r="AK1285" s="115"/>
      <c r="AL1285" s="115"/>
      <c r="AM1285" s="115"/>
      <c r="AN1285" s="115"/>
      <c r="AO1285" s="115"/>
      <c r="AP1285" s="115"/>
      <c r="AQ1285" s="115"/>
      <c r="AR1285" s="115"/>
      <c r="AS1285" s="115"/>
      <c r="AT1285" s="115"/>
      <c r="AU1285" s="115"/>
      <c r="AV1285" s="115"/>
      <c r="AW1285" s="115"/>
      <c r="AX1285" s="115"/>
      <c r="AY1285" s="26"/>
      <c r="AZ1285" s="15"/>
    </row>
    <row r="1286" spans="4:52" x14ac:dyDescent="0.4">
      <c r="D1286" s="115"/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15"/>
      <c r="AF1286" s="115"/>
      <c r="AG1286" s="115"/>
      <c r="AH1286" s="122"/>
      <c r="AI1286" s="122"/>
      <c r="AJ1286" s="122"/>
      <c r="AK1286" s="115"/>
      <c r="AL1286" s="115"/>
      <c r="AM1286" s="115"/>
      <c r="AN1286" s="115"/>
      <c r="AO1286" s="115"/>
      <c r="AP1286" s="115"/>
      <c r="AQ1286" s="115"/>
      <c r="AR1286" s="115"/>
      <c r="AS1286" s="115"/>
      <c r="AT1286" s="115"/>
      <c r="AU1286" s="115"/>
      <c r="AV1286" s="115"/>
      <c r="AW1286" s="115"/>
      <c r="AX1286" s="115"/>
      <c r="AY1286" s="26"/>
      <c r="AZ1286" s="15"/>
    </row>
    <row r="1287" spans="4:52" x14ac:dyDescent="0.4">
      <c r="D1287" s="115"/>
      <c r="E1287" s="115"/>
      <c r="F1287" s="115"/>
      <c r="G1287" s="115"/>
      <c r="H1287" s="115"/>
      <c r="I1287" s="115"/>
      <c r="J1287" s="115"/>
      <c r="K1287" s="115"/>
      <c r="L1287" s="115"/>
      <c r="M1287" s="115"/>
      <c r="N1287" s="115"/>
      <c r="O1287" s="115"/>
      <c r="P1287" s="115"/>
      <c r="Q1287" s="115"/>
      <c r="R1287" s="115"/>
      <c r="S1287" s="115"/>
      <c r="T1287" s="115"/>
      <c r="U1287" s="115"/>
      <c r="V1287" s="115"/>
      <c r="W1287" s="115"/>
      <c r="X1287" s="115"/>
      <c r="Y1287" s="115"/>
      <c r="Z1287" s="115"/>
      <c r="AA1287" s="115"/>
      <c r="AB1287" s="115"/>
      <c r="AC1287" s="115"/>
      <c r="AD1287" s="115"/>
      <c r="AE1287" s="115"/>
      <c r="AF1287" s="115"/>
      <c r="AG1287" s="115"/>
      <c r="AH1287" s="122"/>
      <c r="AI1287" s="122"/>
      <c r="AJ1287" s="122"/>
      <c r="AK1287" s="115"/>
      <c r="AL1287" s="115"/>
      <c r="AM1287" s="115"/>
      <c r="AN1287" s="115"/>
      <c r="AO1287" s="115"/>
      <c r="AP1287" s="115"/>
      <c r="AQ1287" s="115"/>
      <c r="AR1287" s="115"/>
      <c r="AS1287" s="115"/>
      <c r="AT1287" s="115"/>
      <c r="AU1287" s="115"/>
      <c r="AV1287" s="115"/>
      <c r="AW1287" s="115"/>
      <c r="AX1287" s="115"/>
      <c r="AY1287" s="17"/>
      <c r="AZ1287" s="15"/>
    </row>
    <row r="1288" spans="4:52" x14ac:dyDescent="0.4">
      <c r="AY1288" s="26"/>
      <c r="AZ1288" s="15"/>
    </row>
    <row r="1289" spans="4:52" x14ac:dyDescent="0.4">
      <c r="AC1289" s="115"/>
      <c r="AD1289" s="115"/>
      <c r="AE1289" s="115"/>
      <c r="AF1289" s="115"/>
      <c r="AG1289" s="115"/>
      <c r="AH1289" s="122"/>
      <c r="AI1289" s="122"/>
      <c r="AJ1289" s="122"/>
      <c r="AK1289" s="115"/>
      <c r="AL1289" s="115"/>
      <c r="AM1289" s="115"/>
      <c r="AN1289" s="115"/>
      <c r="AO1289" s="115"/>
      <c r="AP1289" s="115"/>
      <c r="AQ1289" s="115"/>
      <c r="AR1289" s="115"/>
      <c r="AS1289" s="115"/>
      <c r="AT1289" s="115"/>
      <c r="AU1289" s="115"/>
      <c r="AV1289" s="115"/>
      <c r="AW1289" s="115"/>
      <c r="AX1289" s="115"/>
      <c r="AY1289" s="17"/>
      <c r="AZ1289" s="13"/>
    </row>
    <row r="1290" spans="4:52" x14ac:dyDescent="0.4">
      <c r="AC1290" s="115"/>
      <c r="AD1290" s="115"/>
      <c r="AE1290" s="115"/>
      <c r="AF1290" s="115"/>
      <c r="AG1290" s="115"/>
      <c r="AH1290" s="122"/>
      <c r="AI1290" s="122"/>
      <c r="AJ1290" s="122"/>
      <c r="AK1290" s="115"/>
      <c r="AL1290" s="115"/>
      <c r="AM1290" s="115"/>
      <c r="AN1290" s="115"/>
      <c r="AO1290" s="115"/>
      <c r="AP1290" s="115"/>
      <c r="AQ1290" s="115"/>
      <c r="AR1290" s="115"/>
      <c r="AS1290" s="115"/>
      <c r="AT1290" s="115"/>
      <c r="AU1290" s="115"/>
      <c r="AV1290" s="115"/>
      <c r="AW1290" s="115"/>
      <c r="AX1290" s="115"/>
      <c r="AY1290" s="17"/>
      <c r="AZ1290" s="13"/>
    </row>
    <row r="1291" spans="4:52" x14ac:dyDescent="0.4">
      <c r="AA1291" s="115"/>
      <c r="AB1291" s="115"/>
      <c r="AC1291" s="115"/>
      <c r="AD1291" s="115"/>
      <c r="AE1291" s="115"/>
      <c r="AF1291" s="115"/>
      <c r="AG1291" s="115"/>
      <c r="AH1291" s="122"/>
      <c r="AI1291" s="122"/>
      <c r="AJ1291" s="122"/>
      <c r="AK1291" s="115"/>
      <c r="AL1291" s="115"/>
      <c r="AM1291" s="115"/>
      <c r="AN1291" s="115"/>
      <c r="AO1291" s="115"/>
      <c r="AP1291" s="115"/>
      <c r="AQ1291" s="115"/>
      <c r="AR1291" s="115"/>
      <c r="AS1291" s="115"/>
      <c r="AT1291" s="115"/>
      <c r="AU1291" s="115"/>
      <c r="AV1291" s="115"/>
      <c r="AW1291" s="115"/>
      <c r="AX1291" s="115"/>
      <c r="AY1291" s="26"/>
      <c r="AZ1291" s="13"/>
    </row>
    <row r="1292" spans="4:52" x14ac:dyDescent="0.4">
      <c r="AA1292" s="115"/>
      <c r="AB1292" s="115"/>
      <c r="AC1292" s="115"/>
      <c r="AD1292" s="115"/>
      <c r="AE1292" s="115"/>
      <c r="AF1292" s="115"/>
      <c r="AG1292" s="115"/>
      <c r="AH1292" s="122"/>
      <c r="AI1292" s="122"/>
      <c r="AJ1292" s="122"/>
      <c r="AK1292" s="115"/>
      <c r="AL1292" s="115"/>
      <c r="AM1292" s="115"/>
      <c r="AN1292" s="115"/>
      <c r="AO1292" s="115"/>
      <c r="AP1292" s="115"/>
      <c r="AQ1292" s="115"/>
      <c r="AR1292" s="115"/>
      <c r="AS1292" s="115"/>
      <c r="AT1292" s="115"/>
      <c r="AU1292" s="115"/>
      <c r="AV1292" s="115"/>
      <c r="AW1292" s="115"/>
      <c r="AX1292" s="115"/>
      <c r="AY1292" s="17"/>
      <c r="AZ1292" s="13"/>
    </row>
    <row r="1293" spans="4:52" x14ac:dyDescent="0.4">
      <c r="AY1293" s="26"/>
      <c r="AZ1293" s="13"/>
    </row>
    <row r="1294" spans="4:52" x14ac:dyDescent="0.4">
      <c r="AB1294" s="115"/>
      <c r="AC1294" s="115"/>
      <c r="AD1294" s="115"/>
      <c r="AE1294" s="115"/>
      <c r="AF1294" s="115"/>
      <c r="AG1294" s="115"/>
      <c r="AH1294" s="122"/>
      <c r="AI1294" s="122"/>
      <c r="AJ1294" s="122"/>
      <c r="AK1294" s="115"/>
      <c r="AL1294" s="115"/>
      <c r="AM1294" s="115"/>
      <c r="AN1294" s="115"/>
      <c r="AO1294" s="115"/>
      <c r="AP1294" s="115"/>
      <c r="AQ1294" s="115"/>
      <c r="AR1294" s="115"/>
      <c r="AS1294" s="115"/>
      <c r="AT1294" s="115"/>
      <c r="AU1294" s="115"/>
      <c r="AV1294" s="115"/>
      <c r="AW1294" s="115"/>
      <c r="AX1294" s="115"/>
      <c r="AY1294" s="17"/>
      <c r="AZ1294" s="13"/>
    </row>
    <row r="1295" spans="4:52" x14ac:dyDescent="0.4">
      <c r="AY1295" s="26"/>
      <c r="AZ1295" s="13"/>
    </row>
    <row r="1296" spans="4:52" x14ac:dyDescent="0.4">
      <c r="AY1296" s="26"/>
      <c r="AZ1296" s="13"/>
    </row>
    <row r="1297" spans="3:52" x14ac:dyDescent="0.4">
      <c r="D1297" s="115"/>
      <c r="E1297" s="115"/>
      <c r="F1297" s="115"/>
      <c r="G1297" s="115"/>
      <c r="H1297" s="115"/>
      <c r="I1297" s="115"/>
      <c r="J1297" s="115"/>
      <c r="K1297" s="115"/>
      <c r="L1297" s="115"/>
      <c r="M1297" s="115"/>
      <c r="N1297" s="115"/>
      <c r="O1297" s="115"/>
      <c r="P1297" s="115"/>
      <c r="Q1297" s="115"/>
      <c r="R1297" s="115"/>
      <c r="S1297" s="115"/>
      <c r="T1297" s="115"/>
      <c r="U1297" s="115"/>
      <c r="V1297" s="115"/>
      <c r="W1297" s="115"/>
      <c r="X1297" s="115"/>
      <c r="Y1297" s="115"/>
      <c r="Z1297" s="115"/>
      <c r="AA1297" s="115"/>
      <c r="AB1297" s="115"/>
      <c r="AC1297" s="115"/>
      <c r="AD1297" s="115"/>
      <c r="AE1297" s="115"/>
      <c r="AF1297" s="115"/>
      <c r="AG1297" s="115"/>
      <c r="AH1297" s="122"/>
      <c r="AI1297" s="122"/>
      <c r="AJ1297" s="122"/>
      <c r="AK1297" s="115"/>
      <c r="AL1297" s="115"/>
      <c r="AM1297" s="115"/>
      <c r="AN1297" s="115"/>
      <c r="AO1297" s="115"/>
      <c r="AP1297" s="115"/>
      <c r="AQ1297" s="115"/>
      <c r="AR1297" s="115"/>
      <c r="AS1297" s="115"/>
      <c r="AT1297" s="115"/>
      <c r="AU1297" s="115"/>
      <c r="AV1297" s="115"/>
      <c r="AW1297" s="115"/>
      <c r="AX1297" s="115"/>
      <c r="AY1297" s="26"/>
      <c r="AZ1297" s="13"/>
    </row>
    <row r="1298" spans="3:52" x14ac:dyDescent="0.4">
      <c r="C1298" s="115"/>
      <c r="D1298" s="115"/>
      <c r="E1298" s="115"/>
      <c r="F1298" s="115"/>
      <c r="G1298" s="115"/>
      <c r="H1298" s="115"/>
      <c r="I1298" s="115"/>
      <c r="J1298" s="115"/>
      <c r="K1298" s="115"/>
      <c r="L1298" s="115"/>
      <c r="M1298" s="115"/>
      <c r="N1298" s="115"/>
      <c r="O1298" s="115"/>
      <c r="P1298" s="115"/>
      <c r="Q1298" s="115"/>
      <c r="R1298" s="115"/>
      <c r="S1298" s="115"/>
      <c r="T1298" s="115"/>
      <c r="U1298" s="115"/>
      <c r="V1298" s="115"/>
      <c r="W1298" s="115"/>
      <c r="X1298" s="115"/>
      <c r="Y1298" s="115"/>
      <c r="Z1298" s="115"/>
      <c r="AA1298" s="115"/>
      <c r="AB1298" s="115"/>
      <c r="AC1298" s="115"/>
      <c r="AD1298" s="115"/>
      <c r="AE1298" s="115"/>
      <c r="AF1298" s="115"/>
      <c r="AG1298" s="115"/>
      <c r="AH1298" s="122"/>
      <c r="AI1298" s="122"/>
      <c r="AJ1298" s="122"/>
      <c r="AK1298" s="115"/>
      <c r="AL1298" s="115"/>
      <c r="AM1298" s="115"/>
      <c r="AN1298" s="115"/>
      <c r="AO1298" s="115"/>
      <c r="AP1298" s="115"/>
      <c r="AQ1298" s="115"/>
      <c r="AR1298" s="115"/>
      <c r="AS1298" s="115"/>
      <c r="AT1298" s="115"/>
      <c r="AU1298" s="115"/>
      <c r="AV1298" s="115"/>
      <c r="AW1298" s="115"/>
      <c r="AX1298" s="115"/>
      <c r="AY1298" s="26"/>
      <c r="AZ1298" s="13"/>
    </row>
    <row r="1299" spans="3:52" x14ac:dyDescent="0.4">
      <c r="AY1299" s="26"/>
      <c r="AZ1299" s="13"/>
    </row>
    <row r="1300" spans="3:52" x14ac:dyDescent="0.4">
      <c r="AY1300" s="26"/>
      <c r="AZ1300" s="13"/>
    </row>
    <row r="1301" spans="3:52" x14ac:dyDescent="0.4"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15"/>
      <c r="AH1301" s="122"/>
      <c r="AI1301" s="122"/>
      <c r="AJ1301" s="122"/>
      <c r="AK1301" s="115"/>
      <c r="AL1301" s="115"/>
      <c r="AM1301" s="115"/>
      <c r="AN1301" s="115"/>
      <c r="AO1301" s="115"/>
      <c r="AP1301" s="115"/>
      <c r="AQ1301" s="115"/>
      <c r="AR1301" s="115"/>
      <c r="AS1301" s="115"/>
      <c r="AT1301" s="115"/>
      <c r="AU1301" s="115"/>
      <c r="AV1301" s="115"/>
      <c r="AW1301" s="115"/>
      <c r="AX1301" s="115"/>
      <c r="AY1301" s="26"/>
      <c r="AZ1301" s="13"/>
    </row>
    <row r="1302" spans="3:52" x14ac:dyDescent="0.4">
      <c r="AY1302" s="26"/>
      <c r="AZ1302" s="105"/>
    </row>
    <row r="1303" spans="3:52" x14ac:dyDescent="0.4"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22"/>
      <c r="AI1303" s="122"/>
      <c r="AJ1303" s="122"/>
      <c r="AK1303" s="115"/>
      <c r="AL1303" s="115"/>
      <c r="AM1303" s="115"/>
      <c r="AN1303" s="115"/>
      <c r="AO1303" s="115"/>
      <c r="AP1303" s="115"/>
      <c r="AQ1303" s="115"/>
      <c r="AR1303" s="115"/>
      <c r="AS1303" s="115"/>
      <c r="AT1303" s="115"/>
      <c r="AU1303" s="115"/>
      <c r="AV1303" s="115"/>
      <c r="AW1303" s="115"/>
      <c r="AX1303" s="115"/>
      <c r="AY1303" s="26"/>
      <c r="AZ1303" s="15"/>
    </row>
    <row r="1304" spans="3:52" x14ac:dyDescent="0.4"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22"/>
      <c r="AI1304" s="122"/>
      <c r="AJ1304" s="122"/>
      <c r="AK1304" s="115"/>
      <c r="AL1304" s="115"/>
      <c r="AM1304" s="115"/>
      <c r="AN1304" s="115"/>
      <c r="AO1304" s="115"/>
      <c r="AP1304" s="115"/>
      <c r="AQ1304" s="115"/>
      <c r="AR1304" s="115"/>
      <c r="AS1304" s="115"/>
      <c r="AT1304" s="115"/>
      <c r="AU1304" s="115"/>
      <c r="AV1304" s="115"/>
      <c r="AW1304" s="115"/>
      <c r="AX1304" s="115"/>
      <c r="AY1304" s="17"/>
      <c r="AZ1304" s="15"/>
    </row>
    <row r="1305" spans="3:52" x14ac:dyDescent="0.4">
      <c r="AY1305" s="26"/>
      <c r="AZ1305" s="15"/>
    </row>
    <row r="1306" spans="3:52" x14ac:dyDescent="0.4"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22"/>
      <c r="AI1306" s="122"/>
      <c r="AJ1306" s="122"/>
      <c r="AK1306" s="115"/>
      <c r="AL1306" s="115"/>
      <c r="AM1306" s="115"/>
      <c r="AN1306" s="115"/>
      <c r="AO1306" s="115"/>
      <c r="AP1306" s="115"/>
      <c r="AQ1306" s="115"/>
      <c r="AR1306" s="115"/>
      <c r="AS1306" s="115"/>
      <c r="AT1306" s="115"/>
      <c r="AU1306" s="115"/>
      <c r="AV1306" s="115"/>
      <c r="AW1306" s="115"/>
      <c r="AX1306" s="115"/>
      <c r="AY1306" s="26"/>
      <c r="AZ1306" s="15"/>
    </row>
    <row r="1307" spans="3:52" x14ac:dyDescent="0.4">
      <c r="C1307" s="115"/>
      <c r="D1307" s="115"/>
      <c r="E1307" s="115"/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15"/>
      <c r="AF1307" s="115"/>
      <c r="AG1307" s="115"/>
      <c r="AH1307" s="122"/>
      <c r="AI1307" s="122"/>
      <c r="AJ1307" s="122"/>
      <c r="AK1307" s="115"/>
      <c r="AL1307" s="115"/>
      <c r="AM1307" s="115"/>
      <c r="AN1307" s="115"/>
      <c r="AO1307" s="115"/>
      <c r="AP1307" s="115"/>
      <c r="AQ1307" s="115"/>
      <c r="AR1307" s="115"/>
      <c r="AS1307" s="115"/>
      <c r="AT1307" s="115"/>
      <c r="AU1307" s="115"/>
      <c r="AV1307" s="115"/>
      <c r="AW1307" s="115"/>
      <c r="AX1307" s="115"/>
      <c r="AY1307" s="26"/>
      <c r="AZ1307" s="15"/>
    </row>
    <row r="1308" spans="3:52" x14ac:dyDescent="0.4">
      <c r="C1308" s="115"/>
      <c r="D1308" s="115"/>
      <c r="E1308" s="115"/>
      <c r="F1308" s="115"/>
      <c r="G1308" s="115"/>
      <c r="H1308" s="115"/>
      <c r="I1308" s="115"/>
      <c r="J1308" s="115"/>
      <c r="K1308" s="115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  <c r="AA1308" s="115"/>
      <c r="AB1308" s="115"/>
      <c r="AC1308" s="115"/>
      <c r="AD1308" s="115"/>
      <c r="AE1308" s="115"/>
      <c r="AF1308" s="115"/>
      <c r="AG1308" s="115"/>
      <c r="AH1308" s="122"/>
      <c r="AI1308" s="122"/>
      <c r="AJ1308" s="122"/>
      <c r="AK1308" s="115"/>
      <c r="AL1308" s="115"/>
      <c r="AM1308" s="115"/>
      <c r="AN1308" s="115"/>
      <c r="AO1308" s="115"/>
      <c r="AP1308" s="115"/>
      <c r="AQ1308" s="115"/>
      <c r="AR1308" s="115"/>
      <c r="AS1308" s="115"/>
      <c r="AT1308" s="115"/>
      <c r="AU1308" s="115"/>
      <c r="AV1308" s="115"/>
      <c r="AW1308" s="115"/>
      <c r="AX1308" s="115"/>
      <c r="AY1308" s="26"/>
      <c r="AZ1308" s="13"/>
    </row>
    <row r="1309" spans="3:52" x14ac:dyDescent="0.4">
      <c r="AY1309" s="26"/>
      <c r="AZ1309" s="15"/>
    </row>
    <row r="1310" spans="3:52" x14ac:dyDescent="0.4">
      <c r="E1310" s="115"/>
      <c r="F1310" s="115"/>
      <c r="G1310" s="115"/>
      <c r="H1310" s="115"/>
      <c r="I1310" s="115"/>
      <c r="J1310" s="115"/>
      <c r="K1310" s="115"/>
      <c r="L1310" s="115"/>
      <c r="M1310" s="115"/>
      <c r="N1310" s="115"/>
      <c r="O1310" s="115"/>
      <c r="P1310" s="115"/>
      <c r="Q1310" s="115"/>
      <c r="R1310" s="115"/>
      <c r="S1310" s="115"/>
      <c r="T1310" s="115"/>
      <c r="U1310" s="115"/>
      <c r="V1310" s="115"/>
      <c r="W1310" s="115"/>
      <c r="X1310" s="115"/>
      <c r="Y1310" s="115"/>
      <c r="Z1310" s="115"/>
      <c r="AA1310" s="115"/>
      <c r="AB1310" s="115"/>
      <c r="AC1310" s="115"/>
      <c r="AD1310" s="115"/>
      <c r="AE1310" s="115"/>
      <c r="AF1310" s="115"/>
      <c r="AG1310" s="115"/>
      <c r="AH1310" s="122"/>
      <c r="AI1310" s="122"/>
      <c r="AJ1310" s="122"/>
      <c r="AK1310" s="115"/>
      <c r="AL1310" s="115"/>
      <c r="AM1310" s="115"/>
      <c r="AN1310" s="115"/>
      <c r="AO1310" s="115"/>
      <c r="AP1310" s="115"/>
      <c r="AQ1310" s="115"/>
      <c r="AR1310" s="115"/>
      <c r="AS1310" s="115"/>
      <c r="AT1310" s="115"/>
      <c r="AU1310" s="115"/>
      <c r="AV1310" s="115"/>
      <c r="AW1310" s="115"/>
      <c r="AX1310" s="115"/>
      <c r="AY1310" s="26"/>
      <c r="AZ1310" s="15"/>
    </row>
    <row r="1311" spans="3:52" x14ac:dyDescent="0.4">
      <c r="E1311" s="115"/>
      <c r="F1311" s="115"/>
      <c r="G1311" s="115"/>
      <c r="H1311" s="115"/>
      <c r="I1311" s="115"/>
      <c r="J1311" s="115"/>
      <c r="K1311" s="115"/>
      <c r="L1311" s="115"/>
      <c r="M1311" s="115"/>
      <c r="N1311" s="115"/>
      <c r="O1311" s="115"/>
      <c r="P1311" s="115"/>
      <c r="Q1311" s="115"/>
      <c r="R1311" s="115"/>
      <c r="S1311" s="115"/>
      <c r="T1311" s="115"/>
      <c r="U1311" s="115"/>
      <c r="V1311" s="115"/>
      <c r="W1311" s="115"/>
      <c r="X1311" s="115"/>
      <c r="Y1311" s="115"/>
      <c r="Z1311" s="115"/>
      <c r="AA1311" s="115"/>
      <c r="AB1311" s="115"/>
      <c r="AC1311" s="115"/>
      <c r="AD1311" s="115"/>
      <c r="AE1311" s="115"/>
      <c r="AF1311" s="115"/>
      <c r="AG1311" s="115"/>
      <c r="AH1311" s="122"/>
      <c r="AI1311" s="122"/>
      <c r="AJ1311" s="122"/>
      <c r="AK1311" s="115"/>
      <c r="AL1311" s="115"/>
      <c r="AM1311" s="115"/>
      <c r="AN1311" s="115"/>
      <c r="AO1311" s="115"/>
      <c r="AP1311" s="115"/>
      <c r="AQ1311" s="115"/>
      <c r="AR1311" s="115"/>
      <c r="AS1311" s="115"/>
      <c r="AT1311" s="115"/>
      <c r="AU1311" s="115"/>
      <c r="AV1311" s="115"/>
      <c r="AW1311" s="115"/>
      <c r="AX1311" s="115"/>
      <c r="AY1311" s="26"/>
      <c r="AZ1311" s="15"/>
    </row>
    <row r="1312" spans="3:52" x14ac:dyDescent="0.4">
      <c r="D1312" s="115"/>
      <c r="E1312" s="115"/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22"/>
      <c r="AI1312" s="122"/>
      <c r="AJ1312" s="122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26"/>
      <c r="AZ1312" s="15"/>
    </row>
    <row r="1313" spans="2:52" x14ac:dyDescent="0.4">
      <c r="D1313" s="115"/>
      <c r="E1313" s="115"/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15"/>
      <c r="AG1313" s="115"/>
      <c r="AH1313" s="122"/>
      <c r="AI1313" s="122"/>
      <c r="AJ1313" s="122"/>
      <c r="AK1313" s="115"/>
      <c r="AL1313" s="115"/>
      <c r="AM1313" s="115"/>
      <c r="AN1313" s="115"/>
      <c r="AO1313" s="115"/>
      <c r="AP1313" s="115"/>
      <c r="AQ1313" s="115"/>
      <c r="AR1313" s="115"/>
      <c r="AS1313" s="115"/>
      <c r="AT1313" s="115"/>
      <c r="AU1313" s="115"/>
      <c r="AV1313" s="115"/>
      <c r="AW1313" s="115"/>
      <c r="AX1313" s="115"/>
      <c r="AY1313" s="26"/>
      <c r="AZ1313" s="15"/>
    </row>
    <row r="1314" spans="2:52" x14ac:dyDescent="0.4">
      <c r="D1314" s="115"/>
      <c r="E1314" s="115"/>
      <c r="F1314" s="115"/>
      <c r="G1314" s="115"/>
      <c r="H1314" s="115"/>
      <c r="I1314" s="115"/>
      <c r="J1314" s="115"/>
      <c r="K1314" s="115"/>
      <c r="L1314" s="115"/>
      <c r="M1314" s="115"/>
      <c r="N1314" s="115"/>
      <c r="O1314" s="115"/>
      <c r="P1314" s="115"/>
      <c r="Q1314" s="115"/>
      <c r="R1314" s="115"/>
      <c r="S1314" s="115"/>
      <c r="T1314" s="115"/>
      <c r="U1314" s="115"/>
      <c r="V1314" s="115"/>
      <c r="W1314" s="115"/>
      <c r="X1314" s="115"/>
      <c r="Y1314" s="115"/>
      <c r="Z1314" s="115"/>
      <c r="AA1314" s="115"/>
      <c r="AB1314" s="115"/>
      <c r="AC1314" s="115"/>
      <c r="AD1314" s="115"/>
      <c r="AE1314" s="115"/>
      <c r="AF1314" s="115"/>
      <c r="AG1314" s="115"/>
      <c r="AH1314" s="122"/>
      <c r="AI1314" s="122"/>
      <c r="AJ1314" s="122"/>
      <c r="AK1314" s="115"/>
      <c r="AL1314" s="115"/>
      <c r="AM1314" s="115"/>
      <c r="AN1314" s="115"/>
      <c r="AO1314" s="115"/>
      <c r="AP1314" s="115"/>
      <c r="AQ1314" s="115"/>
      <c r="AR1314" s="115"/>
      <c r="AS1314" s="115"/>
      <c r="AT1314" s="115"/>
      <c r="AU1314" s="115"/>
      <c r="AV1314" s="115"/>
      <c r="AW1314" s="115"/>
      <c r="AX1314" s="115"/>
      <c r="AY1314" s="26"/>
      <c r="AZ1314" s="15"/>
    </row>
    <row r="1315" spans="2:52" x14ac:dyDescent="0.4">
      <c r="C1315" s="115"/>
      <c r="D1315" s="115"/>
      <c r="E1315" s="115"/>
      <c r="F1315" s="115"/>
      <c r="G1315" s="115"/>
      <c r="H1315" s="115"/>
      <c r="I1315" s="115"/>
      <c r="J1315" s="115"/>
      <c r="K1315" s="115"/>
      <c r="L1315" s="115"/>
      <c r="M1315" s="115"/>
      <c r="N1315" s="115"/>
      <c r="O1315" s="115"/>
      <c r="P1315" s="115"/>
      <c r="Q1315" s="115"/>
      <c r="R1315" s="115"/>
      <c r="S1315" s="115"/>
      <c r="T1315" s="115"/>
      <c r="U1315" s="115"/>
      <c r="V1315" s="115"/>
      <c r="W1315" s="115"/>
      <c r="X1315" s="115"/>
      <c r="Y1315" s="115"/>
      <c r="Z1315" s="115"/>
      <c r="AA1315" s="115"/>
      <c r="AB1315" s="115"/>
      <c r="AC1315" s="115"/>
      <c r="AD1315" s="115"/>
      <c r="AE1315" s="115"/>
      <c r="AF1315" s="115"/>
      <c r="AG1315" s="115"/>
      <c r="AH1315" s="122"/>
      <c r="AI1315" s="122"/>
      <c r="AJ1315" s="122"/>
      <c r="AK1315" s="115"/>
      <c r="AL1315" s="115"/>
      <c r="AM1315" s="115"/>
      <c r="AN1315" s="115"/>
      <c r="AO1315" s="115"/>
      <c r="AP1315" s="115"/>
      <c r="AQ1315" s="115"/>
      <c r="AR1315" s="115"/>
      <c r="AS1315" s="115"/>
      <c r="AT1315" s="115"/>
      <c r="AU1315" s="115"/>
      <c r="AV1315" s="115"/>
      <c r="AW1315" s="115"/>
      <c r="AX1315" s="115"/>
      <c r="AY1315" s="26"/>
      <c r="AZ1315" s="15"/>
    </row>
    <row r="1316" spans="2:52" ht="19.5" customHeight="1" x14ac:dyDescent="0.4">
      <c r="B1316" s="115"/>
      <c r="C1316" s="115"/>
      <c r="D1316" s="115"/>
      <c r="E1316" s="115"/>
      <c r="F1316" s="115"/>
      <c r="G1316" s="115"/>
      <c r="H1316" s="115"/>
      <c r="I1316" s="115"/>
      <c r="J1316" s="115"/>
      <c r="K1316" s="115"/>
      <c r="L1316" s="115"/>
      <c r="M1316" s="115"/>
      <c r="N1316" s="115"/>
      <c r="O1316" s="115"/>
      <c r="P1316" s="115"/>
      <c r="Q1316" s="115"/>
      <c r="R1316" s="115"/>
      <c r="S1316" s="115"/>
      <c r="T1316" s="115"/>
      <c r="U1316" s="115"/>
      <c r="V1316" s="115"/>
      <c r="W1316" s="115"/>
      <c r="X1316" s="115"/>
      <c r="Y1316" s="115"/>
      <c r="Z1316" s="115"/>
      <c r="AA1316" s="115"/>
      <c r="AB1316" s="115"/>
      <c r="AC1316" s="115"/>
      <c r="AD1316" s="115"/>
      <c r="AE1316" s="115"/>
      <c r="AF1316" s="115"/>
      <c r="AG1316" s="115"/>
      <c r="AH1316" s="122"/>
      <c r="AI1316" s="122"/>
      <c r="AJ1316" s="122"/>
      <c r="AK1316" s="115"/>
      <c r="AL1316" s="115"/>
      <c r="AM1316" s="115"/>
      <c r="AN1316" s="115"/>
      <c r="AO1316" s="115"/>
      <c r="AP1316" s="115"/>
      <c r="AQ1316" s="115"/>
      <c r="AR1316" s="115"/>
      <c r="AS1316" s="115"/>
      <c r="AT1316" s="115"/>
      <c r="AU1316" s="115"/>
      <c r="AV1316" s="115"/>
      <c r="AW1316" s="115"/>
      <c r="AX1316" s="115"/>
      <c r="AY1316" s="26"/>
      <c r="AZ1316" s="15"/>
    </row>
    <row r="1317" spans="2:52" ht="19.5" customHeight="1" x14ac:dyDescent="0.4">
      <c r="B1317" s="115"/>
      <c r="C1317" s="115"/>
      <c r="D1317" s="115"/>
      <c r="E1317" s="115"/>
      <c r="F1317" s="115"/>
      <c r="G1317" s="115"/>
      <c r="H1317" s="115"/>
      <c r="I1317" s="115"/>
      <c r="J1317" s="115"/>
      <c r="K1317" s="115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15"/>
      <c r="AG1317" s="115"/>
      <c r="AH1317" s="122"/>
      <c r="AI1317" s="122"/>
      <c r="AJ1317" s="122"/>
      <c r="AK1317" s="115"/>
      <c r="AL1317" s="115"/>
      <c r="AM1317" s="115"/>
      <c r="AN1317" s="115"/>
      <c r="AO1317" s="115"/>
      <c r="AP1317" s="115"/>
      <c r="AQ1317" s="115"/>
      <c r="AR1317" s="115"/>
      <c r="AS1317" s="115"/>
      <c r="AT1317" s="115"/>
      <c r="AU1317" s="115"/>
      <c r="AV1317" s="115"/>
      <c r="AW1317" s="115"/>
      <c r="AX1317" s="115"/>
      <c r="AY1317" s="26"/>
      <c r="AZ1317" s="15"/>
    </row>
    <row r="1318" spans="2:52" x14ac:dyDescent="0.4">
      <c r="AY1318" s="26"/>
      <c r="AZ1318" s="15"/>
    </row>
    <row r="1319" spans="2:52" x14ac:dyDescent="0.4">
      <c r="D1319" s="115"/>
      <c r="E1319" s="115"/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15"/>
      <c r="AG1319" s="115"/>
      <c r="AH1319" s="122"/>
      <c r="AI1319" s="122"/>
      <c r="AJ1319" s="122"/>
      <c r="AK1319" s="115"/>
      <c r="AL1319" s="115"/>
      <c r="AM1319" s="115"/>
      <c r="AN1319" s="115"/>
      <c r="AO1319" s="115"/>
      <c r="AP1319" s="115"/>
      <c r="AQ1319" s="115"/>
      <c r="AR1319" s="115"/>
      <c r="AS1319" s="115"/>
      <c r="AT1319" s="115"/>
      <c r="AU1319" s="115"/>
      <c r="AV1319" s="115"/>
      <c r="AW1319" s="115"/>
      <c r="AX1319" s="115"/>
      <c r="AY1319" s="26"/>
      <c r="AZ1319" s="15"/>
    </row>
    <row r="1320" spans="2:52" x14ac:dyDescent="0.4">
      <c r="C1320" s="115"/>
      <c r="D1320" s="115"/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22"/>
      <c r="AI1320" s="122"/>
      <c r="AJ1320" s="122"/>
      <c r="AK1320" s="115"/>
      <c r="AL1320" s="115"/>
      <c r="AM1320" s="115"/>
      <c r="AN1320" s="115"/>
      <c r="AO1320" s="115"/>
      <c r="AP1320" s="115"/>
      <c r="AQ1320" s="115"/>
      <c r="AR1320" s="115"/>
      <c r="AS1320" s="115"/>
      <c r="AT1320" s="115"/>
      <c r="AU1320" s="115"/>
      <c r="AV1320" s="115"/>
      <c r="AW1320" s="115"/>
      <c r="AX1320" s="115"/>
      <c r="AY1320" s="26"/>
      <c r="AZ1320" s="15"/>
    </row>
    <row r="1321" spans="2:52" x14ac:dyDescent="0.4">
      <c r="C1321" s="115"/>
      <c r="D1321" s="115"/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22"/>
      <c r="AI1321" s="122"/>
      <c r="AJ1321" s="122"/>
      <c r="AK1321" s="115"/>
      <c r="AL1321" s="115"/>
      <c r="AM1321" s="115"/>
      <c r="AN1321" s="115"/>
      <c r="AO1321" s="115"/>
      <c r="AP1321" s="115"/>
      <c r="AQ1321" s="115"/>
      <c r="AR1321" s="115"/>
      <c r="AS1321" s="115"/>
      <c r="AT1321" s="115"/>
      <c r="AU1321" s="115"/>
      <c r="AV1321" s="115"/>
      <c r="AW1321" s="115"/>
      <c r="AX1321" s="115"/>
      <c r="AY1321" s="17"/>
      <c r="AZ1321" s="15"/>
    </row>
    <row r="1322" spans="2:52" x14ac:dyDescent="0.4">
      <c r="AY1322" s="26"/>
      <c r="AZ1322" s="15"/>
    </row>
    <row r="1323" spans="2:52" x14ac:dyDescent="0.4">
      <c r="AB1323" s="115"/>
      <c r="AC1323" s="115"/>
      <c r="AD1323" s="115"/>
      <c r="AE1323" s="115"/>
      <c r="AF1323" s="115"/>
      <c r="AG1323" s="115"/>
      <c r="AH1323" s="122"/>
      <c r="AI1323" s="122"/>
      <c r="AJ1323" s="122"/>
      <c r="AK1323" s="115"/>
      <c r="AL1323" s="115"/>
      <c r="AM1323" s="115"/>
      <c r="AN1323" s="115"/>
      <c r="AO1323" s="115"/>
      <c r="AP1323" s="115"/>
      <c r="AQ1323" s="115"/>
      <c r="AR1323" s="115"/>
      <c r="AS1323" s="115"/>
      <c r="AT1323" s="115"/>
      <c r="AU1323" s="115"/>
      <c r="AV1323" s="115"/>
      <c r="AW1323" s="115"/>
      <c r="AX1323" s="115"/>
      <c r="AY1323" s="17"/>
      <c r="AZ1323" s="15"/>
    </row>
    <row r="1324" spans="2:52" x14ac:dyDescent="0.4"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22"/>
      <c r="AI1324" s="122"/>
      <c r="AJ1324" s="122"/>
      <c r="AK1324" s="115"/>
      <c r="AL1324" s="115"/>
      <c r="AM1324" s="115"/>
      <c r="AN1324" s="115"/>
      <c r="AO1324" s="115"/>
      <c r="AP1324" s="115"/>
      <c r="AQ1324" s="115"/>
      <c r="AR1324" s="115"/>
      <c r="AS1324" s="115"/>
      <c r="AT1324" s="115"/>
      <c r="AU1324" s="115"/>
      <c r="AV1324" s="115"/>
      <c r="AW1324" s="115"/>
      <c r="AX1324" s="115"/>
      <c r="AY1324" s="26"/>
      <c r="AZ1324" s="15"/>
    </row>
    <row r="1325" spans="2:52" x14ac:dyDescent="0.4">
      <c r="AY1325" s="26"/>
      <c r="AZ1325" s="15"/>
    </row>
    <row r="1326" spans="2:52" x14ac:dyDescent="0.4">
      <c r="AY1326" s="26"/>
      <c r="AZ1326" s="15"/>
    </row>
    <row r="1327" spans="2:52" x14ac:dyDescent="0.4">
      <c r="AA1327" s="115"/>
      <c r="AB1327" s="115"/>
      <c r="AC1327" s="115"/>
      <c r="AD1327" s="115"/>
      <c r="AE1327" s="115"/>
      <c r="AF1327" s="115"/>
      <c r="AG1327" s="115"/>
      <c r="AH1327" s="122"/>
      <c r="AI1327" s="122"/>
      <c r="AJ1327" s="122"/>
      <c r="AK1327" s="115"/>
      <c r="AL1327" s="115"/>
      <c r="AM1327" s="115"/>
      <c r="AN1327" s="115"/>
      <c r="AO1327" s="115"/>
      <c r="AP1327" s="115"/>
      <c r="AQ1327" s="115"/>
      <c r="AR1327" s="115"/>
      <c r="AS1327" s="115"/>
      <c r="AT1327" s="115"/>
      <c r="AU1327" s="115"/>
      <c r="AV1327" s="115"/>
      <c r="AW1327" s="115"/>
      <c r="AX1327" s="115"/>
      <c r="AY1327" s="26"/>
      <c r="AZ1327" s="15"/>
    </row>
    <row r="1328" spans="2:52" x14ac:dyDescent="0.4">
      <c r="AY1328" s="26"/>
      <c r="AZ1328" s="15"/>
    </row>
    <row r="1329" spans="1:52" x14ac:dyDescent="0.4">
      <c r="AB1329" s="115"/>
      <c r="AC1329" s="115"/>
      <c r="AD1329" s="115"/>
      <c r="AE1329" s="115"/>
      <c r="AF1329" s="115"/>
      <c r="AG1329" s="115"/>
      <c r="AH1329" s="122"/>
      <c r="AI1329" s="122"/>
      <c r="AJ1329" s="122"/>
      <c r="AK1329" s="115"/>
      <c r="AL1329" s="115"/>
      <c r="AM1329" s="115"/>
      <c r="AN1329" s="115"/>
      <c r="AO1329" s="115"/>
      <c r="AP1329" s="115"/>
      <c r="AQ1329" s="115"/>
      <c r="AR1329" s="115"/>
      <c r="AS1329" s="115"/>
      <c r="AT1329" s="115"/>
      <c r="AU1329" s="115"/>
      <c r="AV1329" s="115"/>
      <c r="AW1329" s="115"/>
      <c r="AX1329" s="115"/>
      <c r="AY1329" s="17"/>
      <c r="AZ1329" s="15"/>
    </row>
    <row r="1330" spans="1:52" x14ac:dyDescent="0.4">
      <c r="A1330" s="115"/>
      <c r="B1330" s="115"/>
      <c r="C1330" s="115"/>
      <c r="D1330" s="115"/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22"/>
      <c r="AI1330" s="122"/>
      <c r="AJ1330" s="122"/>
      <c r="AK1330" s="115"/>
      <c r="AL1330" s="115"/>
      <c r="AM1330" s="115"/>
      <c r="AN1330" s="115"/>
      <c r="AO1330" s="115"/>
      <c r="AP1330" s="115"/>
      <c r="AQ1330" s="115"/>
      <c r="AR1330" s="115"/>
      <c r="AS1330" s="115"/>
      <c r="AT1330" s="115"/>
      <c r="AU1330" s="115"/>
      <c r="AV1330" s="115"/>
      <c r="AW1330" s="115"/>
      <c r="AX1330" s="115"/>
      <c r="AY1330" s="26"/>
      <c r="AZ1330" s="15"/>
    </row>
    <row r="1331" spans="1:52" x14ac:dyDescent="0.4">
      <c r="A1331" s="115"/>
      <c r="B1331" s="115"/>
      <c r="C1331" s="115"/>
      <c r="D1331" s="115"/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22"/>
      <c r="AI1331" s="122"/>
      <c r="AJ1331" s="122"/>
      <c r="AK1331" s="115"/>
      <c r="AL1331" s="115"/>
      <c r="AM1331" s="115"/>
      <c r="AN1331" s="115"/>
      <c r="AO1331" s="115"/>
      <c r="AP1331" s="115"/>
      <c r="AQ1331" s="115"/>
      <c r="AR1331" s="115"/>
      <c r="AS1331" s="115"/>
      <c r="AT1331" s="115"/>
      <c r="AU1331" s="115"/>
      <c r="AV1331" s="115"/>
      <c r="AW1331" s="115"/>
      <c r="AX1331" s="115"/>
      <c r="AY1331" s="17"/>
      <c r="AZ1331" s="13"/>
    </row>
    <row r="1332" spans="1:52" x14ac:dyDescent="0.4">
      <c r="A1332" s="115"/>
      <c r="B1332" s="115"/>
      <c r="C1332" s="115"/>
      <c r="D1332" s="115"/>
      <c r="E1332" s="115"/>
      <c r="F1332" s="115"/>
      <c r="G1332" s="115"/>
      <c r="H1332" s="115"/>
      <c r="I1332" s="115"/>
      <c r="J1332" s="115"/>
      <c r="K1332" s="115"/>
      <c r="L1332" s="115"/>
      <c r="M1332" s="115"/>
      <c r="N1332" s="115"/>
      <c r="O1332" s="115"/>
      <c r="P1332" s="115"/>
      <c r="Q1332" s="115"/>
      <c r="R1332" s="115"/>
      <c r="S1332" s="115"/>
      <c r="T1332" s="115"/>
      <c r="U1332" s="115"/>
      <c r="V1332" s="115"/>
      <c r="W1332" s="115"/>
      <c r="X1332" s="115"/>
      <c r="Y1332" s="115"/>
      <c r="Z1332" s="115"/>
      <c r="AA1332" s="115"/>
      <c r="AB1332" s="115"/>
      <c r="AC1332" s="115"/>
      <c r="AD1332" s="115"/>
      <c r="AE1332" s="115"/>
      <c r="AF1332" s="115"/>
      <c r="AG1332" s="115"/>
      <c r="AH1332" s="122"/>
      <c r="AI1332" s="122"/>
      <c r="AJ1332" s="122"/>
      <c r="AK1332" s="115"/>
      <c r="AL1332" s="115"/>
      <c r="AM1332" s="115"/>
      <c r="AN1332" s="115"/>
      <c r="AO1332" s="115"/>
      <c r="AP1332" s="115"/>
      <c r="AQ1332" s="115"/>
      <c r="AR1332" s="115"/>
      <c r="AS1332" s="115"/>
      <c r="AT1332" s="115"/>
      <c r="AU1332" s="115"/>
      <c r="AV1332" s="115"/>
      <c r="AW1332" s="115"/>
      <c r="AX1332" s="115"/>
      <c r="AY1332" s="17"/>
      <c r="AZ1332" s="13"/>
    </row>
    <row r="1333" spans="1:52" x14ac:dyDescent="0.4">
      <c r="AY1333" s="26"/>
      <c r="AZ1333" s="13"/>
    </row>
    <row r="1334" spans="1:52" x14ac:dyDescent="0.4">
      <c r="C1334" s="115"/>
      <c r="D1334" s="115"/>
      <c r="E1334" s="115"/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22"/>
      <c r="AI1334" s="122"/>
      <c r="AJ1334" s="122"/>
      <c r="AK1334" s="115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15"/>
      <c r="AY1334" s="26"/>
      <c r="AZ1334" s="15"/>
    </row>
    <row r="1335" spans="1:52" x14ac:dyDescent="0.4">
      <c r="C1335" s="115"/>
      <c r="D1335" s="115"/>
      <c r="E1335" s="115"/>
      <c r="F1335" s="115"/>
      <c r="G1335" s="115"/>
      <c r="H1335" s="115"/>
      <c r="I1335" s="115"/>
      <c r="J1335" s="115"/>
      <c r="K1335" s="115"/>
      <c r="L1335" s="115"/>
      <c r="M1335" s="115"/>
      <c r="N1335" s="115"/>
      <c r="O1335" s="115"/>
      <c r="P1335" s="115"/>
      <c r="Q1335" s="115"/>
      <c r="R1335" s="115"/>
      <c r="S1335" s="115"/>
      <c r="T1335" s="115"/>
      <c r="U1335" s="115"/>
      <c r="V1335" s="115"/>
      <c r="W1335" s="115"/>
      <c r="X1335" s="115"/>
      <c r="Y1335" s="115"/>
      <c r="Z1335" s="115"/>
      <c r="AA1335" s="115"/>
      <c r="AB1335" s="115"/>
      <c r="AC1335" s="115"/>
      <c r="AD1335" s="115"/>
      <c r="AE1335" s="115"/>
      <c r="AF1335" s="115"/>
      <c r="AG1335" s="115"/>
      <c r="AH1335" s="122"/>
      <c r="AI1335" s="122"/>
      <c r="AJ1335" s="122"/>
      <c r="AK1335" s="115"/>
      <c r="AL1335" s="115"/>
      <c r="AM1335" s="115"/>
      <c r="AN1335" s="115"/>
      <c r="AO1335" s="115"/>
      <c r="AP1335" s="115"/>
      <c r="AQ1335" s="115"/>
      <c r="AR1335" s="115"/>
      <c r="AS1335" s="115"/>
      <c r="AT1335" s="115"/>
      <c r="AU1335" s="115"/>
      <c r="AV1335" s="115"/>
      <c r="AW1335" s="115"/>
      <c r="AX1335" s="115"/>
      <c r="AY1335" s="26"/>
      <c r="AZ1335" s="15"/>
    </row>
    <row r="1336" spans="1:52" x14ac:dyDescent="0.4">
      <c r="AY1336" s="26"/>
      <c r="AZ1336" s="15"/>
    </row>
    <row r="1337" spans="1:52" x14ac:dyDescent="0.4">
      <c r="D1337" s="115"/>
      <c r="E1337" s="115"/>
      <c r="F1337" s="115"/>
      <c r="G1337" s="115"/>
      <c r="H1337" s="115"/>
      <c r="I1337" s="115"/>
      <c r="J1337" s="115"/>
      <c r="K1337" s="115"/>
      <c r="L1337" s="115"/>
      <c r="M1337" s="115"/>
      <c r="N1337" s="115"/>
      <c r="O1337" s="115"/>
      <c r="P1337" s="115"/>
      <c r="Q1337" s="115"/>
      <c r="R1337" s="115"/>
      <c r="S1337" s="115"/>
      <c r="T1337" s="115"/>
      <c r="U1337" s="115"/>
      <c r="V1337" s="115"/>
      <c r="W1337" s="115"/>
      <c r="X1337" s="115"/>
      <c r="Y1337" s="115"/>
      <c r="Z1337" s="115"/>
      <c r="AA1337" s="115"/>
      <c r="AB1337" s="115"/>
      <c r="AC1337" s="115"/>
      <c r="AD1337" s="115"/>
      <c r="AE1337" s="115"/>
      <c r="AF1337" s="115"/>
      <c r="AG1337" s="115"/>
      <c r="AH1337" s="122"/>
      <c r="AI1337" s="122"/>
      <c r="AJ1337" s="122"/>
      <c r="AK1337" s="115"/>
      <c r="AL1337" s="115"/>
      <c r="AM1337" s="115"/>
      <c r="AN1337" s="115"/>
      <c r="AO1337" s="115"/>
      <c r="AP1337" s="115"/>
      <c r="AQ1337" s="115"/>
      <c r="AR1337" s="115"/>
      <c r="AS1337" s="115"/>
      <c r="AT1337" s="115"/>
      <c r="AU1337" s="115"/>
      <c r="AV1337" s="115"/>
      <c r="AW1337" s="115"/>
      <c r="AX1337" s="115"/>
      <c r="AY1337" s="26"/>
      <c r="AZ1337" s="15"/>
    </row>
    <row r="1338" spans="1:52" x14ac:dyDescent="0.4">
      <c r="C1338" s="115"/>
      <c r="D1338" s="115"/>
      <c r="E1338" s="115"/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22"/>
      <c r="AI1338" s="122"/>
      <c r="AJ1338" s="122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26"/>
      <c r="AZ1338" s="15"/>
    </row>
    <row r="1339" spans="1:52" x14ac:dyDescent="0.4">
      <c r="C1339" s="115"/>
      <c r="D1339" s="115"/>
      <c r="E1339" s="115"/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22"/>
      <c r="AI1339" s="122"/>
      <c r="AJ1339" s="122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26"/>
      <c r="AZ1339" s="15"/>
    </row>
    <row r="1340" spans="1:52" x14ac:dyDescent="0.4">
      <c r="C1340" s="115"/>
      <c r="D1340" s="115"/>
      <c r="E1340" s="115"/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22"/>
      <c r="AI1340" s="122"/>
      <c r="AJ1340" s="122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26"/>
      <c r="AZ1340" s="15"/>
    </row>
    <row r="1341" spans="1:52" x14ac:dyDescent="0.4">
      <c r="AY1341" s="26"/>
      <c r="AZ1341" s="15"/>
    </row>
    <row r="1342" spans="1:52" x14ac:dyDescent="0.4">
      <c r="D1342" s="115"/>
      <c r="E1342" s="115"/>
      <c r="F1342" s="115"/>
      <c r="G1342" s="115"/>
      <c r="H1342" s="115"/>
      <c r="I1342" s="115"/>
      <c r="J1342" s="115"/>
      <c r="K1342" s="115"/>
      <c r="L1342" s="115"/>
      <c r="M1342" s="115"/>
      <c r="N1342" s="115"/>
      <c r="O1342" s="115"/>
      <c r="P1342" s="115"/>
      <c r="Q1342" s="115"/>
      <c r="R1342" s="115"/>
      <c r="S1342" s="115"/>
      <c r="T1342" s="115"/>
      <c r="U1342" s="115"/>
      <c r="V1342" s="115"/>
      <c r="W1342" s="115"/>
      <c r="X1342" s="115"/>
      <c r="Y1342" s="115"/>
      <c r="Z1342" s="115"/>
      <c r="AA1342" s="115"/>
      <c r="AB1342" s="115"/>
      <c r="AC1342" s="115"/>
      <c r="AD1342" s="115"/>
      <c r="AE1342" s="115"/>
      <c r="AF1342" s="115"/>
      <c r="AG1342" s="115"/>
      <c r="AH1342" s="122"/>
      <c r="AI1342" s="122"/>
      <c r="AJ1342" s="122"/>
      <c r="AK1342" s="115"/>
      <c r="AL1342" s="115"/>
      <c r="AM1342" s="115"/>
      <c r="AN1342" s="115"/>
      <c r="AO1342" s="115"/>
      <c r="AP1342" s="115"/>
      <c r="AQ1342" s="115"/>
      <c r="AR1342" s="115"/>
      <c r="AS1342" s="115"/>
      <c r="AT1342" s="115"/>
      <c r="AU1342" s="115"/>
      <c r="AV1342" s="115"/>
      <c r="AW1342" s="115"/>
      <c r="AX1342" s="115"/>
      <c r="AY1342" s="26"/>
      <c r="AZ1342" s="15"/>
    </row>
    <row r="1343" spans="1:52" x14ac:dyDescent="0.4">
      <c r="AY1343" s="26"/>
      <c r="AZ1343" s="15"/>
    </row>
    <row r="1344" spans="1:52" x14ac:dyDescent="0.4">
      <c r="D1344" s="115"/>
      <c r="E1344" s="115"/>
      <c r="F1344" s="115"/>
      <c r="G1344" s="115"/>
      <c r="H1344" s="115"/>
      <c r="I1344" s="115"/>
      <c r="J1344" s="115"/>
      <c r="K1344" s="115"/>
      <c r="L1344" s="115"/>
      <c r="M1344" s="115"/>
      <c r="N1344" s="115"/>
      <c r="O1344" s="115"/>
      <c r="P1344" s="115"/>
      <c r="Q1344" s="115"/>
      <c r="R1344" s="115"/>
      <c r="S1344" s="115"/>
      <c r="T1344" s="115"/>
      <c r="U1344" s="115"/>
      <c r="V1344" s="115"/>
      <c r="W1344" s="115"/>
      <c r="X1344" s="115"/>
      <c r="Y1344" s="115"/>
      <c r="Z1344" s="115"/>
      <c r="AA1344" s="115"/>
      <c r="AB1344" s="115"/>
      <c r="AC1344" s="115"/>
      <c r="AD1344" s="115"/>
      <c r="AE1344" s="115"/>
      <c r="AF1344" s="115"/>
      <c r="AG1344" s="115"/>
      <c r="AH1344" s="122"/>
      <c r="AI1344" s="122"/>
      <c r="AJ1344" s="122"/>
      <c r="AK1344" s="115"/>
      <c r="AL1344" s="115"/>
      <c r="AM1344" s="115"/>
      <c r="AN1344" s="115"/>
      <c r="AO1344" s="115"/>
      <c r="AP1344" s="115"/>
      <c r="AQ1344" s="115"/>
      <c r="AR1344" s="115"/>
      <c r="AS1344" s="115"/>
      <c r="AT1344" s="115"/>
      <c r="AU1344" s="115"/>
      <c r="AV1344" s="115"/>
      <c r="AW1344" s="115"/>
      <c r="AX1344" s="115"/>
      <c r="AY1344" s="26"/>
      <c r="AZ1344" s="15"/>
    </row>
    <row r="1345" spans="1:52" x14ac:dyDescent="0.4">
      <c r="D1345" s="115"/>
      <c r="E1345" s="115"/>
      <c r="F1345" s="115"/>
      <c r="G1345" s="115"/>
      <c r="H1345" s="115"/>
      <c r="I1345" s="115"/>
      <c r="J1345" s="115"/>
      <c r="K1345" s="115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15"/>
      <c r="AF1345" s="115"/>
      <c r="AG1345" s="115"/>
      <c r="AH1345" s="122"/>
      <c r="AI1345" s="122"/>
      <c r="AJ1345" s="122"/>
      <c r="AK1345" s="115"/>
      <c r="AL1345" s="115"/>
      <c r="AM1345" s="115"/>
      <c r="AN1345" s="115"/>
      <c r="AO1345" s="115"/>
      <c r="AP1345" s="115"/>
      <c r="AQ1345" s="115"/>
      <c r="AR1345" s="115"/>
      <c r="AS1345" s="115"/>
      <c r="AT1345" s="115"/>
      <c r="AU1345" s="115"/>
      <c r="AV1345" s="115"/>
      <c r="AW1345" s="115"/>
      <c r="AX1345" s="115"/>
      <c r="AY1345" s="26"/>
      <c r="AZ1345" s="15"/>
    </row>
    <row r="1346" spans="1:52" x14ac:dyDescent="0.4"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22"/>
      <c r="AI1346" s="122"/>
      <c r="AJ1346" s="122"/>
      <c r="AK1346" s="115"/>
      <c r="AL1346" s="115"/>
      <c r="AM1346" s="115"/>
      <c r="AN1346" s="115"/>
      <c r="AO1346" s="115"/>
      <c r="AP1346" s="115"/>
      <c r="AQ1346" s="115"/>
      <c r="AR1346" s="115"/>
      <c r="AS1346" s="115"/>
      <c r="AT1346" s="115"/>
      <c r="AU1346" s="115"/>
      <c r="AV1346" s="115"/>
      <c r="AW1346" s="115"/>
      <c r="AX1346" s="115"/>
      <c r="AY1346" s="17"/>
      <c r="AZ1346" s="15"/>
    </row>
    <row r="1347" spans="1:52" x14ac:dyDescent="0.4">
      <c r="AY1347" s="26"/>
      <c r="AZ1347" s="15"/>
    </row>
    <row r="1348" spans="1:52" x14ac:dyDescent="0.4">
      <c r="AY1348" s="26"/>
      <c r="AZ1348" s="15"/>
    </row>
    <row r="1349" spans="1:52" x14ac:dyDescent="0.4">
      <c r="A1349" s="115"/>
      <c r="B1349" s="115"/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22"/>
      <c r="AI1349" s="122"/>
      <c r="AJ1349" s="122"/>
      <c r="AK1349" s="115"/>
      <c r="AL1349" s="115"/>
      <c r="AM1349" s="115"/>
      <c r="AN1349" s="115"/>
      <c r="AO1349" s="115"/>
      <c r="AP1349" s="115"/>
      <c r="AQ1349" s="115"/>
      <c r="AR1349" s="115"/>
      <c r="AS1349" s="115"/>
      <c r="AT1349" s="115"/>
      <c r="AU1349" s="115"/>
      <c r="AV1349" s="115"/>
      <c r="AW1349" s="115"/>
      <c r="AX1349" s="115"/>
      <c r="AY1349" s="26"/>
      <c r="AZ1349" s="15"/>
    </row>
    <row r="1350" spans="1:52" x14ac:dyDescent="0.4">
      <c r="A1350" s="115"/>
      <c r="B1350" s="115"/>
      <c r="C1350" s="115"/>
      <c r="D1350" s="115"/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22"/>
      <c r="AI1350" s="122"/>
      <c r="AJ1350" s="122"/>
      <c r="AK1350" s="115"/>
      <c r="AL1350" s="115"/>
      <c r="AM1350" s="115"/>
      <c r="AN1350" s="115"/>
      <c r="AO1350" s="115"/>
      <c r="AP1350" s="115"/>
      <c r="AQ1350" s="115"/>
      <c r="AR1350" s="115"/>
      <c r="AS1350" s="115"/>
      <c r="AT1350" s="115"/>
      <c r="AU1350" s="115"/>
      <c r="AV1350" s="115"/>
      <c r="AW1350" s="115"/>
      <c r="AX1350" s="115"/>
      <c r="AY1350" s="17"/>
      <c r="AZ1350" s="15"/>
    </row>
    <row r="1351" spans="1:52" x14ac:dyDescent="0.4">
      <c r="AY1351" s="26"/>
      <c r="AZ1351" s="15"/>
    </row>
    <row r="1352" spans="1:52" ht="17.25" customHeight="1" x14ac:dyDescent="0.4">
      <c r="B1352" s="115"/>
      <c r="C1352" s="115"/>
      <c r="D1352" s="115"/>
      <c r="E1352" s="115"/>
      <c r="F1352" s="115"/>
      <c r="G1352" s="115"/>
      <c r="H1352" s="115"/>
      <c r="I1352" s="115"/>
      <c r="J1352" s="115"/>
      <c r="K1352" s="115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22"/>
      <c r="AI1352" s="122"/>
      <c r="AJ1352" s="122"/>
      <c r="AK1352" s="115"/>
      <c r="AL1352" s="115"/>
      <c r="AM1352" s="115"/>
      <c r="AN1352" s="115"/>
      <c r="AO1352" s="115"/>
      <c r="AP1352" s="115"/>
      <c r="AQ1352" s="115"/>
      <c r="AR1352" s="115"/>
      <c r="AS1352" s="115"/>
      <c r="AT1352" s="115"/>
      <c r="AU1352" s="115"/>
      <c r="AV1352" s="115"/>
      <c r="AW1352" s="115"/>
      <c r="AX1352" s="115"/>
      <c r="AY1352" s="26"/>
      <c r="AZ1352" s="15"/>
    </row>
    <row r="1353" spans="1:52" x14ac:dyDescent="0.4">
      <c r="AY1353" s="26"/>
      <c r="AZ1353" s="15"/>
    </row>
    <row r="1354" spans="1:52" x14ac:dyDescent="0.4">
      <c r="AA1354" s="115"/>
      <c r="AB1354" s="115"/>
      <c r="AC1354" s="115"/>
      <c r="AD1354" s="115"/>
      <c r="AE1354" s="115"/>
      <c r="AF1354" s="115"/>
      <c r="AG1354" s="115"/>
      <c r="AH1354" s="122"/>
      <c r="AI1354" s="122"/>
      <c r="AJ1354" s="122"/>
      <c r="AK1354" s="115"/>
      <c r="AL1354" s="115"/>
      <c r="AM1354" s="115"/>
      <c r="AN1354" s="115"/>
      <c r="AO1354" s="115"/>
      <c r="AP1354" s="115"/>
      <c r="AQ1354" s="115"/>
      <c r="AR1354" s="115"/>
      <c r="AS1354" s="115"/>
      <c r="AT1354" s="115"/>
      <c r="AU1354" s="115"/>
      <c r="AV1354" s="115"/>
      <c r="AW1354" s="115"/>
      <c r="AX1354" s="115"/>
      <c r="AY1354" s="17"/>
      <c r="AZ1354" s="15"/>
    </row>
    <row r="1355" spans="1:52" ht="16.5" customHeight="1" x14ac:dyDescent="0.4">
      <c r="A1355" s="115"/>
      <c r="B1355" s="115"/>
      <c r="C1355" s="115"/>
      <c r="D1355" s="115"/>
      <c r="E1355" s="115"/>
      <c r="F1355" s="115"/>
      <c r="G1355" s="115"/>
      <c r="H1355" s="115"/>
      <c r="I1355" s="115"/>
      <c r="J1355" s="115"/>
      <c r="K1355" s="115"/>
      <c r="L1355" s="115"/>
      <c r="M1355" s="115"/>
      <c r="N1355" s="115"/>
      <c r="O1355" s="115"/>
      <c r="P1355" s="115"/>
      <c r="Q1355" s="115"/>
      <c r="R1355" s="115"/>
      <c r="S1355" s="115"/>
      <c r="T1355" s="115"/>
      <c r="U1355" s="115"/>
      <c r="V1355" s="115"/>
      <c r="W1355" s="115"/>
      <c r="X1355" s="115"/>
      <c r="Y1355" s="115"/>
      <c r="Z1355" s="115"/>
      <c r="AA1355" s="115"/>
      <c r="AB1355" s="115"/>
      <c r="AC1355" s="115"/>
      <c r="AD1355" s="115"/>
      <c r="AE1355" s="115"/>
      <c r="AF1355" s="115"/>
      <c r="AG1355" s="115"/>
      <c r="AH1355" s="122"/>
      <c r="AI1355" s="122"/>
      <c r="AJ1355" s="122"/>
      <c r="AK1355" s="115"/>
      <c r="AL1355" s="115"/>
      <c r="AM1355" s="115"/>
      <c r="AN1355" s="115"/>
      <c r="AO1355" s="115"/>
      <c r="AP1355" s="115"/>
      <c r="AQ1355" s="115"/>
      <c r="AR1355" s="115"/>
      <c r="AS1355" s="115"/>
      <c r="AT1355" s="115"/>
      <c r="AU1355" s="115"/>
      <c r="AV1355" s="115"/>
      <c r="AW1355" s="115"/>
      <c r="AX1355" s="115"/>
      <c r="AY1355" s="26"/>
      <c r="AZ1355" s="15"/>
    </row>
    <row r="1356" spans="1:52" ht="22.5" customHeight="1" x14ac:dyDescent="0.4">
      <c r="A1356" s="115"/>
      <c r="B1356" s="115"/>
      <c r="C1356" s="115"/>
      <c r="D1356" s="115"/>
      <c r="E1356" s="115"/>
      <c r="F1356" s="115"/>
      <c r="G1356" s="115"/>
      <c r="H1356" s="115"/>
      <c r="I1356" s="115"/>
      <c r="J1356" s="115"/>
      <c r="K1356" s="115"/>
      <c r="L1356" s="115"/>
      <c r="M1356" s="115"/>
      <c r="N1356" s="115"/>
      <c r="O1356" s="115"/>
      <c r="P1356" s="115"/>
      <c r="Q1356" s="115"/>
      <c r="R1356" s="115"/>
      <c r="S1356" s="115"/>
      <c r="T1356" s="115"/>
      <c r="U1356" s="115"/>
      <c r="V1356" s="115"/>
      <c r="W1356" s="115"/>
      <c r="X1356" s="115"/>
      <c r="Y1356" s="115"/>
      <c r="Z1356" s="115"/>
      <c r="AA1356" s="115"/>
      <c r="AB1356" s="115"/>
      <c r="AC1356" s="115"/>
      <c r="AD1356" s="115"/>
      <c r="AE1356" s="115"/>
      <c r="AF1356" s="115"/>
      <c r="AG1356" s="115"/>
      <c r="AH1356" s="122"/>
      <c r="AI1356" s="122"/>
      <c r="AJ1356" s="122"/>
      <c r="AK1356" s="115"/>
      <c r="AL1356" s="115"/>
      <c r="AM1356" s="115"/>
      <c r="AN1356" s="115"/>
      <c r="AO1356" s="115"/>
      <c r="AP1356" s="115"/>
      <c r="AQ1356" s="115"/>
      <c r="AR1356" s="115"/>
      <c r="AS1356" s="115"/>
      <c r="AT1356" s="115"/>
      <c r="AU1356" s="115"/>
      <c r="AV1356" s="115"/>
      <c r="AW1356" s="115"/>
      <c r="AX1356" s="115"/>
      <c r="AY1356" s="26"/>
      <c r="AZ1356" s="15"/>
    </row>
    <row r="1357" spans="1:52" x14ac:dyDescent="0.4">
      <c r="AY1357" s="26"/>
      <c r="AZ1357" s="15"/>
    </row>
    <row r="1358" spans="1:52" x14ac:dyDescent="0.4">
      <c r="AY1358" s="26"/>
      <c r="AZ1358" s="105"/>
    </row>
    <row r="1359" spans="1:52" x14ac:dyDescent="0.4">
      <c r="A1359" s="115"/>
      <c r="B1359" s="115"/>
      <c r="C1359" s="115"/>
      <c r="D1359" s="115"/>
      <c r="E1359" s="115"/>
      <c r="F1359" s="115"/>
      <c r="G1359" s="115"/>
      <c r="H1359" s="115"/>
      <c r="I1359" s="115"/>
      <c r="J1359" s="115"/>
      <c r="K1359" s="115"/>
      <c r="L1359" s="115"/>
      <c r="M1359" s="115"/>
      <c r="N1359" s="115"/>
      <c r="O1359" s="115"/>
      <c r="P1359" s="115"/>
      <c r="Q1359" s="115"/>
      <c r="R1359" s="115"/>
      <c r="S1359" s="115"/>
      <c r="T1359" s="115"/>
      <c r="U1359" s="115"/>
      <c r="V1359" s="115"/>
      <c r="W1359" s="115"/>
      <c r="X1359" s="115"/>
      <c r="Y1359" s="115"/>
      <c r="Z1359" s="115"/>
      <c r="AA1359" s="115"/>
      <c r="AB1359" s="115"/>
      <c r="AC1359" s="115"/>
      <c r="AD1359" s="115"/>
      <c r="AE1359" s="115"/>
      <c r="AF1359" s="115"/>
      <c r="AG1359" s="115"/>
      <c r="AH1359" s="122"/>
      <c r="AI1359" s="122"/>
      <c r="AJ1359" s="122"/>
      <c r="AK1359" s="115"/>
      <c r="AL1359" s="115"/>
      <c r="AM1359" s="115"/>
      <c r="AN1359" s="115"/>
      <c r="AO1359" s="115"/>
      <c r="AP1359" s="115"/>
      <c r="AQ1359" s="115"/>
      <c r="AR1359" s="115"/>
      <c r="AS1359" s="115"/>
      <c r="AT1359" s="115"/>
      <c r="AU1359" s="115"/>
      <c r="AV1359" s="115"/>
      <c r="AW1359" s="115"/>
      <c r="AX1359" s="115"/>
      <c r="AY1359" s="26"/>
      <c r="AZ1359" s="15"/>
    </row>
    <row r="1360" spans="1:52" x14ac:dyDescent="0.4">
      <c r="AY1360" s="26"/>
      <c r="AZ1360" s="15"/>
    </row>
    <row r="1361" spans="1:52" x14ac:dyDescent="0.4">
      <c r="AY1361" s="26"/>
      <c r="AZ1361" s="15"/>
    </row>
    <row r="1362" spans="1:52" x14ac:dyDescent="0.4">
      <c r="AY1362" s="26"/>
      <c r="AZ1362" s="15"/>
    </row>
    <row r="1363" spans="1:52" x14ac:dyDescent="0.4">
      <c r="AY1363" s="26"/>
      <c r="AZ1363" s="15"/>
    </row>
    <row r="1364" spans="1:52" x14ac:dyDescent="0.4">
      <c r="A1364" s="115"/>
      <c r="B1364" s="115"/>
      <c r="C1364" s="115"/>
      <c r="D1364" s="115"/>
      <c r="E1364" s="115"/>
      <c r="F1364" s="115"/>
      <c r="G1364" s="115"/>
      <c r="H1364" s="115"/>
      <c r="I1364" s="115"/>
      <c r="J1364" s="115"/>
      <c r="K1364" s="115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15"/>
      <c r="AG1364" s="115"/>
      <c r="AH1364" s="122"/>
      <c r="AI1364" s="122"/>
      <c r="AJ1364" s="122"/>
      <c r="AK1364" s="115"/>
      <c r="AL1364" s="115"/>
      <c r="AM1364" s="115"/>
      <c r="AN1364" s="115"/>
      <c r="AO1364" s="115"/>
      <c r="AP1364" s="115"/>
      <c r="AQ1364" s="115"/>
      <c r="AR1364" s="115"/>
      <c r="AS1364" s="115"/>
      <c r="AT1364" s="115"/>
      <c r="AU1364" s="115"/>
      <c r="AV1364" s="115"/>
      <c r="AW1364" s="115"/>
      <c r="AX1364" s="115"/>
      <c r="AY1364" s="26"/>
      <c r="AZ1364" s="15"/>
    </row>
    <row r="1365" spans="1:52" x14ac:dyDescent="0.4">
      <c r="AY1365" s="26"/>
      <c r="AZ1365" s="15"/>
    </row>
    <row r="1366" spans="1:52" x14ac:dyDescent="0.4">
      <c r="AY1366" s="26"/>
      <c r="AZ1366" s="15"/>
    </row>
    <row r="1367" spans="1:52" x14ac:dyDescent="0.4">
      <c r="AY1367" s="26"/>
      <c r="AZ1367" s="15"/>
    </row>
    <row r="1368" spans="1:52" x14ac:dyDescent="0.4">
      <c r="AY1368" s="26"/>
      <c r="AZ1368" s="15"/>
    </row>
    <row r="1369" spans="1:52" ht="18.75" customHeight="1" x14ac:dyDescent="0.4">
      <c r="B1369" s="115"/>
      <c r="C1369" s="115"/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22"/>
      <c r="AI1369" s="122"/>
      <c r="AJ1369" s="122"/>
      <c r="AK1369" s="115"/>
      <c r="AL1369" s="115"/>
      <c r="AM1369" s="115"/>
      <c r="AN1369" s="115"/>
      <c r="AO1369" s="115"/>
      <c r="AP1369" s="115"/>
      <c r="AQ1369" s="115"/>
      <c r="AR1369" s="115"/>
      <c r="AS1369" s="115"/>
      <c r="AT1369" s="115"/>
      <c r="AU1369" s="115"/>
      <c r="AV1369" s="115"/>
      <c r="AW1369" s="115"/>
      <c r="AX1369" s="115"/>
      <c r="AY1369" s="26"/>
      <c r="AZ1369" s="15"/>
    </row>
    <row r="1370" spans="1:52" x14ac:dyDescent="0.4">
      <c r="AY1370" s="26"/>
      <c r="AZ1370" s="15"/>
    </row>
    <row r="1371" spans="1:52" x14ac:dyDescent="0.4">
      <c r="AY1371" s="26"/>
      <c r="AZ1371" s="15"/>
    </row>
    <row r="1372" spans="1:52" x14ac:dyDescent="0.4">
      <c r="B1372" s="115"/>
      <c r="C1372" s="115"/>
      <c r="D1372" s="115"/>
      <c r="E1372" s="115"/>
      <c r="F1372" s="115"/>
      <c r="G1372" s="115"/>
      <c r="H1372" s="115"/>
      <c r="I1372" s="115"/>
      <c r="J1372" s="115"/>
      <c r="K1372" s="115"/>
      <c r="L1372" s="115"/>
      <c r="M1372" s="115"/>
      <c r="N1372" s="115"/>
      <c r="O1372" s="115"/>
      <c r="P1372" s="115"/>
      <c r="Q1372" s="115"/>
      <c r="R1372" s="115"/>
      <c r="S1372" s="115"/>
      <c r="T1372" s="115"/>
      <c r="U1372" s="115"/>
      <c r="V1372" s="115"/>
      <c r="W1372" s="115"/>
      <c r="X1372" s="115"/>
      <c r="Y1372" s="115"/>
      <c r="Z1372" s="115"/>
      <c r="AA1372" s="115"/>
      <c r="AB1372" s="115"/>
      <c r="AC1372" s="115"/>
      <c r="AD1372" s="115"/>
      <c r="AE1372" s="115"/>
      <c r="AF1372" s="115"/>
      <c r="AG1372" s="115"/>
      <c r="AH1372" s="122"/>
      <c r="AI1372" s="122"/>
      <c r="AJ1372" s="122"/>
      <c r="AK1372" s="115"/>
      <c r="AL1372" s="115"/>
      <c r="AM1372" s="115"/>
      <c r="AN1372" s="115"/>
      <c r="AO1372" s="115"/>
      <c r="AP1372" s="115"/>
      <c r="AQ1372" s="115"/>
      <c r="AR1372" s="115"/>
      <c r="AS1372" s="115"/>
      <c r="AT1372" s="115"/>
      <c r="AU1372" s="115"/>
      <c r="AV1372" s="115"/>
      <c r="AW1372" s="115"/>
      <c r="AX1372" s="115"/>
      <c r="AY1372" s="26"/>
      <c r="AZ1372" s="15"/>
    </row>
    <row r="1373" spans="1:52" x14ac:dyDescent="0.4">
      <c r="A1373" s="115"/>
      <c r="B1373" s="115"/>
      <c r="C1373" s="115"/>
      <c r="D1373" s="115"/>
      <c r="E1373" s="115"/>
      <c r="F1373" s="115"/>
      <c r="G1373" s="115"/>
      <c r="H1373" s="115"/>
      <c r="I1373" s="115"/>
      <c r="J1373" s="115"/>
      <c r="K1373" s="115"/>
      <c r="L1373" s="115"/>
      <c r="M1373" s="115"/>
      <c r="N1373" s="115"/>
      <c r="O1373" s="115"/>
      <c r="P1373" s="115"/>
      <c r="Q1373" s="115"/>
      <c r="R1373" s="115"/>
      <c r="S1373" s="115"/>
      <c r="T1373" s="115"/>
      <c r="U1373" s="115"/>
      <c r="V1373" s="115"/>
      <c r="W1373" s="115"/>
      <c r="X1373" s="115"/>
      <c r="Y1373" s="115"/>
      <c r="Z1373" s="115"/>
      <c r="AA1373" s="115"/>
      <c r="AB1373" s="115"/>
      <c r="AC1373" s="115"/>
      <c r="AD1373" s="115"/>
      <c r="AE1373" s="115"/>
      <c r="AF1373" s="115"/>
      <c r="AG1373" s="115"/>
      <c r="AH1373" s="122"/>
      <c r="AI1373" s="122"/>
      <c r="AJ1373" s="122"/>
      <c r="AK1373" s="115"/>
      <c r="AL1373" s="115"/>
      <c r="AM1373" s="115"/>
      <c r="AN1373" s="115"/>
      <c r="AO1373" s="115"/>
      <c r="AP1373" s="115"/>
      <c r="AQ1373" s="115"/>
      <c r="AR1373" s="115"/>
      <c r="AS1373" s="115"/>
      <c r="AT1373" s="115"/>
      <c r="AU1373" s="115"/>
      <c r="AV1373" s="115"/>
      <c r="AW1373" s="115"/>
      <c r="AX1373" s="115"/>
      <c r="AY1373" s="26"/>
      <c r="AZ1373" s="15"/>
    </row>
    <row r="1374" spans="1:52" x14ac:dyDescent="0.4">
      <c r="AY1374" s="26"/>
      <c r="AZ1374" s="15"/>
    </row>
    <row r="1375" spans="1:52" x14ac:dyDescent="0.4">
      <c r="AA1375" s="115"/>
      <c r="AB1375" s="115"/>
      <c r="AC1375" s="115"/>
      <c r="AD1375" s="115"/>
      <c r="AE1375" s="115"/>
      <c r="AF1375" s="115"/>
      <c r="AG1375" s="115"/>
      <c r="AH1375" s="122"/>
      <c r="AI1375" s="122"/>
      <c r="AJ1375" s="122"/>
      <c r="AK1375" s="115"/>
      <c r="AL1375" s="115"/>
      <c r="AM1375" s="115"/>
      <c r="AN1375" s="115"/>
      <c r="AO1375" s="115"/>
      <c r="AP1375" s="115"/>
      <c r="AQ1375" s="115"/>
      <c r="AR1375" s="115"/>
      <c r="AS1375" s="115"/>
      <c r="AT1375" s="115"/>
      <c r="AU1375" s="115"/>
      <c r="AV1375" s="115"/>
      <c r="AW1375" s="115"/>
      <c r="AX1375" s="115"/>
      <c r="AY1375" s="17"/>
      <c r="AZ1375" s="15"/>
    </row>
    <row r="1376" spans="1:52" x14ac:dyDescent="0.4">
      <c r="A1376" s="115"/>
      <c r="B1376" s="115"/>
      <c r="C1376" s="115"/>
      <c r="D1376" s="115"/>
      <c r="E1376" s="115"/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22"/>
      <c r="AI1376" s="122"/>
      <c r="AJ1376" s="122"/>
      <c r="AK1376" s="115"/>
      <c r="AL1376" s="115"/>
      <c r="AM1376" s="115"/>
      <c r="AN1376" s="115"/>
      <c r="AO1376" s="115"/>
      <c r="AP1376" s="115"/>
      <c r="AQ1376" s="115"/>
      <c r="AR1376" s="115"/>
      <c r="AS1376" s="115"/>
      <c r="AT1376" s="115"/>
      <c r="AU1376" s="115"/>
      <c r="AV1376" s="115"/>
      <c r="AW1376" s="115"/>
      <c r="AX1376" s="115"/>
      <c r="AY1376" s="26"/>
      <c r="AZ1376" s="15"/>
    </row>
    <row r="1377" spans="1:52" x14ac:dyDescent="0.4">
      <c r="AY1377" s="26"/>
      <c r="AZ1377" s="15"/>
    </row>
    <row r="1378" spans="1:52" x14ac:dyDescent="0.4">
      <c r="AA1378" s="115"/>
      <c r="AB1378" s="115"/>
      <c r="AC1378" s="115"/>
      <c r="AD1378" s="115"/>
      <c r="AE1378" s="115"/>
      <c r="AF1378" s="115"/>
      <c r="AG1378" s="115"/>
      <c r="AH1378" s="122"/>
      <c r="AI1378" s="122"/>
      <c r="AJ1378" s="122"/>
      <c r="AK1378" s="115"/>
      <c r="AL1378" s="115"/>
      <c r="AM1378" s="115"/>
      <c r="AN1378" s="115"/>
      <c r="AO1378" s="115"/>
      <c r="AP1378" s="115"/>
      <c r="AQ1378" s="115"/>
      <c r="AR1378" s="115"/>
      <c r="AS1378" s="115"/>
      <c r="AT1378" s="115"/>
      <c r="AU1378" s="115"/>
      <c r="AV1378" s="115"/>
      <c r="AW1378" s="115"/>
      <c r="AX1378" s="115"/>
      <c r="AY1378" s="17"/>
      <c r="AZ1378" s="15"/>
    </row>
    <row r="1379" spans="1:52" x14ac:dyDescent="0.4">
      <c r="AY1379" s="26"/>
      <c r="AZ1379" s="15"/>
    </row>
    <row r="1380" spans="1:52" x14ac:dyDescent="0.4">
      <c r="B1380" s="115"/>
      <c r="C1380" s="115"/>
      <c r="D1380" s="115"/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22"/>
      <c r="AI1380" s="122"/>
      <c r="AJ1380" s="122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26"/>
      <c r="AZ1380" s="15"/>
    </row>
    <row r="1381" spans="1:52" x14ac:dyDescent="0.4">
      <c r="A1381" s="115"/>
      <c r="B1381" s="115"/>
      <c r="C1381" s="115"/>
      <c r="D1381" s="115"/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22"/>
      <c r="AI1381" s="122"/>
      <c r="AJ1381" s="122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26"/>
      <c r="AZ1381" s="15"/>
    </row>
    <row r="1382" spans="1:52" x14ac:dyDescent="0.4">
      <c r="A1382" s="115"/>
      <c r="B1382" s="115"/>
      <c r="C1382" s="115"/>
      <c r="D1382" s="115"/>
      <c r="E1382" s="115"/>
      <c r="F1382" s="115"/>
      <c r="G1382" s="115"/>
      <c r="H1382" s="115"/>
      <c r="I1382" s="115"/>
      <c r="J1382" s="115"/>
      <c r="K1382" s="115"/>
      <c r="L1382" s="115"/>
      <c r="M1382" s="115"/>
      <c r="N1382" s="115"/>
      <c r="O1382" s="115"/>
      <c r="P1382" s="115"/>
      <c r="Q1382" s="115"/>
      <c r="R1382" s="115"/>
      <c r="S1382" s="115"/>
      <c r="T1382" s="115"/>
      <c r="U1382" s="115"/>
      <c r="V1382" s="115"/>
      <c r="W1382" s="115"/>
      <c r="X1382" s="115"/>
      <c r="Y1382" s="115"/>
      <c r="Z1382" s="115"/>
      <c r="AA1382" s="115"/>
      <c r="AB1382" s="115"/>
      <c r="AC1382" s="115"/>
      <c r="AD1382" s="115"/>
      <c r="AE1382" s="115"/>
      <c r="AF1382" s="115"/>
      <c r="AG1382" s="115"/>
      <c r="AH1382" s="122"/>
      <c r="AI1382" s="122"/>
      <c r="AJ1382" s="122"/>
      <c r="AK1382" s="115"/>
      <c r="AL1382" s="115"/>
      <c r="AM1382" s="115"/>
      <c r="AN1382" s="115"/>
      <c r="AO1382" s="115"/>
      <c r="AP1382" s="115"/>
      <c r="AQ1382" s="115"/>
      <c r="AR1382" s="115"/>
      <c r="AS1382" s="115"/>
      <c r="AT1382" s="115"/>
      <c r="AU1382" s="115"/>
      <c r="AV1382" s="115"/>
      <c r="AW1382" s="115"/>
      <c r="AX1382" s="115"/>
      <c r="AY1382" s="26"/>
      <c r="AZ1382" s="15"/>
    </row>
    <row r="1383" spans="1:52" x14ac:dyDescent="0.4">
      <c r="AY1383" s="26"/>
      <c r="AZ1383" s="15"/>
    </row>
    <row r="1384" spans="1:52" x14ac:dyDescent="0.4">
      <c r="B1384" s="115"/>
      <c r="C1384" s="115"/>
      <c r="D1384" s="115"/>
      <c r="E1384" s="115"/>
      <c r="F1384" s="115"/>
      <c r="G1384" s="115"/>
      <c r="H1384" s="115"/>
      <c r="I1384" s="115"/>
      <c r="J1384" s="115"/>
      <c r="K1384" s="115"/>
      <c r="L1384" s="115"/>
      <c r="M1384" s="115"/>
      <c r="N1384" s="115"/>
      <c r="O1384" s="115"/>
      <c r="P1384" s="115"/>
      <c r="Q1384" s="115"/>
      <c r="R1384" s="115"/>
      <c r="S1384" s="115"/>
      <c r="T1384" s="115"/>
      <c r="U1384" s="115"/>
      <c r="V1384" s="115"/>
      <c r="W1384" s="115"/>
      <c r="X1384" s="115"/>
      <c r="Y1384" s="115"/>
      <c r="Z1384" s="115"/>
      <c r="AA1384" s="115"/>
      <c r="AB1384" s="115"/>
      <c r="AC1384" s="115"/>
      <c r="AD1384" s="115"/>
      <c r="AE1384" s="115"/>
      <c r="AF1384" s="115"/>
      <c r="AG1384" s="115"/>
      <c r="AH1384" s="122"/>
      <c r="AI1384" s="122"/>
      <c r="AJ1384" s="122"/>
      <c r="AK1384" s="115"/>
      <c r="AL1384" s="115"/>
      <c r="AM1384" s="115"/>
      <c r="AN1384" s="115"/>
      <c r="AO1384" s="115"/>
      <c r="AP1384" s="115"/>
      <c r="AQ1384" s="115"/>
      <c r="AR1384" s="115"/>
      <c r="AS1384" s="115"/>
      <c r="AT1384" s="115"/>
      <c r="AU1384" s="115"/>
      <c r="AV1384" s="115"/>
      <c r="AW1384" s="115"/>
      <c r="AX1384" s="115"/>
      <c r="AY1384" s="26"/>
      <c r="AZ1384" s="15"/>
    </row>
    <row r="1385" spans="1:52" x14ac:dyDescent="0.4">
      <c r="AY1385" s="26"/>
      <c r="AZ1385" s="15"/>
    </row>
    <row r="1386" spans="1:52" x14ac:dyDescent="0.4">
      <c r="B1386" s="115"/>
      <c r="C1386" s="115"/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22"/>
      <c r="AI1386" s="122"/>
      <c r="AJ1386" s="122"/>
      <c r="AK1386" s="115"/>
      <c r="AL1386" s="115"/>
      <c r="AM1386" s="115"/>
      <c r="AN1386" s="115"/>
      <c r="AO1386" s="115"/>
      <c r="AP1386" s="115"/>
      <c r="AQ1386" s="115"/>
      <c r="AR1386" s="115"/>
      <c r="AS1386" s="115"/>
      <c r="AT1386" s="115"/>
      <c r="AU1386" s="115"/>
      <c r="AV1386" s="115"/>
      <c r="AW1386" s="115"/>
      <c r="AX1386" s="115"/>
      <c r="AY1386" s="26"/>
      <c r="AZ1386" s="15"/>
    </row>
    <row r="1387" spans="1:52" x14ac:dyDescent="0.4">
      <c r="AY1387" s="26"/>
      <c r="AZ1387" s="15"/>
    </row>
    <row r="1388" spans="1:52" x14ac:dyDescent="0.4">
      <c r="AY1388" s="26"/>
      <c r="AZ1388" s="15"/>
    </row>
    <row r="1389" spans="1:52" x14ac:dyDescent="0.4">
      <c r="AY1389" s="26"/>
      <c r="AZ1389" s="15"/>
    </row>
    <row r="1390" spans="1:52" x14ac:dyDescent="0.4">
      <c r="AY1390" s="26"/>
      <c r="AZ1390" s="15"/>
    </row>
    <row r="1391" spans="1:52" x14ac:dyDescent="0.4">
      <c r="AY1391" s="26"/>
      <c r="AZ1391" s="15"/>
    </row>
    <row r="1392" spans="1:52" x14ac:dyDescent="0.4">
      <c r="AY1392" s="26"/>
      <c r="AZ1392" s="15"/>
    </row>
    <row r="1393" spans="1:52" x14ac:dyDescent="0.4">
      <c r="A1393" s="115"/>
      <c r="B1393" s="115"/>
      <c r="C1393" s="115"/>
      <c r="D1393" s="115"/>
      <c r="E1393" s="115"/>
      <c r="F1393" s="115"/>
      <c r="G1393" s="115"/>
      <c r="H1393" s="115"/>
      <c r="I1393" s="115"/>
      <c r="J1393" s="115"/>
      <c r="K1393" s="115"/>
      <c r="L1393" s="115"/>
      <c r="M1393" s="115"/>
      <c r="N1393" s="115"/>
      <c r="O1393" s="115"/>
      <c r="P1393" s="115"/>
      <c r="Q1393" s="115"/>
      <c r="R1393" s="115"/>
      <c r="S1393" s="115"/>
      <c r="T1393" s="115"/>
      <c r="U1393" s="115"/>
      <c r="V1393" s="115"/>
      <c r="W1393" s="115"/>
      <c r="X1393" s="115"/>
      <c r="Y1393" s="115"/>
      <c r="Z1393" s="115"/>
      <c r="AA1393" s="115"/>
      <c r="AB1393" s="115"/>
      <c r="AC1393" s="115"/>
      <c r="AD1393" s="115"/>
      <c r="AE1393" s="115"/>
      <c r="AF1393" s="115"/>
      <c r="AG1393" s="115"/>
      <c r="AH1393" s="122"/>
      <c r="AI1393" s="122"/>
      <c r="AJ1393" s="122"/>
      <c r="AK1393" s="115"/>
      <c r="AL1393" s="115"/>
      <c r="AM1393" s="115"/>
      <c r="AN1393" s="115"/>
      <c r="AO1393" s="115"/>
      <c r="AP1393" s="115"/>
      <c r="AQ1393" s="115"/>
      <c r="AR1393" s="115"/>
      <c r="AS1393" s="115"/>
      <c r="AT1393" s="115"/>
      <c r="AU1393" s="115"/>
      <c r="AV1393" s="115"/>
      <c r="AW1393" s="115"/>
      <c r="AX1393" s="115"/>
      <c r="AY1393" s="26"/>
      <c r="AZ1393" s="15"/>
    </row>
    <row r="1394" spans="1:52" x14ac:dyDescent="0.4">
      <c r="AY1394" s="26"/>
      <c r="AZ1394" s="15"/>
    </row>
    <row r="1395" spans="1:52" x14ac:dyDescent="0.4">
      <c r="AY1395" s="26"/>
      <c r="AZ1395" s="15"/>
    </row>
    <row r="1396" spans="1:52" x14ac:dyDescent="0.4">
      <c r="AY1396" s="26"/>
      <c r="AZ1396" s="15"/>
    </row>
    <row r="1397" spans="1:52" x14ac:dyDescent="0.4">
      <c r="AY1397" s="26"/>
      <c r="AZ1397" s="15"/>
    </row>
    <row r="1398" spans="1:52" x14ac:dyDescent="0.4">
      <c r="AY1398" s="26"/>
      <c r="AZ1398" s="15"/>
    </row>
    <row r="1399" spans="1:52" x14ac:dyDescent="0.4">
      <c r="AA1399" s="115"/>
      <c r="AB1399" s="115"/>
      <c r="AC1399" s="115"/>
      <c r="AD1399" s="115"/>
      <c r="AE1399" s="115"/>
      <c r="AF1399" s="115"/>
      <c r="AG1399" s="115"/>
      <c r="AH1399" s="122"/>
      <c r="AI1399" s="122"/>
      <c r="AJ1399" s="122"/>
      <c r="AK1399" s="115"/>
      <c r="AL1399" s="115"/>
      <c r="AM1399" s="115"/>
      <c r="AN1399" s="115"/>
      <c r="AO1399" s="115"/>
      <c r="AP1399" s="115"/>
      <c r="AQ1399" s="115"/>
      <c r="AR1399" s="115"/>
      <c r="AS1399" s="115"/>
      <c r="AT1399" s="115"/>
      <c r="AU1399" s="115"/>
      <c r="AV1399" s="115"/>
      <c r="AW1399" s="115"/>
      <c r="AX1399" s="115"/>
      <c r="AY1399" s="17"/>
      <c r="AZ1399" s="15"/>
    </row>
    <row r="1400" spans="1:52" x14ac:dyDescent="0.4">
      <c r="AA1400" s="115"/>
      <c r="AB1400" s="115"/>
      <c r="AC1400" s="115"/>
      <c r="AD1400" s="115"/>
      <c r="AE1400" s="115"/>
      <c r="AF1400" s="115"/>
      <c r="AG1400" s="115"/>
      <c r="AH1400" s="122"/>
      <c r="AI1400" s="122"/>
      <c r="AJ1400" s="122"/>
      <c r="AK1400" s="115"/>
      <c r="AL1400" s="115"/>
      <c r="AM1400" s="115"/>
      <c r="AN1400" s="115"/>
      <c r="AO1400" s="115"/>
      <c r="AP1400" s="115"/>
      <c r="AQ1400" s="115"/>
      <c r="AR1400" s="115"/>
      <c r="AS1400" s="115"/>
      <c r="AT1400" s="115"/>
      <c r="AU1400" s="115"/>
      <c r="AV1400" s="115"/>
      <c r="AW1400" s="115"/>
      <c r="AX1400" s="115"/>
      <c r="AY1400" s="17"/>
      <c r="AZ1400" s="15"/>
    </row>
    <row r="1401" spans="1:52" x14ac:dyDescent="0.4">
      <c r="AY1401" s="26"/>
      <c r="AZ1401" s="15"/>
    </row>
    <row r="1402" spans="1:52" x14ac:dyDescent="0.4">
      <c r="AY1402" s="26"/>
      <c r="AZ1402" s="15"/>
    </row>
    <row r="1403" spans="1:52" x14ac:dyDescent="0.4">
      <c r="A1403" s="115"/>
      <c r="B1403" s="115"/>
      <c r="C1403" s="115"/>
      <c r="D1403" s="115"/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22"/>
      <c r="AI1403" s="122"/>
      <c r="AJ1403" s="122"/>
      <c r="AK1403" s="115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26"/>
      <c r="AZ1403" s="15"/>
    </row>
    <row r="1404" spans="1:52" x14ac:dyDescent="0.4">
      <c r="A1404" s="115"/>
      <c r="B1404" s="115"/>
      <c r="C1404" s="115"/>
      <c r="D1404" s="115"/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22"/>
      <c r="AI1404" s="122"/>
      <c r="AJ1404" s="122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26"/>
      <c r="AZ1404" s="13"/>
    </row>
    <row r="1405" spans="1:52" x14ac:dyDescent="0.4">
      <c r="AY1405" s="26"/>
      <c r="AZ1405" s="15"/>
    </row>
    <row r="1406" spans="1:52" x14ac:dyDescent="0.4">
      <c r="B1406" s="115"/>
      <c r="C1406" s="115"/>
      <c r="D1406" s="115"/>
      <c r="E1406" s="115"/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22"/>
      <c r="AI1406" s="122"/>
      <c r="AJ1406" s="122"/>
      <c r="AK1406" s="115"/>
      <c r="AL1406" s="115"/>
      <c r="AM1406" s="115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26"/>
      <c r="AZ1406" s="15"/>
    </row>
    <row r="1407" spans="1:52" x14ac:dyDescent="0.4">
      <c r="AY1407" s="26"/>
      <c r="AZ1407" s="15"/>
    </row>
    <row r="1408" spans="1:52" x14ac:dyDescent="0.4">
      <c r="AY1408" s="26"/>
      <c r="AZ1408" s="15"/>
    </row>
    <row r="1409" spans="1:52" x14ac:dyDescent="0.4">
      <c r="A1409" s="115"/>
      <c r="B1409" s="115"/>
      <c r="C1409" s="115"/>
      <c r="D1409" s="115"/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22"/>
      <c r="AI1409" s="122"/>
      <c r="AJ1409" s="122"/>
      <c r="AK1409" s="115"/>
      <c r="AL1409" s="115"/>
      <c r="AM1409" s="115"/>
      <c r="AN1409" s="115"/>
      <c r="AO1409" s="115"/>
      <c r="AP1409" s="115"/>
      <c r="AQ1409" s="115"/>
      <c r="AR1409" s="115"/>
      <c r="AS1409" s="115"/>
      <c r="AT1409" s="115"/>
      <c r="AU1409" s="115"/>
      <c r="AV1409" s="115"/>
      <c r="AW1409" s="115"/>
      <c r="AX1409" s="115"/>
      <c r="AY1409" s="26"/>
      <c r="AZ1409" s="15"/>
    </row>
    <row r="1410" spans="1:52" x14ac:dyDescent="0.4">
      <c r="AY1410" s="26"/>
      <c r="AZ1410" s="13"/>
    </row>
    <row r="1411" spans="1:52" x14ac:dyDescent="0.4">
      <c r="AY1411" s="26"/>
      <c r="AZ1411" s="13"/>
    </row>
    <row r="1412" spans="1:52" x14ac:dyDescent="0.4">
      <c r="A1412" s="115"/>
      <c r="B1412" s="115"/>
      <c r="C1412" s="115"/>
      <c r="D1412" s="115"/>
      <c r="E1412" s="115"/>
      <c r="F1412" s="115"/>
      <c r="G1412" s="115"/>
      <c r="H1412" s="115"/>
      <c r="I1412" s="115"/>
      <c r="J1412" s="115"/>
      <c r="K1412" s="115"/>
      <c r="L1412" s="115"/>
      <c r="M1412" s="115"/>
      <c r="N1412" s="115"/>
      <c r="O1412" s="115"/>
      <c r="P1412" s="115"/>
      <c r="Q1412" s="115"/>
      <c r="R1412" s="115"/>
      <c r="S1412" s="115"/>
      <c r="T1412" s="115"/>
      <c r="U1412" s="115"/>
      <c r="V1412" s="115"/>
      <c r="W1412" s="115"/>
      <c r="X1412" s="115"/>
      <c r="Y1412" s="115"/>
      <c r="Z1412" s="115"/>
      <c r="AA1412" s="115"/>
      <c r="AB1412" s="115"/>
      <c r="AC1412" s="115"/>
      <c r="AD1412" s="115"/>
      <c r="AE1412" s="115"/>
      <c r="AF1412" s="115"/>
      <c r="AG1412" s="115"/>
      <c r="AH1412" s="122"/>
      <c r="AI1412" s="122"/>
      <c r="AJ1412" s="122"/>
      <c r="AK1412" s="115"/>
      <c r="AL1412" s="115"/>
      <c r="AM1412" s="115"/>
      <c r="AN1412" s="115"/>
      <c r="AO1412" s="115"/>
      <c r="AP1412" s="115"/>
      <c r="AQ1412" s="115"/>
      <c r="AR1412" s="115"/>
      <c r="AS1412" s="115"/>
      <c r="AT1412" s="115"/>
      <c r="AU1412" s="115"/>
      <c r="AV1412" s="115"/>
      <c r="AW1412" s="115"/>
      <c r="AX1412" s="115"/>
      <c r="AY1412" s="26"/>
      <c r="AZ1412" s="13"/>
    </row>
    <row r="1413" spans="1:52" x14ac:dyDescent="0.4">
      <c r="AY1413" s="26"/>
      <c r="AZ1413" s="13"/>
    </row>
    <row r="1414" spans="1:52" x14ac:dyDescent="0.4">
      <c r="AY1414" s="26"/>
      <c r="AZ1414" s="13"/>
    </row>
    <row r="1415" spans="1:52" x14ac:dyDescent="0.4">
      <c r="AY1415" s="26"/>
      <c r="AZ1415" s="13"/>
    </row>
    <row r="1416" spans="1:52" x14ac:dyDescent="0.4">
      <c r="AY1416" s="26"/>
      <c r="AZ1416" s="13"/>
    </row>
    <row r="1417" spans="1:52" x14ac:dyDescent="0.4">
      <c r="AY1417" s="26"/>
      <c r="AZ1417" s="13"/>
    </row>
    <row r="1418" spans="1:52" x14ac:dyDescent="0.4">
      <c r="A1418" s="115"/>
      <c r="B1418" s="115"/>
      <c r="C1418" s="115"/>
      <c r="D1418" s="115"/>
      <c r="E1418" s="115"/>
      <c r="F1418" s="115"/>
      <c r="G1418" s="115"/>
      <c r="H1418" s="115"/>
      <c r="I1418" s="115"/>
      <c r="J1418" s="115"/>
      <c r="K1418" s="115"/>
      <c r="L1418" s="115"/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/>
      <c r="W1418" s="115"/>
      <c r="X1418" s="115"/>
      <c r="Y1418" s="115"/>
      <c r="Z1418" s="115"/>
      <c r="AA1418" s="115"/>
      <c r="AB1418" s="115"/>
      <c r="AC1418" s="115"/>
      <c r="AD1418" s="115"/>
      <c r="AE1418" s="115"/>
      <c r="AF1418" s="115"/>
      <c r="AG1418" s="115"/>
      <c r="AH1418" s="122"/>
      <c r="AI1418" s="122"/>
      <c r="AJ1418" s="122"/>
      <c r="AK1418" s="115"/>
      <c r="AL1418" s="115"/>
      <c r="AM1418" s="115"/>
      <c r="AN1418" s="115"/>
      <c r="AO1418" s="115"/>
      <c r="AP1418" s="115"/>
      <c r="AQ1418" s="115"/>
      <c r="AR1418" s="115"/>
      <c r="AS1418" s="115"/>
      <c r="AT1418" s="115"/>
      <c r="AU1418" s="115"/>
      <c r="AV1418" s="115"/>
      <c r="AW1418" s="115"/>
      <c r="AX1418" s="115"/>
      <c r="AY1418" s="26"/>
      <c r="AZ1418" s="25"/>
    </row>
    <row r="1419" spans="1:52" x14ac:dyDescent="0.4">
      <c r="AY1419" s="26"/>
      <c r="AZ1419" s="13"/>
    </row>
    <row r="1420" spans="1:52" x14ac:dyDescent="0.4">
      <c r="A1420" s="115"/>
      <c r="B1420" s="115"/>
      <c r="C1420" s="115"/>
      <c r="D1420" s="115"/>
      <c r="E1420" s="115"/>
      <c r="F1420" s="115"/>
      <c r="G1420" s="115"/>
      <c r="H1420" s="115"/>
      <c r="I1420" s="115"/>
      <c r="J1420" s="115"/>
      <c r="K1420" s="115"/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/>
      <c r="W1420" s="115"/>
      <c r="X1420" s="115"/>
      <c r="Y1420" s="115"/>
      <c r="Z1420" s="115"/>
      <c r="AA1420" s="115"/>
      <c r="AB1420" s="115"/>
      <c r="AC1420" s="115"/>
      <c r="AD1420" s="115"/>
      <c r="AE1420" s="115"/>
      <c r="AF1420" s="115"/>
      <c r="AG1420" s="115"/>
      <c r="AH1420" s="122"/>
      <c r="AI1420" s="122"/>
      <c r="AJ1420" s="122"/>
      <c r="AK1420" s="115"/>
      <c r="AL1420" s="115"/>
      <c r="AM1420" s="115"/>
      <c r="AN1420" s="115"/>
      <c r="AO1420" s="115"/>
      <c r="AP1420" s="115"/>
      <c r="AQ1420" s="115"/>
      <c r="AR1420" s="115"/>
      <c r="AS1420" s="115"/>
      <c r="AT1420" s="115"/>
      <c r="AU1420" s="115"/>
      <c r="AV1420" s="115"/>
      <c r="AW1420" s="115"/>
      <c r="AX1420" s="115"/>
      <c r="AY1420" s="26"/>
      <c r="AZ1420" s="13"/>
    </row>
    <row r="1421" spans="1:52" x14ac:dyDescent="0.4">
      <c r="A1421" s="115"/>
      <c r="B1421" s="115"/>
      <c r="C1421" s="115"/>
      <c r="D1421" s="115"/>
      <c r="E1421" s="115"/>
      <c r="F1421" s="115"/>
      <c r="G1421" s="115"/>
      <c r="H1421" s="115"/>
      <c r="I1421" s="115"/>
      <c r="J1421" s="115"/>
      <c r="K1421" s="115"/>
      <c r="L1421" s="115"/>
      <c r="M1421" s="115"/>
      <c r="N1421" s="115"/>
      <c r="O1421" s="115"/>
      <c r="P1421" s="115"/>
      <c r="Q1421" s="115"/>
      <c r="R1421" s="115"/>
      <c r="S1421" s="115"/>
      <c r="T1421" s="115"/>
      <c r="U1421" s="115"/>
      <c r="V1421" s="115"/>
      <c r="W1421" s="115"/>
      <c r="X1421" s="115"/>
      <c r="Y1421" s="115"/>
      <c r="Z1421" s="115"/>
      <c r="AA1421" s="115"/>
      <c r="AB1421" s="115"/>
      <c r="AC1421" s="115"/>
      <c r="AD1421" s="115"/>
      <c r="AE1421" s="115"/>
      <c r="AF1421" s="115"/>
      <c r="AG1421" s="115"/>
      <c r="AH1421" s="122"/>
      <c r="AI1421" s="122"/>
      <c r="AJ1421" s="122"/>
      <c r="AK1421" s="115"/>
      <c r="AL1421" s="115"/>
      <c r="AM1421" s="115"/>
      <c r="AN1421" s="115"/>
      <c r="AO1421" s="115"/>
      <c r="AP1421" s="115"/>
      <c r="AQ1421" s="115"/>
      <c r="AR1421" s="115"/>
      <c r="AS1421" s="115"/>
      <c r="AT1421" s="115"/>
      <c r="AU1421" s="115"/>
      <c r="AV1421" s="115"/>
      <c r="AW1421" s="115"/>
      <c r="AX1421" s="115"/>
      <c r="AY1421" s="26"/>
      <c r="AZ1421" s="13"/>
    </row>
    <row r="1422" spans="1:52" x14ac:dyDescent="0.4">
      <c r="AY1422" s="26"/>
      <c r="AZ1422" s="15"/>
    </row>
    <row r="1423" spans="1:52" x14ac:dyDescent="0.4">
      <c r="AY1423" s="26"/>
      <c r="AZ1423" s="15"/>
    </row>
    <row r="1424" spans="1:52" x14ac:dyDescent="0.4">
      <c r="AY1424" s="26"/>
      <c r="AZ1424" s="15"/>
    </row>
    <row r="1425" spans="2:52" x14ac:dyDescent="0.4">
      <c r="AY1425" s="26"/>
      <c r="AZ1425" s="13"/>
    </row>
    <row r="1426" spans="2:52" x14ac:dyDescent="0.4">
      <c r="AY1426" s="26"/>
      <c r="AZ1426" s="15"/>
    </row>
    <row r="1427" spans="2:52" x14ac:dyDescent="0.4">
      <c r="B1427" s="115"/>
      <c r="C1427" s="115"/>
      <c r="D1427" s="115"/>
      <c r="E1427" s="115"/>
      <c r="F1427" s="115"/>
      <c r="G1427" s="115"/>
      <c r="H1427" s="115"/>
      <c r="I1427" s="115"/>
      <c r="J1427" s="115"/>
      <c r="K1427" s="115"/>
      <c r="L1427" s="115"/>
      <c r="M1427" s="115"/>
      <c r="N1427" s="115"/>
      <c r="O1427" s="115"/>
      <c r="P1427" s="115"/>
      <c r="Q1427" s="115"/>
      <c r="R1427" s="115"/>
      <c r="S1427" s="115"/>
      <c r="T1427" s="115"/>
      <c r="U1427" s="115"/>
      <c r="V1427" s="115"/>
      <c r="W1427" s="115"/>
      <c r="X1427" s="115"/>
      <c r="Y1427" s="115"/>
      <c r="Z1427" s="115"/>
      <c r="AA1427" s="115"/>
      <c r="AB1427" s="115"/>
      <c r="AC1427" s="115"/>
      <c r="AD1427" s="115"/>
      <c r="AE1427" s="115"/>
      <c r="AF1427" s="115"/>
      <c r="AG1427" s="115"/>
      <c r="AH1427" s="122"/>
      <c r="AI1427" s="122"/>
      <c r="AJ1427" s="122"/>
      <c r="AK1427" s="115"/>
      <c r="AL1427" s="115"/>
      <c r="AM1427" s="115"/>
      <c r="AN1427" s="115"/>
      <c r="AO1427" s="115"/>
      <c r="AP1427" s="115"/>
      <c r="AQ1427" s="115"/>
      <c r="AR1427" s="115"/>
      <c r="AS1427" s="115"/>
      <c r="AT1427" s="115"/>
      <c r="AU1427" s="115"/>
      <c r="AV1427" s="115"/>
      <c r="AW1427" s="115"/>
      <c r="AX1427" s="115"/>
      <c r="AY1427" s="17"/>
      <c r="AZ1427" s="15"/>
    </row>
    <row r="1428" spans="2:52" x14ac:dyDescent="0.4">
      <c r="AY1428" s="26"/>
      <c r="AZ1428" s="15"/>
    </row>
    <row r="1429" spans="2:52" x14ac:dyDescent="0.4">
      <c r="B1429" s="115"/>
      <c r="C1429" s="115"/>
      <c r="D1429" s="115"/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22"/>
      <c r="AI1429" s="122"/>
      <c r="AJ1429" s="122"/>
      <c r="AK1429" s="115"/>
      <c r="AL1429" s="115"/>
      <c r="AM1429" s="115"/>
      <c r="AN1429" s="115"/>
      <c r="AO1429" s="115"/>
      <c r="AP1429" s="115"/>
      <c r="AQ1429" s="115"/>
      <c r="AR1429" s="115"/>
      <c r="AS1429" s="115"/>
      <c r="AT1429" s="115"/>
      <c r="AU1429" s="115"/>
      <c r="AV1429" s="115"/>
      <c r="AW1429" s="115"/>
      <c r="AX1429" s="115"/>
      <c r="AY1429" s="17"/>
      <c r="AZ1429" s="15"/>
    </row>
    <row r="1430" spans="2:52" x14ac:dyDescent="0.4">
      <c r="AY1430" s="26"/>
      <c r="AZ1430" s="15"/>
    </row>
    <row r="1431" spans="2:52" x14ac:dyDescent="0.4">
      <c r="AY1431" s="26"/>
      <c r="AZ1431" s="15"/>
    </row>
    <row r="1432" spans="2:52" x14ac:dyDescent="0.4">
      <c r="B1432" s="115"/>
      <c r="C1432" s="115"/>
      <c r="D1432" s="115"/>
      <c r="E1432" s="115"/>
      <c r="F1432" s="115"/>
      <c r="G1432" s="115"/>
      <c r="H1432" s="115"/>
      <c r="I1432" s="115"/>
      <c r="J1432" s="115"/>
      <c r="K1432" s="115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22"/>
      <c r="AI1432" s="122"/>
      <c r="AJ1432" s="122"/>
      <c r="AK1432" s="115"/>
      <c r="AL1432" s="115"/>
      <c r="AM1432" s="115"/>
      <c r="AN1432" s="115"/>
      <c r="AO1432" s="115"/>
      <c r="AP1432" s="115"/>
      <c r="AQ1432" s="115"/>
      <c r="AR1432" s="115"/>
      <c r="AS1432" s="115"/>
      <c r="AT1432" s="115"/>
      <c r="AU1432" s="115"/>
      <c r="AV1432" s="115"/>
      <c r="AW1432" s="115"/>
      <c r="AX1432" s="115"/>
      <c r="AY1432" s="17"/>
      <c r="AZ1432" s="15"/>
    </row>
    <row r="1433" spans="2:52" x14ac:dyDescent="0.4">
      <c r="AY1433" s="26"/>
      <c r="AZ1433" s="15"/>
    </row>
    <row r="1434" spans="2:52" x14ac:dyDescent="0.4">
      <c r="AY1434" s="26"/>
      <c r="AZ1434" s="15"/>
    </row>
    <row r="1435" spans="2:52" x14ac:dyDescent="0.4">
      <c r="AY1435" s="26"/>
      <c r="AZ1435" s="105"/>
    </row>
    <row r="1436" spans="2:52" x14ac:dyDescent="0.4">
      <c r="AY1436" s="26"/>
      <c r="AZ1436" s="15"/>
    </row>
    <row r="1437" spans="2:52" x14ac:dyDescent="0.4">
      <c r="AY1437" s="26"/>
      <c r="AZ1437" s="15"/>
    </row>
    <row r="1438" spans="2:52" x14ac:dyDescent="0.4">
      <c r="AY1438" s="26"/>
      <c r="AZ1438" s="15"/>
    </row>
    <row r="1439" spans="2:52" x14ac:dyDescent="0.4">
      <c r="AY1439" s="26"/>
      <c r="AZ1439" s="15"/>
    </row>
    <row r="1440" spans="2:52" x14ac:dyDescent="0.4">
      <c r="AY1440" s="26"/>
      <c r="AZ1440" s="15"/>
    </row>
    <row r="1441" spans="2:52" x14ac:dyDescent="0.4">
      <c r="B1441" s="115"/>
      <c r="C1441" s="115"/>
      <c r="D1441" s="115"/>
      <c r="E1441" s="115"/>
      <c r="F1441" s="115"/>
      <c r="G1441" s="115"/>
      <c r="H1441" s="115"/>
      <c r="I1441" s="115"/>
      <c r="J1441" s="115"/>
      <c r="K1441" s="115"/>
      <c r="L1441" s="115"/>
      <c r="M1441" s="115"/>
      <c r="N1441" s="115"/>
      <c r="O1441" s="115"/>
      <c r="P1441" s="115"/>
      <c r="Q1441" s="115"/>
      <c r="R1441" s="115"/>
      <c r="S1441" s="115"/>
      <c r="T1441" s="115"/>
      <c r="U1441" s="115"/>
      <c r="V1441" s="115"/>
      <c r="W1441" s="115"/>
      <c r="X1441" s="115"/>
      <c r="Y1441" s="115"/>
      <c r="Z1441" s="115"/>
      <c r="AA1441" s="115"/>
      <c r="AB1441" s="115"/>
      <c r="AC1441" s="115"/>
      <c r="AD1441" s="115"/>
      <c r="AE1441" s="115"/>
      <c r="AF1441" s="115"/>
      <c r="AG1441" s="115"/>
      <c r="AH1441" s="122"/>
      <c r="AI1441" s="122"/>
      <c r="AJ1441" s="122"/>
      <c r="AK1441" s="115"/>
      <c r="AL1441" s="115"/>
      <c r="AM1441" s="115"/>
      <c r="AN1441" s="115"/>
      <c r="AO1441" s="115"/>
      <c r="AP1441" s="115"/>
      <c r="AQ1441" s="115"/>
      <c r="AR1441" s="115"/>
      <c r="AS1441" s="115"/>
      <c r="AT1441" s="115"/>
      <c r="AU1441" s="115"/>
      <c r="AV1441" s="115"/>
      <c r="AW1441" s="115"/>
      <c r="AX1441" s="115"/>
      <c r="AY1441" s="119"/>
      <c r="AZ1441" s="119"/>
    </row>
    <row r="1442" spans="2:52" x14ac:dyDescent="0.4">
      <c r="B1442" s="115"/>
      <c r="C1442" s="115"/>
      <c r="D1442" s="115"/>
      <c r="E1442" s="115"/>
      <c r="F1442" s="115"/>
      <c r="G1442" s="115"/>
      <c r="H1442" s="115"/>
      <c r="I1442" s="115"/>
      <c r="J1442" s="115"/>
      <c r="K1442" s="115"/>
      <c r="L1442" s="115"/>
      <c r="M1442" s="115"/>
      <c r="N1442" s="115"/>
      <c r="O1442" s="115"/>
      <c r="P1442" s="115"/>
      <c r="Q1442" s="115"/>
      <c r="R1442" s="115"/>
      <c r="S1442" s="115"/>
      <c r="T1442" s="115"/>
      <c r="U1442" s="115"/>
      <c r="V1442" s="115"/>
      <c r="W1442" s="115"/>
      <c r="X1442" s="115"/>
      <c r="Y1442" s="115"/>
      <c r="Z1442" s="115"/>
      <c r="AA1442" s="115"/>
      <c r="AB1442" s="115"/>
      <c r="AC1442" s="115"/>
      <c r="AD1442" s="115"/>
      <c r="AE1442" s="115"/>
      <c r="AF1442" s="115"/>
      <c r="AG1442" s="115"/>
      <c r="AH1442" s="122"/>
      <c r="AI1442" s="122"/>
      <c r="AJ1442" s="122"/>
      <c r="AK1442" s="115"/>
      <c r="AL1442" s="115"/>
      <c r="AM1442" s="115"/>
      <c r="AN1442" s="115"/>
      <c r="AO1442" s="115"/>
      <c r="AP1442" s="115"/>
      <c r="AQ1442" s="115"/>
      <c r="AR1442" s="115"/>
      <c r="AS1442" s="115"/>
      <c r="AT1442" s="115"/>
      <c r="AU1442" s="115"/>
      <c r="AV1442" s="115"/>
      <c r="AW1442" s="115"/>
      <c r="AX1442" s="115"/>
      <c r="AY1442" s="119"/>
      <c r="AZ1442" s="119"/>
    </row>
  </sheetData>
  <sortState xmlns:xlrd2="http://schemas.microsoft.com/office/spreadsheetml/2017/richdata2" ref="P2:Q178">
    <sortCondition ref="P2:P178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2025-05-12T07:44:30Z</cp:lastPrinted>
  <dcterms:created xsi:type="dcterms:W3CDTF">2020-05-08T06:29:04Z</dcterms:created>
  <dcterms:modified xsi:type="dcterms:W3CDTF">2025-05-13T02:39:09Z</dcterms:modified>
</cp:coreProperties>
</file>