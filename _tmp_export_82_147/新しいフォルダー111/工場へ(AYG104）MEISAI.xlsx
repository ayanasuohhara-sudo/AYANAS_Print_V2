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BB60410E-3A3A-4B17-8A17-D91571600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C32" i="3"/>
  <c r="B32" i="3"/>
  <c r="M142" i="3"/>
  <c r="L142" i="3"/>
  <c r="M140" i="3"/>
  <c r="L140" i="3"/>
  <c r="M138" i="3"/>
  <c r="L138" i="3"/>
  <c r="M136" i="3"/>
  <c r="L136" i="3"/>
  <c r="M134" i="3"/>
  <c r="L134" i="3"/>
  <c r="M130" i="3"/>
  <c r="L130" i="3"/>
  <c r="M128" i="3"/>
  <c r="L128" i="3"/>
  <c r="M120" i="3"/>
  <c r="L120" i="3"/>
  <c r="M118" i="3"/>
  <c r="L118" i="3"/>
  <c r="M104" i="3"/>
  <c r="L104" i="3"/>
  <c r="M102" i="3"/>
  <c r="L102" i="3"/>
  <c r="M97" i="3"/>
  <c r="L97" i="3"/>
  <c r="M95" i="3"/>
  <c r="L95" i="3"/>
  <c r="M88" i="3"/>
  <c r="L88" i="3"/>
  <c r="M76" i="3"/>
  <c r="L76" i="3"/>
  <c r="M65" i="3"/>
  <c r="L65" i="3"/>
  <c r="M61" i="3"/>
  <c r="L61" i="3"/>
  <c r="M59" i="3"/>
  <c r="L59" i="3"/>
  <c r="M52" i="3"/>
  <c r="L52" i="3"/>
  <c r="M38" i="3"/>
  <c r="L38" i="3"/>
  <c r="M33" i="3"/>
  <c r="L33" i="3"/>
  <c r="M27" i="3"/>
  <c r="L27" i="3"/>
  <c r="M22" i="3"/>
  <c r="L22" i="3"/>
  <c r="M17" i="3"/>
  <c r="M143" i="3" s="1"/>
  <c r="L17" i="3"/>
  <c r="M15" i="3"/>
  <c r="L15" i="3"/>
  <c r="M13" i="3"/>
  <c r="L13" i="3"/>
  <c r="M11" i="3"/>
  <c r="L11" i="3"/>
  <c r="M7" i="3"/>
  <c r="L7" i="3"/>
  <c r="M3" i="3"/>
  <c r="L3" i="3"/>
  <c r="L143" i="3" s="1"/>
  <c r="A241" i="1"/>
  <c r="X354" i="3"/>
  <c r="V35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V636" i="3"/>
  <c r="AU636" i="3"/>
  <c r="AV631" i="3"/>
  <c r="AU631" i="3"/>
  <c r="AV629" i="3"/>
  <c r="AU629" i="3"/>
  <c r="AV615" i="3"/>
  <c r="AU615" i="3"/>
  <c r="AV597" i="3"/>
  <c r="AU597" i="3"/>
  <c r="AV586" i="3"/>
  <c r="AU586" i="3"/>
  <c r="AV552" i="3"/>
  <c r="AU552" i="3"/>
  <c r="AV539" i="3"/>
  <c r="AU539" i="3"/>
  <c r="AV501" i="3"/>
  <c r="AU501" i="3"/>
  <c r="AV492" i="3"/>
  <c r="AU492" i="3"/>
  <c r="AV478" i="3"/>
  <c r="AU478" i="3"/>
  <c r="AV445" i="3"/>
  <c r="AU445" i="3"/>
  <c r="AV392" i="3"/>
  <c r="AU392" i="3"/>
  <c r="AV380" i="3"/>
  <c r="AU380" i="3"/>
  <c r="AV357" i="3"/>
  <c r="AU357" i="3"/>
  <c r="AV342" i="3"/>
  <c r="AU342" i="3"/>
  <c r="AV318" i="3"/>
  <c r="AU318" i="3"/>
  <c r="AV300" i="3"/>
  <c r="AU300" i="3"/>
  <c r="AV280" i="3"/>
  <c r="AU280" i="3"/>
  <c r="AV266" i="3"/>
  <c r="AU266" i="3"/>
  <c r="AV257" i="3"/>
  <c r="AU257" i="3"/>
  <c r="AV183" i="3"/>
  <c r="AU183" i="3"/>
  <c r="B61" i="1"/>
  <c r="A151" i="1"/>
  <c r="AB43" i="1"/>
  <c r="AU637" i="3" l="1"/>
  <c r="AV63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<sst xmlns="http://schemas.openxmlformats.org/spreadsheetml/2006/main" count="2450" uniqueCount="347">
  <si>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</si>
  <si>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</si>
  <si>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</si>
  <si>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</si>
  <si>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</si>
  <si>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</si>
  <si>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</si>
  <si>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</si>
  <si>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</si>
  <si>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</si>
  <si>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</si>
  <si>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</si>
  <si>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</si>
  <si>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</si>
  <si>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</si>
  <si>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</si>
  <si>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</si>
  <si>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</si>
  <si>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</si>
  <si>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</si>
  <si>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</si>
  <si>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</si>
  <si>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</si>
  <si>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</si>
  <si>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</si>
  <si>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</si>
  <si>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</si>
  <si>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</si>
  <si>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</si>
  <si>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</si>
  <si>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</si>
  <si>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</si>
  <si>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</si>
  <si>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</si>
  <si>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</si>
  <si>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</si>
  <si>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</si>
  <si>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</si>
  <si>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</si>
  <si>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</si>
  <si>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</si>
  <si>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</si>
  <si>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</si>
  <si>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</si>
  <si>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</si>
  <si>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</si>
  <si>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</si>
  <si>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</si>
  <si>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</si>
  <si>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</si>
  <si>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</si>
  <si>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</si>
  <si>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</si>
  <si>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</si>
  <si>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</si>
  <si>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</si>
  <si>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</si>
  <si>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</si>
  <si>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</si>
  <si>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</si>
  <si>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</si>
  <si>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</si>
  <si>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</si>
  <si>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</si>
  <si>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</si>
  <si>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</si>
  <si>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</si>
  <si>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</si>
  <si>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</si>
  <si>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</si>
  <si>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</si>
  <si>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</si>
  <si>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</si>
  <si>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</si>
  <si>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</si>
  <si>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</si>
  <si>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</si>
  <si>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</si>
  <si>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</si>
  <si>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</si>
  <si>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</si>
  <si>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</si>
  <si>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</si>
  <si>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</si>
  <si>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</si>
  <si>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</si>
  <si>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</si>
  <si>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</si>
  <si>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</si>
  <si>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</si>
  <si>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</si>
  <si>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</si>
  <si>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</si>
  <si>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</si>
  <si>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</si>
  <si>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</si>
  <si>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</si>
  <si>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</si>
  <si>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</si>
  <si>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</si>
  <si>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</si>
  <si>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</si>
  <si>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</si>
  <si>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</si>
  <si>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</si>
  <si>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</si>
  <si>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</si>
  <si>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</si>
  <si>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</si>
  <si>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</si>
  <si>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</si>
  <si>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</si>
  <si>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</si>
  <si>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</si>
  <si>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</si>
  <si>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</si>
  <si>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</si>
  <si>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</si>
  <si>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</si>
  <si>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</si>
  <si>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</si>
  <si>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</si>
  <si>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</si>
  <si>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</si>
  <si>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</si>
  <si>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</si>
  <si>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</si>
  <si>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</si>
  <si>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</si>
  <si>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</si>
  <si>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</si>
  <si>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</si>
  <si>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</si>
  <si>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</si>
  <si>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</si>
  <si>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</si>
  <si>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</si>
  <si>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</si>
  <si>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</si>
  <si>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</si>
  <si>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</si>
  <si>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</si>
  <si>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</si>
  <si>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</si>
  <si>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</si>
  <si>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</si>
  <si>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</si>
  <si>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</si>
  <si>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</si>
  <si>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</si>
  <si>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</si>
  <si>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</si>
  <si>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</si>
  <si>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</si>
  <si>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</si>
  <si>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</si>
  <si>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</si>
  <si>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</si>
  <si>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</si>
  <si>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</si>
  <si>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</si>
  <si>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</si>
  <si>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</si>
  <si>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</si>
  <si>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</si>
  <si>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</si>
  <si>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</si>
  <si>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</si>
  <si>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</si>
  <si>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</si>
  <si>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</si>
  <si>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</si>
  <si>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</si>
  <si>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</si>
  <si>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</si>
  <si>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</si>
  <si>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</si>
  <si>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</si>
  <si>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</si>
  <si>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</si>
  <si>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</si>
  <si>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</si>
  <si>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M079</t>
    <phoneticPr fontId="1"/>
  </si>
  <si>
    <t>M070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</si>
  <si>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</si>
  <si>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</si>
  <si>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</si>
  <si>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</si>
  <si>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</si>
  <si>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</si>
  <si>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A330</t>
    <phoneticPr fontId="1"/>
  </si>
  <si>
    <t>2025/3/31 個数</t>
  </si>
  <si>
    <t>A199</t>
    <phoneticPr fontId="1"/>
  </si>
  <si>
    <t>A505</t>
    <phoneticPr fontId="1"/>
  </si>
  <si>
    <t>重量</t>
    <rPh sb="0" eb="2">
      <t>ジュウリョウ</t>
    </rPh>
    <phoneticPr fontId="1"/>
  </si>
  <si>
    <t>A328</t>
    <phoneticPr fontId="1"/>
  </si>
  <si>
    <t>2025/4/6 個数</t>
  </si>
  <si>
    <t>2025/4/8 個数</t>
  </si>
  <si>
    <t>2025/4/13 個数</t>
  </si>
  <si>
    <t>2025/5/21 個数</t>
  </si>
  <si>
    <t>E</t>
    <phoneticPr fontId="1"/>
  </si>
  <si>
    <t>A181</t>
    <phoneticPr fontId="1"/>
  </si>
  <si>
    <t>M025</t>
    <phoneticPr fontId="1"/>
  </si>
  <si>
    <t>2025/4/9 個数</t>
  </si>
  <si>
    <t>2025/4/12 個数</t>
  </si>
  <si>
    <t>2025/4/14 個数</t>
  </si>
  <si>
    <t>2025/4/15 個数</t>
  </si>
  <si>
    <t>2025/4/16 個数</t>
  </si>
  <si>
    <t>2025/4/21 個数</t>
  </si>
  <si>
    <t>2025/6/21 個数</t>
  </si>
  <si>
    <t>07030055</t>
    <phoneticPr fontId="1"/>
  </si>
  <si>
    <t>07030115</t>
    <phoneticPr fontId="1"/>
  </si>
  <si>
    <t>07030204</t>
    <phoneticPr fontId="1"/>
  </si>
  <si>
    <t>07030205</t>
    <phoneticPr fontId="1"/>
  </si>
  <si>
    <t>07030206</t>
    <phoneticPr fontId="1"/>
  </si>
  <si>
    <t>07030292</t>
    <phoneticPr fontId="1"/>
  </si>
  <si>
    <t>07030293</t>
    <phoneticPr fontId="1"/>
  </si>
  <si>
    <t>07030294</t>
    <phoneticPr fontId="1"/>
  </si>
  <si>
    <t>07030295</t>
    <phoneticPr fontId="1"/>
  </si>
  <si>
    <t>07030305</t>
    <phoneticPr fontId="1"/>
  </si>
  <si>
    <t>07030306</t>
    <phoneticPr fontId="1"/>
  </si>
  <si>
    <t>A997</t>
    <phoneticPr fontId="1"/>
  </si>
  <si>
    <t>07030326</t>
    <phoneticPr fontId="1"/>
  </si>
  <si>
    <t>07030325</t>
    <phoneticPr fontId="1"/>
  </si>
  <si>
    <t>07030327</t>
    <phoneticPr fontId="1"/>
  </si>
  <si>
    <t>07030328</t>
    <phoneticPr fontId="1"/>
  </si>
  <si>
    <t>07030280</t>
    <phoneticPr fontId="1"/>
  </si>
  <si>
    <t>07030281</t>
  </si>
  <si>
    <t>07030282</t>
  </si>
  <si>
    <t>07030283</t>
  </si>
  <si>
    <t>07030284</t>
  </si>
  <si>
    <t>07030285</t>
  </si>
  <si>
    <t>07030286</t>
  </si>
  <si>
    <t>07030287</t>
  </si>
  <si>
    <t>07030288</t>
  </si>
  <si>
    <t>07030289</t>
  </si>
  <si>
    <t>P</t>
    <phoneticPr fontId="1"/>
  </si>
  <si>
    <t>07030304</t>
    <phoneticPr fontId="1"/>
  </si>
  <si>
    <t>07030299</t>
    <phoneticPr fontId="1"/>
  </si>
  <si>
    <t>A640</t>
    <phoneticPr fontId="1"/>
  </si>
  <si>
    <t>07030300</t>
    <phoneticPr fontId="1"/>
  </si>
  <si>
    <t>07030301</t>
    <phoneticPr fontId="1"/>
  </si>
  <si>
    <t>07030302</t>
    <phoneticPr fontId="1"/>
  </si>
  <si>
    <t>07030303</t>
    <phoneticPr fontId="1"/>
  </si>
  <si>
    <t>07030320</t>
    <phoneticPr fontId="1"/>
  </si>
  <si>
    <t>07030226</t>
    <phoneticPr fontId="1"/>
  </si>
  <si>
    <t>07030227</t>
    <phoneticPr fontId="1"/>
  </si>
  <si>
    <t>07030228</t>
    <phoneticPr fontId="1"/>
  </si>
  <si>
    <t>07030237</t>
    <phoneticPr fontId="1"/>
  </si>
  <si>
    <t>07020252</t>
    <phoneticPr fontId="1"/>
  </si>
  <si>
    <t>07020253</t>
    <phoneticPr fontId="1"/>
  </si>
  <si>
    <t>07030077</t>
    <phoneticPr fontId="1"/>
  </si>
  <si>
    <t>07030078</t>
    <phoneticPr fontId="1"/>
  </si>
  <si>
    <t>07030308</t>
    <phoneticPr fontId="1"/>
  </si>
  <si>
    <t>A501</t>
    <phoneticPr fontId="1"/>
  </si>
  <si>
    <t>07030309</t>
    <phoneticPr fontId="1"/>
  </si>
  <si>
    <t>07030335</t>
    <phoneticPr fontId="1"/>
  </si>
  <si>
    <t>07030336</t>
    <phoneticPr fontId="1"/>
  </si>
  <si>
    <t>07030352</t>
    <phoneticPr fontId="1"/>
  </si>
  <si>
    <t>07030353</t>
    <phoneticPr fontId="1"/>
  </si>
  <si>
    <t>07030355</t>
    <phoneticPr fontId="1"/>
  </si>
  <si>
    <t>07030311</t>
    <phoneticPr fontId="1"/>
  </si>
  <si>
    <t>A529</t>
    <phoneticPr fontId="1"/>
  </si>
  <si>
    <t>07030330</t>
    <phoneticPr fontId="1"/>
  </si>
  <si>
    <t>07030331</t>
    <phoneticPr fontId="1"/>
  </si>
  <si>
    <t>07030321</t>
    <phoneticPr fontId="1"/>
  </si>
  <si>
    <t>07030322</t>
    <phoneticPr fontId="1"/>
  </si>
  <si>
    <t>07030323</t>
    <phoneticPr fontId="1"/>
  </si>
  <si>
    <t>07030324</t>
    <phoneticPr fontId="1"/>
  </si>
  <si>
    <t>07030329</t>
    <phoneticPr fontId="1"/>
  </si>
  <si>
    <t>07030363</t>
    <phoneticPr fontId="1"/>
  </si>
  <si>
    <t>07030364</t>
    <phoneticPr fontId="1"/>
  </si>
  <si>
    <t>07030365</t>
    <phoneticPr fontId="1"/>
  </si>
  <si>
    <t>07030368</t>
    <phoneticPr fontId="1"/>
  </si>
  <si>
    <t>07030369</t>
    <phoneticPr fontId="1"/>
  </si>
  <si>
    <t>07030374</t>
    <phoneticPr fontId="1"/>
  </si>
  <si>
    <t>07030375</t>
    <phoneticPr fontId="1"/>
  </si>
  <si>
    <t>07030399</t>
    <phoneticPr fontId="1"/>
  </si>
  <si>
    <t>07030314</t>
    <phoneticPr fontId="1"/>
  </si>
  <si>
    <t>07030347</t>
    <phoneticPr fontId="1"/>
  </si>
  <si>
    <t>07030348</t>
    <phoneticPr fontId="1"/>
  </si>
  <si>
    <t>07030356</t>
    <phoneticPr fontId="1"/>
  </si>
  <si>
    <t>07030359</t>
    <phoneticPr fontId="1"/>
  </si>
  <si>
    <t>07030366</t>
    <phoneticPr fontId="1"/>
  </si>
  <si>
    <t>07030372</t>
    <phoneticPr fontId="1"/>
  </si>
  <si>
    <t>07030402</t>
    <phoneticPr fontId="1"/>
  </si>
  <si>
    <t>07030403</t>
    <phoneticPr fontId="1"/>
  </si>
  <si>
    <t>07030404</t>
    <phoneticPr fontId="1"/>
  </si>
  <si>
    <t>07030405</t>
    <phoneticPr fontId="1"/>
  </si>
  <si>
    <t>07030406</t>
    <phoneticPr fontId="1"/>
  </si>
  <si>
    <t>07030409</t>
    <phoneticPr fontId="1"/>
  </si>
  <si>
    <t>A523</t>
    <phoneticPr fontId="1"/>
  </si>
  <si>
    <t>07030360</t>
    <phoneticPr fontId="1"/>
  </si>
  <si>
    <t>07030361</t>
    <phoneticPr fontId="1"/>
  </si>
  <si>
    <t>07030362</t>
    <phoneticPr fontId="1"/>
  </si>
  <si>
    <t>07030408</t>
    <phoneticPr fontId="1"/>
  </si>
  <si>
    <t>07030418</t>
    <phoneticPr fontId="1"/>
  </si>
  <si>
    <t>07030427</t>
    <phoneticPr fontId="1"/>
  </si>
  <si>
    <t>07030052</t>
    <phoneticPr fontId="1"/>
  </si>
  <si>
    <t>07030053</t>
    <phoneticPr fontId="1"/>
  </si>
  <si>
    <t>07030254</t>
    <phoneticPr fontId="1"/>
  </si>
  <si>
    <t>07030307</t>
    <phoneticPr fontId="1"/>
  </si>
  <si>
    <t>07030310</t>
    <phoneticPr fontId="1"/>
  </si>
  <si>
    <t>07030315</t>
    <phoneticPr fontId="1"/>
  </si>
  <si>
    <t>07030346</t>
    <phoneticPr fontId="1"/>
  </si>
  <si>
    <t>07030357</t>
    <phoneticPr fontId="1"/>
  </si>
  <si>
    <t>07030358</t>
    <phoneticPr fontId="1"/>
  </si>
  <si>
    <t>07030370</t>
    <phoneticPr fontId="1"/>
  </si>
  <si>
    <t>07030371</t>
    <phoneticPr fontId="1"/>
  </si>
  <si>
    <t>07030388</t>
    <phoneticPr fontId="1"/>
  </si>
  <si>
    <t>07030391</t>
    <phoneticPr fontId="1"/>
  </si>
  <si>
    <t>07030393</t>
    <phoneticPr fontId="1"/>
  </si>
  <si>
    <t>07030407</t>
    <phoneticPr fontId="1"/>
  </si>
  <si>
    <t>07030429</t>
    <phoneticPr fontId="1"/>
  </si>
  <si>
    <t>07030414</t>
    <phoneticPr fontId="1"/>
  </si>
  <si>
    <t>07030428</t>
    <phoneticPr fontId="1"/>
  </si>
  <si>
    <t>07030445</t>
    <phoneticPr fontId="1"/>
  </si>
  <si>
    <t>07030450</t>
    <phoneticPr fontId="1"/>
  </si>
  <si>
    <t>07020303</t>
    <phoneticPr fontId="1"/>
  </si>
  <si>
    <t>07030031</t>
    <phoneticPr fontId="1"/>
  </si>
  <si>
    <t>07030050</t>
    <phoneticPr fontId="1"/>
  </si>
  <si>
    <t>07030054</t>
    <phoneticPr fontId="1"/>
  </si>
  <si>
    <t>07020404</t>
    <phoneticPr fontId="1"/>
  </si>
  <si>
    <t>07030422</t>
    <phoneticPr fontId="1"/>
  </si>
  <si>
    <t>07030424</t>
    <phoneticPr fontId="1"/>
  </si>
  <si>
    <t>07030425</t>
    <phoneticPr fontId="1"/>
  </si>
  <si>
    <t>07030433</t>
    <phoneticPr fontId="1"/>
  </si>
  <si>
    <t>A550</t>
    <phoneticPr fontId="1"/>
  </si>
  <si>
    <t>07030434</t>
    <phoneticPr fontId="1"/>
  </si>
  <si>
    <t>AYG104</t>
    <phoneticPr fontId="1"/>
  </si>
  <si>
    <t>2025/4/10 個数</t>
  </si>
  <si>
    <t>2025/4/17 個数</t>
  </si>
  <si>
    <t>2025/4/18 個数</t>
  </si>
  <si>
    <t>2025/4/19 個数</t>
  </si>
  <si>
    <t>2025/4/20 個数</t>
  </si>
  <si>
    <t>2025/4/22 個数</t>
  </si>
  <si>
    <t>2025/4/23 個数</t>
  </si>
  <si>
    <t>2025/4/25 個数</t>
  </si>
  <si>
    <t>2025/4/26 個数</t>
  </si>
  <si>
    <t>2025/4/27 個数</t>
  </si>
  <si>
    <t>2025/4/28 個数</t>
  </si>
  <si>
    <t>2025/4/29 個数</t>
  </si>
  <si>
    <t>2025/4/30 個数</t>
  </si>
  <si>
    <t>2025/5/6 個数</t>
  </si>
  <si>
    <t>2025/5/8 個数</t>
  </si>
  <si>
    <t>2025/5/26 個数</t>
  </si>
  <si>
    <t>2025/7/29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</si>
</sst>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C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329</v>
      </c>
      <c r="B1" s="24">
        <v>45741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18</v>
      </c>
      <c r="C3" s="85" t="s">
        <v>210</v>
      </c>
      <c r="D3" s="109" t="s">
        <v>179</v>
      </c>
      <c r="E3" s="15" t="s">
        <v>75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>
        <v>1</v>
      </c>
      <c r="T3" s="25">
        <v>45747</v>
      </c>
      <c r="U3" s="13" t="s">
        <v>146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211</v>
      </c>
      <c r="D4" s="109">
        <v>1180</v>
      </c>
      <c r="E4" s="15" t="s">
        <v>75</v>
      </c>
      <c r="F4" s="16"/>
      <c r="G4" s="12" t="s">
        <v>178</v>
      </c>
      <c r="H4" s="15"/>
      <c r="I4" s="13"/>
      <c r="J4" s="15"/>
      <c r="K4" s="15"/>
      <c r="L4" s="17"/>
      <c r="M4" s="17"/>
      <c r="N4" s="13"/>
      <c r="O4" s="17"/>
      <c r="P4" s="17"/>
      <c r="Q4" s="17"/>
      <c r="R4" s="17"/>
      <c r="S4" s="15">
        <v>1</v>
      </c>
      <c r="T4" s="25">
        <v>45757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212</v>
      </c>
      <c r="D5" s="109" t="s">
        <v>186</v>
      </c>
      <c r="E5" s="15" t="s">
        <v>36</v>
      </c>
      <c r="F5" s="16"/>
      <c r="G5" s="12" t="s">
        <v>178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45760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213</v>
      </c>
      <c r="D6" s="109" t="s">
        <v>186</v>
      </c>
      <c r="E6" s="15" t="s">
        <v>75</v>
      </c>
      <c r="F6" s="16"/>
      <c r="G6" s="12" t="s">
        <v>178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45760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214</v>
      </c>
      <c r="D7" s="109" t="s">
        <v>186</v>
      </c>
      <c r="E7" s="15" t="s">
        <v>75</v>
      </c>
      <c r="F7" s="16"/>
      <c r="G7" s="12" t="s">
        <v>178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/>
      <c r="T7" s="25">
        <v>45759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215</v>
      </c>
      <c r="D8" s="109" t="s">
        <v>201</v>
      </c>
      <c r="E8" s="15" t="s">
        <v>37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45767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216</v>
      </c>
      <c r="D9" s="109" t="s">
        <v>189</v>
      </c>
      <c r="E9" s="15" t="s">
        <v>38</v>
      </c>
      <c r="F9" s="16"/>
      <c r="G9" s="12" t="s">
        <v>178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45764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217</v>
      </c>
      <c r="D10" s="109" t="s">
        <v>189</v>
      </c>
      <c r="E10" s="15" t="s">
        <v>75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>
        <v>1</v>
      </c>
      <c r="T10" s="25">
        <v>45764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218</v>
      </c>
      <c r="D11" s="109" t="s">
        <v>189</v>
      </c>
      <c r="E11" s="15" t="s">
        <v>36</v>
      </c>
      <c r="F11" s="16"/>
      <c r="G11" s="12" t="s">
        <v>178</v>
      </c>
      <c r="H11" s="15"/>
      <c r="I11" s="13"/>
      <c r="J11" s="15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45764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219</v>
      </c>
      <c r="D12" s="109" t="s">
        <v>186</v>
      </c>
      <c r="E12" s="15" t="s">
        <v>40</v>
      </c>
      <c r="F12" s="16"/>
      <c r="G12" s="12" t="s">
        <v>178</v>
      </c>
      <c r="H12" s="15"/>
      <c r="I12" s="15"/>
      <c r="J12" s="15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/>
      <c r="S12" s="15"/>
      <c r="T12" s="25">
        <v>45765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220</v>
      </c>
      <c r="D13" s="109" t="s">
        <v>186</v>
      </c>
      <c r="E13" s="15" t="s">
        <v>40</v>
      </c>
      <c r="F13" s="16"/>
      <c r="G13" s="12" t="s">
        <v>178</v>
      </c>
      <c r="H13" s="15" t="s">
        <v>147</v>
      </c>
      <c r="I13" s="15"/>
      <c r="J13" s="15"/>
      <c r="K13" s="15"/>
      <c r="L13" s="17"/>
      <c r="M13" s="17"/>
      <c r="N13" s="17"/>
      <c r="O13" s="17">
        <v>1</v>
      </c>
      <c r="P13" s="17">
        <v>1</v>
      </c>
      <c r="Q13" s="17">
        <v>1</v>
      </c>
      <c r="R13" s="17"/>
      <c r="S13" s="15"/>
      <c r="T13" s="25">
        <v>45765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222</v>
      </c>
      <c r="D14" s="109" t="s">
        <v>221</v>
      </c>
      <c r="E14" s="15" t="s">
        <v>58</v>
      </c>
      <c r="F14" s="16"/>
      <c r="G14" s="12" t="s">
        <v>178</v>
      </c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>
        <v>45769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223</v>
      </c>
      <c r="D15" s="109" t="s">
        <v>221</v>
      </c>
      <c r="E15" s="15" t="s">
        <v>36</v>
      </c>
      <c r="F15" s="16"/>
      <c r="G15" s="12" t="s">
        <v>178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45769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224</v>
      </c>
      <c r="D16" s="109" t="s">
        <v>221</v>
      </c>
      <c r="E16" s="15" t="s">
        <v>36</v>
      </c>
      <c r="F16" s="16"/>
      <c r="G16" s="12" t="s">
        <v>178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45769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225</v>
      </c>
      <c r="D17" s="106" t="s">
        <v>221</v>
      </c>
      <c r="E17" s="15" t="s">
        <v>36</v>
      </c>
      <c r="F17" s="16"/>
      <c r="G17" s="15" t="s">
        <v>178</v>
      </c>
      <c r="H17" s="15"/>
      <c r="I17" s="15"/>
      <c r="J17" s="15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45769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179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112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3</v>
      </c>
      <c r="K28" s="29">
        <f t="shared" si="0"/>
        <v>3</v>
      </c>
      <c r="L28" s="29">
        <f t="shared" si="0"/>
        <v>0</v>
      </c>
      <c r="M28" s="29">
        <f t="shared" si="0"/>
        <v>4</v>
      </c>
      <c r="N28" s="29">
        <f t="shared" si="0"/>
        <v>4</v>
      </c>
      <c r="O28" s="29">
        <f t="shared" si="0"/>
        <v>2</v>
      </c>
      <c r="P28" s="29">
        <f t="shared" si="0"/>
        <v>2</v>
      </c>
      <c r="Q28" s="29">
        <f t="shared" si="0"/>
        <v>6</v>
      </c>
      <c r="R28" s="29">
        <f t="shared" si="0"/>
        <v>0</v>
      </c>
      <c r="S28" s="29">
        <f t="shared" si="0"/>
        <v>3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27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AYG104</v>
      </c>
      <c r="B31" s="24">
        <f>B1</f>
        <v>45741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24.2</v>
      </c>
      <c r="C33" s="85" t="s">
        <v>226</v>
      </c>
      <c r="D33" s="109" t="s">
        <v>181</v>
      </c>
      <c r="E33" s="15" t="s">
        <v>39</v>
      </c>
      <c r="F33" s="14"/>
      <c r="G33" s="12" t="s">
        <v>178</v>
      </c>
      <c r="H33" s="13"/>
      <c r="I33" s="13"/>
      <c r="J33" s="13">
        <v>1</v>
      </c>
      <c r="K33" s="13"/>
      <c r="L33" s="13">
        <v>1</v>
      </c>
      <c r="M33" s="13"/>
      <c r="N33" s="13"/>
      <c r="O33" s="13"/>
      <c r="P33" s="13"/>
      <c r="Q33" s="13"/>
      <c r="R33" s="13"/>
      <c r="S33" s="13"/>
      <c r="T33" s="25">
        <v>45768</v>
      </c>
      <c r="U33" s="13" t="s">
        <v>146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40</v>
      </c>
    </row>
    <row r="34" spans="1:29" x14ac:dyDescent="0.4">
      <c r="A34" s="146"/>
      <c r="B34" s="136"/>
      <c r="C34" s="85" t="s">
        <v>227</v>
      </c>
      <c r="D34" s="109" t="s">
        <v>181</v>
      </c>
      <c r="E34" s="15" t="s">
        <v>39</v>
      </c>
      <c r="F34" s="16"/>
      <c r="G34" s="12" t="s">
        <v>236</v>
      </c>
      <c r="H34" s="15"/>
      <c r="I34" s="13"/>
      <c r="J34" s="15">
        <v>1</v>
      </c>
      <c r="K34" s="15"/>
      <c r="L34" s="17">
        <v>1</v>
      </c>
      <c r="M34" s="17"/>
      <c r="N34" s="13"/>
      <c r="O34" s="17"/>
      <c r="P34" s="17"/>
      <c r="Q34" s="17"/>
      <c r="R34" s="17"/>
      <c r="S34" s="15"/>
      <c r="T34" s="25">
        <v>45768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24</v>
      </c>
    </row>
    <row r="35" spans="1:29" ht="19.5" thickBot="1" x14ac:dyDescent="0.45">
      <c r="A35" s="146"/>
      <c r="B35" s="136"/>
      <c r="C35" s="85" t="s">
        <v>228</v>
      </c>
      <c r="D35" s="109" t="s">
        <v>181</v>
      </c>
      <c r="E35" s="15" t="s">
        <v>39</v>
      </c>
      <c r="F35" s="16"/>
      <c r="G35" s="12" t="s">
        <v>178</v>
      </c>
      <c r="H35" s="13"/>
      <c r="I35" s="13"/>
      <c r="J35" s="15">
        <v>1</v>
      </c>
      <c r="K35" s="15"/>
      <c r="L35" s="17"/>
      <c r="M35" s="17"/>
      <c r="N35" s="13"/>
      <c r="O35" s="17"/>
      <c r="P35" s="17"/>
      <c r="Q35" s="17"/>
      <c r="R35" s="17"/>
      <c r="S35" s="15"/>
      <c r="T35" s="25">
        <v>45768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2</v>
      </c>
    </row>
    <row r="36" spans="1:29" x14ac:dyDescent="0.4">
      <c r="A36" s="146"/>
      <c r="B36" s="136"/>
      <c r="C36" s="85" t="s">
        <v>229</v>
      </c>
      <c r="D36" s="109" t="s">
        <v>181</v>
      </c>
      <c r="E36" s="15" t="s">
        <v>39</v>
      </c>
      <c r="F36" s="16"/>
      <c r="G36" s="12" t="s">
        <v>236</v>
      </c>
      <c r="H36" s="15"/>
      <c r="I36" s="13"/>
      <c r="J36" s="13">
        <v>1</v>
      </c>
      <c r="K36" s="15"/>
      <c r="L36" s="17">
        <v>1</v>
      </c>
      <c r="M36" s="17"/>
      <c r="N36" s="13"/>
      <c r="O36" s="17"/>
      <c r="P36" s="17"/>
      <c r="Q36" s="17"/>
      <c r="R36" s="17"/>
      <c r="S36" s="15"/>
      <c r="T36" s="25">
        <v>45768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19</v>
      </c>
    </row>
    <row r="37" spans="1:29" x14ac:dyDescent="0.4">
      <c r="A37" s="146"/>
      <c r="B37" s="136"/>
      <c r="C37" s="85" t="s">
        <v>230</v>
      </c>
      <c r="D37" s="109" t="s">
        <v>181</v>
      </c>
      <c r="E37" s="15" t="s">
        <v>42</v>
      </c>
      <c r="F37" s="16"/>
      <c r="G37" s="12" t="s">
        <v>178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45768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6"/>
      <c r="B38" s="136"/>
      <c r="C38" s="85" t="s">
        <v>231</v>
      </c>
      <c r="D38" s="109" t="s">
        <v>181</v>
      </c>
      <c r="E38" s="15" t="s">
        <v>41</v>
      </c>
      <c r="F38" s="16"/>
      <c r="G38" s="12" t="s">
        <v>178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45768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46"/>
      <c r="B39" s="136"/>
      <c r="C39" s="85" t="s">
        <v>232</v>
      </c>
      <c r="D39" s="109" t="s">
        <v>181</v>
      </c>
      <c r="E39" s="15" t="s">
        <v>42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>
        <v>1</v>
      </c>
      <c r="T39" s="25">
        <v>45768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11</v>
      </c>
    </row>
    <row r="40" spans="1:29" x14ac:dyDescent="0.4">
      <c r="A40" s="146"/>
      <c r="B40" s="136"/>
      <c r="C40" s="85" t="s">
        <v>233</v>
      </c>
      <c r="D40" s="109" t="s">
        <v>181</v>
      </c>
      <c r="E40" s="15" t="s">
        <v>41</v>
      </c>
      <c r="F40" s="16"/>
      <c r="G40" s="12" t="s">
        <v>178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45768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19</v>
      </c>
    </row>
    <row r="41" spans="1:29" x14ac:dyDescent="0.4">
      <c r="A41" s="146"/>
      <c r="B41" s="136"/>
      <c r="C41" s="85" t="s">
        <v>234</v>
      </c>
      <c r="D41" s="109" t="s">
        <v>181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>
        <v>1</v>
      </c>
      <c r="T41" s="25">
        <v>45768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6</v>
      </c>
      <c r="AC41" t="s">
        <v>123</v>
      </c>
    </row>
    <row r="42" spans="1:29" ht="19.5" thickBot="1" x14ac:dyDescent="0.45">
      <c r="A42" s="146"/>
      <c r="B42" s="136"/>
      <c r="C42" s="85" t="s">
        <v>235</v>
      </c>
      <c r="D42" s="109" t="s">
        <v>181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45768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7</v>
      </c>
      <c r="AC42" s="73">
        <f>SUM(AB33:AB42)</f>
        <v>161</v>
      </c>
    </row>
    <row r="43" spans="1:29" ht="19.5" thickBot="1" x14ac:dyDescent="0.45">
      <c r="A43" s="146"/>
      <c r="B43" s="136"/>
      <c r="C43" s="85" t="s">
        <v>237</v>
      </c>
      <c r="D43" s="109" t="s">
        <v>190</v>
      </c>
      <c r="E43" s="15" t="s">
        <v>39</v>
      </c>
      <c r="F43" s="16"/>
      <c r="G43" s="12" t="s">
        <v>178</v>
      </c>
      <c r="H43" s="15"/>
      <c r="I43" s="15"/>
      <c r="J43" s="15"/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45762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46"/>
      <c r="B45" s="136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6"/>
      <c r="B46" s="136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109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11</v>
      </c>
      <c r="D58" s="112"/>
      <c r="E58" s="29"/>
      <c r="F58" s="29" t="s">
        <v>34</v>
      </c>
      <c r="G58" s="29">
        <f>COUNTIF(G33:G57,"S")</f>
        <v>9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1</v>
      </c>
      <c r="L58" s="29">
        <f t="shared" si="1"/>
        <v>3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3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2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AYG104</v>
      </c>
      <c r="B61" s="24">
        <f>B1</f>
        <v>45741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18</v>
      </c>
      <c r="C63" s="85" t="s">
        <v>238</v>
      </c>
      <c r="D63" s="109" t="s">
        <v>239</v>
      </c>
      <c r="E63" s="15" t="s">
        <v>36</v>
      </c>
      <c r="F63" s="14"/>
      <c r="G63" s="12" t="s">
        <v>178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</v>
      </c>
      <c r="R63" s="13"/>
      <c r="S63" s="13"/>
      <c r="T63" s="25">
        <v>45764</v>
      </c>
      <c r="U63" s="13" t="s">
        <v>147</v>
      </c>
      <c r="V63">
        <v>1</v>
      </c>
      <c r="X63" s="51" t="s">
        <v>106</v>
      </c>
      <c r="Y63" s="52">
        <f>COUNTIF(U63:U87,"K")</f>
        <v>3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240</v>
      </c>
      <c r="D64" s="109" t="s">
        <v>239</v>
      </c>
      <c r="E64" s="15" t="s">
        <v>45</v>
      </c>
      <c r="F64" s="16"/>
      <c r="G64" s="12" t="s">
        <v>178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/>
      <c r="R64" s="17"/>
      <c r="S64" s="15"/>
      <c r="T64" s="25">
        <v>45764</v>
      </c>
      <c r="U64" s="13" t="s">
        <v>147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241</v>
      </c>
      <c r="D65" s="109" t="s">
        <v>239</v>
      </c>
      <c r="E65" s="15" t="s">
        <v>36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>
        <v>1</v>
      </c>
      <c r="R65" s="17"/>
      <c r="S65" s="15"/>
      <c r="T65" s="25">
        <v>45764</v>
      </c>
      <c r="U65" s="13" t="s">
        <v>147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242</v>
      </c>
      <c r="D66" s="109" t="s">
        <v>181</v>
      </c>
      <c r="E66" s="15" t="s">
        <v>59</v>
      </c>
      <c r="F66" s="16"/>
      <c r="G66" s="12" t="s">
        <v>178</v>
      </c>
      <c r="H66" s="13" t="s">
        <v>200</v>
      </c>
      <c r="I66" s="15"/>
      <c r="J66" s="13">
        <v>2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45769</v>
      </c>
      <c r="U66" s="13" t="s">
        <v>142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243</v>
      </c>
      <c r="D67" s="109" t="s">
        <v>181</v>
      </c>
      <c r="E67" s="15" t="s">
        <v>59</v>
      </c>
      <c r="F67" s="16"/>
      <c r="G67" s="12" t="s">
        <v>178</v>
      </c>
      <c r="H67" s="15" t="s">
        <v>200</v>
      </c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45769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244</v>
      </c>
      <c r="D68" s="109" t="s">
        <v>181</v>
      </c>
      <c r="E68" s="15" t="s">
        <v>59</v>
      </c>
      <c r="F68" s="16"/>
      <c r="G68" s="12" t="s">
        <v>178</v>
      </c>
      <c r="H68" s="15" t="s">
        <v>200</v>
      </c>
      <c r="I68" s="15"/>
      <c r="J68" s="13">
        <v>2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45775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6</v>
      </c>
      <c r="D88" s="112"/>
      <c r="E88" s="29"/>
      <c r="F88" s="29" t="s">
        <v>34</v>
      </c>
      <c r="G88" s="29">
        <f>COUNTIF(G63:G87,"S")</f>
        <v>6</v>
      </c>
      <c r="H88" s="29">
        <f>COUNTIF(H63:H87,"E")</f>
        <v>3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1</v>
      </c>
      <c r="N88" s="29">
        <f t="shared" si="2"/>
        <v>1</v>
      </c>
      <c r="O88" s="29">
        <f t="shared" si="2"/>
        <v>0</v>
      </c>
      <c r="P88" s="29">
        <f t="shared" si="2"/>
        <v>0</v>
      </c>
      <c r="Q88" s="29">
        <f t="shared" si="2"/>
        <v>2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AYG104</v>
      </c>
      <c r="B91" s="24">
        <f>B1</f>
        <v>45741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20.2</v>
      </c>
      <c r="C93" s="85" t="s">
        <v>245</v>
      </c>
      <c r="D93" s="109" t="s">
        <v>179</v>
      </c>
      <c r="E93" s="15" t="s">
        <v>37</v>
      </c>
      <c r="F93" s="14"/>
      <c r="G93" s="12" t="s">
        <v>178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/>
      <c r="R93" s="13"/>
      <c r="S93" s="13"/>
      <c r="T93" s="25">
        <v>45760</v>
      </c>
      <c r="U93" s="13" t="s">
        <v>147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246</v>
      </c>
      <c r="D94" s="109" t="s">
        <v>179</v>
      </c>
      <c r="E94" s="15" t="s">
        <v>36</v>
      </c>
      <c r="F94" s="16"/>
      <c r="G94" s="12" t="s">
        <v>178</v>
      </c>
      <c r="H94" s="15"/>
      <c r="I94" s="15"/>
      <c r="J94" s="15"/>
      <c r="K94" s="15"/>
      <c r="L94" s="17"/>
      <c r="M94" s="17"/>
      <c r="N94" s="17">
        <v>1</v>
      </c>
      <c r="O94" s="17"/>
      <c r="P94" s="17"/>
      <c r="Q94" s="17"/>
      <c r="R94" s="17"/>
      <c r="S94" s="15"/>
      <c r="T94" s="25">
        <v>45760</v>
      </c>
      <c r="U94" s="13" t="s">
        <v>147</v>
      </c>
      <c r="V94">
        <v>2</v>
      </c>
      <c r="X94" s="51" t="s">
        <v>107</v>
      </c>
      <c r="Y94" s="52">
        <f>COUNTIF(U93:U117,"R")</f>
        <v>8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247</v>
      </c>
      <c r="D95" s="109" t="s">
        <v>183</v>
      </c>
      <c r="E95" s="15" t="s">
        <v>36</v>
      </c>
      <c r="F95" s="16"/>
      <c r="G95" s="12" t="s">
        <v>178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45756</v>
      </c>
      <c r="U95" s="13" t="s">
        <v>147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248</v>
      </c>
      <c r="D96" s="109" t="s">
        <v>180</v>
      </c>
      <c r="E96" s="15" t="s">
        <v>36</v>
      </c>
      <c r="F96" s="16"/>
      <c r="G96" s="12" t="s">
        <v>178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/>
      <c r="R96" s="17"/>
      <c r="S96" s="15"/>
      <c r="T96" s="25">
        <v>45753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249</v>
      </c>
      <c r="D97" s="109" t="s">
        <v>177</v>
      </c>
      <c r="E97" s="15" t="s">
        <v>74</v>
      </c>
      <c r="F97" s="16"/>
      <c r="G97" s="12" t="s">
        <v>178</v>
      </c>
      <c r="H97" s="15"/>
      <c r="I97" s="15"/>
      <c r="J97" s="15">
        <v>1</v>
      </c>
      <c r="K97" s="15"/>
      <c r="L97" s="17"/>
      <c r="M97" s="17"/>
      <c r="N97" s="17"/>
      <c r="O97" s="17"/>
      <c r="P97" s="17"/>
      <c r="Q97" s="17"/>
      <c r="R97" s="17"/>
      <c r="S97" s="15"/>
      <c r="T97" s="25">
        <v>45775</v>
      </c>
      <c r="U97" s="13" t="s">
        <v>142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250</v>
      </c>
      <c r="D98" s="109" t="s">
        <v>177</v>
      </c>
      <c r="E98" s="15" t="s">
        <v>75</v>
      </c>
      <c r="F98" s="16"/>
      <c r="G98" s="12" t="s">
        <v>178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>
        <v>1</v>
      </c>
      <c r="T98" s="25">
        <v>45775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251</v>
      </c>
      <c r="D99" s="109" t="s">
        <v>202</v>
      </c>
      <c r="E99" s="15" t="s">
        <v>41</v>
      </c>
      <c r="F99" s="16"/>
      <c r="G99" s="12" t="s">
        <v>178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45755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252</v>
      </c>
      <c r="D100" s="109" t="s">
        <v>202</v>
      </c>
      <c r="E100" s="15" t="s">
        <v>42</v>
      </c>
      <c r="F100" s="16"/>
      <c r="G100" s="12" t="s">
        <v>178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>
        <v>1</v>
      </c>
      <c r="T100" s="25">
        <v>45755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253</v>
      </c>
      <c r="D101" s="109" t="s">
        <v>254</v>
      </c>
      <c r="E101" s="15" t="s">
        <v>37</v>
      </c>
      <c r="F101" s="16"/>
      <c r="G101" s="12" t="s">
        <v>178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45775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255</v>
      </c>
      <c r="D102" s="109" t="s">
        <v>254</v>
      </c>
      <c r="E102" s="15" t="s">
        <v>74</v>
      </c>
      <c r="F102" s="16"/>
      <c r="G102" s="12" t="s">
        <v>178</v>
      </c>
      <c r="H102" s="15"/>
      <c r="I102" s="15"/>
      <c r="J102" s="15"/>
      <c r="K102" s="15"/>
      <c r="L102" s="17"/>
      <c r="M102" s="17">
        <v>1</v>
      </c>
      <c r="N102" s="17"/>
      <c r="O102" s="17"/>
      <c r="P102" s="17"/>
      <c r="Q102" s="17"/>
      <c r="R102" s="17"/>
      <c r="S102" s="15"/>
      <c r="T102" s="25">
        <v>45775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256</v>
      </c>
      <c r="D103" s="109" t="s">
        <v>179</v>
      </c>
      <c r="E103" s="15" t="s">
        <v>36</v>
      </c>
      <c r="F103" s="16"/>
      <c r="G103" s="12" t="s">
        <v>178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45761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257</v>
      </c>
      <c r="D104" s="109" t="s">
        <v>186</v>
      </c>
      <c r="E104" s="15" t="s">
        <v>40</v>
      </c>
      <c r="F104" s="16"/>
      <c r="G104" s="12" t="s">
        <v>178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/>
      <c r="R104" s="17"/>
      <c r="S104" s="15"/>
      <c r="T104" s="25">
        <v>45765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258</v>
      </c>
      <c r="D105" s="109">
        <v>1183</v>
      </c>
      <c r="E105" s="15" t="s">
        <v>40</v>
      </c>
      <c r="F105" s="16"/>
      <c r="G105" s="12" t="s">
        <v>178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/>
      <c r="Q105" s="17"/>
      <c r="R105" s="17">
        <v>1</v>
      </c>
      <c r="S105" s="15"/>
      <c r="T105" s="25">
        <v>45785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259</v>
      </c>
      <c r="D106" s="109" t="s">
        <v>188</v>
      </c>
      <c r="E106" s="15" t="s">
        <v>38</v>
      </c>
      <c r="F106" s="16"/>
      <c r="G106" s="12" t="s">
        <v>178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45775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260</v>
      </c>
      <c r="D107" s="109" t="s">
        <v>188</v>
      </c>
      <c r="E107" s="15" t="s">
        <v>36</v>
      </c>
      <c r="F107" s="16"/>
      <c r="G107" s="15" t="s">
        <v>178</v>
      </c>
      <c r="H107" s="15"/>
      <c r="I107" s="15"/>
      <c r="J107" s="15"/>
      <c r="K107" s="15"/>
      <c r="L107" s="17"/>
      <c r="M107" s="17"/>
      <c r="N107" s="17">
        <v>1</v>
      </c>
      <c r="O107" s="17"/>
      <c r="P107" s="17"/>
      <c r="Q107" s="17">
        <v>1</v>
      </c>
      <c r="R107" s="17"/>
      <c r="S107" s="15"/>
      <c r="T107" s="25">
        <v>45775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3</v>
      </c>
      <c r="K118" s="29">
        <f t="shared" ref="K118" si="4">SUM(K93:K117)</f>
        <v>2</v>
      </c>
      <c r="L118" s="29">
        <f t="shared" ref="L118" si="5">SUM(L93:L117)</f>
        <v>0</v>
      </c>
      <c r="M118" s="29">
        <f t="shared" ref="M118" si="6">SUM(M93:M117)</f>
        <v>6</v>
      </c>
      <c r="N118" s="29">
        <f t="shared" ref="N118" si="7">SUM(N93:N117)</f>
        <v>7</v>
      </c>
      <c r="O118" s="29">
        <f t="shared" ref="O118" si="8">SUM(O93:O117)</f>
        <v>2</v>
      </c>
      <c r="P118" s="29">
        <f t="shared" ref="P118" si="9">SUM(P93:P117)</f>
        <v>1</v>
      </c>
      <c r="Q118" s="29">
        <f t="shared" ref="Q118" si="10">SUM(Q93:Q117)</f>
        <v>3</v>
      </c>
      <c r="R118" s="29">
        <f t="shared" ref="R118" si="11">SUM(R93:R117)</f>
        <v>1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27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AYG104</v>
      </c>
      <c r="B121" s="24">
        <f>B1</f>
        <v>45741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20.8</v>
      </c>
      <c r="C123" s="85" t="s">
        <v>261</v>
      </c>
      <c r="D123" s="106" t="s">
        <v>187</v>
      </c>
      <c r="E123" s="15" t="s">
        <v>38</v>
      </c>
      <c r="F123" s="14"/>
      <c r="G123" s="12" t="s">
        <v>178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45767</v>
      </c>
      <c r="U123" s="13" t="s">
        <v>147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263</v>
      </c>
      <c r="D124" s="106" t="s">
        <v>262</v>
      </c>
      <c r="E124" s="15" t="s">
        <v>41</v>
      </c>
      <c r="F124" s="16"/>
      <c r="G124" s="15" t="s">
        <v>178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45770</v>
      </c>
      <c r="U124" s="13" t="s">
        <v>142</v>
      </c>
      <c r="V124">
        <v>2</v>
      </c>
      <c r="X124" s="51" t="s">
        <v>107</v>
      </c>
      <c r="Y124" s="52">
        <f>COUNTIF(U123:U147,"R")</f>
        <v>6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264</v>
      </c>
      <c r="D125" s="106" t="s">
        <v>262</v>
      </c>
      <c r="E125" s="15" t="s">
        <v>41</v>
      </c>
      <c r="F125" s="16"/>
      <c r="G125" s="15" t="s">
        <v>178</v>
      </c>
      <c r="H125" s="13"/>
      <c r="I125" s="15"/>
      <c r="J125" s="15"/>
      <c r="K125" s="15"/>
      <c r="L125" s="17"/>
      <c r="M125" s="17"/>
      <c r="N125" s="17"/>
      <c r="O125" s="17"/>
      <c r="P125" s="17"/>
      <c r="Q125" s="17"/>
      <c r="R125" s="17"/>
      <c r="S125" s="15"/>
      <c r="T125" s="25">
        <v>45770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265</v>
      </c>
      <c r="D126" s="106" t="s">
        <v>181</v>
      </c>
      <c r="E126" s="15" t="s">
        <v>42</v>
      </c>
      <c r="F126" s="16"/>
      <c r="G126" s="15" t="s">
        <v>178</v>
      </c>
      <c r="H126" s="15"/>
      <c r="I126" s="15"/>
      <c r="J126" s="15"/>
      <c r="K126" s="15"/>
      <c r="L126" s="17"/>
      <c r="M126" s="17"/>
      <c r="N126" s="17"/>
      <c r="O126" s="17"/>
      <c r="P126" s="17"/>
      <c r="Q126" s="17"/>
      <c r="R126" s="17"/>
      <c r="S126" s="15">
        <v>1</v>
      </c>
      <c r="T126" s="25">
        <v>45770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266</v>
      </c>
      <c r="D127" s="106" t="s">
        <v>181</v>
      </c>
      <c r="E127" s="15" t="s">
        <v>41</v>
      </c>
      <c r="F127" s="16"/>
      <c r="G127" s="15" t="s">
        <v>178</v>
      </c>
      <c r="H127" s="15"/>
      <c r="I127" s="15"/>
      <c r="J127" s="15">
        <v>1</v>
      </c>
      <c r="K127" s="15"/>
      <c r="L127" s="17"/>
      <c r="M127" s="17"/>
      <c r="N127" s="17"/>
      <c r="O127" s="17"/>
      <c r="P127" s="17"/>
      <c r="Q127" s="17"/>
      <c r="R127" s="17"/>
      <c r="S127" s="15"/>
      <c r="T127" s="25">
        <v>45770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267</v>
      </c>
      <c r="D128" s="106" t="s">
        <v>181</v>
      </c>
      <c r="E128" s="15" t="s">
        <v>42</v>
      </c>
      <c r="F128" s="16"/>
      <c r="G128" s="13" t="s">
        <v>178</v>
      </c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>
        <v>1</v>
      </c>
      <c r="T128" s="25">
        <v>45770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268</v>
      </c>
      <c r="D129" s="106" t="s">
        <v>181</v>
      </c>
      <c r="E129" s="15" t="s">
        <v>41</v>
      </c>
      <c r="F129" s="16"/>
      <c r="G129" s="15" t="s">
        <v>178</v>
      </c>
      <c r="H129" s="15"/>
      <c r="I129" s="15"/>
      <c r="J129" s="15">
        <v>1</v>
      </c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45770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269</v>
      </c>
      <c r="D130" s="106" t="s">
        <v>195</v>
      </c>
      <c r="E130" s="15" t="s">
        <v>58</v>
      </c>
      <c r="F130" s="16"/>
      <c r="G130" s="15" t="s">
        <v>178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45769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270</v>
      </c>
      <c r="D131" s="106" t="s">
        <v>181</v>
      </c>
      <c r="E131" s="15" t="s">
        <v>39</v>
      </c>
      <c r="F131" s="16"/>
      <c r="G131" s="15" t="s">
        <v>178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86"/>
      <c r="T131" s="25">
        <v>45773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271</v>
      </c>
      <c r="D132" s="106" t="s">
        <v>181</v>
      </c>
      <c r="E132" s="15" t="s">
        <v>39</v>
      </c>
      <c r="F132" s="16"/>
      <c r="G132" s="15" t="s">
        <v>178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45773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272</v>
      </c>
      <c r="D133" s="106" t="s">
        <v>181</v>
      </c>
      <c r="E133" s="15" t="s">
        <v>39</v>
      </c>
      <c r="F133" s="16"/>
      <c r="G133" s="15" t="s">
        <v>178</v>
      </c>
      <c r="H133" s="15"/>
      <c r="I133" s="15"/>
      <c r="J133" s="15">
        <v>1</v>
      </c>
      <c r="K133" s="15">
        <v>1</v>
      </c>
      <c r="L133" s="17"/>
      <c r="M133" s="17"/>
      <c r="N133" s="17"/>
      <c r="O133" s="17"/>
      <c r="P133" s="17"/>
      <c r="Q133" s="17"/>
      <c r="R133" s="17"/>
      <c r="S133" s="15"/>
      <c r="T133" s="25">
        <v>45773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273</v>
      </c>
      <c r="D134" s="106" t="s">
        <v>192</v>
      </c>
      <c r="E134" s="15" t="s">
        <v>75</v>
      </c>
      <c r="F134" s="16"/>
      <c r="G134" s="15" t="s">
        <v>178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45769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274</v>
      </c>
      <c r="D135" s="106" t="s">
        <v>192</v>
      </c>
      <c r="E135" s="15" t="s">
        <v>58</v>
      </c>
      <c r="F135" s="16"/>
      <c r="G135" s="15" t="s">
        <v>178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45769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275</v>
      </c>
      <c r="D136" s="106" t="s">
        <v>183</v>
      </c>
      <c r="E136" s="15" t="s">
        <v>39</v>
      </c>
      <c r="F136" s="16"/>
      <c r="G136" s="15" t="s">
        <v>178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45761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276</v>
      </c>
      <c r="D137" s="106" t="s">
        <v>183</v>
      </c>
      <c r="E137" s="15" t="s">
        <v>133</v>
      </c>
      <c r="F137" s="16"/>
      <c r="G137" s="15" t="s">
        <v>178</v>
      </c>
      <c r="H137" s="15"/>
      <c r="I137" s="15"/>
      <c r="J137" s="15"/>
      <c r="K137" s="15"/>
      <c r="L137" s="17"/>
      <c r="M137" s="17"/>
      <c r="N137" s="17"/>
      <c r="O137" s="17">
        <v>1</v>
      </c>
      <c r="P137" s="17">
        <v>1</v>
      </c>
      <c r="Q137" s="17">
        <v>1</v>
      </c>
      <c r="R137" s="17"/>
      <c r="S137" s="15"/>
      <c r="T137" s="25">
        <v>45761</v>
      </c>
      <c r="U137" s="25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 t="s">
        <v>277</v>
      </c>
      <c r="D138" s="106" t="s">
        <v>179</v>
      </c>
      <c r="E138" s="15" t="s">
        <v>36</v>
      </c>
      <c r="F138" s="16"/>
      <c r="G138" s="15" t="s">
        <v>178</v>
      </c>
      <c r="H138" s="15"/>
      <c r="I138" s="15"/>
      <c r="J138" s="18"/>
      <c r="K138" s="15"/>
      <c r="L138" s="19"/>
      <c r="M138" s="19">
        <v>1</v>
      </c>
      <c r="N138" s="19">
        <v>1</v>
      </c>
      <c r="O138" s="19"/>
      <c r="P138" s="19"/>
      <c r="Q138" s="19">
        <v>1</v>
      </c>
      <c r="R138" s="19"/>
      <c r="S138" s="15"/>
      <c r="T138" s="25">
        <v>45763</v>
      </c>
      <c r="U138" s="15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7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2</v>
      </c>
      <c r="N148" s="29">
        <f t="shared" ref="N148" si="17">SUM(N123:N147)</f>
        <v>2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2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22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AYG104</v>
      </c>
      <c r="B151" s="24">
        <f>B1</f>
        <v>45741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194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20.6</v>
      </c>
      <c r="C153" s="85" t="s">
        <v>278</v>
      </c>
      <c r="D153" s="106" t="s">
        <v>187</v>
      </c>
      <c r="E153" s="106" t="s">
        <v>40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>
        <v>1</v>
      </c>
      <c r="P153" s="13">
        <v>1</v>
      </c>
      <c r="Q153" s="13"/>
      <c r="R153" s="13">
        <v>1</v>
      </c>
      <c r="S153" s="13"/>
      <c r="T153" s="25">
        <v>45777</v>
      </c>
      <c r="U153" s="13" t="s">
        <v>148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279</v>
      </c>
      <c r="D154" s="106" t="s">
        <v>189</v>
      </c>
      <c r="E154" s="106" t="s">
        <v>58</v>
      </c>
      <c r="F154" s="16"/>
      <c r="G154" s="12" t="s">
        <v>178</v>
      </c>
      <c r="H154" s="15"/>
      <c r="I154" s="15"/>
      <c r="J154" s="13"/>
      <c r="K154" s="15"/>
      <c r="L154" s="13"/>
      <c r="M154" s="17"/>
      <c r="N154" s="17"/>
      <c r="O154" s="17"/>
      <c r="P154" s="17"/>
      <c r="Q154" s="17"/>
      <c r="R154" s="17"/>
      <c r="S154" s="15"/>
      <c r="T154" s="25">
        <v>45764</v>
      </c>
      <c r="U154" s="13" t="s">
        <v>147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280</v>
      </c>
      <c r="D155" s="106" t="s">
        <v>189</v>
      </c>
      <c r="E155" s="106" t="s">
        <v>43</v>
      </c>
      <c r="F155" s="16"/>
      <c r="G155" s="12" t="s">
        <v>178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45764</v>
      </c>
      <c r="U155" s="13" t="s">
        <v>142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281</v>
      </c>
      <c r="D156" s="106" t="s">
        <v>188</v>
      </c>
      <c r="E156" s="106" t="s">
        <v>38</v>
      </c>
      <c r="F156" s="16"/>
      <c r="G156" s="12" t="s">
        <v>178</v>
      </c>
      <c r="H156" s="15"/>
      <c r="I156" s="15"/>
      <c r="J156" s="13">
        <v>1</v>
      </c>
      <c r="K156" s="15">
        <v>1</v>
      </c>
      <c r="L156" s="13"/>
      <c r="M156" s="17"/>
      <c r="N156" s="17"/>
      <c r="O156" s="17"/>
      <c r="P156" s="17"/>
      <c r="Q156" s="17"/>
      <c r="R156" s="17"/>
      <c r="S156" s="15"/>
      <c r="T156" s="25">
        <v>45775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282</v>
      </c>
      <c r="D157" s="106" t="s">
        <v>188</v>
      </c>
      <c r="E157" s="106" t="s">
        <v>38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45765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283</v>
      </c>
      <c r="D158" s="106" t="s">
        <v>195</v>
      </c>
      <c r="E158" s="106" t="s">
        <v>39</v>
      </c>
      <c r="F158" s="16"/>
      <c r="G158" s="12" t="s">
        <v>178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45772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284</v>
      </c>
      <c r="D159" s="106" t="s">
        <v>179</v>
      </c>
      <c r="E159" s="106" t="s">
        <v>36</v>
      </c>
      <c r="F159" s="16"/>
      <c r="G159" s="12" t="s">
        <v>178</v>
      </c>
      <c r="H159" s="15"/>
      <c r="I159" s="15"/>
      <c r="J159" s="13"/>
      <c r="K159" s="15"/>
      <c r="L159" s="13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45763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285</v>
      </c>
      <c r="D160" s="106" t="s">
        <v>189</v>
      </c>
      <c r="E160" s="106" t="s">
        <v>45</v>
      </c>
      <c r="F160" s="16"/>
      <c r="G160" s="12" t="s">
        <v>178</v>
      </c>
      <c r="H160" s="15" t="s">
        <v>147</v>
      </c>
      <c r="I160" s="15"/>
      <c r="J160" s="13"/>
      <c r="K160" s="15"/>
      <c r="L160" s="13"/>
      <c r="M160" s="17">
        <v>1</v>
      </c>
      <c r="N160" s="17">
        <v>1</v>
      </c>
      <c r="O160" s="17"/>
      <c r="P160" s="17"/>
      <c r="Q160" s="17"/>
      <c r="R160" s="17"/>
      <c r="S160" s="15"/>
      <c r="T160" s="25">
        <v>45764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286</v>
      </c>
      <c r="D161" s="106" t="s">
        <v>189</v>
      </c>
      <c r="E161" s="106" t="s">
        <v>39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45764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287</v>
      </c>
      <c r="D162" s="106" t="s">
        <v>189</v>
      </c>
      <c r="E162" s="106" t="s">
        <v>39</v>
      </c>
      <c r="F162" s="106"/>
      <c r="G162" s="12" t="s">
        <v>178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45764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288</v>
      </c>
      <c r="D163" s="106" t="s">
        <v>189</v>
      </c>
      <c r="E163" s="106" t="s">
        <v>39</v>
      </c>
      <c r="F163" s="16"/>
      <c r="G163" s="12" t="s">
        <v>178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45764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289</v>
      </c>
      <c r="D164" s="106" t="s">
        <v>189</v>
      </c>
      <c r="E164" s="106" t="s">
        <v>36</v>
      </c>
      <c r="F164" s="16"/>
      <c r="G164" s="12" t="s">
        <v>178</v>
      </c>
      <c r="H164" s="15"/>
      <c r="I164" s="15"/>
      <c r="J164" s="15"/>
      <c r="K164" s="15"/>
      <c r="L164" s="17"/>
      <c r="M164" s="17">
        <v>1</v>
      </c>
      <c r="N164" s="17"/>
      <c r="O164" s="17"/>
      <c r="P164" s="17"/>
      <c r="Q164" s="17">
        <v>1</v>
      </c>
      <c r="R164" s="17"/>
      <c r="S164" s="15"/>
      <c r="T164" s="25">
        <v>45764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290</v>
      </c>
      <c r="D165" s="106" t="s">
        <v>291</v>
      </c>
      <c r="E165" s="106" t="s">
        <v>38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45753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/>
      <c r="D166" s="106"/>
      <c r="E166" s="106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7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2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2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1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185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18.8</v>
      </c>
      <c r="C183" s="85" t="s">
        <v>292</v>
      </c>
      <c r="D183" s="110" t="s">
        <v>181</v>
      </c>
      <c r="E183" s="18" t="s">
        <v>62</v>
      </c>
      <c r="F183" s="16"/>
      <c r="G183" s="18" t="s">
        <v>178</v>
      </c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45867</v>
      </c>
      <c r="U183" s="15" t="s">
        <v>146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293</v>
      </c>
      <c r="D184" s="110" t="s">
        <v>181</v>
      </c>
      <c r="E184" s="15" t="s">
        <v>59</v>
      </c>
      <c r="F184" s="16"/>
      <c r="G184" s="18" t="s">
        <v>178</v>
      </c>
      <c r="H184" s="15" t="s">
        <v>200</v>
      </c>
      <c r="I184" s="15"/>
      <c r="J184" s="18">
        <v>2</v>
      </c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45777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294</v>
      </c>
      <c r="D185" s="110" t="s">
        <v>181</v>
      </c>
      <c r="E185" s="15" t="s">
        <v>59</v>
      </c>
      <c r="F185" s="16"/>
      <c r="G185" s="18" t="s">
        <v>178</v>
      </c>
      <c r="H185" s="15" t="s">
        <v>200</v>
      </c>
      <c r="I185" s="15"/>
      <c r="J185" s="15">
        <v>2</v>
      </c>
      <c r="K185" s="15"/>
      <c r="L185" s="17"/>
      <c r="M185" s="17"/>
      <c r="N185" s="17"/>
      <c r="O185" s="17"/>
      <c r="P185" s="17"/>
      <c r="Q185" s="17"/>
      <c r="R185" s="17"/>
      <c r="S185" s="15"/>
      <c r="T185" s="25">
        <v>45777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295</v>
      </c>
      <c r="D186" s="110" t="s">
        <v>181</v>
      </c>
      <c r="E186" s="15" t="s">
        <v>39</v>
      </c>
      <c r="F186" s="16"/>
      <c r="G186" s="18" t="s">
        <v>178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45776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296</v>
      </c>
      <c r="D187" s="106" t="s">
        <v>179</v>
      </c>
      <c r="E187" s="13" t="s">
        <v>40</v>
      </c>
      <c r="F187" s="16"/>
      <c r="G187" s="18" t="s">
        <v>178</v>
      </c>
      <c r="H187" s="15"/>
      <c r="I187" s="15"/>
      <c r="J187" s="15"/>
      <c r="K187" s="15"/>
      <c r="L187" s="17"/>
      <c r="M187" s="17"/>
      <c r="N187" s="17"/>
      <c r="O187" s="17">
        <v>1</v>
      </c>
      <c r="P187" s="17">
        <v>1</v>
      </c>
      <c r="Q187" s="17"/>
      <c r="R187" s="17"/>
      <c r="S187" s="15"/>
      <c r="T187" s="25">
        <v>45766</v>
      </c>
      <c r="U187" s="2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297</v>
      </c>
      <c r="D188" s="106" t="s">
        <v>177</v>
      </c>
      <c r="E188" s="13" t="s">
        <v>40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>
        <v>1</v>
      </c>
      <c r="R188" s="17">
        <v>1</v>
      </c>
      <c r="S188" s="15"/>
      <c r="T188" s="25">
        <v>45783</v>
      </c>
      <c r="U188" s="2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/>
      <c r="D189" s="106"/>
      <c r="E189" s="13"/>
      <c r="F189" s="16"/>
      <c r="G189" s="18"/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/>
      <c r="U189" s="25"/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/>
      <c r="D190" s="106"/>
      <c r="E190" s="13"/>
      <c r="F190" s="16"/>
      <c r="G190" s="18"/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/>
      <c r="U190" s="25"/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/>
      <c r="D191" s="106"/>
      <c r="E191" s="13"/>
      <c r="F191" s="16"/>
      <c r="G191" s="18"/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/>
      <c r="U191" s="25"/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6</v>
      </c>
      <c r="D208" s="112"/>
      <c r="E208" s="29"/>
      <c r="F208" s="29" t="s">
        <v>34</v>
      </c>
      <c r="G208" s="29">
        <f>COUNTIF(G183:G207,"S")</f>
        <v>6</v>
      </c>
      <c r="H208" s="29">
        <f>COUNTIF(H183:H207,"E")</f>
        <v>2</v>
      </c>
      <c r="I208" s="29">
        <f>SUM(I183:I207)</f>
        <v>0</v>
      </c>
      <c r="J208" s="29">
        <f t="shared" ref="J208" si="33">SUM(J183:J207)</f>
        <v>5</v>
      </c>
      <c r="K208" s="29">
        <f t="shared" ref="K208" si="34">SUM(K183:K207)</f>
        <v>0</v>
      </c>
      <c r="L208" s="29">
        <f t="shared" ref="L208" si="35">SUM(L183:L207)</f>
        <v>1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1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AYG104</v>
      </c>
      <c r="B211" s="24">
        <f>B1</f>
        <v>45741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26.1</v>
      </c>
      <c r="C213" s="85" t="s">
        <v>298</v>
      </c>
      <c r="D213" s="106" t="s">
        <v>179</v>
      </c>
      <c r="E213" s="106" t="s">
        <v>38</v>
      </c>
      <c r="F213" s="14"/>
      <c r="G213" s="12" t="s">
        <v>178</v>
      </c>
      <c r="H213" s="13"/>
      <c r="I213" s="13"/>
      <c r="J213" s="13">
        <v>1</v>
      </c>
      <c r="K213" s="13">
        <v>1</v>
      </c>
      <c r="L213" s="13"/>
      <c r="M213" s="13"/>
      <c r="N213" s="13"/>
      <c r="O213" s="13"/>
      <c r="P213" s="13"/>
      <c r="Q213" s="13"/>
      <c r="R213" s="13"/>
      <c r="S213" s="13"/>
      <c r="T213" s="25">
        <v>45763</v>
      </c>
      <c r="U213" s="13" t="s">
        <v>146</v>
      </c>
      <c r="V213">
        <v>1</v>
      </c>
      <c r="X213" s="51" t="s">
        <v>106</v>
      </c>
      <c r="Y213" s="52">
        <f>COUNTIF(U213:U237,"K")</f>
        <v>8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299</v>
      </c>
      <c r="D214" s="106" t="s">
        <v>179</v>
      </c>
      <c r="E214" s="106" t="s">
        <v>40</v>
      </c>
      <c r="F214" s="16"/>
      <c r="G214" s="12" t="s">
        <v>178</v>
      </c>
      <c r="H214" s="15"/>
      <c r="I214" s="15"/>
      <c r="J214" s="13"/>
      <c r="K214" s="15"/>
      <c r="L214" s="13"/>
      <c r="M214" s="17"/>
      <c r="N214" s="17"/>
      <c r="O214" s="17">
        <v>1</v>
      </c>
      <c r="P214" s="17">
        <v>1</v>
      </c>
      <c r="Q214" s="17"/>
      <c r="R214" s="17">
        <v>1</v>
      </c>
      <c r="S214" s="15"/>
      <c r="T214" s="25">
        <v>45763</v>
      </c>
      <c r="U214" s="13" t="s">
        <v>148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300</v>
      </c>
      <c r="D215" s="106" t="s">
        <v>193</v>
      </c>
      <c r="E215" s="106" t="s">
        <v>74</v>
      </c>
      <c r="F215" s="16"/>
      <c r="G215" s="12" t="s">
        <v>178</v>
      </c>
      <c r="H215" s="13"/>
      <c r="I215" s="15"/>
      <c r="J215" s="13"/>
      <c r="K215" s="15"/>
      <c r="L215" s="13"/>
      <c r="M215" s="17">
        <v>1</v>
      </c>
      <c r="N215" s="17">
        <v>1</v>
      </c>
      <c r="O215" s="17"/>
      <c r="P215" s="17"/>
      <c r="Q215" s="17">
        <v>1</v>
      </c>
      <c r="R215" s="17"/>
      <c r="S215" s="15"/>
      <c r="T215" s="25">
        <v>45761</v>
      </c>
      <c r="U215" s="13" t="s">
        <v>147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301</v>
      </c>
      <c r="D216" s="106" t="s">
        <v>186</v>
      </c>
      <c r="E216" s="106" t="s">
        <v>38</v>
      </c>
      <c r="F216" s="16"/>
      <c r="G216" s="12" t="s">
        <v>178</v>
      </c>
      <c r="H216" s="15"/>
      <c r="I216" s="15"/>
      <c r="J216" s="13"/>
      <c r="K216" s="15"/>
      <c r="L216" s="13"/>
      <c r="M216" s="17">
        <v>1</v>
      </c>
      <c r="N216" s="17">
        <v>1</v>
      </c>
      <c r="O216" s="17"/>
      <c r="P216" s="17"/>
      <c r="Q216" s="17">
        <v>1</v>
      </c>
      <c r="R216" s="17"/>
      <c r="S216" s="15"/>
      <c r="T216" s="25">
        <v>45765</v>
      </c>
      <c r="U216" s="13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302</v>
      </c>
      <c r="D217" s="106" t="s">
        <v>187</v>
      </c>
      <c r="E217" s="106" t="s">
        <v>36</v>
      </c>
      <c r="F217" s="16"/>
      <c r="G217" s="12" t="s">
        <v>178</v>
      </c>
      <c r="H217" s="15"/>
      <c r="I217" s="15"/>
      <c r="J217" s="13">
        <v>1</v>
      </c>
      <c r="K217" s="15">
        <v>1</v>
      </c>
      <c r="L217" s="13"/>
      <c r="M217" s="17"/>
      <c r="N217" s="17"/>
      <c r="O217" s="17"/>
      <c r="P217" s="17"/>
      <c r="Q217" s="17"/>
      <c r="R217" s="17"/>
      <c r="S217" s="15"/>
      <c r="T217" s="25">
        <v>45769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303</v>
      </c>
      <c r="D218" s="106" t="s">
        <v>187</v>
      </c>
      <c r="E218" s="106" t="s">
        <v>40</v>
      </c>
      <c r="F218" s="16"/>
      <c r="G218" s="12" t="s">
        <v>178</v>
      </c>
      <c r="H218" s="13"/>
      <c r="I218" s="15"/>
      <c r="J218" s="13"/>
      <c r="K218" s="15"/>
      <c r="L218" s="13"/>
      <c r="M218" s="17"/>
      <c r="N218" s="17"/>
      <c r="O218" s="17">
        <v>1</v>
      </c>
      <c r="P218" s="17">
        <v>1</v>
      </c>
      <c r="Q218" s="17"/>
      <c r="R218" s="17">
        <v>1</v>
      </c>
      <c r="S218" s="15"/>
      <c r="T218" s="25">
        <v>45777</v>
      </c>
      <c r="U218" s="13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304</v>
      </c>
      <c r="D219" s="106" t="s">
        <v>188</v>
      </c>
      <c r="E219" s="106" t="s">
        <v>44</v>
      </c>
      <c r="F219" s="16"/>
      <c r="G219" s="12" t="s">
        <v>178</v>
      </c>
      <c r="H219" s="15"/>
      <c r="I219" s="15"/>
      <c r="J219" s="13">
        <v>1</v>
      </c>
      <c r="K219" s="15">
        <v>1</v>
      </c>
      <c r="L219" s="13"/>
      <c r="M219" s="17"/>
      <c r="N219" s="17"/>
      <c r="O219" s="17"/>
      <c r="P219" s="17"/>
      <c r="Q219" s="17"/>
      <c r="R219" s="17"/>
      <c r="S219" s="15"/>
      <c r="T219" s="25">
        <v>45765</v>
      </c>
      <c r="U219" s="13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305</v>
      </c>
      <c r="D220" s="106" t="s">
        <v>188</v>
      </c>
      <c r="E220" s="106" t="s">
        <v>39</v>
      </c>
      <c r="F220" s="16"/>
      <c r="G220" s="12" t="s">
        <v>178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45775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306</v>
      </c>
      <c r="D221" s="106" t="s">
        <v>188</v>
      </c>
      <c r="E221" s="106" t="s">
        <v>133</v>
      </c>
      <c r="F221" s="16"/>
      <c r="G221" s="12" t="s">
        <v>178</v>
      </c>
      <c r="H221" s="15"/>
      <c r="I221" s="15"/>
      <c r="J221" s="13"/>
      <c r="K221" s="15"/>
      <c r="L221" s="13"/>
      <c r="M221" s="17"/>
      <c r="N221" s="17"/>
      <c r="O221" s="17">
        <v>1</v>
      </c>
      <c r="P221" s="17">
        <v>1</v>
      </c>
      <c r="Q221" s="17">
        <v>1</v>
      </c>
      <c r="R221" s="17">
        <v>1</v>
      </c>
      <c r="S221" s="15"/>
      <c r="T221" s="25">
        <v>45775</v>
      </c>
      <c r="U221" s="13" t="s">
        <v>148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307</v>
      </c>
      <c r="D222" s="106" t="s">
        <v>179</v>
      </c>
      <c r="E222" s="106" t="s">
        <v>41</v>
      </c>
      <c r="F222" s="106"/>
      <c r="G222" s="12" t="s">
        <v>178</v>
      </c>
      <c r="H222" s="15"/>
      <c r="I222" s="15"/>
      <c r="J222" s="13"/>
      <c r="K222" s="15"/>
      <c r="L222" s="13"/>
      <c r="M222" s="17"/>
      <c r="N222" s="17">
        <v>1</v>
      </c>
      <c r="O222" s="17"/>
      <c r="P222" s="17"/>
      <c r="Q222" s="17"/>
      <c r="R222" s="17"/>
      <c r="S222" s="15"/>
      <c r="T222" s="25">
        <v>45762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308</v>
      </c>
      <c r="D223" s="106" t="s">
        <v>179</v>
      </c>
      <c r="E223" s="106" t="s">
        <v>42</v>
      </c>
      <c r="F223" s="16"/>
      <c r="G223" s="12" t="s">
        <v>178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45762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309</v>
      </c>
      <c r="D224" s="106" t="s">
        <v>182</v>
      </c>
      <c r="E224" s="106" t="s">
        <v>75</v>
      </c>
      <c r="F224" s="16"/>
      <c r="G224" s="12" t="s">
        <v>178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45803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310</v>
      </c>
      <c r="D225" s="106" t="s">
        <v>182</v>
      </c>
      <c r="E225" s="106" t="s">
        <v>58</v>
      </c>
      <c r="F225" s="16"/>
      <c r="G225" s="12" t="s">
        <v>178</v>
      </c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45829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311</v>
      </c>
      <c r="D226" s="106" t="s">
        <v>182</v>
      </c>
      <c r="E226" s="106" t="s">
        <v>58</v>
      </c>
      <c r="F226" s="16"/>
      <c r="G226" s="12" t="s">
        <v>178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45798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312</v>
      </c>
      <c r="D227" s="106" t="s">
        <v>177</v>
      </c>
      <c r="E227" s="106" t="s">
        <v>39</v>
      </c>
      <c r="F227" s="16"/>
      <c r="G227" s="12" t="s">
        <v>178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45775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 t="s">
        <v>313</v>
      </c>
      <c r="D228" s="106" t="s">
        <v>195</v>
      </c>
      <c r="E228" s="106" t="s">
        <v>39</v>
      </c>
      <c r="F228" s="16"/>
      <c r="G228" s="12" t="s">
        <v>178</v>
      </c>
      <c r="H228" s="15"/>
      <c r="I228" s="15"/>
      <c r="J228" s="18">
        <v>1</v>
      </c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45775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 t="s">
        <v>314</v>
      </c>
      <c r="D229" s="106" t="s">
        <v>184</v>
      </c>
      <c r="E229" s="106" t="s">
        <v>40</v>
      </c>
      <c r="F229" s="16"/>
      <c r="G229" s="12" t="s">
        <v>178</v>
      </c>
      <c r="H229" s="15"/>
      <c r="I229" s="15"/>
      <c r="J229" s="18"/>
      <c r="K229" s="15"/>
      <c r="L229" s="19"/>
      <c r="M229" s="19"/>
      <c r="N229" s="19"/>
      <c r="O229" s="19">
        <v>1</v>
      </c>
      <c r="P229" s="19">
        <v>1</v>
      </c>
      <c r="Q229" s="19"/>
      <c r="R229" s="19"/>
      <c r="S229" s="15"/>
      <c r="T229" s="25">
        <v>45774</v>
      </c>
      <c r="U229" s="13" t="s">
        <v>148</v>
      </c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 t="s">
        <v>315</v>
      </c>
      <c r="D230" s="110" t="s">
        <v>195</v>
      </c>
      <c r="E230" s="18" t="s">
        <v>39</v>
      </c>
      <c r="F230" s="16"/>
      <c r="G230" s="18" t="s">
        <v>178</v>
      </c>
      <c r="H230" s="15"/>
      <c r="I230" s="15"/>
      <c r="J230" s="18">
        <v>1</v>
      </c>
      <c r="K230" s="15">
        <v>1</v>
      </c>
      <c r="L230" s="19"/>
      <c r="M230" s="19"/>
      <c r="N230" s="19"/>
      <c r="O230" s="19"/>
      <c r="P230" s="19"/>
      <c r="Q230" s="19"/>
      <c r="R230" s="19"/>
      <c r="S230" s="15"/>
      <c r="T230" s="26">
        <v>45775</v>
      </c>
      <c r="U230" s="15" t="s">
        <v>146</v>
      </c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 t="s">
        <v>316</v>
      </c>
      <c r="D231" s="110" t="s">
        <v>183</v>
      </c>
      <c r="E231" s="18" t="s">
        <v>38</v>
      </c>
      <c r="F231" s="16"/>
      <c r="G231" s="18" t="s">
        <v>178</v>
      </c>
      <c r="H231" s="15"/>
      <c r="I231" s="15"/>
      <c r="J231" s="18">
        <v>1</v>
      </c>
      <c r="K231" s="15"/>
      <c r="L231" s="19"/>
      <c r="M231" s="19"/>
      <c r="N231" s="19"/>
      <c r="O231" s="19"/>
      <c r="P231" s="19"/>
      <c r="Q231" s="19"/>
      <c r="R231" s="19"/>
      <c r="S231" s="15"/>
      <c r="T231" s="26">
        <v>45767</v>
      </c>
      <c r="U231" s="15" t="s">
        <v>146</v>
      </c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 t="s">
        <v>317</v>
      </c>
      <c r="D232" s="110" t="s">
        <v>179</v>
      </c>
      <c r="E232" s="18" t="s">
        <v>37</v>
      </c>
      <c r="F232" s="16"/>
      <c r="G232" s="18" t="s">
        <v>178</v>
      </c>
      <c r="H232" s="15"/>
      <c r="I232" s="15"/>
      <c r="J232" s="18"/>
      <c r="K232" s="15"/>
      <c r="L232" s="19"/>
      <c r="M232" s="19">
        <v>1</v>
      </c>
      <c r="N232" s="19">
        <v>1</v>
      </c>
      <c r="O232" s="19"/>
      <c r="P232" s="19"/>
      <c r="Q232" s="19"/>
      <c r="R232" s="19"/>
      <c r="S232" s="15"/>
      <c r="T232" s="30">
        <v>45762</v>
      </c>
      <c r="U232" s="15" t="s">
        <v>147</v>
      </c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20</v>
      </c>
      <c r="D238" s="112"/>
      <c r="E238" s="29"/>
      <c r="F238" s="29" t="s">
        <v>34</v>
      </c>
      <c r="G238" s="29">
        <f>COUNTIF(G213:G237,"S")</f>
        <v>20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6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4</v>
      </c>
      <c r="O238" s="29">
        <f t="shared" ref="O238" si="48">SUM(O213:O237)</f>
        <v>4</v>
      </c>
      <c r="P238" s="29">
        <f t="shared" ref="P238" si="49">SUM(P213:P237)</f>
        <v>4</v>
      </c>
      <c r="Q238" s="29">
        <f t="shared" ref="Q238" si="50">SUM(Q213:Q237)</f>
        <v>3</v>
      </c>
      <c r="R238" s="29">
        <f t="shared" ref="R238" si="51">SUM(R213:R237)</f>
        <v>3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35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AYG104</v>
      </c>
      <c r="B241" s="24">
        <f>B1</f>
        <v>45741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18</v>
      </c>
      <c r="C243" s="85" t="s">
        <v>318</v>
      </c>
      <c r="D243" s="109" t="s">
        <v>180</v>
      </c>
      <c r="E243" s="13" t="s">
        <v>40</v>
      </c>
      <c r="F243" s="14"/>
      <c r="G243" s="12" t="s">
        <v>178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45762</v>
      </c>
      <c r="U243" s="13" t="s">
        <v>148</v>
      </c>
      <c r="V243">
        <v>1</v>
      </c>
      <c r="X243" t="s">
        <v>106</v>
      </c>
      <c r="Y243">
        <f>COUNTIF(U243:U267,"K")</f>
        <v>6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319</v>
      </c>
      <c r="D244" s="109" t="s">
        <v>177</v>
      </c>
      <c r="E244" s="13" t="s">
        <v>40</v>
      </c>
      <c r="F244" s="16"/>
      <c r="G244" s="12" t="s">
        <v>178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45785</v>
      </c>
      <c r="U244" s="13" t="s">
        <v>148</v>
      </c>
      <c r="V244">
        <v>2</v>
      </c>
      <c r="X244" t="s">
        <v>107</v>
      </c>
      <c r="Y244">
        <f>COUNTIF(U243:U267,"R")</f>
        <v>1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320</v>
      </c>
      <c r="D245" s="109" t="s">
        <v>179</v>
      </c>
      <c r="E245" s="13" t="s">
        <v>36</v>
      </c>
      <c r="F245" s="16"/>
      <c r="G245" s="12" t="s">
        <v>178</v>
      </c>
      <c r="H245" s="15"/>
      <c r="I245" s="15"/>
      <c r="J245" s="15"/>
      <c r="K245" s="15"/>
      <c r="L245" s="17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6">
        <v>45755</v>
      </c>
      <c r="U245" s="13" t="s">
        <v>147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321</v>
      </c>
      <c r="D246" s="109" t="s">
        <v>179</v>
      </c>
      <c r="E246" s="13" t="s">
        <v>36</v>
      </c>
      <c r="F246" s="16"/>
      <c r="G246" s="12" t="s">
        <v>178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45753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322</v>
      </c>
      <c r="D247" s="109" t="s">
        <v>177</v>
      </c>
      <c r="E247" s="13" t="s">
        <v>36</v>
      </c>
      <c r="F247" s="16"/>
      <c r="G247" s="12" t="s">
        <v>178</v>
      </c>
      <c r="H247" s="15"/>
      <c r="I247" s="15"/>
      <c r="J247" s="15">
        <v>1</v>
      </c>
      <c r="K247" s="15">
        <v>1</v>
      </c>
      <c r="L247" s="17"/>
      <c r="M247" s="17"/>
      <c r="N247" s="17"/>
      <c r="O247" s="17"/>
      <c r="P247" s="17"/>
      <c r="Q247" s="17"/>
      <c r="R247" s="17"/>
      <c r="S247" s="15"/>
      <c r="T247" s="26">
        <v>45773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323</v>
      </c>
      <c r="D248" s="109" t="s">
        <v>262</v>
      </c>
      <c r="E248" s="13" t="s">
        <v>39</v>
      </c>
      <c r="F248" s="16"/>
      <c r="G248" s="12" t="s">
        <v>178</v>
      </c>
      <c r="H248" s="13"/>
      <c r="I248" s="15"/>
      <c r="J248" s="15">
        <v>1</v>
      </c>
      <c r="K248" s="15"/>
      <c r="L248" s="17"/>
      <c r="M248" s="17"/>
      <c r="N248" s="17"/>
      <c r="O248" s="17"/>
      <c r="P248" s="17"/>
      <c r="Q248" s="17"/>
      <c r="R248" s="17"/>
      <c r="S248" s="15"/>
      <c r="T248" s="26">
        <v>45777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324</v>
      </c>
      <c r="D249" s="109" t="s">
        <v>262</v>
      </c>
      <c r="E249" s="13" t="s">
        <v>39</v>
      </c>
      <c r="F249" s="16"/>
      <c r="G249" s="12" t="s">
        <v>178</v>
      </c>
      <c r="H249" s="15"/>
      <c r="I249" s="15"/>
      <c r="J249" s="15">
        <v>1</v>
      </c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45777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325</v>
      </c>
      <c r="D250" s="109" t="s">
        <v>262</v>
      </c>
      <c r="E250" s="13" t="s">
        <v>39</v>
      </c>
      <c r="F250" s="16"/>
      <c r="G250" s="12" t="s">
        <v>178</v>
      </c>
      <c r="H250" s="15"/>
      <c r="I250" s="15"/>
      <c r="J250" s="15">
        <v>1</v>
      </c>
      <c r="K250" s="15"/>
      <c r="L250" s="17"/>
      <c r="M250" s="17"/>
      <c r="N250" s="17"/>
      <c r="O250" s="17"/>
      <c r="P250" s="17"/>
      <c r="Q250" s="17"/>
      <c r="R250" s="17"/>
      <c r="S250" s="15"/>
      <c r="T250" s="26">
        <v>45777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326</v>
      </c>
      <c r="D251" s="109" t="s">
        <v>177</v>
      </c>
      <c r="E251" s="13" t="s">
        <v>60</v>
      </c>
      <c r="F251" s="16"/>
      <c r="G251" s="12" t="s">
        <v>178</v>
      </c>
      <c r="H251" s="15"/>
      <c r="I251" s="15"/>
      <c r="J251" s="15">
        <v>1</v>
      </c>
      <c r="K251" s="15"/>
      <c r="L251" s="17">
        <v>1</v>
      </c>
      <c r="M251" s="17"/>
      <c r="N251" s="17"/>
      <c r="O251" s="17"/>
      <c r="P251" s="17"/>
      <c r="Q251" s="17"/>
      <c r="R251" s="17"/>
      <c r="S251" s="15"/>
      <c r="T251" s="26">
        <v>45785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328</v>
      </c>
      <c r="D252" s="109" t="s">
        <v>327</v>
      </c>
      <c r="E252" s="13" t="s">
        <v>40</v>
      </c>
      <c r="F252" s="16"/>
      <c r="G252" s="12" t="s">
        <v>236</v>
      </c>
      <c r="H252" s="15"/>
      <c r="I252" s="15"/>
      <c r="J252" s="15"/>
      <c r="K252" s="15"/>
      <c r="L252" s="17"/>
      <c r="M252" s="17"/>
      <c r="N252" s="17"/>
      <c r="O252" s="17">
        <v>1</v>
      </c>
      <c r="P252" s="17"/>
      <c r="Q252" s="17"/>
      <c r="R252" s="17"/>
      <c r="S252" s="15"/>
      <c r="T252" s="26">
        <v>45769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10</v>
      </c>
      <c r="D268" s="112"/>
      <c r="E268" s="29"/>
      <c r="F268" s="29" t="s">
        <v>34</v>
      </c>
      <c r="G268" s="29">
        <f>COUNTIF(G243:G267,"S")</f>
        <v>9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6</v>
      </c>
      <c r="K268" s="29">
        <f t="shared" ref="K268" si="54">SUM(K243:K267)</f>
        <v>2</v>
      </c>
      <c r="L268" s="29">
        <f t="shared" ref="L268" si="55">SUM(L243:L267)</f>
        <v>1</v>
      </c>
      <c r="M268" s="29">
        <f t="shared" ref="M268" si="56">SUM(M243:M267)</f>
        <v>1</v>
      </c>
      <c r="N268" s="29">
        <f t="shared" ref="N268" si="57">SUM(N243:N267)</f>
        <v>1</v>
      </c>
      <c r="O268" s="29">
        <f t="shared" ref="O268" si="58">SUM(O243:O267)</f>
        <v>1</v>
      </c>
      <c r="P268" s="29">
        <f t="shared" ref="P268" si="59">SUM(P243:P267)</f>
        <v>0</v>
      </c>
      <c r="Q268" s="29">
        <f t="shared" ref="Q268" si="60">SUM(Q243:Q267)</f>
        <v>1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AYG104</v>
      </c>
      <c r="B271" s="24">
        <f>B1</f>
        <v>45741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AYG104</v>
      </c>
      <c r="B301" s="24">
        <f>B1</f>
        <v>45741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AYG104</v>
      </c>
      <c r="B331" s="24">
        <f>B151</f>
        <v>45741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C1319"/>
  <sheetViews>
    <sheetView topLeftCell="A7" zoomScaleNormal="100" workbookViewId="0">
      <selection activeCell="G22" sqref="G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8" width="16.625" customWidth="1"/>
    <col min="29" max="29" width="11" customWidth="1"/>
    <col min="30" max="30" width="10.5" style="121" customWidth="1"/>
    <col min="31" max="31" width="10.25" style="121" customWidth="1"/>
    <col min="32" max="32" width="10.875" style="121" customWidth="1"/>
    <col min="33" max="46" width="16.625" customWidth="1"/>
    <col min="47" max="47" width="20.5" customWidth="1"/>
    <col min="52" max="52" width="12.375" customWidth="1"/>
    <col min="53" max="53" width="11.25" customWidth="1"/>
    <col min="54" max="54" width="10.5" customWidth="1"/>
    <col min="55" max="55" width="10.25" customWidth="1"/>
  </cols>
  <sheetData>
    <row r="1" spans="1:51" x14ac:dyDescent="0.4">
      <c r="A1" s="120" t="s">
        <v>329</v>
      </c>
      <c r="B1" s="121"/>
      <c r="C1" s="121"/>
      <c r="D1" s="121"/>
      <c r="L1" t="s">
        <v>143</v>
      </c>
      <c r="M1" t="s">
        <v>144</v>
      </c>
      <c r="W1" t="s">
        <v>143</v>
      </c>
      <c r="X1" t="s">
        <v>144</v>
      </c>
      <c r="AC1" s="120"/>
      <c r="AU1" t="s">
        <v>143</v>
      </c>
      <c r="AV1" t="s">
        <v>144</v>
      </c>
    </row>
    <row r="2" spans="1:51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L2" s="25">
        <v>45747</v>
      </c>
      <c r="M2" s="13" t="s">
        <v>146</v>
      </c>
      <c r="W2" s="25">
        <v>45669</v>
      </c>
      <c r="X2" s="13" t="s">
        <v>147</v>
      </c>
      <c r="AC2" s="116"/>
      <c r="AD2" s="123"/>
      <c r="AE2" s="123"/>
      <c r="AF2" s="123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25">
        <v>45258</v>
      </c>
      <c r="AV2" s="13" t="s">
        <v>162</v>
      </c>
      <c r="AY2" s="114"/>
    </row>
    <row r="3" spans="1:51" ht="20.100000000000001" customHeight="1" x14ac:dyDescent="0.4">
      <c r="A3" s="117">
        <v>45747</v>
      </c>
      <c r="B3" s="123">
        <v>1</v>
      </c>
      <c r="C3" s="123"/>
      <c r="D3" s="123"/>
      <c r="K3" s="115" t="s">
        <v>191</v>
      </c>
      <c r="L3" s="13">
        <f>SUBTOTAL(3,L2:L2)</f>
        <v>1</v>
      </c>
      <c r="M3" s="13">
        <f>SUBTOTAL(3,M2:M2)</f>
        <v>1</v>
      </c>
      <c r="W3" s="25"/>
      <c r="X3" s="13"/>
      <c r="AC3" s="116"/>
      <c r="AD3" s="123"/>
      <c r="AE3" s="123"/>
      <c r="AF3" s="123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25"/>
      <c r="AV3" s="13"/>
      <c r="AY3" s="114"/>
    </row>
    <row r="4" spans="1:51" ht="20.100000000000001" customHeight="1" x14ac:dyDescent="0.4">
      <c r="A4" s="117">
        <v>45753</v>
      </c>
      <c r="B4" s="123">
        <v>2</v>
      </c>
      <c r="C4" s="123">
        <v>1</v>
      </c>
      <c r="D4" s="123"/>
      <c r="J4" s="115"/>
      <c r="K4" s="115"/>
      <c r="L4" s="25">
        <v>45753</v>
      </c>
      <c r="M4" s="13" t="s">
        <v>147</v>
      </c>
      <c r="W4" s="25"/>
      <c r="X4" s="13"/>
      <c r="AC4" s="116"/>
      <c r="AD4" s="123"/>
      <c r="AE4" s="123"/>
      <c r="AF4" s="123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25"/>
      <c r="AV4" s="13"/>
      <c r="AY4" s="114"/>
    </row>
    <row r="5" spans="1:51" ht="20.100000000000001" customHeight="1" x14ac:dyDescent="0.4">
      <c r="A5" s="117">
        <v>45755</v>
      </c>
      <c r="B5" s="123">
        <v>2</v>
      </c>
      <c r="C5" s="123">
        <v>1</v>
      </c>
      <c r="D5" s="123"/>
      <c r="L5" s="25">
        <v>45753</v>
      </c>
      <c r="M5" s="13" t="s">
        <v>146</v>
      </c>
      <c r="W5" s="25"/>
      <c r="X5" s="13"/>
      <c r="AC5" s="116"/>
      <c r="AD5" s="123"/>
      <c r="AE5" s="123"/>
      <c r="AF5" s="123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25"/>
      <c r="AV5" s="13"/>
      <c r="AY5" s="114"/>
    </row>
    <row r="6" spans="1:51" ht="20.100000000000001" customHeight="1" x14ac:dyDescent="0.4">
      <c r="A6" s="117">
        <v>45756</v>
      </c>
      <c r="B6" s="123"/>
      <c r="C6" s="123">
        <v>1</v>
      </c>
      <c r="D6" s="123"/>
      <c r="L6" s="25">
        <v>45753</v>
      </c>
      <c r="M6" s="13" t="s">
        <v>146</v>
      </c>
      <c r="W6" s="25"/>
      <c r="X6" s="13"/>
      <c r="AC6" s="116"/>
      <c r="AD6" s="123"/>
      <c r="AE6" s="123"/>
      <c r="AF6" s="123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25"/>
      <c r="AV6" s="13"/>
      <c r="AY6" s="114"/>
    </row>
    <row r="7" spans="1:51" ht="20.100000000000001" customHeight="1" x14ac:dyDescent="0.4">
      <c r="A7" s="117">
        <v>45757</v>
      </c>
      <c r="B7" s="123">
        <v>1</v>
      </c>
      <c r="C7" s="123"/>
      <c r="D7" s="123"/>
      <c r="K7" s="115" t="s">
        <v>196</v>
      </c>
      <c r="L7" s="13">
        <f>SUBTOTAL(3,L4:L6)</f>
        <v>3</v>
      </c>
      <c r="M7" s="13">
        <f>SUBTOTAL(3,M4:M6)</f>
        <v>3</v>
      </c>
      <c r="W7" s="25"/>
      <c r="X7" s="13"/>
      <c r="AC7" s="116"/>
      <c r="AD7" s="123"/>
      <c r="AE7" s="123"/>
      <c r="AF7" s="123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25"/>
      <c r="AV7" s="13"/>
      <c r="AY7" s="114"/>
    </row>
    <row r="8" spans="1:51" ht="20.100000000000001" customHeight="1" x14ac:dyDescent="0.4">
      <c r="A8" s="117">
        <v>45759</v>
      </c>
      <c r="B8" s="123"/>
      <c r="C8" s="123">
        <v>1</v>
      </c>
      <c r="D8" s="123"/>
      <c r="F8" s="125"/>
      <c r="L8" s="25">
        <v>45755</v>
      </c>
      <c r="M8" s="13" t="s">
        <v>146</v>
      </c>
      <c r="W8" s="25"/>
      <c r="X8" s="13"/>
      <c r="AC8" s="116"/>
      <c r="AD8" s="123"/>
      <c r="AE8" s="123"/>
      <c r="AF8" s="123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25"/>
      <c r="AV8" s="13"/>
      <c r="AY8" s="114"/>
    </row>
    <row r="9" spans="1:51" ht="20.100000000000001" customHeight="1" x14ac:dyDescent="0.4">
      <c r="A9" s="117">
        <v>45760</v>
      </c>
      <c r="B9" s="123">
        <v>1</v>
      </c>
      <c r="C9" s="123">
        <v>3</v>
      </c>
      <c r="D9" s="123"/>
      <c r="F9" s="125"/>
      <c r="J9" s="115"/>
      <c r="K9" s="115"/>
      <c r="L9" s="25">
        <v>45755</v>
      </c>
      <c r="M9" s="13" t="s">
        <v>146</v>
      </c>
      <c r="W9" s="25"/>
      <c r="X9" s="13"/>
      <c r="AC9" s="116"/>
      <c r="AD9" s="123"/>
      <c r="AE9" s="123"/>
      <c r="AF9" s="123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25"/>
      <c r="AV9" s="13"/>
      <c r="AY9" s="114"/>
    </row>
    <row r="10" spans="1:51" ht="20.100000000000001" customHeight="1" x14ac:dyDescent="0.4">
      <c r="A10" s="117">
        <v>45761</v>
      </c>
      <c r="B10" s="123">
        <v>1</v>
      </c>
      <c r="C10" s="123">
        <v>2</v>
      </c>
      <c r="D10" s="123">
        <v>1</v>
      </c>
      <c r="F10" s="125"/>
      <c r="H10" s="115"/>
      <c r="I10" s="115"/>
      <c r="J10" s="115"/>
      <c r="K10" s="115"/>
      <c r="L10" s="25">
        <v>45755</v>
      </c>
      <c r="M10" s="13" t="s">
        <v>147</v>
      </c>
      <c r="W10" s="25"/>
      <c r="X10" s="13"/>
      <c r="AC10" s="116"/>
      <c r="AD10" s="123"/>
      <c r="AE10" s="123"/>
      <c r="AF10" s="123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25"/>
      <c r="AV10" s="13"/>
      <c r="AY10" s="114"/>
    </row>
    <row r="11" spans="1:51" ht="20.100000000000001" customHeight="1" x14ac:dyDescent="0.4">
      <c r="A11" s="117">
        <v>45762</v>
      </c>
      <c r="B11" s="123">
        <v>1</v>
      </c>
      <c r="C11" s="123">
        <v>3</v>
      </c>
      <c r="D11" s="123">
        <v>1</v>
      </c>
      <c r="F11" s="125"/>
      <c r="H11" s="115"/>
      <c r="I11" s="115"/>
      <c r="J11" s="115"/>
      <c r="K11" s="115" t="s">
        <v>197</v>
      </c>
      <c r="L11" s="13">
        <f>SUBTOTAL(3,L8:L10)</f>
        <v>3</v>
      </c>
      <c r="M11" s="13">
        <f>SUBTOTAL(3,M8:M10)</f>
        <v>3</v>
      </c>
      <c r="W11" s="25"/>
      <c r="X11" s="13"/>
      <c r="AC11" s="116"/>
      <c r="AD11" s="123"/>
      <c r="AE11" s="123"/>
      <c r="AF11" s="123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25"/>
      <c r="AV11" s="13"/>
      <c r="AY11" s="114"/>
    </row>
    <row r="12" spans="1:51" ht="20.100000000000001" customHeight="1" x14ac:dyDescent="0.4">
      <c r="A12" s="117">
        <v>45763</v>
      </c>
      <c r="B12" s="123">
        <v>1</v>
      </c>
      <c r="C12" s="123">
        <v>2</v>
      </c>
      <c r="D12" s="123">
        <v>1</v>
      </c>
      <c r="F12" s="125"/>
      <c r="H12" s="115"/>
      <c r="I12" s="115"/>
      <c r="J12" s="115"/>
      <c r="K12" s="115"/>
      <c r="L12" s="25">
        <v>45756</v>
      </c>
      <c r="M12" s="13" t="s">
        <v>147</v>
      </c>
      <c r="W12" s="25"/>
      <c r="X12" s="13"/>
      <c r="AC12" s="116"/>
      <c r="AD12" s="123"/>
      <c r="AE12" s="123"/>
      <c r="AF12" s="123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25"/>
      <c r="AV12" s="13"/>
      <c r="AY12" s="114"/>
    </row>
    <row r="13" spans="1:51" ht="20.100000000000001" customHeight="1" x14ac:dyDescent="0.4">
      <c r="A13" s="117">
        <v>45764</v>
      </c>
      <c r="B13" s="123">
        <v>6</v>
      </c>
      <c r="C13" s="123">
        <v>7</v>
      </c>
      <c r="D13" s="123"/>
      <c r="F13" s="125"/>
      <c r="H13" s="115"/>
      <c r="I13" s="115"/>
      <c r="J13" s="115"/>
      <c r="K13" s="115" t="s">
        <v>203</v>
      </c>
      <c r="L13" s="13">
        <f>SUBTOTAL(3,L12:L12)</f>
        <v>1</v>
      </c>
      <c r="M13" s="13">
        <f>SUBTOTAL(3,M12:M12)</f>
        <v>1</v>
      </c>
      <c r="W13" s="25"/>
      <c r="X13" s="13"/>
      <c r="AC13" s="116"/>
      <c r="AD13" s="123"/>
      <c r="AE13" s="123"/>
      <c r="AF13" s="123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25"/>
      <c r="AV13" s="13"/>
      <c r="AY13" s="114"/>
    </row>
    <row r="14" spans="1:51" ht="20.100000000000001" customHeight="1" x14ac:dyDescent="0.4">
      <c r="A14" s="117">
        <v>45765</v>
      </c>
      <c r="B14" s="123">
        <v>2</v>
      </c>
      <c r="C14" s="123">
        <v>1</v>
      </c>
      <c r="D14" s="123">
        <v>3</v>
      </c>
      <c r="F14" s="125"/>
      <c r="H14" s="115"/>
      <c r="I14" s="115"/>
      <c r="J14" s="115"/>
      <c r="K14" s="115"/>
      <c r="L14" s="25">
        <v>45757</v>
      </c>
      <c r="M14" s="13" t="s">
        <v>146</v>
      </c>
      <c r="W14" s="25"/>
      <c r="X14" s="13"/>
      <c r="AC14" s="116"/>
      <c r="AD14" s="123"/>
      <c r="AE14" s="123"/>
      <c r="AF14" s="123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25"/>
      <c r="AV14" s="13"/>
      <c r="AY14" s="114"/>
    </row>
    <row r="15" spans="1:51" ht="20.100000000000001" customHeight="1" x14ac:dyDescent="0.4">
      <c r="A15" s="117">
        <v>45766</v>
      </c>
      <c r="B15" s="123"/>
      <c r="C15" s="123"/>
      <c r="D15" s="123">
        <v>1</v>
      </c>
      <c r="F15" s="125"/>
      <c r="H15" s="115"/>
      <c r="I15" s="115"/>
      <c r="J15" s="115"/>
      <c r="K15" s="115" t="s">
        <v>330</v>
      </c>
      <c r="L15" s="13">
        <f>SUBTOTAL(3,L14:L14)</f>
        <v>1</v>
      </c>
      <c r="M15" s="13">
        <f>SUBTOTAL(3,M14:M14)</f>
        <v>1</v>
      </c>
      <c r="W15" s="25"/>
      <c r="X15" s="13"/>
      <c r="AC15" s="116"/>
      <c r="AD15" s="123"/>
      <c r="AE15" s="123"/>
      <c r="AF15" s="123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25"/>
      <c r="AV15" s="13"/>
      <c r="AY15" s="114"/>
    </row>
    <row r="16" spans="1:51" ht="20.100000000000001" customHeight="1" x14ac:dyDescent="0.4">
      <c r="A16" s="117">
        <v>45767</v>
      </c>
      <c r="B16" s="123">
        <v>2</v>
      </c>
      <c r="C16" s="123">
        <v>1</v>
      </c>
      <c r="D16" s="123"/>
      <c r="F16" s="125"/>
      <c r="H16" s="115"/>
      <c r="I16" s="115"/>
      <c r="J16" s="115"/>
      <c r="K16" s="115"/>
      <c r="L16" s="25">
        <v>45759</v>
      </c>
      <c r="M16" s="13" t="s">
        <v>147</v>
      </c>
      <c r="W16" s="25"/>
      <c r="X16" s="13"/>
      <c r="AC16" s="116"/>
      <c r="AD16" s="123"/>
      <c r="AE16" s="123"/>
      <c r="AF16" s="123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25"/>
      <c r="AV16" s="13"/>
      <c r="AY16" s="114"/>
    </row>
    <row r="17" spans="1:51" ht="20.100000000000001" customHeight="1" x14ac:dyDescent="0.4">
      <c r="A17" s="117">
        <v>45768</v>
      </c>
      <c r="B17" s="123">
        <v>10</v>
      </c>
      <c r="C17" s="123"/>
      <c r="D17" s="123"/>
      <c r="F17" s="125"/>
      <c r="H17" s="115"/>
      <c r="I17" s="115"/>
      <c r="J17" s="115"/>
      <c r="K17" s="115" t="s">
        <v>204</v>
      </c>
      <c r="L17" s="13">
        <f>SUBTOTAL(3,L16:L16)</f>
        <v>1</v>
      </c>
      <c r="M17" s="13">
        <f>SUBTOTAL(3,M16:M16)</f>
        <v>1</v>
      </c>
      <c r="W17" s="25"/>
      <c r="X17" s="13"/>
      <c r="AC17" s="116"/>
      <c r="AD17" s="123"/>
      <c r="AE17" s="123"/>
      <c r="AF17" s="123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25"/>
      <c r="AV17" s="13"/>
      <c r="AY17" s="114"/>
    </row>
    <row r="18" spans="1:51" ht="20.100000000000001" customHeight="1" x14ac:dyDescent="0.4">
      <c r="A18" s="117">
        <v>45769</v>
      </c>
      <c r="B18" s="123">
        <v>3</v>
      </c>
      <c r="C18" s="123">
        <v>7</v>
      </c>
      <c r="D18" s="123">
        <v>1</v>
      </c>
      <c r="F18" s="125"/>
      <c r="H18" s="115"/>
      <c r="I18" s="115"/>
      <c r="J18" s="115"/>
      <c r="K18" s="115"/>
      <c r="L18" s="25">
        <v>45760</v>
      </c>
      <c r="M18" s="13" t="s">
        <v>146</v>
      </c>
      <c r="W18" s="25"/>
      <c r="X18" s="13"/>
      <c r="AC18" s="116"/>
      <c r="AD18" s="123"/>
      <c r="AE18" s="123"/>
      <c r="AF18" s="123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25"/>
      <c r="AV18" s="13"/>
      <c r="AY18" s="114"/>
    </row>
    <row r="19" spans="1:51" ht="20.100000000000001" customHeight="1" x14ac:dyDescent="0.4">
      <c r="A19" s="117">
        <v>45770</v>
      </c>
      <c r="B19" s="123">
        <v>5</v>
      </c>
      <c r="C19" s="123">
        <v>1</v>
      </c>
      <c r="D19" s="123"/>
      <c r="F19" s="125"/>
      <c r="H19" s="115"/>
      <c r="I19" s="115"/>
      <c r="J19" s="115"/>
      <c r="K19" s="115"/>
      <c r="L19" s="25">
        <v>45760</v>
      </c>
      <c r="M19" s="13" t="s">
        <v>147</v>
      </c>
      <c r="W19" s="25"/>
      <c r="X19" s="13"/>
      <c r="AC19" s="116"/>
      <c r="AD19" s="123"/>
      <c r="AE19" s="123"/>
      <c r="AF19" s="123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25"/>
      <c r="AV19" s="13"/>
      <c r="AY19" s="114"/>
    </row>
    <row r="20" spans="1:51" ht="20.100000000000001" customHeight="1" x14ac:dyDescent="0.4">
      <c r="A20" s="117">
        <v>45772</v>
      </c>
      <c r="B20" s="123">
        <v>1</v>
      </c>
      <c r="C20" s="123"/>
      <c r="D20" s="123"/>
      <c r="F20" s="125"/>
      <c r="H20" s="115"/>
      <c r="I20" s="115"/>
      <c r="J20" s="115"/>
      <c r="K20" s="115"/>
      <c r="L20" s="25">
        <v>45760</v>
      </c>
      <c r="M20" s="13" t="s">
        <v>147</v>
      </c>
      <c r="W20" s="25"/>
      <c r="X20" s="13"/>
      <c r="AC20" s="116"/>
      <c r="AD20" s="123"/>
      <c r="AE20" s="123"/>
      <c r="AF20" s="123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25"/>
      <c r="AV20" s="13"/>
      <c r="AY20" s="114"/>
    </row>
    <row r="21" spans="1:51" ht="20.100000000000001" customHeight="1" x14ac:dyDescent="0.4">
      <c r="A21" s="117">
        <v>45773</v>
      </c>
      <c r="B21" s="123">
        <v>4</v>
      </c>
      <c r="C21" s="123"/>
      <c r="D21" s="123"/>
      <c r="F21" s="125"/>
      <c r="H21" s="115"/>
      <c r="I21" s="115"/>
      <c r="J21" s="115"/>
      <c r="K21" s="115"/>
      <c r="L21" s="25">
        <v>45760</v>
      </c>
      <c r="M21" s="13" t="s">
        <v>147</v>
      </c>
      <c r="W21" s="25"/>
      <c r="X21" s="13"/>
      <c r="AC21" s="116"/>
      <c r="AD21" s="123"/>
      <c r="AE21" s="123"/>
      <c r="AF21" s="123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25"/>
      <c r="AV21" s="13"/>
      <c r="AY21" s="114"/>
    </row>
    <row r="22" spans="1:51" ht="20.100000000000001" customHeight="1" x14ac:dyDescent="0.4">
      <c r="A22" s="117">
        <v>45774</v>
      </c>
      <c r="B22" s="123"/>
      <c r="C22" s="123"/>
      <c r="D22" s="123">
        <v>1</v>
      </c>
      <c r="F22" s="125"/>
      <c r="H22" s="115"/>
      <c r="I22" s="115"/>
      <c r="J22" s="115"/>
      <c r="K22" s="115" t="s">
        <v>198</v>
      </c>
      <c r="L22" s="13">
        <f>SUBTOTAL(3,L18:L21)</f>
        <v>4</v>
      </c>
      <c r="M22" s="13">
        <f>SUBTOTAL(3,M18:M21)</f>
        <v>4</v>
      </c>
      <c r="W22" s="25"/>
      <c r="X22" s="13"/>
      <c r="AC22" s="116"/>
      <c r="AD22" s="123"/>
      <c r="AE22" s="123"/>
      <c r="AF22" s="123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25"/>
      <c r="AV22" s="13"/>
      <c r="AY22" s="114"/>
    </row>
    <row r="23" spans="1:51" ht="20.100000000000001" customHeight="1" x14ac:dyDescent="0.4">
      <c r="A23" s="117">
        <v>45775</v>
      </c>
      <c r="B23" s="123">
        <v>9</v>
      </c>
      <c r="C23" s="123">
        <v>3</v>
      </c>
      <c r="D23" s="123">
        <v>1</v>
      </c>
      <c r="F23" s="125"/>
      <c r="L23" s="25">
        <v>45761</v>
      </c>
      <c r="M23" s="15" t="s">
        <v>147</v>
      </c>
      <c r="S23" s="115"/>
      <c r="T23" s="115"/>
      <c r="U23" s="115"/>
      <c r="V23" s="115"/>
      <c r="W23" s="25">
        <v>45669</v>
      </c>
      <c r="X23" s="13" t="s">
        <v>147</v>
      </c>
      <c r="AC23" s="116"/>
      <c r="AD23" s="123"/>
      <c r="AE23" s="123"/>
      <c r="AF23" s="123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25"/>
      <c r="AV23" s="13"/>
      <c r="AY23" s="114"/>
    </row>
    <row r="24" spans="1:51" ht="20.100000000000001" customHeight="1" x14ac:dyDescent="0.4">
      <c r="A24" s="117">
        <v>45776</v>
      </c>
      <c r="B24" s="123">
        <v>1</v>
      </c>
      <c r="C24" s="123"/>
      <c r="D24" s="123"/>
      <c r="F24" s="125"/>
      <c r="L24" s="25">
        <v>45761</v>
      </c>
      <c r="M24" s="13" t="s">
        <v>146</v>
      </c>
      <c r="S24" s="115"/>
      <c r="T24" s="115"/>
      <c r="U24" s="115"/>
      <c r="V24" s="115"/>
      <c r="W24" s="25"/>
      <c r="X24" s="13"/>
      <c r="AC24" s="116"/>
      <c r="AD24" s="123"/>
      <c r="AE24" s="123"/>
      <c r="AF24" s="123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25"/>
      <c r="AV24" s="13"/>
      <c r="AY24" s="114"/>
    </row>
    <row r="25" spans="1:51" ht="20.100000000000001" customHeight="1" x14ac:dyDescent="0.4">
      <c r="A25" s="117">
        <v>45777</v>
      </c>
      <c r="B25" s="123">
        <v>5</v>
      </c>
      <c r="C25" s="123"/>
      <c r="D25" s="123">
        <v>2</v>
      </c>
      <c r="F25" s="125"/>
      <c r="I25" s="115"/>
      <c r="J25" s="115"/>
      <c r="K25" s="115"/>
      <c r="L25" s="25">
        <v>45761</v>
      </c>
      <c r="M25" s="25" t="s">
        <v>148</v>
      </c>
      <c r="S25" s="115"/>
      <c r="T25" s="115"/>
      <c r="U25" s="115"/>
      <c r="V25" s="115"/>
      <c r="W25" s="25"/>
      <c r="X25" s="13"/>
      <c r="AC25" s="116"/>
      <c r="AD25" s="123"/>
      <c r="AE25" s="123"/>
      <c r="AF25" s="123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25"/>
      <c r="AV25" s="13"/>
      <c r="AY25" s="114"/>
    </row>
    <row r="26" spans="1:51" ht="20.100000000000001" customHeight="1" x14ac:dyDescent="0.4">
      <c r="A26" s="117">
        <v>45783</v>
      </c>
      <c r="B26" s="123"/>
      <c r="C26" s="123"/>
      <c r="D26" s="123">
        <v>1</v>
      </c>
      <c r="F26" s="125"/>
      <c r="H26" s="115"/>
      <c r="I26" s="115"/>
      <c r="J26" s="115"/>
      <c r="K26" s="115"/>
      <c r="L26" s="25">
        <v>45761</v>
      </c>
      <c r="M26" s="13" t="s">
        <v>147</v>
      </c>
      <c r="S26" s="115"/>
      <c r="T26" s="115"/>
      <c r="U26" s="115"/>
      <c r="V26" s="115"/>
      <c r="W26" s="25"/>
      <c r="X26" s="13"/>
      <c r="AC26" s="116"/>
      <c r="AD26" s="123"/>
      <c r="AE26" s="123"/>
      <c r="AF26" s="123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25"/>
      <c r="AV26" s="13"/>
      <c r="AY26" s="114"/>
    </row>
    <row r="27" spans="1:51" ht="20.100000000000001" customHeight="1" x14ac:dyDescent="0.4">
      <c r="A27" s="117">
        <v>45785</v>
      </c>
      <c r="B27" s="123">
        <v>1</v>
      </c>
      <c r="C27" s="123"/>
      <c r="D27" s="123">
        <v>2</v>
      </c>
      <c r="F27" s="125"/>
      <c r="H27" s="115"/>
      <c r="I27" s="115"/>
      <c r="J27" s="115"/>
      <c r="K27" s="115" t="s">
        <v>205</v>
      </c>
      <c r="L27" s="13">
        <f>SUBTOTAL(3,L23:L26)</f>
        <v>4</v>
      </c>
      <c r="M27" s="13">
        <f>SUBTOTAL(3,M23:M26)</f>
        <v>4</v>
      </c>
      <c r="S27" s="115"/>
      <c r="T27" s="115"/>
      <c r="U27" s="115"/>
      <c r="V27" s="115"/>
      <c r="W27" s="25"/>
      <c r="X27" s="13"/>
      <c r="AC27" s="116"/>
      <c r="AD27" s="123"/>
      <c r="AE27" s="123"/>
      <c r="AF27" s="123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25"/>
      <c r="AV27" s="13"/>
      <c r="AY27" s="114"/>
    </row>
    <row r="28" spans="1:51" ht="20.100000000000001" customHeight="1" x14ac:dyDescent="0.4">
      <c r="A28" s="117">
        <v>45798</v>
      </c>
      <c r="B28" s="123"/>
      <c r="C28" s="123">
        <v>1</v>
      </c>
      <c r="D28" s="123"/>
      <c r="F28" s="125"/>
      <c r="H28" s="115"/>
      <c r="I28" s="115"/>
      <c r="J28" s="115"/>
      <c r="K28" s="115"/>
      <c r="L28" s="25">
        <v>45762</v>
      </c>
      <c r="M28" s="13" t="s">
        <v>146</v>
      </c>
      <c r="S28" s="115"/>
      <c r="T28" s="115"/>
      <c r="U28" s="115"/>
      <c r="V28" s="115"/>
      <c r="W28" s="25"/>
      <c r="X28" s="13"/>
      <c r="AC28" s="116"/>
      <c r="AD28" s="123"/>
      <c r="AE28" s="123"/>
      <c r="AF28" s="123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25"/>
      <c r="AV28" s="13"/>
      <c r="AY28" s="114"/>
    </row>
    <row r="29" spans="1:51" ht="20.100000000000001" customHeight="1" x14ac:dyDescent="0.4">
      <c r="A29" s="117">
        <v>45803</v>
      </c>
      <c r="B29" s="123"/>
      <c r="C29" s="123">
        <v>1</v>
      </c>
      <c r="D29" s="123"/>
      <c r="F29" s="125"/>
      <c r="H29" s="115"/>
      <c r="I29" s="115"/>
      <c r="J29" s="115"/>
      <c r="K29" s="115"/>
      <c r="L29" s="25">
        <v>45762</v>
      </c>
      <c r="M29" s="13" t="s">
        <v>147</v>
      </c>
      <c r="S29" s="115"/>
      <c r="T29" s="115"/>
      <c r="U29" s="115"/>
      <c r="V29" s="115"/>
      <c r="W29" s="25"/>
      <c r="X29" s="13"/>
      <c r="AC29" s="116"/>
      <c r="AD29" s="123"/>
      <c r="AE29" s="123"/>
      <c r="AF29" s="123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25"/>
      <c r="AV29" s="13"/>
      <c r="AY29" s="114"/>
    </row>
    <row r="30" spans="1:51" ht="20.100000000000001" customHeight="1" x14ac:dyDescent="0.4">
      <c r="A30" s="117">
        <v>45829</v>
      </c>
      <c r="B30" s="123"/>
      <c r="C30" s="123">
        <v>1</v>
      </c>
      <c r="D30" s="123"/>
      <c r="F30" s="125"/>
      <c r="H30" s="115"/>
      <c r="I30" s="115"/>
      <c r="J30" s="115"/>
      <c r="K30" s="115"/>
      <c r="L30" s="25">
        <v>45762</v>
      </c>
      <c r="M30" s="13" t="s">
        <v>147</v>
      </c>
      <c r="S30" s="115"/>
      <c r="T30" s="115"/>
      <c r="U30" s="115"/>
      <c r="V30" s="115"/>
      <c r="W30" s="25"/>
      <c r="X30" s="13"/>
      <c r="AC30" s="116"/>
      <c r="AD30" s="123"/>
      <c r="AE30" s="123"/>
      <c r="AF30" s="123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25"/>
      <c r="AV30" s="13"/>
      <c r="AY30" s="114"/>
    </row>
    <row r="31" spans="1:51" ht="20.100000000000001" customHeight="1" x14ac:dyDescent="0.4">
      <c r="A31" s="117">
        <v>45867</v>
      </c>
      <c r="B31" s="123">
        <v>1</v>
      </c>
      <c r="C31" s="123"/>
      <c r="D31" s="123"/>
      <c r="F31" s="125"/>
      <c r="L31" s="25">
        <v>45762</v>
      </c>
      <c r="M31" s="13" t="s">
        <v>147</v>
      </c>
      <c r="S31" s="115"/>
      <c r="T31" s="115"/>
      <c r="U31" s="115"/>
      <c r="V31" s="115"/>
      <c r="W31" s="25">
        <v>45671</v>
      </c>
      <c r="X31" s="13" t="s">
        <v>146</v>
      </c>
      <c r="AC31" s="116"/>
      <c r="AD31" s="123"/>
      <c r="AE31" s="123"/>
      <c r="AF31" s="123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25"/>
      <c r="AV31" s="13"/>
      <c r="AY31" s="114"/>
    </row>
    <row r="32" spans="1:51" ht="20.100000000000001" customHeight="1" x14ac:dyDescent="0.4">
      <c r="A32" s="117"/>
      <c r="B32" s="123">
        <f>SUM(B3:B31)</f>
        <v>60</v>
      </c>
      <c r="C32" s="123">
        <f>SUM(C3:C31)</f>
        <v>37</v>
      </c>
      <c r="D32" s="123">
        <f>SUM(D3:D31)</f>
        <v>15</v>
      </c>
      <c r="F32" s="125"/>
      <c r="J32" s="115"/>
      <c r="K32" s="115"/>
      <c r="L32" s="25">
        <v>45762</v>
      </c>
      <c r="M32" s="13" t="s">
        <v>148</v>
      </c>
      <c r="S32" s="115"/>
      <c r="T32" s="115"/>
      <c r="U32" s="115"/>
      <c r="V32" s="115"/>
      <c r="W32" s="25"/>
      <c r="X32" s="13"/>
      <c r="AC32" s="116"/>
      <c r="AD32" s="123"/>
      <c r="AE32" s="123"/>
      <c r="AF32" s="123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25"/>
      <c r="AV32" s="13"/>
      <c r="AY32" s="114"/>
    </row>
    <row r="33" spans="1:51" ht="20.100000000000001" customHeight="1" x14ac:dyDescent="0.4">
      <c r="A33" s="117"/>
      <c r="B33" s="123"/>
      <c r="C33" s="123"/>
      <c r="D33" s="123">
        <f>SUM(B32:D32)</f>
        <v>112</v>
      </c>
      <c r="F33" s="125"/>
      <c r="J33" s="115"/>
      <c r="K33" s="115" t="s">
        <v>206</v>
      </c>
      <c r="L33" s="13">
        <f>SUBTOTAL(3,L28:L32)</f>
        <v>5</v>
      </c>
      <c r="M33" s="13">
        <f>SUBTOTAL(3,M28:M32)</f>
        <v>5</v>
      </c>
      <c r="S33" s="115"/>
      <c r="T33" s="115"/>
      <c r="U33" s="115"/>
      <c r="V33" s="115"/>
      <c r="W33" s="25"/>
      <c r="X33" s="13"/>
      <c r="AC33" s="116"/>
      <c r="AD33" s="123"/>
      <c r="AE33" s="123"/>
      <c r="AF33" s="123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25"/>
      <c r="AV33" s="13"/>
      <c r="AY33" s="114"/>
    </row>
    <row r="34" spans="1:51" ht="20.100000000000001" customHeight="1" x14ac:dyDescent="0.4">
      <c r="A34" s="117"/>
      <c r="B34" s="123"/>
      <c r="C34" s="123"/>
      <c r="D34" s="123"/>
      <c r="F34" s="125"/>
      <c r="L34" s="25">
        <v>45763</v>
      </c>
      <c r="M34" s="13" t="s">
        <v>147</v>
      </c>
      <c r="Q34" s="115"/>
      <c r="R34" s="115"/>
      <c r="S34" s="115"/>
      <c r="T34" s="115"/>
      <c r="U34" s="115"/>
      <c r="V34" s="115"/>
      <c r="W34" s="25">
        <v>45671</v>
      </c>
      <c r="X34" s="13" t="s">
        <v>148</v>
      </c>
      <c r="AC34" s="116"/>
      <c r="AD34" s="123"/>
      <c r="AE34" s="123"/>
      <c r="AF34" s="123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25"/>
      <c r="AV34" s="13"/>
      <c r="AY34" s="114"/>
    </row>
    <row r="35" spans="1:51" ht="20.100000000000001" customHeight="1" x14ac:dyDescent="0.4">
      <c r="A35" s="117"/>
      <c r="B35" s="123"/>
      <c r="C35" s="123"/>
      <c r="D35" s="123"/>
      <c r="L35" s="25">
        <v>45763</v>
      </c>
      <c r="M35" s="13" t="s">
        <v>147</v>
      </c>
      <c r="Q35" s="115"/>
      <c r="R35" s="115"/>
      <c r="S35" s="115"/>
      <c r="T35" s="115"/>
      <c r="U35" s="115"/>
      <c r="V35" s="115"/>
      <c r="W35" s="25"/>
      <c r="X35" s="13"/>
      <c r="AC35" s="116"/>
      <c r="AD35" s="123"/>
      <c r="AE35" s="123"/>
      <c r="AF35" s="123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25"/>
      <c r="AV35" s="13"/>
      <c r="AY35" s="114"/>
    </row>
    <row r="36" spans="1:51" ht="20.100000000000001" customHeight="1" x14ac:dyDescent="0.4">
      <c r="A36" s="117"/>
      <c r="B36" s="123"/>
      <c r="C36" s="123"/>
      <c r="D36" s="123"/>
      <c r="L36" s="25">
        <v>45763</v>
      </c>
      <c r="M36" s="13" t="s">
        <v>146</v>
      </c>
      <c r="Q36" s="115"/>
      <c r="R36" s="115"/>
      <c r="S36" s="115"/>
      <c r="T36" s="115"/>
      <c r="U36" s="115"/>
      <c r="V36" s="115"/>
      <c r="W36" s="25"/>
      <c r="X36" s="13"/>
      <c r="AC36" s="116"/>
      <c r="AD36" s="123"/>
      <c r="AE36" s="123"/>
      <c r="AF36" s="123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25"/>
      <c r="AV36" s="13"/>
      <c r="AY36" s="114"/>
    </row>
    <row r="37" spans="1:51" ht="20.100000000000001" customHeight="1" x14ac:dyDescent="0.4">
      <c r="A37" s="117"/>
      <c r="B37" s="123"/>
      <c r="C37" s="123"/>
      <c r="D37" s="123"/>
      <c r="L37" s="25">
        <v>45763</v>
      </c>
      <c r="M37" s="13" t="s">
        <v>148</v>
      </c>
      <c r="Q37" s="115"/>
      <c r="R37" s="115"/>
      <c r="S37" s="115"/>
      <c r="T37" s="115"/>
      <c r="U37" s="115"/>
      <c r="V37" s="115"/>
      <c r="W37" s="25"/>
      <c r="X37" s="13"/>
      <c r="AC37" s="116"/>
      <c r="AD37" s="123"/>
      <c r="AE37" s="123"/>
      <c r="AF37" s="123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25"/>
      <c r="AV37" s="13"/>
      <c r="AY37" s="114"/>
    </row>
    <row r="38" spans="1:51" ht="20.100000000000001" customHeight="1" x14ac:dyDescent="0.4">
      <c r="A38" s="117"/>
      <c r="B38" s="123"/>
      <c r="C38" s="123"/>
      <c r="D38" s="123"/>
      <c r="K38" s="115" t="s">
        <v>207</v>
      </c>
      <c r="L38" s="13">
        <f>SUBTOTAL(3,L34:L37)</f>
        <v>4</v>
      </c>
      <c r="M38" s="13">
        <f>SUBTOTAL(3,M34:M37)</f>
        <v>4</v>
      </c>
      <c r="Q38" s="115"/>
      <c r="R38" s="115"/>
      <c r="S38" s="115"/>
      <c r="T38" s="115"/>
      <c r="U38" s="115"/>
      <c r="V38" s="115"/>
      <c r="W38" s="25"/>
      <c r="X38" s="13"/>
      <c r="AC38" s="116"/>
      <c r="AD38" s="123"/>
      <c r="AE38" s="123"/>
      <c r="AF38" s="123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25"/>
      <c r="AV38" s="13"/>
      <c r="AY38" s="114"/>
    </row>
    <row r="39" spans="1:51" ht="20.100000000000001" customHeight="1" x14ac:dyDescent="0.4">
      <c r="A39" s="117"/>
      <c r="B39" s="123"/>
      <c r="C39" s="123"/>
      <c r="D39" s="123"/>
      <c r="J39" s="115"/>
      <c r="K39" s="115"/>
      <c r="L39" s="25">
        <v>45764</v>
      </c>
      <c r="M39" s="13" t="s">
        <v>146</v>
      </c>
      <c r="Q39" s="115"/>
      <c r="R39" s="115"/>
      <c r="S39" s="115"/>
      <c r="T39" s="115"/>
      <c r="U39" s="115"/>
      <c r="V39" s="115"/>
      <c r="W39" s="25"/>
      <c r="X39" s="13"/>
      <c r="AC39" s="116"/>
      <c r="AD39" s="123"/>
      <c r="AE39" s="123"/>
      <c r="AF39" s="123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25"/>
      <c r="AV39" s="13"/>
      <c r="AY39" s="114"/>
    </row>
    <row r="40" spans="1:51" ht="20.100000000000001" customHeight="1" x14ac:dyDescent="0.4">
      <c r="A40" s="117"/>
      <c r="B40" s="123"/>
      <c r="C40" s="123"/>
      <c r="D40" s="123"/>
      <c r="I40" s="115"/>
      <c r="J40" s="115"/>
      <c r="K40" s="115"/>
      <c r="L40" s="25">
        <v>45764</v>
      </c>
      <c r="M40" s="13" t="s">
        <v>146</v>
      </c>
      <c r="Q40" s="115"/>
      <c r="R40" s="115"/>
      <c r="S40" s="115"/>
      <c r="T40" s="115"/>
      <c r="U40" s="115"/>
      <c r="V40" s="115"/>
      <c r="W40" s="25"/>
      <c r="X40" s="13"/>
      <c r="AC40" s="116"/>
      <c r="AD40" s="123"/>
      <c r="AE40" s="123"/>
      <c r="AF40" s="123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25"/>
      <c r="AV40" s="13"/>
      <c r="AY40" s="114"/>
    </row>
    <row r="41" spans="1:51" ht="20.100000000000001" customHeight="1" x14ac:dyDescent="0.4">
      <c r="A41" s="117"/>
      <c r="B41" s="123"/>
      <c r="C41" s="123"/>
      <c r="D41" s="123"/>
      <c r="I41" s="115"/>
      <c r="J41" s="115"/>
      <c r="K41" s="115"/>
      <c r="L41" s="25">
        <v>45764</v>
      </c>
      <c r="M41" s="13" t="s">
        <v>147</v>
      </c>
      <c r="Q41" s="115"/>
      <c r="R41" s="115"/>
      <c r="S41" s="115"/>
      <c r="T41" s="115"/>
      <c r="U41" s="115"/>
      <c r="V41" s="115"/>
      <c r="W41" s="25"/>
      <c r="X41" s="13"/>
      <c r="AC41" s="116"/>
      <c r="AD41" s="123"/>
      <c r="AE41" s="123"/>
      <c r="AF41" s="123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25"/>
      <c r="AV41" s="13"/>
      <c r="AY41" s="114"/>
    </row>
    <row r="42" spans="1:51" ht="20.100000000000001" customHeight="1" x14ac:dyDescent="0.4">
      <c r="A42" s="117"/>
      <c r="B42" s="123"/>
      <c r="C42" s="123"/>
      <c r="D42" s="123"/>
      <c r="H42" s="115"/>
      <c r="I42" s="115"/>
      <c r="J42" s="115"/>
      <c r="K42" s="115"/>
      <c r="L42" s="25">
        <v>45764</v>
      </c>
      <c r="M42" s="13" t="s">
        <v>147</v>
      </c>
      <c r="Q42" s="115"/>
      <c r="R42" s="115"/>
      <c r="S42" s="115"/>
      <c r="T42" s="115"/>
      <c r="U42" s="115"/>
      <c r="V42" s="115"/>
      <c r="W42" s="25"/>
      <c r="X42" s="13"/>
      <c r="AC42" s="116"/>
      <c r="AD42" s="123"/>
      <c r="AE42" s="123"/>
      <c r="AF42" s="123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25"/>
      <c r="AV42" s="13"/>
      <c r="AY42" s="114"/>
    </row>
    <row r="43" spans="1:51" ht="20.100000000000001" customHeight="1" x14ac:dyDescent="0.4">
      <c r="A43" s="117"/>
      <c r="B43" s="123"/>
      <c r="C43" s="123"/>
      <c r="D43" s="123"/>
      <c r="L43" s="25">
        <v>45764</v>
      </c>
      <c r="M43" s="13" t="s">
        <v>147</v>
      </c>
      <c r="Q43" s="115"/>
      <c r="R43" s="115"/>
      <c r="S43" s="115"/>
      <c r="T43" s="115"/>
      <c r="U43" s="115"/>
      <c r="V43" s="115"/>
      <c r="W43" s="25">
        <v>45672</v>
      </c>
      <c r="X43" s="13" t="s">
        <v>146</v>
      </c>
      <c r="AC43" s="116"/>
      <c r="AD43" s="123"/>
      <c r="AE43" s="123"/>
      <c r="AF43" s="123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25"/>
      <c r="AV43" s="13"/>
      <c r="AY43" s="114"/>
    </row>
    <row r="44" spans="1:51" ht="20.100000000000001" customHeight="1" x14ac:dyDescent="0.4">
      <c r="A44" s="117"/>
      <c r="B44" s="123"/>
      <c r="C44" s="123"/>
      <c r="D44" s="123"/>
      <c r="L44" s="25">
        <v>45764</v>
      </c>
      <c r="M44" s="13" t="s">
        <v>147</v>
      </c>
      <c r="Q44" s="115"/>
      <c r="R44" s="115"/>
      <c r="S44" s="115"/>
      <c r="T44" s="115"/>
      <c r="U44" s="115"/>
      <c r="V44" s="115"/>
      <c r="W44" s="25">
        <v>45672</v>
      </c>
      <c r="X44" s="13" t="s">
        <v>146</v>
      </c>
      <c r="AC44" s="116"/>
      <c r="AD44" s="123"/>
      <c r="AE44" s="123"/>
      <c r="AF44" s="123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25"/>
      <c r="AV44" s="13"/>
      <c r="AY44" s="114"/>
    </row>
    <row r="45" spans="1:51" ht="20.100000000000001" customHeight="1" x14ac:dyDescent="0.4">
      <c r="A45" s="117"/>
      <c r="B45" s="123"/>
      <c r="C45" s="123"/>
      <c r="D45" s="123"/>
      <c r="L45" s="25">
        <v>45764</v>
      </c>
      <c r="M45" s="13" t="s">
        <v>147</v>
      </c>
      <c r="Q45" s="115"/>
      <c r="R45" s="115"/>
      <c r="S45" s="115"/>
      <c r="T45" s="115"/>
      <c r="U45" s="115"/>
      <c r="V45" s="115"/>
      <c r="W45" s="25"/>
      <c r="X45" s="13"/>
      <c r="AC45" s="116"/>
      <c r="AD45" s="123"/>
      <c r="AE45" s="123"/>
      <c r="AF45" s="123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25"/>
      <c r="AV45" s="13"/>
      <c r="AY45" s="114"/>
    </row>
    <row r="46" spans="1:51" ht="20.100000000000001" customHeight="1" x14ac:dyDescent="0.4">
      <c r="A46" s="117"/>
      <c r="B46" s="123"/>
      <c r="C46" s="123"/>
      <c r="D46" s="123"/>
      <c r="L46" s="25">
        <v>45764</v>
      </c>
      <c r="M46" s="13" t="s">
        <v>142</v>
      </c>
      <c r="Q46" s="115"/>
      <c r="R46" s="115"/>
      <c r="S46" s="115"/>
      <c r="T46" s="115"/>
      <c r="U46" s="115"/>
      <c r="V46" s="115"/>
      <c r="W46" s="25">
        <v>45672</v>
      </c>
      <c r="X46" s="25" t="s">
        <v>147</v>
      </c>
      <c r="AC46" s="116"/>
      <c r="AD46" s="123"/>
      <c r="AE46" s="123"/>
      <c r="AF46" s="123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25"/>
      <c r="AV46" s="13"/>
      <c r="AY46" s="114"/>
    </row>
    <row r="47" spans="1:51" ht="20.100000000000001" customHeight="1" x14ac:dyDescent="0.4">
      <c r="A47" s="117"/>
      <c r="B47" s="123"/>
      <c r="C47" s="123"/>
      <c r="D47" s="123"/>
      <c r="L47" s="25">
        <v>45764</v>
      </c>
      <c r="M47" s="13" t="s">
        <v>147</v>
      </c>
      <c r="Q47" s="115"/>
      <c r="R47" s="115"/>
      <c r="S47" s="115"/>
      <c r="T47" s="115"/>
      <c r="U47" s="115"/>
      <c r="V47" s="115"/>
      <c r="W47" s="25"/>
      <c r="X47" s="25"/>
      <c r="AC47" s="116"/>
      <c r="AD47" s="123"/>
      <c r="AE47" s="123"/>
      <c r="AF47" s="123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25"/>
      <c r="AV47" s="13"/>
      <c r="AY47" s="114"/>
    </row>
    <row r="48" spans="1:51" ht="20.100000000000001" customHeight="1" x14ac:dyDescent="0.4">
      <c r="A48" s="117"/>
      <c r="B48" s="123"/>
      <c r="C48" s="123"/>
      <c r="D48" s="123"/>
      <c r="L48" s="25">
        <v>45764</v>
      </c>
      <c r="M48" s="13" t="s">
        <v>146</v>
      </c>
      <c r="Q48" s="115"/>
      <c r="R48" s="115"/>
      <c r="S48" s="115"/>
      <c r="T48" s="115"/>
      <c r="U48" s="115"/>
      <c r="V48" s="115"/>
      <c r="W48" s="25">
        <v>45673</v>
      </c>
      <c r="X48" s="13" t="s">
        <v>147</v>
      </c>
      <c r="AC48" s="116"/>
      <c r="AD48" s="123"/>
      <c r="AE48" s="123"/>
      <c r="AF48" s="123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25"/>
      <c r="AV48" s="13"/>
      <c r="AY48" s="114"/>
    </row>
    <row r="49" spans="1:51" ht="20.100000000000001" customHeight="1" x14ac:dyDescent="0.4">
      <c r="A49" s="117"/>
      <c r="B49" s="123"/>
      <c r="C49" s="123"/>
      <c r="D49" s="123"/>
      <c r="I49" s="115"/>
      <c r="J49" s="115"/>
      <c r="K49" s="115"/>
      <c r="L49" s="25">
        <v>45764</v>
      </c>
      <c r="M49" s="13" t="s">
        <v>146</v>
      </c>
      <c r="Q49" s="115"/>
      <c r="R49" s="115"/>
      <c r="S49" s="115"/>
      <c r="T49" s="115"/>
      <c r="U49" s="115"/>
      <c r="V49" s="115"/>
      <c r="W49" s="25"/>
      <c r="X49" s="13"/>
      <c r="AC49" s="116"/>
      <c r="AD49" s="123"/>
      <c r="AE49" s="123"/>
      <c r="AF49" s="123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25"/>
      <c r="AV49" s="13"/>
      <c r="AY49" s="114"/>
    </row>
    <row r="50" spans="1:51" ht="20.100000000000001" customHeight="1" x14ac:dyDescent="0.4">
      <c r="A50" s="117"/>
      <c r="B50" s="123"/>
      <c r="C50" s="123"/>
      <c r="D50" s="123"/>
      <c r="L50" s="25">
        <v>45764</v>
      </c>
      <c r="M50" s="13" t="s">
        <v>146</v>
      </c>
      <c r="Q50" s="115"/>
      <c r="R50" s="115"/>
      <c r="S50" s="115"/>
      <c r="T50" s="115"/>
      <c r="U50" s="115"/>
      <c r="V50" s="115"/>
      <c r="W50" s="25">
        <v>45673</v>
      </c>
      <c r="X50" s="13" t="s">
        <v>147</v>
      </c>
      <c r="AC50" s="116"/>
      <c r="AD50" s="123"/>
      <c r="AE50" s="123"/>
      <c r="AF50" s="123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25"/>
      <c r="AV50" s="13"/>
      <c r="AY50" s="114"/>
    </row>
    <row r="51" spans="1:51" ht="20.100000000000001" customHeight="1" x14ac:dyDescent="0.4">
      <c r="A51" s="117"/>
      <c r="B51" s="123"/>
      <c r="C51" s="123"/>
      <c r="D51" s="123"/>
      <c r="G51" s="115"/>
      <c r="H51" s="115"/>
      <c r="I51" s="115"/>
      <c r="J51" s="115"/>
      <c r="K51" s="115"/>
      <c r="L51" s="25">
        <v>45764</v>
      </c>
      <c r="M51" s="15" t="s">
        <v>147</v>
      </c>
      <c r="Q51" s="115"/>
      <c r="R51" s="115"/>
      <c r="S51" s="115"/>
      <c r="T51" s="115"/>
      <c r="U51" s="115"/>
      <c r="V51" s="115"/>
      <c r="W51" s="25"/>
      <c r="X51" s="13"/>
      <c r="AC51" s="116"/>
      <c r="AD51" s="123"/>
      <c r="AE51" s="123"/>
      <c r="AF51" s="123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25"/>
      <c r="AV51" s="13"/>
      <c r="AY51" s="114"/>
    </row>
    <row r="52" spans="1:51" ht="20.100000000000001" customHeight="1" x14ac:dyDescent="0.4">
      <c r="A52" s="117"/>
      <c r="B52" s="123"/>
      <c r="C52" s="123"/>
      <c r="D52" s="123"/>
      <c r="G52" s="115"/>
      <c r="H52" s="115"/>
      <c r="I52" s="115"/>
      <c r="J52" s="115"/>
      <c r="K52" s="115" t="s">
        <v>331</v>
      </c>
      <c r="L52" s="13">
        <f>SUBTOTAL(3,L39:L51)</f>
        <v>13</v>
      </c>
      <c r="M52" s="15">
        <f>SUBTOTAL(3,M39:M51)</f>
        <v>13</v>
      </c>
      <c r="Q52" s="115"/>
      <c r="R52" s="115"/>
      <c r="S52" s="115"/>
      <c r="T52" s="115"/>
      <c r="U52" s="115"/>
      <c r="V52" s="115"/>
      <c r="W52" s="25"/>
      <c r="X52" s="13"/>
      <c r="AC52" s="116"/>
      <c r="AD52" s="123"/>
      <c r="AE52" s="123"/>
      <c r="AF52" s="123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25"/>
      <c r="AV52" s="13"/>
      <c r="AY52" s="114"/>
    </row>
    <row r="53" spans="1:51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25">
        <v>45765</v>
      </c>
      <c r="M53" s="15" t="s">
        <v>148</v>
      </c>
      <c r="Q53" s="115"/>
      <c r="R53" s="115"/>
      <c r="S53" s="115"/>
      <c r="T53" s="115"/>
      <c r="U53" s="115"/>
      <c r="V53" s="115"/>
      <c r="W53" s="25"/>
      <c r="X53" s="13"/>
      <c r="AC53" s="116"/>
      <c r="AD53" s="123"/>
      <c r="AE53" s="123"/>
      <c r="AF53" s="123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25"/>
      <c r="AV53" s="13"/>
      <c r="AY53" s="114"/>
    </row>
    <row r="54" spans="1:51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25">
        <v>45765</v>
      </c>
      <c r="M54" s="15" t="s">
        <v>148</v>
      </c>
      <c r="Q54" s="115"/>
      <c r="R54" s="115"/>
      <c r="S54" s="115"/>
      <c r="T54" s="115"/>
      <c r="U54" s="115"/>
      <c r="V54" s="115"/>
      <c r="W54" s="25"/>
      <c r="X54" s="13"/>
      <c r="AC54" s="116"/>
      <c r="AD54" s="123"/>
      <c r="AE54" s="123"/>
      <c r="AF54" s="123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25"/>
      <c r="AV54" s="13"/>
      <c r="AY54" s="114"/>
    </row>
    <row r="55" spans="1:51" ht="20.100000000000001" customHeight="1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25">
        <v>45765</v>
      </c>
      <c r="M55" s="15" t="s">
        <v>148</v>
      </c>
      <c r="Q55" s="115"/>
      <c r="R55" s="115"/>
      <c r="S55" s="115"/>
      <c r="T55" s="115"/>
      <c r="U55" s="115"/>
      <c r="V55" s="115"/>
      <c r="W55" s="25"/>
      <c r="X55" s="13"/>
      <c r="AC55" s="116"/>
      <c r="AD55" s="123"/>
      <c r="AE55" s="123"/>
      <c r="AF55" s="123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25"/>
      <c r="AV55" s="13"/>
      <c r="AY55" s="114"/>
    </row>
    <row r="56" spans="1:51" ht="20.100000000000001" customHeight="1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25">
        <v>45765</v>
      </c>
      <c r="M56" s="15" t="s">
        <v>146</v>
      </c>
      <c r="Q56" s="115"/>
      <c r="R56" s="115"/>
      <c r="S56" s="115"/>
      <c r="T56" s="115"/>
      <c r="U56" s="115"/>
      <c r="V56" s="115"/>
      <c r="W56" s="25"/>
      <c r="X56" s="13"/>
      <c r="AC56" s="116"/>
      <c r="AD56" s="123"/>
      <c r="AE56" s="123"/>
      <c r="AF56" s="123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25"/>
      <c r="AV56" s="13"/>
      <c r="AY56" s="114"/>
    </row>
    <row r="57" spans="1:51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25">
        <v>45765</v>
      </c>
      <c r="M57" s="15" t="s">
        <v>147</v>
      </c>
      <c r="Q57" s="115"/>
      <c r="R57" s="115"/>
      <c r="S57" s="115"/>
      <c r="T57" s="115"/>
      <c r="U57" s="115"/>
      <c r="V57" s="115"/>
      <c r="W57" s="25"/>
      <c r="X57" s="13"/>
      <c r="AC57" s="116"/>
      <c r="AD57" s="123"/>
      <c r="AE57" s="123"/>
      <c r="AF57" s="123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25"/>
      <c r="AV57" s="13"/>
      <c r="AY57" s="114"/>
    </row>
    <row r="58" spans="1:51" ht="20.100000000000001" customHeight="1" x14ac:dyDescent="0.4">
      <c r="A58" s="117"/>
      <c r="B58" s="123"/>
      <c r="C58" s="123"/>
      <c r="D58" s="123"/>
      <c r="L58" s="25">
        <v>45765</v>
      </c>
      <c r="M58" s="15" t="s">
        <v>146</v>
      </c>
      <c r="O58" s="115"/>
      <c r="P58" s="115"/>
      <c r="Q58" s="115"/>
      <c r="R58" s="115"/>
      <c r="S58" s="115"/>
      <c r="T58" s="115"/>
      <c r="U58" s="115"/>
      <c r="V58" s="115"/>
      <c r="W58" s="25">
        <v>45673</v>
      </c>
      <c r="X58" s="13" t="s">
        <v>148</v>
      </c>
      <c r="AC58" s="116"/>
      <c r="AD58" s="123"/>
      <c r="AE58" s="123"/>
      <c r="AF58" s="123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25"/>
      <c r="AV58" s="13"/>
      <c r="AY58" s="114"/>
    </row>
    <row r="59" spans="1:51" ht="20.100000000000001" customHeight="1" x14ac:dyDescent="0.4">
      <c r="A59" s="117"/>
      <c r="B59" s="123"/>
      <c r="C59" s="123"/>
      <c r="D59" s="123"/>
      <c r="K59" s="115" t="s">
        <v>332</v>
      </c>
      <c r="L59" s="13">
        <f>SUBTOTAL(3,L53:L58)</f>
        <v>6</v>
      </c>
      <c r="M59" s="15">
        <f>SUBTOTAL(3,M53:M58)</f>
        <v>6</v>
      </c>
      <c r="O59" s="115"/>
      <c r="P59" s="115"/>
      <c r="Q59" s="115"/>
      <c r="R59" s="115"/>
      <c r="S59" s="115"/>
      <c r="T59" s="115"/>
      <c r="U59" s="115"/>
      <c r="V59" s="115"/>
      <c r="W59" s="25"/>
      <c r="X59" s="13"/>
      <c r="AC59" s="116"/>
      <c r="AD59" s="123"/>
      <c r="AE59" s="123"/>
      <c r="AF59" s="123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25"/>
      <c r="AV59" s="13"/>
      <c r="AY59" s="114"/>
    </row>
    <row r="60" spans="1:51" ht="20.100000000000001" customHeight="1" x14ac:dyDescent="0.4">
      <c r="A60" s="117"/>
      <c r="B60" s="123"/>
      <c r="C60" s="123"/>
      <c r="D60" s="123"/>
      <c r="I60" s="115"/>
      <c r="J60" s="115"/>
      <c r="K60" s="115"/>
      <c r="L60" s="25">
        <v>45766</v>
      </c>
      <c r="M60" s="105" t="s">
        <v>148</v>
      </c>
      <c r="O60" s="115"/>
      <c r="P60" s="115"/>
      <c r="Q60" s="115"/>
      <c r="R60" s="115"/>
      <c r="S60" s="115"/>
      <c r="T60" s="115"/>
      <c r="U60" s="115"/>
      <c r="V60" s="115"/>
      <c r="W60" s="25"/>
      <c r="X60" s="13"/>
      <c r="AC60" s="116"/>
      <c r="AD60" s="123"/>
      <c r="AE60" s="123"/>
      <c r="AF60" s="123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25"/>
      <c r="AV60" s="13"/>
      <c r="AY60" s="114"/>
    </row>
    <row r="61" spans="1:51" ht="20.100000000000001" customHeight="1" x14ac:dyDescent="0.4">
      <c r="A61" s="117"/>
      <c r="B61" s="123"/>
      <c r="C61" s="123"/>
      <c r="D61" s="123"/>
      <c r="I61" s="115"/>
      <c r="J61" s="115"/>
      <c r="K61" s="115" t="s">
        <v>333</v>
      </c>
      <c r="L61" s="13">
        <f>SUBTOTAL(3,L60:L60)</f>
        <v>1</v>
      </c>
      <c r="M61" s="13">
        <f>SUBTOTAL(3,M60:M60)</f>
        <v>1</v>
      </c>
      <c r="O61" s="115"/>
      <c r="P61" s="115"/>
      <c r="Q61" s="115"/>
      <c r="R61" s="115"/>
      <c r="S61" s="115"/>
      <c r="T61" s="115"/>
      <c r="U61" s="115"/>
      <c r="V61" s="115"/>
      <c r="W61" s="25"/>
      <c r="X61" s="13"/>
      <c r="AC61" s="116"/>
      <c r="AD61" s="123"/>
      <c r="AE61" s="123"/>
      <c r="AF61" s="123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25"/>
      <c r="AV61" s="13"/>
      <c r="AY61" s="114"/>
    </row>
    <row r="62" spans="1:51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25">
        <v>45767</v>
      </c>
      <c r="M62" s="13" t="s">
        <v>146</v>
      </c>
      <c r="O62" s="115"/>
      <c r="P62" s="115"/>
      <c r="Q62" s="115"/>
      <c r="R62" s="115"/>
      <c r="S62" s="115"/>
      <c r="T62" s="115"/>
      <c r="U62" s="115"/>
      <c r="V62" s="115"/>
      <c r="W62" s="25"/>
      <c r="X62" s="13"/>
      <c r="AC62" s="116"/>
      <c r="AD62" s="123"/>
      <c r="AE62" s="123"/>
      <c r="AF62" s="123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25"/>
      <c r="AV62" s="13"/>
      <c r="AY62" s="114"/>
    </row>
    <row r="63" spans="1:51" ht="20.100000000000001" customHeight="1" x14ac:dyDescent="0.4">
      <c r="A63" s="117"/>
      <c r="B63" s="123"/>
      <c r="C63" s="123"/>
      <c r="D63" s="123"/>
      <c r="L63" s="25">
        <v>45767</v>
      </c>
      <c r="M63" s="13" t="s">
        <v>147</v>
      </c>
      <c r="O63" s="115"/>
      <c r="P63" s="115"/>
      <c r="Q63" s="115"/>
      <c r="R63" s="115"/>
      <c r="S63" s="115"/>
      <c r="T63" s="115"/>
      <c r="U63" s="115"/>
      <c r="V63" s="115"/>
      <c r="W63" s="25">
        <v>45673</v>
      </c>
      <c r="X63" s="13" t="s">
        <v>147</v>
      </c>
      <c r="AC63" s="116"/>
      <c r="AD63" s="123"/>
      <c r="AE63" s="123"/>
      <c r="AF63" s="123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25"/>
      <c r="AV63" s="13"/>
      <c r="AY63" s="114"/>
    </row>
    <row r="64" spans="1:51" ht="20.100000000000001" customHeight="1" x14ac:dyDescent="0.4">
      <c r="A64" s="117"/>
      <c r="B64" s="123"/>
      <c r="C64" s="123"/>
      <c r="D64" s="123"/>
      <c r="L64" s="25">
        <v>45767</v>
      </c>
      <c r="M64" s="13" t="s">
        <v>146</v>
      </c>
      <c r="O64" s="115"/>
      <c r="P64" s="115"/>
      <c r="Q64" s="115"/>
      <c r="R64" s="115"/>
      <c r="S64" s="115"/>
      <c r="T64" s="115"/>
      <c r="U64" s="115"/>
      <c r="V64" s="115"/>
      <c r="W64" s="25"/>
      <c r="X64" s="13"/>
      <c r="AC64" s="116"/>
      <c r="AD64" s="123"/>
      <c r="AE64" s="123"/>
      <c r="AF64" s="123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25"/>
      <c r="AV64" s="13"/>
      <c r="AY64" s="114"/>
    </row>
    <row r="65" spans="1:51" ht="20.100000000000001" customHeight="1" x14ac:dyDescent="0.4">
      <c r="A65" s="117"/>
      <c r="B65" s="123"/>
      <c r="C65" s="123"/>
      <c r="D65" s="123"/>
      <c r="K65" s="115" t="s">
        <v>334</v>
      </c>
      <c r="L65" s="13">
        <f>SUBTOTAL(3,L62:L64)</f>
        <v>3</v>
      </c>
      <c r="M65" s="13">
        <f>SUBTOTAL(3,M62:M64)</f>
        <v>3</v>
      </c>
      <c r="O65" s="115"/>
      <c r="P65" s="115"/>
      <c r="Q65" s="115"/>
      <c r="R65" s="115"/>
      <c r="S65" s="115"/>
      <c r="T65" s="115"/>
      <c r="U65" s="115"/>
      <c r="V65" s="115"/>
      <c r="W65" s="25"/>
      <c r="X65" s="13"/>
      <c r="AC65" s="116"/>
      <c r="AD65" s="123"/>
      <c r="AE65" s="123"/>
      <c r="AF65" s="123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25"/>
      <c r="AV65" s="13"/>
      <c r="AY65" s="114"/>
    </row>
    <row r="66" spans="1:51" ht="20.100000000000001" customHeight="1" x14ac:dyDescent="0.4">
      <c r="A66" s="117"/>
      <c r="B66" s="123"/>
      <c r="C66" s="123"/>
      <c r="D66" s="123"/>
      <c r="H66" s="115"/>
      <c r="I66" s="115"/>
      <c r="J66" s="115"/>
      <c r="K66" s="115"/>
      <c r="L66" s="25">
        <v>45768</v>
      </c>
      <c r="M66" s="13" t="s">
        <v>146</v>
      </c>
      <c r="O66" s="115"/>
      <c r="P66" s="115"/>
      <c r="Q66" s="115"/>
      <c r="R66" s="115"/>
      <c r="S66" s="115"/>
      <c r="T66" s="115"/>
      <c r="U66" s="115"/>
      <c r="V66" s="115"/>
      <c r="W66" s="25"/>
      <c r="X66" s="13"/>
      <c r="AC66" s="116"/>
      <c r="AD66" s="123"/>
      <c r="AE66" s="123"/>
      <c r="AF66" s="123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25"/>
      <c r="AV66" s="13"/>
      <c r="AY66" s="114"/>
    </row>
    <row r="67" spans="1:51" ht="20.100000000000001" customHeight="1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25">
        <v>45768</v>
      </c>
      <c r="M67" s="13" t="s">
        <v>146</v>
      </c>
      <c r="O67" s="115"/>
      <c r="P67" s="115"/>
      <c r="Q67" s="115"/>
      <c r="R67" s="115"/>
      <c r="S67" s="115"/>
      <c r="T67" s="115"/>
      <c r="U67" s="115"/>
      <c r="V67" s="115"/>
      <c r="W67" s="25"/>
      <c r="X67" s="13"/>
      <c r="AC67" s="116"/>
      <c r="AD67" s="123"/>
      <c r="AE67" s="123"/>
      <c r="AF67" s="123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25"/>
      <c r="AV67" s="13"/>
      <c r="AY67" s="114"/>
    </row>
    <row r="68" spans="1:51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25">
        <v>45768</v>
      </c>
      <c r="M68" s="13" t="s">
        <v>146</v>
      </c>
      <c r="O68" s="115"/>
      <c r="P68" s="115"/>
      <c r="Q68" s="115"/>
      <c r="R68" s="115"/>
      <c r="S68" s="115"/>
      <c r="T68" s="115"/>
      <c r="U68" s="115"/>
      <c r="V68" s="115"/>
      <c r="W68" s="25"/>
      <c r="X68" s="13"/>
      <c r="AC68" s="116"/>
      <c r="AD68" s="123"/>
      <c r="AE68" s="123"/>
      <c r="AF68" s="123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25"/>
      <c r="AV68" s="13"/>
      <c r="AY68" s="114"/>
    </row>
    <row r="69" spans="1:51" ht="20.100000000000001" customHeight="1" x14ac:dyDescent="0.4">
      <c r="A69" s="117"/>
      <c r="B69" s="123"/>
      <c r="C69" s="123"/>
      <c r="D69" s="123"/>
      <c r="L69" s="25">
        <v>45768</v>
      </c>
      <c r="M69" s="13" t="s">
        <v>146</v>
      </c>
      <c r="O69" s="115"/>
      <c r="P69" s="115"/>
      <c r="Q69" s="115"/>
      <c r="R69" s="115"/>
      <c r="S69" s="115"/>
      <c r="T69" s="115"/>
      <c r="U69" s="115"/>
      <c r="V69" s="115"/>
      <c r="W69" s="25">
        <v>45673</v>
      </c>
      <c r="X69" s="13" t="s">
        <v>147</v>
      </c>
      <c r="AC69" s="116"/>
      <c r="AD69" s="123"/>
      <c r="AE69" s="123"/>
      <c r="AF69" s="123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25"/>
      <c r="AV69" s="13"/>
      <c r="AY69" s="114"/>
    </row>
    <row r="70" spans="1:51" ht="20.100000000000001" customHeight="1" x14ac:dyDescent="0.4">
      <c r="A70" s="117"/>
      <c r="B70" s="123"/>
      <c r="C70" s="123"/>
      <c r="D70" s="123"/>
      <c r="L70" s="25">
        <v>45768</v>
      </c>
      <c r="M70" s="13" t="s">
        <v>146</v>
      </c>
      <c r="O70" s="115"/>
      <c r="P70" s="115"/>
      <c r="Q70" s="115"/>
      <c r="R70" s="115"/>
      <c r="S70" s="115"/>
      <c r="T70" s="115"/>
      <c r="U70" s="115"/>
      <c r="V70" s="115"/>
      <c r="W70" s="25">
        <v>45673</v>
      </c>
      <c r="X70" s="13" t="s">
        <v>147</v>
      </c>
      <c r="AC70" s="116"/>
      <c r="AD70" s="123"/>
      <c r="AE70" s="123"/>
      <c r="AF70" s="123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25"/>
      <c r="AV70" s="13"/>
      <c r="AY70" s="114"/>
    </row>
    <row r="71" spans="1:51" ht="20.100000000000001" customHeight="1" x14ac:dyDescent="0.4">
      <c r="A71" s="117"/>
      <c r="B71" s="123"/>
      <c r="C71" s="123"/>
      <c r="D71" s="123"/>
      <c r="L71" s="25">
        <v>45768</v>
      </c>
      <c r="M71" s="13" t="s">
        <v>146</v>
      </c>
      <c r="O71" s="115"/>
      <c r="P71" s="115"/>
      <c r="Q71" s="115"/>
      <c r="R71" s="115"/>
      <c r="S71" s="115"/>
      <c r="T71" s="115"/>
      <c r="U71" s="115"/>
      <c r="V71" s="115"/>
      <c r="W71" s="25">
        <v>45675</v>
      </c>
      <c r="X71" s="13" t="s">
        <v>147</v>
      </c>
      <c r="AC71" s="116"/>
      <c r="AD71" s="123"/>
      <c r="AE71" s="123"/>
      <c r="AF71" s="123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25"/>
      <c r="AV71" s="13"/>
      <c r="AY71" s="114"/>
    </row>
    <row r="72" spans="1:51" ht="20.100000000000001" customHeight="1" x14ac:dyDescent="0.4">
      <c r="A72" s="117"/>
      <c r="B72" s="123"/>
      <c r="C72" s="123"/>
      <c r="D72" s="123"/>
      <c r="L72" s="25">
        <v>45768</v>
      </c>
      <c r="M72" s="13" t="s">
        <v>146</v>
      </c>
      <c r="O72" s="115"/>
      <c r="P72" s="115"/>
      <c r="Q72" s="115"/>
      <c r="R72" s="115"/>
      <c r="S72" s="115"/>
      <c r="T72" s="115"/>
      <c r="U72" s="115"/>
      <c r="V72" s="115"/>
      <c r="W72" s="25"/>
      <c r="X72" s="13"/>
      <c r="AC72" s="116"/>
      <c r="AD72" s="123"/>
      <c r="AE72" s="123"/>
      <c r="AF72" s="123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25"/>
      <c r="AV72" s="13"/>
      <c r="AY72" s="114"/>
    </row>
    <row r="73" spans="1:51" ht="20.100000000000001" customHeight="1" x14ac:dyDescent="0.4">
      <c r="A73" s="117"/>
      <c r="B73" s="123"/>
      <c r="C73" s="123"/>
      <c r="D73" s="123"/>
      <c r="L73" s="25">
        <v>45768</v>
      </c>
      <c r="M73" s="13" t="s">
        <v>146</v>
      </c>
      <c r="O73" s="115"/>
      <c r="P73" s="115"/>
      <c r="Q73" s="115"/>
      <c r="R73" s="115"/>
      <c r="S73" s="115"/>
      <c r="T73" s="115"/>
      <c r="U73" s="115"/>
      <c r="V73" s="115"/>
      <c r="W73" s="25">
        <v>45675</v>
      </c>
      <c r="X73" s="15" t="s">
        <v>147</v>
      </c>
      <c r="AC73" s="116"/>
      <c r="AD73" s="123"/>
      <c r="AE73" s="123"/>
      <c r="AF73" s="123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25"/>
      <c r="AV73" s="13"/>
      <c r="AY73" s="114"/>
    </row>
    <row r="74" spans="1:51" ht="20.100000000000001" customHeight="1" x14ac:dyDescent="0.4">
      <c r="A74" s="117"/>
      <c r="B74" s="123"/>
      <c r="C74" s="123"/>
      <c r="D74" s="123"/>
      <c r="L74" s="25">
        <v>45768</v>
      </c>
      <c r="M74" s="13" t="s">
        <v>146</v>
      </c>
      <c r="O74" s="115"/>
      <c r="P74" s="115"/>
      <c r="Q74" s="115"/>
      <c r="R74" s="115"/>
      <c r="S74" s="115"/>
      <c r="T74" s="115"/>
      <c r="U74" s="115"/>
      <c r="V74" s="115"/>
      <c r="W74" s="25"/>
      <c r="X74" s="13"/>
      <c r="AC74" s="116"/>
      <c r="AD74" s="123"/>
      <c r="AE74" s="123"/>
      <c r="AF74" s="123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25"/>
      <c r="AV74" s="13"/>
      <c r="AY74" s="114"/>
    </row>
    <row r="75" spans="1:51" ht="20.100000000000001" customHeight="1" x14ac:dyDescent="0.4">
      <c r="A75" s="117"/>
      <c r="B75" s="123"/>
      <c r="C75" s="123"/>
      <c r="D75" s="123"/>
      <c r="L75" s="25">
        <v>45768</v>
      </c>
      <c r="M75" s="13" t="s">
        <v>146</v>
      </c>
      <c r="O75" s="115"/>
      <c r="P75" s="115"/>
      <c r="Q75" s="115"/>
      <c r="R75" s="115"/>
      <c r="S75" s="115"/>
      <c r="T75" s="115"/>
      <c r="U75" s="115"/>
      <c r="V75" s="115"/>
      <c r="W75" s="25">
        <v>45675</v>
      </c>
      <c r="X75" s="13" t="s">
        <v>147</v>
      </c>
      <c r="AC75" s="116"/>
      <c r="AD75" s="123"/>
      <c r="AE75" s="123"/>
      <c r="AF75" s="123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25"/>
      <c r="AV75" s="13"/>
      <c r="AY75" s="114"/>
    </row>
    <row r="76" spans="1:51" ht="20.100000000000001" customHeight="1" x14ac:dyDescent="0.4">
      <c r="A76" s="117"/>
      <c r="B76" s="123"/>
      <c r="C76" s="123"/>
      <c r="D76" s="123"/>
      <c r="K76" s="115" t="s">
        <v>208</v>
      </c>
      <c r="L76" s="13">
        <f>SUBTOTAL(3,L66:L75)</f>
        <v>10</v>
      </c>
      <c r="M76" s="13">
        <f>SUBTOTAL(3,M66:M75)</f>
        <v>10</v>
      </c>
      <c r="O76" s="115"/>
      <c r="P76" s="115"/>
      <c r="Q76" s="115"/>
      <c r="R76" s="115"/>
      <c r="S76" s="115"/>
      <c r="T76" s="115"/>
      <c r="U76" s="115"/>
      <c r="V76" s="115"/>
      <c r="W76" s="25"/>
      <c r="X76" s="13"/>
      <c r="AC76" s="116"/>
      <c r="AD76" s="123"/>
      <c r="AE76" s="123"/>
      <c r="AF76" s="123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25"/>
      <c r="AV76" s="13"/>
      <c r="AY76" s="114"/>
    </row>
    <row r="77" spans="1:51" ht="20.100000000000001" customHeight="1" x14ac:dyDescent="0.4">
      <c r="A77" s="117"/>
      <c r="B77" s="123"/>
      <c r="C77" s="123"/>
      <c r="D77" s="123"/>
      <c r="L77" s="25">
        <v>45769</v>
      </c>
      <c r="M77" s="13" t="s">
        <v>147</v>
      </c>
      <c r="O77" s="115"/>
      <c r="P77" s="115"/>
      <c r="Q77" s="115"/>
      <c r="R77" s="115"/>
      <c r="S77" s="115"/>
      <c r="T77" s="115"/>
      <c r="U77" s="115"/>
      <c r="V77" s="115"/>
      <c r="W77" s="25"/>
      <c r="X77" s="13"/>
      <c r="AC77" s="116"/>
      <c r="AD77" s="123"/>
      <c r="AE77" s="123"/>
      <c r="AF77" s="123"/>
      <c r="AK77" s="115"/>
      <c r="AL77" s="115"/>
      <c r="AM77" s="115"/>
      <c r="AN77" s="115"/>
      <c r="AO77" s="115"/>
      <c r="AP77" s="115"/>
      <c r="AQ77" s="115"/>
      <c r="AR77" s="115"/>
      <c r="AS77" s="115"/>
      <c r="AT77" s="115"/>
      <c r="AU77" s="25"/>
      <c r="AV77" s="13"/>
      <c r="AY77" s="114"/>
    </row>
    <row r="78" spans="1:51" ht="20.100000000000001" customHeight="1" x14ac:dyDescent="0.4">
      <c r="A78" s="117"/>
      <c r="B78" s="123"/>
      <c r="C78" s="123"/>
      <c r="D78" s="123"/>
      <c r="L78" s="25">
        <v>45769</v>
      </c>
      <c r="M78" s="13" t="s">
        <v>147</v>
      </c>
      <c r="O78" s="115"/>
      <c r="P78" s="115"/>
      <c r="Q78" s="115"/>
      <c r="R78" s="115"/>
      <c r="S78" s="115"/>
      <c r="T78" s="115"/>
      <c r="U78" s="115"/>
      <c r="V78" s="115"/>
      <c r="W78" s="25"/>
      <c r="X78" s="13"/>
      <c r="AC78" s="116"/>
      <c r="AD78" s="123"/>
      <c r="AE78" s="123"/>
      <c r="AF78" s="123"/>
      <c r="AK78" s="115"/>
      <c r="AL78" s="115"/>
      <c r="AM78" s="115"/>
      <c r="AN78" s="115"/>
      <c r="AO78" s="115"/>
      <c r="AP78" s="115"/>
      <c r="AQ78" s="115"/>
      <c r="AR78" s="115"/>
      <c r="AS78" s="115"/>
      <c r="AT78" s="115"/>
      <c r="AU78" s="25"/>
      <c r="AV78" s="13"/>
      <c r="AY78" s="114"/>
    </row>
    <row r="79" spans="1:51" ht="20.100000000000001" customHeight="1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25">
        <v>45769</v>
      </c>
      <c r="M79" s="15" t="s">
        <v>147</v>
      </c>
      <c r="O79" s="115"/>
      <c r="P79" s="115"/>
      <c r="Q79" s="115"/>
      <c r="R79" s="115"/>
      <c r="S79" s="115"/>
      <c r="T79" s="115"/>
      <c r="U79" s="115"/>
      <c r="V79" s="115"/>
      <c r="W79" s="25"/>
      <c r="X79" s="13"/>
      <c r="AC79" s="116"/>
      <c r="AD79" s="123"/>
      <c r="AE79" s="123"/>
      <c r="AF79" s="123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25"/>
      <c r="AV79" s="13"/>
      <c r="AY79" s="114"/>
    </row>
    <row r="80" spans="1:51" ht="20.100000000000001" customHeight="1" x14ac:dyDescent="0.4">
      <c r="A80" s="117"/>
      <c r="B80" s="123"/>
      <c r="C80" s="123"/>
      <c r="D80" s="123"/>
      <c r="L80" s="25">
        <v>45769</v>
      </c>
      <c r="M80" s="13" t="s">
        <v>147</v>
      </c>
      <c r="N80" s="115"/>
      <c r="O80" s="115"/>
      <c r="P80" s="115"/>
      <c r="Q80" s="115"/>
      <c r="R80" s="115"/>
      <c r="S80" s="115"/>
      <c r="T80" s="115"/>
      <c r="U80" s="115"/>
      <c r="V80" s="115"/>
      <c r="W80" s="25">
        <v>45675</v>
      </c>
      <c r="X80" s="13" t="s">
        <v>146</v>
      </c>
      <c r="AC80" s="116"/>
      <c r="AD80" s="123"/>
      <c r="AE80" s="123"/>
      <c r="AF80" s="123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25"/>
      <c r="AV80" s="13"/>
      <c r="AY80" s="114"/>
    </row>
    <row r="81" spans="1:51" ht="20.100000000000001" customHeight="1" x14ac:dyDescent="0.4">
      <c r="A81" s="117"/>
      <c r="B81" s="123"/>
      <c r="C81" s="123"/>
      <c r="D81" s="123"/>
      <c r="L81" s="25">
        <v>45769</v>
      </c>
      <c r="M81" s="13" t="s">
        <v>142</v>
      </c>
      <c r="N81" s="115"/>
      <c r="O81" s="115"/>
      <c r="P81" s="115"/>
      <c r="Q81" s="115"/>
      <c r="R81" s="115"/>
      <c r="S81" s="115"/>
      <c r="T81" s="115"/>
      <c r="U81" s="115"/>
      <c r="V81" s="115"/>
      <c r="W81" s="25">
        <v>45676</v>
      </c>
      <c r="X81" s="13" t="s">
        <v>148</v>
      </c>
      <c r="AC81" s="116"/>
      <c r="AD81" s="123"/>
      <c r="AE81" s="123"/>
      <c r="AF81" s="123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25"/>
      <c r="AV81" s="13"/>
      <c r="AY81" s="114"/>
    </row>
    <row r="82" spans="1:51" ht="20.100000000000001" customHeight="1" x14ac:dyDescent="0.4">
      <c r="A82" s="117"/>
      <c r="B82" s="123"/>
      <c r="C82" s="123"/>
      <c r="D82" s="123"/>
      <c r="J82" s="115"/>
      <c r="K82" s="115"/>
      <c r="L82" s="25">
        <v>45769</v>
      </c>
      <c r="M82" s="13" t="s">
        <v>146</v>
      </c>
      <c r="N82" s="115"/>
      <c r="O82" s="115"/>
      <c r="P82" s="115"/>
      <c r="Q82" s="115"/>
      <c r="R82" s="115"/>
      <c r="S82" s="115"/>
      <c r="T82" s="115"/>
      <c r="U82" s="115"/>
      <c r="V82" s="115"/>
      <c r="W82" s="25"/>
      <c r="X82" s="13"/>
      <c r="AC82" s="116"/>
      <c r="AD82" s="123"/>
      <c r="AE82" s="123"/>
      <c r="AF82" s="123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25"/>
      <c r="AV82" s="13"/>
      <c r="AY82" s="114"/>
    </row>
    <row r="83" spans="1:51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25">
        <v>45769</v>
      </c>
      <c r="M83" s="13" t="s">
        <v>147</v>
      </c>
      <c r="N83" s="115"/>
      <c r="O83" s="115"/>
      <c r="P83" s="115"/>
      <c r="Q83" s="115"/>
      <c r="R83" s="115"/>
      <c r="S83" s="115"/>
      <c r="T83" s="115"/>
      <c r="U83" s="115"/>
      <c r="V83" s="115"/>
      <c r="W83" s="25"/>
      <c r="X83" s="13"/>
      <c r="AC83" s="116"/>
      <c r="AD83" s="123"/>
      <c r="AE83" s="123"/>
      <c r="AF83" s="123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25"/>
      <c r="AV83" s="13"/>
      <c r="AY83" s="114"/>
    </row>
    <row r="84" spans="1:51" ht="20.100000000000001" customHeight="1" x14ac:dyDescent="0.4">
      <c r="A84" s="117"/>
      <c r="B84" s="123"/>
      <c r="C84" s="123"/>
      <c r="D84" s="123"/>
      <c r="G84" s="115"/>
      <c r="H84" s="115"/>
      <c r="I84" s="115"/>
      <c r="J84" s="115"/>
      <c r="K84" s="115"/>
      <c r="L84" s="25">
        <v>45769</v>
      </c>
      <c r="M84" s="13" t="s">
        <v>147</v>
      </c>
      <c r="N84" s="115"/>
      <c r="O84" s="115"/>
      <c r="P84" s="115"/>
      <c r="Q84" s="115"/>
      <c r="R84" s="115"/>
      <c r="S84" s="115"/>
      <c r="T84" s="115"/>
      <c r="U84" s="115"/>
      <c r="V84" s="115"/>
      <c r="W84" s="25"/>
      <c r="X84" s="13"/>
      <c r="AC84" s="116"/>
      <c r="AD84" s="123"/>
      <c r="AE84" s="123"/>
      <c r="AF84" s="123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25"/>
      <c r="AV84" s="13"/>
      <c r="AY84" s="114"/>
    </row>
    <row r="85" spans="1:51" ht="20.100000000000001" customHeight="1" x14ac:dyDescent="0.4">
      <c r="A85" s="117"/>
      <c r="B85" s="123"/>
      <c r="C85" s="123"/>
      <c r="D85" s="123"/>
      <c r="L85" s="25">
        <v>45769</v>
      </c>
      <c r="M85" s="13" t="s">
        <v>147</v>
      </c>
      <c r="N85" s="115"/>
      <c r="O85" s="115"/>
      <c r="P85" s="115"/>
      <c r="Q85" s="115"/>
      <c r="R85" s="115"/>
      <c r="S85" s="115"/>
      <c r="T85" s="115"/>
      <c r="U85" s="115"/>
      <c r="V85" s="115"/>
      <c r="W85" s="25">
        <v>45677</v>
      </c>
      <c r="X85" s="13" t="s">
        <v>146</v>
      </c>
      <c r="AC85" s="116"/>
      <c r="AD85" s="123"/>
      <c r="AE85" s="123"/>
      <c r="AF85" s="123"/>
      <c r="AK85" s="115"/>
      <c r="AL85" s="115"/>
      <c r="AM85" s="115"/>
      <c r="AN85" s="115"/>
      <c r="AO85" s="115"/>
      <c r="AP85" s="115"/>
      <c r="AQ85" s="115"/>
      <c r="AR85" s="115"/>
      <c r="AS85" s="115"/>
      <c r="AT85" s="115"/>
      <c r="AU85" s="25"/>
      <c r="AV85" s="13"/>
      <c r="AY85" s="114"/>
    </row>
    <row r="86" spans="1:51" ht="20.100000000000001" customHeight="1" x14ac:dyDescent="0.4">
      <c r="A86" s="117"/>
      <c r="B86" s="123"/>
      <c r="C86" s="123"/>
      <c r="D86" s="123"/>
      <c r="I86" s="115"/>
      <c r="J86" s="115"/>
      <c r="K86" s="115"/>
      <c r="L86" s="25">
        <v>45769</v>
      </c>
      <c r="M86" s="13" t="s">
        <v>146</v>
      </c>
      <c r="N86" s="115"/>
      <c r="O86" s="115"/>
      <c r="P86" s="115"/>
      <c r="Q86" s="115"/>
      <c r="R86" s="115"/>
      <c r="S86" s="115"/>
      <c r="T86" s="115"/>
      <c r="U86" s="115"/>
      <c r="V86" s="115"/>
      <c r="W86" s="25"/>
      <c r="X86" s="13"/>
      <c r="AC86" s="116"/>
      <c r="AD86" s="123"/>
      <c r="AE86" s="123"/>
      <c r="AF86" s="123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25"/>
      <c r="AV86" s="13"/>
      <c r="AY86" s="114"/>
    </row>
    <row r="87" spans="1:51" ht="20.100000000000001" customHeight="1" x14ac:dyDescent="0.4">
      <c r="A87" s="117"/>
      <c r="B87" s="123"/>
      <c r="C87" s="123"/>
      <c r="D87" s="123"/>
      <c r="L87" s="25">
        <v>45769</v>
      </c>
      <c r="M87" s="13" t="s">
        <v>148</v>
      </c>
      <c r="N87" s="115"/>
      <c r="O87" s="115"/>
      <c r="P87" s="115"/>
      <c r="Q87" s="115"/>
      <c r="R87" s="115"/>
      <c r="S87" s="115"/>
      <c r="T87" s="115"/>
      <c r="U87" s="115"/>
      <c r="V87" s="115"/>
      <c r="W87" s="25"/>
      <c r="X87" s="13"/>
      <c r="AC87" s="116"/>
      <c r="AD87" s="123"/>
      <c r="AE87" s="123"/>
      <c r="AF87" s="123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25"/>
      <c r="AV87" s="13"/>
      <c r="AY87" s="114"/>
    </row>
    <row r="88" spans="1:51" ht="20.100000000000001" customHeight="1" x14ac:dyDescent="0.4">
      <c r="A88" s="117"/>
      <c r="B88" s="123"/>
      <c r="C88" s="123"/>
      <c r="D88" s="123"/>
      <c r="K88" s="115" t="s">
        <v>335</v>
      </c>
      <c r="L88" s="13">
        <f>SUBTOTAL(3,L77:L87)</f>
        <v>11</v>
      </c>
      <c r="M88" s="13">
        <f>SUBTOTAL(3,M77:M87)</f>
        <v>11</v>
      </c>
      <c r="N88" s="115"/>
      <c r="O88" s="115"/>
      <c r="P88" s="115"/>
      <c r="Q88" s="115"/>
      <c r="R88" s="115"/>
      <c r="S88" s="115"/>
      <c r="T88" s="115"/>
      <c r="U88" s="115"/>
      <c r="V88" s="115"/>
      <c r="W88" s="25"/>
      <c r="X88" s="13"/>
      <c r="AC88" s="116"/>
      <c r="AD88" s="123"/>
      <c r="AE88" s="123"/>
      <c r="AF88" s="123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25"/>
      <c r="AV88" s="13"/>
      <c r="AY88" s="114"/>
    </row>
    <row r="89" spans="1:51" ht="20.100000000000001" customHeight="1" x14ac:dyDescent="0.4">
      <c r="A89" s="117"/>
      <c r="B89" s="123"/>
      <c r="C89" s="123"/>
      <c r="D89" s="123"/>
      <c r="H89" s="115"/>
      <c r="I89" s="115"/>
      <c r="J89" s="115"/>
      <c r="K89" s="115"/>
      <c r="L89" s="25">
        <v>45770</v>
      </c>
      <c r="M89" s="13" t="s">
        <v>142</v>
      </c>
      <c r="N89" s="115"/>
      <c r="O89" s="115"/>
      <c r="P89" s="115"/>
      <c r="Q89" s="115"/>
      <c r="R89" s="115"/>
      <c r="S89" s="115"/>
      <c r="T89" s="115"/>
      <c r="U89" s="115"/>
      <c r="V89" s="115"/>
      <c r="W89" s="25"/>
      <c r="X89" s="13"/>
      <c r="AC89" s="116"/>
      <c r="AD89" s="123"/>
      <c r="AE89" s="123"/>
      <c r="AF89" s="123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  <c r="AU89" s="25"/>
      <c r="AV89" s="13"/>
      <c r="AY89" s="114"/>
    </row>
    <row r="90" spans="1:51" ht="20.100000000000001" customHeight="1" x14ac:dyDescent="0.4">
      <c r="A90" s="117"/>
      <c r="B90" s="123"/>
      <c r="C90" s="123"/>
      <c r="D90" s="123"/>
      <c r="L90" s="25">
        <v>45770</v>
      </c>
      <c r="M90" s="13" t="s">
        <v>147</v>
      </c>
      <c r="N90" s="115"/>
      <c r="O90" s="115"/>
      <c r="P90" s="115"/>
      <c r="Q90" s="115"/>
      <c r="R90" s="115"/>
      <c r="S90" s="115"/>
      <c r="T90" s="115"/>
      <c r="U90" s="115"/>
      <c r="V90" s="115"/>
      <c r="W90" s="25">
        <v>45677</v>
      </c>
      <c r="X90" s="13" t="s">
        <v>146</v>
      </c>
      <c r="AC90" s="116"/>
      <c r="AD90" s="123"/>
      <c r="AE90" s="123"/>
      <c r="AF90" s="123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25"/>
      <c r="AV90" s="13"/>
      <c r="AY90" s="114"/>
    </row>
    <row r="91" spans="1:51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25">
        <v>45770</v>
      </c>
      <c r="M91" s="13" t="s">
        <v>146</v>
      </c>
      <c r="N91" s="115"/>
      <c r="O91" s="115"/>
      <c r="P91" s="115"/>
      <c r="Q91" s="115"/>
      <c r="R91" s="115"/>
      <c r="S91" s="115"/>
      <c r="T91" s="115"/>
      <c r="U91" s="115"/>
      <c r="V91" s="115"/>
      <c r="W91" s="25"/>
      <c r="X91" s="13"/>
      <c r="AC91" s="116"/>
      <c r="AD91" s="123"/>
      <c r="AE91" s="123"/>
      <c r="AF91" s="123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25"/>
      <c r="AV91" s="13"/>
      <c r="AY91" s="114"/>
    </row>
    <row r="92" spans="1:51" ht="20.100000000000001" customHeight="1" x14ac:dyDescent="0.4">
      <c r="A92" s="117"/>
      <c r="B92" s="123"/>
      <c r="C92" s="123"/>
      <c r="D92" s="123"/>
      <c r="G92" s="115"/>
      <c r="H92" s="115"/>
      <c r="I92" s="115"/>
      <c r="J92" s="115"/>
      <c r="K92" s="115"/>
      <c r="L92" s="25">
        <v>45770</v>
      </c>
      <c r="M92" s="13" t="s">
        <v>146</v>
      </c>
      <c r="N92" s="115"/>
      <c r="O92" s="115"/>
      <c r="P92" s="115"/>
      <c r="Q92" s="115"/>
      <c r="R92" s="115"/>
      <c r="S92" s="115"/>
      <c r="T92" s="115"/>
      <c r="U92" s="115"/>
      <c r="V92" s="115"/>
      <c r="W92" s="25"/>
      <c r="X92" s="13"/>
      <c r="AC92" s="116"/>
      <c r="AD92" s="123"/>
      <c r="AE92" s="123"/>
      <c r="AF92" s="123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25"/>
      <c r="AV92" s="13"/>
      <c r="AY92" s="114"/>
    </row>
    <row r="93" spans="1:51" ht="20.100000000000001" customHeight="1" x14ac:dyDescent="0.4">
      <c r="A93" s="117"/>
      <c r="B93" s="123"/>
      <c r="C93" s="123"/>
      <c r="D93" s="123"/>
      <c r="L93" s="25">
        <v>45770</v>
      </c>
      <c r="M93" s="13" t="s">
        <v>146</v>
      </c>
      <c r="N93" s="115"/>
      <c r="O93" s="115"/>
      <c r="P93" s="115"/>
      <c r="Q93" s="115"/>
      <c r="R93" s="115"/>
      <c r="S93" s="115"/>
      <c r="T93" s="115"/>
      <c r="U93" s="115"/>
      <c r="V93" s="115"/>
      <c r="W93" s="25">
        <v>45677</v>
      </c>
      <c r="X93" s="13" t="s">
        <v>148</v>
      </c>
      <c r="AC93" s="116"/>
      <c r="AD93" s="123"/>
      <c r="AE93" s="123"/>
      <c r="AF93" s="123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25"/>
      <c r="AV93" s="13"/>
      <c r="AY93" s="114"/>
    </row>
    <row r="94" spans="1:51" ht="19.5" x14ac:dyDescent="0.4">
      <c r="A94" s="117"/>
      <c r="B94" s="123"/>
      <c r="C94" s="123"/>
      <c r="D94" s="123"/>
      <c r="L94" s="25">
        <v>45770</v>
      </c>
      <c r="M94" s="15" t="s">
        <v>146</v>
      </c>
      <c r="N94" s="115"/>
      <c r="O94" s="115"/>
      <c r="P94" s="115"/>
      <c r="Q94" s="115"/>
      <c r="R94" s="115"/>
      <c r="S94" s="115"/>
      <c r="T94" s="115"/>
      <c r="U94" s="115"/>
      <c r="V94" s="115"/>
      <c r="W94" s="25"/>
      <c r="X94" s="13"/>
      <c r="AC94" s="116"/>
      <c r="AD94" s="123"/>
      <c r="AE94" s="123"/>
      <c r="AF94" s="123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25"/>
      <c r="AV94" s="13"/>
      <c r="AY94" s="114"/>
    </row>
    <row r="95" spans="1:51" ht="19.5" x14ac:dyDescent="0.4">
      <c r="A95" s="117"/>
      <c r="B95" s="123"/>
      <c r="C95" s="123"/>
      <c r="D95" s="123"/>
      <c r="K95" s="115" t="s">
        <v>336</v>
      </c>
      <c r="L95" s="13">
        <f>SUBTOTAL(3,L89:L94)</f>
        <v>6</v>
      </c>
      <c r="M95" s="15">
        <f>SUBTOTAL(3,M89:M94)</f>
        <v>6</v>
      </c>
      <c r="N95" s="115"/>
      <c r="O95" s="115"/>
      <c r="P95" s="115"/>
      <c r="Q95" s="115"/>
      <c r="R95" s="115"/>
      <c r="S95" s="115"/>
      <c r="T95" s="115"/>
      <c r="U95" s="115"/>
      <c r="V95" s="115"/>
      <c r="W95" s="25"/>
      <c r="X95" s="13"/>
      <c r="AC95" s="116"/>
      <c r="AD95" s="123"/>
      <c r="AE95" s="123"/>
      <c r="AF95" s="123"/>
      <c r="AK95" s="115"/>
      <c r="AL95" s="115"/>
      <c r="AM95" s="115"/>
      <c r="AN95" s="115"/>
      <c r="AO95" s="115"/>
      <c r="AP95" s="115"/>
      <c r="AQ95" s="115"/>
      <c r="AR95" s="115"/>
      <c r="AS95" s="115"/>
      <c r="AT95" s="115"/>
      <c r="AU95" s="25"/>
      <c r="AV95" s="13"/>
      <c r="AY95" s="114"/>
    </row>
    <row r="96" spans="1:51" ht="19.5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25">
        <v>45772</v>
      </c>
      <c r="M96" s="15" t="s">
        <v>146</v>
      </c>
      <c r="N96" s="115"/>
      <c r="O96" s="115"/>
      <c r="P96" s="115"/>
      <c r="Q96" s="115"/>
      <c r="R96" s="115"/>
      <c r="S96" s="115"/>
      <c r="T96" s="115"/>
      <c r="U96" s="115"/>
      <c r="V96" s="115"/>
      <c r="W96" s="25"/>
      <c r="X96" s="13"/>
      <c r="AC96" s="116"/>
      <c r="AD96" s="123"/>
      <c r="AE96" s="123"/>
      <c r="AF96" s="123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25"/>
      <c r="AV96" s="13"/>
      <c r="AY96" s="114"/>
    </row>
    <row r="97" spans="1:51" ht="19.5" x14ac:dyDescent="0.4">
      <c r="A97" s="117"/>
      <c r="B97" s="123"/>
      <c r="C97" s="123"/>
      <c r="D97" s="123"/>
      <c r="G97" s="115"/>
      <c r="H97" s="115"/>
      <c r="I97" s="115"/>
      <c r="J97" s="115"/>
      <c r="K97" s="115" t="s">
        <v>337</v>
      </c>
      <c r="L97" s="13">
        <f>SUBTOTAL(3,L96:L96)</f>
        <v>1</v>
      </c>
      <c r="M97" s="15">
        <f>SUBTOTAL(3,M96:M96)</f>
        <v>1</v>
      </c>
      <c r="N97" s="115"/>
      <c r="O97" s="115"/>
      <c r="P97" s="115"/>
      <c r="Q97" s="115"/>
      <c r="R97" s="115"/>
      <c r="S97" s="115"/>
      <c r="T97" s="115"/>
      <c r="U97" s="115"/>
      <c r="V97" s="115"/>
      <c r="W97" s="25"/>
      <c r="X97" s="13"/>
      <c r="AC97" s="116"/>
      <c r="AD97" s="123"/>
      <c r="AE97" s="123"/>
      <c r="AF97" s="123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25"/>
      <c r="AV97" s="13"/>
      <c r="AY97" s="114"/>
    </row>
    <row r="98" spans="1:51" ht="19.5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25">
        <v>45773</v>
      </c>
      <c r="M98" s="15" t="s">
        <v>146</v>
      </c>
      <c r="N98" s="115"/>
      <c r="O98" s="115"/>
      <c r="P98" s="115"/>
      <c r="Q98" s="115"/>
      <c r="R98" s="115"/>
      <c r="S98" s="115"/>
      <c r="T98" s="115"/>
      <c r="U98" s="115"/>
      <c r="V98" s="115"/>
      <c r="W98" s="25"/>
      <c r="X98" s="13"/>
      <c r="AC98" s="116"/>
      <c r="AD98" s="123"/>
      <c r="AE98" s="123"/>
      <c r="AF98" s="123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25"/>
      <c r="AV98" s="13"/>
      <c r="AY98" s="114"/>
    </row>
    <row r="99" spans="1:51" ht="19.5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25">
        <v>45773</v>
      </c>
      <c r="M99" s="13" t="s">
        <v>146</v>
      </c>
      <c r="N99" s="115"/>
      <c r="O99" s="115"/>
      <c r="P99" s="115"/>
      <c r="Q99" s="115"/>
      <c r="R99" s="115"/>
      <c r="S99" s="115"/>
      <c r="T99" s="115"/>
      <c r="U99" s="115"/>
      <c r="V99" s="115"/>
      <c r="W99" s="25"/>
      <c r="X99" s="13"/>
      <c r="AC99" s="116"/>
      <c r="AD99" s="123"/>
      <c r="AE99" s="123"/>
      <c r="AF99" s="123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25"/>
      <c r="AV99" s="13"/>
      <c r="AY99" s="114"/>
    </row>
    <row r="100" spans="1:51" ht="19.5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25">
        <v>45773</v>
      </c>
      <c r="M100" s="13" t="s">
        <v>146</v>
      </c>
      <c r="N100" s="115"/>
      <c r="O100" s="115"/>
      <c r="P100" s="115"/>
      <c r="Q100" s="115"/>
      <c r="R100" s="115"/>
      <c r="S100" s="115"/>
      <c r="T100" s="115"/>
      <c r="U100" s="115"/>
      <c r="V100" s="115"/>
      <c r="W100" s="25"/>
      <c r="X100" s="13"/>
      <c r="AC100" s="116"/>
      <c r="AD100" s="123"/>
      <c r="AE100" s="123"/>
      <c r="AF100" s="123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25"/>
      <c r="AV100" s="13"/>
      <c r="AY100" s="114"/>
    </row>
    <row r="101" spans="1:51" ht="19.5" x14ac:dyDescent="0.4">
      <c r="A101" s="117"/>
      <c r="B101" s="123"/>
      <c r="C101" s="123"/>
      <c r="D101" s="123"/>
      <c r="L101" s="25">
        <v>45773</v>
      </c>
      <c r="M101" s="13" t="s">
        <v>146</v>
      </c>
      <c r="N101" s="115"/>
      <c r="O101" s="115"/>
      <c r="P101" s="115"/>
      <c r="Q101" s="115"/>
      <c r="R101" s="115"/>
      <c r="S101" s="115"/>
      <c r="T101" s="115"/>
      <c r="U101" s="115"/>
      <c r="V101" s="115"/>
      <c r="W101" s="25">
        <v>45677</v>
      </c>
      <c r="X101" s="13" t="s">
        <v>146</v>
      </c>
      <c r="AC101" s="116"/>
      <c r="AD101" s="123"/>
      <c r="AE101" s="123"/>
      <c r="AF101" s="123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25"/>
      <c r="AV101" s="13"/>
      <c r="AY101" s="114"/>
    </row>
    <row r="102" spans="1:51" ht="19.5" x14ac:dyDescent="0.4">
      <c r="A102" s="117"/>
      <c r="B102" s="123"/>
      <c r="C102" s="123"/>
      <c r="D102" s="123"/>
      <c r="K102" s="115" t="s">
        <v>338</v>
      </c>
      <c r="L102" s="13">
        <f>SUBTOTAL(3,L98:L101)</f>
        <v>4</v>
      </c>
      <c r="M102" s="13">
        <f>SUBTOTAL(3,M98:M101)</f>
        <v>4</v>
      </c>
      <c r="N102" s="115"/>
      <c r="O102" s="115"/>
      <c r="P102" s="115"/>
      <c r="Q102" s="115"/>
      <c r="R102" s="115"/>
      <c r="S102" s="115"/>
      <c r="T102" s="115"/>
      <c r="U102" s="115"/>
      <c r="V102" s="115"/>
      <c r="W102" s="25"/>
      <c r="X102" s="13"/>
      <c r="AC102" s="116"/>
      <c r="AD102" s="123"/>
      <c r="AE102" s="123"/>
      <c r="AF102" s="123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25"/>
      <c r="AV102" s="13"/>
      <c r="AY102" s="114"/>
    </row>
    <row r="103" spans="1:51" ht="19.5" x14ac:dyDescent="0.4">
      <c r="A103" s="117"/>
      <c r="B103" s="123"/>
      <c r="C103" s="123"/>
      <c r="D103" s="123"/>
      <c r="L103" s="25">
        <v>45774</v>
      </c>
      <c r="M103" s="13" t="s">
        <v>148</v>
      </c>
      <c r="N103" s="115"/>
      <c r="O103" s="115"/>
      <c r="P103" s="115"/>
      <c r="Q103" s="115"/>
      <c r="R103" s="115"/>
      <c r="S103" s="115"/>
      <c r="T103" s="115"/>
      <c r="U103" s="115"/>
      <c r="V103" s="115"/>
      <c r="W103" s="25"/>
      <c r="X103" s="13"/>
      <c r="AC103" s="116"/>
      <c r="AD103" s="123"/>
      <c r="AE103" s="123"/>
      <c r="AF103" s="123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25"/>
      <c r="AV103" s="13"/>
      <c r="AY103" s="114"/>
    </row>
    <row r="104" spans="1:51" ht="19.5" x14ac:dyDescent="0.4">
      <c r="A104" s="117"/>
      <c r="B104" s="123"/>
      <c r="C104" s="123"/>
      <c r="D104" s="123"/>
      <c r="K104" s="115" t="s">
        <v>339</v>
      </c>
      <c r="L104" s="13">
        <f>SUBTOTAL(3,L103:L103)</f>
        <v>1</v>
      </c>
      <c r="M104" s="13">
        <f>SUBTOTAL(3,M103:M103)</f>
        <v>1</v>
      </c>
      <c r="N104" s="115"/>
      <c r="O104" s="115"/>
      <c r="P104" s="115"/>
      <c r="Q104" s="115"/>
      <c r="R104" s="115"/>
      <c r="S104" s="115"/>
      <c r="T104" s="115"/>
      <c r="U104" s="115"/>
      <c r="V104" s="115"/>
      <c r="W104" s="25"/>
      <c r="X104" s="13"/>
      <c r="AC104" s="116"/>
      <c r="AD104" s="123"/>
      <c r="AE104" s="123"/>
      <c r="AF104" s="123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25"/>
      <c r="AV104" s="13"/>
      <c r="AY104" s="114"/>
    </row>
    <row r="105" spans="1:51" ht="19.5" x14ac:dyDescent="0.4">
      <c r="A105" s="117"/>
      <c r="B105" s="123"/>
      <c r="C105" s="123"/>
      <c r="D105" s="123"/>
      <c r="L105" s="25">
        <v>45775</v>
      </c>
      <c r="M105" s="13" t="s">
        <v>146</v>
      </c>
      <c r="N105" s="115"/>
      <c r="O105" s="115"/>
      <c r="P105" s="115"/>
      <c r="Q105" s="115"/>
      <c r="R105" s="115"/>
      <c r="S105" s="115"/>
      <c r="T105" s="115"/>
      <c r="U105" s="115"/>
      <c r="V105" s="115"/>
      <c r="W105" s="25"/>
      <c r="X105" s="13"/>
      <c r="AC105" s="116"/>
      <c r="AD105" s="123"/>
      <c r="AE105" s="123"/>
      <c r="AF105" s="123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25"/>
      <c r="AV105" s="13"/>
      <c r="AY105" s="114"/>
    </row>
    <row r="106" spans="1:51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25">
        <v>45775</v>
      </c>
      <c r="M106" s="13" t="s">
        <v>142</v>
      </c>
      <c r="N106" s="115"/>
      <c r="O106" s="115"/>
      <c r="P106" s="115"/>
      <c r="Q106" s="115"/>
      <c r="R106" s="115"/>
      <c r="S106" s="115"/>
      <c r="T106" s="115"/>
      <c r="U106" s="115"/>
      <c r="V106" s="115"/>
      <c r="W106" s="25"/>
      <c r="X106" s="13"/>
      <c r="AC106" s="116"/>
      <c r="AD106" s="123"/>
      <c r="AE106" s="123"/>
      <c r="AF106" s="123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25"/>
      <c r="AV106" s="13"/>
      <c r="AY106" s="114"/>
    </row>
    <row r="107" spans="1:51" ht="19.5" x14ac:dyDescent="0.4">
      <c r="A107" s="117"/>
      <c r="B107" s="123"/>
      <c r="C107" s="123"/>
      <c r="D107" s="123"/>
      <c r="L107" s="25">
        <v>45775</v>
      </c>
      <c r="M107" s="13" t="s">
        <v>146</v>
      </c>
      <c r="N107" s="115"/>
      <c r="O107" s="115"/>
      <c r="P107" s="115"/>
      <c r="Q107" s="115"/>
      <c r="R107" s="115"/>
      <c r="S107" s="115"/>
      <c r="T107" s="115"/>
      <c r="U107" s="115"/>
      <c r="V107" s="115"/>
      <c r="W107" s="25">
        <v>45677</v>
      </c>
      <c r="X107" s="13" t="s">
        <v>147</v>
      </c>
      <c r="AC107" s="116"/>
      <c r="AD107" s="123"/>
      <c r="AE107" s="123"/>
      <c r="AF107" s="123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25"/>
      <c r="AV107" s="13"/>
      <c r="AY107" s="114"/>
    </row>
    <row r="108" spans="1:51" ht="19.5" x14ac:dyDescent="0.4">
      <c r="A108" s="117"/>
      <c r="B108" s="123"/>
      <c r="C108" s="123"/>
      <c r="D108" s="123"/>
      <c r="L108" s="25">
        <v>45775</v>
      </c>
      <c r="M108" s="13" t="s">
        <v>147</v>
      </c>
      <c r="N108" s="115"/>
      <c r="O108" s="115"/>
      <c r="P108" s="115"/>
      <c r="Q108" s="115"/>
      <c r="R108" s="115"/>
      <c r="S108" s="115"/>
      <c r="T108" s="115"/>
      <c r="U108" s="115"/>
      <c r="V108" s="115"/>
      <c r="W108" s="25">
        <v>45677</v>
      </c>
      <c r="X108" s="25" t="s">
        <v>147</v>
      </c>
      <c r="AC108" s="116"/>
      <c r="AD108" s="123"/>
      <c r="AE108" s="123"/>
      <c r="AF108" s="123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25"/>
      <c r="AV108" s="13"/>
      <c r="AY108" s="114"/>
    </row>
    <row r="109" spans="1:51" ht="19.5" x14ac:dyDescent="0.4">
      <c r="A109" s="117"/>
      <c r="B109" s="123"/>
      <c r="C109" s="123"/>
      <c r="D109" s="123"/>
      <c r="L109" s="25">
        <v>45775</v>
      </c>
      <c r="M109" s="13" t="s">
        <v>147</v>
      </c>
      <c r="N109" s="115"/>
      <c r="O109" s="115"/>
      <c r="P109" s="115"/>
      <c r="Q109" s="115"/>
      <c r="R109" s="115"/>
      <c r="S109" s="115"/>
      <c r="T109" s="115"/>
      <c r="U109" s="115"/>
      <c r="V109" s="115"/>
      <c r="W109" s="25"/>
      <c r="X109" s="25"/>
      <c r="AC109" s="116"/>
      <c r="AD109" s="123"/>
      <c r="AE109" s="123"/>
      <c r="AF109" s="123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25"/>
      <c r="AV109" s="13"/>
      <c r="AY109" s="114"/>
    </row>
    <row r="110" spans="1:51" ht="19.5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25">
        <v>45775</v>
      </c>
      <c r="M110" s="13" t="s">
        <v>146</v>
      </c>
      <c r="N110" s="115"/>
      <c r="O110" s="115"/>
      <c r="P110" s="115"/>
      <c r="Q110" s="115"/>
      <c r="R110" s="115"/>
      <c r="S110" s="115"/>
      <c r="T110" s="115"/>
      <c r="U110" s="115"/>
      <c r="V110" s="115"/>
      <c r="W110" s="25"/>
      <c r="X110" s="25"/>
      <c r="AC110" s="116"/>
      <c r="AD110" s="123"/>
      <c r="AE110" s="123"/>
      <c r="AF110" s="123"/>
      <c r="AK110" s="115"/>
      <c r="AL110" s="115"/>
      <c r="AM110" s="115"/>
      <c r="AN110" s="115"/>
      <c r="AO110" s="115"/>
      <c r="AP110" s="115"/>
      <c r="AQ110" s="115"/>
      <c r="AR110" s="115"/>
      <c r="AS110" s="115"/>
      <c r="AT110" s="115"/>
      <c r="AU110" s="25"/>
      <c r="AV110" s="13"/>
      <c r="AY110" s="114"/>
    </row>
    <row r="111" spans="1:51" ht="19.5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25">
        <v>45775</v>
      </c>
      <c r="M111" s="13" t="s">
        <v>147</v>
      </c>
      <c r="N111" s="115"/>
      <c r="O111" s="115"/>
      <c r="P111" s="115"/>
      <c r="Q111" s="115"/>
      <c r="R111" s="115"/>
      <c r="S111" s="115"/>
      <c r="T111" s="115"/>
      <c r="U111" s="115"/>
      <c r="V111" s="115"/>
      <c r="W111" s="25"/>
      <c r="X111" s="25"/>
      <c r="AC111" s="116"/>
      <c r="AD111" s="123"/>
      <c r="AE111" s="123"/>
      <c r="AF111" s="123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25"/>
      <c r="AV111" s="13"/>
      <c r="AY111" s="114"/>
    </row>
    <row r="112" spans="1:51" ht="19.5" x14ac:dyDescent="0.4">
      <c r="A112" s="117"/>
      <c r="B112" s="123"/>
      <c r="C112" s="123"/>
      <c r="D112" s="123"/>
      <c r="L112" s="25">
        <v>45775</v>
      </c>
      <c r="M112" s="13" t="s">
        <v>146</v>
      </c>
      <c r="N112" s="115"/>
      <c r="O112" s="115"/>
      <c r="P112" s="115"/>
      <c r="Q112" s="115"/>
      <c r="R112" s="115"/>
      <c r="S112" s="115"/>
      <c r="T112" s="115"/>
      <c r="U112" s="115"/>
      <c r="V112" s="115"/>
      <c r="W112" s="25">
        <v>45678</v>
      </c>
      <c r="X112" s="13" t="s">
        <v>147</v>
      </c>
      <c r="AC112" s="116"/>
      <c r="AD112" s="123"/>
      <c r="AE112" s="123"/>
      <c r="AF112" s="123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25"/>
      <c r="AV112" s="13"/>
      <c r="AY112" s="114"/>
    </row>
    <row r="113" spans="1:51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25">
        <v>45775</v>
      </c>
      <c r="M113" s="13" t="s">
        <v>146</v>
      </c>
      <c r="N113" s="115"/>
      <c r="O113" s="115"/>
      <c r="P113" s="115"/>
      <c r="Q113" s="115"/>
      <c r="R113" s="115"/>
      <c r="S113" s="115"/>
      <c r="T113" s="115"/>
      <c r="U113" s="115"/>
      <c r="V113" s="115"/>
      <c r="W113" s="25"/>
      <c r="X113" s="13"/>
      <c r="AC113" s="116"/>
      <c r="AD113" s="123"/>
      <c r="AE113" s="123"/>
      <c r="AF113" s="123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25"/>
      <c r="AV113" s="13"/>
      <c r="AY113" s="114"/>
    </row>
    <row r="114" spans="1:51" ht="19.5" x14ac:dyDescent="0.4">
      <c r="A114" s="117"/>
      <c r="B114" s="123"/>
      <c r="C114" s="123"/>
      <c r="D114" s="123"/>
      <c r="L114" s="25">
        <v>45775</v>
      </c>
      <c r="M114" s="13" t="s">
        <v>148</v>
      </c>
      <c r="N114" s="115"/>
      <c r="O114" s="115"/>
      <c r="P114" s="115"/>
      <c r="Q114" s="115"/>
      <c r="R114" s="115"/>
      <c r="S114" s="115"/>
      <c r="T114" s="115"/>
      <c r="U114" s="115"/>
      <c r="V114" s="115"/>
      <c r="W114" s="25">
        <v>45678</v>
      </c>
      <c r="X114" s="13" t="s">
        <v>146</v>
      </c>
      <c r="AC114" s="116"/>
      <c r="AD114" s="123"/>
      <c r="AE114" s="123"/>
      <c r="AF114" s="123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25"/>
      <c r="AV114" s="13"/>
      <c r="AY114" s="114"/>
    </row>
    <row r="115" spans="1:51" ht="19.5" x14ac:dyDescent="0.4">
      <c r="A115" s="117"/>
      <c r="B115" s="123"/>
      <c r="C115" s="123"/>
      <c r="D115" s="123"/>
      <c r="I115" s="115"/>
      <c r="J115" s="115"/>
      <c r="K115" s="115"/>
      <c r="L115" s="25">
        <v>45775</v>
      </c>
      <c r="M115" s="13" t="s">
        <v>146</v>
      </c>
      <c r="N115" s="115"/>
      <c r="O115" s="115"/>
      <c r="P115" s="115"/>
      <c r="Q115" s="115"/>
      <c r="R115" s="115"/>
      <c r="S115" s="115"/>
      <c r="T115" s="115"/>
      <c r="U115" s="115"/>
      <c r="V115" s="115"/>
      <c r="W115" s="25"/>
      <c r="X115" s="13"/>
      <c r="AC115" s="116"/>
      <c r="AD115" s="123"/>
      <c r="AE115" s="123"/>
      <c r="AF115" s="123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25"/>
      <c r="AV115" s="13"/>
      <c r="AY115" s="114"/>
    </row>
    <row r="116" spans="1:51" ht="19.5" x14ac:dyDescent="0.4">
      <c r="A116" s="117"/>
      <c r="B116" s="123"/>
      <c r="C116" s="123"/>
      <c r="D116" s="123"/>
      <c r="I116" s="115"/>
      <c r="J116" s="115"/>
      <c r="K116" s="115"/>
      <c r="L116" s="25">
        <v>45775</v>
      </c>
      <c r="M116" s="13" t="s">
        <v>146</v>
      </c>
      <c r="N116" s="115"/>
      <c r="O116" s="115"/>
      <c r="P116" s="115"/>
      <c r="Q116" s="115"/>
      <c r="R116" s="115"/>
      <c r="S116" s="115"/>
      <c r="T116" s="115"/>
      <c r="U116" s="115"/>
      <c r="V116" s="115"/>
      <c r="W116" s="25"/>
      <c r="X116" s="13"/>
      <c r="AC116" s="116"/>
      <c r="AD116" s="123"/>
      <c r="AE116" s="123"/>
      <c r="AF116" s="123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25"/>
      <c r="AV116" s="13"/>
      <c r="AY116" s="114"/>
    </row>
    <row r="117" spans="1:51" ht="19.5" x14ac:dyDescent="0.4">
      <c r="A117" s="117"/>
      <c r="B117" s="123"/>
      <c r="C117" s="123"/>
      <c r="D117" s="123"/>
      <c r="L117" s="25">
        <v>45775</v>
      </c>
      <c r="M117" s="13" t="s">
        <v>146</v>
      </c>
      <c r="N117" s="115"/>
      <c r="O117" s="115"/>
      <c r="P117" s="115"/>
      <c r="Q117" s="115"/>
      <c r="R117" s="115"/>
      <c r="S117" s="115"/>
      <c r="T117" s="115"/>
      <c r="U117" s="115"/>
      <c r="V117" s="115"/>
      <c r="W117" s="25">
        <v>45678</v>
      </c>
      <c r="X117" s="13" t="s">
        <v>148</v>
      </c>
      <c r="AC117" s="116"/>
      <c r="AD117" s="123"/>
      <c r="AE117" s="123"/>
      <c r="AF117" s="123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25"/>
      <c r="AV117" s="13"/>
      <c r="AY117" s="114"/>
    </row>
    <row r="118" spans="1:51" ht="19.5" x14ac:dyDescent="0.4">
      <c r="A118" s="117"/>
      <c r="B118" s="123"/>
      <c r="C118" s="123"/>
      <c r="D118" s="123"/>
      <c r="K118" s="115" t="s">
        <v>340</v>
      </c>
      <c r="L118" s="13">
        <f>SUBTOTAL(3,L105:L117)</f>
        <v>13</v>
      </c>
      <c r="M118" s="13">
        <f>SUBTOTAL(3,M105:M117)</f>
        <v>13</v>
      </c>
      <c r="N118" s="115"/>
      <c r="O118" s="115"/>
      <c r="P118" s="115"/>
      <c r="Q118" s="115"/>
      <c r="R118" s="115"/>
      <c r="S118" s="115"/>
      <c r="T118" s="115"/>
      <c r="U118" s="115"/>
      <c r="V118" s="115"/>
      <c r="W118" s="25"/>
      <c r="X118" s="13"/>
      <c r="AC118" s="116"/>
      <c r="AD118" s="123"/>
      <c r="AE118" s="123"/>
      <c r="AF118" s="123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25"/>
      <c r="AV118" s="13"/>
      <c r="AY118" s="114"/>
    </row>
    <row r="119" spans="1:51" ht="19.5" x14ac:dyDescent="0.4">
      <c r="A119" s="117"/>
      <c r="B119" s="123"/>
      <c r="C119" s="123"/>
      <c r="D119" s="123"/>
      <c r="G119" s="115"/>
      <c r="H119" s="115"/>
      <c r="I119" s="115"/>
      <c r="J119" s="115"/>
      <c r="K119" s="115"/>
      <c r="L119" s="25">
        <v>45776</v>
      </c>
      <c r="M119" s="25" t="s">
        <v>146</v>
      </c>
      <c r="N119" s="115"/>
      <c r="O119" s="115"/>
      <c r="P119" s="115"/>
      <c r="Q119" s="115"/>
      <c r="R119" s="115"/>
      <c r="S119" s="115"/>
      <c r="T119" s="115"/>
      <c r="U119" s="115"/>
      <c r="V119" s="115"/>
      <c r="W119" s="25"/>
      <c r="X119" s="13"/>
      <c r="AC119" s="116"/>
      <c r="AD119" s="123"/>
      <c r="AE119" s="123"/>
      <c r="AF119" s="123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25"/>
      <c r="AV119" s="13"/>
      <c r="AY119" s="114"/>
    </row>
    <row r="120" spans="1:51" ht="19.5" x14ac:dyDescent="0.4">
      <c r="A120" s="117"/>
      <c r="B120" s="123"/>
      <c r="C120" s="123"/>
      <c r="D120" s="123"/>
      <c r="G120" s="115"/>
      <c r="H120" s="115"/>
      <c r="I120" s="115"/>
      <c r="J120" s="115"/>
      <c r="K120" s="115" t="s">
        <v>341</v>
      </c>
      <c r="L120" s="13">
        <f>SUBTOTAL(3,L119:L119)</f>
        <v>1</v>
      </c>
      <c r="M120" s="13">
        <f>SUBTOTAL(3,M119:M119)</f>
        <v>1</v>
      </c>
      <c r="N120" s="115"/>
      <c r="O120" s="115"/>
      <c r="P120" s="115"/>
      <c r="Q120" s="115"/>
      <c r="R120" s="115"/>
      <c r="S120" s="115"/>
      <c r="T120" s="115"/>
      <c r="U120" s="115"/>
      <c r="V120" s="115"/>
      <c r="W120" s="25"/>
      <c r="X120" s="13"/>
      <c r="AC120" s="116"/>
      <c r="AD120" s="123"/>
      <c r="AE120" s="123"/>
      <c r="AF120" s="123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25"/>
      <c r="AV120" s="13"/>
      <c r="AY120" s="114"/>
    </row>
    <row r="121" spans="1:51" ht="19.5" x14ac:dyDescent="0.4">
      <c r="A121" s="117"/>
      <c r="B121" s="123"/>
      <c r="C121" s="123"/>
      <c r="D121" s="123"/>
      <c r="L121" s="25">
        <v>45777</v>
      </c>
      <c r="M121" s="13" t="s">
        <v>148</v>
      </c>
      <c r="N121" s="115"/>
      <c r="O121" s="115"/>
      <c r="P121" s="115"/>
      <c r="Q121" s="115"/>
      <c r="R121" s="115"/>
      <c r="S121" s="115"/>
      <c r="T121" s="115"/>
      <c r="U121" s="115"/>
      <c r="V121" s="115"/>
      <c r="W121" s="25">
        <v>45678</v>
      </c>
      <c r="X121" s="13" t="s">
        <v>148</v>
      </c>
      <c r="AC121" s="116"/>
      <c r="AD121" s="123"/>
      <c r="AE121" s="123"/>
      <c r="AF121" s="123"/>
      <c r="AK121" s="115"/>
      <c r="AL121" s="115"/>
      <c r="AM121" s="115"/>
      <c r="AN121" s="115"/>
      <c r="AO121" s="115"/>
      <c r="AP121" s="115"/>
      <c r="AQ121" s="115"/>
      <c r="AR121" s="115"/>
      <c r="AS121" s="115"/>
      <c r="AT121" s="115"/>
      <c r="AU121" s="25"/>
      <c r="AV121" s="13"/>
      <c r="AY121" s="114"/>
    </row>
    <row r="122" spans="1:51" ht="19.5" x14ac:dyDescent="0.4">
      <c r="A122" s="117"/>
      <c r="B122" s="123"/>
      <c r="C122" s="123"/>
      <c r="D122" s="123"/>
      <c r="L122" s="25">
        <v>45777</v>
      </c>
      <c r="M122" s="13" t="s">
        <v>146</v>
      </c>
      <c r="N122" s="115"/>
      <c r="O122" s="115"/>
      <c r="P122" s="115"/>
      <c r="Q122" s="115"/>
      <c r="R122" s="115"/>
      <c r="S122" s="115"/>
      <c r="T122" s="115"/>
      <c r="U122" s="115"/>
      <c r="V122" s="115"/>
      <c r="W122" s="25">
        <v>45678</v>
      </c>
      <c r="X122" s="13" t="s">
        <v>148</v>
      </c>
      <c r="AC122" s="116"/>
      <c r="AD122" s="123"/>
      <c r="AE122" s="123"/>
      <c r="AF122" s="123"/>
      <c r="AK122" s="115"/>
      <c r="AL122" s="115"/>
      <c r="AM122" s="115"/>
      <c r="AN122" s="115"/>
      <c r="AO122" s="115"/>
      <c r="AP122" s="115"/>
      <c r="AQ122" s="115"/>
      <c r="AR122" s="115"/>
      <c r="AS122" s="115"/>
      <c r="AT122" s="115"/>
      <c r="AU122" s="25"/>
      <c r="AV122" s="13"/>
      <c r="AY122" s="114"/>
    </row>
    <row r="123" spans="1:51" ht="19.5" x14ac:dyDescent="0.4">
      <c r="A123" s="117"/>
      <c r="B123" s="123"/>
      <c r="C123" s="123"/>
      <c r="D123" s="123"/>
      <c r="J123" s="115"/>
      <c r="K123" s="115"/>
      <c r="L123" s="26">
        <v>45777</v>
      </c>
      <c r="M123" s="15" t="s">
        <v>146</v>
      </c>
      <c r="N123" s="115"/>
      <c r="O123" s="115"/>
      <c r="P123" s="115"/>
      <c r="Q123" s="115"/>
      <c r="R123" s="115"/>
      <c r="S123" s="115"/>
      <c r="T123" s="115"/>
      <c r="U123" s="115"/>
      <c r="V123" s="115"/>
      <c r="W123" s="25"/>
      <c r="X123" s="13"/>
      <c r="AC123" s="116"/>
      <c r="AD123" s="123"/>
      <c r="AE123" s="123"/>
      <c r="AF123" s="123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25"/>
      <c r="AV123" s="13"/>
      <c r="AY123" s="114"/>
    </row>
    <row r="124" spans="1:51" ht="19.5" x14ac:dyDescent="0.4">
      <c r="A124" s="117"/>
      <c r="B124" s="123"/>
      <c r="C124" s="123"/>
      <c r="D124" s="123"/>
      <c r="L124" s="26">
        <v>45777</v>
      </c>
      <c r="M124" s="15" t="s">
        <v>148</v>
      </c>
      <c r="N124" s="115"/>
      <c r="O124" s="115"/>
      <c r="P124" s="115"/>
      <c r="Q124" s="115"/>
      <c r="R124" s="115"/>
      <c r="S124" s="115"/>
      <c r="T124" s="115"/>
      <c r="U124" s="115"/>
      <c r="V124" s="115"/>
      <c r="W124" s="25">
        <v>45679</v>
      </c>
      <c r="X124" s="15" t="s">
        <v>146</v>
      </c>
      <c r="AC124" s="116"/>
      <c r="AD124" s="123"/>
      <c r="AE124" s="123"/>
      <c r="AF124" s="123"/>
      <c r="AK124" s="115"/>
      <c r="AL124" s="115"/>
      <c r="AM124" s="115"/>
      <c r="AN124" s="115"/>
      <c r="AO124" s="115"/>
      <c r="AP124" s="115"/>
      <c r="AQ124" s="115"/>
      <c r="AR124" s="115"/>
      <c r="AS124" s="115"/>
      <c r="AT124" s="115"/>
      <c r="AU124" s="25"/>
      <c r="AV124" s="13"/>
      <c r="AY124" s="114"/>
    </row>
    <row r="125" spans="1:51" ht="19.5" x14ac:dyDescent="0.4">
      <c r="A125" s="117"/>
      <c r="B125" s="123"/>
      <c r="C125" s="123"/>
      <c r="D125" s="123"/>
      <c r="L125" s="30">
        <v>45777</v>
      </c>
      <c r="M125" s="15" t="s">
        <v>146</v>
      </c>
      <c r="N125" s="115"/>
      <c r="O125" s="115"/>
      <c r="P125" s="115"/>
      <c r="Q125" s="115"/>
      <c r="R125" s="115"/>
      <c r="S125" s="115"/>
      <c r="T125" s="115"/>
      <c r="U125" s="115"/>
      <c r="V125" s="115"/>
      <c r="W125" s="25"/>
      <c r="X125" s="15"/>
      <c r="AC125" s="116"/>
      <c r="AD125" s="123"/>
      <c r="AE125" s="123"/>
      <c r="AF125" s="123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25"/>
      <c r="AV125" s="13"/>
      <c r="AY125" s="114"/>
    </row>
    <row r="126" spans="1:51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26">
        <v>45777</v>
      </c>
      <c r="M126" s="13" t="s">
        <v>146</v>
      </c>
      <c r="N126" s="115"/>
      <c r="O126" s="115"/>
      <c r="P126" s="115"/>
      <c r="Q126" s="115"/>
      <c r="R126" s="115"/>
      <c r="S126" s="115"/>
      <c r="T126" s="115"/>
      <c r="U126" s="115"/>
      <c r="V126" s="115"/>
      <c r="W126" s="25"/>
      <c r="X126" s="15"/>
      <c r="AC126" s="116"/>
      <c r="AD126" s="123"/>
      <c r="AE126" s="123"/>
      <c r="AF126" s="123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25"/>
      <c r="AV126" s="13"/>
      <c r="AY126" s="114"/>
    </row>
    <row r="127" spans="1:51" ht="19.5" x14ac:dyDescent="0.4">
      <c r="A127" s="117"/>
      <c r="B127" s="123"/>
      <c r="C127" s="123"/>
      <c r="D127" s="123"/>
      <c r="L127" s="26">
        <v>45777</v>
      </c>
      <c r="M127" s="13" t="s">
        <v>146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25">
        <v>45679</v>
      </c>
      <c r="X127" s="15" t="s">
        <v>148</v>
      </c>
      <c r="AC127" s="116"/>
      <c r="AD127" s="123"/>
      <c r="AE127" s="123"/>
      <c r="AF127" s="123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25"/>
      <c r="AV127" s="13"/>
      <c r="AY127" s="114"/>
    </row>
    <row r="128" spans="1:51" ht="19.5" x14ac:dyDescent="0.4">
      <c r="A128" s="117"/>
      <c r="B128" s="123"/>
      <c r="C128" s="123"/>
      <c r="D128" s="123"/>
      <c r="K128" s="115" t="s">
        <v>342</v>
      </c>
      <c r="L128" s="17">
        <f>SUBTOTAL(3,L121:L127)</f>
        <v>7</v>
      </c>
      <c r="M128" s="13">
        <f>SUBTOTAL(3,M121:M127)</f>
        <v>7</v>
      </c>
      <c r="N128" s="115"/>
      <c r="O128" s="115"/>
      <c r="P128" s="115"/>
      <c r="Q128" s="115"/>
      <c r="R128" s="115"/>
      <c r="S128" s="115"/>
      <c r="T128" s="115"/>
      <c r="U128" s="115"/>
      <c r="V128" s="115"/>
      <c r="W128" s="25"/>
      <c r="X128" s="13"/>
      <c r="AC128" s="116"/>
      <c r="AD128" s="123"/>
      <c r="AE128" s="123"/>
      <c r="AF128" s="123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25"/>
      <c r="AV128" s="13"/>
      <c r="AY128" s="114"/>
    </row>
    <row r="129" spans="1:51" ht="19.5" x14ac:dyDescent="0.4">
      <c r="A129" s="117"/>
      <c r="B129" s="123"/>
      <c r="C129" s="123"/>
      <c r="D129" s="123"/>
      <c r="L129" s="26">
        <v>45783</v>
      </c>
      <c r="M129" s="25" t="s">
        <v>148</v>
      </c>
      <c r="N129" s="115"/>
      <c r="O129" s="115"/>
      <c r="P129" s="115"/>
      <c r="Q129" s="115"/>
      <c r="R129" s="115"/>
      <c r="S129" s="115"/>
      <c r="T129" s="115"/>
      <c r="U129" s="115"/>
      <c r="V129" s="115"/>
      <c r="W129" s="25">
        <v>45679</v>
      </c>
      <c r="X129" s="13" t="s">
        <v>147</v>
      </c>
      <c r="AC129" s="116"/>
      <c r="AD129" s="123"/>
      <c r="AE129" s="123"/>
      <c r="AF129" s="123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25"/>
      <c r="AV129" s="13"/>
      <c r="AY129" s="114"/>
    </row>
    <row r="130" spans="1:51" ht="19.5" x14ac:dyDescent="0.4">
      <c r="A130" s="117"/>
      <c r="B130" s="123"/>
      <c r="C130" s="123"/>
      <c r="D130" s="123"/>
      <c r="K130" s="115" t="s">
        <v>343</v>
      </c>
      <c r="L130" s="17">
        <f>SUBTOTAL(3,L129:L129)</f>
        <v>1</v>
      </c>
      <c r="M130" s="13">
        <f>SUBTOTAL(3,M129:M129)</f>
        <v>1</v>
      </c>
      <c r="N130" s="115"/>
      <c r="O130" s="115"/>
      <c r="P130" s="115"/>
      <c r="Q130" s="115"/>
      <c r="R130" s="115"/>
      <c r="S130" s="115"/>
      <c r="T130" s="115"/>
      <c r="U130" s="115"/>
      <c r="V130" s="115"/>
      <c r="W130" s="25"/>
      <c r="X130" s="13"/>
      <c r="AC130" s="116"/>
      <c r="AD130" s="123"/>
      <c r="AE130" s="123"/>
      <c r="AF130" s="123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25"/>
      <c r="AV130" s="13"/>
      <c r="AY130" s="114"/>
    </row>
    <row r="131" spans="1:51" ht="19.5" x14ac:dyDescent="0.4">
      <c r="A131" s="117"/>
      <c r="B131" s="123"/>
      <c r="C131" s="123"/>
      <c r="D131" s="123"/>
      <c r="J131" s="115"/>
      <c r="K131" s="115"/>
      <c r="L131" s="26">
        <v>45785</v>
      </c>
      <c r="M131" s="134" t="s">
        <v>148</v>
      </c>
      <c r="N131" s="115"/>
      <c r="O131" s="115"/>
      <c r="P131" s="115"/>
      <c r="Q131" s="115"/>
      <c r="R131" s="115"/>
      <c r="S131" s="115"/>
      <c r="T131" s="115"/>
      <c r="U131" s="115"/>
      <c r="V131" s="115"/>
      <c r="W131" s="25"/>
      <c r="X131" s="13"/>
      <c r="AC131" s="116"/>
      <c r="AD131" s="123"/>
      <c r="AE131" s="123"/>
      <c r="AF131" s="123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25"/>
      <c r="AV131" s="13"/>
      <c r="AY131" s="114"/>
    </row>
    <row r="132" spans="1:51" ht="19.5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26">
        <v>45785</v>
      </c>
      <c r="M132" s="13" t="s">
        <v>148</v>
      </c>
      <c r="N132" s="115"/>
      <c r="O132" s="115"/>
      <c r="P132" s="115"/>
      <c r="Q132" s="115"/>
      <c r="R132" s="115"/>
      <c r="S132" s="115"/>
      <c r="T132" s="115"/>
      <c r="U132" s="115"/>
      <c r="V132" s="115"/>
      <c r="W132" s="25"/>
      <c r="X132" s="13"/>
      <c r="AC132" s="116"/>
      <c r="AD132" s="123"/>
      <c r="AE132" s="123"/>
      <c r="AF132" s="123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25"/>
      <c r="AV132" s="13"/>
      <c r="AY132" s="114"/>
    </row>
    <row r="133" spans="1:51" ht="19.5" x14ac:dyDescent="0.4">
      <c r="A133" s="117"/>
      <c r="B133" s="123"/>
      <c r="C133" s="123"/>
      <c r="D133" s="123"/>
      <c r="G133" s="115"/>
      <c r="H133" s="115"/>
      <c r="I133" s="115"/>
      <c r="J133" s="115"/>
      <c r="K133" s="115"/>
      <c r="L133" s="26">
        <v>45785</v>
      </c>
      <c r="M133" s="13" t="s">
        <v>146</v>
      </c>
      <c r="N133" s="115"/>
      <c r="O133" s="115"/>
      <c r="P133" s="115"/>
      <c r="Q133" s="115"/>
      <c r="R133" s="115"/>
      <c r="S133" s="115"/>
      <c r="T133" s="115"/>
      <c r="U133" s="115"/>
      <c r="V133" s="115"/>
      <c r="W133" s="25"/>
      <c r="X133" s="13"/>
      <c r="AC133" s="116"/>
      <c r="AD133" s="123"/>
      <c r="AE133" s="123"/>
      <c r="AF133" s="123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25"/>
      <c r="AV133" s="13"/>
      <c r="AY133" s="114"/>
    </row>
    <row r="134" spans="1:51" ht="19.5" x14ac:dyDescent="0.4">
      <c r="A134" s="117"/>
      <c r="B134" s="123"/>
      <c r="C134" s="123"/>
      <c r="D134" s="123"/>
      <c r="G134" s="115"/>
      <c r="H134" s="115"/>
      <c r="I134" s="115"/>
      <c r="J134" s="115"/>
      <c r="K134" s="115" t="s">
        <v>344</v>
      </c>
      <c r="L134" s="17">
        <f>SUBTOTAL(3,L131:L133)</f>
        <v>3</v>
      </c>
      <c r="M134" s="13">
        <f>SUBTOTAL(3,M131:M133)</f>
        <v>3</v>
      </c>
      <c r="N134" s="115"/>
      <c r="O134" s="115"/>
      <c r="P134" s="115"/>
      <c r="Q134" s="115"/>
      <c r="R134" s="115"/>
      <c r="S134" s="115"/>
      <c r="T134" s="115"/>
      <c r="U134" s="115"/>
      <c r="V134" s="115"/>
      <c r="W134" s="25"/>
      <c r="X134" s="13"/>
      <c r="AC134" s="116"/>
      <c r="AD134" s="123"/>
      <c r="AE134" s="123"/>
      <c r="AF134" s="123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25"/>
      <c r="AV134" s="13"/>
      <c r="AY134" s="114"/>
    </row>
    <row r="135" spans="1:51" ht="19.5" x14ac:dyDescent="0.4">
      <c r="A135" s="117"/>
      <c r="B135" s="123"/>
      <c r="C135" s="123"/>
      <c r="D135" s="123"/>
      <c r="L135" s="26">
        <v>45798</v>
      </c>
      <c r="M135" s="13" t="s">
        <v>147</v>
      </c>
      <c r="W135" s="25">
        <v>45679</v>
      </c>
      <c r="X135" s="13" t="s">
        <v>147</v>
      </c>
      <c r="AC135" s="116"/>
      <c r="AD135" s="123"/>
      <c r="AE135" s="123"/>
      <c r="AF135" s="123"/>
      <c r="AK135" s="115"/>
      <c r="AL135" s="115"/>
      <c r="AM135" s="115"/>
      <c r="AN135" s="115"/>
      <c r="AO135" s="115"/>
      <c r="AP135" s="115"/>
      <c r="AQ135" s="115"/>
      <c r="AR135" s="115"/>
      <c r="AS135" s="115"/>
      <c r="AT135" s="115"/>
      <c r="AU135" s="25"/>
      <c r="AV135" s="13"/>
      <c r="AY135" s="114"/>
    </row>
    <row r="136" spans="1:51" ht="19.5" x14ac:dyDescent="0.4">
      <c r="A136" s="117"/>
      <c r="B136" s="123"/>
      <c r="C136" s="123"/>
      <c r="D136" s="123"/>
      <c r="K136" s="115" t="s">
        <v>199</v>
      </c>
      <c r="L136" s="17">
        <f>SUBTOTAL(3,L135:L135)</f>
        <v>1</v>
      </c>
      <c r="M136" s="13">
        <f>SUBTOTAL(3,M135:M135)</f>
        <v>1</v>
      </c>
      <c r="W136" s="25"/>
      <c r="X136" s="13"/>
      <c r="AC136" s="116"/>
      <c r="AD136" s="123"/>
      <c r="AE136" s="123"/>
      <c r="AF136" s="123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25"/>
      <c r="AV136" s="13"/>
      <c r="AY136" s="114"/>
    </row>
    <row r="137" spans="1:51" ht="19.5" x14ac:dyDescent="0.4">
      <c r="A137" s="117"/>
      <c r="B137" s="123"/>
      <c r="C137" s="123"/>
      <c r="D137" s="123"/>
      <c r="L137" s="26">
        <v>45803</v>
      </c>
      <c r="M137" s="13" t="s">
        <v>147</v>
      </c>
      <c r="W137" s="25"/>
      <c r="X137" s="13"/>
      <c r="AC137" s="116"/>
      <c r="AD137" s="123"/>
      <c r="AE137" s="123"/>
      <c r="AF137" s="123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25"/>
      <c r="AV137" s="13"/>
      <c r="AY137" s="114"/>
    </row>
    <row r="138" spans="1:51" ht="19.5" x14ac:dyDescent="0.4">
      <c r="A138" s="117"/>
      <c r="B138" s="123"/>
      <c r="C138" s="123"/>
      <c r="D138" s="123"/>
      <c r="K138" s="115" t="s">
        <v>345</v>
      </c>
      <c r="L138" s="17">
        <f>SUBTOTAL(3,L137:L137)</f>
        <v>1</v>
      </c>
      <c r="M138" s="13">
        <f>SUBTOTAL(3,M137:M137)</f>
        <v>1</v>
      </c>
      <c r="W138" s="25"/>
      <c r="X138" s="13"/>
      <c r="AC138" s="116"/>
      <c r="AD138" s="123"/>
      <c r="AE138" s="123"/>
      <c r="AF138" s="123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25"/>
      <c r="AV138" s="13"/>
      <c r="AY138" s="114"/>
    </row>
    <row r="139" spans="1:51" ht="19.5" x14ac:dyDescent="0.4">
      <c r="A139" s="117"/>
      <c r="B139" s="123"/>
      <c r="C139" s="123"/>
      <c r="D139" s="123"/>
      <c r="L139" s="26">
        <v>45829</v>
      </c>
      <c r="M139" s="13" t="s">
        <v>147</v>
      </c>
      <c r="N139" s="115"/>
      <c r="O139" s="115"/>
      <c r="P139" s="115"/>
      <c r="Q139" s="115"/>
      <c r="R139" s="115"/>
      <c r="S139" s="115"/>
      <c r="T139" s="115"/>
      <c r="U139" s="115"/>
      <c r="V139" s="115"/>
      <c r="W139" s="25">
        <v>45679</v>
      </c>
      <c r="X139" s="13" t="s">
        <v>146</v>
      </c>
      <c r="AC139" s="116"/>
      <c r="AD139" s="123"/>
      <c r="AE139" s="123"/>
      <c r="AF139" s="123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25"/>
      <c r="AV139" s="13"/>
      <c r="AY139" s="114"/>
    </row>
    <row r="140" spans="1:51" ht="19.5" x14ac:dyDescent="0.4">
      <c r="A140" s="117"/>
      <c r="B140" s="123"/>
      <c r="C140" s="123"/>
      <c r="D140" s="123"/>
      <c r="K140" s="115" t="s">
        <v>209</v>
      </c>
      <c r="L140" s="17">
        <f>SUBTOTAL(3,L139:L139)</f>
        <v>1</v>
      </c>
      <c r="M140" s="13">
        <f>SUBTOTAL(3,M139:M139)</f>
        <v>1</v>
      </c>
      <c r="N140" s="115"/>
      <c r="O140" s="115"/>
      <c r="P140" s="115"/>
      <c r="Q140" s="115"/>
      <c r="R140" s="115"/>
      <c r="S140" s="115"/>
      <c r="T140" s="115"/>
      <c r="U140" s="115"/>
      <c r="V140" s="115"/>
      <c r="W140" s="25"/>
      <c r="X140" s="13"/>
      <c r="AC140" s="116"/>
      <c r="AD140" s="123"/>
      <c r="AE140" s="123"/>
      <c r="AF140" s="123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25"/>
      <c r="AV140" s="13"/>
      <c r="AY140" s="114"/>
    </row>
    <row r="141" spans="1:51" ht="19.5" x14ac:dyDescent="0.4">
      <c r="A141" s="117"/>
      <c r="B141" s="123"/>
      <c r="C141" s="123"/>
      <c r="D141" s="123"/>
      <c r="L141" s="26">
        <v>45867</v>
      </c>
      <c r="M141" s="13" t="s">
        <v>146</v>
      </c>
      <c r="N141" s="115"/>
      <c r="O141" s="115"/>
      <c r="P141" s="115"/>
      <c r="Q141" s="115"/>
      <c r="R141" s="115"/>
      <c r="S141" s="115"/>
      <c r="T141" s="115"/>
      <c r="U141" s="115"/>
      <c r="V141" s="115"/>
      <c r="W141" s="25"/>
      <c r="X141" s="13"/>
      <c r="AC141" s="116"/>
      <c r="AD141" s="123"/>
      <c r="AE141" s="123"/>
      <c r="AF141" s="123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25"/>
      <c r="AV141" s="13"/>
      <c r="AY141" s="114"/>
    </row>
    <row r="142" spans="1:51" ht="19.5" x14ac:dyDescent="0.4">
      <c r="A142" s="117"/>
      <c r="B142" s="123"/>
      <c r="C142" s="123"/>
      <c r="D142" s="123"/>
      <c r="K142" s="115" t="s">
        <v>346</v>
      </c>
      <c r="L142" s="17">
        <f>SUBTOTAL(3,L141:L141)</f>
        <v>1</v>
      </c>
      <c r="M142" s="13">
        <f>SUBTOTAL(3,M141:M141)</f>
        <v>1</v>
      </c>
      <c r="N142" s="115"/>
      <c r="O142" s="115"/>
      <c r="P142" s="115"/>
      <c r="Q142" s="115"/>
      <c r="R142" s="115"/>
      <c r="S142" s="115"/>
      <c r="T142" s="115"/>
      <c r="U142" s="115"/>
      <c r="V142" s="115"/>
      <c r="W142" s="25"/>
      <c r="X142" s="13"/>
      <c r="AC142" s="116"/>
      <c r="AD142" s="123"/>
      <c r="AE142" s="123"/>
      <c r="AF142" s="123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25"/>
      <c r="AV142" s="13"/>
      <c r="AY142" s="114"/>
    </row>
    <row r="143" spans="1:51" ht="19.5" x14ac:dyDescent="0.4">
      <c r="A143" s="117"/>
      <c r="B143" s="123"/>
      <c r="C143" s="123"/>
      <c r="D143" s="123"/>
      <c r="K143" s="115" t="s">
        <v>145</v>
      </c>
      <c r="L143" s="17">
        <f>SUBTOTAL(3,L2:L141)</f>
        <v>112</v>
      </c>
      <c r="M143" s="13">
        <f>SUBTOTAL(3,M2:M141)</f>
        <v>112</v>
      </c>
      <c r="N143" s="115"/>
      <c r="O143" s="115"/>
      <c r="P143" s="115"/>
      <c r="Q143" s="115"/>
      <c r="R143" s="115"/>
      <c r="S143" s="115"/>
      <c r="T143" s="115"/>
      <c r="U143" s="115"/>
      <c r="V143" s="115"/>
      <c r="W143" s="25"/>
      <c r="X143" s="13"/>
      <c r="AC143" s="116"/>
      <c r="AD143" s="123"/>
      <c r="AE143" s="123"/>
      <c r="AF143" s="123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25"/>
      <c r="AV143" s="13"/>
      <c r="AY143" s="114"/>
    </row>
    <row r="144" spans="1:51" ht="19.5" x14ac:dyDescent="0.4">
      <c r="A144" s="117"/>
      <c r="B144" s="123"/>
      <c r="C144" s="123"/>
      <c r="D144" s="123"/>
      <c r="L144" s="26"/>
      <c r="M144" s="13"/>
      <c r="N144" s="115"/>
      <c r="O144" s="115"/>
      <c r="P144" s="115"/>
      <c r="Q144" s="115"/>
      <c r="R144" s="115"/>
      <c r="S144" s="115"/>
      <c r="T144" s="115"/>
      <c r="U144" s="115"/>
      <c r="V144" s="115"/>
      <c r="W144" s="25">
        <v>45679</v>
      </c>
      <c r="X144" s="13" t="s">
        <v>147</v>
      </c>
      <c r="AC144" s="116"/>
      <c r="AD144" s="123"/>
      <c r="AE144" s="123"/>
      <c r="AF144" s="123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25"/>
      <c r="AV144" s="13"/>
      <c r="AY144" s="114"/>
    </row>
    <row r="145" spans="1:51" ht="19.5" x14ac:dyDescent="0.4">
      <c r="A145" s="117"/>
      <c r="B145" s="123"/>
      <c r="C145" s="123"/>
      <c r="D145" s="123"/>
      <c r="L145" s="26"/>
      <c r="M145" s="13"/>
      <c r="N145" s="115"/>
      <c r="O145" s="115"/>
      <c r="P145" s="115"/>
      <c r="Q145" s="115"/>
      <c r="R145" s="115"/>
      <c r="S145" s="115"/>
      <c r="T145" s="115"/>
      <c r="U145" s="115"/>
      <c r="V145" s="115"/>
      <c r="W145" s="25">
        <v>45680</v>
      </c>
      <c r="X145" s="13" t="s">
        <v>148</v>
      </c>
      <c r="AC145" s="116"/>
      <c r="AD145" s="123"/>
      <c r="AE145" s="123"/>
      <c r="AF145" s="123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25"/>
      <c r="AV145" s="13"/>
      <c r="AY145" s="114"/>
    </row>
    <row r="146" spans="1:51" ht="19.5" x14ac:dyDescent="0.4">
      <c r="A146" s="117"/>
      <c r="B146" s="123"/>
      <c r="C146" s="123"/>
      <c r="D146" s="123"/>
      <c r="I146" s="115"/>
      <c r="J146" s="115"/>
      <c r="K146" s="115"/>
      <c r="L146" s="26"/>
      <c r="M146" s="13"/>
      <c r="N146" s="115"/>
      <c r="O146" s="115"/>
      <c r="P146" s="115"/>
      <c r="Q146" s="115"/>
      <c r="R146" s="115"/>
      <c r="S146" s="115"/>
      <c r="T146" s="115"/>
      <c r="U146" s="115"/>
      <c r="V146" s="115"/>
      <c r="W146" s="25"/>
      <c r="X146" s="13"/>
      <c r="AC146" s="116"/>
      <c r="AD146" s="123"/>
      <c r="AE146" s="123"/>
      <c r="AF146" s="123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25"/>
      <c r="AV146" s="13"/>
      <c r="AY146" s="114"/>
    </row>
    <row r="147" spans="1:51" ht="19.5" x14ac:dyDescent="0.4">
      <c r="A147" s="117"/>
      <c r="B147" s="123"/>
      <c r="C147" s="123"/>
      <c r="D147" s="123"/>
      <c r="L147" s="26"/>
      <c r="M147" s="13"/>
      <c r="N147" s="115"/>
      <c r="O147" s="115"/>
      <c r="P147" s="115"/>
      <c r="Q147" s="115"/>
      <c r="R147" s="115"/>
      <c r="S147" s="115"/>
      <c r="T147" s="115"/>
      <c r="U147" s="115"/>
      <c r="V147" s="115"/>
      <c r="W147" s="25">
        <v>45680</v>
      </c>
      <c r="X147" s="13" t="s">
        <v>147</v>
      </c>
      <c r="AC147" s="116"/>
      <c r="AD147" s="123"/>
      <c r="AE147" s="123"/>
      <c r="AF147" s="123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25"/>
      <c r="AV147" s="13"/>
      <c r="AY147" s="114"/>
    </row>
    <row r="148" spans="1:51" ht="19.5" x14ac:dyDescent="0.4">
      <c r="A148" s="117"/>
      <c r="B148" s="123"/>
      <c r="C148" s="123"/>
      <c r="D148" s="123"/>
      <c r="I148" s="115"/>
      <c r="J148" s="115"/>
      <c r="K148" s="115"/>
      <c r="L148" s="26"/>
      <c r="M148" s="13"/>
      <c r="N148" s="115"/>
      <c r="O148" s="115"/>
      <c r="P148" s="115"/>
      <c r="Q148" s="115"/>
      <c r="R148" s="115"/>
      <c r="S148" s="115"/>
      <c r="T148" s="115"/>
      <c r="U148" s="115"/>
      <c r="V148" s="115"/>
      <c r="W148" s="25"/>
      <c r="X148" s="13"/>
      <c r="AC148" s="116"/>
      <c r="AD148" s="123"/>
      <c r="AE148" s="123"/>
      <c r="AF148" s="123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25"/>
      <c r="AV148" s="13"/>
      <c r="AY148" s="114"/>
    </row>
    <row r="149" spans="1:51" ht="19.5" x14ac:dyDescent="0.4">
      <c r="A149" s="117"/>
      <c r="B149" s="123"/>
      <c r="C149" s="123"/>
      <c r="D149" s="123"/>
      <c r="I149" s="115"/>
      <c r="J149" s="115"/>
      <c r="K149" s="115"/>
      <c r="L149" s="17"/>
      <c r="M149" s="13"/>
      <c r="N149" s="115"/>
      <c r="O149" s="115"/>
      <c r="P149" s="115"/>
      <c r="Q149" s="115"/>
      <c r="R149" s="115"/>
      <c r="S149" s="115"/>
      <c r="T149" s="115"/>
      <c r="U149" s="115"/>
      <c r="V149" s="115"/>
      <c r="W149" s="25"/>
      <c r="X149" s="13"/>
      <c r="AC149" s="116"/>
      <c r="AD149" s="123"/>
      <c r="AE149" s="123"/>
      <c r="AF149" s="123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25"/>
      <c r="AV149" s="13"/>
      <c r="AY149" s="114"/>
    </row>
    <row r="150" spans="1:51" ht="19.5" x14ac:dyDescent="0.4">
      <c r="A150" s="117"/>
      <c r="B150" s="123"/>
      <c r="C150" s="123"/>
      <c r="D150" s="123"/>
      <c r="L150" s="26"/>
      <c r="M150" s="13"/>
      <c r="N150" s="115"/>
      <c r="O150" s="115"/>
      <c r="P150" s="115"/>
      <c r="Q150" s="115"/>
      <c r="R150" s="115"/>
      <c r="S150" s="115"/>
      <c r="T150" s="115"/>
      <c r="U150" s="115"/>
      <c r="V150" s="115"/>
      <c r="W150" s="25">
        <v>45680</v>
      </c>
      <c r="X150" s="13" t="s">
        <v>147</v>
      </c>
      <c r="AC150" s="116"/>
      <c r="AD150" s="123"/>
      <c r="AE150" s="123"/>
      <c r="AF150" s="123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115"/>
      <c r="AU150" s="25"/>
      <c r="AV150" s="13"/>
      <c r="AY150" s="114"/>
    </row>
    <row r="151" spans="1:51" ht="19.5" x14ac:dyDescent="0.4">
      <c r="A151" s="117"/>
      <c r="B151" s="123"/>
      <c r="C151" s="123"/>
      <c r="D151" s="123"/>
      <c r="L151" s="26"/>
      <c r="M151" s="13"/>
      <c r="N151" s="115"/>
      <c r="O151" s="115"/>
      <c r="P151" s="115"/>
      <c r="Q151" s="115"/>
      <c r="R151" s="115"/>
      <c r="S151" s="115"/>
      <c r="T151" s="115"/>
      <c r="U151" s="115"/>
      <c r="V151" s="115"/>
      <c r="W151" s="25"/>
      <c r="X151" s="13"/>
      <c r="AC151" s="116"/>
      <c r="AD151" s="123"/>
      <c r="AE151" s="123"/>
      <c r="AF151" s="123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25"/>
      <c r="AV151" s="13"/>
      <c r="AY151" s="114"/>
    </row>
    <row r="152" spans="1:51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26"/>
      <c r="M152" s="13"/>
      <c r="N152" s="115"/>
      <c r="O152" s="115"/>
      <c r="P152" s="115"/>
      <c r="Q152" s="115"/>
      <c r="R152" s="115"/>
      <c r="S152" s="115"/>
      <c r="T152" s="115"/>
      <c r="U152" s="115"/>
      <c r="V152" s="115"/>
      <c r="W152" s="25"/>
      <c r="X152" s="13"/>
      <c r="AC152" s="116"/>
      <c r="AD152" s="123"/>
      <c r="AE152" s="123"/>
      <c r="AF152" s="123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25"/>
      <c r="AV152" s="13"/>
      <c r="AY152" s="114"/>
    </row>
    <row r="153" spans="1:51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7"/>
      <c r="M153" s="13"/>
      <c r="N153" s="115"/>
      <c r="O153" s="115"/>
      <c r="P153" s="115"/>
      <c r="Q153" s="115"/>
      <c r="R153" s="115"/>
      <c r="S153" s="115"/>
      <c r="T153" s="115"/>
      <c r="U153" s="115"/>
      <c r="V153" s="115"/>
      <c r="W153" s="25"/>
      <c r="X153" s="13"/>
      <c r="AC153" s="116"/>
      <c r="AD153" s="123"/>
      <c r="AE153" s="123"/>
      <c r="AF153" s="123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25"/>
      <c r="AV153" s="13"/>
      <c r="AY153" s="114"/>
    </row>
    <row r="154" spans="1:51" ht="19.5" x14ac:dyDescent="0.4">
      <c r="A154" s="117"/>
      <c r="B154" s="123"/>
      <c r="C154" s="123"/>
      <c r="D154" s="123"/>
      <c r="L154" s="26"/>
      <c r="M154" s="13"/>
      <c r="N154" s="115"/>
      <c r="O154" s="115"/>
      <c r="P154" s="115"/>
      <c r="Q154" s="115"/>
      <c r="R154" s="115"/>
      <c r="S154" s="115"/>
      <c r="T154" s="115"/>
      <c r="U154" s="115"/>
      <c r="V154" s="115"/>
      <c r="W154" s="25">
        <v>45680</v>
      </c>
      <c r="X154" s="13" t="s">
        <v>146</v>
      </c>
      <c r="AC154" s="116"/>
      <c r="AD154" s="123"/>
      <c r="AE154" s="123"/>
      <c r="AF154" s="123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25"/>
      <c r="AV154" s="13"/>
      <c r="AY154" s="114"/>
    </row>
    <row r="155" spans="1:51" ht="19.5" x14ac:dyDescent="0.4">
      <c r="A155" s="117"/>
      <c r="B155" s="123"/>
      <c r="C155" s="123"/>
      <c r="D155" s="123"/>
      <c r="L155" s="26"/>
      <c r="M155" s="13"/>
      <c r="N155" s="115"/>
      <c r="O155" s="115"/>
      <c r="P155" s="115"/>
      <c r="Q155" s="115"/>
      <c r="R155" s="115"/>
      <c r="S155" s="115"/>
      <c r="T155" s="115"/>
      <c r="U155" s="115"/>
      <c r="V155" s="115"/>
      <c r="W155" s="25">
        <v>45680</v>
      </c>
      <c r="X155" s="13" t="s">
        <v>146</v>
      </c>
      <c r="AC155" s="116"/>
      <c r="AD155" s="123"/>
      <c r="AE155" s="123"/>
      <c r="AF155" s="123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25"/>
      <c r="AV155" s="13"/>
      <c r="AY155" s="114"/>
    </row>
    <row r="156" spans="1:51" ht="19.5" x14ac:dyDescent="0.4">
      <c r="A156" s="117"/>
      <c r="B156" s="123"/>
      <c r="C156" s="123"/>
      <c r="D156" s="123"/>
      <c r="F156" s="115"/>
      <c r="G156" s="115"/>
      <c r="H156" s="115"/>
      <c r="I156" s="115"/>
      <c r="J156" s="115"/>
      <c r="K156" s="115"/>
      <c r="L156" s="26"/>
      <c r="M156" s="13"/>
      <c r="N156" s="115"/>
      <c r="O156" s="115"/>
      <c r="P156" s="115"/>
      <c r="Q156" s="115"/>
      <c r="R156" s="115"/>
      <c r="S156" s="115"/>
      <c r="T156" s="115"/>
      <c r="U156" s="115"/>
      <c r="V156" s="115"/>
      <c r="W156" s="25">
        <v>45680</v>
      </c>
      <c r="X156" s="13" t="s">
        <v>147</v>
      </c>
      <c r="AC156" s="116"/>
      <c r="AD156" s="123"/>
      <c r="AE156" s="123"/>
      <c r="AF156" s="123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25"/>
      <c r="AV156" s="13"/>
      <c r="AY156" s="114"/>
    </row>
    <row r="157" spans="1:51" ht="19.5" x14ac:dyDescent="0.4">
      <c r="A157" s="117"/>
      <c r="B157" s="123"/>
      <c r="C157" s="123"/>
      <c r="D157" s="123"/>
      <c r="F157" s="115"/>
      <c r="G157" s="115"/>
      <c r="H157" s="115"/>
      <c r="I157" s="115"/>
      <c r="J157" s="115"/>
      <c r="K157" s="115"/>
      <c r="L157" s="26"/>
      <c r="M157" s="13"/>
      <c r="N157" s="115"/>
      <c r="O157" s="115"/>
      <c r="P157" s="115"/>
      <c r="Q157" s="115"/>
      <c r="R157" s="115"/>
      <c r="S157" s="115"/>
      <c r="T157" s="115"/>
      <c r="U157" s="115"/>
      <c r="V157" s="115"/>
      <c r="W157" s="25"/>
      <c r="X157" s="13"/>
      <c r="AC157" s="116"/>
      <c r="AD157" s="123"/>
      <c r="AE157" s="123"/>
      <c r="AF157" s="123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25"/>
      <c r="AV157" s="13"/>
      <c r="AY157" s="114"/>
    </row>
    <row r="158" spans="1:51" ht="19.5" x14ac:dyDescent="0.4">
      <c r="A158" s="117"/>
      <c r="B158" s="123"/>
      <c r="C158" s="123"/>
      <c r="D158" s="123"/>
      <c r="F158" s="115"/>
      <c r="G158" s="115"/>
      <c r="H158" s="115"/>
      <c r="I158" s="115"/>
      <c r="J158" s="115"/>
      <c r="K158" s="115"/>
      <c r="L158" s="26"/>
      <c r="M158" s="13"/>
      <c r="N158" s="115"/>
      <c r="O158" s="115"/>
      <c r="P158" s="115"/>
      <c r="Q158" s="115"/>
      <c r="R158" s="115"/>
      <c r="S158" s="115"/>
      <c r="T158" s="115"/>
      <c r="U158" s="115"/>
      <c r="V158" s="115"/>
      <c r="W158" s="25"/>
      <c r="X158" s="13"/>
      <c r="AC158" s="116"/>
      <c r="AD158" s="123"/>
      <c r="AE158" s="123"/>
      <c r="AF158" s="123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25"/>
      <c r="AV158" s="13"/>
      <c r="AY158" s="114"/>
    </row>
    <row r="159" spans="1:51" ht="19.5" x14ac:dyDescent="0.4">
      <c r="A159" s="117"/>
      <c r="B159" s="123"/>
      <c r="C159" s="123"/>
      <c r="D159" s="123"/>
      <c r="F159" s="115"/>
      <c r="G159" s="115"/>
      <c r="H159" s="115"/>
      <c r="I159" s="115"/>
      <c r="J159" s="115"/>
      <c r="K159" s="115"/>
      <c r="L159" s="26"/>
      <c r="M159" s="13"/>
      <c r="N159" s="115"/>
      <c r="O159" s="115"/>
      <c r="P159" s="115"/>
      <c r="Q159" s="115"/>
      <c r="R159" s="115"/>
      <c r="S159" s="115"/>
      <c r="T159" s="115"/>
      <c r="U159" s="115"/>
      <c r="V159" s="115"/>
      <c r="W159" s="25">
        <v>45680</v>
      </c>
      <c r="X159" s="15" t="s">
        <v>142</v>
      </c>
      <c r="AC159" s="116"/>
      <c r="AD159" s="123"/>
      <c r="AE159" s="123"/>
      <c r="AF159" s="123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25"/>
      <c r="AV159" s="13"/>
      <c r="AY159" s="114"/>
    </row>
    <row r="160" spans="1:51" ht="19.5" x14ac:dyDescent="0.4">
      <c r="A160" s="117"/>
      <c r="B160" s="123"/>
      <c r="C160" s="123"/>
      <c r="D160" s="123"/>
      <c r="F160" s="115"/>
      <c r="G160" s="115"/>
      <c r="H160" s="115"/>
      <c r="I160" s="115"/>
      <c r="J160" s="115"/>
      <c r="K160" s="115"/>
      <c r="L160" s="26"/>
      <c r="M160" s="13"/>
      <c r="N160" s="115"/>
      <c r="O160" s="115"/>
      <c r="P160" s="115"/>
      <c r="Q160" s="115"/>
      <c r="R160" s="115"/>
      <c r="S160" s="115"/>
      <c r="T160" s="115"/>
      <c r="U160" s="115"/>
      <c r="V160" s="115"/>
      <c r="W160" s="25"/>
      <c r="X160" s="15"/>
      <c r="AC160" s="116"/>
      <c r="AD160" s="123"/>
      <c r="AE160" s="123"/>
      <c r="AF160" s="123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25"/>
      <c r="AV160" s="13"/>
      <c r="AY160" s="114"/>
    </row>
    <row r="161" spans="1:51" ht="19.5" x14ac:dyDescent="0.4">
      <c r="A161" s="117"/>
      <c r="B161" s="123"/>
      <c r="C161" s="123"/>
      <c r="D161" s="123"/>
      <c r="F161" s="115"/>
      <c r="G161" s="115"/>
      <c r="H161" s="115"/>
      <c r="I161" s="115"/>
      <c r="J161" s="115"/>
      <c r="K161" s="115"/>
      <c r="L161" s="26"/>
      <c r="M161" s="13"/>
      <c r="N161" s="115"/>
      <c r="O161" s="115"/>
      <c r="P161" s="115"/>
      <c r="Q161" s="115"/>
      <c r="R161" s="115"/>
      <c r="S161" s="115"/>
      <c r="T161" s="115"/>
      <c r="U161" s="115"/>
      <c r="V161" s="115"/>
      <c r="W161" s="25">
        <v>45680</v>
      </c>
      <c r="X161" s="15" t="s">
        <v>146</v>
      </c>
      <c r="AC161" s="116"/>
      <c r="AD161" s="123"/>
      <c r="AE161" s="123"/>
      <c r="AF161" s="123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25"/>
      <c r="AV161" s="13"/>
      <c r="AY161" s="114"/>
    </row>
    <row r="162" spans="1:51" ht="19.5" x14ac:dyDescent="0.4">
      <c r="A162" s="117"/>
      <c r="B162" s="123"/>
      <c r="C162" s="123"/>
      <c r="D162" s="123"/>
      <c r="F162" s="115"/>
      <c r="G162" s="115"/>
      <c r="H162" s="115"/>
      <c r="I162" s="115"/>
      <c r="J162" s="115"/>
      <c r="K162" s="115"/>
      <c r="L162" s="26"/>
      <c r="M162" s="15"/>
      <c r="N162" s="115"/>
      <c r="O162" s="115"/>
      <c r="P162" s="115"/>
      <c r="Q162" s="115"/>
      <c r="R162" s="115"/>
      <c r="S162" s="115"/>
      <c r="T162" s="115"/>
      <c r="U162" s="115"/>
      <c r="V162" s="115"/>
      <c r="W162" s="25"/>
      <c r="X162" s="15"/>
      <c r="AC162" s="116"/>
      <c r="AD162" s="123"/>
      <c r="AE162" s="123"/>
      <c r="AF162" s="123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25"/>
      <c r="AV162" s="13"/>
      <c r="AY162" s="114"/>
    </row>
    <row r="163" spans="1:51" ht="19.5" x14ac:dyDescent="0.4">
      <c r="A163" s="117"/>
      <c r="B163" s="123"/>
      <c r="C163" s="123"/>
      <c r="D163" s="123"/>
      <c r="F163" s="115"/>
      <c r="G163" s="115"/>
      <c r="H163" s="115"/>
      <c r="I163" s="115"/>
      <c r="J163" s="115"/>
      <c r="K163" s="115"/>
      <c r="L163" s="26"/>
      <c r="M163" s="13"/>
      <c r="N163" s="115"/>
      <c r="O163" s="115"/>
      <c r="P163" s="115"/>
      <c r="Q163" s="115"/>
      <c r="R163" s="115"/>
      <c r="S163" s="115"/>
      <c r="T163" s="115"/>
      <c r="U163" s="115"/>
      <c r="V163" s="115"/>
      <c r="W163" s="25">
        <v>45680</v>
      </c>
      <c r="X163" s="15" t="s">
        <v>146</v>
      </c>
      <c r="AC163" s="116"/>
      <c r="AD163" s="123"/>
      <c r="AE163" s="123"/>
      <c r="AF163" s="123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25"/>
      <c r="AV163" s="13"/>
      <c r="AY163" s="114"/>
    </row>
    <row r="164" spans="1:51" ht="19.5" x14ac:dyDescent="0.4">
      <c r="A164" s="117"/>
      <c r="B164" s="123"/>
      <c r="C164" s="123"/>
      <c r="D164" s="123"/>
      <c r="F164" s="115"/>
      <c r="G164" s="115"/>
      <c r="H164" s="115"/>
      <c r="I164" s="115"/>
      <c r="J164" s="115"/>
      <c r="K164" s="115"/>
      <c r="L164" s="17"/>
      <c r="M164" s="13"/>
      <c r="N164" s="115"/>
      <c r="O164" s="115"/>
      <c r="P164" s="115"/>
      <c r="Q164" s="115"/>
      <c r="R164" s="115"/>
      <c r="S164" s="115"/>
      <c r="T164" s="115"/>
      <c r="U164" s="115"/>
      <c r="V164" s="115"/>
      <c r="W164" s="25"/>
      <c r="X164" s="15"/>
      <c r="AC164" s="116"/>
      <c r="AD164" s="123"/>
      <c r="AE164" s="123"/>
      <c r="AF164" s="123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25"/>
      <c r="AV164" s="13"/>
      <c r="AY164" s="114"/>
    </row>
    <row r="165" spans="1:51" ht="19.5" x14ac:dyDescent="0.4">
      <c r="A165" s="117"/>
      <c r="B165" s="123"/>
      <c r="C165" s="123"/>
      <c r="D165" s="123"/>
      <c r="F165" s="115"/>
      <c r="G165" s="115"/>
      <c r="H165" s="115"/>
      <c r="I165" s="115"/>
      <c r="J165" s="115"/>
      <c r="K165" s="115"/>
      <c r="L165" s="26"/>
      <c r="M165" s="13"/>
      <c r="N165" s="115"/>
      <c r="O165" s="115"/>
      <c r="P165" s="115"/>
      <c r="Q165" s="115"/>
      <c r="R165" s="115"/>
      <c r="S165" s="115"/>
      <c r="T165" s="115"/>
      <c r="U165" s="115"/>
      <c r="V165" s="115"/>
      <c r="W165" s="25"/>
      <c r="X165" s="15"/>
      <c r="AC165" s="116"/>
      <c r="AD165" s="123"/>
      <c r="AE165" s="123"/>
      <c r="AF165" s="123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25"/>
      <c r="AV165" s="13"/>
      <c r="AY165" s="114"/>
    </row>
    <row r="166" spans="1:51" ht="19.5" x14ac:dyDescent="0.4">
      <c r="A166" s="117"/>
      <c r="B166" s="123"/>
      <c r="C166" s="123"/>
      <c r="D166" s="123"/>
      <c r="F166" s="115"/>
      <c r="G166" s="115"/>
      <c r="H166" s="115"/>
      <c r="I166" s="115"/>
      <c r="J166" s="115"/>
      <c r="K166" s="115"/>
      <c r="L166" s="26"/>
      <c r="M166" s="13"/>
      <c r="N166" s="115"/>
      <c r="O166" s="115"/>
      <c r="P166" s="115"/>
      <c r="Q166" s="115"/>
      <c r="R166" s="115"/>
      <c r="S166" s="115"/>
      <c r="T166" s="115"/>
      <c r="U166" s="115"/>
      <c r="V166" s="115"/>
      <c r="W166" s="25"/>
      <c r="X166" s="15"/>
      <c r="AC166" s="116"/>
      <c r="AD166" s="123"/>
      <c r="AE166" s="123"/>
      <c r="AF166" s="123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25"/>
      <c r="AV166" s="13"/>
      <c r="AY166" s="114"/>
    </row>
    <row r="167" spans="1:51" ht="19.5" x14ac:dyDescent="0.4">
      <c r="A167" s="117"/>
      <c r="B167" s="123"/>
      <c r="C167" s="123"/>
      <c r="D167" s="123"/>
      <c r="F167" s="115"/>
      <c r="G167" s="115"/>
      <c r="H167" s="115"/>
      <c r="I167" s="115"/>
      <c r="J167" s="115"/>
      <c r="K167" s="115"/>
      <c r="L167" s="26"/>
      <c r="M167" s="13"/>
      <c r="N167" s="115"/>
      <c r="O167" s="115"/>
      <c r="P167" s="115"/>
      <c r="Q167" s="115"/>
      <c r="R167" s="115"/>
      <c r="S167" s="115"/>
      <c r="T167" s="115"/>
      <c r="U167" s="115"/>
      <c r="V167" s="115"/>
      <c r="W167" s="25">
        <v>45680</v>
      </c>
      <c r="X167" s="15" t="s">
        <v>146</v>
      </c>
      <c r="AC167" s="116"/>
      <c r="AD167" s="123"/>
      <c r="AE167" s="123"/>
      <c r="AF167" s="123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25"/>
      <c r="AV167" s="13"/>
      <c r="AY167" s="114"/>
    </row>
    <row r="168" spans="1:51" ht="19.5" x14ac:dyDescent="0.4">
      <c r="A168" s="117"/>
      <c r="B168" s="123"/>
      <c r="C168" s="123"/>
      <c r="D168" s="123"/>
      <c r="F168" s="115"/>
      <c r="G168" s="115"/>
      <c r="H168" s="115"/>
      <c r="I168" s="115"/>
      <c r="J168" s="115"/>
      <c r="K168" s="115"/>
      <c r="L168" s="26"/>
      <c r="M168" s="13"/>
      <c r="N168" s="115"/>
      <c r="O168" s="115"/>
      <c r="P168" s="115"/>
      <c r="Q168" s="115"/>
      <c r="R168" s="115"/>
      <c r="S168" s="115"/>
      <c r="T168" s="115"/>
      <c r="U168" s="115"/>
      <c r="V168" s="115"/>
      <c r="W168" s="25"/>
      <c r="X168" s="15"/>
      <c r="AC168" s="116"/>
      <c r="AD168" s="123"/>
      <c r="AE168" s="123"/>
      <c r="AF168" s="123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25"/>
      <c r="AV168" s="13"/>
      <c r="AY168" s="114"/>
    </row>
    <row r="169" spans="1:51" ht="19.5" x14ac:dyDescent="0.4">
      <c r="A169" s="117"/>
      <c r="B169" s="123"/>
      <c r="C169" s="123"/>
      <c r="D169" s="123"/>
      <c r="F169" s="115"/>
      <c r="G169" s="115"/>
      <c r="H169" s="115"/>
      <c r="I169" s="115"/>
      <c r="J169" s="115"/>
      <c r="K169" s="115"/>
      <c r="L169" s="26"/>
      <c r="M169" s="13"/>
      <c r="N169" s="115"/>
      <c r="O169" s="115"/>
      <c r="P169" s="115"/>
      <c r="Q169" s="115"/>
      <c r="R169" s="115"/>
      <c r="S169" s="115"/>
      <c r="T169" s="115"/>
      <c r="U169" s="115"/>
      <c r="V169" s="115"/>
      <c r="W169" s="25">
        <v>45680</v>
      </c>
      <c r="X169" s="15" t="s">
        <v>147</v>
      </c>
      <c r="AC169" s="116"/>
      <c r="AD169" s="123"/>
      <c r="AE169" s="123"/>
      <c r="AF169" s="123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25"/>
      <c r="AV169" s="13"/>
      <c r="AY169" s="114"/>
    </row>
    <row r="170" spans="1:51" ht="19.5" x14ac:dyDescent="0.4">
      <c r="A170" s="117"/>
      <c r="B170" s="123"/>
      <c r="C170" s="123"/>
      <c r="D170" s="123"/>
      <c r="F170" s="115"/>
      <c r="G170" s="115"/>
      <c r="H170" s="115"/>
      <c r="I170" s="115"/>
      <c r="J170" s="115"/>
      <c r="K170" s="115"/>
      <c r="L170" s="26"/>
      <c r="M170" s="13"/>
      <c r="N170" s="115"/>
      <c r="O170" s="115"/>
      <c r="P170" s="115"/>
      <c r="Q170" s="115"/>
      <c r="R170" s="115"/>
      <c r="S170" s="115"/>
      <c r="T170" s="115"/>
      <c r="U170" s="115"/>
      <c r="V170" s="115"/>
      <c r="W170" s="25"/>
      <c r="X170" s="13"/>
      <c r="AC170" s="116"/>
      <c r="AD170" s="123"/>
      <c r="AE170" s="123"/>
      <c r="AF170" s="123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25"/>
      <c r="AV170" s="13"/>
      <c r="AY170" s="114"/>
    </row>
    <row r="171" spans="1:51" ht="19.5" x14ac:dyDescent="0.4">
      <c r="A171" s="117"/>
      <c r="B171" s="123"/>
      <c r="C171" s="123"/>
      <c r="D171" s="123"/>
      <c r="F171" s="115"/>
      <c r="G171" s="115"/>
      <c r="H171" s="115"/>
      <c r="I171" s="115"/>
      <c r="J171" s="115"/>
      <c r="K171" s="115"/>
      <c r="L171" s="26"/>
      <c r="M171" s="13"/>
      <c r="N171" s="115"/>
      <c r="O171" s="115"/>
      <c r="P171" s="115"/>
      <c r="Q171" s="115"/>
      <c r="R171" s="115"/>
      <c r="S171" s="115"/>
      <c r="T171" s="115"/>
      <c r="U171" s="115"/>
      <c r="V171" s="115"/>
      <c r="W171" s="25"/>
      <c r="X171" s="13"/>
      <c r="AC171" s="116"/>
      <c r="AD171" s="123"/>
      <c r="AE171" s="123"/>
      <c r="AF171" s="123"/>
      <c r="AK171" s="115"/>
      <c r="AL171" s="115"/>
      <c r="AM171" s="115"/>
      <c r="AN171" s="115"/>
      <c r="AO171" s="115"/>
      <c r="AP171" s="115"/>
      <c r="AQ171" s="115"/>
      <c r="AR171" s="115"/>
      <c r="AS171" s="115"/>
      <c r="AT171" s="115"/>
      <c r="AU171" s="25"/>
      <c r="AV171" s="13"/>
      <c r="AY171" s="114"/>
    </row>
    <row r="172" spans="1:51" ht="19.5" x14ac:dyDescent="0.4">
      <c r="A172" s="117"/>
      <c r="B172" s="123"/>
      <c r="C172" s="123"/>
      <c r="D172" s="123"/>
      <c r="F172" s="115"/>
      <c r="G172" s="115"/>
      <c r="H172" s="115"/>
      <c r="I172" s="115"/>
      <c r="J172" s="115"/>
      <c r="K172" s="115"/>
      <c r="L172" s="26"/>
      <c r="M172" s="13"/>
      <c r="N172" s="115"/>
      <c r="O172" s="115"/>
      <c r="P172" s="115"/>
      <c r="Q172" s="115"/>
      <c r="R172" s="115"/>
      <c r="S172" s="115"/>
      <c r="T172" s="115"/>
      <c r="U172" s="115"/>
      <c r="V172" s="115"/>
      <c r="W172" s="25"/>
      <c r="X172" s="13"/>
      <c r="AC172" s="116"/>
      <c r="AD172" s="123"/>
      <c r="AE172" s="123"/>
      <c r="AF172" s="123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25"/>
      <c r="AV172" s="13"/>
      <c r="AY172" s="114"/>
    </row>
    <row r="173" spans="1:51" ht="19.5" x14ac:dyDescent="0.4">
      <c r="A173" s="117"/>
      <c r="B173" s="123"/>
      <c r="C173" s="123"/>
      <c r="D173" s="123"/>
      <c r="F173" s="115"/>
      <c r="G173" s="115"/>
      <c r="H173" s="115"/>
      <c r="I173" s="115"/>
      <c r="J173" s="115"/>
      <c r="K173" s="115"/>
      <c r="L173" s="26"/>
      <c r="M173" s="13"/>
      <c r="N173" s="115"/>
      <c r="O173" s="115"/>
      <c r="P173" s="115"/>
      <c r="Q173" s="115"/>
      <c r="R173" s="115"/>
      <c r="S173" s="115"/>
      <c r="T173" s="115"/>
      <c r="U173" s="115"/>
      <c r="V173" s="115"/>
      <c r="W173" s="25"/>
      <c r="X173" s="13"/>
      <c r="AC173" s="116"/>
      <c r="AD173" s="123"/>
      <c r="AE173" s="123"/>
      <c r="AF173" s="123"/>
      <c r="AK173" s="115"/>
      <c r="AL173" s="115"/>
      <c r="AM173" s="115"/>
      <c r="AN173" s="115"/>
      <c r="AO173" s="115"/>
      <c r="AP173" s="115"/>
      <c r="AQ173" s="115"/>
      <c r="AR173" s="115"/>
      <c r="AS173" s="115"/>
      <c r="AT173" s="115"/>
      <c r="AU173" s="25"/>
      <c r="AV173" s="13"/>
      <c r="AY173" s="114"/>
    </row>
    <row r="174" spans="1:51" ht="19.5" x14ac:dyDescent="0.4">
      <c r="A174" s="117"/>
      <c r="B174" s="123"/>
      <c r="C174" s="123"/>
      <c r="D174" s="123"/>
      <c r="F174" s="115"/>
      <c r="G174" s="115"/>
      <c r="H174" s="115"/>
      <c r="I174" s="115"/>
      <c r="J174" s="115"/>
      <c r="K174" s="115"/>
      <c r="L174" s="26"/>
      <c r="M174" s="13"/>
      <c r="N174" s="115"/>
      <c r="O174" s="115"/>
      <c r="P174" s="115"/>
      <c r="Q174" s="115"/>
      <c r="R174" s="115"/>
      <c r="S174" s="115"/>
      <c r="T174" s="115"/>
      <c r="U174" s="115"/>
      <c r="V174" s="115"/>
      <c r="W174" s="25"/>
      <c r="X174" s="13"/>
      <c r="AC174" s="116"/>
      <c r="AD174" s="123"/>
      <c r="AE174" s="123"/>
      <c r="AF174" s="123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25"/>
      <c r="AV174" s="13"/>
      <c r="AY174" s="114"/>
    </row>
    <row r="175" spans="1:51" ht="19.5" x14ac:dyDescent="0.4">
      <c r="A175" s="117"/>
      <c r="B175" s="123"/>
      <c r="C175" s="123"/>
      <c r="D175" s="123"/>
      <c r="F175" s="115"/>
      <c r="G175" s="115"/>
      <c r="H175" s="115"/>
      <c r="I175" s="115"/>
      <c r="J175" s="115"/>
      <c r="K175" s="115"/>
      <c r="L175" s="26"/>
      <c r="M175" s="13"/>
      <c r="N175" s="115"/>
      <c r="O175" s="115"/>
      <c r="P175" s="115"/>
      <c r="Q175" s="115"/>
      <c r="R175" s="115"/>
      <c r="S175" s="115"/>
      <c r="T175" s="115"/>
      <c r="U175" s="115"/>
      <c r="V175" s="115"/>
      <c r="W175" s="25"/>
      <c r="X175" s="13"/>
      <c r="AC175" s="116"/>
      <c r="AD175" s="123"/>
      <c r="AE175" s="123"/>
      <c r="AF175" s="123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25"/>
      <c r="AV175" s="13"/>
      <c r="AY175" s="114"/>
    </row>
    <row r="176" spans="1:51" ht="19.5" x14ac:dyDescent="0.4">
      <c r="A176" s="117"/>
      <c r="B176" s="123"/>
      <c r="C176" s="123"/>
      <c r="D176" s="123"/>
      <c r="F176" s="115"/>
      <c r="G176" s="115"/>
      <c r="H176" s="115"/>
      <c r="I176" s="115"/>
      <c r="J176" s="115"/>
      <c r="K176" s="115"/>
      <c r="L176" s="26"/>
      <c r="M176" s="13"/>
      <c r="N176" s="115"/>
      <c r="O176" s="115"/>
      <c r="P176" s="115"/>
      <c r="Q176" s="115"/>
      <c r="R176" s="115"/>
      <c r="S176" s="115"/>
      <c r="T176" s="115"/>
      <c r="U176" s="115"/>
      <c r="V176" s="115"/>
      <c r="W176" s="25">
        <v>45680</v>
      </c>
      <c r="X176" s="13" t="s">
        <v>146</v>
      </c>
      <c r="AC176" s="116"/>
      <c r="AD176" s="123"/>
      <c r="AE176" s="123"/>
      <c r="AF176" s="123"/>
      <c r="AK176" s="115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25"/>
      <c r="AV176" s="13"/>
      <c r="AY176" s="114"/>
    </row>
    <row r="177" spans="1:51" ht="19.5" x14ac:dyDescent="0.4">
      <c r="A177" s="117"/>
      <c r="B177" s="123"/>
      <c r="C177" s="123"/>
      <c r="D177" s="123"/>
      <c r="F177" s="115"/>
      <c r="G177" s="115"/>
      <c r="H177" s="115"/>
      <c r="I177" s="115"/>
      <c r="J177" s="115"/>
      <c r="K177" s="115"/>
      <c r="L177" s="17"/>
      <c r="M177" s="13"/>
      <c r="N177" s="115"/>
      <c r="O177" s="115"/>
      <c r="P177" s="115"/>
      <c r="Q177" s="115"/>
      <c r="R177" s="115"/>
      <c r="S177" s="115"/>
      <c r="T177" s="115"/>
      <c r="U177" s="115"/>
      <c r="V177" s="115"/>
      <c r="W177" s="25"/>
      <c r="X177" s="13"/>
      <c r="AC177" s="116"/>
      <c r="AD177" s="123"/>
      <c r="AE177" s="123"/>
      <c r="AF177" s="123"/>
      <c r="AK177" s="115"/>
      <c r="AL177" s="115"/>
      <c r="AM177" s="115"/>
      <c r="AN177" s="115"/>
      <c r="AO177" s="115"/>
      <c r="AP177" s="115"/>
      <c r="AQ177" s="115"/>
      <c r="AR177" s="115"/>
      <c r="AS177" s="115"/>
      <c r="AT177" s="115"/>
      <c r="AU177" s="25"/>
      <c r="AV177" s="13"/>
      <c r="AY177" s="114"/>
    </row>
    <row r="178" spans="1:51" ht="19.5" x14ac:dyDescent="0.4">
      <c r="A178" s="117"/>
      <c r="B178" s="123"/>
      <c r="C178" s="123"/>
      <c r="D178" s="123"/>
      <c r="F178" s="115"/>
      <c r="G178" s="115"/>
      <c r="H178" s="115"/>
      <c r="I178" s="115"/>
      <c r="J178" s="115"/>
      <c r="K178" s="115"/>
      <c r="L178" s="26"/>
      <c r="M178" s="13"/>
      <c r="N178" s="115"/>
      <c r="O178" s="115"/>
      <c r="P178" s="115"/>
      <c r="Q178" s="115"/>
      <c r="R178" s="115"/>
      <c r="S178" s="115"/>
      <c r="T178" s="115"/>
      <c r="U178" s="115"/>
      <c r="V178" s="115"/>
      <c r="W178" s="25">
        <v>45680</v>
      </c>
      <c r="X178" s="13" t="s">
        <v>147</v>
      </c>
      <c r="AC178" s="116"/>
      <c r="AD178" s="123"/>
      <c r="AE178" s="123"/>
      <c r="AF178" s="123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25"/>
      <c r="AV178" s="13"/>
      <c r="AY178" s="114"/>
    </row>
    <row r="179" spans="1:51" ht="19.5" x14ac:dyDescent="0.4">
      <c r="A179" s="117"/>
      <c r="B179" s="123"/>
      <c r="C179" s="123"/>
      <c r="D179" s="123"/>
      <c r="F179" s="115"/>
      <c r="G179" s="115"/>
      <c r="H179" s="115"/>
      <c r="I179" s="115"/>
      <c r="J179" s="115"/>
      <c r="K179" s="115"/>
      <c r="L179" s="26"/>
      <c r="M179" s="13"/>
      <c r="N179" s="115"/>
      <c r="O179" s="115"/>
      <c r="P179" s="115"/>
      <c r="Q179" s="115"/>
      <c r="R179" s="115"/>
      <c r="S179" s="115"/>
      <c r="T179" s="115"/>
      <c r="U179" s="115"/>
      <c r="V179" s="115"/>
      <c r="W179" s="25">
        <v>45680</v>
      </c>
      <c r="X179" s="13" t="s">
        <v>146</v>
      </c>
      <c r="AC179" s="116"/>
      <c r="AD179" s="123"/>
      <c r="AE179" s="123"/>
      <c r="AF179" s="123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25"/>
      <c r="AV179" s="13"/>
      <c r="AY179" s="114"/>
    </row>
    <row r="180" spans="1:51" ht="19.5" x14ac:dyDescent="0.4">
      <c r="A180" s="117"/>
      <c r="B180" s="123"/>
      <c r="C180" s="123"/>
      <c r="D180" s="123"/>
      <c r="F180" s="115"/>
      <c r="G180" s="115"/>
      <c r="H180" s="115"/>
      <c r="I180" s="115"/>
      <c r="J180" s="115"/>
      <c r="K180" s="115"/>
      <c r="L180" s="17"/>
      <c r="M180" s="13"/>
      <c r="N180" s="115"/>
      <c r="O180" s="115"/>
      <c r="P180" s="115"/>
      <c r="Q180" s="115"/>
      <c r="R180" s="115"/>
      <c r="S180" s="115"/>
      <c r="T180" s="115"/>
      <c r="U180" s="115"/>
      <c r="V180" s="115"/>
      <c r="W180" s="25"/>
      <c r="X180" s="13"/>
      <c r="AC180" s="116"/>
      <c r="AD180" s="123"/>
      <c r="AE180" s="123"/>
      <c r="AF180" s="123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25"/>
      <c r="AV180" s="13"/>
      <c r="AY180" s="114"/>
    </row>
    <row r="181" spans="1:51" ht="19.5" x14ac:dyDescent="0.4">
      <c r="A181" s="117"/>
      <c r="B181" s="123"/>
      <c r="C181" s="123"/>
      <c r="D181" s="123"/>
      <c r="F181" s="115"/>
      <c r="G181" s="115"/>
      <c r="H181" s="115"/>
      <c r="I181" s="115"/>
      <c r="J181" s="115"/>
      <c r="K181" s="115"/>
      <c r="L181" s="26"/>
      <c r="M181" s="13"/>
      <c r="N181" s="115"/>
      <c r="O181" s="115"/>
      <c r="P181" s="115"/>
      <c r="Q181" s="115"/>
      <c r="R181" s="115"/>
      <c r="S181" s="115"/>
      <c r="T181" s="115"/>
      <c r="U181" s="115"/>
      <c r="V181" s="115"/>
      <c r="W181" s="25"/>
      <c r="X181" s="13"/>
      <c r="AC181" s="116"/>
      <c r="AD181" s="123"/>
      <c r="AE181" s="123"/>
      <c r="AF181" s="123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25"/>
      <c r="AV181" s="13"/>
      <c r="AY181" s="114"/>
    </row>
    <row r="182" spans="1:51" ht="19.5" x14ac:dyDescent="0.4">
      <c r="A182" s="117"/>
      <c r="B182" s="123"/>
      <c r="C182" s="123"/>
      <c r="D182" s="123"/>
      <c r="F182" s="115"/>
      <c r="G182" s="115"/>
      <c r="H182" s="115"/>
      <c r="I182" s="115"/>
      <c r="J182" s="115"/>
      <c r="K182" s="115"/>
      <c r="L182" s="17"/>
      <c r="M182" s="13"/>
      <c r="N182" s="115"/>
      <c r="O182" s="115"/>
      <c r="P182" s="115"/>
      <c r="Q182" s="115"/>
      <c r="R182" s="115"/>
      <c r="S182" s="115"/>
      <c r="T182" s="115"/>
      <c r="U182" s="115"/>
      <c r="V182" s="115"/>
      <c r="W182" s="25"/>
      <c r="X182" s="13"/>
      <c r="AC182" s="116"/>
      <c r="AD182" s="123"/>
      <c r="AE182" s="123"/>
      <c r="AF182" s="123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25"/>
      <c r="AV182" s="13"/>
      <c r="AY182" s="114"/>
    </row>
    <row r="183" spans="1:51" ht="19.5" x14ac:dyDescent="0.4">
      <c r="A183" s="117"/>
      <c r="B183" s="123"/>
      <c r="C183" s="123"/>
      <c r="D183" s="123"/>
      <c r="L183" s="26"/>
      <c r="M183" s="13"/>
      <c r="W183" s="25">
        <v>45680</v>
      </c>
      <c r="X183" s="13" t="s">
        <v>146</v>
      </c>
      <c r="AC183" s="117"/>
      <c r="AD183" s="123"/>
      <c r="AE183" s="123"/>
      <c r="AF183" s="123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15" t="s">
        <v>149</v>
      </c>
      <c r="AU183" s="13">
        <f>SUBTOTAL(3,AU2:AU2)</f>
        <v>1</v>
      </c>
      <c r="AV183" s="13">
        <f>SUBTOTAL(3,AV2:AV2)</f>
        <v>1</v>
      </c>
      <c r="AY183" s="114"/>
    </row>
    <row r="184" spans="1:51" ht="19.5" x14ac:dyDescent="0.4">
      <c r="A184" s="117"/>
      <c r="B184" s="123"/>
      <c r="C184" s="123"/>
      <c r="D184" s="123"/>
      <c r="J184" s="115"/>
      <c r="K184" s="115"/>
      <c r="L184" s="17"/>
      <c r="M184" s="13"/>
      <c r="W184" s="25"/>
      <c r="X184" s="13"/>
      <c r="AC184" s="117"/>
      <c r="AD184" s="123"/>
      <c r="AE184" s="123"/>
      <c r="AF184" s="123"/>
      <c r="AK184" s="115"/>
      <c r="AL184" s="115"/>
      <c r="AM184" s="115"/>
      <c r="AN184" s="115"/>
      <c r="AO184" s="115"/>
      <c r="AP184" s="115"/>
      <c r="AQ184" s="115"/>
      <c r="AR184" s="115"/>
      <c r="AS184" s="115"/>
      <c r="AT184" s="115"/>
      <c r="AU184" s="13"/>
      <c r="AV184" s="13"/>
      <c r="AY184" s="114"/>
    </row>
    <row r="185" spans="1:51" ht="19.5" x14ac:dyDescent="0.4">
      <c r="A185" s="117"/>
      <c r="B185" s="123"/>
      <c r="C185" s="123"/>
      <c r="D185" s="123"/>
      <c r="L185" s="26"/>
      <c r="M185" s="13"/>
      <c r="W185" s="25"/>
      <c r="X185" s="13"/>
      <c r="AC185" s="117"/>
      <c r="AD185" s="123"/>
      <c r="AE185" s="123"/>
      <c r="AF185" s="123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3"/>
      <c r="AV185" s="13"/>
      <c r="AY185" s="114"/>
    </row>
    <row r="186" spans="1:51" ht="19.5" x14ac:dyDescent="0.4">
      <c r="A186" s="117"/>
      <c r="B186" s="123"/>
      <c r="C186" s="123"/>
      <c r="D186" s="123"/>
      <c r="L186" s="26"/>
      <c r="M186" s="13"/>
      <c r="N186" s="115"/>
      <c r="O186" s="115"/>
      <c r="P186" s="115"/>
      <c r="Q186" s="115"/>
      <c r="R186" s="115"/>
      <c r="S186" s="115"/>
      <c r="T186" s="115"/>
      <c r="U186" s="115"/>
      <c r="V186" s="115"/>
      <c r="W186" s="25">
        <v>45682</v>
      </c>
      <c r="X186" s="13" t="s">
        <v>147</v>
      </c>
      <c r="AC186" s="117"/>
      <c r="AD186" s="123"/>
      <c r="AE186" s="123"/>
      <c r="AF186" s="123"/>
      <c r="AK186" s="115"/>
      <c r="AL186" s="115"/>
      <c r="AM186" s="115"/>
      <c r="AN186" s="115"/>
      <c r="AO186" s="115"/>
      <c r="AP186" s="115"/>
      <c r="AQ186" s="115"/>
      <c r="AR186" s="115"/>
      <c r="AS186" s="115"/>
      <c r="AT186" s="115"/>
      <c r="AU186" s="13"/>
      <c r="AV186" s="13"/>
      <c r="AY186" s="114"/>
    </row>
    <row r="187" spans="1:51" ht="19.5" x14ac:dyDescent="0.4">
      <c r="A187" s="117"/>
      <c r="B187" s="123"/>
      <c r="C187" s="123"/>
      <c r="D187" s="123"/>
      <c r="L187" s="26"/>
      <c r="M187" s="13"/>
      <c r="N187" s="115"/>
      <c r="O187" s="115"/>
      <c r="P187" s="115"/>
      <c r="Q187" s="115"/>
      <c r="R187" s="115"/>
      <c r="S187" s="115"/>
      <c r="T187" s="115"/>
      <c r="U187" s="115"/>
      <c r="V187" s="115"/>
      <c r="W187" s="25">
        <v>45682</v>
      </c>
      <c r="X187" s="13" t="s">
        <v>146</v>
      </c>
      <c r="AC187" s="117"/>
      <c r="AD187" s="123"/>
      <c r="AE187" s="123"/>
      <c r="AF187" s="123"/>
      <c r="AK187" s="115"/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s="13"/>
      <c r="AV187" s="13"/>
      <c r="AY187" s="114"/>
    </row>
    <row r="188" spans="1:51" ht="19.5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26"/>
      <c r="M188" s="13"/>
      <c r="N188" s="115"/>
      <c r="O188" s="115"/>
      <c r="P188" s="115"/>
      <c r="Q188" s="115"/>
      <c r="R188" s="115"/>
      <c r="S188" s="115"/>
      <c r="T188" s="115"/>
      <c r="U188" s="115"/>
      <c r="V188" s="115"/>
      <c r="W188" s="25"/>
      <c r="X188" s="13"/>
      <c r="AC188" s="117"/>
      <c r="AD188" s="123"/>
      <c r="AE188" s="123"/>
      <c r="AF188" s="123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3"/>
      <c r="AV188" s="13"/>
      <c r="AY188" s="114"/>
    </row>
    <row r="189" spans="1:51" ht="19.5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26"/>
      <c r="M189" s="13"/>
      <c r="N189" s="115"/>
      <c r="O189" s="115"/>
      <c r="P189" s="115"/>
      <c r="Q189" s="115"/>
      <c r="R189" s="115"/>
      <c r="S189" s="115"/>
      <c r="T189" s="115"/>
      <c r="U189" s="115"/>
      <c r="V189" s="115"/>
      <c r="W189" s="25"/>
      <c r="X189" s="13"/>
      <c r="AC189" s="117"/>
      <c r="AD189" s="123"/>
      <c r="AE189" s="123"/>
      <c r="AF189" s="123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3"/>
      <c r="AV189" s="13"/>
      <c r="AY189" s="114"/>
    </row>
    <row r="190" spans="1:51" ht="19.5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7"/>
      <c r="M190" s="13"/>
      <c r="N190" s="115"/>
      <c r="O190" s="115"/>
      <c r="P190" s="115"/>
      <c r="Q190" s="115"/>
      <c r="R190" s="115"/>
      <c r="S190" s="115"/>
      <c r="T190" s="115"/>
      <c r="U190" s="115"/>
      <c r="V190" s="115"/>
      <c r="W190" s="25"/>
      <c r="X190" s="13"/>
      <c r="AC190" s="117"/>
      <c r="AD190" s="123"/>
      <c r="AE190" s="123"/>
      <c r="AF190" s="123"/>
      <c r="AK190" s="115"/>
      <c r="AL190" s="115"/>
      <c r="AM190" s="115"/>
      <c r="AN190" s="115"/>
      <c r="AO190" s="115"/>
      <c r="AP190" s="115"/>
      <c r="AQ190" s="115"/>
      <c r="AR190" s="115"/>
      <c r="AS190" s="115"/>
      <c r="AT190" s="115"/>
      <c r="AU190" s="13"/>
      <c r="AV190" s="13"/>
      <c r="AY190" s="114"/>
    </row>
    <row r="191" spans="1:51" ht="19.5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26"/>
      <c r="M191" s="13"/>
      <c r="N191" s="115"/>
      <c r="O191" s="115"/>
      <c r="P191" s="115"/>
      <c r="Q191" s="115"/>
      <c r="R191" s="115"/>
      <c r="S191" s="115"/>
      <c r="T191" s="115"/>
      <c r="U191" s="115"/>
      <c r="V191" s="115"/>
      <c r="W191" s="25"/>
      <c r="X191" s="13"/>
      <c r="AC191" s="117"/>
      <c r="AD191" s="123"/>
      <c r="AE191" s="123"/>
      <c r="AF191" s="123"/>
      <c r="AK191" s="115"/>
      <c r="AL191" s="115"/>
      <c r="AM191" s="115"/>
      <c r="AN191" s="115"/>
      <c r="AO191" s="115"/>
      <c r="AP191" s="115"/>
      <c r="AQ191" s="115"/>
      <c r="AR191" s="115"/>
      <c r="AS191" s="115"/>
      <c r="AT191" s="115"/>
      <c r="AU191" s="13"/>
      <c r="AV191" s="13"/>
      <c r="AY191" s="114"/>
    </row>
    <row r="192" spans="1:51" ht="19.5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7"/>
      <c r="M192" s="13"/>
      <c r="N192" s="115"/>
      <c r="O192" s="115"/>
      <c r="P192" s="115"/>
      <c r="Q192" s="115"/>
      <c r="R192" s="115"/>
      <c r="S192" s="115"/>
      <c r="T192" s="115"/>
      <c r="U192" s="115"/>
      <c r="V192" s="115"/>
      <c r="W192" s="25"/>
      <c r="X192" s="13"/>
      <c r="AC192" s="117"/>
      <c r="AD192" s="123"/>
      <c r="AE192" s="123"/>
      <c r="AF192" s="123"/>
      <c r="AK192" s="115"/>
      <c r="AL192" s="115"/>
      <c r="AM192" s="115"/>
      <c r="AN192" s="115"/>
      <c r="AO192" s="115"/>
      <c r="AP192" s="115"/>
      <c r="AQ192" s="115"/>
      <c r="AR192" s="115"/>
      <c r="AS192" s="115"/>
      <c r="AT192" s="115"/>
      <c r="AU192" s="13"/>
      <c r="AV192" s="13"/>
      <c r="AY192" s="114"/>
    </row>
    <row r="193" spans="1:51" ht="19.5" x14ac:dyDescent="0.4">
      <c r="A193" s="117"/>
      <c r="B193" s="123"/>
      <c r="C193" s="123"/>
      <c r="D193" s="123"/>
      <c r="L193" s="26"/>
      <c r="M193" s="13"/>
      <c r="N193" s="115"/>
      <c r="O193" s="115"/>
      <c r="P193" s="115"/>
      <c r="Q193" s="115"/>
      <c r="R193" s="115"/>
      <c r="S193" s="115"/>
      <c r="T193" s="115"/>
      <c r="U193" s="115"/>
      <c r="V193" s="115"/>
      <c r="W193" s="25">
        <v>45682</v>
      </c>
      <c r="X193" s="13" t="s">
        <v>147</v>
      </c>
      <c r="AC193" s="117"/>
      <c r="AD193" s="123"/>
      <c r="AE193" s="123"/>
      <c r="AF193" s="123"/>
      <c r="AK193" s="115"/>
      <c r="AL193" s="115"/>
      <c r="AM193" s="115"/>
      <c r="AN193" s="115"/>
      <c r="AO193" s="115"/>
      <c r="AP193" s="115"/>
      <c r="AQ193" s="115"/>
      <c r="AR193" s="115"/>
      <c r="AS193" s="115"/>
      <c r="AT193" s="115"/>
      <c r="AU193" s="13"/>
      <c r="AV193" s="13"/>
      <c r="AY193" s="114"/>
    </row>
    <row r="194" spans="1:51" ht="19.5" x14ac:dyDescent="0.4">
      <c r="A194" s="117"/>
      <c r="B194" s="123"/>
      <c r="C194" s="123"/>
      <c r="D194" s="123"/>
      <c r="J194" s="115"/>
      <c r="K194" s="115"/>
      <c r="L194" s="17"/>
      <c r="M194" s="13"/>
      <c r="N194" s="115"/>
      <c r="O194" s="115"/>
      <c r="P194" s="115"/>
      <c r="Q194" s="115"/>
      <c r="R194" s="115"/>
      <c r="S194" s="115"/>
      <c r="T194" s="115"/>
      <c r="U194" s="115"/>
      <c r="V194" s="115"/>
      <c r="W194" s="25"/>
      <c r="X194" s="13"/>
      <c r="AC194" s="117"/>
      <c r="AD194" s="123"/>
      <c r="AE194" s="123"/>
      <c r="AF194" s="123"/>
      <c r="AK194" s="115"/>
      <c r="AL194" s="115"/>
      <c r="AM194" s="115"/>
      <c r="AN194" s="115"/>
      <c r="AO194" s="115"/>
      <c r="AP194" s="115"/>
      <c r="AQ194" s="115"/>
      <c r="AR194" s="115"/>
      <c r="AS194" s="115"/>
      <c r="AT194" s="115"/>
      <c r="AU194" s="13"/>
      <c r="AV194" s="13"/>
      <c r="AY194" s="114"/>
    </row>
    <row r="195" spans="1:51" ht="19.5" x14ac:dyDescent="0.4">
      <c r="A195" s="117"/>
      <c r="B195" s="123"/>
      <c r="C195" s="123"/>
      <c r="D195" s="123"/>
      <c r="J195" s="115"/>
      <c r="K195" s="115"/>
      <c r="L195" s="17"/>
      <c r="M195" s="13"/>
      <c r="N195" s="115"/>
      <c r="O195" s="115"/>
      <c r="P195" s="115"/>
      <c r="Q195" s="115"/>
      <c r="R195" s="115"/>
      <c r="S195" s="115"/>
      <c r="T195" s="115"/>
      <c r="U195" s="115"/>
      <c r="V195" s="115"/>
      <c r="W195" s="25"/>
      <c r="X195" s="13"/>
      <c r="AC195" s="117"/>
      <c r="AD195" s="123"/>
      <c r="AE195" s="123"/>
      <c r="AF195" s="123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15"/>
      <c r="AU195" s="13"/>
      <c r="AV195" s="13"/>
      <c r="AY195" s="114"/>
    </row>
    <row r="196" spans="1:51" ht="19.5" x14ac:dyDescent="0.4">
      <c r="A196" s="117"/>
      <c r="B196" s="123"/>
      <c r="C196" s="123"/>
      <c r="D196" s="123"/>
      <c r="L196" s="129"/>
      <c r="M196" s="13"/>
      <c r="N196" s="115"/>
      <c r="O196" s="115"/>
      <c r="P196" s="115"/>
      <c r="Q196" s="115"/>
      <c r="R196" s="115"/>
      <c r="S196" s="115"/>
      <c r="T196" s="115"/>
      <c r="U196" s="115"/>
      <c r="V196" s="115"/>
      <c r="W196" s="25"/>
      <c r="X196" s="13"/>
      <c r="AC196" s="117"/>
      <c r="AD196" s="123"/>
      <c r="AE196" s="123"/>
      <c r="AF196" s="123"/>
      <c r="AK196" s="115"/>
      <c r="AL196" s="115"/>
      <c r="AM196" s="115"/>
      <c r="AN196" s="115"/>
      <c r="AO196" s="115"/>
      <c r="AP196" s="115"/>
      <c r="AQ196" s="115"/>
      <c r="AR196" s="115"/>
      <c r="AS196" s="115"/>
      <c r="AT196" s="115"/>
      <c r="AU196" s="13"/>
      <c r="AV196" s="13"/>
      <c r="AY196" s="114"/>
    </row>
    <row r="197" spans="1:51" ht="19.5" x14ac:dyDescent="0.4">
      <c r="A197" s="117"/>
      <c r="B197" s="123"/>
      <c r="C197" s="123"/>
      <c r="D197" s="123"/>
      <c r="L197" s="26"/>
      <c r="M197" s="13"/>
      <c r="N197" s="115"/>
      <c r="O197" s="115"/>
      <c r="P197" s="115"/>
      <c r="Q197" s="115"/>
      <c r="R197" s="115"/>
      <c r="S197" s="115"/>
      <c r="T197" s="115"/>
      <c r="U197" s="115"/>
      <c r="V197" s="115"/>
      <c r="W197" s="25"/>
      <c r="X197" s="13"/>
      <c r="AC197" s="117"/>
      <c r="AD197" s="123"/>
      <c r="AE197" s="123"/>
      <c r="AF197" s="123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3"/>
      <c r="AV197" s="13"/>
      <c r="AY197" s="114"/>
    </row>
    <row r="198" spans="1:51" ht="19.5" x14ac:dyDescent="0.4">
      <c r="A198" s="117"/>
      <c r="B198" s="123"/>
      <c r="C198" s="123"/>
      <c r="D198" s="123"/>
      <c r="L198" s="26"/>
      <c r="M198" s="13"/>
      <c r="W198" s="25">
        <v>45682</v>
      </c>
      <c r="X198" s="15" t="s">
        <v>146</v>
      </c>
      <c r="AC198" s="117"/>
      <c r="AD198" s="123"/>
      <c r="AE198" s="123"/>
      <c r="AF198" s="123"/>
      <c r="AK198" s="115"/>
      <c r="AL198" s="115"/>
      <c r="AM198" s="115"/>
      <c r="AN198" s="115"/>
      <c r="AO198" s="115"/>
      <c r="AP198" s="115"/>
      <c r="AQ198" s="115"/>
      <c r="AR198" s="115"/>
      <c r="AS198" s="115"/>
      <c r="AT198" s="115"/>
      <c r="AU198" s="13"/>
      <c r="AV198" s="13"/>
      <c r="AY198" s="114"/>
    </row>
    <row r="199" spans="1:51" ht="19.5" x14ac:dyDescent="0.4">
      <c r="A199" s="117"/>
      <c r="B199" s="123"/>
      <c r="C199" s="123"/>
      <c r="D199" s="123"/>
      <c r="L199" s="129"/>
      <c r="M199" s="13"/>
      <c r="W199" s="25"/>
      <c r="X199" s="15"/>
      <c r="AC199" s="117"/>
      <c r="AD199" s="123"/>
      <c r="AE199" s="123"/>
      <c r="AF199" s="123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3"/>
      <c r="AV199" s="13"/>
      <c r="AY199" s="114"/>
    </row>
    <row r="200" spans="1:51" ht="19.5" x14ac:dyDescent="0.4">
      <c r="A200" s="117"/>
      <c r="B200" s="123"/>
      <c r="C200" s="123"/>
      <c r="D200" s="123"/>
      <c r="L200" s="26"/>
      <c r="M200" s="13"/>
      <c r="W200" s="25"/>
      <c r="X200" s="15"/>
      <c r="AC200" s="117"/>
      <c r="AD200" s="123"/>
      <c r="AE200" s="123"/>
      <c r="AF200" s="123"/>
      <c r="AK200" s="115"/>
      <c r="AL200" s="115"/>
      <c r="AM200" s="115"/>
      <c r="AN200" s="115"/>
      <c r="AO200" s="115"/>
      <c r="AP200" s="115"/>
      <c r="AQ200" s="115"/>
      <c r="AR200" s="115"/>
      <c r="AS200" s="115"/>
      <c r="AT200" s="115"/>
      <c r="AU200" s="13"/>
      <c r="AV200" s="13"/>
      <c r="AY200" s="114"/>
    </row>
    <row r="201" spans="1:51" ht="19.5" x14ac:dyDescent="0.4">
      <c r="A201" s="117"/>
      <c r="B201" s="123"/>
      <c r="C201" s="123"/>
      <c r="D201" s="123"/>
      <c r="I201" s="115"/>
      <c r="J201" s="115"/>
      <c r="K201" s="115"/>
      <c r="L201" s="26"/>
      <c r="M201" s="13"/>
      <c r="W201" s="25"/>
      <c r="X201" s="15"/>
      <c r="AC201" s="117"/>
      <c r="AD201" s="123"/>
      <c r="AE201" s="123"/>
      <c r="AF201" s="123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3"/>
      <c r="AV201" s="13"/>
      <c r="AY201" s="114"/>
    </row>
    <row r="202" spans="1:51" ht="19.5" x14ac:dyDescent="0.4">
      <c r="A202" s="117"/>
      <c r="B202" s="123"/>
      <c r="C202" s="123"/>
      <c r="D202" s="123"/>
      <c r="L202" s="26"/>
      <c r="M202" s="13"/>
      <c r="N202" s="115"/>
      <c r="O202" s="115"/>
      <c r="P202" s="115"/>
      <c r="Q202" s="115"/>
      <c r="R202" s="115"/>
      <c r="S202" s="115"/>
      <c r="T202" s="115"/>
      <c r="U202" s="115"/>
      <c r="V202" s="115"/>
      <c r="W202" s="25">
        <v>45682</v>
      </c>
      <c r="X202" s="15" t="s">
        <v>146</v>
      </c>
      <c r="AC202" s="117"/>
      <c r="AD202" s="123"/>
      <c r="AE202" s="123"/>
      <c r="AF202" s="123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3"/>
      <c r="AV202" s="13"/>
      <c r="AY202" s="114"/>
    </row>
    <row r="203" spans="1:51" ht="19.5" x14ac:dyDescent="0.4">
      <c r="A203" s="117"/>
      <c r="B203" s="123"/>
      <c r="C203" s="123"/>
      <c r="D203" s="123"/>
      <c r="L203" s="129"/>
      <c r="M203" s="13"/>
      <c r="N203" s="115"/>
      <c r="O203" s="115"/>
      <c r="P203" s="115"/>
      <c r="Q203" s="115"/>
      <c r="R203" s="115"/>
      <c r="S203" s="115"/>
      <c r="T203" s="115"/>
      <c r="U203" s="115"/>
      <c r="V203" s="115"/>
      <c r="W203" s="25"/>
      <c r="X203" s="15"/>
      <c r="AC203" s="117"/>
      <c r="AD203" s="123"/>
      <c r="AE203" s="123"/>
      <c r="AF203" s="123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3"/>
      <c r="AV203" s="13"/>
      <c r="AY203" s="114"/>
    </row>
    <row r="204" spans="1:51" ht="19.5" x14ac:dyDescent="0.4">
      <c r="A204" s="117"/>
      <c r="B204" s="123"/>
      <c r="C204" s="123"/>
      <c r="D204" s="123"/>
      <c r="L204" s="26"/>
      <c r="M204" s="13"/>
      <c r="N204" s="115"/>
      <c r="O204" s="115"/>
      <c r="P204" s="115"/>
      <c r="Q204" s="115"/>
      <c r="R204" s="115"/>
      <c r="S204" s="115"/>
      <c r="T204" s="115"/>
      <c r="U204" s="115"/>
      <c r="V204" s="115"/>
      <c r="W204" s="25">
        <v>45682</v>
      </c>
      <c r="X204" s="15" t="s">
        <v>148</v>
      </c>
      <c r="AC204" s="117"/>
      <c r="AD204" s="123"/>
      <c r="AE204" s="123"/>
      <c r="AF204" s="123"/>
      <c r="AK204" s="115"/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3"/>
      <c r="AV204" s="13"/>
      <c r="AY204" s="114"/>
    </row>
    <row r="205" spans="1:51" ht="19.5" x14ac:dyDescent="0.4">
      <c r="A205" s="117"/>
      <c r="B205" s="123"/>
      <c r="C205" s="123"/>
      <c r="D205" s="123"/>
      <c r="L205" s="26"/>
      <c r="M205" s="13"/>
      <c r="N205" s="115"/>
      <c r="O205" s="115"/>
      <c r="P205" s="115"/>
      <c r="Q205" s="115"/>
      <c r="R205" s="115"/>
      <c r="S205" s="115"/>
      <c r="T205" s="115"/>
      <c r="U205" s="115"/>
      <c r="V205" s="115"/>
      <c r="W205" s="25">
        <v>45682</v>
      </c>
      <c r="X205" s="15" t="s">
        <v>146</v>
      </c>
      <c r="AC205" s="117"/>
      <c r="AD205" s="123"/>
      <c r="AE205" s="123"/>
      <c r="AF205" s="123"/>
      <c r="AK205" s="115"/>
      <c r="AL205" s="115"/>
      <c r="AM205" s="115"/>
      <c r="AN205" s="115"/>
      <c r="AO205" s="115"/>
      <c r="AP205" s="115"/>
      <c r="AQ205" s="115"/>
      <c r="AR205" s="115"/>
      <c r="AS205" s="115"/>
      <c r="AT205" s="115"/>
      <c r="AU205" s="13"/>
      <c r="AV205" s="13"/>
      <c r="AY205" s="114"/>
    </row>
    <row r="206" spans="1:51" ht="19.5" x14ac:dyDescent="0.4">
      <c r="A206" s="117"/>
      <c r="B206" s="123"/>
      <c r="C206" s="123"/>
      <c r="D206" s="123"/>
      <c r="L206" s="26"/>
      <c r="M206" s="13"/>
      <c r="N206" s="115"/>
      <c r="O206" s="115"/>
      <c r="P206" s="115"/>
      <c r="Q206" s="115"/>
      <c r="R206" s="115"/>
      <c r="S206" s="115"/>
      <c r="T206" s="115"/>
      <c r="U206" s="115"/>
      <c r="V206" s="115"/>
      <c r="W206" s="25">
        <v>45682</v>
      </c>
      <c r="X206" s="15" t="s">
        <v>148</v>
      </c>
      <c r="AC206" s="117"/>
      <c r="AD206" s="123"/>
      <c r="AE206" s="123"/>
      <c r="AF206" s="123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3"/>
      <c r="AV206" s="13"/>
      <c r="AY206" s="114"/>
    </row>
    <row r="207" spans="1:51" ht="19.5" x14ac:dyDescent="0.4">
      <c r="A207" s="117"/>
      <c r="B207" s="123"/>
      <c r="C207" s="123"/>
      <c r="D207" s="123"/>
      <c r="I207" s="115"/>
      <c r="J207" s="115"/>
      <c r="K207" s="115"/>
      <c r="L207" s="26"/>
      <c r="M207" s="13"/>
      <c r="N207" s="115"/>
      <c r="O207" s="115"/>
      <c r="P207" s="115"/>
      <c r="Q207" s="115"/>
      <c r="R207" s="115"/>
      <c r="S207" s="115"/>
      <c r="T207" s="115"/>
      <c r="U207" s="115"/>
      <c r="V207" s="115"/>
      <c r="W207" s="25"/>
      <c r="X207" s="15"/>
      <c r="AC207" s="117"/>
      <c r="AD207" s="123"/>
      <c r="AE207" s="123"/>
      <c r="AF207" s="123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3"/>
      <c r="AV207" s="13"/>
      <c r="AY207" s="114"/>
    </row>
    <row r="208" spans="1:51" ht="19.5" x14ac:dyDescent="0.4">
      <c r="A208" s="117"/>
      <c r="B208" s="123"/>
      <c r="C208" s="123"/>
      <c r="D208" s="123"/>
      <c r="L208" s="26"/>
      <c r="M208" s="15"/>
      <c r="N208" s="115"/>
      <c r="O208" s="115"/>
      <c r="P208" s="115"/>
      <c r="Q208" s="115"/>
      <c r="R208" s="115"/>
      <c r="S208" s="115"/>
      <c r="T208" s="115"/>
      <c r="U208" s="115"/>
      <c r="V208" s="115"/>
      <c r="W208" s="25">
        <v>45682</v>
      </c>
      <c r="X208" s="15" t="s">
        <v>148</v>
      </c>
      <c r="AC208" s="117"/>
      <c r="AD208" s="123"/>
      <c r="AE208" s="123"/>
      <c r="AF208" s="123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3"/>
      <c r="AV208" s="13"/>
      <c r="AY208" s="114"/>
    </row>
    <row r="209" spans="1:51" ht="19.5" x14ac:dyDescent="0.4">
      <c r="A209" s="117"/>
      <c r="B209" s="123"/>
      <c r="C209" s="123"/>
      <c r="D209" s="123"/>
      <c r="L209" s="26"/>
      <c r="M209" s="15"/>
      <c r="N209" s="115"/>
      <c r="O209" s="115"/>
      <c r="P209" s="115"/>
      <c r="Q209" s="115"/>
      <c r="R209" s="115"/>
      <c r="S209" s="115"/>
      <c r="T209" s="115"/>
      <c r="U209" s="115"/>
      <c r="V209" s="115"/>
      <c r="W209" s="25">
        <v>45682</v>
      </c>
      <c r="X209" s="105" t="s">
        <v>148</v>
      </c>
      <c r="AC209" s="117"/>
      <c r="AD209" s="123"/>
      <c r="AE209" s="123"/>
      <c r="AF209" s="123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3"/>
      <c r="AV209" s="13"/>
      <c r="AY209" s="114"/>
    </row>
    <row r="210" spans="1:51" ht="19.5" x14ac:dyDescent="0.4">
      <c r="A210" s="117"/>
      <c r="B210" s="123"/>
      <c r="C210" s="123"/>
      <c r="D210" s="123"/>
      <c r="L210" s="26"/>
      <c r="M210" s="15"/>
      <c r="N210" s="115"/>
      <c r="O210" s="115"/>
      <c r="P210" s="115"/>
      <c r="Q210" s="115"/>
      <c r="R210" s="115"/>
      <c r="S210" s="115"/>
      <c r="T210" s="115"/>
      <c r="U210" s="115"/>
      <c r="V210" s="115"/>
      <c r="W210" s="25">
        <v>45682</v>
      </c>
      <c r="X210" s="105" t="s">
        <v>146</v>
      </c>
      <c r="AC210" s="117"/>
      <c r="AD210" s="123"/>
      <c r="AE210" s="123"/>
      <c r="AF210" s="123"/>
      <c r="AK210" s="115"/>
      <c r="AL210" s="115"/>
      <c r="AM210" s="115"/>
      <c r="AN210" s="115"/>
      <c r="AO210" s="115"/>
      <c r="AP210" s="115"/>
      <c r="AQ210" s="115"/>
      <c r="AR210" s="115"/>
      <c r="AS210" s="115"/>
      <c r="AT210" s="115"/>
      <c r="AU210" s="13"/>
      <c r="AV210" s="13"/>
      <c r="AY210" s="114"/>
    </row>
    <row r="211" spans="1:51" ht="19.5" x14ac:dyDescent="0.4">
      <c r="A211" s="117"/>
      <c r="B211" s="123"/>
      <c r="C211" s="123"/>
      <c r="D211" s="123"/>
      <c r="L211" s="129"/>
      <c r="M211" s="15"/>
      <c r="N211" s="115"/>
      <c r="O211" s="115"/>
      <c r="P211" s="115"/>
      <c r="Q211" s="115"/>
      <c r="R211" s="115"/>
      <c r="S211" s="115"/>
      <c r="T211" s="115"/>
      <c r="U211" s="115"/>
      <c r="V211" s="115"/>
      <c r="W211" s="25"/>
      <c r="X211" s="105"/>
      <c r="AC211" s="117"/>
      <c r="AD211" s="123"/>
      <c r="AE211" s="123"/>
      <c r="AF211" s="123"/>
      <c r="AK211" s="115"/>
      <c r="AL211" s="115"/>
      <c r="AM211" s="115"/>
      <c r="AN211" s="115"/>
      <c r="AO211" s="115"/>
      <c r="AP211" s="115"/>
      <c r="AQ211" s="115"/>
      <c r="AR211" s="115"/>
      <c r="AS211" s="115"/>
      <c r="AT211" s="115"/>
      <c r="AU211" s="13"/>
      <c r="AV211" s="13"/>
      <c r="AY211" s="114"/>
    </row>
    <row r="212" spans="1:51" ht="19.5" x14ac:dyDescent="0.4">
      <c r="A212" s="117"/>
      <c r="B212" s="123"/>
      <c r="C212" s="123"/>
      <c r="D212" s="123"/>
      <c r="F212" s="115"/>
      <c r="G212" s="115"/>
      <c r="H212" s="115"/>
      <c r="I212" s="115"/>
      <c r="J212" s="115"/>
      <c r="K212" s="115"/>
      <c r="L212" s="26"/>
      <c r="M212" s="15"/>
      <c r="N212" s="115"/>
      <c r="O212" s="115"/>
      <c r="P212" s="115"/>
      <c r="Q212" s="115"/>
      <c r="R212" s="115"/>
      <c r="S212" s="115"/>
      <c r="T212" s="115"/>
      <c r="U212" s="115"/>
      <c r="V212" s="115"/>
      <c r="W212" s="25">
        <v>45682</v>
      </c>
      <c r="X212" s="15" t="s">
        <v>146</v>
      </c>
      <c r="AC212" s="117"/>
      <c r="AD212" s="123"/>
      <c r="AE212" s="123"/>
      <c r="AF212" s="123"/>
      <c r="AK212" s="115"/>
      <c r="AL212" s="115"/>
      <c r="AM212" s="115"/>
      <c r="AN212" s="115"/>
      <c r="AO212" s="115"/>
      <c r="AP212" s="115"/>
      <c r="AQ212" s="115"/>
      <c r="AR212" s="115"/>
      <c r="AS212" s="115"/>
      <c r="AT212" s="115"/>
      <c r="AU212" s="13"/>
      <c r="AV212" s="13"/>
      <c r="AY212" s="114"/>
    </row>
    <row r="213" spans="1:51" ht="19.5" x14ac:dyDescent="0.4">
      <c r="A213" s="117"/>
      <c r="B213" s="123"/>
      <c r="C213" s="123"/>
      <c r="D213" s="123"/>
      <c r="F213" s="115"/>
      <c r="G213" s="115"/>
      <c r="H213" s="115"/>
      <c r="I213" s="115"/>
      <c r="J213" s="115"/>
      <c r="K213" s="115"/>
      <c r="L213" s="26"/>
      <c r="M213" s="15"/>
      <c r="N213" s="115"/>
      <c r="O213" s="115"/>
      <c r="P213" s="115"/>
      <c r="Q213" s="115"/>
      <c r="R213" s="115"/>
      <c r="S213" s="115"/>
      <c r="T213" s="115"/>
      <c r="U213" s="115"/>
      <c r="V213" s="115"/>
      <c r="W213" s="25">
        <v>45683</v>
      </c>
      <c r="X213" s="13" t="s">
        <v>147</v>
      </c>
      <c r="AC213" s="117"/>
      <c r="AD213" s="123"/>
      <c r="AE213" s="123"/>
      <c r="AF213" s="123"/>
      <c r="AK213" s="115"/>
      <c r="AL213" s="115"/>
      <c r="AM213" s="115"/>
      <c r="AN213" s="115"/>
      <c r="AO213" s="115"/>
      <c r="AP213" s="115"/>
      <c r="AQ213" s="115"/>
      <c r="AR213" s="115"/>
      <c r="AS213" s="115"/>
      <c r="AT213" s="115"/>
      <c r="AU213" s="13"/>
      <c r="AV213" s="13"/>
      <c r="AY213" s="114"/>
    </row>
    <row r="214" spans="1:51" ht="19.5" x14ac:dyDescent="0.4">
      <c r="A214" s="117"/>
      <c r="B214" s="123"/>
      <c r="C214" s="123"/>
      <c r="D214" s="123"/>
      <c r="F214" s="115"/>
      <c r="G214" s="115"/>
      <c r="H214" s="115"/>
      <c r="I214" s="115"/>
      <c r="J214" s="115"/>
      <c r="K214" s="115"/>
      <c r="L214" s="26"/>
      <c r="M214" s="13"/>
      <c r="N214" s="115"/>
      <c r="O214" s="115"/>
      <c r="P214" s="115"/>
      <c r="Q214" s="115"/>
      <c r="R214" s="115"/>
      <c r="S214" s="115"/>
      <c r="T214" s="115"/>
      <c r="U214" s="115"/>
      <c r="V214" s="115"/>
      <c r="W214" s="25">
        <v>45683</v>
      </c>
      <c r="X214" s="13" t="s">
        <v>147</v>
      </c>
      <c r="AC214" s="117"/>
      <c r="AD214" s="123"/>
      <c r="AE214" s="123"/>
      <c r="AF214" s="123"/>
      <c r="AK214" s="115"/>
      <c r="AL214" s="115"/>
      <c r="AM214" s="115"/>
      <c r="AN214" s="115"/>
      <c r="AO214" s="115"/>
      <c r="AP214" s="115"/>
      <c r="AQ214" s="115"/>
      <c r="AR214" s="115"/>
      <c r="AS214" s="115"/>
      <c r="AT214" s="115"/>
      <c r="AU214" s="13"/>
      <c r="AV214" s="13"/>
      <c r="AY214" s="114"/>
    </row>
    <row r="215" spans="1:51" ht="19.5" x14ac:dyDescent="0.4">
      <c r="A215" s="117"/>
      <c r="B215" s="123"/>
      <c r="C215" s="123"/>
      <c r="D215" s="123"/>
      <c r="F215" s="115"/>
      <c r="G215" s="115"/>
      <c r="H215" s="115"/>
      <c r="I215" s="115"/>
      <c r="J215" s="115"/>
      <c r="K215" s="115"/>
      <c r="L215" s="26"/>
      <c r="M215" s="13"/>
      <c r="N215" s="115"/>
      <c r="O215" s="115"/>
      <c r="P215" s="115"/>
      <c r="Q215" s="115"/>
      <c r="R215" s="115"/>
      <c r="S215" s="115"/>
      <c r="T215" s="115"/>
      <c r="U215" s="115"/>
      <c r="V215" s="115"/>
      <c r="W215" s="25"/>
      <c r="X215" s="13"/>
      <c r="AC215" s="117"/>
      <c r="AD215" s="123"/>
      <c r="AE215" s="123"/>
      <c r="AF215" s="123"/>
      <c r="AK215" s="115"/>
      <c r="AL215" s="115"/>
      <c r="AM215" s="115"/>
      <c r="AN215" s="115"/>
      <c r="AO215" s="115"/>
      <c r="AP215" s="115"/>
      <c r="AQ215" s="115"/>
      <c r="AR215" s="115"/>
      <c r="AS215" s="115"/>
      <c r="AT215" s="115"/>
      <c r="AU215" s="13"/>
      <c r="AV215" s="13"/>
      <c r="AY215" s="114"/>
    </row>
    <row r="216" spans="1:51" ht="19.5" x14ac:dyDescent="0.4">
      <c r="A216" s="117"/>
      <c r="B216" s="123"/>
      <c r="C216" s="123"/>
      <c r="D216" s="123"/>
      <c r="F216" s="115"/>
      <c r="G216" s="115"/>
      <c r="H216" s="115"/>
      <c r="I216" s="115"/>
      <c r="J216" s="115"/>
      <c r="K216" s="115"/>
      <c r="L216" s="26"/>
      <c r="M216" s="13"/>
      <c r="N216" s="115"/>
      <c r="O216" s="115"/>
      <c r="P216" s="115"/>
      <c r="Q216" s="115"/>
      <c r="R216" s="115"/>
      <c r="S216" s="115"/>
      <c r="T216" s="115"/>
      <c r="U216" s="115"/>
      <c r="V216" s="115"/>
      <c r="W216" s="25">
        <v>45684</v>
      </c>
      <c r="X216" s="13" t="s">
        <v>146</v>
      </c>
      <c r="AC216" s="117"/>
      <c r="AD216" s="123"/>
      <c r="AE216" s="123"/>
      <c r="AF216" s="123"/>
      <c r="AK216" s="115"/>
      <c r="AL216" s="115"/>
      <c r="AM216" s="115"/>
      <c r="AN216" s="115"/>
      <c r="AO216" s="115"/>
      <c r="AP216" s="115"/>
      <c r="AQ216" s="115"/>
      <c r="AR216" s="115"/>
      <c r="AS216" s="115"/>
      <c r="AT216" s="115"/>
      <c r="AU216" s="13"/>
      <c r="AV216" s="13"/>
      <c r="AY216" s="114"/>
    </row>
    <row r="217" spans="1:51" ht="19.5" x14ac:dyDescent="0.4">
      <c r="A217" s="117"/>
      <c r="B217" s="123"/>
      <c r="C217" s="123"/>
      <c r="D217" s="123"/>
      <c r="F217" s="115"/>
      <c r="G217" s="115"/>
      <c r="H217" s="115"/>
      <c r="I217" s="115"/>
      <c r="J217" s="115"/>
      <c r="K217" s="115"/>
      <c r="L217" s="26"/>
      <c r="M217" s="13"/>
      <c r="N217" s="115"/>
      <c r="O217" s="115"/>
      <c r="P217" s="115"/>
      <c r="Q217" s="115"/>
      <c r="R217" s="115"/>
      <c r="S217" s="115"/>
      <c r="T217" s="115"/>
      <c r="U217" s="115"/>
      <c r="V217" s="115"/>
      <c r="W217" s="25"/>
      <c r="X217" s="13"/>
      <c r="AC217" s="117"/>
      <c r="AD217" s="123"/>
      <c r="AE217" s="123"/>
      <c r="AF217" s="123"/>
      <c r="AK217" s="115"/>
      <c r="AL217" s="115"/>
      <c r="AM217" s="115"/>
      <c r="AN217" s="115"/>
      <c r="AO217" s="115"/>
      <c r="AP217" s="115"/>
      <c r="AQ217" s="115"/>
      <c r="AR217" s="115"/>
      <c r="AS217" s="115"/>
      <c r="AT217" s="115"/>
      <c r="AU217" s="13"/>
      <c r="AV217" s="13"/>
      <c r="AY217" s="114"/>
    </row>
    <row r="218" spans="1:51" ht="19.5" x14ac:dyDescent="0.4">
      <c r="A218" s="117"/>
      <c r="B218" s="123"/>
      <c r="C218" s="123"/>
      <c r="D218" s="123"/>
      <c r="F218" s="115"/>
      <c r="G218" s="115"/>
      <c r="H218" s="115"/>
      <c r="I218" s="115"/>
      <c r="J218" s="115"/>
      <c r="K218" s="115"/>
      <c r="L218" s="129"/>
      <c r="M218" s="13"/>
      <c r="N218" s="115"/>
      <c r="O218" s="115"/>
      <c r="P218" s="115"/>
      <c r="Q218" s="115"/>
      <c r="R218" s="115"/>
      <c r="S218" s="115"/>
      <c r="T218" s="115"/>
      <c r="U218" s="115"/>
      <c r="V218" s="115"/>
      <c r="W218" s="25"/>
      <c r="X218" s="13"/>
      <c r="AC218" s="117"/>
      <c r="AD218" s="123"/>
      <c r="AE218" s="123"/>
      <c r="AF218" s="123"/>
      <c r="AK218" s="115"/>
      <c r="AL218" s="115"/>
      <c r="AM218" s="115"/>
      <c r="AN218" s="115"/>
      <c r="AO218" s="115"/>
      <c r="AP218" s="115"/>
      <c r="AQ218" s="115"/>
      <c r="AR218" s="115"/>
      <c r="AS218" s="115"/>
      <c r="AT218" s="115"/>
      <c r="AU218" s="13"/>
      <c r="AV218" s="13"/>
      <c r="AY218" s="114"/>
    </row>
    <row r="219" spans="1:51" ht="19.5" x14ac:dyDescent="0.4">
      <c r="A219" s="117"/>
      <c r="B219" s="123"/>
      <c r="C219" s="123"/>
      <c r="D219" s="123"/>
      <c r="F219" s="115"/>
      <c r="G219" s="115"/>
      <c r="H219" s="115"/>
      <c r="I219" s="115"/>
      <c r="J219" s="115"/>
      <c r="K219" s="115"/>
      <c r="L219" s="26"/>
      <c r="M219" s="13"/>
      <c r="N219" s="115"/>
      <c r="O219" s="115"/>
      <c r="P219" s="115"/>
      <c r="Q219" s="115"/>
      <c r="R219" s="115"/>
      <c r="S219" s="115"/>
      <c r="T219" s="115"/>
      <c r="U219" s="115"/>
      <c r="V219" s="115"/>
      <c r="W219" s="25">
        <v>45684</v>
      </c>
      <c r="X219" s="13" t="s">
        <v>148</v>
      </c>
      <c r="AC219" s="117"/>
      <c r="AD219" s="123"/>
      <c r="AE219" s="123"/>
      <c r="AF219" s="123"/>
      <c r="AK219" s="115"/>
      <c r="AL219" s="115"/>
      <c r="AM219" s="115"/>
      <c r="AN219" s="115"/>
      <c r="AO219" s="115"/>
      <c r="AP219" s="115"/>
      <c r="AQ219" s="115"/>
      <c r="AR219" s="115"/>
      <c r="AS219" s="115"/>
      <c r="AT219" s="115"/>
      <c r="AU219" s="13"/>
      <c r="AV219" s="13"/>
      <c r="AY219" s="114"/>
    </row>
    <row r="220" spans="1:51" ht="19.5" x14ac:dyDescent="0.4">
      <c r="A220" s="117"/>
      <c r="B220" s="123"/>
      <c r="C220" s="123"/>
      <c r="D220" s="123"/>
      <c r="F220" s="115"/>
      <c r="G220" s="115"/>
      <c r="H220" s="115"/>
      <c r="I220" s="115"/>
      <c r="J220" s="115"/>
      <c r="K220" s="115"/>
      <c r="L220" s="26"/>
      <c r="M220" s="13"/>
      <c r="N220" s="115"/>
      <c r="O220" s="115"/>
      <c r="P220" s="115"/>
      <c r="Q220" s="115"/>
      <c r="R220" s="115"/>
      <c r="S220" s="115"/>
      <c r="T220" s="115"/>
      <c r="U220" s="115"/>
      <c r="V220" s="115"/>
      <c r="W220" s="25"/>
      <c r="X220" s="13"/>
      <c r="AC220" s="117"/>
      <c r="AD220" s="123"/>
      <c r="AE220" s="123"/>
      <c r="AF220" s="123"/>
      <c r="AK220" s="115"/>
      <c r="AL220" s="115"/>
      <c r="AM220" s="115"/>
      <c r="AN220" s="115"/>
      <c r="AO220" s="115"/>
      <c r="AP220" s="115"/>
      <c r="AQ220" s="115"/>
      <c r="AR220" s="115"/>
      <c r="AS220" s="115"/>
      <c r="AT220" s="115"/>
      <c r="AU220" s="13"/>
      <c r="AV220" s="13"/>
      <c r="AY220" s="114"/>
    </row>
    <row r="221" spans="1:51" ht="19.5" x14ac:dyDescent="0.4">
      <c r="A221" s="117"/>
      <c r="B221" s="123"/>
      <c r="C221" s="123"/>
      <c r="D221" s="123"/>
      <c r="F221" s="115"/>
      <c r="G221" s="115"/>
      <c r="H221" s="115"/>
      <c r="I221" s="115"/>
      <c r="J221" s="115"/>
      <c r="K221" s="115"/>
      <c r="L221" s="26"/>
      <c r="M221" s="13"/>
      <c r="N221" s="115"/>
      <c r="O221" s="115"/>
      <c r="P221" s="115"/>
      <c r="Q221" s="115"/>
      <c r="R221" s="115"/>
      <c r="S221" s="115"/>
      <c r="T221" s="115"/>
      <c r="U221" s="115"/>
      <c r="V221" s="115"/>
      <c r="W221" s="25"/>
      <c r="X221" s="13"/>
      <c r="AC221" s="117"/>
      <c r="AD221" s="123"/>
      <c r="AE221" s="123"/>
      <c r="AF221" s="123"/>
      <c r="AK221" s="115"/>
      <c r="AL221" s="115"/>
      <c r="AM221" s="115"/>
      <c r="AN221" s="115"/>
      <c r="AO221" s="115"/>
      <c r="AP221" s="115"/>
      <c r="AQ221" s="115"/>
      <c r="AR221" s="115"/>
      <c r="AS221" s="115"/>
      <c r="AT221" s="115"/>
      <c r="AU221" s="13"/>
      <c r="AV221" s="13"/>
      <c r="AY221" s="114"/>
    </row>
    <row r="222" spans="1:51" ht="19.5" x14ac:dyDescent="0.4">
      <c r="A222" s="117"/>
      <c r="B222" s="123"/>
      <c r="C222" s="123"/>
      <c r="D222" s="123"/>
      <c r="F222" s="115"/>
      <c r="G222" s="115"/>
      <c r="H222" s="115"/>
      <c r="I222" s="115"/>
      <c r="J222" s="115"/>
      <c r="K222" s="115"/>
      <c r="L222" s="129"/>
      <c r="M222" s="13"/>
      <c r="N222" s="115"/>
      <c r="O222" s="115"/>
      <c r="P222" s="115"/>
      <c r="Q222" s="115"/>
      <c r="R222" s="115"/>
      <c r="S222" s="115"/>
      <c r="T222" s="115"/>
      <c r="U222" s="115"/>
      <c r="V222" s="115"/>
      <c r="W222" s="25"/>
      <c r="X222" s="13"/>
      <c r="AC222" s="117"/>
      <c r="AD222" s="123"/>
      <c r="AE222" s="123"/>
      <c r="AF222" s="123"/>
      <c r="AK222" s="115"/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3"/>
      <c r="AV222" s="13"/>
      <c r="AY222" s="114"/>
    </row>
    <row r="223" spans="1:51" ht="19.5" x14ac:dyDescent="0.4">
      <c r="A223" s="117"/>
      <c r="B223" s="123"/>
      <c r="C223" s="123"/>
      <c r="D223" s="123"/>
      <c r="F223" s="115"/>
      <c r="G223" s="115"/>
      <c r="H223" s="115"/>
      <c r="I223" s="115"/>
      <c r="J223" s="115"/>
      <c r="K223" s="115"/>
      <c r="L223" s="26"/>
      <c r="M223" s="25"/>
      <c r="N223" s="115"/>
      <c r="O223" s="115"/>
      <c r="P223" s="115"/>
      <c r="Q223" s="115"/>
      <c r="R223" s="115"/>
      <c r="S223" s="115"/>
      <c r="T223" s="115"/>
      <c r="U223" s="115"/>
      <c r="V223" s="115"/>
      <c r="W223" s="25"/>
      <c r="X223" s="13"/>
      <c r="AC223" s="117"/>
      <c r="AD223" s="123"/>
      <c r="AE223" s="123"/>
      <c r="AF223" s="123"/>
      <c r="AK223" s="115"/>
      <c r="AL223" s="115"/>
      <c r="AM223" s="115"/>
      <c r="AN223" s="115"/>
      <c r="AO223" s="115"/>
      <c r="AP223" s="115"/>
      <c r="AQ223" s="115"/>
      <c r="AR223" s="115"/>
      <c r="AS223" s="115"/>
      <c r="AT223" s="115"/>
      <c r="AU223" s="13"/>
      <c r="AV223" s="13"/>
      <c r="AY223" s="114"/>
    </row>
    <row r="224" spans="1:51" ht="19.5" x14ac:dyDescent="0.4">
      <c r="A224" s="117"/>
      <c r="B224" s="123"/>
      <c r="C224" s="123"/>
      <c r="D224" s="123"/>
      <c r="F224" s="115"/>
      <c r="G224" s="115"/>
      <c r="H224" s="115"/>
      <c r="I224" s="115"/>
      <c r="J224" s="115"/>
      <c r="K224" s="115"/>
      <c r="L224" s="26"/>
      <c r="M224" s="13"/>
      <c r="N224" s="115"/>
      <c r="O224" s="115"/>
      <c r="P224" s="115"/>
      <c r="Q224" s="115"/>
      <c r="R224" s="115"/>
      <c r="S224" s="115"/>
      <c r="T224" s="115"/>
      <c r="U224" s="115"/>
      <c r="V224" s="115"/>
      <c r="W224" s="25"/>
      <c r="X224" s="13"/>
      <c r="AC224" s="117"/>
      <c r="AD224" s="123"/>
      <c r="AE224" s="123"/>
      <c r="AF224" s="123"/>
      <c r="AK224" s="115"/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3"/>
      <c r="AV224" s="13"/>
      <c r="AY224" s="114"/>
    </row>
    <row r="225" spans="1:51" ht="19.5" x14ac:dyDescent="0.4">
      <c r="A225" s="117"/>
      <c r="B225" s="123"/>
      <c r="C225" s="123"/>
      <c r="D225" s="123"/>
      <c r="F225" s="115"/>
      <c r="G225" s="115"/>
      <c r="H225" s="115"/>
      <c r="I225" s="115"/>
      <c r="J225" s="115"/>
      <c r="K225" s="115"/>
      <c r="L225" s="26"/>
      <c r="M225" s="13"/>
      <c r="N225" s="115"/>
      <c r="O225" s="115"/>
      <c r="P225" s="115"/>
      <c r="Q225" s="115"/>
      <c r="R225" s="115"/>
      <c r="S225" s="115"/>
      <c r="T225" s="115"/>
      <c r="U225" s="115"/>
      <c r="V225" s="115"/>
      <c r="W225" s="25"/>
      <c r="X225" s="13"/>
      <c r="AC225" s="117"/>
      <c r="AD225" s="123"/>
      <c r="AE225" s="123"/>
      <c r="AF225" s="123"/>
      <c r="AK225" s="115"/>
      <c r="AL225" s="115"/>
      <c r="AM225" s="115"/>
      <c r="AN225" s="115"/>
      <c r="AO225" s="115"/>
      <c r="AP225" s="115"/>
      <c r="AQ225" s="115"/>
      <c r="AR225" s="115"/>
      <c r="AS225" s="115"/>
      <c r="AT225" s="115"/>
      <c r="AU225" s="13"/>
      <c r="AV225" s="13"/>
      <c r="AY225" s="114"/>
    </row>
    <row r="226" spans="1:51" ht="19.5" x14ac:dyDescent="0.4">
      <c r="A226" s="117"/>
      <c r="B226" s="123"/>
      <c r="C226" s="123"/>
      <c r="D226" s="123"/>
      <c r="F226" s="115"/>
      <c r="G226" s="115"/>
      <c r="H226" s="115"/>
      <c r="I226" s="115"/>
      <c r="J226" s="115"/>
      <c r="K226" s="115"/>
      <c r="L226" s="129"/>
      <c r="M226" s="13"/>
      <c r="N226" s="115"/>
      <c r="O226" s="115"/>
      <c r="P226" s="115"/>
      <c r="Q226" s="115"/>
      <c r="R226" s="115"/>
      <c r="S226" s="115"/>
      <c r="T226" s="115"/>
      <c r="U226" s="115"/>
      <c r="V226" s="115"/>
      <c r="W226" s="25"/>
      <c r="X226" s="13"/>
      <c r="AC226" s="117"/>
      <c r="AD226" s="123"/>
      <c r="AE226" s="123"/>
      <c r="AF226" s="123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3"/>
      <c r="AV226" s="13"/>
      <c r="AY226" s="114"/>
    </row>
    <row r="227" spans="1:51" ht="19.5" x14ac:dyDescent="0.4">
      <c r="A227" s="117"/>
      <c r="B227" s="123"/>
      <c r="C227" s="123"/>
      <c r="D227" s="123"/>
      <c r="F227" s="115"/>
      <c r="G227" s="115"/>
      <c r="H227" s="115"/>
      <c r="I227" s="115"/>
      <c r="J227" s="115"/>
      <c r="K227" s="115"/>
      <c r="L227" s="26"/>
      <c r="M227" s="134"/>
      <c r="N227" s="115"/>
      <c r="O227" s="115"/>
      <c r="P227" s="115"/>
      <c r="Q227" s="115"/>
      <c r="R227" s="115"/>
      <c r="S227" s="115"/>
      <c r="T227" s="115"/>
      <c r="U227" s="115"/>
      <c r="V227" s="115"/>
      <c r="W227" s="25"/>
      <c r="X227" s="13"/>
      <c r="AC227" s="117"/>
      <c r="AD227" s="123"/>
      <c r="AE227" s="123"/>
      <c r="AF227" s="123"/>
      <c r="AK227" s="115"/>
      <c r="AL227" s="115"/>
      <c r="AM227" s="115"/>
      <c r="AN227" s="115"/>
      <c r="AO227" s="115"/>
      <c r="AP227" s="115"/>
      <c r="AQ227" s="115"/>
      <c r="AR227" s="115"/>
      <c r="AS227" s="115"/>
      <c r="AT227" s="115"/>
      <c r="AU227" s="13"/>
      <c r="AV227" s="13"/>
      <c r="AY227" s="114"/>
    </row>
    <row r="228" spans="1:51" ht="19.5" x14ac:dyDescent="0.4">
      <c r="A228" s="117"/>
      <c r="B228" s="123"/>
      <c r="C228" s="123"/>
      <c r="D228" s="123"/>
      <c r="F228" s="115"/>
      <c r="G228" s="115"/>
      <c r="H228" s="115"/>
      <c r="I228" s="115"/>
      <c r="J228" s="115"/>
      <c r="K228" s="115"/>
      <c r="L228" s="26"/>
      <c r="M228" s="13"/>
      <c r="N228" s="115"/>
      <c r="O228" s="115"/>
      <c r="P228" s="115"/>
      <c r="Q228" s="115"/>
      <c r="R228" s="115"/>
      <c r="S228" s="115"/>
      <c r="T228" s="115"/>
      <c r="U228" s="115"/>
      <c r="V228" s="115"/>
      <c r="W228" s="25">
        <v>45684</v>
      </c>
      <c r="X228" s="13" t="s">
        <v>147</v>
      </c>
      <c r="AC228" s="117"/>
      <c r="AD228" s="123"/>
      <c r="AE228" s="123"/>
      <c r="AF228" s="123"/>
      <c r="AK228" s="115"/>
      <c r="AL228" s="115"/>
      <c r="AM228" s="115"/>
      <c r="AN228" s="115"/>
      <c r="AO228" s="115"/>
      <c r="AP228" s="115"/>
      <c r="AQ228" s="115"/>
      <c r="AR228" s="115"/>
      <c r="AS228" s="115"/>
      <c r="AT228" s="115"/>
      <c r="AU228" s="13"/>
      <c r="AV228" s="13"/>
      <c r="AY228" s="114"/>
    </row>
    <row r="229" spans="1:51" ht="19.5" x14ac:dyDescent="0.4">
      <c r="A229" s="117"/>
      <c r="B229" s="123"/>
      <c r="C229" s="123"/>
      <c r="D229" s="123"/>
      <c r="F229" s="115"/>
      <c r="G229" s="115"/>
      <c r="H229" s="115"/>
      <c r="I229" s="115"/>
      <c r="J229" s="115"/>
      <c r="K229" s="115"/>
      <c r="L229" s="129"/>
      <c r="M229" s="13"/>
      <c r="N229" s="115"/>
      <c r="O229" s="115"/>
      <c r="P229" s="115"/>
      <c r="Q229" s="115"/>
      <c r="R229" s="115"/>
      <c r="S229" s="115"/>
      <c r="T229" s="115"/>
      <c r="U229" s="115"/>
      <c r="V229" s="115"/>
      <c r="W229" s="25"/>
      <c r="X229" s="13"/>
      <c r="AC229" s="117"/>
      <c r="AD229" s="123"/>
      <c r="AE229" s="123"/>
      <c r="AF229" s="123"/>
      <c r="AK229" s="115"/>
      <c r="AL229" s="115"/>
      <c r="AM229" s="115"/>
      <c r="AN229" s="115"/>
      <c r="AO229" s="115"/>
      <c r="AP229" s="115"/>
      <c r="AQ229" s="115"/>
      <c r="AR229" s="115"/>
      <c r="AS229" s="115"/>
      <c r="AT229" s="115"/>
      <c r="AU229" s="13"/>
      <c r="AV229" s="13"/>
      <c r="AY229" s="114"/>
    </row>
    <row r="230" spans="1:51" ht="19.5" x14ac:dyDescent="0.4">
      <c r="A230" s="117"/>
      <c r="B230" s="123"/>
      <c r="C230" s="123"/>
      <c r="D230" s="123"/>
      <c r="F230" s="115"/>
      <c r="G230" s="115"/>
      <c r="H230" s="115"/>
      <c r="I230" s="115"/>
      <c r="J230" s="115"/>
      <c r="K230" s="115"/>
      <c r="L230" s="26"/>
      <c r="M230" s="13"/>
      <c r="N230" s="115"/>
      <c r="O230" s="115"/>
      <c r="P230" s="115"/>
      <c r="Q230" s="115"/>
      <c r="R230" s="115"/>
      <c r="S230" s="115"/>
      <c r="T230" s="115"/>
      <c r="U230" s="115"/>
      <c r="V230" s="115"/>
      <c r="W230" s="25"/>
      <c r="X230" s="13"/>
      <c r="AC230" s="117"/>
      <c r="AD230" s="123"/>
      <c r="AE230" s="123"/>
      <c r="AF230" s="123"/>
      <c r="AK230" s="115"/>
      <c r="AL230" s="115"/>
      <c r="AM230" s="115"/>
      <c r="AN230" s="115"/>
      <c r="AO230" s="115"/>
      <c r="AP230" s="115"/>
      <c r="AQ230" s="115"/>
      <c r="AR230" s="115"/>
      <c r="AS230" s="115"/>
      <c r="AT230" s="115"/>
      <c r="AU230" s="13"/>
      <c r="AV230" s="13"/>
      <c r="AY230" s="114"/>
    </row>
    <row r="231" spans="1:51" ht="19.5" x14ac:dyDescent="0.4">
      <c r="A231" s="117"/>
      <c r="B231" s="123"/>
      <c r="C231" s="123"/>
      <c r="D231" s="123"/>
      <c r="F231" s="115"/>
      <c r="G231" s="115"/>
      <c r="H231" s="115"/>
      <c r="I231" s="115"/>
      <c r="J231" s="115"/>
      <c r="K231" s="115"/>
      <c r="L231" s="26"/>
      <c r="M231" s="15"/>
      <c r="N231" s="115"/>
      <c r="O231" s="115"/>
      <c r="P231" s="115"/>
      <c r="Q231" s="115"/>
      <c r="R231" s="115"/>
      <c r="S231" s="115"/>
      <c r="T231" s="115"/>
      <c r="U231" s="115"/>
      <c r="V231" s="115"/>
      <c r="W231" s="25">
        <v>45684</v>
      </c>
      <c r="X231" s="13" t="s">
        <v>146</v>
      </c>
      <c r="AC231" s="117"/>
      <c r="AD231" s="123"/>
      <c r="AE231" s="123"/>
      <c r="AF231" s="123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3"/>
      <c r="AV231" s="13"/>
      <c r="AY231" s="114"/>
    </row>
    <row r="232" spans="1:51" ht="19.5" x14ac:dyDescent="0.4">
      <c r="A232" s="117"/>
      <c r="B232" s="123"/>
      <c r="C232" s="123"/>
      <c r="D232" s="123"/>
      <c r="F232" s="115"/>
      <c r="G232" s="115"/>
      <c r="H232" s="115"/>
      <c r="I232" s="115"/>
      <c r="J232" s="115"/>
      <c r="K232" s="115"/>
      <c r="L232" s="129"/>
      <c r="M232" s="15"/>
      <c r="N232" s="115"/>
      <c r="O232" s="115"/>
      <c r="P232" s="115"/>
      <c r="Q232" s="115"/>
      <c r="R232" s="115"/>
      <c r="S232" s="115"/>
      <c r="T232" s="115"/>
      <c r="U232" s="115"/>
      <c r="V232" s="115"/>
      <c r="W232" s="25"/>
      <c r="X232" s="13"/>
      <c r="AC232" s="117"/>
      <c r="AD232" s="123"/>
      <c r="AE232" s="123"/>
      <c r="AF232" s="123"/>
      <c r="AK232" s="115"/>
      <c r="AL232" s="115"/>
      <c r="AM232" s="115"/>
      <c r="AN232" s="115"/>
      <c r="AO232" s="115"/>
      <c r="AP232" s="115"/>
      <c r="AQ232" s="115"/>
      <c r="AR232" s="115"/>
      <c r="AS232" s="115"/>
      <c r="AT232" s="115"/>
      <c r="AU232" s="13"/>
      <c r="AV232" s="13"/>
      <c r="AY232" s="114"/>
    </row>
    <row r="233" spans="1:51" ht="19.5" x14ac:dyDescent="0.4">
      <c r="A233" s="117"/>
      <c r="B233" s="123"/>
      <c r="C233" s="123"/>
      <c r="D233" s="123"/>
      <c r="F233" s="115"/>
      <c r="G233" s="115"/>
      <c r="H233" s="115"/>
      <c r="I233" s="115"/>
      <c r="J233" s="115"/>
      <c r="K233" s="115"/>
      <c r="L233" s="26"/>
      <c r="M233" s="15"/>
      <c r="N233" s="115"/>
      <c r="O233" s="115"/>
      <c r="P233" s="115"/>
      <c r="Q233" s="115"/>
      <c r="R233" s="115"/>
      <c r="S233" s="115"/>
      <c r="T233" s="115"/>
      <c r="U233" s="115"/>
      <c r="V233" s="115"/>
      <c r="W233" s="25"/>
      <c r="X233" s="13"/>
      <c r="AC233" s="117"/>
      <c r="AD233" s="123"/>
      <c r="AE233" s="123"/>
      <c r="AF233" s="123"/>
      <c r="AK233" s="115"/>
      <c r="AL233" s="115"/>
      <c r="AM233" s="115"/>
      <c r="AN233" s="115"/>
      <c r="AO233" s="115"/>
      <c r="AP233" s="115"/>
      <c r="AQ233" s="115"/>
      <c r="AR233" s="115"/>
      <c r="AS233" s="115"/>
      <c r="AT233" s="115"/>
      <c r="AU233" s="13"/>
      <c r="AV233" s="13"/>
      <c r="AY233" s="114"/>
    </row>
    <row r="234" spans="1:51" ht="19.5" x14ac:dyDescent="0.4">
      <c r="A234" s="117"/>
      <c r="B234" s="123"/>
      <c r="C234" s="123"/>
      <c r="D234" s="123"/>
      <c r="F234" s="115"/>
      <c r="G234" s="115"/>
      <c r="H234" s="115"/>
      <c r="I234" s="115"/>
      <c r="J234" s="115"/>
      <c r="K234" s="115"/>
      <c r="L234" s="129"/>
      <c r="M234" s="15"/>
      <c r="N234" s="115"/>
      <c r="O234" s="115"/>
      <c r="P234" s="115"/>
      <c r="Q234" s="115"/>
      <c r="R234" s="115"/>
      <c r="S234" s="115"/>
      <c r="T234" s="115"/>
      <c r="U234" s="115"/>
      <c r="V234" s="115"/>
      <c r="W234" s="25"/>
      <c r="X234" s="13"/>
      <c r="AC234" s="117"/>
      <c r="AD234" s="123"/>
      <c r="AE234" s="123"/>
      <c r="AF234" s="123"/>
      <c r="AK234" s="115"/>
      <c r="AL234" s="115"/>
      <c r="AM234" s="115"/>
      <c r="AN234" s="115"/>
      <c r="AO234" s="115"/>
      <c r="AP234" s="115"/>
      <c r="AQ234" s="115"/>
      <c r="AR234" s="115"/>
      <c r="AS234" s="115"/>
      <c r="AT234" s="115"/>
      <c r="AU234" s="13"/>
      <c r="AV234" s="13"/>
      <c r="AY234" s="114"/>
    </row>
    <row r="235" spans="1:51" ht="19.5" x14ac:dyDescent="0.4">
      <c r="A235" s="117"/>
      <c r="B235" s="123"/>
      <c r="C235" s="123"/>
      <c r="D235" s="123"/>
      <c r="F235" s="115"/>
      <c r="G235" s="115"/>
      <c r="H235" s="115"/>
      <c r="I235" s="115"/>
      <c r="J235" s="115"/>
      <c r="K235" s="115"/>
      <c r="L235" s="26"/>
      <c r="M235" s="15"/>
      <c r="N235" s="115"/>
      <c r="O235" s="115"/>
      <c r="P235" s="115"/>
      <c r="Q235" s="115"/>
      <c r="R235" s="115"/>
      <c r="S235" s="115"/>
      <c r="T235" s="115"/>
      <c r="U235" s="115"/>
      <c r="V235" s="115"/>
      <c r="W235" s="25"/>
      <c r="X235" s="13"/>
      <c r="AC235" s="117"/>
      <c r="AD235" s="123"/>
      <c r="AE235" s="123"/>
      <c r="AF235" s="123"/>
      <c r="AK235" s="115"/>
      <c r="AL235" s="115"/>
      <c r="AM235" s="115"/>
      <c r="AN235" s="115"/>
      <c r="AO235" s="115"/>
      <c r="AP235" s="115"/>
      <c r="AQ235" s="115"/>
      <c r="AR235" s="115"/>
      <c r="AS235" s="115"/>
      <c r="AT235" s="115"/>
      <c r="AU235" s="13"/>
      <c r="AV235" s="13"/>
      <c r="AY235" s="114"/>
    </row>
    <row r="236" spans="1:51" ht="19.5" x14ac:dyDescent="0.4">
      <c r="A236" s="117"/>
      <c r="B236" s="123"/>
      <c r="C236" s="123"/>
      <c r="D236" s="123"/>
      <c r="F236" s="115"/>
      <c r="G236" s="115"/>
      <c r="H236" s="115"/>
      <c r="I236" s="115"/>
      <c r="J236" s="115"/>
      <c r="K236" s="115"/>
      <c r="L236" s="129"/>
      <c r="M236" s="15"/>
      <c r="N236" s="115"/>
      <c r="O236" s="115"/>
      <c r="P236" s="115"/>
      <c r="Q236" s="115"/>
      <c r="R236" s="115"/>
      <c r="S236" s="115"/>
      <c r="T236" s="115"/>
      <c r="U236" s="115"/>
      <c r="V236" s="115"/>
      <c r="W236" s="25"/>
      <c r="X236" s="13"/>
      <c r="AC236" s="117"/>
      <c r="AD236" s="123"/>
      <c r="AE236" s="123"/>
      <c r="AF236" s="123"/>
      <c r="AK236" s="115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3"/>
      <c r="AV236" s="13"/>
      <c r="AY236" s="114"/>
    </row>
    <row r="237" spans="1:51" ht="19.5" x14ac:dyDescent="0.4">
      <c r="A237" s="117"/>
      <c r="B237" s="123"/>
      <c r="C237" s="123"/>
      <c r="D237" s="123"/>
      <c r="F237" s="115"/>
      <c r="G237" s="115"/>
      <c r="H237" s="115"/>
      <c r="I237" s="115"/>
      <c r="J237" s="115"/>
      <c r="K237" s="115"/>
      <c r="L237" s="129"/>
      <c r="M237" s="15"/>
      <c r="N237" s="115"/>
      <c r="O237" s="115"/>
      <c r="P237" s="115"/>
      <c r="Q237" s="115"/>
      <c r="R237" s="115"/>
      <c r="S237" s="115"/>
      <c r="T237" s="115"/>
      <c r="U237" s="115"/>
      <c r="V237" s="115"/>
      <c r="W237" s="25"/>
      <c r="X237" s="13"/>
      <c r="AC237" s="117"/>
      <c r="AD237" s="123"/>
      <c r="AE237" s="123"/>
      <c r="AF237" s="123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3"/>
      <c r="AV237" s="13"/>
      <c r="AY237" s="114"/>
    </row>
    <row r="238" spans="1:51" ht="19.5" x14ac:dyDescent="0.4">
      <c r="A238" s="117"/>
      <c r="B238" s="123"/>
      <c r="C238" s="123"/>
      <c r="D238" s="123"/>
      <c r="F238" s="115"/>
      <c r="G238" s="115"/>
      <c r="H238" s="115"/>
      <c r="I238" s="115"/>
      <c r="J238" s="115"/>
      <c r="K238" s="115"/>
      <c r="L238" s="26"/>
      <c r="M238" s="15"/>
      <c r="N238" s="115"/>
      <c r="O238" s="115"/>
      <c r="P238" s="115"/>
      <c r="Q238" s="115"/>
      <c r="R238" s="115"/>
      <c r="S238" s="115"/>
      <c r="T238" s="115"/>
      <c r="U238" s="115"/>
      <c r="V238" s="115"/>
      <c r="W238" s="25">
        <v>45684</v>
      </c>
      <c r="X238" s="13" t="s">
        <v>147</v>
      </c>
      <c r="AC238" s="117"/>
      <c r="AD238" s="123"/>
      <c r="AE238" s="123"/>
      <c r="AF238" s="123"/>
      <c r="AK238" s="115"/>
      <c r="AL238" s="115"/>
      <c r="AM238" s="115"/>
      <c r="AN238" s="115"/>
      <c r="AO238" s="115"/>
      <c r="AP238" s="115"/>
      <c r="AQ238" s="115"/>
      <c r="AR238" s="115"/>
      <c r="AS238" s="115"/>
      <c r="AT238" s="115"/>
      <c r="AU238" s="13"/>
      <c r="AV238" s="13"/>
      <c r="AY238" s="114"/>
    </row>
    <row r="239" spans="1:51" ht="19.5" x14ac:dyDescent="0.4">
      <c r="A239" s="117"/>
      <c r="B239" s="123"/>
      <c r="C239" s="123"/>
      <c r="D239" s="123"/>
      <c r="F239" s="115"/>
      <c r="G239" s="115"/>
      <c r="H239" s="115"/>
      <c r="I239" s="115"/>
      <c r="J239" s="115"/>
      <c r="K239" s="115"/>
      <c r="L239" s="26"/>
      <c r="M239" s="15"/>
      <c r="N239" s="115"/>
      <c r="O239" s="115"/>
      <c r="P239" s="115"/>
      <c r="Q239" s="115"/>
      <c r="R239" s="115"/>
      <c r="S239" s="115"/>
      <c r="T239" s="115"/>
      <c r="U239" s="115"/>
      <c r="V239" s="115"/>
      <c r="W239" s="25">
        <v>45684</v>
      </c>
      <c r="X239" s="13" t="s">
        <v>146</v>
      </c>
      <c r="AC239" s="117"/>
      <c r="AD239" s="123"/>
      <c r="AE239" s="123"/>
      <c r="AF239" s="123"/>
      <c r="AK239" s="115"/>
      <c r="AL239" s="115"/>
      <c r="AM239" s="115"/>
      <c r="AN239" s="115"/>
      <c r="AO239" s="115"/>
      <c r="AP239" s="115"/>
      <c r="AQ239" s="115"/>
      <c r="AR239" s="115"/>
      <c r="AS239" s="115"/>
      <c r="AT239" s="115"/>
      <c r="AU239" s="13"/>
      <c r="AV239" s="13"/>
      <c r="AY239" s="114"/>
    </row>
    <row r="240" spans="1:51" ht="19.5" x14ac:dyDescent="0.4">
      <c r="A240" s="117"/>
      <c r="B240" s="123"/>
      <c r="C240" s="123"/>
      <c r="D240" s="123"/>
      <c r="F240" s="115"/>
      <c r="G240" s="115"/>
      <c r="H240" s="115"/>
      <c r="I240" s="115"/>
      <c r="J240" s="115"/>
      <c r="K240" s="115"/>
      <c r="L240" s="26"/>
      <c r="M240" s="15"/>
      <c r="N240" s="115"/>
      <c r="O240" s="115"/>
      <c r="P240" s="115"/>
      <c r="Q240" s="115"/>
      <c r="R240" s="115"/>
      <c r="S240" s="115"/>
      <c r="T240" s="115"/>
      <c r="U240" s="115"/>
      <c r="V240" s="115"/>
      <c r="W240" s="25">
        <v>45684</v>
      </c>
      <c r="X240" s="13" t="s">
        <v>146</v>
      </c>
      <c r="AC240" s="117"/>
      <c r="AD240" s="123"/>
      <c r="AE240" s="123"/>
      <c r="AF240" s="123"/>
      <c r="AK240" s="115"/>
      <c r="AL240" s="115"/>
      <c r="AM240" s="115"/>
      <c r="AN240" s="115"/>
      <c r="AO240" s="115"/>
      <c r="AP240" s="115"/>
      <c r="AQ240" s="115"/>
      <c r="AR240" s="115"/>
      <c r="AS240" s="115"/>
      <c r="AT240" s="115"/>
      <c r="AU240" s="13"/>
      <c r="AV240" s="13"/>
      <c r="AY240" s="114"/>
    </row>
    <row r="241" spans="1:51" ht="19.5" x14ac:dyDescent="0.4">
      <c r="A241" s="117"/>
      <c r="B241" s="123"/>
      <c r="C241" s="123"/>
      <c r="D241" s="123"/>
      <c r="F241" s="115"/>
      <c r="G241" s="115"/>
      <c r="H241" s="115"/>
      <c r="I241" s="115"/>
      <c r="J241" s="115"/>
      <c r="K241" s="115"/>
      <c r="L241" s="20"/>
      <c r="M241" s="15"/>
      <c r="N241" s="115"/>
      <c r="O241" s="115"/>
      <c r="P241" s="115"/>
      <c r="Q241" s="115"/>
      <c r="R241" s="115"/>
      <c r="S241" s="115"/>
      <c r="T241" s="115"/>
      <c r="U241" s="115"/>
      <c r="V241" s="115"/>
      <c r="W241" s="25"/>
      <c r="X241" s="13"/>
      <c r="AC241" s="117"/>
      <c r="AD241" s="123"/>
      <c r="AE241" s="123"/>
      <c r="AF241" s="123"/>
      <c r="AK241" s="115"/>
      <c r="AL241" s="115"/>
      <c r="AM241" s="115"/>
      <c r="AN241" s="115"/>
      <c r="AO241" s="115"/>
      <c r="AP241" s="115"/>
      <c r="AQ241" s="115"/>
      <c r="AR241" s="115"/>
      <c r="AS241" s="115"/>
      <c r="AT241" s="115"/>
      <c r="AU241" s="13"/>
      <c r="AV241" s="13"/>
      <c r="AY241" s="114"/>
    </row>
    <row r="242" spans="1:51" ht="19.5" x14ac:dyDescent="0.4">
      <c r="A242" s="117"/>
      <c r="B242" s="123"/>
      <c r="C242" s="123"/>
      <c r="D242" s="123"/>
      <c r="F242" s="115"/>
      <c r="G242" s="115"/>
      <c r="H242" s="115"/>
      <c r="I242" s="115"/>
      <c r="J242" s="115"/>
      <c r="K242" s="115"/>
      <c r="L242" s="20"/>
      <c r="M242" s="15"/>
      <c r="N242" s="115"/>
      <c r="O242" s="115"/>
      <c r="P242" s="115"/>
      <c r="Q242" s="115"/>
      <c r="R242" s="115"/>
      <c r="S242" s="115"/>
      <c r="T242" s="115"/>
      <c r="U242" s="115"/>
      <c r="V242" s="115"/>
      <c r="W242" s="25"/>
      <c r="X242" s="13"/>
      <c r="AC242" s="117"/>
      <c r="AD242" s="123"/>
      <c r="AE242" s="123"/>
      <c r="AF242" s="123"/>
      <c r="AK242" s="115"/>
      <c r="AL242" s="115"/>
      <c r="AM242" s="115"/>
      <c r="AN242" s="115"/>
      <c r="AO242" s="115"/>
      <c r="AP242" s="115"/>
      <c r="AQ242" s="115"/>
      <c r="AR242" s="115"/>
      <c r="AS242" s="115"/>
      <c r="AT242" s="115"/>
      <c r="AU242" s="13"/>
      <c r="AV242" s="13"/>
      <c r="AY242" s="114"/>
    </row>
    <row r="243" spans="1:51" ht="19.5" x14ac:dyDescent="0.4">
      <c r="A243" s="117"/>
      <c r="B243" s="123"/>
      <c r="C243" s="123"/>
      <c r="D243" s="123"/>
      <c r="F243" s="115"/>
      <c r="G243" s="115"/>
      <c r="H243" s="115"/>
      <c r="I243" s="115"/>
      <c r="J243" s="115"/>
      <c r="K243" s="115"/>
      <c r="L243" s="25"/>
      <c r="M243" s="15"/>
      <c r="N243" s="115"/>
      <c r="O243" s="115"/>
      <c r="P243" s="115"/>
      <c r="Q243" s="115"/>
      <c r="R243" s="115"/>
      <c r="S243" s="115"/>
      <c r="T243" s="115"/>
      <c r="U243" s="115"/>
      <c r="V243" s="115"/>
      <c r="W243" s="25">
        <v>45684</v>
      </c>
      <c r="X243" s="13" t="s">
        <v>147</v>
      </c>
      <c r="AC243" s="117"/>
      <c r="AD243" s="123"/>
      <c r="AE243" s="123"/>
      <c r="AF243" s="123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3"/>
      <c r="AV243" s="13"/>
      <c r="AY243" s="114"/>
    </row>
    <row r="244" spans="1:51" ht="19.5" x14ac:dyDescent="0.4">
      <c r="A244" s="117"/>
      <c r="B244" s="123"/>
      <c r="C244" s="123"/>
      <c r="D244" s="123"/>
      <c r="L244" s="25"/>
      <c r="M244" s="15"/>
      <c r="W244" s="25">
        <v>45685</v>
      </c>
      <c r="X244" s="13" t="s">
        <v>146</v>
      </c>
      <c r="AC244" s="117"/>
      <c r="AD244" s="123"/>
      <c r="AE244" s="123"/>
      <c r="AF244" s="123"/>
      <c r="AK244" s="115"/>
      <c r="AL244" s="115"/>
      <c r="AM244" s="115"/>
      <c r="AN244" s="115"/>
      <c r="AO244" s="115"/>
      <c r="AP244" s="115"/>
      <c r="AQ244" s="115"/>
      <c r="AR244" s="115"/>
      <c r="AS244" s="115"/>
      <c r="AT244" s="115"/>
      <c r="AU244" s="25">
        <v>45263</v>
      </c>
      <c r="AV244" s="13" t="s">
        <v>162</v>
      </c>
      <c r="AY244" s="114"/>
    </row>
    <row r="245" spans="1:51" ht="19.5" x14ac:dyDescent="0.4">
      <c r="A245" s="117"/>
      <c r="B245" s="123"/>
      <c r="C245" s="123"/>
      <c r="D245" s="123"/>
      <c r="L245" s="25"/>
      <c r="M245" s="15"/>
      <c r="T245" s="115"/>
      <c r="U245" s="115"/>
      <c r="V245" s="115"/>
      <c r="W245" s="25">
        <v>45685</v>
      </c>
      <c r="X245" s="13" t="s">
        <v>147</v>
      </c>
      <c r="AC245" s="117"/>
      <c r="AD245" s="123"/>
      <c r="AE245" s="123"/>
      <c r="AF245" s="123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25"/>
      <c r="AV245" s="13"/>
      <c r="AY245" s="114"/>
    </row>
    <row r="246" spans="1:51" ht="19.5" x14ac:dyDescent="0.4">
      <c r="A246" s="117"/>
      <c r="B246" s="123"/>
      <c r="C246" s="123"/>
      <c r="D246" s="123"/>
      <c r="L246" s="133"/>
      <c r="M246" s="15"/>
      <c r="T246" s="115"/>
      <c r="U246" s="115"/>
      <c r="V246" s="115"/>
      <c r="W246" s="25"/>
      <c r="X246" s="13"/>
      <c r="AC246" s="117"/>
      <c r="AD246" s="123"/>
      <c r="AE246" s="123"/>
      <c r="AF246" s="123"/>
      <c r="AK246" s="115"/>
      <c r="AL246" s="115"/>
      <c r="AM246" s="115"/>
      <c r="AN246" s="115"/>
      <c r="AO246" s="115"/>
      <c r="AP246" s="115"/>
      <c r="AQ246" s="115"/>
      <c r="AR246" s="115"/>
      <c r="AS246" s="115"/>
      <c r="AT246" s="115"/>
      <c r="AU246" s="25"/>
      <c r="AV246" s="13"/>
      <c r="AY246" s="114"/>
    </row>
    <row r="247" spans="1:51" ht="19.5" x14ac:dyDescent="0.4">
      <c r="A247" s="117"/>
      <c r="B247" s="123"/>
      <c r="C247" s="123"/>
      <c r="D247" s="123"/>
      <c r="L247" s="25"/>
      <c r="M247" s="15"/>
      <c r="N247" s="115"/>
      <c r="O247" s="115"/>
      <c r="P247" s="115"/>
      <c r="Q247" s="115"/>
      <c r="R247" s="115"/>
      <c r="S247" s="115"/>
      <c r="T247" s="115"/>
      <c r="U247" s="115"/>
      <c r="V247" s="115"/>
      <c r="W247" s="25">
        <v>45685</v>
      </c>
      <c r="X247" s="13" t="s">
        <v>147</v>
      </c>
      <c r="AC247" s="117"/>
      <c r="AD247" s="123"/>
      <c r="AE247" s="123"/>
      <c r="AF247" s="123"/>
      <c r="AK247" s="115"/>
      <c r="AL247" s="115"/>
      <c r="AM247" s="115"/>
      <c r="AN247" s="115"/>
      <c r="AO247" s="115"/>
      <c r="AP247" s="115"/>
      <c r="AQ247" s="115"/>
      <c r="AR247" s="115"/>
      <c r="AS247" s="115"/>
      <c r="AT247" s="115"/>
      <c r="AU247" s="25"/>
      <c r="AV247" s="13"/>
      <c r="AY247" s="114"/>
    </row>
    <row r="248" spans="1:51" ht="19.5" x14ac:dyDescent="0.4">
      <c r="A248" s="117"/>
      <c r="B248" s="123"/>
      <c r="C248" s="123"/>
      <c r="D248" s="123"/>
      <c r="L248" s="25"/>
      <c r="M248" s="15"/>
      <c r="N248" s="115"/>
      <c r="O248" s="115"/>
      <c r="P248" s="115"/>
      <c r="Q248" s="115"/>
      <c r="R248" s="115"/>
      <c r="S248" s="115"/>
      <c r="T248" s="115"/>
      <c r="U248" s="115"/>
      <c r="V248" s="115"/>
      <c r="W248" s="25">
        <v>45685</v>
      </c>
      <c r="X248" s="13" t="s">
        <v>148</v>
      </c>
      <c r="AC248" s="117"/>
      <c r="AD248" s="123"/>
      <c r="AE248" s="123"/>
      <c r="AF248" s="123"/>
      <c r="AK248" s="115"/>
      <c r="AL248" s="115"/>
      <c r="AM248" s="115"/>
      <c r="AN248" s="115"/>
      <c r="AO248" s="115"/>
      <c r="AP248" s="115"/>
      <c r="AQ248" s="115"/>
      <c r="AR248" s="115"/>
      <c r="AS248" s="115"/>
      <c r="AT248" s="115"/>
      <c r="AU248" s="25"/>
      <c r="AV248" s="13"/>
      <c r="AY248" s="114"/>
    </row>
    <row r="249" spans="1:51" ht="19.5" x14ac:dyDescent="0.4">
      <c r="A249" s="117"/>
      <c r="B249" s="123"/>
      <c r="C249" s="123"/>
      <c r="D249" s="123"/>
      <c r="L249" s="25"/>
      <c r="M249" s="15"/>
      <c r="N249" s="115"/>
      <c r="O249" s="115"/>
      <c r="P249" s="115"/>
      <c r="Q249" s="115"/>
      <c r="R249" s="115"/>
      <c r="S249" s="115"/>
      <c r="T249" s="115"/>
      <c r="U249" s="115"/>
      <c r="V249" s="115"/>
      <c r="W249" s="25">
        <v>45685</v>
      </c>
      <c r="X249" s="13" t="s">
        <v>148</v>
      </c>
      <c r="AC249" s="117"/>
      <c r="AD249" s="123"/>
      <c r="AE249" s="123"/>
      <c r="AF249" s="123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25"/>
      <c r="AV249" s="13"/>
      <c r="AY249" s="114"/>
    </row>
    <row r="250" spans="1:51" ht="19.5" x14ac:dyDescent="0.4">
      <c r="A250" s="117"/>
      <c r="B250" s="123"/>
      <c r="C250" s="123"/>
      <c r="D250" s="123"/>
      <c r="L250" s="133"/>
      <c r="M250" s="15"/>
      <c r="N250" s="115"/>
      <c r="O250" s="115"/>
      <c r="P250" s="115"/>
      <c r="Q250" s="115"/>
      <c r="R250" s="115"/>
      <c r="S250" s="115"/>
      <c r="T250" s="115"/>
      <c r="U250" s="115"/>
      <c r="V250" s="115"/>
      <c r="W250" s="25"/>
      <c r="X250" s="13"/>
      <c r="AC250" s="117"/>
      <c r="AD250" s="123"/>
      <c r="AE250" s="123"/>
      <c r="AF250" s="123"/>
      <c r="AK250" s="115"/>
      <c r="AL250" s="115"/>
      <c r="AM250" s="115"/>
      <c r="AN250" s="115"/>
      <c r="AO250" s="115"/>
      <c r="AP250" s="115"/>
      <c r="AQ250" s="115"/>
      <c r="AR250" s="115"/>
      <c r="AS250" s="115"/>
      <c r="AT250" s="115"/>
      <c r="AU250" s="25"/>
      <c r="AV250" s="13"/>
      <c r="AY250" s="114"/>
    </row>
    <row r="251" spans="1:51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25"/>
      <c r="M251" s="15"/>
      <c r="N251" s="115"/>
      <c r="O251" s="115"/>
      <c r="P251" s="115"/>
      <c r="Q251" s="115"/>
      <c r="R251" s="115"/>
      <c r="S251" s="115"/>
      <c r="T251" s="115"/>
      <c r="U251" s="115"/>
      <c r="V251" s="115"/>
      <c r="W251" s="25"/>
      <c r="X251" s="13"/>
      <c r="AC251" s="117"/>
      <c r="AD251" s="123"/>
      <c r="AE251" s="123"/>
      <c r="AF251" s="123"/>
      <c r="AK251" s="115"/>
      <c r="AL251" s="115"/>
      <c r="AM251" s="115"/>
      <c r="AN251" s="115"/>
      <c r="AO251" s="115"/>
      <c r="AP251" s="115"/>
      <c r="AQ251" s="115"/>
      <c r="AR251" s="115"/>
      <c r="AS251" s="115"/>
      <c r="AT251" s="115"/>
      <c r="AU251" s="25"/>
      <c r="AV251" s="13"/>
      <c r="AY251" s="114"/>
    </row>
    <row r="252" spans="1:51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33"/>
      <c r="M252" s="15"/>
      <c r="N252" s="115"/>
      <c r="O252" s="115"/>
      <c r="P252" s="115"/>
      <c r="Q252" s="115"/>
      <c r="R252" s="115"/>
      <c r="S252" s="115"/>
      <c r="T252" s="115"/>
      <c r="U252" s="115"/>
      <c r="V252" s="115"/>
      <c r="W252" s="25"/>
      <c r="X252" s="13"/>
      <c r="AC252" s="117"/>
      <c r="AD252" s="123"/>
      <c r="AE252" s="123"/>
      <c r="AF252" s="123"/>
      <c r="AK252" s="115"/>
      <c r="AL252" s="115"/>
      <c r="AM252" s="115"/>
      <c r="AN252" s="115"/>
      <c r="AO252" s="115"/>
      <c r="AP252" s="115"/>
      <c r="AQ252" s="115"/>
      <c r="AR252" s="115"/>
      <c r="AS252" s="115"/>
      <c r="AT252" s="115"/>
      <c r="AU252" s="25"/>
      <c r="AV252" s="13"/>
      <c r="AY252" s="114"/>
    </row>
    <row r="253" spans="1:51" ht="19.5" x14ac:dyDescent="0.4">
      <c r="A253" s="117"/>
      <c r="B253" s="123"/>
      <c r="C253" s="123"/>
      <c r="D253" s="123"/>
      <c r="L253" s="25"/>
      <c r="M253" s="15"/>
      <c r="N253" s="115"/>
      <c r="O253" s="115"/>
      <c r="P253" s="115"/>
      <c r="Q253" s="115"/>
      <c r="R253" s="115"/>
      <c r="S253" s="115"/>
      <c r="T253" s="115"/>
      <c r="U253" s="115"/>
      <c r="V253" s="115"/>
      <c r="W253" s="25">
        <v>45685</v>
      </c>
      <c r="X253" s="13" t="s">
        <v>148</v>
      </c>
      <c r="AC253" s="117"/>
      <c r="AD253" s="123"/>
      <c r="AE253" s="123"/>
      <c r="AF253" s="123"/>
      <c r="AK253" s="115"/>
      <c r="AL253" s="115"/>
      <c r="AM253" s="115"/>
      <c r="AN253" s="115"/>
      <c r="AO253" s="115"/>
      <c r="AP253" s="115"/>
      <c r="AQ253" s="115"/>
      <c r="AR253" s="115"/>
      <c r="AS253" s="115"/>
      <c r="AT253" s="115"/>
      <c r="AU253" s="25"/>
      <c r="AV253" s="13"/>
      <c r="AY253" s="114"/>
    </row>
    <row r="254" spans="1:51" ht="19.5" x14ac:dyDescent="0.4">
      <c r="A254" s="117"/>
      <c r="B254" s="123"/>
      <c r="C254" s="123"/>
      <c r="D254" s="123"/>
      <c r="L254" s="25"/>
      <c r="M254" s="15"/>
      <c r="N254" s="115"/>
      <c r="O254" s="115"/>
      <c r="P254" s="115"/>
      <c r="Q254" s="115"/>
      <c r="R254" s="115"/>
      <c r="S254" s="115"/>
      <c r="T254" s="115"/>
      <c r="U254" s="115"/>
      <c r="V254" s="115"/>
      <c r="W254" s="25">
        <v>45685</v>
      </c>
      <c r="X254" s="13" t="s">
        <v>148</v>
      </c>
      <c r="AC254" s="117"/>
      <c r="AD254" s="123"/>
      <c r="AE254" s="123"/>
      <c r="AF254" s="123"/>
      <c r="AK254" s="115"/>
      <c r="AL254" s="115"/>
      <c r="AM254" s="115"/>
      <c r="AN254" s="115"/>
      <c r="AO254" s="115"/>
      <c r="AP254" s="115"/>
      <c r="AQ254" s="115"/>
      <c r="AR254" s="115"/>
      <c r="AS254" s="115"/>
      <c r="AT254" s="115"/>
      <c r="AU254" s="25"/>
      <c r="AV254" s="13"/>
      <c r="AY254" s="114"/>
    </row>
    <row r="255" spans="1:51" ht="19.5" x14ac:dyDescent="0.4">
      <c r="A255" s="117"/>
      <c r="B255" s="123"/>
      <c r="C255" s="123"/>
      <c r="D255" s="123"/>
      <c r="L255" s="25"/>
      <c r="M255" s="15"/>
      <c r="N255" s="115"/>
      <c r="O255" s="115"/>
      <c r="P255" s="115"/>
      <c r="Q255" s="115"/>
      <c r="R255" s="115"/>
      <c r="S255" s="115"/>
      <c r="T255" s="115"/>
      <c r="U255" s="115"/>
      <c r="V255" s="115"/>
      <c r="W255" s="25">
        <v>45685</v>
      </c>
      <c r="X255" s="13" t="s">
        <v>146</v>
      </c>
      <c r="AC255" s="117"/>
      <c r="AD255" s="123"/>
      <c r="AE255" s="123"/>
      <c r="AF255" s="123"/>
      <c r="AK255" s="115"/>
      <c r="AL255" s="115"/>
      <c r="AM255" s="115"/>
      <c r="AN255" s="115"/>
      <c r="AO255" s="115"/>
      <c r="AP255" s="115"/>
      <c r="AQ255" s="115"/>
      <c r="AR255" s="115"/>
      <c r="AS255" s="115"/>
      <c r="AT255" s="115"/>
      <c r="AU255" s="25"/>
      <c r="AV255" s="13"/>
      <c r="AY255" s="114"/>
    </row>
    <row r="256" spans="1:51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25"/>
      <c r="M256" s="15"/>
      <c r="N256" s="115"/>
      <c r="O256" s="115"/>
      <c r="P256" s="115"/>
      <c r="Q256" s="115"/>
      <c r="R256" s="115"/>
      <c r="S256" s="115"/>
      <c r="T256" s="115"/>
      <c r="U256" s="115"/>
      <c r="V256" s="115"/>
      <c r="W256" s="25"/>
      <c r="X256" s="13"/>
      <c r="AC256" s="117"/>
      <c r="AD256" s="123"/>
      <c r="AE256" s="123"/>
      <c r="AF256" s="123"/>
      <c r="AK256" s="115"/>
      <c r="AL256" s="115"/>
      <c r="AM256" s="115"/>
      <c r="AN256" s="115"/>
      <c r="AO256" s="115"/>
      <c r="AP256" s="115"/>
      <c r="AQ256" s="115"/>
      <c r="AR256" s="115"/>
      <c r="AS256" s="115"/>
      <c r="AT256" s="115"/>
      <c r="AU256" s="25"/>
      <c r="AV256" s="13"/>
      <c r="AY256" s="114"/>
    </row>
    <row r="257" spans="1:51" ht="19.5" x14ac:dyDescent="0.4">
      <c r="A257" s="117"/>
      <c r="B257" s="123"/>
      <c r="C257" s="123"/>
      <c r="D257" s="123"/>
      <c r="L257" s="25"/>
      <c r="M257" s="15"/>
      <c r="W257" s="25">
        <v>45685</v>
      </c>
      <c r="X257" s="13" t="s">
        <v>148</v>
      </c>
      <c r="AC257" s="117"/>
      <c r="AD257" s="123"/>
      <c r="AE257" s="123"/>
      <c r="AF257" s="123"/>
      <c r="AK257" s="115"/>
      <c r="AL257" s="115"/>
      <c r="AM257" s="115"/>
      <c r="AN257" s="115"/>
      <c r="AO257" s="115"/>
      <c r="AP257" s="115"/>
      <c r="AQ257" s="115"/>
      <c r="AR257" s="115"/>
      <c r="AS257" s="115"/>
      <c r="AT257" s="115" t="s">
        <v>150</v>
      </c>
      <c r="AU257" s="13">
        <f>SUBTOTAL(3,AU244:AU244)</f>
        <v>1</v>
      </c>
      <c r="AV257" s="13">
        <f>SUBTOTAL(3,AV244:AV244)</f>
        <v>1</v>
      </c>
      <c r="AY257" s="114"/>
    </row>
    <row r="258" spans="1:51" ht="19.5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25"/>
      <c r="M258" s="15"/>
      <c r="W258" s="25"/>
      <c r="X258" s="13"/>
      <c r="AC258" s="117"/>
      <c r="AD258" s="123"/>
      <c r="AE258" s="123"/>
      <c r="AF258" s="123"/>
      <c r="AK258" s="115"/>
      <c r="AL258" s="115"/>
      <c r="AM258" s="115"/>
      <c r="AN258" s="115"/>
      <c r="AO258" s="115"/>
      <c r="AP258" s="115"/>
      <c r="AQ258" s="115"/>
      <c r="AR258" s="115"/>
      <c r="AS258" s="115"/>
      <c r="AT258" s="115"/>
      <c r="AU258" s="13"/>
      <c r="AV258" s="13"/>
      <c r="AY258" s="114"/>
    </row>
    <row r="259" spans="1:51" ht="19.5" x14ac:dyDescent="0.4">
      <c r="A259" s="117"/>
      <c r="B259" s="123"/>
      <c r="C259" s="123"/>
      <c r="D259" s="123"/>
      <c r="L259" s="25"/>
      <c r="M259" s="15"/>
      <c r="N259" s="115"/>
      <c r="O259" s="115"/>
      <c r="P259" s="115"/>
      <c r="Q259" s="115"/>
      <c r="R259" s="115"/>
      <c r="S259" s="115"/>
      <c r="T259" s="115"/>
      <c r="U259" s="115"/>
      <c r="V259" s="115"/>
      <c r="W259" s="25">
        <v>45685</v>
      </c>
      <c r="X259" s="15" t="s">
        <v>146</v>
      </c>
      <c r="AC259" s="117"/>
      <c r="AD259" s="123"/>
      <c r="AE259" s="123"/>
      <c r="AF259" s="123"/>
      <c r="AK259" s="115"/>
      <c r="AL259" s="115"/>
      <c r="AM259" s="115"/>
      <c r="AN259" s="115"/>
      <c r="AO259" s="115"/>
      <c r="AP259" s="115"/>
      <c r="AQ259" s="115"/>
      <c r="AR259" s="115"/>
      <c r="AS259" s="115"/>
      <c r="AT259" s="115"/>
      <c r="AU259" s="13"/>
      <c r="AV259" s="13"/>
      <c r="AY259" s="114"/>
    </row>
    <row r="260" spans="1:51" ht="19.5" x14ac:dyDescent="0.4">
      <c r="A260" s="117"/>
      <c r="B260" s="123"/>
      <c r="C260" s="123"/>
      <c r="D260" s="123"/>
      <c r="L260" s="25"/>
      <c r="M260" s="15"/>
      <c r="W260" s="25">
        <v>45685</v>
      </c>
      <c r="X260" s="15" t="s">
        <v>146</v>
      </c>
      <c r="AC260" s="117"/>
      <c r="AD260" s="123"/>
      <c r="AE260" s="123"/>
      <c r="AF260" s="123"/>
      <c r="AK260" s="115"/>
      <c r="AL260" s="115"/>
      <c r="AM260" s="115"/>
      <c r="AN260" s="115"/>
      <c r="AO260" s="115"/>
      <c r="AP260" s="115"/>
      <c r="AQ260" s="115"/>
      <c r="AR260" s="115"/>
      <c r="AS260" s="115"/>
      <c r="AT260" s="115"/>
      <c r="AU260" s="25">
        <v>45264</v>
      </c>
      <c r="AV260" s="13" t="s">
        <v>162</v>
      </c>
      <c r="AY260" s="114"/>
    </row>
    <row r="261" spans="1:51" ht="19.5" x14ac:dyDescent="0.4">
      <c r="A261" s="117"/>
      <c r="B261" s="123"/>
      <c r="C261" s="123"/>
      <c r="D261" s="123"/>
      <c r="L261" s="25"/>
      <c r="M261" s="15"/>
      <c r="S261" s="115"/>
      <c r="T261" s="115"/>
      <c r="U261" s="115"/>
      <c r="V261" s="115"/>
      <c r="W261" s="25">
        <v>45686</v>
      </c>
      <c r="X261" s="15" t="s">
        <v>148</v>
      </c>
      <c r="AC261" s="117"/>
      <c r="AD261" s="123"/>
      <c r="AE261" s="123"/>
      <c r="AF261" s="123"/>
      <c r="AK261" s="115"/>
      <c r="AL261" s="115"/>
      <c r="AM261" s="115"/>
      <c r="AN261" s="115"/>
      <c r="AO261" s="115"/>
      <c r="AP261" s="115"/>
      <c r="AQ261" s="115"/>
      <c r="AR261" s="115"/>
      <c r="AS261" s="115"/>
      <c r="AT261" s="115"/>
      <c r="AU261" s="25"/>
      <c r="AV261" s="13"/>
      <c r="AY261" s="114"/>
    </row>
    <row r="262" spans="1:51" ht="19.5" x14ac:dyDescent="0.4">
      <c r="A262" s="117"/>
      <c r="B262" s="123"/>
      <c r="C262" s="123"/>
      <c r="D262" s="123"/>
      <c r="L262" s="25"/>
      <c r="M262" s="15"/>
      <c r="Q262" s="115"/>
      <c r="R262" s="115"/>
      <c r="S262" s="115"/>
      <c r="T262" s="115"/>
      <c r="U262" s="115"/>
      <c r="V262" s="115"/>
      <c r="W262" s="25">
        <v>45686</v>
      </c>
      <c r="X262" s="15" t="s">
        <v>146</v>
      </c>
      <c r="AC262" s="117"/>
      <c r="AD262" s="123"/>
      <c r="AE262" s="123"/>
      <c r="AF262" s="123"/>
      <c r="AK262" s="115"/>
      <c r="AL262" s="115"/>
      <c r="AM262" s="115"/>
      <c r="AN262" s="115"/>
      <c r="AO262" s="115"/>
      <c r="AP262" s="115"/>
      <c r="AQ262" s="115"/>
      <c r="AR262" s="115"/>
      <c r="AS262" s="115"/>
      <c r="AT262" s="115"/>
      <c r="AU262" s="25"/>
      <c r="AV262" s="13"/>
      <c r="AY262" s="114"/>
    </row>
    <row r="263" spans="1:51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25"/>
      <c r="M263" s="15"/>
      <c r="Q263" s="115"/>
      <c r="R263" s="115"/>
      <c r="S263" s="115"/>
      <c r="T263" s="115"/>
      <c r="U263" s="115"/>
      <c r="V263" s="115"/>
      <c r="W263" s="25"/>
      <c r="X263" s="15"/>
      <c r="AC263" s="117"/>
      <c r="AD263" s="123"/>
      <c r="AE263" s="123"/>
      <c r="AF263" s="123"/>
      <c r="AK263" s="115"/>
      <c r="AL263" s="115"/>
      <c r="AM263" s="115"/>
      <c r="AN263" s="115"/>
      <c r="AO263" s="115"/>
      <c r="AP263" s="115"/>
      <c r="AQ263" s="115"/>
      <c r="AR263" s="115"/>
      <c r="AS263" s="115"/>
      <c r="AT263" s="115"/>
      <c r="AU263" s="25"/>
      <c r="AV263" s="13"/>
      <c r="AY263" s="114"/>
    </row>
    <row r="264" spans="1:51" ht="19.5" x14ac:dyDescent="0.4">
      <c r="A264" s="117"/>
      <c r="B264" s="123"/>
      <c r="C264" s="123"/>
      <c r="D264" s="123"/>
      <c r="L264" s="26"/>
      <c r="M264" s="15"/>
      <c r="Q264" s="115"/>
      <c r="R264" s="115"/>
      <c r="S264" s="115"/>
      <c r="T264" s="115"/>
      <c r="U264" s="115"/>
      <c r="V264" s="115"/>
      <c r="W264" s="25">
        <v>45686</v>
      </c>
      <c r="X264" s="15" t="s">
        <v>148</v>
      </c>
      <c r="AC264" s="117"/>
      <c r="AD264" s="123"/>
      <c r="AE264" s="123"/>
      <c r="AF264" s="123"/>
      <c r="AK264" s="115"/>
      <c r="AL264" s="115"/>
      <c r="AM264" s="115"/>
      <c r="AN264" s="115"/>
      <c r="AO264" s="115"/>
      <c r="AP264" s="115"/>
      <c r="AQ264" s="115"/>
      <c r="AR264" s="115"/>
      <c r="AS264" s="115"/>
      <c r="AT264" s="115"/>
      <c r="AU264" s="25"/>
      <c r="AV264" s="13"/>
      <c r="AY264" s="114"/>
    </row>
    <row r="265" spans="1:51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26"/>
      <c r="M265" s="13"/>
      <c r="Q265" s="115"/>
      <c r="R265" s="115"/>
      <c r="S265" s="115"/>
      <c r="T265" s="115"/>
      <c r="U265" s="115"/>
      <c r="V265" s="115"/>
      <c r="W265" s="25"/>
      <c r="X265" s="15"/>
      <c r="AC265" s="117"/>
      <c r="AD265" s="123"/>
      <c r="AE265" s="123"/>
      <c r="AF265" s="123"/>
      <c r="AK265" s="115"/>
      <c r="AL265" s="115"/>
      <c r="AM265" s="115"/>
      <c r="AN265" s="115"/>
      <c r="AO265" s="115"/>
      <c r="AP265" s="115"/>
      <c r="AQ265" s="115"/>
      <c r="AR265" s="115"/>
      <c r="AS265" s="115"/>
      <c r="AT265" s="115"/>
      <c r="AU265" s="25"/>
      <c r="AV265" s="13"/>
      <c r="AY265" s="114"/>
    </row>
    <row r="266" spans="1:51" ht="19.5" x14ac:dyDescent="0.4">
      <c r="A266" s="117"/>
      <c r="B266" s="123"/>
      <c r="C266" s="123"/>
      <c r="D266" s="123"/>
      <c r="L266" s="26"/>
      <c r="M266" s="13"/>
      <c r="W266" s="25">
        <v>45686</v>
      </c>
      <c r="X266" s="15" t="s">
        <v>146</v>
      </c>
      <c r="AC266" s="117"/>
      <c r="AD266" s="123"/>
      <c r="AE266" s="123"/>
      <c r="AF266" s="123"/>
      <c r="AK266" s="115"/>
      <c r="AL266" s="115"/>
      <c r="AM266" s="115"/>
      <c r="AN266" s="115"/>
      <c r="AO266" s="115"/>
      <c r="AP266" s="115"/>
      <c r="AQ266" s="115"/>
      <c r="AR266" s="115"/>
      <c r="AS266" s="115"/>
      <c r="AT266" s="115" t="s">
        <v>154</v>
      </c>
      <c r="AU266" s="13">
        <f>SUBTOTAL(3,AU260:AU260)</f>
        <v>1</v>
      </c>
      <c r="AV266" s="13">
        <f>SUBTOTAL(3,AV260:AV260)</f>
        <v>1</v>
      </c>
      <c r="AY266" s="114"/>
    </row>
    <row r="267" spans="1:51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26"/>
      <c r="M267" s="13"/>
      <c r="W267" s="25"/>
      <c r="X267" s="15"/>
      <c r="AC267" s="117"/>
      <c r="AD267" s="123"/>
      <c r="AE267" s="123"/>
      <c r="AF267" s="123"/>
      <c r="AK267" s="115"/>
      <c r="AL267" s="115"/>
      <c r="AM267" s="115"/>
      <c r="AN267" s="115"/>
      <c r="AO267" s="115"/>
      <c r="AP267" s="115"/>
      <c r="AQ267" s="115"/>
      <c r="AR267" s="115"/>
      <c r="AS267" s="115"/>
      <c r="AT267" s="115"/>
      <c r="AU267" s="13"/>
      <c r="AV267" s="13"/>
      <c r="AY267" s="114"/>
    </row>
    <row r="268" spans="1:51" ht="19.5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26"/>
      <c r="M268" s="13"/>
      <c r="W268" s="25"/>
      <c r="X268" s="15"/>
      <c r="AC268" s="117"/>
      <c r="AD268" s="123"/>
      <c r="AE268" s="123"/>
      <c r="AF268" s="123"/>
      <c r="AK268" s="115"/>
      <c r="AL268" s="115"/>
      <c r="AM268" s="115"/>
      <c r="AN268" s="115"/>
      <c r="AO268" s="115"/>
      <c r="AP268" s="115"/>
      <c r="AQ268" s="115"/>
      <c r="AR268" s="115"/>
      <c r="AS268" s="115"/>
      <c r="AT268" s="115"/>
      <c r="AU268" s="13"/>
      <c r="AV268" s="13"/>
      <c r="AY268" s="114"/>
    </row>
    <row r="269" spans="1:51" ht="19.5" x14ac:dyDescent="0.4">
      <c r="A269" s="117"/>
      <c r="B269" s="123"/>
      <c r="C269" s="123"/>
      <c r="D269" s="123"/>
      <c r="L269" s="26"/>
      <c r="M269" s="13"/>
      <c r="W269" s="25">
        <v>45686</v>
      </c>
      <c r="X269" s="15" t="s">
        <v>146</v>
      </c>
      <c r="AC269" s="117"/>
      <c r="AD269" s="123"/>
      <c r="AE269" s="123"/>
      <c r="AF269" s="123"/>
      <c r="AK269" s="115"/>
      <c r="AL269" s="115"/>
      <c r="AM269" s="115"/>
      <c r="AN269" s="115"/>
      <c r="AO269" s="115"/>
      <c r="AP269" s="115"/>
      <c r="AQ269" s="115"/>
      <c r="AR269" s="115"/>
      <c r="AS269" s="115"/>
      <c r="AT269" s="115"/>
      <c r="AU269" s="25">
        <v>45265</v>
      </c>
      <c r="AV269" s="13" t="s">
        <v>162</v>
      </c>
      <c r="AY269" s="114"/>
    </row>
    <row r="270" spans="1:51" ht="19.5" x14ac:dyDescent="0.4">
      <c r="A270" s="117"/>
      <c r="B270" s="123"/>
      <c r="C270" s="123"/>
      <c r="D270" s="123"/>
      <c r="L270" s="26"/>
      <c r="M270" s="13"/>
      <c r="W270" s="25">
        <v>45686</v>
      </c>
      <c r="X270" s="15" t="s">
        <v>146</v>
      </c>
      <c r="AC270" s="117"/>
      <c r="AD270" s="123"/>
      <c r="AE270" s="123"/>
      <c r="AF270" s="123"/>
      <c r="AK270" s="115"/>
      <c r="AL270" s="115"/>
      <c r="AM270" s="115"/>
      <c r="AN270" s="115"/>
      <c r="AO270" s="115"/>
      <c r="AP270" s="115"/>
      <c r="AQ270" s="115"/>
      <c r="AR270" s="115"/>
      <c r="AS270" s="115"/>
      <c r="AT270" s="115"/>
      <c r="AU270" s="25">
        <v>45265</v>
      </c>
      <c r="AV270" s="25" t="s">
        <v>162</v>
      </c>
      <c r="AY270" s="114"/>
    </row>
    <row r="271" spans="1:51" ht="19.5" x14ac:dyDescent="0.4">
      <c r="A271" s="117"/>
      <c r="B271" s="123"/>
      <c r="C271" s="123"/>
      <c r="D271" s="123"/>
      <c r="L271" s="26"/>
      <c r="M271" s="13"/>
      <c r="N271" s="115"/>
      <c r="O271" s="115"/>
      <c r="P271" s="115"/>
      <c r="Q271" s="115"/>
      <c r="R271" s="115"/>
      <c r="S271" s="115"/>
      <c r="T271" s="115"/>
      <c r="U271" s="115"/>
      <c r="V271" s="115"/>
      <c r="W271" s="25">
        <v>45686</v>
      </c>
      <c r="X271" s="15" t="s">
        <v>146</v>
      </c>
      <c r="AC271" s="117"/>
      <c r="AD271" s="123"/>
      <c r="AE271" s="123"/>
      <c r="AF271" s="123"/>
      <c r="AK271" s="115"/>
      <c r="AL271" s="115"/>
      <c r="AM271" s="115"/>
      <c r="AN271" s="115"/>
      <c r="AO271" s="115"/>
      <c r="AP271" s="115"/>
      <c r="AQ271" s="115"/>
      <c r="AR271" s="115"/>
      <c r="AS271" s="115"/>
      <c r="AT271" s="115"/>
      <c r="AU271" s="25"/>
      <c r="AV271" s="25"/>
      <c r="AY271" s="114"/>
    </row>
    <row r="272" spans="1:51" ht="19.5" x14ac:dyDescent="0.4">
      <c r="A272" s="117"/>
      <c r="B272" s="123"/>
      <c r="C272" s="123"/>
      <c r="D272" s="123"/>
      <c r="L272" s="129"/>
      <c r="M272" s="13"/>
      <c r="N272" s="115"/>
      <c r="O272" s="115"/>
      <c r="P272" s="115"/>
      <c r="Q272" s="115"/>
      <c r="R272" s="115"/>
      <c r="S272" s="115"/>
      <c r="T272" s="115"/>
      <c r="U272" s="115"/>
      <c r="V272" s="115"/>
      <c r="W272" s="25"/>
      <c r="X272" s="13"/>
      <c r="AC272" s="117"/>
      <c r="AD272" s="123"/>
      <c r="AE272" s="123"/>
      <c r="AF272" s="123"/>
      <c r="AK272" s="115"/>
      <c r="AL272" s="115"/>
      <c r="AM272" s="115"/>
      <c r="AN272" s="115"/>
      <c r="AO272" s="115"/>
      <c r="AP272" s="115"/>
      <c r="AQ272" s="115"/>
      <c r="AR272" s="115"/>
      <c r="AS272" s="115"/>
      <c r="AT272" s="115"/>
      <c r="AU272" s="25"/>
      <c r="AV272" s="25"/>
      <c r="AY272" s="114"/>
    </row>
    <row r="273" spans="1:51" ht="19.5" x14ac:dyDescent="0.4">
      <c r="A273" s="117"/>
      <c r="B273" s="123"/>
      <c r="C273" s="123"/>
      <c r="D273" s="123"/>
      <c r="L273" s="26"/>
      <c r="M273" s="13"/>
      <c r="W273" s="25">
        <v>45686</v>
      </c>
      <c r="X273" s="13" t="s">
        <v>146</v>
      </c>
      <c r="AC273" s="117"/>
      <c r="AD273" s="123"/>
      <c r="AE273" s="123"/>
      <c r="AF273" s="123"/>
      <c r="AK273" s="115"/>
      <c r="AL273" s="115"/>
      <c r="AM273" s="115"/>
      <c r="AN273" s="115"/>
      <c r="AO273" s="115"/>
      <c r="AP273" s="115"/>
      <c r="AQ273" s="115"/>
      <c r="AR273" s="115"/>
      <c r="AS273" s="115"/>
      <c r="AT273" s="115"/>
      <c r="AU273" s="25">
        <v>45265</v>
      </c>
      <c r="AV273" s="13" t="s">
        <v>162</v>
      </c>
      <c r="AY273" s="114"/>
    </row>
    <row r="274" spans="1:51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26"/>
      <c r="M274" s="13"/>
      <c r="W274" s="25"/>
      <c r="X274" s="13"/>
      <c r="AC274" s="117"/>
      <c r="AD274" s="123"/>
      <c r="AE274" s="123"/>
      <c r="AF274" s="123"/>
      <c r="AK274" s="115"/>
      <c r="AL274" s="115"/>
      <c r="AM274" s="115"/>
      <c r="AN274" s="115"/>
      <c r="AO274" s="115"/>
      <c r="AP274" s="115"/>
      <c r="AQ274" s="115"/>
      <c r="AR274" s="115"/>
      <c r="AS274" s="115"/>
      <c r="AT274" s="115"/>
      <c r="AU274" s="25"/>
      <c r="AV274" s="13"/>
      <c r="AY274" s="114"/>
    </row>
    <row r="275" spans="1:51" ht="19.5" x14ac:dyDescent="0.4">
      <c r="A275" s="117"/>
      <c r="B275" s="123"/>
      <c r="C275" s="123"/>
      <c r="D275" s="123"/>
      <c r="L275" s="26"/>
      <c r="M275" s="13"/>
      <c r="S275" s="115"/>
      <c r="T275" s="115"/>
      <c r="U275" s="115"/>
      <c r="V275" s="115"/>
      <c r="W275" s="25">
        <v>45686</v>
      </c>
      <c r="X275" s="15" t="s">
        <v>146</v>
      </c>
      <c r="AC275" s="117"/>
      <c r="AD275" s="123"/>
      <c r="AE275" s="123"/>
      <c r="AF275" s="123"/>
      <c r="AK275" s="115"/>
      <c r="AL275" s="115"/>
      <c r="AM275" s="115"/>
      <c r="AN275" s="115"/>
      <c r="AO275" s="115"/>
      <c r="AP275" s="115"/>
      <c r="AQ275" s="115"/>
      <c r="AR275" s="115"/>
      <c r="AS275" s="115"/>
      <c r="AT275" s="115"/>
      <c r="AU275" s="25"/>
      <c r="AV275" s="13"/>
      <c r="AY275" s="114"/>
    </row>
    <row r="276" spans="1:51" ht="19.5" x14ac:dyDescent="0.4">
      <c r="A276" s="117"/>
      <c r="B276" s="123"/>
      <c r="C276" s="123"/>
      <c r="D276" s="123"/>
      <c r="L276" s="26"/>
      <c r="M276" s="13"/>
      <c r="W276" s="25">
        <v>45686</v>
      </c>
      <c r="X276" s="15" t="s">
        <v>147</v>
      </c>
      <c r="AC276" s="117"/>
      <c r="AD276" s="123"/>
      <c r="AE276" s="123"/>
      <c r="AF276" s="123"/>
      <c r="AK276" s="115"/>
      <c r="AL276" s="115"/>
      <c r="AM276" s="115"/>
      <c r="AN276" s="115"/>
      <c r="AO276" s="115"/>
      <c r="AP276" s="115"/>
      <c r="AQ276" s="115"/>
      <c r="AR276" s="115"/>
      <c r="AS276" s="115"/>
      <c r="AT276" s="115"/>
      <c r="AU276" s="25">
        <v>45265</v>
      </c>
      <c r="AV276" s="13" t="s">
        <v>162</v>
      </c>
      <c r="AY276" s="114"/>
    </row>
    <row r="277" spans="1:51" ht="19.5" x14ac:dyDescent="0.4">
      <c r="A277" s="117"/>
      <c r="B277" s="123"/>
      <c r="C277" s="123"/>
      <c r="D277" s="123"/>
      <c r="L277" s="26"/>
      <c r="M277" s="13"/>
      <c r="T277" s="115"/>
      <c r="U277" s="115"/>
      <c r="V277" s="115"/>
      <c r="W277" s="25">
        <v>45686</v>
      </c>
      <c r="X277" s="15" t="s">
        <v>147</v>
      </c>
      <c r="AC277" s="117"/>
      <c r="AD277" s="123"/>
      <c r="AE277" s="123"/>
      <c r="AF277" s="123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25"/>
      <c r="AV277" s="13"/>
      <c r="AY277" s="114"/>
    </row>
    <row r="278" spans="1:51" ht="19.5" x14ac:dyDescent="0.4">
      <c r="A278" s="117"/>
      <c r="B278" s="123"/>
      <c r="C278" s="123"/>
      <c r="D278" s="123"/>
      <c r="L278" s="26"/>
      <c r="M278" s="13"/>
      <c r="N278" s="115"/>
      <c r="O278" s="115"/>
      <c r="P278" s="115"/>
      <c r="Q278" s="115"/>
      <c r="R278" s="115"/>
      <c r="S278" s="115"/>
      <c r="T278" s="115"/>
      <c r="U278" s="115"/>
      <c r="V278" s="115"/>
      <c r="W278" s="25">
        <v>45686</v>
      </c>
      <c r="X278" s="13" t="s">
        <v>146</v>
      </c>
      <c r="AC278" s="117"/>
      <c r="AD278" s="123"/>
      <c r="AE278" s="123"/>
      <c r="AF278" s="123"/>
      <c r="AK278" s="115"/>
      <c r="AL278" s="115"/>
      <c r="AM278" s="115"/>
      <c r="AN278" s="115"/>
      <c r="AO278" s="115"/>
      <c r="AP278" s="115"/>
      <c r="AQ278" s="115"/>
      <c r="AR278" s="115"/>
      <c r="AS278" s="115"/>
      <c r="AT278" s="115"/>
      <c r="AU278" s="25"/>
      <c r="AV278" s="13"/>
      <c r="AY278" s="114"/>
    </row>
    <row r="279" spans="1:51" ht="19.5" x14ac:dyDescent="0.4">
      <c r="A279" s="117"/>
      <c r="B279" s="123"/>
      <c r="C279" s="123"/>
      <c r="D279" s="123"/>
      <c r="L279" s="26"/>
      <c r="M279" s="13"/>
      <c r="W279" s="25">
        <v>45686</v>
      </c>
      <c r="X279" s="25" t="s">
        <v>146</v>
      </c>
      <c r="AC279" s="117"/>
      <c r="AD279" s="123"/>
      <c r="AE279" s="123"/>
      <c r="AF279" s="123"/>
      <c r="AK279" s="115"/>
      <c r="AL279" s="115"/>
      <c r="AM279" s="115"/>
      <c r="AN279" s="115"/>
      <c r="AO279" s="115"/>
      <c r="AP279" s="115"/>
      <c r="AQ279" s="115"/>
      <c r="AR279" s="115"/>
      <c r="AS279" s="115"/>
      <c r="AT279" s="115"/>
      <c r="AU279" s="25">
        <v>45265</v>
      </c>
      <c r="AV279" s="13" t="s">
        <v>163</v>
      </c>
      <c r="AY279" s="114"/>
    </row>
    <row r="280" spans="1:51" ht="19.5" x14ac:dyDescent="0.4">
      <c r="A280" s="117"/>
      <c r="B280" s="123"/>
      <c r="C280" s="123"/>
      <c r="D280" s="123"/>
      <c r="L280" s="26"/>
      <c r="M280" s="13"/>
      <c r="W280" s="25">
        <v>45686</v>
      </c>
      <c r="X280" s="25" t="s">
        <v>147</v>
      </c>
      <c r="AC280" s="117"/>
      <c r="AD280" s="123"/>
      <c r="AE280" s="123"/>
      <c r="AF280" s="123"/>
      <c r="AK280" s="115"/>
      <c r="AL280" s="115"/>
      <c r="AM280" s="115"/>
      <c r="AN280" s="115"/>
      <c r="AO280" s="115"/>
      <c r="AP280" s="115"/>
      <c r="AQ280" s="115"/>
      <c r="AR280" s="115"/>
      <c r="AS280" s="115"/>
      <c r="AT280" s="115" t="s">
        <v>155</v>
      </c>
      <c r="AU280" s="13">
        <f>SUBTOTAL(3,AU269:AU279)</f>
        <v>5</v>
      </c>
      <c r="AV280" s="13">
        <f>SUBTOTAL(3,AV269:AV279)</f>
        <v>5</v>
      </c>
      <c r="AY280" s="114"/>
    </row>
    <row r="281" spans="1:51" ht="19.5" x14ac:dyDescent="0.4">
      <c r="A281" s="117"/>
      <c r="B281" s="123"/>
      <c r="C281" s="123"/>
      <c r="D281" s="123"/>
      <c r="L281" s="26"/>
      <c r="M281" s="13"/>
      <c r="N281" s="115"/>
      <c r="O281" s="115"/>
      <c r="P281" s="115"/>
      <c r="Q281" s="115"/>
      <c r="R281" s="115"/>
      <c r="S281" s="115"/>
      <c r="T281" s="115"/>
      <c r="U281" s="115"/>
      <c r="V281" s="115"/>
      <c r="W281" s="25">
        <v>45686</v>
      </c>
      <c r="X281" s="25" t="s">
        <v>148</v>
      </c>
      <c r="AC281" s="117"/>
      <c r="AD281" s="123"/>
      <c r="AE281" s="123"/>
      <c r="AF281" s="123"/>
      <c r="AK281" s="115"/>
      <c r="AL281" s="115"/>
      <c r="AM281" s="115"/>
      <c r="AN281" s="115"/>
      <c r="AO281" s="115"/>
      <c r="AP281" s="115"/>
      <c r="AQ281" s="115"/>
      <c r="AR281" s="115"/>
      <c r="AS281" s="115"/>
      <c r="AT281" s="115"/>
      <c r="AU281" s="13"/>
      <c r="AV281" s="13"/>
      <c r="AY281" s="114"/>
    </row>
    <row r="282" spans="1:51" ht="19.5" x14ac:dyDescent="0.4">
      <c r="A282" s="117"/>
      <c r="B282" s="123"/>
      <c r="C282" s="123"/>
      <c r="D282" s="123"/>
      <c r="L282" s="26"/>
      <c r="M282" s="13"/>
      <c r="N282" s="115"/>
      <c r="O282" s="115"/>
      <c r="P282" s="115"/>
      <c r="Q282" s="115"/>
      <c r="R282" s="115"/>
      <c r="S282" s="115"/>
      <c r="T282" s="115"/>
      <c r="U282" s="115"/>
      <c r="V282" s="115"/>
      <c r="W282" s="25">
        <v>45686</v>
      </c>
      <c r="X282" s="13" t="s">
        <v>146</v>
      </c>
      <c r="AC282" s="117"/>
      <c r="AD282" s="123"/>
      <c r="AE282" s="123"/>
      <c r="AF282" s="123"/>
      <c r="AK282" s="115"/>
      <c r="AL282" s="115"/>
      <c r="AM282" s="115"/>
      <c r="AN282" s="115"/>
      <c r="AO282" s="115"/>
      <c r="AP282" s="115"/>
      <c r="AQ282" s="115"/>
      <c r="AR282" s="115"/>
      <c r="AS282" s="115"/>
      <c r="AT282" s="115"/>
      <c r="AU282" s="13"/>
      <c r="AV282" s="13"/>
      <c r="AY282" s="114"/>
    </row>
    <row r="283" spans="1:51" ht="19.5" x14ac:dyDescent="0.4">
      <c r="A283" s="117"/>
      <c r="B283" s="123"/>
      <c r="C283" s="123"/>
      <c r="D283" s="123"/>
      <c r="F283" s="115"/>
      <c r="G283" s="115"/>
      <c r="H283" s="115"/>
      <c r="I283" s="115"/>
      <c r="J283" s="115"/>
      <c r="K283" s="115"/>
      <c r="L283" s="26"/>
      <c r="M283" s="13"/>
      <c r="N283" s="115"/>
      <c r="O283" s="115"/>
      <c r="P283" s="115"/>
      <c r="Q283" s="115"/>
      <c r="R283" s="115"/>
      <c r="S283" s="115"/>
      <c r="T283" s="115"/>
      <c r="U283" s="115"/>
      <c r="V283" s="115"/>
      <c r="W283" s="25">
        <v>45686</v>
      </c>
      <c r="X283" s="13" t="s">
        <v>146</v>
      </c>
      <c r="AC283" s="117"/>
      <c r="AD283" s="123"/>
      <c r="AE283" s="123"/>
      <c r="AF283" s="123"/>
      <c r="AK283" s="115"/>
      <c r="AL283" s="115"/>
      <c r="AM283" s="115"/>
      <c r="AN283" s="115"/>
      <c r="AO283" s="115"/>
      <c r="AP283" s="115"/>
      <c r="AQ283" s="115"/>
      <c r="AR283" s="115"/>
      <c r="AS283" s="115"/>
      <c r="AT283" s="115"/>
      <c r="AU283" s="13"/>
      <c r="AV283" s="13"/>
      <c r="AY283" s="114"/>
    </row>
    <row r="284" spans="1:51" ht="19.5" x14ac:dyDescent="0.4">
      <c r="A284" s="117"/>
      <c r="B284" s="123"/>
      <c r="C284" s="123"/>
      <c r="D284" s="123"/>
      <c r="F284" s="115"/>
      <c r="G284" s="115"/>
      <c r="H284" s="115"/>
      <c r="I284" s="115"/>
      <c r="J284" s="115"/>
      <c r="K284" s="115"/>
      <c r="L284" s="26"/>
      <c r="M284" s="13"/>
      <c r="N284" s="115"/>
      <c r="O284" s="115"/>
      <c r="P284" s="115"/>
      <c r="Q284" s="115"/>
      <c r="R284" s="115"/>
      <c r="S284" s="115"/>
      <c r="T284" s="115"/>
      <c r="U284" s="115"/>
      <c r="V284" s="115"/>
      <c r="W284" s="25">
        <v>45686</v>
      </c>
      <c r="X284" s="15" t="s">
        <v>148</v>
      </c>
      <c r="AC284" s="117"/>
      <c r="AD284" s="123"/>
      <c r="AE284" s="123"/>
      <c r="AF284" s="123"/>
      <c r="AK284" s="115"/>
      <c r="AL284" s="115"/>
      <c r="AM284" s="115"/>
      <c r="AN284" s="115"/>
      <c r="AO284" s="115"/>
      <c r="AP284" s="115"/>
      <c r="AQ284" s="115"/>
      <c r="AR284" s="115"/>
      <c r="AS284" s="115"/>
      <c r="AT284" s="115"/>
      <c r="AU284" s="13"/>
      <c r="AV284" s="13"/>
      <c r="AY284" s="114"/>
    </row>
    <row r="285" spans="1:51" ht="19.5" x14ac:dyDescent="0.4">
      <c r="A285" s="117"/>
      <c r="B285" s="123"/>
      <c r="C285" s="123"/>
      <c r="D285" s="123"/>
      <c r="F285" s="115"/>
      <c r="G285" s="115"/>
      <c r="H285" s="115"/>
      <c r="I285" s="115"/>
      <c r="J285" s="115"/>
      <c r="K285" s="115"/>
      <c r="L285" s="26"/>
      <c r="M285" s="13"/>
      <c r="N285" s="115"/>
      <c r="O285" s="115"/>
      <c r="P285" s="115"/>
      <c r="Q285" s="115"/>
      <c r="R285" s="115"/>
      <c r="S285" s="115"/>
      <c r="T285" s="115"/>
      <c r="U285" s="115"/>
      <c r="V285" s="115"/>
      <c r="W285" s="25">
        <v>45686</v>
      </c>
      <c r="X285" s="15" t="s">
        <v>148</v>
      </c>
      <c r="AC285" s="117"/>
      <c r="AD285" s="123"/>
      <c r="AE285" s="123"/>
      <c r="AF285" s="123"/>
      <c r="AK285" s="115"/>
      <c r="AL285" s="115"/>
      <c r="AM285" s="115"/>
      <c r="AN285" s="115"/>
      <c r="AO285" s="115"/>
      <c r="AP285" s="115"/>
      <c r="AQ285" s="115"/>
      <c r="AR285" s="115"/>
      <c r="AS285" s="115"/>
      <c r="AT285" s="115"/>
      <c r="AU285" s="13"/>
      <c r="AV285" s="13"/>
      <c r="AY285" s="114"/>
    </row>
    <row r="286" spans="1:51" ht="19.5" x14ac:dyDescent="0.4">
      <c r="A286" s="117"/>
      <c r="B286" s="123"/>
      <c r="C286" s="123"/>
      <c r="D286" s="123"/>
      <c r="F286" s="115"/>
      <c r="G286" s="115"/>
      <c r="H286" s="115"/>
      <c r="I286" s="115"/>
      <c r="J286" s="115"/>
      <c r="K286" s="115"/>
      <c r="L286" s="26"/>
      <c r="M286" s="13"/>
      <c r="N286" s="115"/>
      <c r="O286" s="115"/>
      <c r="P286" s="115"/>
      <c r="Q286" s="115"/>
      <c r="R286" s="115"/>
      <c r="S286" s="115"/>
      <c r="T286" s="115"/>
      <c r="U286" s="115"/>
      <c r="V286" s="115"/>
      <c r="W286" s="25">
        <v>45686</v>
      </c>
      <c r="X286" s="15" t="s">
        <v>148</v>
      </c>
      <c r="AC286" s="117"/>
      <c r="AD286" s="123"/>
      <c r="AE286" s="123"/>
      <c r="AF286" s="123"/>
      <c r="AK286" s="115"/>
      <c r="AL286" s="115"/>
      <c r="AM286" s="115"/>
      <c r="AN286" s="115"/>
      <c r="AO286" s="115"/>
      <c r="AP286" s="115"/>
      <c r="AQ286" s="115"/>
      <c r="AR286" s="115"/>
      <c r="AS286" s="115"/>
      <c r="AT286" s="115"/>
      <c r="AU286" s="13"/>
      <c r="AV286" s="13"/>
      <c r="AY286" s="114"/>
    </row>
    <row r="287" spans="1:51" ht="19.5" x14ac:dyDescent="0.4">
      <c r="A287" s="117"/>
      <c r="B287" s="123"/>
      <c r="C287" s="123"/>
      <c r="D287" s="123"/>
      <c r="F287" s="115"/>
      <c r="G287" s="115"/>
      <c r="H287" s="115"/>
      <c r="I287" s="115"/>
      <c r="J287" s="115"/>
      <c r="K287" s="115"/>
      <c r="L287" s="26"/>
      <c r="M287" s="13"/>
      <c r="N287" s="115"/>
      <c r="O287" s="115"/>
      <c r="P287" s="115"/>
      <c r="Q287" s="115"/>
      <c r="R287" s="115"/>
      <c r="S287" s="115"/>
      <c r="T287" s="115"/>
      <c r="U287" s="115"/>
      <c r="V287" s="115"/>
      <c r="W287" s="25">
        <v>45686</v>
      </c>
      <c r="X287" s="15" t="s">
        <v>146</v>
      </c>
      <c r="AC287" s="117"/>
      <c r="AD287" s="123"/>
      <c r="AE287" s="123"/>
      <c r="AF287" s="123"/>
      <c r="AK287" s="115"/>
      <c r="AL287" s="115"/>
      <c r="AM287" s="115"/>
      <c r="AN287" s="115"/>
      <c r="AO287" s="115"/>
      <c r="AP287" s="115"/>
      <c r="AQ287" s="115"/>
      <c r="AR287" s="115"/>
      <c r="AS287" s="115"/>
      <c r="AT287" s="115"/>
      <c r="AU287" s="13"/>
      <c r="AV287" s="13"/>
      <c r="AY287" s="114"/>
    </row>
    <row r="288" spans="1:51" ht="19.5" x14ac:dyDescent="0.4">
      <c r="A288" s="117"/>
      <c r="B288" s="123"/>
      <c r="C288" s="123"/>
      <c r="D288" s="123"/>
      <c r="F288" s="115"/>
      <c r="G288" s="115"/>
      <c r="H288" s="115"/>
      <c r="I288" s="115"/>
      <c r="J288" s="115"/>
      <c r="K288" s="115"/>
      <c r="L288" s="26"/>
      <c r="M288" s="13"/>
      <c r="N288" s="115"/>
      <c r="O288" s="115"/>
      <c r="P288" s="115"/>
      <c r="Q288" s="115"/>
      <c r="R288" s="115"/>
      <c r="S288" s="115"/>
      <c r="T288" s="115"/>
      <c r="U288" s="115"/>
      <c r="V288" s="115"/>
      <c r="W288" s="25">
        <v>45686</v>
      </c>
      <c r="X288" s="15" t="s">
        <v>148</v>
      </c>
      <c r="AC288" s="117"/>
      <c r="AD288" s="123"/>
      <c r="AE288" s="123"/>
      <c r="AF288" s="123"/>
      <c r="AK288" s="115"/>
      <c r="AL288" s="115"/>
      <c r="AM288" s="115"/>
      <c r="AN288" s="115"/>
      <c r="AO288" s="115"/>
      <c r="AP288" s="115"/>
      <c r="AQ288" s="115"/>
      <c r="AR288" s="115"/>
      <c r="AS288" s="115"/>
      <c r="AT288" s="115"/>
      <c r="AU288" s="13"/>
      <c r="AV288" s="13"/>
      <c r="AY288" s="114"/>
    </row>
    <row r="289" spans="1:51" ht="19.5" x14ac:dyDescent="0.4">
      <c r="A289" s="117"/>
      <c r="B289" s="123"/>
      <c r="C289" s="123"/>
      <c r="D289" s="123"/>
      <c r="F289" s="115"/>
      <c r="G289" s="115"/>
      <c r="H289" s="115"/>
      <c r="I289" s="115"/>
      <c r="J289" s="115"/>
      <c r="K289" s="115"/>
      <c r="L289" s="26"/>
      <c r="M289" s="13"/>
      <c r="N289" s="115"/>
      <c r="O289" s="115"/>
      <c r="P289" s="115"/>
      <c r="Q289" s="115"/>
      <c r="R289" s="115"/>
      <c r="S289" s="115"/>
      <c r="T289" s="115"/>
      <c r="U289" s="115"/>
      <c r="V289" s="115"/>
      <c r="W289" s="25">
        <v>45689</v>
      </c>
      <c r="X289" s="15" t="s">
        <v>147</v>
      </c>
      <c r="AC289" s="117"/>
      <c r="AD289" s="123"/>
      <c r="AE289" s="123"/>
      <c r="AF289" s="123"/>
      <c r="AK289" s="115"/>
      <c r="AL289" s="115"/>
      <c r="AM289" s="115"/>
      <c r="AN289" s="115"/>
      <c r="AO289" s="115"/>
      <c r="AP289" s="115"/>
      <c r="AQ289" s="115"/>
      <c r="AR289" s="115"/>
      <c r="AS289" s="115"/>
      <c r="AT289" s="115"/>
      <c r="AU289" s="13"/>
      <c r="AV289" s="13"/>
      <c r="AY289" s="114"/>
    </row>
    <row r="290" spans="1:51" ht="19.5" x14ac:dyDescent="0.4">
      <c r="A290" s="117"/>
      <c r="B290" s="123"/>
      <c r="C290" s="123"/>
      <c r="D290" s="123"/>
      <c r="F290" s="115"/>
      <c r="G290" s="115"/>
      <c r="H290" s="115"/>
      <c r="I290" s="115"/>
      <c r="J290" s="115"/>
      <c r="K290" s="115"/>
      <c r="L290" s="26"/>
      <c r="M290" s="13"/>
      <c r="N290" s="115"/>
      <c r="O290" s="115"/>
      <c r="P290" s="115"/>
      <c r="Q290" s="115"/>
      <c r="R290" s="115"/>
      <c r="S290" s="115"/>
      <c r="T290" s="115"/>
      <c r="U290" s="115"/>
      <c r="V290" s="115"/>
      <c r="W290" s="25"/>
      <c r="X290" s="15"/>
      <c r="AC290" s="117"/>
      <c r="AD290" s="123"/>
      <c r="AE290" s="123"/>
      <c r="AF290" s="123"/>
      <c r="AK290" s="115"/>
      <c r="AL290" s="115"/>
      <c r="AM290" s="115"/>
      <c r="AN290" s="115"/>
      <c r="AO290" s="115"/>
      <c r="AP290" s="115"/>
      <c r="AQ290" s="115"/>
      <c r="AR290" s="115"/>
      <c r="AS290" s="115"/>
      <c r="AT290" s="115"/>
      <c r="AU290" s="13"/>
      <c r="AV290" s="13"/>
      <c r="AY290" s="114"/>
    </row>
    <row r="291" spans="1:51" ht="19.5" x14ac:dyDescent="0.4">
      <c r="A291" s="117"/>
      <c r="B291" s="123"/>
      <c r="C291" s="123"/>
      <c r="D291" s="123"/>
      <c r="F291" s="115"/>
      <c r="G291" s="115"/>
      <c r="H291" s="115"/>
      <c r="I291" s="115"/>
      <c r="J291" s="115"/>
      <c r="K291" s="115"/>
      <c r="L291" s="26"/>
      <c r="M291" s="13"/>
      <c r="N291" s="115"/>
      <c r="O291" s="115"/>
      <c r="P291" s="115"/>
      <c r="Q291" s="115"/>
      <c r="R291" s="115"/>
      <c r="S291" s="115"/>
      <c r="T291" s="115"/>
      <c r="U291" s="115"/>
      <c r="V291" s="115"/>
      <c r="W291" s="25">
        <v>45689</v>
      </c>
      <c r="X291" s="15" t="s">
        <v>147</v>
      </c>
      <c r="AC291" s="117"/>
      <c r="AD291" s="123"/>
      <c r="AE291" s="123"/>
      <c r="AF291" s="123"/>
      <c r="AK291" s="115"/>
      <c r="AL291" s="115"/>
      <c r="AM291" s="115"/>
      <c r="AN291" s="115"/>
      <c r="AO291" s="115"/>
      <c r="AP291" s="115"/>
      <c r="AQ291" s="115"/>
      <c r="AR291" s="115"/>
      <c r="AS291" s="115"/>
      <c r="AT291" s="115"/>
      <c r="AU291" s="13"/>
      <c r="AV291" s="13"/>
      <c r="AY291" s="114"/>
    </row>
    <row r="292" spans="1:51" ht="19.5" x14ac:dyDescent="0.4">
      <c r="A292" s="117"/>
      <c r="B292" s="123"/>
      <c r="C292" s="123"/>
      <c r="D292" s="123"/>
      <c r="L292" s="26"/>
      <c r="M292" s="13"/>
      <c r="W292" s="25">
        <v>45689</v>
      </c>
      <c r="X292" s="15" t="s">
        <v>146</v>
      </c>
      <c r="AC292" s="117"/>
      <c r="AD292" s="123"/>
      <c r="AE292" s="123"/>
      <c r="AF292" s="123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115"/>
      <c r="AT292" s="115"/>
      <c r="AU292" s="25">
        <v>45266</v>
      </c>
      <c r="AV292" s="25" t="s">
        <v>162</v>
      </c>
      <c r="AY292" s="114"/>
    </row>
    <row r="293" spans="1:51" ht="19.5" x14ac:dyDescent="0.4">
      <c r="A293" s="117"/>
      <c r="B293" s="123"/>
      <c r="C293" s="123"/>
      <c r="D293" s="123"/>
      <c r="L293" s="129"/>
      <c r="M293" s="13"/>
      <c r="W293" s="25"/>
      <c r="X293" s="15"/>
      <c r="AC293" s="117"/>
      <c r="AD293" s="123"/>
      <c r="AE293" s="123"/>
      <c r="AF293" s="123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115"/>
      <c r="AT293" s="115"/>
      <c r="AU293" s="25"/>
      <c r="AV293" s="25"/>
      <c r="AY293" s="114"/>
    </row>
    <row r="294" spans="1:51" ht="19.5" x14ac:dyDescent="0.4">
      <c r="A294" s="117"/>
      <c r="B294" s="123"/>
      <c r="C294" s="123"/>
      <c r="D294" s="123"/>
      <c r="L294" s="26"/>
      <c r="M294" s="13"/>
      <c r="N294" s="115"/>
      <c r="O294" s="115"/>
      <c r="P294" s="115"/>
      <c r="Q294" s="115"/>
      <c r="R294" s="115"/>
      <c r="S294" s="115"/>
      <c r="T294" s="115"/>
      <c r="U294" s="115"/>
      <c r="V294" s="115"/>
      <c r="W294" s="25">
        <v>45689</v>
      </c>
      <c r="X294" s="15" t="s">
        <v>146</v>
      </c>
      <c r="AC294" s="117"/>
      <c r="AD294" s="123"/>
      <c r="AE294" s="123"/>
      <c r="AF294" s="123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115"/>
      <c r="AT294" s="115"/>
      <c r="AU294" s="25"/>
      <c r="AV294" s="25"/>
      <c r="AY294" s="114"/>
    </row>
    <row r="295" spans="1:51" ht="19.5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26"/>
      <c r="M295" s="13"/>
      <c r="N295" s="115"/>
      <c r="O295" s="115"/>
      <c r="P295" s="115"/>
      <c r="Q295" s="115"/>
      <c r="R295" s="115"/>
      <c r="S295" s="115"/>
      <c r="T295" s="115"/>
      <c r="U295" s="115"/>
      <c r="V295" s="115"/>
      <c r="W295" s="25"/>
      <c r="X295" s="15"/>
      <c r="AC295" s="117"/>
      <c r="AD295" s="123"/>
      <c r="AE295" s="123"/>
      <c r="AF295" s="123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115"/>
      <c r="AT295" s="115"/>
      <c r="AU295" s="25"/>
      <c r="AV295" s="25"/>
      <c r="AY295" s="114"/>
    </row>
    <row r="296" spans="1:51" ht="19.5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26"/>
      <c r="M296" s="13"/>
      <c r="N296" s="115"/>
      <c r="O296" s="115"/>
      <c r="P296" s="115"/>
      <c r="Q296" s="115"/>
      <c r="R296" s="115"/>
      <c r="S296" s="115"/>
      <c r="T296" s="115"/>
      <c r="U296" s="115"/>
      <c r="V296" s="115"/>
      <c r="W296" s="25"/>
      <c r="X296" s="15"/>
      <c r="AC296" s="117"/>
      <c r="AD296" s="123"/>
      <c r="AE296" s="123"/>
      <c r="AF296" s="123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115"/>
      <c r="AT296" s="115"/>
      <c r="AU296" s="25"/>
      <c r="AV296" s="25"/>
      <c r="AY296" s="114"/>
    </row>
    <row r="297" spans="1:51" ht="19.5" x14ac:dyDescent="0.4">
      <c r="A297" s="117"/>
      <c r="B297" s="123"/>
      <c r="C297" s="123"/>
      <c r="D297" s="123"/>
      <c r="L297" s="26"/>
      <c r="M297" s="13"/>
      <c r="N297" s="115"/>
      <c r="O297" s="115"/>
      <c r="P297" s="115"/>
      <c r="Q297" s="115"/>
      <c r="R297" s="115"/>
      <c r="S297" s="115"/>
      <c r="T297" s="115"/>
      <c r="U297" s="115"/>
      <c r="V297" s="115"/>
      <c r="W297" s="25">
        <v>45690</v>
      </c>
      <c r="X297" s="15" t="s">
        <v>146</v>
      </c>
      <c r="AC297" s="117"/>
      <c r="AD297" s="123"/>
      <c r="AE297" s="123"/>
      <c r="AF297" s="123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115"/>
      <c r="AS297" s="115"/>
      <c r="AT297" s="115"/>
      <c r="AU297" s="25"/>
      <c r="AV297" s="25"/>
      <c r="AY297" s="114"/>
    </row>
    <row r="298" spans="1:51" ht="19.5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26"/>
      <c r="M298" s="13"/>
      <c r="N298" s="115"/>
      <c r="O298" s="115"/>
      <c r="P298" s="115"/>
      <c r="Q298" s="115"/>
      <c r="R298" s="115"/>
      <c r="S298" s="115"/>
      <c r="T298" s="115"/>
      <c r="U298" s="115"/>
      <c r="V298" s="115"/>
      <c r="W298" s="25"/>
      <c r="X298" s="15"/>
      <c r="AC298" s="117"/>
      <c r="AD298" s="123"/>
      <c r="AE298" s="123"/>
      <c r="AF298" s="123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5"/>
      <c r="AS298" s="115"/>
      <c r="AT298" s="115"/>
      <c r="AU298" s="25"/>
      <c r="AV298" s="25"/>
      <c r="AY298" s="114"/>
    </row>
    <row r="299" spans="1:51" ht="19.5" x14ac:dyDescent="0.4">
      <c r="A299" s="117"/>
      <c r="B299" s="123"/>
      <c r="C299" s="123"/>
      <c r="D299" s="123"/>
      <c r="L299" s="26"/>
      <c r="M299" s="13"/>
      <c r="N299" s="115"/>
      <c r="O299" s="115"/>
      <c r="P299" s="115"/>
      <c r="Q299" s="115"/>
      <c r="R299" s="115"/>
      <c r="S299" s="115"/>
      <c r="T299" s="115"/>
      <c r="U299" s="115"/>
      <c r="V299" s="115"/>
      <c r="W299" s="25">
        <v>45691</v>
      </c>
      <c r="X299" s="15" t="s">
        <v>146</v>
      </c>
      <c r="AC299" s="117"/>
      <c r="AD299" s="123"/>
      <c r="AE299" s="123"/>
      <c r="AF299" s="123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115"/>
      <c r="AT299" s="115"/>
      <c r="AU299" s="25"/>
      <c r="AV299" s="25"/>
      <c r="AY299" s="114"/>
    </row>
    <row r="300" spans="1:51" ht="19.5" x14ac:dyDescent="0.4">
      <c r="A300" s="117"/>
      <c r="B300" s="123"/>
      <c r="C300" s="123"/>
      <c r="D300" s="123"/>
      <c r="L300" s="26"/>
      <c r="M300" s="13"/>
      <c r="W300" s="25">
        <v>45691</v>
      </c>
      <c r="X300" s="15" t="s">
        <v>146</v>
      </c>
      <c r="AC300" s="117"/>
      <c r="AD300" s="123"/>
      <c r="AE300" s="123"/>
      <c r="AF300" s="123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115"/>
      <c r="AT300" s="115" t="s">
        <v>156</v>
      </c>
      <c r="AU300" s="13">
        <f>SUBTOTAL(3,AU292:AU292)</f>
        <v>1</v>
      </c>
      <c r="AV300" s="13">
        <f>SUBTOTAL(3,AV292:AV292)</f>
        <v>1</v>
      </c>
      <c r="AY300" s="114"/>
    </row>
    <row r="301" spans="1:51" ht="19.5" x14ac:dyDescent="0.4">
      <c r="A301" s="117"/>
      <c r="B301" s="123"/>
      <c r="C301" s="123"/>
      <c r="D301" s="123"/>
      <c r="L301" s="26"/>
      <c r="M301" s="13"/>
      <c r="S301" s="115"/>
      <c r="T301" s="115"/>
      <c r="U301" s="115"/>
      <c r="V301" s="115"/>
      <c r="W301" s="25">
        <v>45691</v>
      </c>
      <c r="X301" s="15" t="s">
        <v>146</v>
      </c>
      <c r="AC301" s="117"/>
      <c r="AD301" s="123"/>
      <c r="AE301" s="123"/>
      <c r="AF301" s="123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115"/>
      <c r="AT301" s="115"/>
      <c r="AU301" s="13"/>
      <c r="AV301" s="13"/>
      <c r="AY301" s="114"/>
    </row>
    <row r="302" spans="1:51" ht="19.5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26"/>
      <c r="M302" s="13"/>
      <c r="S302" s="115"/>
      <c r="T302" s="115"/>
      <c r="U302" s="115"/>
      <c r="V302" s="115"/>
      <c r="W302" s="25"/>
      <c r="X302" s="15"/>
      <c r="AC302" s="117"/>
      <c r="AD302" s="123"/>
      <c r="AE302" s="123"/>
      <c r="AF302" s="123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115"/>
      <c r="AS302" s="115"/>
      <c r="AT302" s="115"/>
      <c r="AU302" s="13"/>
      <c r="AV302" s="13"/>
      <c r="AY302" s="114"/>
    </row>
    <row r="303" spans="1:51" ht="19.5" x14ac:dyDescent="0.4">
      <c r="A303" s="117"/>
      <c r="B303" s="123"/>
      <c r="C303" s="123"/>
      <c r="D303" s="123"/>
      <c r="L303" s="26"/>
      <c r="M303" s="13"/>
      <c r="N303" s="115"/>
      <c r="O303" s="115"/>
      <c r="P303" s="115"/>
      <c r="Q303" s="115"/>
      <c r="R303" s="115"/>
      <c r="S303" s="115"/>
      <c r="T303" s="115"/>
      <c r="U303" s="115"/>
      <c r="V303" s="115"/>
      <c r="W303" s="25">
        <v>45691</v>
      </c>
      <c r="X303" s="15" t="s">
        <v>146</v>
      </c>
      <c r="AC303" s="117"/>
      <c r="AD303" s="123"/>
      <c r="AE303" s="123"/>
      <c r="AF303" s="123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115"/>
      <c r="AT303" s="115"/>
      <c r="AU303" s="13"/>
      <c r="AV303" s="13"/>
      <c r="AY303" s="114"/>
    </row>
    <row r="304" spans="1:51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26"/>
      <c r="M304" s="13"/>
      <c r="N304" s="115"/>
      <c r="O304" s="115"/>
      <c r="P304" s="115"/>
      <c r="Q304" s="115"/>
      <c r="R304" s="115"/>
      <c r="S304" s="115"/>
      <c r="T304" s="115"/>
      <c r="U304" s="115"/>
      <c r="V304" s="115"/>
      <c r="W304" s="25"/>
      <c r="X304" s="15"/>
      <c r="AC304" s="117"/>
      <c r="AD304" s="123"/>
      <c r="AE304" s="123"/>
      <c r="AF304" s="123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115"/>
      <c r="AT304" s="115"/>
      <c r="AU304" s="13"/>
      <c r="AV304" s="13"/>
      <c r="AY304" s="114"/>
    </row>
    <row r="305" spans="1:51" ht="19.5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26"/>
      <c r="M305" s="13"/>
      <c r="N305" s="115"/>
      <c r="O305" s="115"/>
      <c r="P305" s="115"/>
      <c r="Q305" s="115"/>
      <c r="R305" s="115"/>
      <c r="S305" s="115"/>
      <c r="T305" s="115"/>
      <c r="U305" s="115"/>
      <c r="V305" s="115"/>
      <c r="W305" s="25"/>
      <c r="X305" s="15"/>
      <c r="AC305" s="117"/>
      <c r="AD305" s="123"/>
      <c r="AE305" s="123"/>
      <c r="AF305" s="123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115"/>
      <c r="AT305" s="115"/>
      <c r="AU305" s="13"/>
      <c r="AV305" s="13"/>
      <c r="AY305" s="114"/>
    </row>
    <row r="306" spans="1:51" ht="19.5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26"/>
      <c r="M306" s="13"/>
      <c r="N306" s="115"/>
      <c r="O306" s="115"/>
      <c r="P306" s="115"/>
      <c r="Q306" s="115"/>
      <c r="R306" s="115"/>
      <c r="S306" s="115"/>
      <c r="T306" s="115"/>
      <c r="U306" s="115"/>
      <c r="V306" s="115"/>
      <c r="W306" s="25"/>
      <c r="X306" s="15"/>
      <c r="AC306" s="117"/>
      <c r="AD306" s="123"/>
      <c r="AE306" s="123"/>
      <c r="AF306" s="123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115"/>
      <c r="AT306" s="115"/>
      <c r="AU306" s="13"/>
      <c r="AV306" s="13"/>
      <c r="AY306" s="114"/>
    </row>
    <row r="307" spans="1:51" ht="19.5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29"/>
      <c r="M307" s="13"/>
      <c r="N307" s="115"/>
      <c r="O307" s="115"/>
      <c r="P307" s="115"/>
      <c r="Q307" s="115"/>
      <c r="R307" s="115"/>
      <c r="S307" s="115"/>
      <c r="T307" s="115"/>
      <c r="U307" s="115"/>
      <c r="V307" s="115"/>
      <c r="W307" s="25"/>
      <c r="X307" s="15"/>
      <c r="AC307" s="117"/>
      <c r="AD307" s="123"/>
      <c r="AE307" s="123"/>
      <c r="AF307" s="123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115"/>
      <c r="AT307" s="115"/>
      <c r="AU307" s="13"/>
      <c r="AV307" s="13"/>
      <c r="AY307" s="114"/>
    </row>
    <row r="308" spans="1:51" ht="19.5" x14ac:dyDescent="0.4">
      <c r="A308" s="117"/>
      <c r="B308" s="123"/>
      <c r="C308" s="123"/>
      <c r="D308" s="123"/>
      <c r="L308" s="26"/>
      <c r="M308" s="13"/>
      <c r="N308" s="115"/>
      <c r="O308" s="115"/>
      <c r="P308" s="115"/>
      <c r="Q308" s="115"/>
      <c r="R308" s="115"/>
      <c r="S308" s="115"/>
      <c r="T308" s="115"/>
      <c r="U308" s="115"/>
      <c r="V308" s="115"/>
      <c r="W308" s="25">
        <v>45692</v>
      </c>
      <c r="X308" s="15" t="s">
        <v>146</v>
      </c>
      <c r="AC308" s="117"/>
      <c r="AD308" s="123"/>
      <c r="AE308" s="123"/>
      <c r="AF308" s="123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115"/>
      <c r="AT308" s="115"/>
      <c r="AU308" s="13"/>
      <c r="AV308" s="13"/>
      <c r="AY308" s="114"/>
    </row>
    <row r="309" spans="1:51" ht="19.5" x14ac:dyDescent="0.4">
      <c r="A309" s="117"/>
      <c r="B309" s="123"/>
      <c r="C309" s="123"/>
      <c r="D309" s="123"/>
      <c r="L309" s="129"/>
      <c r="M309" s="13"/>
      <c r="N309" s="115"/>
      <c r="O309" s="115"/>
      <c r="P309" s="115"/>
      <c r="Q309" s="115"/>
      <c r="R309" s="115"/>
      <c r="S309" s="115"/>
      <c r="T309" s="115"/>
      <c r="U309" s="115"/>
      <c r="V309" s="115"/>
      <c r="W309" s="25"/>
      <c r="X309" s="15"/>
      <c r="AC309" s="117"/>
      <c r="AD309" s="123"/>
      <c r="AE309" s="123"/>
      <c r="AF309" s="123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115"/>
      <c r="AT309" s="115"/>
      <c r="AU309" s="13"/>
      <c r="AV309" s="13"/>
      <c r="AY309" s="114"/>
    </row>
    <row r="310" spans="1:51" ht="19.5" x14ac:dyDescent="0.4">
      <c r="A310" s="117"/>
      <c r="B310" s="123"/>
      <c r="C310" s="123"/>
      <c r="D310" s="123"/>
      <c r="L310" s="26"/>
      <c r="M310" s="13"/>
      <c r="W310" s="25">
        <v>45692</v>
      </c>
      <c r="X310" s="15" t="s">
        <v>146</v>
      </c>
      <c r="AC310" s="117"/>
      <c r="AD310" s="123"/>
      <c r="AE310" s="123"/>
      <c r="AF310" s="123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/>
      <c r="AS310" s="115"/>
      <c r="AT310" s="115"/>
      <c r="AU310" s="25">
        <v>45267</v>
      </c>
      <c r="AV310" s="13" t="s">
        <v>142</v>
      </c>
      <c r="AY310" s="114"/>
    </row>
    <row r="311" spans="1:51" ht="19.5" x14ac:dyDescent="0.4">
      <c r="A311" s="117"/>
      <c r="B311" s="123"/>
      <c r="C311" s="123"/>
      <c r="D311" s="123"/>
      <c r="L311" s="26"/>
      <c r="M311" s="13"/>
      <c r="S311" s="115"/>
      <c r="T311" s="115"/>
      <c r="U311" s="115"/>
      <c r="V311" s="115"/>
      <c r="W311" s="25">
        <v>45692</v>
      </c>
      <c r="X311" s="15" t="s">
        <v>146</v>
      </c>
      <c r="AC311" s="117"/>
      <c r="AD311" s="123"/>
      <c r="AE311" s="123"/>
      <c r="AF311" s="123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115"/>
      <c r="AT311" s="115"/>
      <c r="AU311" s="25"/>
      <c r="AV311" s="13"/>
      <c r="AY311" s="114"/>
    </row>
    <row r="312" spans="1:51" ht="19.5" x14ac:dyDescent="0.4">
      <c r="A312" s="117"/>
      <c r="B312" s="123"/>
      <c r="C312" s="123"/>
      <c r="D312" s="123"/>
      <c r="L312" s="26"/>
      <c r="M312" s="13"/>
      <c r="O312" s="115"/>
      <c r="P312" s="115"/>
      <c r="Q312" s="115"/>
      <c r="R312" s="115"/>
      <c r="S312" s="115"/>
      <c r="T312" s="115"/>
      <c r="U312" s="115"/>
      <c r="V312" s="115"/>
      <c r="W312" s="25">
        <v>45692</v>
      </c>
      <c r="X312" s="15" t="s">
        <v>146</v>
      </c>
      <c r="AC312" s="117"/>
      <c r="AD312" s="123"/>
      <c r="AE312" s="123"/>
      <c r="AF312" s="123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115"/>
      <c r="AS312" s="115"/>
      <c r="AT312" s="115"/>
      <c r="AU312" s="25"/>
      <c r="AV312" s="13"/>
      <c r="AY312" s="114"/>
    </row>
    <row r="313" spans="1:51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26"/>
      <c r="M313" s="13"/>
      <c r="O313" s="115"/>
      <c r="P313" s="115"/>
      <c r="Q313" s="115"/>
      <c r="R313" s="115"/>
      <c r="S313" s="115"/>
      <c r="T313" s="115"/>
      <c r="U313" s="115"/>
      <c r="V313" s="115"/>
      <c r="W313" s="25"/>
      <c r="X313" s="15"/>
      <c r="AC313" s="117"/>
      <c r="AD313" s="123"/>
      <c r="AE313" s="123"/>
      <c r="AF313" s="123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115"/>
      <c r="AS313" s="115"/>
      <c r="AT313" s="115"/>
      <c r="AU313" s="25"/>
      <c r="AV313" s="13"/>
      <c r="AY313" s="114"/>
    </row>
    <row r="314" spans="1:51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29"/>
      <c r="M314" s="13"/>
      <c r="O314" s="115"/>
      <c r="P314" s="115"/>
      <c r="Q314" s="115"/>
      <c r="R314" s="115"/>
      <c r="S314" s="115"/>
      <c r="T314" s="115"/>
      <c r="U314" s="115"/>
      <c r="V314" s="115"/>
      <c r="W314" s="25"/>
      <c r="X314" s="15"/>
      <c r="AC314" s="117"/>
      <c r="AD314" s="123"/>
      <c r="AE314" s="123"/>
      <c r="AF314" s="123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115"/>
      <c r="AS314" s="115"/>
      <c r="AT314" s="115"/>
      <c r="AU314" s="25"/>
      <c r="AV314" s="13"/>
      <c r="AY314" s="114"/>
    </row>
    <row r="315" spans="1:51" ht="19.5" x14ac:dyDescent="0.4">
      <c r="A315" s="117"/>
      <c r="B315" s="123"/>
      <c r="C315" s="123"/>
      <c r="D315" s="123"/>
      <c r="L315" s="26"/>
      <c r="M315" s="13"/>
      <c r="N315" s="115"/>
      <c r="O315" s="115"/>
      <c r="P315" s="115"/>
      <c r="Q315" s="115"/>
      <c r="R315" s="115"/>
      <c r="S315" s="115"/>
      <c r="T315" s="115"/>
      <c r="U315" s="115"/>
      <c r="V315" s="115"/>
      <c r="W315" s="25">
        <v>45693</v>
      </c>
      <c r="X315" s="15" t="s">
        <v>146</v>
      </c>
      <c r="AC315" s="117"/>
      <c r="AD315" s="123"/>
      <c r="AE315" s="123"/>
      <c r="AF315" s="123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115"/>
      <c r="AT315" s="115"/>
      <c r="AU315" s="25"/>
      <c r="AV315" s="13"/>
      <c r="AY315" s="114"/>
    </row>
    <row r="316" spans="1:51" ht="19.5" x14ac:dyDescent="0.4">
      <c r="A316" s="117"/>
      <c r="B316" s="123"/>
      <c r="C316" s="123"/>
      <c r="D316" s="123"/>
      <c r="L316" s="129"/>
      <c r="M316" s="13"/>
      <c r="N316" s="115"/>
      <c r="O316" s="115"/>
      <c r="P316" s="115"/>
      <c r="Q316" s="115"/>
      <c r="R316" s="115"/>
      <c r="S316" s="115"/>
      <c r="T316" s="115"/>
      <c r="U316" s="115"/>
      <c r="V316" s="115"/>
      <c r="W316" s="25"/>
      <c r="X316" s="15"/>
      <c r="AC316" s="117"/>
      <c r="AD316" s="123"/>
      <c r="AE316" s="123"/>
      <c r="AF316" s="123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115"/>
      <c r="AT316" s="115"/>
      <c r="AU316" s="25"/>
      <c r="AV316" s="13"/>
      <c r="AY316" s="114"/>
    </row>
    <row r="317" spans="1:51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26"/>
      <c r="M317" s="13"/>
      <c r="N317" s="115"/>
      <c r="O317" s="115"/>
      <c r="P317" s="115"/>
      <c r="Q317" s="115"/>
      <c r="R317" s="115"/>
      <c r="S317" s="115"/>
      <c r="T317" s="115"/>
      <c r="U317" s="115"/>
      <c r="V317" s="115"/>
      <c r="W317" s="25"/>
      <c r="X317" s="15"/>
      <c r="AC317" s="117"/>
      <c r="AD317" s="123"/>
      <c r="AE317" s="123"/>
      <c r="AF317" s="123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115"/>
      <c r="AT317" s="115"/>
      <c r="AU317" s="25"/>
      <c r="AV317" s="13"/>
      <c r="AY317" s="114"/>
    </row>
    <row r="318" spans="1:51" ht="19.5" x14ac:dyDescent="0.4">
      <c r="A318" s="117"/>
      <c r="B318" s="123"/>
      <c r="C318" s="123"/>
      <c r="D318" s="123"/>
      <c r="L318" s="26"/>
      <c r="M318" s="13"/>
      <c r="W318" s="25">
        <v>45693</v>
      </c>
      <c r="X318" s="15" t="s">
        <v>146</v>
      </c>
      <c r="AC318" s="117"/>
      <c r="AD318" s="123"/>
      <c r="AE318" s="123"/>
      <c r="AF318" s="123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115"/>
      <c r="AS318" s="115"/>
      <c r="AT318" s="115" t="s">
        <v>157</v>
      </c>
      <c r="AU318" s="13">
        <f>SUBTOTAL(3,AU310:AU310)</f>
        <v>1</v>
      </c>
      <c r="AV318" s="13">
        <f>SUBTOTAL(3,AV310:AV310)</f>
        <v>1</v>
      </c>
      <c r="AY318" s="114"/>
    </row>
    <row r="319" spans="1:51" ht="19.5" x14ac:dyDescent="0.4">
      <c r="A319" s="117"/>
      <c r="B319" s="123"/>
      <c r="C319" s="123"/>
      <c r="D319" s="123"/>
      <c r="L319" s="26"/>
      <c r="M319" s="13"/>
      <c r="O319" s="115"/>
      <c r="P319" s="115"/>
      <c r="Q319" s="115"/>
      <c r="R319" s="115"/>
      <c r="S319" s="115"/>
      <c r="T319" s="115"/>
      <c r="U319" s="115"/>
      <c r="V319" s="115"/>
      <c r="W319" s="25">
        <v>45693</v>
      </c>
      <c r="X319" s="15" t="s">
        <v>146</v>
      </c>
      <c r="AC319" s="117"/>
      <c r="AD319" s="123"/>
      <c r="AE319" s="123"/>
      <c r="AF319" s="123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115"/>
      <c r="AT319" s="115"/>
      <c r="AU319" s="13"/>
      <c r="AV319" s="13"/>
      <c r="AY319" s="114"/>
    </row>
    <row r="320" spans="1:51" ht="19.5" x14ac:dyDescent="0.4">
      <c r="A320" s="117"/>
      <c r="B320" s="123"/>
      <c r="C320" s="123"/>
      <c r="D320" s="123"/>
      <c r="L320" s="129"/>
      <c r="M320" s="13"/>
      <c r="O320" s="115"/>
      <c r="P320" s="115"/>
      <c r="Q320" s="115"/>
      <c r="R320" s="115"/>
      <c r="S320" s="115"/>
      <c r="T320" s="115"/>
      <c r="U320" s="115"/>
      <c r="V320" s="115"/>
      <c r="W320" s="25"/>
      <c r="X320" s="15"/>
      <c r="AC320" s="117"/>
      <c r="AD320" s="123"/>
      <c r="AE320" s="123"/>
      <c r="AF320" s="123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115"/>
      <c r="AT320" s="115"/>
      <c r="AU320" s="13"/>
      <c r="AV320" s="13"/>
      <c r="AY320" s="114"/>
    </row>
    <row r="321" spans="1:51" ht="19.5" x14ac:dyDescent="0.4">
      <c r="A321" s="117"/>
      <c r="B321" s="123"/>
      <c r="C321" s="123"/>
      <c r="D321" s="123"/>
      <c r="L321" s="129"/>
      <c r="M321" s="13"/>
      <c r="O321" s="115"/>
      <c r="P321" s="115"/>
      <c r="Q321" s="115"/>
      <c r="R321" s="115"/>
      <c r="S321" s="115"/>
      <c r="T321" s="115"/>
      <c r="U321" s="115"/>
      <c r="V321" s="115"/>
      <c r="W321" s="25"/>
      <c r="X321" s="15"/>
      <c r="AC321" s="117"/>
      <c r="AD321" s="123"/>
      <c r="AE321" s="123"/>
      <c r="AF321" s="123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115"/>
      <c r="AT321" s="115"/>
      <c r="AU321" s="13"/>
      <c r="AV321" s="13"/>
      <c r="AY321" s="114"/>
    </row>
    <row r="322" spans="1:51" ht="19.5" x14ac:dyDescent="0.4">
      <c r="A322" s="117"/>
      <c r="B322" s="123"/>
      <c r="C322" s="123"/>
      <c r="D322" s="123"/>
      <c r="L322" s="26"/>
      <c r="M322" s="13"/>
      <c r="O322" s="115"/>
      <c r="P322" s="115"/>
      <c r="Q322" s="115"/>
      <c r="R322" s="115"/>
      <c r="S322" s="115"/>
      <c r="T322" s="115"/>
      <c r="U322" s="115"/>
      <c r="V322" s="115"/>
      <c r="W322" s="25">
        <v>45694</v>
      </c>
      <c r="X322" s="15" t="s">
        <v>147</v>
      </c>
      <c r="AC322" s="117"/>
      <c r="AD322" s="123"/>
      <c r="AE322" s="123"/>
      <c r="AF322" s="123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115"/>
      <c r="AT322" s="115"/>
      <c r="AU322" s="13"/>
      <c r="AV322" s="13"/>
      <c r="AY322" s="114"/>
    </row>
    <row r="323" spans="1:51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7"/>
      <c r="M323" s="13"/>
      <c r="O323" s="115"/>
      <c r="P323" s="115"/>
      <c r="Q323" s="115"/>
      <c r="R323" s="115"/>
      <c r="S323" s="115"/>
      <c r="T323" s="115"/>
      <c r="U323" s="115"/>
      <c r="V323" s="115"/>
      <c r="W323" s="25"/>
      <c r="X323" s="15"/>
      <c r="AC323" s="117"/>
      <c r="AD323" s="123"/>
      <c r="AE323" s="123"/>
      <c r="AF323" s="123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3"/>
      <c r="AV323" s="13"/>
      <c r="AY323" s="114"/>
    </row>
    <row r="324" spans="1:51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7"/>
      <c r="M324" s="13"/>
      <c r="O324" s="115"/>
      <c r="P324" s="115"/>
      <c r="Q324" s="115"/>
      <c r="R324" s="115"/>
      <c r="S324" s="115"/>
      <c r="T324" s="115"/>
      <c r="U324" s="115"/>
      <c r="V324" s="115"/>
      <c r="W324" s="25"/>
      <c r="X324" s="15"/>
      <c r="AC324" s="117"/>
      <c r="AD324" s="123"/>
      <c r="AE324" s="123"/>
      <c r="AF324" s="123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115"/>
      <c r="AT324" s="115"/>
      <c r="AU324" s="13"/>
      <c r="AV324" s="13"/>
      <c r="AY324" s="114"/>
    </row>
    <row r="325" spans="1:51" ht="19.5" x14ac:dyDescent="0.4">
      <c r="A325" s="117"/>
      <c r="B325" s="123"/>
      <c r="C325" s="123"/>
      <c r="D325" s="123"/>
      <c r="L325" s="26"/>
      <c r="M325" s="13"/>
      <c r="O325" s="115"/>
      <c r="P325" s="115"/>
      <c r="Q325" s="115"/>
      <c r="R325" s="115"/>
      <c r="S325" s="115"/>
      <c r="T325" s="115"/>
      <c r="U325" s="115"/>
      <c r="V325" s="115"/>
      <c r="W325" s="25">
        <v>45694</v>
      </c>
      <c r="X325" s="105" t="s">
        <v>147</v>
      </c>
      <c r="AC325" s="117"/>
      <c r="AD325" s="123"/>
      <c r="AE325" s="123"/>
      <c r="AF325" s="123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115"/>
      <c r="AT325" s="115"/>
      <c r="AU325" s="13"/>
      <c r="AV325" s="13"/>
      <c r="AY325" s="114"/>
    </row>
    <row r="326" spans="1:51" ht="19.5" x14ac:dyDescent="0.4">
      <c r="A326" s="117"/>
      <c r="B326" s="123"/>
      <c r="C326" s="123"/>
      <c r="D326" s="123"/>
      <c r="L326" s="26"/>
      <c r="M326" s="13"/>
      <c r="N326" s="115"/>
      <c r="O326" s="115"/>
      <c r="P326" s="115"/>
      <c r="Q326" s="115"/>
      <c r="R326" s="115"/>
      <c r="S326" s="115"/>
      <c r="T326" s="115"/>
      <c r="U326" s="115"/>
      <c r="V326" s="115"/>
      <c r="W326" s="25">
        <v>45694</v>
      </c>
      <c r="X326" s="15" t="s">
        <v>147</v>
      </c>
      <c r="AC326" s="117"/>
      <c r="AD326" s="123"/>
      <c r="AE326" s="123"/>
      <c r="AF326" s="123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115"/>
      <c r="AT326" s="115"/>
      <c r="AU326" s="13"/>
      <c r="AV326" s="13"/>
      <c r="AY326" s="114"/>
    </row>
    <row r="327" spans="1:51" ht="19.5" x14ac:dyDescent="0.4">
      <c r="A327" s="117"/>
      <c r="B327" s="123"/>
      <c r="C327" s="123"/>
      <c r="D327" s="123"/>
      <c r="L327" s="26"/>
      <c r="M327" s="13"/>
      <c r="N327" s="115"/>
      <c r="O327" s="115"/>
      <c r="P327" s="115"/>
      <c r="Q327" s="115"/>
      <c r="R327" s="115"/>
      <c r="S327" s="115"/>
      <c r="T327" s="115"/>
      <c r="U327" s="115"/>
      <c r="V327" s="115"/>
      <c r="W327" s="26">
        <v>45694</v>
      </c>
      <c r="X327" s="15" t="s">
        <v>148</v>
      </c>
      <c r="AC327" s="117"/>
      <c r="AD327" s="123"/>
      <c r="AE327" s="123"/>
      <c r="AF327" s="123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115"/>
      <c r="AT327" s="115"/>
      <c r="AU327" s="13"/>
      <c r="AV327" s="13"/>
      <c r="AY327" s="114"/>
    </row>
    <row r="328" spans="1:51" ht="19.5" x14ac:dyDescent="0.4">
      <c r="A328" s="117"/>
      <c r="B328" s="123"/>
      <c r="C328" s="123"/>
      <c r="D328" s="123"/>
      <c r="L328" s="26"/>
      <c r="M328" s="13"/>
      <c r="W328" s="26">
        <v>45694</v>
      </c>
      <c r="X328" s="13" t="s">
        <v>147</v>
      </c>
      <c r="AC328" s="117"/>
      <c r="AD328" s="123"/>
      <c r="AE328" s="123"/>
      <c r="AF328" s="123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115"/>
      <c r="AT328" s="115"/>
      <c r="AU328" s="25">
        <v>45268</v>
      </c>
      <c r="AV328" s="13" t="s">
        <v>162</v>
      </c>
      <c r="AY328" s="114"/>
    </row>
    <row r="329" spans="1:51" ht="19.5" x14ac:dyDescent="0.4">
      <c r="A329" s="117"/>
      <c r="B329" s="123"/>
      <c r="C329" s="123"/>
      <c r="D329" s="123"/>
      <c r="L329" s="26"/>
      <c r="M329" s="13"/>
      <c r="O329" s="115"/>
      <c r="P329" s="115"/>
      <c r="Q329" s="115"/>
      <c r="R329" s="115"/>
      <c r="S329" s="115"/>
      <c r="T329" s="115"/>
      <c r="U329" s="115"/>
      <c r="V329" s="115"/>
      <c r="W329" s="26">
        <v>45694</v>
      </c>
      <c r="X329" s="13" t="s">
        <v>147</v>
      </c>
      <c r="AC329" s="117"/>
      <c r="AD329" s="123"/>
      <c r="AE329" s="123"/>
      <c r="AF329" s="123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115"/>
      <c r="AT329" s="115"/>
      <c r="AU329" s="25"/>
      <c r="AV329" s="13"/>
      <c r="AY329" s="114"/>
    </row>
    <row r="330" spans="1:51" ht="19.5" x14ac:dyDescent="0.4">
      <c r="A330" s="117"/>
      <c r="B330" s="123"/>
      <c r="C330" s="123"/>
      <c r="D330" s="123"/>
      <c r="L330" s="26"/>
      <c r="M330" s="13"/>
      <c r="W330" s="26">
        <v>45694</v>
      </c>
      <c r="X330" s="13" t="s">
        <v>147</v>
      </c>
      <c r="AC330" s="117"/>
      <c r="AD330" s="123"/>
      <c r="AE330" s="123"/>
      <c r="AF330" s="123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115"/>
      <c r="AT330" s="115"/>
      <c r="AU330" s="25">
        <v>45268</v>
      </c>
      <c r="AV330" s="13" t="s">
        <v>162</v>
      </c>
      <c r="AY330" s="114"/>
    </row>
    <row r="331" spans="1:51" ht="19.5" x14ac:dyDescent="0.4">
      <c r="A331" s="117"/>
      <c r="B331" s="123"/>
      <c r="C331" s="123"/>
      <c r="D331" s="123"/>
      <c r="L331" s="26"/>
      <c r="M331" s="13"/>
      <c r="T331" s="115"/>
      <c r="U331" s="115"/>
      <c r="V331" s="115"/>
      <c r="W331" s="26">
        <v>45696</v>
      </c>
      <c r="X331" s="13" t="s">
        <v>147</v>
      </c>
      <c r="AC331" s="117"/>
      <c r="AD331" s="123"/>
      <c r="AE331" s="123"/>
      <c r="AF331" s="123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115"/>
      <c r="AT331" s="115"/>
      <c r="AU331" s="25"/>
      <c r="AV331" s="13"/>
      <c r="AY331" s="114"/>
    </row>
    <row r="332" spans="1:51" ht="19.5" x14ac:dyDescent="0.4">
      <c r="A332" s="117"/>
      <c r="B332" s="123"/>
      <c r="C332" s="123"/>
      <c r="D332" s="123"/>
      <c r="L332" s="26"/>
      <c r="M332" s="13"/>
      <c r="W332" s="26">
        <v>45698</v>
      </c>
      <c r="X332" s="13" t="s">
        <v>147</v>
      </c>
      <c r="AC332" s="117"/>
      <c r="AD332" s="123"/>
      <c r="AE332" s="123"/>
      <c r="AF332" s="123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115"/>
      <c r="AT332" s="115"/>
      <c r="AU332" s="25">
        <v>45268</v>
      </c>
      <c r="AV332" s="13" t="s">
        <v>163</v>
      </c>
      <c r="AY332" s="114"/>
    </row>
    <row r="333" spans="1:51" ht="19.5" x14ac:dyDescent="0.4">
      <c r="A333" s="117"/>
      <c r="B333" s="123"/>
      <c r="C333" s="123"/>
      <c r="D333" s="123"/>
      <c r="G333" s="115"/>
      <c r="H333" s="115"/>
      <c r="I333" s="115"/>
      <c r="J333" s="115"/>
      <c r="K333" s="115"/>
      <c r="L333" s="17"/>
      <c r="M333" s="13"/>
      <c r="W333" s="26"/>
      <c r="X333" s="13"/>
      <c r="AC333" s="117"/>
      <c r="AD333" s="123"/>
      <c r="AE333" s="123"/>
      <c r="AF333" s="123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115"/>
      <c r="AT333" s="115"/>
      <c r="AU333" s="25"/>
      <c r="AV333" s="13"/>
      <c r="AY333" s="114"/>
    </row>
    <row r="334" spans="1:51" ht="19.5" x14ac:dyDescent="0.4">
      <c r="A334" s="117"/>
      <c r="B334" s="123"/>
      <c r="C334" s="123"/>
      <c r="D334" s="123"/>
      <c r="L334" s="26"/>
      <c r="M334" s="13"/>
      <c r="T334" s="115"/>
      <c r="U334" s="115"/>
      <c r="V334" s="115"/>
      <c r="W334" s="26">
        <v>45698</v>
      </c>
      <c r="X334" s="13" t="s">
        <v>147</v>
      </c>
      <c r="AC334" s="117"/>
      <c r="AD334" s="123"/>
      <c r="AE334" s="123"/>
      <c r="AF334" s="123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115"/>
      <c r="AT334" s="115"/>
      <c r="AU334" s="25"/>
      <c r="AV334" s="13"/>
      <c r="AY334" s="114"/>
    </row>
    <row r="335" spans="1:51" ht="19.5" x14ac:dyDescent="0.4">
      <c r="A335" s="117"/>
      <c r="B335" s="123"/>
      <c r="C335" s="123"/>
      <c r="D335" s="123"/>
      <c r="L335" s="26"/>
      <c r="M335" s="13"/>
      <c r="N335" s="115"/>
      <c r="O335" s="115"/>
      <c r="P335" s="115"/>
      <c r="Q335" s="115"/>
      <c r="R335" s="115"/>
      <c r="S335" s="115"/>
      <c r="T335" s="115"/>
      <c r="U335" s="115"/>
      <c r="V335" s="115"/>
      <c r="W335" s="26">
        <v>45699</v>
      </c>
      <c r="X335" s="13" t="s">
        <v>148</v>
      </c>
      <c r="AC335" s="117"/>
      <c r="AD335" s="123"/>
      <c r="AE335" s="123"/>
      <c r="AF335" s="123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115"/>
      <c r="AT335" s="115"/>
      <c r="AU335" s="25"/>
      <c r="AV335" s="13"/>
      <c r="AY335" s="114"/>
    </row>
    <row r="336" spans="1:51" ht="19.5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7"/>
      <c r="M336" s="13"/>
      <c r="N336" s="115"/>
      <c r="O336" s="115"/>
      <c r="P336" s="115"/>
      <c r="Q336" s="115"/>
      <c r="R336" s="115"/>
      <c r="S336" s="115"/>
      <c r="T336" s="115"/>
      <c r="U336" s="115"/>
      <c r="V336" s="115"/>
      <c r="W336" s="26"/>
      <c r="X336" s="13"/>
      <c r="AC336" s="117"/>
      <c r="AD336" s="123"/>
      <c r="AE336" s="123"/>
      <c r="AF336" s="123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115"/>
      <c r="AT336" s="115"/>
      <c r="AU336" s="25"/>
      <c r="AV336" s="13"/>
      <c r="AY336" s="114"/>
    </row>
    <row r="337" spans="1:51" ht="19.5" x14ac:dyDescent="0.4">
      <c r="A337" s="117"/>
      <c r="B337" s="123"/>
      <c r="C337" s="123"/>
      <c r="D337" s="123"/>
      <c r="L337" s="26"/>
      <c r="M337" s="13"/>
      <c r="W337" s="26">
        <v>45699</v>
      </c>
      <c r="X337" s="13" t="s">
        <v>148</v>
      </c>
      <c r="AC337" s="117"/>
      <c r="AD337" s="123"/>
      <c r="AE337" s="123"/>
      <c r="AF337" s="123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115"/>
      <c r="AT337" s="115"/>
      <c r="AU337" s="25">
        <v>45268</v>
      </c>
      <c r="AV337" s="13" t="s">
        <v>163</v>
      </c>
      <c r="AY337" s="114"/>
    </row>
    <row r="338" spans="1:51" ht="19.5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7"/>
      <c r="M338" s="13"/>
      <c r="W338" s="26"/>
      <c r="X338" s="13"/>
      <c r="AC338" s="117"/>
      <c r="AD338" s="123"/>
      <c r="AE338" s="123"/>
      <c r="AF338" s="123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115"/>
      <c r="AT338" s="115"/>
      <c r="AU338" s="25"/>
      <c r="AV338" s="13"/>
      <c r="AY338" s="114"/>
    </row>
    <row r="339" spans="1:51" ht="19.5" x14ac:dyDescent="0.4">
      <c r="A339" s="117"/>
      <c r="B339" s="123"/>
      <c r="C339" s="123"/>
      <c r="D339" s="123"/>
      <c r="L339" s="26"/>
      <c r="M339" s="13"/>
      <c r="P339" s="115"/>
      <c r="Q339" s="115"/>
      <c r="R339" s="115"/>
      <c r="S339" s="115"/>
      <c r="T339" s="115"/>
      <c r="U339" s="115"/>
      <c r="V339" s="115"/>
      <c r="W339" s="26">
        <v>45699</v>
      </c>
      <c r="X339" s="13" t="s">
        <v>148</v>
      </c>
      <c r="AC339" s="117"/>
      <c r="AD339" s="123"/>
      <c r="AE339" s="123"/>
      <c r="AF339" s="123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115"/>
      <c r="AT339" s="115"/>
      <c r="AU339" s="25"/>
      <c r="AV339" s="13"/>
      <c r="AY339" s="114"/>
    </row>
    <row r="340" spans="1:51" ht="19.5" x14ac:dyDescent="0.4">
      <c r="A340" s="117"/>
      <c r="B340" s="123"/>
      <c r="C340" s="123"/>
      <c r="D340" s="123"/>
      <c r="L340" s="26"/>
      <c r="M340" s="13"/>
      <c r="P340" s="115"/>
      <c r="Q340" s="115"/>
      <c r="R340" s="115"/>
      <c r="S340" s="115"/>
      <c r="T340" s="115"/>
      <c r="U340" s="115"/>
      <c r="V340" s="115"/>
      <c r="W340" s="26">
        <v>45699</v>
      </c>
      <c r="X340" s="13" t="s">
        <v>148</v>
      </c>
      <c r="AC340" s="117"/>
      <c r="AD340" s="123"/>
      <c r="AE340" s="123"/>
      <c r="AF340" s="123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115"/>
      <c r="AT340" s="115"/>
      <c r="AU340" s="25"/>
      <c r="AV340" s="13"/>
      <c r="AY340" s="114"/>
    </row>
    <row r="341" spans="1:51" ht="19.5" x14ac:dyDescent="0.4">
      <c r="A341" s="117"/>
      <c r="B341" s="123"/>
      <c r="C341" s="123"/>
      <c r="D341" s="123"/>
      <c r="L341" s="26"/>
      <c r="M341" s="13"/>
      <c r="P341" s="115"/>
      <c r="Q341" s="115"/>
      <c r="R341" s="115"/>
      <c r="S341" s="115"/>
      <c r="T341" s="115"/>
      <c r="U341" s="115"/>
      <c r="V341" s="115"/>
      <c r="W341" s="26">
        <v>45699</v>
      </c>
      <c r="X341" s="13" t="s">
        <v>148</v>
      </c>
      <c r="AC341" s="117"/>
      <c r="AD341" s="123"/>
      <c r="AE341" s="123"/>
      <c r="AF341" s="123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115"/>
      <c r="AT341" s="115"/>
      <c r="AU341" s="25"/>
      <c r="AV341" s="13"/>
      <c r="AY341" s="114"/>
    </row>
    <row r="342" spans="1:51" ht="19.5" x14ac:dyDescent="0.4">
      <c r="A342" s="117"/>
      <c r="B342" s="123"/>
      <c r="C342" s="123"/>
      <c r="D342" s="123"/>
      <c r="L342" s="26"/>
      <c r="M342" s="13"/>
      <c r="W342" s="26">
        <v>45699</v>
      </c>
      <c r="X342" s="13" t="s">
        <v>148</v>
      </c>
      <c r="AC342" s="117"/>
      <c r="AD342" s="123"/>
      <c r="AE342" s="123"/>
      <c r="AF342" s="123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115"/>
      <c r="AT342" s="115" t="s">
        <v>158</v>
      </c>
      <c r="AU342" s="13">
        <f>SUBTOTAL(3,AU328:AU337)</f>
        <v>4</v>
      </c>
      <c r="AV342" s="13">
        <f>SUBTOTAL(3,AV328:AV337)</f>
        <v>4</v>
      </c>
      <c r="AY342" s="114"/>
    </row>
    <row r="343" spans="1:51" ht="19.5" x14ac:dyDescent="0.4">
      <c r="A343" s="117"/>
      <c r="B343" s="123"/>
      <c r="C343" s="123"/>
      <c r="D343" s="123"/>
      <c r="L343" s="26"/>
      <c r="M343" s="15"/>
      <c r="T343" s="115"/>
      <c r="U343" s="115"/>
      <c r="V343" s="115"/>
      <c r="W343" s="26">
        <v>45706</v>
      </c>
      <c r="X343" s="13" t="s">
        <v>146</v>
      </c>
      <c r="AC343" s="117"/>
      <c r="AD343" s="123"/>
      <c r="AE343" s="123"/>
      <c r="AF343" s="123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115"/>
      <c r="AT343" s="115"/>
      <c r="AU343" s="13"/>
      <c r="AV343" s="13"/>
      <c r="AY343" s="114"/>
    </row>
    <row r="344" spans="1:51" ht="19.5" x14ac:dyDescent="0.4">
      <c r="A344" s="117"/>
      <c r="B344" s="123"/>
      <c r="C344" s="123"/>
      <c r="D344" s="123"/>
      <c r="L344" s="26"/>
      <c r="M344" s="13"/>
      <c r="S344" s="115"/>
      <c r="T344" s="115"/>
      <c r="U344" s="115"/>
      <c r="V344" s="115"/>
      <c r="W344" s="26">
        <v>45709</v>
      </c>
      <c r="X344" s="13" t="s">
        <v>148</v>
      </c>
      <c r="AC344" s="117"/>
      <c r="AD344" s="123"/>
      <c r="AE344" s="123"/>
      <c r="AF344" s="123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/>
      <c r="AS344" s="115"/>
      <c r="AT344" s="115"/>
      <c r="AU344" s="13"/>
      <c r="AV344" s="13"/>
      <c r="AY344" s="114"/>
    </row>
    <row r="345" spans="1:51" ht="19.5" x14ac:dyDescent="0.4">
      <c r="A345" s="117"/>
      <c r="B345" s="123"/>
      <c r="C345" s="123"/>
      <c r="D345" s="123"/>
      <c r="G345" s="115"/>
      <c r="H345" s="115"/>
      <c r="I345" s="115"/>
      <c r="J345" s="115"/>
      <c r="K345" s="115"/>
      <c r="L345" s="17"/>
      <c r="M345" s="13"/>
      <c r="S345" s="115"/>
      <c r="T345" s="115"/>
      <c r="U345" s="115"/>
      <c r="V345" s="115"/>
      <c r="W345" s="26"/>
      <c r="X345" s="13"/>
      <c r="AC345" s="117"/>
      <c r="AD345" s="123"/>
      <c r="AE345" s="123"/>
      <c r="AF345" s="123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115"/>
      <c r="AT345" s="115"/>
      <c r="AU345" s="13"/>
      <c r="AV345" s="13"/>
      <c r="AY345" s="114"/>
    </row>
    <row r="346" spans="1:51" ht="19.5" x14ac:dyDescent="0.4">
      <c r="A346" s="117"/>
      <c r="B346" s="123"/>
      <c r="C346" s="123"/>
      <c r="D346" s="123"/>
      <c r="L346" s="26"/>
      <c r="M346" s="13"/>
      <c r="S346" s="115"/>
      <c r="T346" s="115"/>
      <c r="U346" s="115"/>
      <c r="V346" s="115"/>
      <c r="W346" s="26">
        <v>45709</v>
      </c>
      <c r="X346" s="13" t="s">
        <v>147</v>
      </c>
      <c r="AC346" s="117"/>
      <c r="AD346" s="123"/>
      <c r="AE346" s="123"/>
      <c r="AF346" s="123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115"/>
      <c r="AT346" s="115"/>
      <c r="AU346" s="13"/>
      <c r="AV346" s="13"/>
      <c r="AY346" s="114"/>
    </row>
    <row r="347" spans="1:51" ht="19.5" x14ac:dyDescent="0.4">
      <c r="A347" s="117"/>
      <c r="B347" s="123"/>
      <c r="C347" s="123"/>
      <c r="D347" s="123"/>
      <c r="G347" s="115"/>
      <c r="H347" s="115"/>
      <c r="I347" s="115"/>
      <c r="J347" s="115"/>
      <c r="K347" s="115"/>
      <c r="L347" s="17"/>
      <c r="M347" s="13"/>
      <c r="S347" s="115"/>
      <c r="T347" s="115"/>
      <c r="U347" s="115"/>
      <c r="V347" s="115"/>
      <c r="W347" s="26"/>
      <c r="X347" s="13"/>
      <c r="AC347" s="117"/>
      <c r="AD347" s="123"/>
      <c r="AE347" s="123"/>
      <c r="AF347" s="123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115"/>
      <c r="AT347" s="115"/>
      <c r="AU347" s="13"/>
      <c r="AV347" s="13"/>
      <c r="AY347" s="114"/>
    </row>
    <row r="348" spans="1:51" ht="19.5" x14ac:dyDescent="0.4">
      <c r="A348" s="117"/>
      <c r="B348" s="123"/>
      <c r="C348" s="123"/>
      <c r="D348" s="123"/>
      <c r="L348" s="26"/>
      <c r="M348" s="13"/>
      <c r="S348" s="115"/>
      <c r="T348" s="115"/>
      <c r="U348" s="115"/>
      <c r="V348" s="115"/>
      <c r="W348" s="26">
        <v>45712</v>
      </c>
      <c r="X348" s="13" t="s">
        <v>146</v>
      </c>
      <c r="AC348" s="117"/>
      <c r="AD348" s="123"/>
      <c r="AE348" s="123"/>
      <c r="AF348" s="123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115"/>
      <c r="AT348" s="115"/>
      <c r="AU348" s="13"/>
      <c r="AV348" s="13"/>
      <c r="AY348" s="114"/>
    </row>
    <row r="349" spans="1:51" ht="19.5" x14ac:dyDescent="0.4">
      <c r="A349" s="117"/>
      <c r="B349" s="123"/>
      <c r="C349" s="123"/>
      <c r="D349" s="123"/>
      <c r="L349" s="26"/>
      <c r="M349" s="13"/>
      <c r="S349" s="115"/>
      <c r="T349" s="115"/>
      <c r="U349" s="115"/>
      <c r="V349" s="115"/>
      <c r="W349" s="26">
        <v>45712</v>
      </c>
      <c r="X349" s="13" t="s">
        <v>148</v>
      </c>
      <c r="AC349" s="117"/>
      <c r="AD349" s="123"/>
      <c r="AE349" s="123"/>
      <c r="AF349" s="123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115"/>
      <c r="AT349" s="115"/>
      <c r="AU349" s="13"/>
      <c r="AV349" s="13"/>
      <c r="AY349" s="114"/>
    </row>
    <row r="350" spans="1:51" ht="19.5" x14ac:dyDescent="0.4">
      <c r="A350" s="117"/>
      <c r="B350" s="123"/>
      <c r="C350" s="123"/>
      <c r="D350" s="123"/>
      <c r="G350" s="115"/>
      <c r="H350" s="115"/>
      <c r="I350" s="115"/>
      <c r="J350" s="115"/>
      <c r="K350" s="115"/>
      <c r="L350" s="17"/>
      <c r="M350" s="13"/>
      <c r="S350" s="115"/>
      <c r="T350" s="115"/>
      <c r="U350" s="115"/>
      <c r="V350" s="115"/>
      <c r="W350" s="26"/>
      <c r="X350" s="13"/>
      <c r="AC350" s="117"/>
      <c r="AD350" s="123"/>
      <c r="AE350" s="123"/>
      <c r="AF350" s="123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115"/>
      <c r="AT350" s="115"/>
      <c r="AU350" s="13"/>
      <c r="AV350" s="13"/>
      <c r="AY350" s="114"/>
    </row>
    <row r="351" spans="1:51" ht="19.5" x14ac:dyDescent="0.4">
      <c r="A351" s="117"/>
      <c r="B351" s="123"/>
      <c r="C351" s="123"/>
      <c r="D351" s="123"/>
      <c r="L351" s="26"/>
      <c r="M351" s="13"/>
      <c r="Q351" s="115"/>
      <c r="R351" s="115"/>
      <c r="S351" s="115"/>
      <c r="T351" s="115"/>
      <c r="U351" s="115"/>
      <c r="V351" s="115"/>
      <c r="W351" s="26">
        <v>45714</v>
      </c>
      <c r="X351" s="13" t="s">
        <v>147</v>
      </c>
      <c r="AC351" s="117"/>
      <c r="AD351" s="123"/>
      <c r="AE351" s="123"/>
      <c r="AF351" s="123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115"/>
      <c r="AT351" s="115"/>
      <c r="AU351" s="13"/>
      <c r="AV351" s="13"/>
      <c r="AY351" s="114"/>
    </row>
    <row r="352" spans="1:51" ht="19.5" x14ac:dyDescent="0.4">
      <c r="A352" s="117"/>
      <c r="B352" s="123"/>
      <c r="C352" s="123"/>
      <c r="D352" s="123"/>
      <c r="L352" s="26"/>
      <c r="M352" s="13"/>
      <c r="W352" s="26">
        <v>45714</v>
      </c>
      <c r="X352" s="13" t="s">
        <v>147</v>
      </c>
      <c r="AC352" s="117"/>
      <c r="AD352" s="123"/>
      <c r="AE352" s="123"/>
      <c r="AF352" s="123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115"/>
      <c r="AT352" s="115"/>
      <c r="AU352" s="25">
        <v>45269</v>
      </c>
      <c r="AV352" s="13" t="s">
        <v>163</v>
      </c>
      <c r="AY352" s="114"/>
    </row>
    <row r="353" spans="1:51" ht="19.5" x14ac:dyDescent="0.4">
      <c r="A353" s="117"/>
      <c r="B353" s="123"/>
      <c r="C353" s="123"/>
      <c r="D353" s="123"/>
      <c r="L353" s="26"/>
      <c r="M353" s="13"/>
      <c r="N353" s="115"/>
      <c r="O353" s="115"/>
      <c r="P353" s="115"/>
      <c r="Q353" s="115"/>
      <c r="R353" s="115"/>
      <c r="S353" s="115"/>
      <c r="T353" s="115"/>
      <c r="U353" s="115"/>
      <c r="V353" s="115"/>
      <c r="W353" s="26">
        <v>45714</v>
      </c>
      <c r="X353" s="13" t="s">
        <v>147</v>
      </c>
      <c r="AC353" s="117"/>
      <c r="AD353" s="123"/>
      <c r="AE353" s="123"/>
      <c r="AF353" s="123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115"/>
      <c r="AT353" s="115"/>
      <c r="AU353" s="25"/>
      <c r="AV353" s="13"/>
      <c r="AY353" s="114"/>
    </row>
    <row r="354" spans="1:51" ht="19.5" x14ac:dyDescent="0.4">
      <c r="A354" s="117"/>
      <c r="B354" s="123"/>
      <c r="C354" s="123"/>
      <c r="D354" s="123"/>
      <c r="L354" s="26"/>
      <c r="M354" s="13"/>
      <c r="N354" s="115"/>
      <c r="O354" s="115"/>
      <c r="P354" s="115"/>
      <c r="Q354" s="115"/>
      <c r="R354" s="115"/>
      <c r="S354" s="115"/>
      <c r="T354" s="115"/>
      <c r="U354" s="115" t="s">
        <v>145</v>
      </c>
      <c r="V354" s="115">
        <f>SUBTOTAL(3,V2:V353)</f>
        <v>0</v>
      </c>
      <c r="W354" s="26"/>
      <c r="X354" s="13">
        <f>SUBTOTAL(3,X2:X353)</f>
        <v>145</v>
      </c>
      <c r="AC354" s="117"/>
      <c r="AD354" s="123"/>
      <c r="AE354" s="123"/>
      <c r="AF354" s="123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115"/>
      <c r="AT354" s="115"/>
      <c r="AU354" s="25"/>
      <c r="AV354" s="13"/>
      <c r="AY354" s="114"/>
    </row>
    <row r="355" spans="1:51" ht="19.5" x14ac:dyDescent="0.4">
      <c r="A355" s="117"/>
      <c r="B355" s="123"/>
      <c r="C355" s="123"/>
      <c r="D355" s="123"/>
      <c r="L355" s="26"/>
      <c r="M355" s="13"/>
      <c r="W355" s="26"/>
      <c r="X355" s="13"/>
      <c r="AC355" s="117"/>
      <c r="AD355" s="123"/>
      <c r="AE355" s="123"/>
      <c r="AF355" s="123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115"/>
      <c r="AU355" s="25">
        <v>45269</v>
      </c>
      <c r="AV355" s="13" t="s">
        <v>163</v>
      </c>
      <c r="AY355" s="114"/>
    </row>
    <row r="356" spans="1:51" ht="19.5" x14ac:dyDescent="0.4">
      <c r="A356" s="117"/>
      <c r="B356" s="123"/>
      <c r="C356" s="123"/>
      <c r="D356" s="123"/>
      <c r="L356" s="26"/>
      <c r="M356" s="13"/>
      <c r="P356" s="115"/>
      <c r="Q356" s="115"/>
      <c r="R356" s="115"/>
      <c r="S356" s="115"/>
      <c r="T356" s="115"/>
      <c r="U356" s="115"/>
      <c r="V356" s="115"/>
      <c r="W356" s="26"/>
      <c r="X356" s="13"/>
      <c r="AC356" s="117"/>
      <c r="AD356" s="123"/>
      <c r="AE356" s="123"/>
      <c r="AF356" s="123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115"/>
      <c r="AT356" s="115"/>
      <c r="AU356" s="25"/>
      <c r="AV356" s="13"/>
      <c r="AY356" s="114"/>
    </row>
    <row r="357" spans="1:51" ht="19.5" x14ac:dyDescent="0.4">
      <c r="A357" s="117"/>
      <c r="B357" s="123"/>
      <c r="C357" s="123"/>
      <c r="D357" s="123"/>
      <c r="L357" s="26"/>
      <c r="M357" s="13"/>
      <c r="W357" s="26"/>
      <c r="X357" s="13"/>
      <c r="AC357" s="117"/>
      <c r="AD357" s="123"/>
      <c r="AE357" s="123"/>
      <c r="AF357" s="123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115"/>
      <c r="AT357" s="115" t="s">
        <v>159</v>
      </c>
      <c r="AU357" s="13">
        <f>SUBTOTAL(3,AU352:AU355)</f>
        <v>2</v>
      </c>
      <c r="AV357" s="13">
        <f>SUBTOTAL(3,AV352:AV355)</f>
        <v>2</v>
      </c>
      <c r="AY357" s="114"/>
    </row>
    <row r="358" spans="1:51" ht="19.5" x14ac:dyDescent="0.4">
      <c r="A358" s="117"/>
      <c r="B358" s="123"/>
      <c r="C358" s="123"/>
      <c r="D358" s="123"/>
      <c r="L358" s="26"/>
      <c r="M358" s="13"/>
      <c r="N358" s="115"/>
      <c r="O358" s="115"/>
      <c r="P358" s="115"/>
      <c r="Q358" s="115"/>
      <c r="R358" s="115"/>
      <c r="S358" s="115"/>
      <c r="T358" s="115"/>
      <c r="U358" s="115"/>
      <c r="V358" s="115"/>
      <c r="W358" s="26"/>
      <c r="X358" s="13"/>
      <c r="AC358" s="117"/>
      <c r="AD358" s="123"/>
      <c r="AE358" s="123"/>
      <c r="AF358" s="123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115"/>
      <c r="AT358" s="115"/>
      <c r="AU358" s="13"/>
      <c r="AV358" s="13"/>
      <c r="AY358" s="114"/>
    </row>
    <row r="359" spans="1:51" ht="19.5" x14ac:dyDescent="0.4">
      <c r="A359" s="117"/>
      <c r="B359" s="123"/>
      <c r="C359" s="123"/>
      <c r="D359" s="123"/>
      <c r="L359" s="26"/>
      <c r="M359" s="13"/>
      <c r="N359" s="115"/>
      <c r="O359" s="115"/>
      <c r="P359" s="115"/>
      <c r="Q359" s="115"/>
      <c r="R359" s="115"/>
      <c r="S359" s="115"/>
      <c r="T359" s="115"/>
      <c r="U359" s="115"/>
      <c r="V359" s="115"/>
      <c r="W359" s="26"/>
      <c r="X359" s="13"/>
      <c r="AC359" s="117"/>
      <c r="AD359" s="123"/>
      <c r="AE359" s="123"/>
      <c r="AF359" s="123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115"/>
      <c r="AT359" s="115"/>
      <c r="AU359" s="13"/>
      <c r="AV359" s="13"/>
      <c r="AY359" s="114"/>
    </row>
    <row r="360" spans="1:51" ht="19.5" x14ac:dyDescent="0.4">
      <c r="A360" s="117"/>
      <c r="B360" s="123"/>
      <c r="C360" s="123"/>
      <c r="D360" s="123"/>
      <c r="F360" s="115"/>
      <c r="G360" s="115"/>
      <c r="H360" s="115"/>
      <c r="I360" s="115"/>
      <c r="J360" s="115"/>
      <c r="K360" s="115"/>
      <c r="L360" s="26"/>
      <c r="M360" s="13"/>
      <c r="N360" s="115"/>
      <c r="O360" s="115"/>
      <c r="P360" s="115"/>
      <c r="Q360" s="115"/>
      <c r="R360" s="115"/>
      <c r="S360" s="115"/>
      <c r="T360" s="115"/>
      <c r="U360" s="115"/>
      <c r="V360" s="115"/>
      <c r="W360" s="26"/>
      <c r="X360" s="13"/>
      <c r="AC360" s="117"/>
      <c r="AD360" s="123"/>
      <c r="AE360" s="123"/>
      <c r="AF360" s="123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115"/>
      <c r="AT360" s="115"/>
      <c r="AU360" s="13"/>
      <c r="AV360" s="13"/>
      <c r="AY360" s="114"/>
    </row>
    <row r="361" spans="1:51" ht="19.5" x14ac:dyDescent="0.4">
      <c r="A361" s="117"/>
      <c r="B361" s="123"/>
      <c r="C361" s="123"/>
      <c r="D361" s="123"/>
      <c r="L361" s="26"/>
      <c r="M361" s="13"/>
      <c r="W361" s="26"/>
      <c r="X361" s="13"/>
      <c r="AC361" s="117"/>
      <c r="AD361" s="123"/>
      <c r="AE361" s="123"/>
      <c r="AF361" s="123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115"/>
      <c r="AT361" s="115"/>
      <c r="AU361" s="25">
        <v>45270</v>
      </c>
      <c r="AV361" s="13" t="s">
        <v>164</v>
      </c>
      <c r="AY361" s="114"/>
    </row>
    <row r="362" spans="1:51" ht="19.5" x14ac:dyDescent="0.4">
      <c r="A362" s="117"/>
      <c r="B362" s="123"/>
      <c r="C362" s="123"/>
      <c r="D362" s="123"/>
      <c r="L362" s="26"/>
      <c r="M362" s="13"/>
      <c r="R362" s="115"/>
      <c r="S362" s="115"/>
      <c r="T362" s="115"/>
      <c r="U362" s="115"/>
      <c r="V362" s="115"/>
      <c r="W362" s="17"/>
      <c r="X362" s="13"/>
      <c r="AC362" s="117"/>
      <c r="AD362" s="123"/>
      <c r="AE362" s="123"/>
      <c r="AF362" s="123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115"/>
      <c r="AT362" s="115"/>
      <c r="AU362" s="25"/>
      <c r="AV362" s="13"/>
      <c r="AY362" s="114"/>
    </row>
    <row r="363" spans="1:51" ht="19.5" x14ac:dyDescent="0.4">
      <c r="A363" s="117"/>
      <c r="B363" s="123"/>
      <c r="C363" s="123"/>
      <c r="D363" s="123"/>
      <c r="L363" s="26"/>
      <c r="M363" s="13"/>
      <c r="W363" s="26"/>
      <c r="X363" s="13"/>
      <c r="AC363" s="117"/>
      <c r="AD363" s="123"/>
      <c r="AE363" s="123"/>
      <c r="AF363" s="123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115"/>
      <c r="AU363" s="25"/>
      <c r="AV363" s="13"/>
      <c r="AY363" s="114"/>
    </row>
    <row r="364" spans="1:51" ht="19.5" x14ac:dyDescent="0.4">
      <c r="A364" s="117"/>
      <c r="B364" s="123"/>
      <c r="C364" s="123"/>
      <c r="D364" s="123"/>
      <c r="L364" s="26"/>
      <c r="M364" s="13"/>
      <c r="O364" s="115"/>
      <c r="P364" s="115"/>
      <c r="Q364" s="115"/>
      <c r="R364" s="115"/>
      <c r="S364" s="115"/>
      <c r="T364" s="115"/>
      <c r="U364" s="115"/>
      <c r="V364" s="115"/>
      <c r="W364" s="26"/>
      <c r="X364" s="13"/>
      <c r="AC364" s="117"/>
      <c r="AD364" s="123"/>
      <c r="AE364" s="123"/>
      <c r="AF364" s="123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115"/>
      <c r="AT364" s="115"/>
      <c r="AU364" s="25"/>
      <c r="AV364" s="13"/>
      <c r="AY364" s="114"/>
    </row>
    <row r="365" spans="1:51" ht="19.5" x14ac:dyDescent="0.4">
      <c r="A365" s="117"/>
      <c r="B365" s="123"/>
      <c r="C365" s="123"/>
      <c r="D365" s="123"/>
      <c r="L365" s="26"/>
      <c r="M365" s="13"/>
      <c r="W365" s="26"/>
      <c r="X365" s="13"/>
      <c r="AC365" s="117"/>
      <c r="AD365" s="123"/>
      <c r="AE365" s="123"/>
      <c r="AF365" s="123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115"/>
      <c r="AT365" s="115"/>
      <c r="AU365" s="25">
        <v>45270</v>
      </c>
      <c r="AV365" s="13" t="s">
        <v>164</v>
      </c>
      <c r="AY365" s="114"/>
    </row>
    <row r="366" spans="1:51" ht="19.5" x14ac:dyDescent="0.4">
      <c r="A366" s="117"/>
      <c r="B366" s="123"/>
      <c r="C366" s="123"/>
      <c r="D366" s="123"/>
      <c r="L366" s="26"/>
      <c r="M366" s="13"/>
      <c r="Q366" s="115"/>
      <c r="R366" s="115"/>
      <c r="S366" s="115"/>
      <c r="T366" s="115"/>
      <c r="U366" s="115"/>
      <c r="V366" s="115"/>
      <c r="W366" s="26"/>
      <c r="X366" s="13"/>
      <c r="AC366" s="117"/>
      <c r="AD366" s="123"/>
      <c r="AE366" s="123"/>
      <c r="AF366" s="123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115"/>
      <c r="AT366" s="115"/>
      <c r="AU366" s="25"/>
      <c r="AV366" s="13"/>
      <c r="AY366" s="114"/>
    </row>
    <row r="367" spans="1:51" ht="19.5" x14ac:dyDescent="0.4">
      <c r="A367" s="117"/>
      <c r="B367" s="123"/>
      <c r="C367" s="123"/>
      <c r="D367" s="123"/>
      <c r="F367" s="115"/>
      <c r="G367" s="115"/>
      <c r="H367" s="115"/>
      <c r="I367" s="115"/>
      <c r="J367" s="115"/>
      <c r="K367" s="115"/>
      <c r="L367" s="26"/>
      <c r="M367" s="13"/>
      <c r="N367" s="115"/>
      <c r="O367" s="115"/>
      <c r="P367" s="115"/>
      <c r="Q367" s="115"/>
      <c r="R367" s="115"/>
      <c r="S367" s="115"/>
      <c r="T367" s="115"/>
      <c r="U367" s="115"/>
      <c r="V367" s="115"/>
      <c r="W367" s="26"/>
      <c r="X367" s="13"/>
      <c r="AC367" s="117"/>
      <c r="AD367" s="123"/>
      <c r="AE367" s="123"/>
      <c r="AF367" s="123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115"/>
      <c r="AU367" s="25"/>
      <c r="AV367" s="13"/>
      <c r="AY367" s="114"/>
    </row>
    <row r="368" spans="1:51" ht="19.5" x14ac:dyDescent="0.4">
      <c r="A368" s="117"/>
      <c r="B368" s="123"/>
      <c r="C368" s="123"/>
      <c r="D368" s="123"/>
      <c r="L368" s="26"/>
      <c r="M368" s="15"/>
      <c r="W368" s="26"/>
      <c r="X368" s="13"/>
      <c r="AC368" s="117"/>
      <c r="AD368" s="123"/>
      <c r="AE368" s="123"/>
      <c r="AF368" s="123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115"/>
      <c r="AT368" s="115"/>
      <c r="AU368" s="25">
        <v>45270</v>
      </c>
      <c r="AV368" s="13" t="s">
        <v>162</v>
      </c>
      <c r="AY368" s="114"/>
    </row>
    <row r="369" spans="1:51" ht="19.5" x14ac:dyDescent="0.4">
      <c r="A369" s="117"/>
      <c r="B369" s="123"/>
      <c r="C369" s="123"/>
      <c r="D369" s="123"/>
      <c r="L369" s="26"/>
      <c r="M369" s="15"/>
      <c r="P369" s="115"/>
      <c r="Q369" s="115"/>
      <c r="R369" s="115"/>
      <c r="S369" s="115"/>
      <c r="T369" s="115"/>
      <c r="U369" s="115"/>
      <c r="V369" s="115"/>
      <c r="W369" s="26"/>
      <c r="X369" s="15"/>
      <c r="AC369" s="117"/>
      <c r="AD369" s="123"/>
      <c r="AE369" s="123"/>
      <c r="AF369" s="123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25"/>
      <c r="AV369" s="13"/>
      <c r="AY369" s="114"/>
    </row>
    <row r="370" spans="1:51" ht="19.5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7"/>
      <c r="M370" s="15"/>
      <c r="P370" s="115"/>
      <c r="Q370" s="115"/>
      <c r="R370" s="115"/>
      <c r="S370" s="115"/>
      <c r="T370" s="115"/>
      <c r="U370" s="115"/>
      <c r="V370" s="115"/>
      <c r="W370" s="26"/>
      <c r="X370" s="13"/>
      <c r="AC370" s="117"/>
      <c r="AD370" s="123"/>
      <c r="AE370" s="123"/>
      <c r="AF370" s="123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115"/>
      <c r="AT370" s="115"/>
      <c r="AU370" s="25"/>
      <c r="AV370" s="13"/>
      <c r="AY370" s="114"/>
    </row>
    <row r="371" spans="1:51" ht="19.5" x14ac:dyDescent="0.4">
      <c r="A371" s="117"/>
      <c r="B371" s="123"/>
      <c r="C371" s="123"/>
      <c r="D371" s="123"/>
      <c r="L371" s="26"/>
      <c r="M371" s="15"/>
      <c r="W371" s="26"/>
      <c r="X371" s="13"/>
      <c r="AC371" s="117"/>
      <c r="AD371" s="123"/>
      <c r="AE371" s="123"/>
      <c r="AF371" s="123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115"/>
      <c r="AT371" s="115"/>
      <c r="AU371" s="25">
        <v>45270</v>
      </c>
      <c r="AV371" s="13" t="s">
        <v>162</v>
      </c>
      <c r="AY371" s="114"/>
    </row>
    <row r="372" spans="1:51" ht="19.5" x14ac:dyDescent="0.4">
      <c r="A372" s="117"/>
      <c r="B372" s="123"/>
      <c r="C372" s="123"/>
      <c r="D372" s="123"/>
      <c r="G372" s="115"/>
      <c r="H372" s="115"/>
      <c r="I372" s="115"/>
      <c r="J372" s="115"/>
      <c r="K372" s="115"/>
      <c r="L372" s="17"/>
      <c r="M372" s="15"/>
      <c r="W372" s="26"/>
      <c r="X372" s="13"/>
      <c r="AC372" s="117"/>
      <c r="AD372" s="123"/>
      <c r="AE372" s="123"/>
      <c r="AF372" s="123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115"/>
      <c r="AT372" s="115"/>
      <c r="AU372" s="25"/>
      <c r="AV372" s="13"/>
      <c r="AY372" s="114"/>
    </row>
    <row r="373" spans="1:51" ht="19.5" x14ac:dyDescent="0.4">
      <c r="A373" s="117"/>
      <c r="B373" s="123"/>
      <c r="C373" s="123"/>
      <c r="D373" s="123"/>
      <c r="L373" s="26"/>
      <c r="M373" s="15"/>
      <c r="R373" s="115"/>
      <c r="S373" s="115"/>
      <c r="T373" s="115"/>
      <c r="U373" s="115"/>
      <c r="V373" s="115"/>
      <c r="W373" s="17"/>
      <c r="X373" s="13"/>
      <c r="AC373" s="117"/>
      <c r="AD373" s="123"/>
      <c r="AE373" s="123"/>
      <c r="AF373" s="123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115"/>
      <c r="AT373" s="115"/>
      <c r="AU373" s="25"/>
      <c r="AV373" s="13"/>
      <c r="AY373" s="114"/>
    </row>
    <row r="374" spans="1:51" ht="19.5" x14ac:dyDescent="0.4">
      <c r="A374" s="117"/>
      <c r="B374" s="123"/>
      <c r="C374" s="123"/>
      <c r="D374" s="123"/>
      <c r="G374" s="115"/>
      <c r="H374" s="115"/>
      <c r="I374" s="115"/>
      <c r="J374" s="115"/>
      <c r="K374" s="115"/>
      <c r="L374" s="119"/>
      <c r="M374" s="119"/>
      <c r="R374" s="115"/>
      <c r="S374" s="115"/>
      <c r="T374" s="115"/>
      <c r="U374" s="115"/>
      <c r="V374" s="115"/>
      <c r="W374" s="17"/>
      <c r="X374" s="13"/>
      <c r="AC374" s="117"/>
      <c r="AD374" s="123"/>
      <c r="AE374" s="123"/>
      <c r="AF374" s="123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115"/>
      <c r="AT374" s="115"/>
      <c r="AU374" s="25"/>
      <c r="AV374" s="13"/>
      <c r="AY374" s="114"/>
    </row>
    <row r="375" spans="1:51" ht="19.5" x14ac:dyDescent="0.4">
      <c r="A375" s="117"/>
      <c r="B375" s="123"/>
      <c r="C375" s="123"/>
      <c r="D375" s="123"/>
      <c r="G375" s="115"/>
      <c r="H375" s="115"/>
      <c r="I375" s="115"/>
      <c r="J375" s="115"/>
      <c r="K375" s="115"/>
      <c r="L375" s="119"/>
      <c r="M375" s="119"/>
      <c r="R375" s="115"/>
      <c r="S375" s="115"/>
      <c r="T375" s="115"/>
      <c r="U375" s="115"/>
      <c r="V375" s="115"/>
      <c r="W375" s="17"/>
      <c r="X375" s="13"/>
      <c r="AC375" s="117"/>
      <c r="AD375" s="123"/>
      <c r="AE375" s="123"/>
      <c r="AF375" s="123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115"/>
      <c r="AT375" s="115"/>
      <c r="AU375" s="25"/>
      <c r="AV375" s="13"/>
      <c r="AY375" s="114"/>
    </row>
    <row r="376" spans="1:51" ht="19.5" x14ac:dyDescent="0.4">
      <c r="A376" s="117"/>
      <c r="B376" s="123"/>
      <c r="C376" s="123"/>
      <c r="D376" s="123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26"/>
      <c r="X376" s="13"/>
      <c r="AC376" s="117"/>
      <c r="AD376" s="123"/>
      <c r="AE376" s="123"/>
      <c r="AF376" s="123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115"/>
      <c r="AT376" s="115"/>
      <c r="AU376" s="25"/>
      <c r="AV376" s="13"/>
      <c r="AY376" s="114"/>
    </row>
    <row r="377" spans="1:51" ht="19.5" x14ac:dyDescent="0.4">
      <c r="A377" s="117"/>
      <c r="B377" s="123"/>
      <c r="C377" s="123"/>
      <c r="D377" s="123"/>
      <c r="W377" s="26"/>
      <c r="X377" s="13"/>
      <c r="AC377" s="117"/>
      <c r="AD377" s="123"/>
      <c r="AE377" s="123"/>
      <c r="AF377" s="123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115"/>
      <c r="AT377" s="115"/>
      <c r="AU377" s="25"/>
      <c r="AV377" s="13"/>
      <c r="AY377" s="114"/>
    </row>
    <row r="378" spans="1:51" ht="19.5" x14ac:dyDescent="0.4">
      <c r="A378" s="117"/>
      <c r="B378" s="123"/>
      <c r="C378" s="123"/>
      <c r="D378" s="123"/>
      <c r="W378" s="26"/>
      <c r="X378" s="13"/>
      <c r="AC378" s="117"/>
      <c r="AD378" s="123"/>
      <c r="AE378" s="123"/>
      <c r="AF378" s="123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115"/>
      <c r="AT378" s="115"/>
      <c r="AU378" s="25">
        <v>45270</v>
      </c>
      <c r="AV378" s="13" t="s">
        <v>163</v>
      </c>
      <c r="AY378" s="114"/>
    </row>
    <row r="379" spans="1:51" ht="19.5" x14ac:dyDescent="0.4">
      <c r="A379" s="117"/>
      <c r="B379" s="123"/>
      <c r="C379" s="123"/>
      <c r="D379" s="123"/>
      <c r="R379" s="115"/>
      <c r="S379" s="115"/>
      <c r="T379" s="115"/>
      <c r="U379" s="115"/>
      <c r="V379" s="115"/>
      <c r="W379" s="17"/>
      <c r="X379" s="13"/>
      <c r="AC379" s="117"/>
      <c r="AD379" s="123"/>
      <c r="AE379" s="123"/>
      <c r="AF379" s="123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115"/>
      <c r="AT379" s="115"/>
      <c r="AU379" s="25"/>
      <c r="AV379" s="13"/>
      <c r="AY379" s="114"/>
    </row>
    <row r="380" spans="1:51" ht="19.5" x14ac:dyDescent="0.4">
      <c r="A380" s="117"/>
      <c r="B380" s="123"/>
      <c r="C380" s="123"/>
      <c r="D380" s="123"/>
      <c r="W380" s="26"/>
      <c r="X380" s="13"/>
      <c r="AC380" s="117"/>
      <c r="AD380" s="123"/>
      <c r="AE380" s="123"/>
      <c r="AF380" s="123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115"/>
      <c r="AT380" s="115" t="s">
        <v>151</v>
      </c>
      <c r="AU380" s="13">
        <f>SUBTOTAL(3,AU361:AU378)</f>
        <v>5</v>
      </c>
      <c r="AV380" s="13">
        <f>SUBTOTAL(3,AV361:AV378)</f>
        <v>5</v>
      </c>
      <c r="AY380" s="114"/>
    </row>
    <row r="381" spans="1:51" ht="19.5" x14ac:dyDescent="0.4">
      <c r="A381" s="117"/>
      <c r="B381" s="123"/>
      <c r="C381" s="123"/>
      <c r="D381" s="123"/>
      <c r="Q381" s="115"/>
      <c r="R381" s="115"/>
      <c r="S381" s="115"/>
      <c r="T381" s="115"/>
      <c r="U381" s="115"/>
      <c r="V381" s="115"/>
      <c r="W381" s="26"/>
      <c r="X381" s="13"/>
      <c r="AC381" s="117"/>
      <c r="AD381" s="123"/>
      <c r="AE381" s="123"/>
      <c r="AF381" s="123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115"/>
      <c r="AT381" s="115"/>
      <c r="AU381" s="13"/>
      <c r="AV381" s="13"/>
      <c r="AY381" s="114"/>
    </row>
    <row r="382" spans="1:51" ht="19.5" x14ac:dyDescent="0.4">
      <c r="A382" s="117"/>
      <c r="B382" s="123"/>
      <c r="C382" s="123"/>
      <c r="D382" s="123"/>
      <c r="W382" s="26"/>
      <c r="X382" s="13"/>
      <c r="AC382" s="117"/>
      <c r="AD382" s="123"/>
      <c r="AE382" s="123"/>
      <c r="AF382" s="123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115"/>
      <c r="AT382" s="115"/>
      <c r="AU382" s="25">
        <v>45271</v>
      </c>
      <c r="AV382" s="13" t="s">
        <v>162</v>
      </c>
      <c r="AY382" s="114"/>
    </row>
    <row r="383" spans="1:51" ht="19.5" x14ac:dyDescent="0.4">
      <c r="A383" s="117"/>
      <c r="B383" s="123"/>
      <c r="C383" s="123"/>
      <c r="D383" s="123"/>
      <c r="W383" s="26"/>
      <c r="X383" s="13"/>
      <c r="AC383" s="117"/>
      <c r="AD383" s="123"/>
      <c r="AE383" s="123"/>
      <c r="AF383" s="123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115"/>
      <c r="AT383" s="115"/>
      <c r="AU383" s="25">
        <v>45271</v>
      </c>
      <c r="AV383" s="13" t="s">
        <v>163</v>
      </c>
      <c r="AY383" s="114"/>
    </row>
    <row r="384" spans="1:51" ht="19.5" x14ac:dyDescent="0.4">
      <c r="A384" s="117"/>
      <c r="B384" s="123"/>
      <c r="C384" s="123"/>
      <c r="D384" s="123"/>
      <c r="Q384" s="115"/>
      <c r="R384" s="115"/>
      <c r="S384" s="115"/>
      <c r="T384" s="115"/>
      <c r="U384" s="115"/>
      <c r="V384" s="115"/>
      <c r="W384" s="26"/>
      <c r="X384" s="13"/>
      <c r="AC384" s="117"/>
      <c r="AD384" s="123"/>
      <c r="AE384" s="123"/>
      <c r="AF384" s="123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115"/>
      <c r="AT384" s="115"/>
      <c r="AU384" s="25"/>
      <c r="AV384" s="13"/>
      <c r="AY384" s="114"/>
    </row>
    <row r="385" spans="1:51" ht="19.5" x14ac:dyDescent="0.4">
      <c r="A385" s="117"/>
      <c r="B385" s="123"/>
      <c r="C385" s="123"/>
      <c r="D385" s="123"/>
      <c r="P385" s="115"/>
      <c r="Q385" s="115"/>
      <c r="R385" s="115"/>
      <c r="S385" s="115"/>
      <c r="T385" s="115"/>
      <c r="U385" s="115"/>
      <c r="V385" s="115"/>
      <c r="W385" s="26"/>
      <c r="X385" s="13"/>
      <c r="AC385" s="117"/>
      <c r="AD385" s="123"/>
      <c r="AE385" s="123"/>
      <c r="AF385" s="123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115"/>
      <c r="AU385" s="25"/>
      <c r="AV385" s="13"/>
      <c r="AY385" s="114"/>
    </row>
    <row r="386" spans="1:51" ht="19.5" x14ac:dyDescent="0.4">
      <c r="A386" s="117"/>
      <c r="B386" s="123"/>
      <c r="C386" s="123"/>
      <c r="D386" s="123"/>
      <c r="P386" s="115"/>
      <c r="Q386" s="115"/>
      <c r="R386" s="115"/>
      <c r="S386" s="115"/>
      <c r="T386" s="115"/>
      <c r="U386" s="115"/>
      <c r="V386" s="115"/>
      <c r="W386" s="17"/>
      <c r="X386" s="13"/>
      <c r="AC386" s="117"/>
      <c r="AD386" s="123"/>
      <c r="AE386" s="123"/>
      <c r="AF386" s="123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115"/>
      <c r="AU386" s="25"/>
      <c r="AV386" s="13"/>
      <c r="AY386" s="114"/>
    </row>
    <row r="387" spans="1:51" ht="19.5" x14ac:dyDescent="0.4">
      <c r="A387" s="117"/>
      <c r="B387" s="123"/>
      <c r="C387" s="123"/>
      <c r="D387" s="123"/>
      <c r="N387" s="115"/>
      <c r="O387" s="115"/>
      <c r="P387" s="115"/>
      <c r="Q387" s="115"/>
      <c r="R387" s="115"/>
      <c r="S387" s="115"/>
      <c r="T387" s="115"/>
      <c r="U387" s="115"/>
      <c r="V387" s="115"/>
      <c r="W387" s="26"/>
      <c r="X387" s="13"/>
      <c r="AC387" s="117"/>
      <c r="AD387" s="123"/>
      <c r="AE387" s="123"/>
      <c r="AF387" s="123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115"/>
      <c r="AU387" s="25"/>
      <c r="AV387" s="13"/>
      <c r="AY387" s="114"/>
    </row>
    <row r="388" spans="1:51" ht="19.5" x14ac:dyDescent="0.4">
      <c r="A388" s="117"/>
      <c r="B388" s="123"/>
      <c r="C388" s="123"/>
      <c r="D388" s="123"/>
      <c r="W388" s="26"/>
      <c r="X388" s="13"/>
      <c r="AC388" s="117"/>
      <c r="AD388" s="123"/>
      <c r="AE388" s="123"/>
      <c r="AF388" s="123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115"/>
      <c r="AT388" s="115"/>
      <c r="AU388" s="25">
        <v>45271</v>
      </c>
      <c r="AV388" s="13" t="s">
        <v>163</v>
      </c>
      <c r="AY388" s="114"/>
    </row>
    <row r="389" spans="1:51" ht="19.5" x14ac:dyDescent="0.4">
      <c r="A389" s="117"/>
      <c r="B389" s="123"/>
      <c r="C389" s="123"/>
      <c r="D389" s="123"/>
      <c r="Q389" s="115"/>
      <c r="R389" s="115"/>
      <c r="S389" s="115"/>
      <c r="T389" s="115"/>
      <c r="U389" s="115"/>
      <c r="V389" s="115"/>
      <c r="W389" s="26"/>
      <c r="X389" s="13"/>
      <c r="AC389" s="117"/>
      <c r="AD389" s="123"/>
      <c r="AE389" s="123"/>
      <c r="AF389" s="123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115"/>
      <c r="AU389" s="25"/>
      <c r="AV389" s="13"/>
      <c r="AY389" s="114"/>
    </row>
    <row r="390" spans="1:51" ht="19.5" x14ac:dyDescent="0.4">
      <c r="A390" s="117"/>
      <c r="B390" s="123"/>
      <c r="C390" s="123"/>
      <c r="D390" s="123"/>
      <c r="O390" s="115"/>
      <c r="P390" s="115"/>
      <c r="Q390" s="115"/>
      <c r="R390" s="115"/>
      <c r="S390" s="115"/>
      <c r="T390" s="115"/>
      <c r="U390" s="115"/>
      <c r="V390" s="115"/>
      <c r="W390" s="26"/>
      <c r="X390" s="13"/>
      <c r="AC390" s="117"/>
      <c r="AD390" s="123"/>
      <c r="AE390" s="123"/>
      <c r="AF390" s="123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115"/>
      <c r="AU390" s="25"/>
      <c r="AV390" s="13"/>
      <c r="AY390" s="114"/>
    </row>
    <row r="391" spans="1:51" ht="19.5" x14ac:dyDescent="0.4">
      <c r="A391" s="117"/>
      <c r="B391" s="123"/>
      <c r="C391" s="123"/>
      <c r="D391" s="123"/>
      <c r="O391" s="115"/>
      <c r="P391" s="115"/>
      <c r="Q391" s="115"/>
      <c r="R391" s="115"/>
      <c r="S391" s="115"/>
      <c r="T391" s="115"/>
      <c r="U391" s="115"/>
      <c r="V391" s="115"/>
      <c r="W391" s="17"/>
      <c r="X391" s="13"/>
      <c r="AC391" s="117"/>
      <c r="AD391" s="123"/>
      <c r="AE391" s="123"/>
      <c r="AF391" s="123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115"/>
      <c r="AU391" s="25"/>
      <c r="AV391" s="13"/>
      <c r="AY391" s="114"/>
    </row>
    <row r="392" spans="1:51" ht="19.5" x14ac:dyDescent="0.4">
      <c r="A392" s="117"/>
      <c r="B392" s="123"/>
      <c r="C392" s="123"/>
      <c r="D392" s="123"/>
      <c r="W392" s="26"/>
      <c r="X392" s="13"/>
      <c r="AC392" s="117"/>
      <c r="AD392" s="123"/>
      <c r="AE392" s="123"/>
      <c r="AF392" s="123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115"/>
      <c r="AT392" s="115" t="s">
        <v>165</v>
      </c>
      <c r="AU392" s="13">
        <f>SUBTOTAL(3,AU382:AU388)</f>
        <v>3</v>
      </c>
      <c r="AV392" s="13">
        <f>SUBTOTAL(3,AV382:AV388)</f>
        <v>3</v>
      </c>
      <c r="AY392" s="114"/>
    </row>
    <row r="393" spans="1:51" ht="19.5" x14ac:dyDescent="0.4">
      <c r="A393" s="117"/>
      <c r="B393" s="123"/>
      <c r="C393" s="123"/>
      <c r="D393" s="123"/>
      <c r="W393" s="26"/>
      <c r="X393" s="13"/>
      <c r="AC393" s="117"/>
      <c r="AD393" s="123"/>
      <c r="AE393" s="123"/>
      <c r="AF393" s="123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115"/>
      <c r="AU393" s="25">
        <v>45272</v>
      </c>
      <c r="AV393" s="13" t="s">
        <v>162</v>
      </c>
      <c r="AY393" s="114"/>
    </row>
    <row r="394" spans="1:51" ht="19.5" x14ac:dyDescent="0.4">
      <c r="A394" s="117"/>
      <c r="B394" s="123"/>
      <c r="C394" s="123"/>
      <c r="D394" s="123"/>
      <c r="R394" s="115"/>
      <c r="S394" s="115"/>
      <c r="T394" s="115"/>
      <c r="U394" s="115"/>
      <c r="V394" s="115"/>
      <c r="W394" s="17"/>
      <c r="X394" s="13"/>
      <c r="AC394" s="117"/>
      <c r="AD394" s="123"/>
      <c r="AE394" s="123"/>
      <c r="AF394" s="123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115"/>
      <c r="AT394" s="115"/>
      <c r="AU394" s="25"/>
      <c r="AV394" s="13"/>
      <c r="AY394" s="114"/>
    </row>
    <row r="395" spans="1:51" ht="19.5" x14ac:dyDescent="0.4">
      <c r="A395" s="117"/>
      <c r="B395" s="123"/>
      <c r="C395" s="123"/>
      <c r="D395" s="123"/>
      <c r="W395" s="26"/>
      <c r="X395" s="15"/>
      <c r="AC395" s="117"/>
      <c r="AD395" s="123"/>
      <c r="AE395" s="123"/>
      <c r="AF395" s="123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115"/>
      <c r="AT395" s="115"/>
      <c r="AU395" s="25">
        <v>45272</v>
      </c>
      <c r="AV395" s="13" t="s">
        <v>162</v>
      </c>
      <c r="AY395" s="114"/>
    </row>
    <row r="396" spans="1:51" ht="19.5" x14ac:dyDescent="0.4">
      <c r="A396" s="117"/>
      <c r="B396" s="123"/>
      <c r="C396" s="123"/>
      <c r="D396" s="123"/>
      <c r="R396" s="115"/>
      <c r="S396" s="115"/>
      <c r="T396" s="115"/>
      <c r="U396" s="115"/>
      <c r="V396" s="115"/>
      <c r="W396" s="17"/>
      <c r="X396" s="13"/>
      <c r="AC396" s="117"/>
      <c r="AD396" s="123"/>
      <c r="AE396" s="123"/>
      <c r="AF396" s="123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115"/>
      <c r="AT396" s="115"/>
      <c r="AU396" s="25"/>
      <c r="AV396" s="13"/>
      <c r="AY396" s="114"/>
    </row>
    <row r="397" spans="1:51" ht="19.5" x14ac:dyDescent="0.4">
      <c r="A397" s="117"/>
      <c r="B397" s="123"/>
      <c r="C397" s="123"/>
      <c r="D397" s="123"/>
      <c r="R397" s="115"/>
      <c r="S397" s="115"/>
      <c r="T397" s="115"/>
      <c r="U397" s="115"/>
      <c r="V397" s="115"/>
      <c r="W397" s="17"/>
      <c r="X397" s="13"/>
      <c r="AC397" s="117"/>
      <c r="AD397" s="123"/>
      <c r="AE397" s="123"/>
      <c r="AF397" s="123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115"/>
      <c r="AU397" s="25"/>
      <c r="AV397" s="13"/>
      <c r="AY397" s="114"/>
    </row>
    <row r="398" spans="1:51" ht="19.5" x14ac:dyDescent="0.4">
      <c r="A398" s="117"/>
      <c r="B398" s="123"/>
      <c r="C398" s="123"/>
      <c r="D398" s="123"/>
      <c r="W398" s="26"/>
      <c r="X398" s="13"/>
      <c r="AC398" s="117"/>
      <c r="AD398" s="123"/>
      <c r="AE398" s="123"/>
      <c r="AF398" s="123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115"/>
      <c r="AT398" s="115"/>
      <c r="AU398" s="25">
        <v>45272</v>
      </c>
      <c r="AV398" s="13" t="s">
        <v>162</v>
      </c>
      <c r="AY398" s="114"/>
    </row>
    <row r="399" spans="1:51" ht="19.5" x14ac:dyDescent="0.4">
      <c r="A399" s="125"/>
      <c r="B399" s="126"/>
      <c r="C399" s="126"/>
      <c r="D399" s="126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26"/>
      <c r="X399" s="13"/>
      <c r="AC399" s="117"/>
      <c r="AD399" s="123"/>
      <c r="AE399" s="123"/>
      <c r="AF399" s="123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115"/>
      <c r="AT399" s="115"/>
      <c r="AU399" s="25"/>
      <c r="AV399" s="13"/>
      <c r="AY399" s="114"/>
    </row>
    <row r="400" spans="1:51" ht="19.5" x14ac:dyDescent="0.4">
      <c r="A400" s="125"/>
      <c r="B400" s="126"/>
      <c r="C400" s="126"/>
      <c r="D400" s="126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26"/>
      <c r="X400" s="13"/>
      <c r="AC400" s="117"/>
      <c r="AD400" s="123"/>
      <c r="AE400" s="123"/>
      <c r="AF400" s="123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115"/>
      <c r="AT400" s="115"/>
      <c r="AU400" s="25"/>
      <c r="AV400" s="13"/>
      <c r="AY400" s="114"/>
    </row>
    <row r="401" spans="1:51" ht="19.5" x14ac:dyDescent="0.4">
      <c r="A401" s="125"/>
      <c r="B401" s="126"/>
      <c r="C401" s="126"/>
      <c r="D401" s="126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7"/>
      <c r="X401" s="13"/>
      <c r="AC401" s="117"/>
      <c r="AD401" s="123"/>
      <c r="AE401" s="123"/>
      <c r="AF401" s="123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115"/>
      <c r="AT401" s="115"/>
      <c r="AU401" s="25"/>
      <c r="AV401" s="13"/>
      <c r="AY401" s="114"/>
    </row>
    <row r="402" spans="1:51" ht="19.5" x14ac:dyDescent="0.4">
      <c r="A402" s="125"/>
      <c r="B402" s="126"/>
      <c r="C402" s="126"/>
      <c r="D402" s="126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26"/>
      <c r="X402" s="13"/>
      <c r="AC402" s="117"/>
      <c r="AD402" s="123"/>
      <c r="AE402" s="123"/>
      <c r="AF402" s="123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115"/>
      <c r="AT402" s="115"/>
      <c r="AU402" s="25"/>
      <c r="AV402" s="13"/>
      <c r="AY402" s="114"/>
    </row>
    <row r="403" spans="1:51" ht="19.5" x14ac:dyDescent="0.4">
      <c r="W403" s="26"/>
      <c r="X403" s="13"/>
      <c r="AC403" s="117"/>
      <c r="AD403" s="123"/>
      <c r="AE403" s="123"/>
      <c r="AF403" s="123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115"/>
      <c r="AU403" s="25">
        <v>45272</v>
      </c>
      <c r="AV403" s="13" t="s">
        <v>162</v>
      </c>
      <c r="AY403" s="114"/>
    </row>
    <row r="404" spans="1:51" ht="19.5" x14ac:dyDescent="0.4">
      <c r="W404" s="26"/>
      <c r="X404" s="13"/>
      <c r="AC404" s="117"/>
      <c r="AD404" s="123"/>
      <c r="AE404" s="123"/>
      <c r="AF404" s="123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115"/>
      <c r="AU404" s="25"/>
      <c r="AV404" s="13"/>
      <c r="AY404" s="114"/>
    </row>
    <row r="405" spans="1:51" ht="19.5" x14ac:dyDescent="0.4"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26"/>
      <c r="X405" s="25"/>
      <c r="AC405" s="117"/>
      <c r="AD405" s="123"/>
      <c r="AE405" s="123"/>
      <c r="AF405" s="123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115"/>
      <c r="AT405" s="115"/>
      <c r="AU405" s="25"/>
      <c r="AV405" s="13"/>
      <c r="AY405" s="114"/>
    </row>
    <row r="406" spans="1:51" ht="19.5" x14ac:dyDescent="0.4">
      <c r="W406" s="26"/>
      <c r="X406" s="25"/>
      <c r="AC406" s="117"/>
      <c r="AD406" s="123"/>
      <c r="AE406" s="123"/>
      <c r="AF406" s="123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115"/>
      <c r="AU406" s="25">
        <v>45272</v>
      </c>
      <c r="AV406" s="13" t="s">
        <v>162</v>
      </c>
      <c r="AY406" s="114"/>
    </row>
    <row r="407" spans="1:51" ht="19.5" x14ac:dyDescent="0.4">
      <c r="W407" s="26"/>
      <c r="X407" s="13"/>
      <c r="AC407" s="117"/>
      <c r="AD407" s="123"/>
      <c r="AE407" s="123"/>
      <c r="AF407" s="123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115"/>
      <c r="AU407" s="25">
        <v>45272</v>
      </c>
      <c r="AV407" s="15" t="s">
        <v>162</v>
      </c>
      <c r="AY407" s="114"/>
    </row>
    <row r="408" spans="1:51" ht="19.5" x14ac:dyDescent="0.4">
      <c r="W408" s="26"/>
      <c r="X408" s="13"/>
      <c r="AC408" s="117"/>
      <c r="AD408" s="123"/>
      <c r="AE408" s="123"/>
      <c r="AF408" s="123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115"/>
      <c r="AT408" s="115"/>
      <c r="AU408" s="25">
        <v>45272</v>
      </c>
      <c r="AV408" s="15" t="s">
        <v>162</v>
      </c>
      <c r="AY408" s="114"/>
    </row>
    <row r="409" spans="1:51" ht="19.5" x14ac:dyDescent="0.4"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26"/>
      <c r="X409" s="13"/>
      <c r="AC409" s="117"/>
      <c r="AD409" s="123"/>
      <c r="AE409" s="123"/>
      <c r="AF409" s="123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115"/>
      <c r="AT409" s="115"/>
      <c r="AU409" s="25"/>
      <c r="AV409" s="15"/>
      <c r="AY409" s="114"/>
    </row>
    <row r="410" spans="1:51" ht="19.5" x14ac:dyDescent="0.4"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7"/>
      <c r="X410" s="13"/>
      <c r="AC410" s="117"/>
      <c r="AD410" s="123"/>
      <c r="AE410" s="123"/>
      <c r="AF410" s="123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115"/>
      <c r="AU410" s="25"/>
      <c r="AV410" s="15"/>
      <c r="AY410" s="114"/>
    </row>
    <row r="411" spans="1:51" ht="19.5" x14ac:dyDescent="0.4">
      <c r="W411" s="26"/>
      <c r="X411" s="13"/>
      <c r="AC411" s="117"/>
      <c r="AD411" s="123"/>
      <c r="AE411" s="123"/>
      <c r="AF411" s="123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115"/>
      <c r="AU411" s="25">
        <v>45272</v>
      </c>
      <c r="AV411" s="15" t="s">
        <v>162</v>
      </c>
      <c r="AY411" s="114"/>
    </row>
    <row r="412" spans="1:51" ht="19.5" x14ac:dyDescent="0.4"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26"/>
      <c r="X412" s="13"/>
      <c r="AC412" s="117"/>
      <c r="AD412" s="123"/>
      <c r="AE412" s="123"/>
      <c r="AF412" s="123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15"/>
      <c r="AT412" s="115"/>
      <c r="AU412" s="25"/>
      <c r="AV412" s="15"/>
      <c r="AY412" s="114"/>
    </row>
    <row r="413" spans="1:51" ht="19.5" x14ac:dyDescent="0.4"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26"/>
      <c r="X413" s="13"/>
      <c r="AC413" s="117"/>
      <c r="AD413" s="123"/>
      <c r="AE413" s="123"/>
      <c r="AF413" s="123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15"/>
      <c r="AT413" s="115"/>
      <c r="AU413" s="25"/>
      <c r="AV413" s="15"/>
      <c r="AY413" s="114"/>
    </row>
    <row r="414" spans="1:51" ht="19.5" x14ac:dyDescent="0.4"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7"/>
      <c r="X414" s="13"/>
      <c r="AC414" s="117"/>
      <c r="AD414" s="123"/>
      <c r="AE414" s="123"/>
      <c r="AF414" s="123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15"/>
      <c r="AT414" s="115"/>
      <c r="AU414" s="25"/>
      <c r="AV414" s="15"/>
      <c r="AY414" s="114"/>
    </row>
    <row r="415" spans="1:51" ht="19.5" x14ac:dyDescent="0.4"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26"/>
      <c r="X415" s="13"/>
      <c r="AC415" s="117"/>
      <c r="AD415" s="123"/>
      <c r="AE415" s="123"/>
      <c r="AF415" s="123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25"/>
      <c r="AV415" s="15"/>
      <c r="AY415" s="114"/>
    </row>
    <row r="416" spans="1:51" ht="19.5" x14ac:dyDescent="0.4"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7"/>
      <c r="X416" s="13"/>
      <c r="AC416" s="117"/>
      <c r="AD416" s="123"/>
      <c r="AE416" s="123"/>
      <c r="AF416" s="123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15"/>
      <c r="AT416" s="115"/>
      <c r="AU416" s="25"/>
      <c r="AV416" s="15"/>
      <c r="AY416" s="114"/>
    </row>
    <row r="417" spans="6:51" ht="19.5" x14ac:dyDescent="0.4"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26"/>
      <c r="X417" s="13"/>
      <c r="AC417" s="117"/>
      <c r="AD417" s="123"/>
      <c r="AE417" s="123"/>
      <c r="AF417" s="123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115"/>
      <c r="AU417" s="25"/>
      <c r="AV417" s="15"/>
      <c r="AY417" s="114"/>
    </row>
    <row r="418" spans="6:51" ht="19.5" x14ac:dyDescent="0.4">
      <c r="W418" s="26"/>
      <c r="X418" s="13"/>
      <c r="AC418" s="117"/>
      <c r="AD418" s="123"/>
      <c r="AE418" s="123"/>
      <c r="AF418" s="123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25">
        <v>45272</v>
      </c>
      <c r="AV418" s="15" t="s">
        <v>162</v>
      </c>
      <c r="AY418" s="114"/>
    </row>
    <row r="419" spans="6:51" ht="19.5" x14ac:dyDescent="0.4">
      <c r="P419" s="115"/>
      <c r="Q419" s="115"/>
      <c r="R419" s="115"/>
      <c r="S419" s="115"/>
      <c r="T419" s="115"/>
      <c r="U419" s="115"/>
      <c r="V419" s="115"/>
      <c r="W419" s="26"/>
      <c r="X419" s="13"/>
      <c r="AC419" s="117"/>
      <c r="AD419" s="123"/>
      <c r="AE419" s="123"/>
      <c r="AF419" s="123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25"/>
      <c r="AV419" s="15"/>
      <c r="AY419" s="114"/>
    </row>
    <row r="420" spans="6:51" ht="19.5" x14ac:dyDescent="0.4">
      <c r="P420" s="115"/>
      <c r="Q420" s="115"/>
      <c r="R420" s="115"/>
      <c r="S420" s="115"/>
      <c r="T420" s="115"/>
      <c r="U420" s="115"/>
      <c r="V420" s="115"/>
      <c r="W420" s="17"/>
      <c r="X420" s="13"/>
      <c r="AC420" s="117"/>
      <c r="AD420" s="123"/>
      <c r="AE420" s="123"/>
      <c r="AF420" s="123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115"/>
      <c r="AT420" s="115"/>
      <c r="AU420" s="25"/>
      <c r="AV420" s="15"/>
      <c r="AY420" s="114"/>
    </row>
    <row r="421" spans="6:51" ht="19.5" x14ac:dyDescent="0.4"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26"/>
      <c r="X421" s="13"/>
      <c r="AC421" s="117"/>
      <c r="AD421" s="123"/>
      <c r="AE421" s="123"/>
      <c r="AF421" s="123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25"/>
      <c r="AV421" s="15"/>
      <c r="AY421" s="114"/>
    </row>
    <row r="422" spans="6:51" ht="19.5" x14ac:dyDescent="0.4"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7"/>
      <c r="X422" s="13"/>
      <c r="AC422" s="117"/>
      <c r="AD422" s="123"/>
      <c r="AE422" s="123"/>
      <c r="AF422" s="123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25"/>
      <c r="AV422" s="15"/>
      <c r="AY422" s="114"/>
    </row>
    <row r="423" spans="6:51" ht="19.5" x14ac:dyDescent="0.4"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26"/>
      <c r="X423" s="25"/>
      <c r="AC423" s="117"/>
      <c r="AD423" s="123"/>
      <c r="AE423" s="123"/>
      <c r="AF423" s="123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115"/>
      <c r="AT423" s="115"/>
      <c r="AU423" s="25"/>
      <c r="AV423" s="15"/>
      <c r="AY423" s="114"/>
    </row>
    <row r="424" spans="6:51" ht="19.5" x14ac:dyDescent="0.4"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7"/>
      <c r="X424" s="13"/>
      <c r="AC424" s="117"/>
      <c r="AD424" s="123"/>
      <c r="AE424" s="123"/>
      <c r="AF424" s="123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115"/>
      <c r="AT424" s="115"/>
      <c r="AU424" s="25"/>
      <c r="AV424" s="15"/>
      <c r="AY424" s="114"/>
    </row>
    <row r="425" spans="6:51" ht="19.5" x14ac:dyDescent="0.4"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26"/>
      <c r="X425" s="13"/>
      <c r="AC425" s="117"/>
      <c r="AD425" s="123"/>
      <c r="AE425" s="123"/>
      <c r="AF425" s="123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25"/>
      <c r="AV425" s="15"/>
      <c r="AY425" s="114"/>
    </row>
    <row r="426" spans="6:51" ht="19.5" x14ac:dyDescent="0.4">
      <c r="W426" s="26"/>
      <c r="X426" s="13"/>
      <c r="AC426" s="117"/>
      <c r="AD426" s="123"/>
      <c r="AE426" s="123"/>
      <c r="AF426" s="123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15"/>
      <c r="AU426" s="25">
        <v>45272</v>
      </c>
      <c r="AV426" s="15" t="s">
        <v>162</v>
      </c>
      <c r="AY426" s="114"/>
    </row>
    <row r="427" spans="6:51" ht="19.5" x14ac:dyDescent="0.4">
      <c r="Q427" s="115"/>
      <c r="R427" s="115"/>
      <c r="S427" s="115"/>
      <c r="T427" s="115"/>
      <c r="U427" s="115"/>
      <c r="V427" s="115"/>
      <c r="W427" s="17"/>
      <c r="X427" s="13"/>
      <c r="AC427" s="117"/>
      <c r="AD427" s="123"/>
      <c r="AE427" s="123"/>
      <c r="AF427" s="123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25"/>
      <c r="AV427" s="15"/>
      <c r="AY427" s="114"/>
    </row>
    <row r="428" spans="6:51" ht="19.5" x14ac:dyDescent="0.4">
      <c r="P428" s="115"/>
      <c r="Q428" s="115"/>
      <c r="R428" s="115"/>
      <c r="S428" s="115"/>
      <c r="T428" s="115"/>
      <c r="U428" s="115"/>
      <c r="V428" s="115"/>
      <c r="W428" s="26"/>
      <c r="X428" s="13"/>
      <c r="AC428" s="117"/>
      <c r="AD428" s="123"/>
      <c r="AE428" s="123"/>
      <c r="AF428" s="123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15"/>
      <c r="AU428" s="25"/>
      <c r="AV428" s="15"/>
      <c r="AY428" s="114"/>
    </row>
    <row r="429" spans="6:51" ht="19.5" x14ac:dyDescent="0.4">
      <c r="P429" s="115"/>
      <c r="Q429" s="115"/>
      <c r="R429" s="115"/>
      <c r="S429" s="115"/>
      <c r="T429" s="115"/>
      <c r="U429" s="115"/>
      <c r="V429" s="115"/>
      <c r="W429" s="17"/>
      <c r="X429" s="13"/>
      <c r="AC429" s="117"/>
      <c r="AD429" s="123"/>
      <c r="AE429" s="123"/>
      <c r="AF429" s="123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15"/>
      <c r="AU429" s="25"/>
      <c r="AV429" s="15"/>
      <c r="AY429" s="114"/>
    </row>
    <row r="430" spans="6:51" ht="19.5" x14ac:dyDescent="0.4">
      <c r="P430" s="115"/>
      <c r="Q430" s="115"/>
      <c r="R430" s="115"/>
      <c r="S430" s="115"/>
      <c r="T430" s="115"/>
      <c r="U430" s="115"/>
      <c r="V430" s="115"/>
      <c r="W430" s="17"/>
      <c r="X430" s="13"/>
      <c r="AC430" s="117"/>
      <c r="AD430" s="123"/>
      <c r="AE430" s="123"/>
      <c r="AF430" s="123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15"/>
      <c r="AU430" s="25"/>
      <c r="AV430" s="15"/>
      <c r="AY430" s="114"/>
    </row>
    <row r="431" spans="6:51" ht="19.5" x14ac:dyDescent="0.4"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26"/>
      <c r="X431" s="13"/>
      <c r="AC431" s="117"/>
      <c r="AD431" s="123"/>
      <c r="AE431" s="123"/>
      <c r="AF431" s="123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15"/>
      <c r="AU431" s="25"/>
      <c r="AV431" s="15"/>
      <c r="AY431" s="114"/>
    </row>
    <row r="432" spans="6:51" ht="19.5" x14ac:dyDescent="0.4"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20"/>
      <c r="X432" s="13"/>
      <c r="AC432" s="117"/>
      <c r="AD432" s="123"/>
      <c r="AE432" s="123"/>
      <c r="AF432" s="123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25"/>
      <c r="AV432" s="15"/>
      <c r="AY432" s="114"/>
    </row>
    <row r="433" spans="6:51" ht="19.5" x14ac:dyDescent="0.4"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20"/>
      <c r="X433" s="13"/>
      <c r="AC433" s="117"/>
      <c r="AD433" s="123"/>
      <c r="AE433" s="123"/>
      <c r="AF433" s="123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115"/>
      <c r="AU433" s="25"/>
      <c r="AV433" s="15"/>
      <c r="AY433" s="114"/>
    </row>
    <row r="434" spans="6:51" ht="19.5" x14ac:dyDescent="0.4"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25"/>
      <c r="X434" s="15"/>
      <c r="AC434" s="117"/>
      <c r="AD434" s="123"/>
      <c r="AE434" s="123"/>
      <c r="AF434" s="123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15"/>
      <c r="AU434" s="25"/>
      <c r="AV434" s="15"/>
      <c r="AY434" s="114"/>
    </row>
    <row r="435" spans="6:51" ht="19.5" x14ac:dyDescent="0.4"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25"/>
      <c r="X435" s="15"/>
      <c r="AC435" s="117"/>
      <c r="AD435" s="123"/>
      <c r="AE435" s="123"/>
      <c r="AF435" s="123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15"/>
      <c r="AU435" s="25"/>
      <c r="AV435" s="15"/>
      <c r="AY435" s="114"/>
    </row>
    <row r="436" spans="6:51" ht="19.5" x14ac:dyDescent="0.4"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25"/>
      <c r="X436" s="15"/>
      <c r="AC436" s="117"/>
      <c r="AD436" s="123"/>
      <c r="AE436" s="123"/>
      <c r="AF436" s="123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15"/>
      <c r="AU436" s="25"/>
      <c r="AV436" s="15"/>
      <c r="AY436" s="114"/>
    </row>
    <row r="437" spans="6:51" ht="19.5" x14ac:dyDescent="0.4">
      <c r="W437" s="26"/>
      <c r="X437" s="15"/>
      <c r="AC437" s="117"/>
      <c r="AD437" s="123"/>
      <c r="AE437" s="123"/>
      <c r="AF437" s="123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15"/>
      <c r="AU437" s="25">
        <v>45272</v>
      </c>
      <c r="AV437" s="15" t="s">
        <v>162</v>
      </c>
      <c r="AY437" s="114"/>
    </row>
    <row r="438" spans="6:51" ht="19.5" x14ac:dyDescent="0.4">
      <c r="W438" s="26"/>
      <c r="X438" s="13"/>
      <c r="AC438" s="117"/>
      <c r="AD438" s="123"/>
      <c r="AE438" s="123"/>
      <c r="AF438" s="123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15"/>
      <c r="AU438" s="25"/>
      <c r="AV438" s="15"/>
      <c r="AY438" s="114"/>
    </row>
    <row r="439" spans="6:51" ht="19.5" x14ac:dyDescent="0.4"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26"/>
      <c r="X439" s="13"/>
      <c r="AC439" s="117"/>
      <c r="AD439" s="123"/>
      <c r="AE439" s="123"/>
      <c r="AF439" s="123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15"/>
      <c r="AU439" s="25"/>
      <c r="AV439" s="15"/>
      <c r="AY439" s="114"/>
    </row>
    <row r="440" spans="6:51" ht="19.5" x14ac:dyDescent="0.4">
      <c r="W440" s="26"/>
      <c r="X440" s="13"/>
      <c r="AC440" s="117"/>
      <c r="AD440" s="123"/>
      <c r="AE440" s="123"/>
      <c r="AF440" s="123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15"/>
      <c r="AU440" s="25">
        <v>45272</v>
      </c>
      <c r="AV440" s="15" t="s">
        <v>162</v>
      </c>
      <c r="AY440" s="114"/>
    </row>
    <row r="441" spans="6:51" ht="19.5" x14ac:dyDescent="0.4">
      <c r="O441" s="115"/>
      <c r="P441" s="115"/>
      <c r="Q441" s="115"/>
      <c r="R441" s="115"/>
      <c r="S441" s="115"/>
      <c r="T441" s="115"/>
      <c r="U441" s="115"/>
      <c r="V441" s="115"/>
      <c r="W441" s="17"/>
      <c r="X441" s="13"/>
      <c r="AC441" s="117"/>
      <c r="AD441" s="123"/>
      <c r="AE441" s="123"/>
      <c r="AF441" s="123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15"/>
      <c r="AU441" s="25"/>
      <c r="AV441" s="15"/>
      <c r="AY441" s="114"/>
    </row>
    <row r="442" spans="6:51" ht="19.5" x14ac:dyDescent="0.4">
      <c r="W442" s="26"/>
      <c r="X442" s="13"/>
      <c r="AC442" s="117"/>
      <c r="AD442" s="123"/>
      <c r="AE442" s="123"/>
      <c r="AF442" s="123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25"/>
      <c r="AV442" s="15"/>
      <c r="AY442" s="114"/>
    </row>
    <row r="443" spans="6:51" ht="19.5" x14ac:dyDescent="0.4"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26"/>
      <c r="X443" s="13"/>
      <c r="AC443" s="117"/>
      <c r="AD443" s="123"/>
      <c r="AE443" s="123"/>
      <c r="AF443" s="123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25"/>
      <c r="AV443" s="15"/>
      <c r="AY443" s="114"/>
    </row>
    <row r="444" spans="6:51" ht="19.5" x14ac:dyDescent="0.4">
      <c r="W444" s="26"/>
      <c r="X444" s="13"/>
      <c r="AC444" s="117"/>
      <c r="AD444" s="123"/>
      <c r="AE444" s="123"/>
      <c r="AF444" s="123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25">
        <v>45272</v>
      </c>
      <c r="AV444" s="15" t="s">
        <v>162</v>
      </c>
      <c r="AY444" s="114"/>
    </row>
    <row r="445" spans="6:51" ht="19.5" x14ac:dyDescent="0.4">
      <c r="W445" s="26"/>
      <c r="X445" s="13"/>
      <c r="AC445" s="117"/>
      <c r="AD445" s="123"/>
      <c r="AE445" s="123"/>
      <c r="AF445" s="123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 t="s">
        <v>166</v>
      </c>
      <c r="AU445" s="13">
        <f>SUBTOTAL(3,AU393:AU444)</f>
        <v>13</v>
      </c>
      <c r="AV445" s="15">
        <f>SUBTOTAL(3,AV393:AV444)</f>
        <v>13</v>
      </c>
      <c r="AY445" s="114"/>
    </row>
    <row r="446" spans="6:51" ht="19.5" x14ac:dyDescent="0.4">
      <c r="O446" s="115"/>
      <c r="P446" s="115"/>
      <c r="Q446" s="115"/>
      <c r="R446" s="115"/>
      <c r="S446" s="115"/>
      <c r="T446" s="115"/>
      <c r="U446" s="115"/>
      <c r="V446" s="115"/>
      <c r="W446" s="17"/>
      <c r="X446" s="13"/>
      <c r="AC446" s="117"/>
      <c r="AD446" s="123"/>
      <c r="AE446" s="123"/>
      <c r="AF446" s="123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3"/>
      <c r="AV446" s="15"/>
      <c r="AY446" s="114"/>
    </row>
    <row r="447" spans="6:51" ht="19.5" x14ac:dyDescent="0.4">
      <c r="W447" s="26"/>
      <c r="X447" s="13"/>
      <c r="AC447" s="117"/>
      <c r="AD447" s="123"/>
      <c r="AE447" s="123"/>
      <c r="AF447" s="123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25">
        <v>45273</v>
      </c>
      <c r="AV447" s="105" t="s">
        <v>164</v>
      </c>
      <c r="AY447" s="114"/>
    </row>
    <row r="448" spans="6:51" ht="19.5" x14ac:dyDescent="0.4">
      <c r="W448" s="26"/>
      <c r="X448" s="13"/>
      <c r="AC448" s="117"/>
      <c r="AD448" s="123"/>
      <c r="AE448" s="123"/>
      <c r="AF448" s="123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25">
        <v>45273</v>
      </c>
      <c r="AV448" s="15" t="s">
        <v>164</v>
      </c>
      <c r="AY448" s="114"/>
    </row>
    <row r="449" spans="12:51" ht="19.5" x14ac:dyDescent="0.4"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26"/>
      <c r="X449" s="13"/>
      <c r="AC449" s="117"/>
      <c r="AD449" s="123"/>
      <c r="AE449" s="123"/>
      <c r="AF449" s="123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25"/>
      <c r="AV449" s="13"/>
      <c r="AY449" s="114"/>
    </row>
    <row r="450" spans="12:51" ht="19.5" x14ac:dyDescent="0.4">
      <c r="W450" s="26"/>
      <c r="X450" s="13"/>
      <c r="AC450" s="117"/>
      <c r="AD450" s="123"/>
      <c r="AE450" s="123"/>
      <c r="AF450" s="123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25">
        <v>45273</v>
      </c>
      <c r="AV450" s="13" t="s">
        <v>164</v>
      </c>
      <c r="AY450" s="114"/>
    </row>
    <row r="451" spans="12:51" ht="19.5" x14ac:dyDescent="0.4">
      <c r="W451" s="26"/>
      <c r="X451" s="13"/>
      <c r="AC451" s="117"/>
      <c r="AD451" s="123"/>
      <c r="AE451" s="123"/>
      <c r="AF451" s="123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25">
        <v>45273</v>
      </c>
      <c r="AV451" s="15" t="s">
        <v>164</v>
      </c>
      <c r="AY451" s="114"/>
    </row>
    <row r="452" spans="12:51" ht="19.5" x14ac:dyDescent="0.4">
      <c r="W452" s="26"/>
      <c r="X452" s="13"/>
      <c r="AC452" s="117"/>
      <c r="AD452" s="123"/>
      <c r="AE452" s="123"/>
      <c r="AF452" s="123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25">
        <v>45273</v>
      </c>
      <c r="AV452" s="15" t="s">
        <v>162</v>
      </c>
      <c r="AY452" s="114"/>
    </row>
    <row r="453" spans="12:51" ht="19.5" x14ac:dyDescent="0.4">
      <c r="N453" s="115"/>
      <c r="O453" s="115"/>
      <c r="P453" s="115"/>
      <c r="Q453" s="115"/>
      <c r="R453" s="115"/>
      <c r="S453" s="115"/>
      <c r="T453" s="115"/>
      <c r="U453" s="115"/>
      <c r="V453" s="115"/>
      <c r="W453" s="26"/>
      <c r="X453" s="13"/>
      <c r="AC453" s="117"/>
      <c r="AD453" s="123"/>
      <c r="AE453" s="123"/>
      <c r="AF453" s="123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25"/>
      <c r="AV453" s="15"/>
      <c r="AY453" s="114"/>
    </row>
    <row r="454" spans="12:51" ht="19.5" x14ac:dyDescent="0.4">
      <c r="W454" s="26"/>
      <c r="X454" s="13"/>
      <c r="AC454" s="117"/>
      <c r="AD454" s="123"/>
      <c r="AE454" s="123"/>
      <c r="AF454" s="123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25">
        <v>45273</v>
      </c>
      <c r="AV454" s="15" t="s">
        <v>162</v>
      </c>
      <c r="AY454" s="114"/>
    </row>
    <row r="455" spans="12:51" ht="19.5" x14ac:dyDescent="0.4">
      <c r="W455" s="26"/>
      <c r="X455" s="13"/>
      <c r="AC455" s="117"/>
      <c r="AD455" s="123"/>
      <c r="AE455" s="123"/>
      <c r="AF455" s="123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25">
        <v>45273</v>
      </c>
      <c r="AV455" s="15" t="s">
        <v>162</v>
      </c>
      <c r="AY455" s="114"/>
    </row>
    <row r="456" spans="12:51" ht="19.5" x14ac:dyDescent="0.4">
      <c r="W456" s="26"/>
      <c r="X456" s="13"/>
      <c r="AC456" s="117"/>
      <c r="AD456" s="123"/>
      <c r="AE456" s="123"/>
      <c r="AF456" s="123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25">
        <v>45273</v>
      </c>
      <c r="AV456" s="15" t="s">
        <v>162</v>
      </c>
      <c r="AY456" s="114"/>
    </row>
    <row r="457" spans="12:51" ht="19.5" x14ac:dyDescent="0.4"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26"/>
      <c r="X457" s="13"/>
      <c r="AC457" s="117"/>
      <c r="AD457" s="123"/>
      <c r="AE457" s="123"/>
      <c r="AF457" s="123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25"/>
      <c r="AV457" s="15"/>
      <c r="AY457" s="114"/>
    </row>
    <row r="458" spans="12:51" ht="19.5" x14ac:dyDescent="0.4">
      <c r="W458" s="26"/>
      <c r="X458" s="13"/>
      <c r="AC458" s="117"/>
      <c r="AD458" s="123"/>
      <c r="AE458" s="123"/>
      <c r="AF458" s="123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25">
        <v>45273</v>
      </c>
      <c r="AV458" s="15" t="s">
        <v>162</v>
      </c>
      <c r="AY458" s="114"/>
    </row>
    <row r="459" spans="12:51" ht="19.5" x14ac:dyDescent="0.4">
      <c r="W459" s="26"/>
      <c r="X459" s="13"/>
      <c r="AC459" s="117"/>
      <c r="AD459" s="123"/>
      <c r="AE459" s="123"/>
      <c r="AF459" s="123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25">
        <v>45273</v>
      </c>
      <c r="AV459" s="15" t="s">
        <v>162</v>
      </c>
      <c r="AY459" s="114"/>
    </row>
    <row r="460" spans="12:51" ht="19.5" x14ac:dyDescent="0.4">
      <c r="W460" s="26"/>
      <c r="X460" s="13"/>
      <c r="AC460" s="117"/>
      <c r="AD460" s="123"/>
      <c r="AE460" s="123"/>
      <c r="AF460" s="123"/>
      <c r="AG460" s="115"/>
      <c r="AH460" s="115"/>
      <c r="AI460" s="115"/>
      <c r="AJ460" s="115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25">
        <v>45273</v>
      </c>
      <c r="AV460" s="15" t="s">
        <v>162</v>
      </c>
      <c r="AY460" s="114"/>
    </row>
    <row r="461" spans="12:51" ht="19.5" x14ac:dyDescent="0.4">
      <c r="W461" s="26"/>
      <c r="X461" s="13"/>
      <c r="AC461" s="117"/>
      <c r="AD461" s="123"/>
      <c r="AE461" s="123"/>
      <c r="AF461" s="123"/>
      <c r="AG461" s="115"/>
      <c r="AH461" s="115"/>
      <c r="AI461" s="115"/>
      <c r="AJ461" s="115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25">
        <v>45273</v>
      </c>
      <c r="AV461" s="15" t="s">
        <v>162</v>
      </c>
      <c r="AY461" s="114"/>
    </row>
    <row r="462" spans="12:51" ht="19.5" x14ac:dyDescent="0.4">
      <c r="O462" s="115"/>
      <c r="P462" s="115"/>
      <c r="Q462" s="115"/>
      <c r="R462" s="115"/>
      <c r="S462" s="115"/>
      <c r="T462" s="115"/>
      <c r="U462" s="115"/>
      <c r="V462" s="115"/>
      <c r="W462" s="17"/>
      <c r="X462" s="13"/>
      <c r="AC462" s="117"/>
      <c r="AD462" s="123"/>
      <c r="AE462" s="123"/>
      <c r="AF462" s="123"/>
      <c r="AG462" s="115"/>
      <c r="AH462" s="115"/>
      <c r="AI462" s="115"/>
      <c r="AJ462" s="115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25"/>
      <c r="AV462" s="15"/>
      <c r="AY462" s="114"/>
    </row>
    <row r="463" spans="12:51" ht="19.5" x14ac:dyDescent="0.4">
      <c r="W463" s="26"/>
      <c r="X463" s="13"/>
      <c r="AC463" s="117"/>
      <c r="AD463" s="123"/>
      <c r="AE463" s="123"/>
      <c r="AF463" s="123"/>
      <c r="AG463" s="115"/>
      <c r="AH463" s="115"/>
      <c r="AI463" s="115"/>
      <c r="AJ463" s="115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25">
        <v>45273</v>
      </c>
      <c r="AV463" s="15" t="s">
        <v>162</v>
      </c>
      <c r="AY463" s="114"/>
    </row>
    <row r="464" spans="12:51" ht="19.5" x14ac:dyDescent="0.4">
      <c r="O464" s="115"/>
      <c r="P464" s="115"/>
      <c r="Q464" s="115"/>
      <c r="R464" s="115"/>
      <c r="S464" s="115"/>
      <c r="T464" s="115"/>
      <c r="U464" s="115"/>
      <c r="V464" s="115"/>
      <c r="W464" s="17"/>
      <c r="X464" s="13"/>
      <c r="AC464" s="117"/>
      <c r="AD464" s="123"/>
      <c r="AE464" s="123"/>
      <c r="AF464" s="123"/>
      <c r="AG464" s="115"/>
      <c r="AH464" s="115"/>
      <c r="AI464" s="115"/>
      <c r="AJ464" s="115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25"/>
      <c r="AV464" s="15"/>
      <c r="AY464" s="114"/>
    </row>
    <row r="465" spans="6:51" ht="19.5" x14ac:dyDescent="0.4">
      <c r="W465" s="26"/>
      <c r="X465" s="13"/>
      <c r="AC465" s="117"/>
      <c r="AD465" s="123"/>
      <c r="AE465" s="123"/>
      <c r="AF465" s="123"/>
      <c r="AG465" s="115"/>
      <c r="AH465" s="115"/>
      <c r="AI465" s="115"/>
      <c r="AJ465" s="115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25">
        <v>45273</v>
      </c>
      <c r="AV465" s="15" t="s">
        <v>162</v>
      </c>
      <c r="AY465" s="114"/>
    </row>
    <row r="466" spans="6:51" ht="19.5" x14ac:dyDescent="0.4">
      <c r="W466" s="26"/>
      <c r="X466" s="13"/>
      <c r="AC466" s="117"/>
      <c r="AD466" s="123"/>
      <c r="AE466" s="123"/>
      <c r="AF466" s="123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25">
        <v>45273</v>
      </c>
      <c r="AV466" s="13" t="s">
        <v>162</v>
      </c>
      <c r="AY466" s="114"/>
    </row>
    <row r="467" spans="6:51" ht="19.5" x14ac:dyDescent="0.4">
      <c r="W467" s="26"/>
      <c r="X467" s="13"/>
      <c r="AC467" s="117"/>
      <c r="AD467" s="123"/>
      <c r="AE467" s="123"/>
      <c r="AF467" s="123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25">
        <v>45273</v>
      </c>
      <c r="AV467" s="15" t="s">
        <v>162</v>
      </c>
      <c r="AY467" s="114"/>
    </row>
    <row r="468" spans="6:51" ht="19.5" x14ac:dyDescent="0.4">
      <c r="W468" s="26"/>
      <c r="X468" s="13"/>
      <c r="AC468" s="117"/>
      <c r="AD468" s="123"/>
      <c r="AE468" s="123"/>
      <c r="AF468" s="123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25">
        <v>45273</v>
      </c>
      <c r="AV468" s="15" t="s">
        <v>162</v>
      </c>
      <c r="AY468" s="114"/>
    </row>
    <row r="469" spans="6:51" ht="19.5" x14ac:dyDescent="0.4"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26"/>
      <c r="X469" s="25"/>
      <c r="AC469" s="117"/>
      <c r="AD469" s="123"/>
      <c r="AE469" s="123"/>
      <c r="AF469" s="123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25"/>
      <c r="AV469" s="15"/>
      <c r="AY469" s="114"/>
    </row>
    <row r="470" spans="6:51" ht="19.5" x14ac:dyDescent="0.4">
      <c r="W470" s="26"/>
      <c r="X470" s="25"/>
      <c r="AC470" s="117"/>
      <c r="AD470" s="123"/>
      <c r="AE470" s="123"/>
      <c r="AF470" s="123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25">
        <v>45273</v>
      </c>
      <c r="AV470" s="15" t="s">
        <v>162</v>
      </c>
      <c r="AY470" s="114"/>
    </row>
    <row r="471" spans="6:51" ht="19.5" x14ac:dyDescent="0.4">
      <c r="W471" s="26"/>
      <c r="X471" s="13"/>
      <c r="AC471" s="117"/>
      <c r="AD471" s="123"/>
      <c r="AE471" s="123"/>
      <c r="AF471" s="123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25">
        <v>45273</v>
      </c>
      <c r="AV471" s="15" t="s">
        <v>162</v>
      </c>
      <c r="AY471" s="114"/>
    </row>
    <row r="472" spans="6:51" ht="19.5" x14ac:dyDescent="0.4"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26"/>
      <c r="X472" s="13"/>
      <c r="AC472" s="117"/>
      <c r="AD472" s="123"/>
      <c r="AE472" s="123"/>
      <c r="AF472" s="123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25"/>
      <c r="AV472" s="15"/>
      <c r="AY472" s="114"/>
    </row>
    <row r="473" spans="6:51" ht="19.5" x14ac:dyDescent="0.4"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26"/>
      <c r="X473" s="13"/>
      <c r="AC473" s="117"/>
      <c r="AD473" s="123"/>
      <c r="AE473" s="123"/>
      <c r="AF473" s="123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25"/>
      <c r="AV473" s="15"/>
      <c r="AY473" s="114"/>
    </row>
    <row r="474" spans="6:51" ht="19.5" x14ac:dyDescent="0.4">
      <c r="W474" s="26"/>
      <c r="X474" s="13"/>
      <c r="AC474" s="117"/>
      <c r="AD474" s="123"/>
      <c r="AE474" s="123"/>
      <c r="AF474" s="123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25">
        <v>45273</v>
      </c>
      <c r="AV474" s="15" t="s">
        <v>162</v>
      </c>
      <c r="AY474" s="114"/>
    </row>
    <row r="475" spans="6:51" ht="19.5" x14ac:dyDescent="0.4">
      <c r="W475" s="26"/>
      <c r="X475" s="13"/>
      <c r="AC475" s="117"/>
      <c r="AD475" s="123"/>
      <c r="AE475" s="123"/>
      <c r="AF475" s="123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25">
        <v>45273</v>
      </c>
      <c r="AV475" s="15" t="s">
        <v>162</v>
      </c>
      <c r="AY475" s="114"/>
    </row>
    <row r="476" spans="6:51" ht="19.5" x14ac:dyDescent="0.4">
      <c r="W476" s="26"/>
      <c r="X476" s="13"/>
      <c r="AC476" s="117"/>
      <c r="AD476" s="123"/>
      <c r="AE476" s="123"/>
      <c r="AF476" s="123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25">
        <v>45273</v>
      </c>
      <c r="AV476" s="13" t="s">
        <v>163</v>
      </c>
      <c r="AY476" s="114"/>
    </row>
    <row r="477" spans="6:51" ht="19.5" x14ac:dyDescent="0.4">
      <c r="W477" s="26"/>
      <c r="X477" s="13"/>
      <c r="AC477" s="117"/>
      <c r="AD477" s="123"/>
      <c r="AE477" s="123"/>
      <c r="AF477" s="123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25"/>
      <c r="AV477" s="13"/>
      <c r="AY477" s="114"/>
    </row>
    <row r="478" spans="6:51" ht="19.5" x14ac:dyDescent="0.4">
      <c r="W478" s="26"/>
      <c r="X478" s="13"/>
      <c r="AC478" s="117"/>
      <c r="AD478" s="123"/>
      <c r="AE478" s="123"/>
      <c r="AF478" s="123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 t="s">
        <v>152</v>
      </c>
      <c r="AU478" s="13">
        <f>SUBTOTAL(3,AU447:AU476)</f>
        <v>22</v>
      </c>
      <c r="AV478" s="13">
        <f>SUBTOTAL(3,AV447:AV476)</f>
        <v>22</v>
      </c>
      <c r="AY478" s="114"/>
    </row>
    <row r="479" spans="6:51" ht="19.5" x14ac:dyDescent="0.4">
      <c r="W479" s="26"/>
      <c r="X479" s="13"/>
      <c r="AC479" s="117"/>
      <c r="AD479" s="123"/>
      <c r="AE479" s="123"/>
      <c r="AF479" s="123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25">
        <v>45274</v>
      </c>
      <c r="AV479" s="15" t="s">
        <v>162</v>
      </c>
      <c r="AY479" s="114"/>
    </row>
    <row r="480" spans="6:51" ht="19.5" x14ac:dyDescent="0.4"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26"/>
      <c r="X480" s="13"/>
      <c r="AC480" s="117"/>
      <c r="AD480" s="123"/>
      <c r="AE480" s="123"/>
      <c r="AF480" s="123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25"/>
      <c r="AV480" s="15"/>
      <c r="AY480" s="114"/>
    </row>
    <row r="481" spans="6:51" ht="19.5" x14ac:dyDescent="0.4"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26"/>
      <c r="X481" s="13"/>
      <c r="AC481" s="117"/>
      <c r="AD481" s="123"/>
      <c r="AE481" s="123"/>
      <c r="AF481" s="123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25"/>
      <c r="AV481" s="15"/>
      <c r="AY481" s="114"/>
    </row>
    <row r="482" spans="6:51" ht="19.5" x14ac:dyDescent="0.4">
      <c r="W482" s="26"/>
      <c r="X482" s="13"/>
      <c r="AC482" s="117"/>
      <c r="AD482" s="123"/>
      <c r="AE482" s="123"/>
      <c r="AF482" s="123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25">
        <v>45274</v>
      </c>
      <c r="AV482" s="15" t="s">
        <v>162</v>
      </c>
      <c r="AY482" s="114"/>
    </row>
    <row r="483" spans="6:51" ht="19.5" x14ac:dyDescent="0.4">
      <c r="N483" s="115"/>
      <c r="O483" s="115"/>
      <c r="P483" s="115"/>
      <c r="Q483" s="115"/>
      <c r="R483" s="115"/>
      <c r="S483" s="115"/>
      <c r="T483" s="115"/>
      <c r="U483" s="115"/>
      <c r="V483" s="115"/>
      <c r="W483" s="26"/>
      <c r="X483" s="13"/>
      <c r="AC483" s="117"/>
      <c r="AD483" s="123"/>
      <c r="AE483" s="123"/>
      <c r="AF483" s="123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25"/>
      <c r="AV483" s="15"/>
      <c r="AY483" s="114"/>
    </row>
    <row r="484" spans="6:51" ht="19.5" x14ac:dyDescent="0.4"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26"/>
      <c r="X484" s="13"/>
      <c r="AC484" s="117"/>
      <c r="AD484" s="123"/>
      <c r="AE484" s="123"/>
      <c r="AF484" s="123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25"/>
      <c r="AV484" s="15"/>
      <c r="AY484" s="114"/>
    </row>
    <row r="485" spans="6:51" ht="19.5" x14ac:dyDescent="0.4"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26"/>
      <c r="X485" s="13"/>
      <c r="AC485" s="117"/>
      <c r="AD485" s="123"/>
      <c r="AE485" s="123"/>
      <c r="AF485" s="123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25"/>
      <c r="AV485" s="15"/>
      <c r="AY485" s="114"/>
    </row>
    <row r="486" spans="6:51" ht="19.5" x14ac:dyDescent="0.4">
      <c r="W486" s="26"/>
      <c r="X486" s="13"/>
      <c r="AC486" s="117"/>
      <c r="AD486" s="123"/>
      <c r="AE486" s="123"/>
      <c r="AF486" s="123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25">
        <v>45274</v>
      </c>
      <c r="AV486" s="15" t="s">
        <v>162</v>
      </c>
      <c r="AY486" s="114"/>
    </row>
    <row r="487" spans="6:51" ht="19.5" x14ac:dyDescent="0.4"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26"/>
      <c r="X487" s="13"/>
      <c r="AC487" s="117"/>
      <c r="AD487" s="123"/>
      <c r="AE487" s="123"/>
      <c r="AF487" s="123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25"/>
      <c r="AV487" s="15"/>
      <c r="AY487" s="114"/>
    </row>
    <row r="488" spans="6:51" ht="19.5" x14ac:dyDescent="0.4">
      <c r="W488" s="26"/>
      <c r="X488" s="13"/>
      <c r="AC488" s="117"/>
      <c r="AD488" s="123"/>
      <c r="AE488" s="123"/>
      <c r="AF488" s="123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25">
        <v>45274</v>
      </c>
      <c r="AV488" s="15" t="s">
        <v>162</v>
      </c>
      <c r="AY488" s="114"/>
    </row>
    <row r="489" spans="6:51" ht="19.5" x14ac:dyDescent="0.4">
      <c r="W489" s="26"/>
      <c r="X489" s="13"/>
      <c r="AC489" s="117"/>
      <c r="AD489" s="123"/>
      <c r="AE489" s="123"/>
      <c r="AF489" s="123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25">
        <v>45274</v>
      </c>
      <c r="AV489" s="15" t="s">
        <v>163</v>
      </c>
      <c r="AY489" s="114"/>
    </row>
    <row r="490" spans="6:51" ht="19.5" x14ac:dyDescent="0.4">
      <c r="O490" s="115"/>
      <c r="P490" s="115"/>
      <c r="Q490" s="115"/>
      <c r="R490" s="115"/>
      <c r="S490" s="115"/>
      <c r="T490" s="115"/>
      <c r="U490" s="115"/>
      <c r="V490" s="115"/>
      <c r="W490" s="17"/>
      <c r="X490" s="13"/>
      <c r="AC490" s="117"/>
      <c r="AD490" s="123"/>
      <c r="AE490" s="123"/>
      <c r="AF490" s="123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25"/>
      <c r="AV490" s="15"/>
      <c r="AY490" s="114"/>
    </row>
    <row r="491" spans="6:51" ht="19.5" x14ac:dyDescent="0.4"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26"/>
      <c r="X491" s="13"/>
      <c r="AC491" s="117"/>
      <c r="AD491" s="123"/>
      <c r="AE491" s="123"/>
      <c r="AF491" s="123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25"/>
      <c r="AV491" s="15"/>
      <c r="AY491" s="114"/>
    </row>
    <row r="492" spans="6:51" ht="19.5" x14ac:dyDescent="0.4">
      <c r="W492" s="26"/>
      <c r="X492" s="25"/>
      <c r="AC492" s="117"/>
      <c r="AD492" s="123"/>
      <c r="AE492" s="123"/>
      <c r="AF492" s="123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 t="s">
        <v>167</v>
      </c>
      <c r="AU492" s="13">
        <f>SUBTOTAL(3,AU479:AU489)</f>
        <v>5</v>
      </c>
      <c r="AV492" s="15">
        <f>SUBTOTAL(3,AV479:AV489)</f>
        <v>5</v>
      </c>
      <c r="AY492" s="114"/>
    </row>
    <row r="493" spans="6:51" ht="19.5" x14ac:dyDescent="0.4"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26"/>
      <c r="X493" s="105"/>
      <c r="AC493" s="117"/>
      <c r="AD493" s="123"/>
      <c r="AE493" s="123"/>
      <c r="AF493" s="123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3"/>
      <c r="AV493" s="15"/>
      <c r="AY493" s="114"/>
    </row>
    <row r="494" spans="6:51" ht="19.5" x14ac:dyDescent="0.4">
      <c r="W494" s="26"/>
      <c r="X494" s="105"/>
      <c r="AC494" s="117"/>
      <c r="AD494" s="123"/>
      <c r="AE494" s="123"/>
      <c r="AF494" s="123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3"/>
      <c r="AV494" s="15"/>
      <c r="AY494" s="114"/>
    </row>
    <row r="495" spans="6:51" ht="19.5" x14ac:dyDescent="0.4">
      <c r="O495" s="115"/>
      <c r="P495" s="115"/>
      <c r="Q495" s="115"/>
      <c r="R495" s="115"/>
      <c r="S495" s="115"/>
      <c r="T495" s="115"/>
      <c r="U495" s="115"/>
      <c r="V495" s="115"/>
      <c r="W495" s="17"/>
      <c r="X495" s="15"/>
      <c r="AC495" s="117"/>
      <c r="AD495" s="123"/>
      <c r="AE495" s="123"/>
      <c r="AF495" s="123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3"/>
      <c r="AV495" s="15"/>
      <c r="AY495" s="114"/>
    </row>
    <row r="496" spans="6:51" ht="19.5" x14ac:dyDescent="0.4"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26"/>
      <c r="X496" s="15"/>
      <c r="AC496" s="117"/>
      <c r="AD496" s="123"/>
      <c r="AE496" s="123"/>
      <c r="AF496" s="123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3"/>
      <c r="AV496" s="15"/>
      <c r="AY496" s="114"/>
    </row>
    <row r="497" spans="6:51" ht="19.5" x14ac:dyDescent="0.4"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26"/>
      <c r="X497" s="15"/>
      <c r="AC497" s="117"/>
      <c r="AD497" s="123"/>
      <c r="AE497" s="123"/>
      <c r="AF497" s="123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3"/>
      <c r="AV497" s="15"/>
      <c r="AY497" s="114"/>
    </row>
    <row r="498" spans="6:51" ht="19.5" x14ac:dyDescent="0.4"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26"/>
      <c r="X498" s="15"/>
      <c r="AC498" s="117"/>
      <c r="AD498" s="123"/>
      <c r="AE498" s="123"/>
      <c r="AF498" s="123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3"/>
      <c r="AV498" s="15"/>
      <c r="AY498" s="114"/>
    </row>
    <row r="499" spans="6:51" ht="19.5" x14ac:dyDescent="0.4"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26"/>
      <c r="X499" s="15"/>
      <c r="AC499" s="117"/>
      <c r="AD499" s="123"/>
      <c r="AE499" s="123"/>
      <c r="AF499" s="123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3"/>
      <c r="AV499" s="15"/>
      <c r="AY499" s="114"/>
    </row>
    <row r="500" spans="6:51" ht="19.5" x14ac:dyDescent="0.4">
      <c r="W500" s="26"/>
      <c r="X500" s="15"/>
      <c r="AC500" s="117"/>
      <c r="AD500" s="123"/>
      <c r="AE500" s="123"/>
      <c r="AF500" s="123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25">
        <v>45275</v>
      </c>
      <c r="AV500" s="15" t="s">
        <v>163</v>
      </c>
      <c r="AY500" s="114"/>
    </row>
    <row r="501" spans="6:51" ht="19.5" x14ac:dyDescent="0.4">
      <c r="W501" s="26"/>
      <c r="X501" s="15"/>
      <c r="AC501" s="117"/>
      <c r="AD501" s="123"/>
      <c r="AE501" s="123"/>
      <c r="AF501" s="123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 t="s">
        <v>168</v>
      </c>
      <c r="AU501" s="13">
        <f>SUBTOTAL(3,AU500:AU500)</f>
        <v>1</v>
      </c>
      <c r="AV501" s="15">
        <f>SUBTOTAL(3,AV500:AV500)</f>
        <v>1</v>
      </c>
      <c r="AY501" s="114"/>
    </row>
    <row r="502" spans="6:51" ht="19.5" x14ac:dyDescent="0.4">
      <c r="W502" s="26"/>
      <c r="X502" s="15"/>
      <c r="AC502" s="117"/>
      <c r="AD502" s="123"/>
      <c r="AE502" s="123"/>
      <c r="AF502" s="123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25">
        <v>45276</v>
      </c>
      <c r="AV502" s="15" t="s">
        <v>164</v>
      </c>
      <c r="AY502" s="114"/>
    </row>
    <row r="503" spans="6:51" ht="19.5" x14ac:dyDescent="0.4">
      <c r="W503" s="26"/>
      <c r="X503" s="15"/>
      <c r="AC503" s="117"/>
      <c r="AD503" s="123"/>
      <c r="AE503" s="123"/>
      <c r="AF503" s="123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25">
        <v>45276</v>
      </c>
      <c r="AV503" s="15" t="s">
        <v>162</v>
      </c>
      <c r="AY503" s="114"/>
    </row>
    <row r="504" spans="6:51" ht="19.5" x14ac:dyDescent="0.4">
      <c r="W504" s="26"/>
      <c r="X504" s="15"/>
      <c r="AC504" s="117"/>
      <c r="AD504" s="123"/>
      <c r="AE504" s="123"/>
      <c r="AF504" s="123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25">
        <v>45276</v>
      </c>
      <c r="AV504" s="15" t="s">
        <v>162</v>
      </c>
      <c r="AY504" s="114"/>
    </row>
    <row r="505" spans="6:51" ht="19.5" x14ac:dyDescent="0.4">
      <c r="W505" s="26"/>
      <c r="X505" s="15"/>
      <c r="AC505" s="117"/>
      <c r="AD505" s="123"/>
      <c r="AE505" s="123"/>
      <c r="AF505" s="123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25">
        <v>45276</v>
      </c>
      <c r="AV505" s="15" t="s">
        <v>162</v>
      </c>
      <c r="AY505" s="114"/>
    </row>
    <row r="506" spans="6:51" ht="19.5" x14ac:dyDescent="0.4">
      <c r="W506" s="26"/>
      <c r="X506" s="15"/>
      <c r="AC506" s="117"/>
      <c r="AD506" s="123"/>
      <c r="AE506" s="123"/>
      <c r="AF506" s="123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25">
        <v>45276</v>
      </c>
      <c r="AV506" s="15" t="s">
        <v>162</v>
      </c>
      <c r="AY506" s="114"/>
    </row>
    <row r="507" spans="6:51" ht="19.5" x14ac:dyDescent="0.4"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26"/>
      <c r="X507" s="15"/>
      <c r="AC507" s="117"/>
      <c r="AD507" s="123"/>
      <c r="AE507" s="123"/>
      <c r="AF507" s="123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25"/>
      <c r="AV507" s="15"/>
      <c r="AY507" s="114"/>
    </row>
    <row r="508" spans="6:51" ht="19.5" x14ac:dyDescent="0.4">
      <c r="W508" s="26"/>
      <c r="X508" s="15"/>
      <c r="AC508" s="117"/>
      <c r="AD508" s="123"/>
      <c r="AE508" s="123"/>
      <c r="AF508" s="123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25">
        <v>45276</v>
      </c>
      <c r="AV508" s="15" t="s">
        <v>162</v>
      </c>
      <c r="AY508" s="114"/>
    </row>
    <row r="509" spans="6:51" ht="19.5" x14ac:dyDescent="0.4">
      <c r="W509" s="26"/>
      <c r="X509" s="15"/>
      <c r="AC509" s="117"/>
      <c r="AD509" s="123"/>
      <c r="AE509" s="123"/>
      <c r="AF509" s="123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25">
        <v>45276</v>
      </c>
      <c r="AV509" s="15" t="s">
        <v>162</v>
      </c>
      <c r="AY509" s="114"/>
    </row>
    <row r="510" spans="6:51" ht="19.5" x14ac:dyDescent="0.4">
      <c r="O510" s="115"/>
      <c r="P510" s="115"/>
      <c r="Q510" s="115"/>
      <c r="R510" s="115"/>
      <c r="S510" s="115"/>
      <c r="T510" s="115"/>
      <c r="U510" s="115"/>
      <c r="V510" s="115"/>
      <c r="W510" s="17"/>
      <c r="X510" s="15"/>
      <c r="AC510" s="117"/>
      <c r="AD510" s="123"/>
      <c r="AE510" s="123"/>
      <c r="AF510" s="123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25"/>
      <c r="AV510" s="15"/>
      <c r="AY510" s="114"/>
    </row>
    <row r="511" spans="6:51" ht="19.5" x14ac:dyDescent="0.4"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26"/>
      <c r="X511" s="15"/>
      <c r="AC511" s="117"/>
      <c r="AD511" s="123"/>
      <c r="AE511" s="123"/>
      <c r="AF511" s="123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25"/>
      <c r="AV511" s="15"/>
      <c r="AY511" s="114"/>
    </row>
    <row r="512" spans="6:51" ht="19.5" x14ac:dyDescent="0.4"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26"/>
      <c r="X512" s="15"/>
      <c r="AC512" s="117"/>
      <c r="AD512" s="123"/>
      <c r="AE512" s="123"/>
      <c r="AF512" s="123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25"/>
      <c r="AV512" s="15"/>
      <c r="AY512" s="114"/>
    </row>
    <row r="513" spans="6:51" ht="19.5" x14ac:dyDescent="0.4"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26"/>
      <c r="X513" s="15"/>
      <c r="AC513" s="117"/>
      <c r="AD513" s="123"/>
      <c r="AE513" s="123"/>
      <c r="AF513" s="123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25"/>
      <c r="AV513" s="15"/>
      <c r="AY513" s="114"/>
    </row>
    <row r="514" spans="6:51" ht="19.5" x14ac:dyDescent="0.4">
      <c r="W514" s="26"/>
      <c r="X514" s="15"/>
      <c r="AB514" s="115"/>
      <c r="AC514" s="117"/>
      <c r="AD514" s="123"/>
      <c r="AE514" s="123"/>
      <c r="AF514" s="123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25">
        <v>45276</v>
      </c>
      <c r="AV514" s="15" t="s">
        <v>162</v>
      </c>
      <c r="AY514" s="114"/>
    </row>
    <row r="515" spans="6:51" ht="19.5" x14ac:dyDescent="0.4">
      <c r="W515" s="26"/>
      <c r="X515" s="15"/>
      <c r="AB515" s="115"/>
      <c r="AC515" s="117"/>
      <c r="AD515" s="123"/>
      <c r="AE515" s="123"/>
      <c r="AF515" s="123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25">
        <v>45276</v>
      </c>
      <c r="AV515" s="15" t="s">
        <v>162</v>
      </c>
      <c r="AY515" s="114"/>
    </row>
    <row r="516" spans="6:51" ht="19.5" x14ac:dyDescent="0.4">
      <c r="W516" s="26"/>
      <c r="X516" s="15"/>
      <c r="AB516" s="115"/>
      <c r="AC516" s="117"/>
      <c r="AD516" s="123"/>
      <c r="AE516" s="123"/>
      <c r="AF516" s="123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25">
        <v>45276</v>
      </c>
      <c r="AV516" s="15" t="s">
        <v>162</v>
      </c>
      <c r="AY516" s="114"/>
    </row>
    <row r="517" spans="6:51" ht="19.5" x14ac:dyDescent="0.4">
      <c r="O517" s="115"/>
      <c r="P517" s="115"/>
      <c r="Q517" s="115"/>
      <c r="R517" s="115"/>
      <c r="S517" s="115"/>
      <c r="T517" s="115"/>
      <c r="U517" s="115"/>
      <c r="V517" s="115"/>
      <c r="W517" s="17"/>
      <c r="X517" s="15"/>
      <c r="AB517" s="115"/>
      <c r="AC517" s="117"/>
      <c r="AD517" s="123"/>
      <c r="AE517" s="123"/>
      <c r="AF517" s="123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25"/>
      <c r="AV517" s="15"/>
      <c r="AY517" s="114"/>
    </row>
    <row r="518" spans="6:51" ht="19.5" x14ac:dyDescent="0.4"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26"/>
      <c r="X518" s="15"/>
      <c r="AB518" s="115"/>
      <c r="AC518" s="117"/>
      <c r="AD518" s="123"/>
      <c r="AE518" s="123"/>
      <c r="AF518" s="123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25"/>
      <c r="AV518" s="15"/>
      <c r="AY518" s="114"/>
    </row>
    <row r="519" spans="6:51" ht="19.5" x14ac:dyDescent="0.4"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7"/>
      <c r="X519" s="15"/>
      <c r="AB519" s="115"/>
      <c r="AC519" s="117"/>
      <c r="AD519" s="123"/>
      <c r="AE519" s="123"/>
      <c r="AF519" s="123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25"/>
      <c r="AV519" s="15"/>
      <c r="AY519" s="114"/>
    </row>
    <row r="520" spans="6:51" ht="19.5" x14ac:dyDescent="0.4">
      <c r="W520" s="26"/>
      <c r="X520" s="15"/>
      <c r="AB520" s="115"/>
      <c r="AC520" s="117"/>
      <c r="AD520" s="123"/>
      <c r="AE520" s="123"/>
      <c r="AF520" s="123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25"/>
      <c r="AV520" s="15"/>
      <c r="AY520" s="114"/>
    </row>
    <row r="521" spans="6:51" ht="19.5" x14ac:dyDescent="0.4"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26"/>
      <c r="X521" s="15"/>
      <c r="AB521" s="115"/>
      <c r="AC521" s="117"/>
      <c r="AD521" s="123"/>
      <c r="AE521" s="123"/>
      <c r="AF521" s="123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25"/>
      <c r="AV521" s="15"/>
      <c r="AY521" s="114"/>
    </row>
    <row r="522" spans="6:51" ht="19.5" x14ac:dyDescent="0.4">
      <c r="W522" s="26"/>
      <c r="X522" s="15"/>
      <c r="AB522" s="115"/>
      <c r="AC522" s="117"/>
      <c r="AD522" s="123"/>
      <c r="AE522" s="123"/>
      <c r="AF522" s="123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25">
        <v>45276</v>
      </c>
      <c r="AV522" s="15" t="s">
        <v>162</v>
      </c>
      <c r="AY522" s="114"/>
    </row>
    <row r="523" spans="6:51" ht="19.5" x14ac:dyDescent="0.4">
      <c r="O523" s="115"/>
      <c r="P523" s="115"/>
      <c r="Q523" s="115"/>
      <c r="R523" s="115"/>
      <c r="S523" s="115"/>
      <c r="T523" s="115"/>
      <c r="U523" s="115"/>
      <c r="V523" s="115"/>
      <c r="W523" s="17"/>
      <c r="X523" s="15"/>
      <c r="AB523" s="115"/>
      <c r="AC523" s="117"/>
      <c r="AD523" s="123"/>
      <c r="AE523" s="123"/>
      <c r="AF523" s="123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25"/>
      <c r="AV523" s="15"/>
      <c r="AY523" s="114"/>
    </row>
    <row r="524" spans="6:51" ht="19.5" x14ac:dyDescent="0.4">
      <c r="W524" s="26"/>
      <c r="X524" s="15"/>
      <c r="AB524" s="115"/>
      <c r="AC524" s="117"/>
      <c r="AD524" s="123"/>
      <c r="AE524" s="123"/>
      <c r="AF524" s="123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25">
        <v>45276</v>
      </c>
      <c r="AV524" s="15" t="s">
        <v>162</v>
      </c>
      <c r="AY524" s="114"/>
    </row>
    <row r="525" spans="6:51" ht="19.5" x14ac:dyDescent="0.4">
      <c r="O525" s="115"/>
      <c r="P525" s="115"/>
      <c r="Q525" s="115"/>
      <c r="R525" s="115"/>
      <c r="S525" s="115"/>
      <c r="T525" s="115"/>
      <c r="U525" s="115"/>
      <c r="V525" s="115"/>
      <c r="W525" s="17"/>
      <c r="X525" s="15"/>
      <c r="AB525" s="115"/>
      <c r="AC525" s="117"/>
      <c r="AD525" s="123"/>
      <c r="AE525" s="123"/>
      <c r="AF525" s="123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25"/>
      <c r="AV525" s="15"/>
      <c r="AY525" s="114"/>
    </row>
    <row r="526" spans="6:51" ht="19.5" x14ac:dyDescent="0.4">
      <c r="N526" s="115"/>
      <c r="O526" s="115"/>
      <c r="P526" s="115"/>
      <c r="Q526" s="115"/>
      <c r="R526" s="115"/>
      <c r="S526" s="115"/>
      <c r="T526" s="115"/>
      <c r="U526" s="115"/>
      <c r="V526" s="115"/>
      <c r="W526" s="26"/>
      <c r="X526" s="15"/>
      <c r="AB526" s="115"/>
      <c r="AC526" s="117"/>
      <c r="AD526" s="123"/>
      <c r="AE526" s="123"/>
      <c r="AF526" s="123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25"/>
      <c r="AV526" s="15"/>
      <c r="AY526" s="114"/>
    </row>
    <row r="527" spans="6:51" ht="19.5" x14ac:dyDescent="0.4">
      <c r="N527" s="115"/>
      <c r="O527" s="115"/>
      <c r="P527" s="115"/>
      <c r="Q527" s="115"/>
      <c r="R527" s="115"/>
      <c r="S527" s="115"/>
      <c r="T527" s="115"/>
      <c r="U527" s="115"/>
      <c r="V527" s="115"/>
      <c r="W527" s="17"/>
      <c r="X527" s="15"/>
      <c r="AB527" s="115"/>
      <c r="AC527" s="117"/>
      <c r="AD527" s="123"/>
      <c r="AE527" s="123"/>
      <c r="AF527" s="123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25"/>
      <c r="AV527" s="15"/>
      <c r="AY527" s="114"/>
    </row>
    <row r="528" spans="6:51" ht="19.5" x14ac:dyDescent="0.4">
      <c r="W528" s="26"/>
      <c r="X528" s="15"/>
      <c r="AB528" s="115"/>
      <c r="AC528" s="117"/>
      <c r="AD528" s="123"/>
      <c r="AE528" s="123"/>
      <c r="AF528" s="123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25">
        <v>45276</v>
      </c>
      <c r="AV528" s="15" t="s">
        <v>162</v>
      </c>
      <c r="AY528" s="114"/>
    </row>
    <row r="529" spans="12:51" ht="19.5" x14ac:dyDescent="0.4">
      <c r="W529" s="26"/>
      <c r="X529" s="15"/>
      <c r="AB529" s="115"/>
      <c r="AC529" s="117"/>
      <c r="AD529" s="123"/>
      <c r="AE529" s="123"/>
      <c r="AF529" s="123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25">
        <v>45276</v>
      </c>
      <c r="AV529" s="15" t="s">
        <v>162</v>
      </c>
      <c r="AY529" s="114"/>
    </row>
    <row r="530" spans="12:51" ht="19.5" x14ac:dyDescent="0.4">
      <c r="W530" s="26"/>
      <c r="X530" s="15"/>
      <c r="AB530" s="115"/>
      <c r="AC530" s="117"/>
      <c r="AD530" s="123"/>
      <c r="AE530" s="123"/>
      <c r="AF530" s="123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25">
        <v>45276</v>
      </c>
      <c r="AV530" s="15" t="s">
        <v>162</v>
      </c>
      <c r="AY530" s="114"/>
    </row>
    <row r="531" spans="12:51" ht="19.5" x14ac:dyDescent="0.4">
      <c r="W531" s="26"/>
      <c r="X531" s="15"/>
      <c r="AB531" s="115"/>
      <c r="AC531" s="117"/>
      <c r="AD531" s="123"/>
      <c r="AE531" s="123"/>
      <c r="AF531" s="123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25"/>
      <c r="AV531" s="15"/>
      <c r="AY531" s="114"/>
    </row>
    <row r="532" spans="12:51" ht="19.5" x14ac:dyDescent="0.4">
      <c r="O532" s="115"/>
      <c r="P532" s="115"/>
      <c r="Q532" s="115"/>
      <c r="R532" s="115"/>
      <c r="S532" s="115"/>
      <c r="T532" s="115"/>
      <c r="U532" s="115"/>
      <c r="V532" s="115"/>
      <c r="W532" s="17"/>
      <c r="X532" s="15"/>
      <c r="AB532" s="115"/>
      <c r="AC532" s="117"/>
      <c r="AD532" s="123"/>
      <c r="AE532" s="123"/>
      <c r="AF532" s="123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25"/>
      <c r="AV532" s="15"/>
      <c r="AY532" s="114"/>
    </row>
    <row r="533" spans="12:51" ht="19.5" x14ac:dyDescent="0.4">
      <c r="W533" s="26"/>
      <c r="X533" s="15"/>
      <c r="AB533" s="115"/>
      <c r="AC533" s="117"/>
      <c r="AD533" s="123"/>
      <c r="AE533" s="123"/>
      <c r="AF533" s="123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25">
        <v>45276</v>
      </c>
      <c r="AV533" s="15" t="s">
        <v>162</v>
      </c>
      <c r="AY533" s="114"/>
    </row>
    <row r="534" spans="12:51" ht="19.5" x14ac:dyDescent="0.4">
      <c r="W534" s="26"/>
      <c r="X534" s="15"/>
      <c r="AB534" s="115"/>
      <c r="AC534" s="117"/>
      <c r="AD534" s="123"/>
      <c r="AE534" s="123"/>
      <c r="AF534" s="123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25">
        <v>45276</v>
      </c>
      <c r="AV534" s="15" t="s">
        <v>162</v>
      </c>
      <c r="AY534" s="114"/>
    </row>
    <row r="535" spans="12:51" ht="19.5" x14ac:dyDescent="0.4">
      <c r="O535" s="115"/>
      <c r="P535" s="115"/>
      <c r="Q535" s="115"/>
      <c r="R535" s="115"/>
      <c r="S535" s="115"/>
      <c r="T535" s="115"/>
      <c r="U535" s="115"/>
      <c r="V535" s="115"/>
      <c r="W535" s="17"/>
      <c r="X535" s="15"/>
      <c r="AB535" s="115"/>
      <c r="AC535" s="117"/>
      <c r="AD535" s="123"/>
      <c r="AE535" s="123"/>
      <c r="AF535" s="123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25"/>
      <c r="AV535" s="15"/>
      <c r="AY535" s="114"/>
    </row>
    <row r="536" spans="12:51" ht="19.5" x14ac:dyDescent="0.4"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26"/>
      <c r="X536" s="15"/>
      <c r="AB536" s="115"/>
      <c r="AC536" s="117"/>
      <c r="AD536" s="123"/>
      <c r="AE536" s="123"/>
      <c r="AF536" s="123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25"/>
      <c r="AV536" s="15"/>
      <c r="AY536" s="114"/>
    </row>
    <row r="537" spans="12:51" ht="19.5" x14ac:dyDescent="0.4"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7"/>
      <c r="X537" s="15"/>
      <c r="AB537" s="115"/>
      <c r="AC537" s="117"/>
      <c r="AD537" s="123"/>
      <c r="AE537" s="123"/>
      <c r="AF537" s="123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25"/>
      <c r="AV537" s="15"/>
      <c r="AY537" s="114"/>
    </row>
    <row r="538" spans="12:51" ht="19.5" x14ac:dyDescent="0.4"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26"/>
      <c r="X538" s="15"/>
      <c r="AB538" s="115"/>
      <c r="AC538" s="117"/>
      <c r="AD538" s="123"/>
      <c r="AE538" s="123"/>
      <c r="AF538" s="123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25"/>
      <c r="AV538" s="15"/>
      <c r="AY538" s="114"/>
    </row>
    <row r="539" spans="12:51" ht="19.5" x14ac:dyDescent="0.4">
      <c r="W539" s="26"/>
      <c r="X539" s="15"/>
      <c r="AB539" s="115"/>
      <c r="AC539" s="117"/>
      <c r="AD539" s="123"/>
      <c r="AE539" s="123"/>
      <c r="AF539" s="123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 t="s">
        <v>169</v>
      </c>
      <c r="AU539" s="13">
        <f>SUBTOTAL(3,AU502:AU534)</f>
        <v>17</v>
      </c>
      <c r="AV539" s="15">
        <f>SUBTOTAL(3,AV502:AV534)</f>
        <v>17</v>
      </c>
      <c r="AY539" s="114"/>
    </row>
    <row r="540" spans="12:51" ht="19.5" x14ac:dyDescent="0.4"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26"/>
      <c r="X540" s="15"/>
      <c r="AB540" s="115"/>
      <c r="AC540" s="117"/>
      <c r="AD540" s="123"/>
      <c r="AE540" s="123"/>
      <c r="AF540" s="123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3"/>
      <c r="AV540" s="15"/>
      <c r="AY540" s="114"/>
    </row>
    <row r="541" spans="12:51" ht="19.5" x14ac:dyDescent="0.4">
      <c r="W541" s="26"/>
      <c r="X541" s="15"/>
      <c r="AB541" s="115"/>
      <c r="AC541" s="117"/>
      <c r="AD541" s="123"/>
      <c r="AE541" s="123"/>
      <c r="AF541" s="123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25">
        <v>45277</v>
      </c>
      <c r="AV541" s="15" t="s">
        <v>162</v>
      </c>
      <c r="AY541" s="114"/>
    </row>
    <row r="542" spans="12:51" ht="19.5" x14ac:dyDescent="0.4">
      <c r="O542" s="115"/>
      <c r="P542" s="115"/>
      <c r="Q542" s="115"/>
      <c r="R542" s="115"/>
      <c r="S542" s="115"/>
      <c r="T542" s="115"/>
      <c r="U542" s="115"/>
      <c r="V542" s="115"/>
      <c r="W542" s="17"/>
      <c r="X542" s="15"/>
      <c r="AB542" s="115"/>
      <c r="AC542" s="117"/>
      <c r="AD542" s="123"/>
      <c r="AE542" s="123"/>
      <c r="AF542" s="123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25"/>
      <c r="AV542" s="15"/>
      <c r="AY542" s="114"/>
    </row>
    <row r="543" spans="12:51" ht="19.5" x14ac:dyDescent="0.4"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26"/>
      <c r="X543" s="15"/>
      <c r="AB543" s="115"/>
      <c r="AC543" s="117"/>
      <c r="AD543" s="123"/>
      <c r="AE543" s="123"/>
      <c r="AF543" s="123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25"/>
      <c r="AV543" s="15"/>
      <c r="AY543" s="114"/>
    </row>
    <row r="544" spans="12:51" ht="19.5" x14ac:dyDescent="0.4"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7"/>
      <c r="X544" s="15"/>
      <c r="AB544" s="115"/>
      <c r="AC544" s="117"/>
      <c r="AD544" s="123"/>
      <c r="AE544" s="123"/>
      <c r="AF544" s="123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25"/>
      <c r="AV544" s="15"/>
      <c r="AY544" s="114"/>
    </row>
    <row r="545" spans="6:51" ht="19.5" x14ac:dyDescent="0.4"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7"/>
      <c r="X545" s="15"/>
      <c r="AB545" s="115"/>
      <c r="AC545" s="117"/>
      <c r="AD545" s="123"/>
      <c r="AE545" s="123"/>
      <c r="AF545" s="123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25"/>
      <c r="AV545" s="15"/>
      <c r="AY545" s="114"/>
    </row>
    <row r="546" spans="6:51" ht="19.5" x14ac:dyDescent="0.4">
      <c r="W546" s="26"/>
      <c r="X546" s="15"/>
      <c r="AB546" s="115"/>
      <c r="AC546" s="117"/>
      <c r="AD546" s="123"/>
      <c r="AE546" s="123"/>
      <c r="AF546" s="123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25">
        <v>45277</v>
      </c>
      <c r="AV546" s="15" t="s">
        <v>162</v>
      </c>
      <c r="AY546" s="114"/>
    </row>
    <row r="547" spans="6:51" ht="19.5" x14ac:dyDescent="0.4">
      <c r="N547" s="115"/>
      <c r="O547" s="115"/>
      <c r="P547" s="115"/>
      <c r="Q547" s="115"/>
      <c r="R547" s="115"/>
      <c r="S547" s="115"/>
      <c r="T547" s="115"/>
      <c r="U547" s="115"/>
      <c r="V547" s="115"/>
      <c r="W547" s="17"/>
      <c r="X547" s="15"/>
      <c r="AB547" s="115"/>
      <c r="AC547" s="117"/>
      <c r="AD547" s="123"/>
      <c r="AE547" s="123"/>
      <c r="AF547" s="123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31"/>
      <c r="AV547" s="13"/>
      <c r="AY547" s="114"/>
    </row>
    <row r="548" spans="6:51" ht="19.5" x14ac:dyDescent="0.4">
      <c r="W548" s="26"/>
      <c r="X548" s="15"/>
      <c r="AB548" s="115"/>
      <c r="AC548" s="117"/>
      <c r="AD548" s="123"/>
      <c r="AE548" s="123"/>
      <c r="AF548" s="123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26">
        <v>45277</v>
      </c>
      <c r="AV548" s="13" t="s">
        <v>162</v>
      </c>
      <c r="AY548" s="114"/>
    </row>
    <row r="549" spans="6:51" ht="19.5" x14ac:dyDescent="0.4">
      <c r="W549" s="26"/>
      <c r="X549" s="15"/>
      <c r="AB549" s="115"/>
      <c r="AC549" s="117"/>
      <c r="AD549" s="123"/>
      <c r="AE549" s="123"/>
      <c r="AF549" s="123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26">
        <v>45277</v>
      </c>
      <c r="AV549" s="15" t="s">
        <v>162</v>
      </c>
      <c r="AY549" s="114"/>
    </row>
    <row r="550" spans="6:51" ht="19.5" x14ac:dyDescent="0.4"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26"/>
      <c r="X550" s="15"/>
      <c r="AB550" s="115"/>
      <c r="AC550" s="117"/>
      <c r="AD550" s="123"/>
      <c r="AE550" s="123"/>
      <c r="AF550" s="123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26"/>
      <c r="AV550" s="15"/>
      <c r="AY550" s="114"/>
    </row>
    <row r="551" spans="6:51" ht="19.5" x14ac:dyDescent="0.4">
      <c r="W551" s="26"/>
      <c r="X551" s="15"/>
      <c r="AB551" s="115"/>
      <c r="AC551" s="117"/>
      <c r="AD551" s="123"/>
      <c r="AE551" s="123"/>
      <c r="AF551" s="123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26">
        <v>45277</v>
      </c>
      <c r="AV551" s="15" t="s">
        <v>162</v>
      </c>
      <c r="AY551" s="114"/>
    </row>
    <row r="552" spans="6:51" ht="19.5" x14ac:dyDescent="0.4">
      <c r="W552" s="26"/>
      <c r="X552" s="15"/>
      <c r="AB552" s="115"/>
      <c r="AC552" s="117"/>
      <c r="AD552" s="123"/>
      <c r="AE552" s="123"/>
      <c r="AF552" s="123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 t="s">
        <v>160</v>
      </c>
      <c r="AU552" s="17">
        <f>SUBTOTAL(3,AU541:AU551)</f>
        <v>5</v>
      </c>
      <c r="AV552" s="15">
        <f>SUBTOTAL(3,AV541:AV551)</f>
        <v>5</v>
      </c>
      <c r="AY552" s="114"/>
    </row>
    <row r="553" spans="6:51" ht="19.5" x14ac:dyDescent="0.4"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26"/>
      <c r="X553" s="15"/>
      <c r="AB553" s="115"/>
      <c r="AC553" s="117"/>
      <c r="AD553" s="123"/>
      <c r="AE553" s="123"/>
      <c r="AF553" s="123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7"/>
      <c r="AV553" s="15"/>
      <c r="AY553" s="114"/>
    </row>
    <row r="554" spans="6:51" ht="19.5" x14ac:dyDescent="0.4"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26"/>
      <c r="X554" s="15"/>
      <c r="AB554" s="115"/>
      <c r="AC554" s="117"/>
      <c r="AD554" s="123"/>
      <c r="AE554" s="123"/>
      <c r="AF554" s="123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7"/>
      <c r="AV554" s="15"/>
      <c r="AY554" s="114"/>
    </row>
    <row r="555" spans="6:51" ht="19.5" x14ac:dyDescent="0.4">
      <c r="W555" s="26"/>
      <c r="X555" s="15"/>
      <c r="AB555" s="115"/>
      <c r="AC555" s="117"/>
      <c r="AD555" s="123"/>
      <c r="AE555" s="123"/>
      <c r="AF555" s="123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26">
        <v>45278</v>
      </c>
      <c r="AV555" s="15" t="s">
        <v>164</v>
      </c>
      <c r="AY555" s="114"/>
    </row>
    <row r="556" spans="6:51" ht="19.5" x14ac:dyDescent="0.4">
      <c r="W556" s="26"/>
      <c r="X556" s="15"/>
      <c r="AB556" s="115"/>
      <c r="AC556" s="117"/>
      <c r="AD556" s="123"/>
      <c r="AE556" s="123"/>
      <c r="AF556" s="123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26">
        <v>45278</v>
      </c>
      <c r="AV556" s="15" t="s">
        <v>164</v>
      </c>
      <c r="AY556" s="114"/>
    </row>
    <row r="557" spans="6:51" ht="19.5" x14ac:dyDescent="0.4"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26"/>
      <c r="X557" s="15"/>
      <c r="AB557" s="115"/>
      <c r="AC557" s="117"/>
      <c r="AD557" s="123"/>
      <c r="AE557" s="123"/>
      <c r="AF557" s="123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26"/>
      <c r="AV557" s="15"/>
      <c r="AY557" s="114"/>
    </row>
    <row r="558" spans="6:51" ht="19.5" x14ac:dyDescent="0.4">
      <c r="W558" s="26"/>
      <c r="X558" s="15"/>
      <c r="AB558" s="115"/>
      <c r="AC558" s="117"/>
      <c r="AD558" s="123"/>
      <c r="AE558" s="123"/>
      <c r="AF558" s="123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26">
        <v>45278</v>
      </c>
      <c r="AV558" s="15" t="s">
        <v>162</v>
      </c>
      <c r="AY558" s="114"/>
    </row>
    <row r="559" spans="6:51" ht="19.5" x14ac:dyDescent="0.4">
      <c r="N559" s="115"/>
      <c r="O559" s="115"/>
      <c r="P559" s="115"/>
      <c r="Q559" s="115"/>
      <c r="R559" s="115"/>
      <c r="S559" s="115"/>
      <c r="T559" s="115"/>
      <c r="U559" s="115"/>
      <c r="V559" s="115"/>
      <c r="W559" s="17"/>
      <c r="X559" s="15"/>
      <c r="AB559" s="115"/>
      <c r="AC559" s="117"/>
      <c r="AD559" s="123"/>
      <c r="AE559" s="123"/>
      <c r="AF559" s="123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26"/>
      <c r="AV559" s="15"/>
      <c r="AY559" s="114"/>
    </row>
    <row r="560" spans="6:51" ht="19.5" x14ac:dyDescent="0.4"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26"/>
      <c r="X560" s="15"/>
      <c r="AB560" s="115"/>
      <c r="AC560" s="117"/>
      <c r="AD560" s="123"/>
      <c r="AE560" s="123"/>
      <c r="AF560" s="123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26"/>
      <c r="AV560" s="15"/>
      <c r="AY560" s="114"/>
    </row>
    <row r="561" spans="6:51" ht="19.5" x14ac:dyDescent="0.4"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7"/>
      <c r="X561" s="15"/>
      <c r="AB561" s="115"/>
      <c r="AC561" s="117"/>
      <c r="AD561" s="123"/>
      <c r="AE561" s="123"/>
      <c r="AF561" s="123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26"/>
      <c r="AV561" s="15"/>
      <c r="AY561" s="114"/>
    </row>
    <row r="562" spans="6:51" ht="19.5" x14ac:dyDescent="0.4">
      <c r="W562" s="26"/>
      <c r="X562" s="15"/>
      <c r="AB562" s="115"/>
      <c r="AC562" s="117"/>
      <c r="AD562" s="123"/>
      <c r="AE562" s="123"/>
      <c r="AF562" s="123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26">
        <v>45278</v>
      </c>
      <c r="AV562" s="15" t="s">
        <v>142</v>
      </c>
      <c r="AY562" s="114"/>
    </row>
    <row r="563" spans="6:51" ht="19.5" x14ac:dyDescent="0.4">
      <c r="W563" s="26"/>
      <c r="X563" s="15"/>
      <c r="AB563" s="115"/>
      <c r="AC563" s="117"/>
      <c r="AD563" s="123"/>
      <c r="AE563" s="123"/>
      <c r="AF563" s="123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26">
        <v>45278</v>
      </c>
      <c r="AV563" s="15" t="s">
        <v>162</v>
      </c>
      <c r="AY563" s="114"/>
    </row>
    <row r="564" spans="6:51" ht="19.5" x14ac:dyDescent="0.4">
      <c r="W564" s="26"/>
      <c r="X564" s="15"/>
      <c r="AB564" s="115"/>
      <c r="AC564" s="117"/>
      <c r="AD564" s="123"/>
      <c r="AE564" s="123"/>
      <c r="AF564" s="123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26">
        <v>45278</v>
      </c>
      <c r="AV564" s="15" t="s">
        <v>162</v>
      </c>
      <c r="AY564" s="114"/>
    </row>
    <row r="565" spans="6:51" ht="19.5" x14ac:dyDescent="0.4">
      <c r="N565" s="115"/>
      <c r="O565" s="115"/>
      <c r="P565" s="115"/>
      <c r="Q565" s="115"/>
      <c r="R565" s="115"/>
      <c r="S565" s="115"/>
      <c r="T565" s="115"/>
      <c r="U565" s="115"/>
      <c r="V565" s="115"/>
      <c r="W565" s="17"/>
      <c r="X565" s="15"/>
      <c r="AB565" s="115"/>
      <c r="AC565" s="117"/>
      <c r="AD565" s="123"/>
      <c r="AE565" s="123"/>
      <c r="AF565" s="123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26"/>
      <c r="AV565" s="15"/>
      <c r="AY565" s="114"/>
    </row>
    <row r="566" spans="6:51" ht="19.5" x14ac:dyDescent="0.4"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26"/>
      <c r="X566" s="15"/>
      <c r="AB566" s="115"/>
      <c r="AC566" s="117"/>
      <c r="AD566" s="123"/>
      <c r="AE566" s="123"/>
      <c r="AF566" s="123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26"/>
      <c r="AV566" s="15"/>
      <c r="AY566" s="114"/>
    </row>
    <row r="567" spans="6:51" ht="19.5" x14ac:dyDescent="0.4"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26"/>
      <c r="X567" s="15"/>
      <c r="AB567" s="115"/>
      <c r="AC567" s="117"/>
      <c r="AD567" s="123"/>
      <c r="AE567" s="123"/>
      <c r="AF567" s="123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26"/>
      <c r="AV567" s="15"/>
      <c r="AY567" s="114"/>
    </row>
    <row r="568" spans="6:51" ht="19.5" x14ac:dyDescent="0.4"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7"/>
      <c r="X568" s="15"/>
      <c r="AB568" s="115"/>
      <c r="AC568" s="117"/>
      <c r="AD568" s="123"/>
      <c r="AE568" s="123"/>
      <c r="AF568" s="123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26"/>
      <c r="AV568" s="15"/>
      <c r="AY568" s="114"/>
    </row>
    <row r="569" spans="6:51" ht="19.5" x14ac:dyDescent="0.4"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26"/>
      <c r="X569" s="15"/>
      <c r="AB569" s="115"/>
      <c r="AC569" s="117"/>
      <c r="AD569" s="123"/>
      <c r="AE569" s="123"/>
      <c r="AF569" s="123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26"/>
      <c r="AV569" s="15"/>
      <c r="AY569" s="114"/>
    </row>
    <row r="570" spans="6:51" ht="19.5" x14ac:dyDescent="0.4">
      <c r="W570" s="26"/>
      <c r="X570" s="15"/>
      <c r="AB570" s="115"/>
      <c r="AC570" s="117"/>
      <c r="AD570" s="123"/>
      <c r="AE570" s="123"/>
      <c r="AF570" s="123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26">
        <v>45278</v>
      </c>
      <c r="AV570" s="15" t="s">
        <v>162</v>
      </c>
      <c r="AY570" s="114"/>
    </row>
    <row r="571" spans="6:51" ht="19.5" x14ac:dyDescent="0.4"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26"/>
      <c r="X571" s="15"/>
      <c r="AB571" s="115"/>
      <c r="AC571" s="117"/>
      <c r="AD571" s="123"/>
      <c r="AE571" s="123"/>
      <c r="AF571" s="123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26"/>
      <c r="AV571" s="15"/>
      <c r="AY571" s="114"/>
    </row>
    <row r="572" spans="6:51" ht="19.5" x14ac:dyDescent="0.4">
      <c r="W572" s="26"/>
      <c r="X572" s="15"/>
      <c r="AB572" s="115"/>
      <c r="AC572" s="117"/>
      <c r="AD572" s="123"/>
      <c r="AE572" s="123"/>
      <c r="AF572" s="123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26">
        <v>45278</v>
      </c>
      <c r="AV572" s="15" t="s">
        <v>163</v>
      </c>
      <c r="AY572" s="114"/>
    </row>
    <row r="573" spans="6:51" ht="19.5" x14ac:dyDescent="0.4">
      <c r="W573" s="26"/>
      <c r="X573" s="15"/>
      <c r="AB573" s="115"/>
      <c r="AC573" s="117"/>
      <c r="AD573" s="123"/>
      <c r="AE573" s="123"/>
      <c r="AF573" s="123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26">
        <v>45278</v>
      </c>
      <c r="AV573" s="105" t="s">
        <v>163</v>
      </c>
      <c r="AY573" s="114"/>
    </row>
    <row r="574" spans="6:51" ht="19.5" x14ac:dyDescent="0.4">
      <c r="W574" s="25"/>
      <c r="X574" s="13"/>
      <c r="AB574" s="115"/>
      <c r="AC574" s="117"/>
      <c r="AD574" s="123"/>
      <c r="AE574" s="123"/>
      <c r="AF574" s="123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26">
        <v>45278</v>
      </c>
      <c r="AV574" s="15" t="s">
        <v>163</v>
      </c>
      <c r="AY574" s="114"/>
    </row>
    <row r="575" spans="6:51" ht="19.5" x14ac:dyDescent="0.4"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25"/>
      <c r="X575" s="13"/>
      <c r="AB575" s="115"/>
      <c r="AC575" s="117"/>
      <c r="AD575" s="123"/>
      <c r="AE575" s="123"/>
      <c r="AF575" s="123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26"/>
      <c r="AV575" s="15"/>
      <c r="AY575" s="114"/>
    </row>
    <row r="576" spans="6:51" ht="19.5" x14ac:dyDescent="0.4"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25"/>
      <c r="X576" s="13"/>
      <c r="AB576" s="115"/>
      <c r="AC576" s="117"/>
      <c r="AD576" s="123"/>
      <c r="AE576" s="123"/>
      <c r="AF576" s="123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26"/>
      <c r="AV576" s="15"/>
      <c r="AY576" s="114"/>
    </row>
    <row r="577" spans="6:51" ht="19.5" x14ac:dyDescent="0.4"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25"/>
      <c r="X577" s="13"/>
      <c r="AB577" s="115"/>
      <c r="AC577" s="117"/>
      <c r="AD577" s="123"/>
      <c r="AE577" s="123"/>
      <c r="AF577" s="123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26"/>
      <c r="AV577" s="15"/>
      <c r="AY577" s="114"/>
    </row>
    <row r="578" spans="6:51" ht="19.5" x14ac:dyDescent="0.4"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25"/>
      <c r="X578" s="13"/>
      <c r="AB578" s="115"/>
      <c r="AC578" s="117"/>
      <c r="AD578" s="123"/>
      <c r="AE578" s="123"/>
      <c r="AF578" s="123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26"/>
      <c r="AV578" s="15"/>
      <c r="AY578" s="114"/>
    </row>
    <row r="579" spans="6:51" ht="19.5" x14ac:dyDescent="0.4"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25"/>
      <c r="X579" s="13"/>
      <c r="AB579" s="115"/>
      <c r="AC579" s="117"/>
      <c r="AD579" s="123"/>
      <c r="AE579" s="123"/>
      <c r="AF579" s="123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26"/>
      <c r="AV579" s="15"/>
      <c r="AY579" s="114"/>
    </row>
    <row r="580" spans="6:51" ht="19.5" x14ac:dyDescent="0.4"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25"/>
      <c r="X580" s="13"/>
      <c r="AB580" s="115"/>
      <c r="AC580" s="117"/>
      <c r="AD580" s="123"/>
      <c r="AE580" s="123"/>
      <c r="AF580" s="123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26"/>
      <c r="AV580" s="15"/>
      <c r="AY580" s="114"/>
    </row>
    <row r="581" spans="6:51" ht="19.5" x14ac:dyDescent="0.4">
      <c r="W581" s="25"/>
      <c r="X581" s="13"/>
      <c r="AB581" s="115"/>
      <c r="AC581" s="117"/>
      <c r="AD581" s="123"/>
      <c r="AE581" s="123"/>
      <c r="AF581" s="123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26">
        <v>45278</v>
      </c>
      <c r="AV581" s="15" t="s">
        <v>163</v>
      </c>
      <c r="AY581" s="114"/>
    </row>
    <row r="582" spans="6:51" ht="19.5" x14ac:dyDescent="0.4">
      <c r="W582" s="25"/>
      <c r="X582" s="13"/>
      <c r="AB582" s="115"/>
      <c r="AC582" s="117"/>
      <c r="AD582" s="123"/>
      <c r="AE582" s="123"/>
      <c r="AF582" s="123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26"/>
      <c r="AV582" s="15"/>
      <c r="AY582" s="114"/>
    </row>
    <row r="583" spans="6:51" ht="19.5" x14ac:dyDescent="0.4">
      <c r="N583" s="115"/>
      <c r="O583" s="115"/>
      <c r="P583" s="115"/>
      <c r="Q583" s="115"/>
      <c r="R583" s="115"/>
      <c r="S583" s="115"/>
      <c r="T583" s="115"/>
      <c r="U583" s="115"/>
      <c r="V583" s="115"/>
      <c r="W583" s="13"/>
      <c r="X583" s="13"/>
      <c r="AB583" s="115"/>
      <c r="AC583" s="117"/>
      <c r="AD583" s="123"/>
      <c r="AE583" s="123"/>
      <c r="AF583" s="123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26"/>
      <c r="AV583" s="15"/>
      <c r="AY583" s="114"/>
    </row>
    <row r="584" spans="6:51" ht="19.5" x14ac:dyDescent="0.4">
      <c r="W584" s="25"/>
      <c r="X584" s="13"/>
      <c r="AB584" s="115"/>
      <c r="AC584" s="117"/>
      <c r="AD584" s="123"/>
      <c r="AE584" s="123"/>
      <c r="AF584" s="123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26">
        <v>45278</v>
      </c>
      <c r="AV584" s="15" t="s">
        <v>163</v>
      </c>
      <c r="AY584" s="114"/>
    </row>
    <row r="585" spans="6:51" ht="19.5" x14ac:dyDescent="0.4">
      <c r="N585" s="115"/>
      <c r="O585" s="115"/>
      <c r="P585" s="115"/>
      <c r="Q585" s="115"/>
      <c r="R585" s="115"/>
      <c r="S585" s="115"/>
      <c r="T585" s="115"/>
      <c r="U585" s="115"/>
      <c r="V585" s="115"/>
      <c r="W585" s="13"/>
      <c r="X585" s="13"/>
      <c r="AB585" s="115"/>
      <c r="AC585" s="117"/>
      <c r="AD585" s="123"/>
      <c r="AE585" s="123"/>
      <c r="AF585" s="123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26"/>
      <c r="AV585" s="13"/>
      <c r="AY585" s="114"/>
    </row>
    <row r="586" spans="6:51" ht="19.5" x14ac:dyDescent="0.4">
      <c r="W586" s="25"/>
      <c r="X586" s="13"/>
      <c r="AB586" s="115"/>
      <c r="AC586" s="117"/>
      <c r="AD586" s="123"/>
      <c r="AE586" s="123"/>
      <c r="AF586" s="123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 t="s">
        <v>153</v>
      </c>
      <c r="AU586" s="17">
        <f>SUBTOTAL(3,AU555:AU584)</f>
        <v>12</v>
      </c>
      <c r="AV586" s="13">
        <f>SUBTOTAL(3,AV555:AV584)</f>
        <v>12</v>
      </c>
      <c r="AY586" s="114"/>
    </row>
    <row r="587" spans="6:51" ht="19.5" x14ac:dyDescent="0.4">
      <c r="N587" s="115"/>
      <c r="O587" s="115"/>
      <c r="P587" s="115"/>
      <c r="Q587" s="115"/>
      <c r="R587" s="115"/>
      <c r="S587" s="115"/>
      <c r="T587" s="115"/>
      <c r="U587" s="115"/>
      <c r="V587" s="115"/>
      <c r="W587" s="13"/>
      <c r="X587" s="13"/>
      <c r="AB587" s="115"/>
      <c r="AC587" s="117"/>
      <c r="AD587" s="123"/>
      <c r="AE587" s="123"/>
      <c r="AF587" s="123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7"/>
      <c r="AV587" s="13"/>
      <c r="AY587" s="114"/>
    </row>
    <row r="588" spans="6:51" ht="19.5" x14ac:dyDescent="0.4">
      <c r="W588" s="25"/>
      <c r="X588" s="13"/>
      <c r="AB588" s="115"/>
      <c r="AC588" s="117"/>
      <c r="AD588" s="123"/>
      <c r="AE588" s="123"/>
      <c r="AF588" s="123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26">
        <v>45279</v>
      </c>
      <c r="AV588" s="25" t="s">
        <v>162</v>
      </c>
      <c r="AY588" s="114"/>
    </row>
    <row r="589" spans="6:51" ht="19.5" x14ac:dyDescent="0.4">
      <c r="W589" s="25"/>
      <c r="X589" s="13"/>
      <c r="AB589" s="115"/>
      <c r="AC589" s="117"/>
      <c r="AD589" s="123"/>
      <c r="AE589" s="123"/>
      <c r="AF589" s="123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26">
        <v>45279</v>
      </c>
      <c r="AV589" s="13" t="s">
        <v>162</v>
      </c>
      <c r="AY589" s="114"/>
    </row>
    <row r="590" spans="6:51" ht="19.5" x14ac:dyDescent="0.4">
      <c r="N590" s="115"/>
      <c r="O590" s="115"/>
      <c r="P590" s="115"/>
      <c r="Q590" s="115"/>
      <c r="R590" s="115"/>
      <c r="S590" s="115"/>
      <c r="T590" s="115"/>
      <c r="U590" s="115"/>
      <c r="V590" s="115"/>
      <c r="W590" s="20"/>
      <c r="X590" s="13"/>
      <c r="AB590" s="115"/>
      <c r="AC590" s="117"/>
      <c r="AD590" s="123"/>
      <c r="AE590" s="123"/>
      <c r="AF590" s="123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26"/>
      <c r="AV590" s="13"/>
      <c r="AY590" s="114"/>
    </row>
    <row r="591" spans="6:51" ht="19.5" x14ac:dyDescent="0.4">
      <c r="N591" s="115"/>
      <c r="O591" s="115"/>
      <c r="P591" s="115"/>
      <c r="Q591" s="115"/>
      <c r="R591" s="115"/>
      <c r="S591" s="115"/>
      <c r="T591" s="115"/>
      <c r="U591" s="115"/>
      <c r="V591" s="115"/>
      <c r="W591" s="20"/>
      <c r="X591" s="13"/>
      <c r="AB591" s="115"/>
      <c r="AC591" s="117"/>
      <c r="AD591" s="123"/>
      <c r="AE591" s="123"/>
      <c r="AF591" s="123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26"/>
      <c r="AV591" s="13"/>
      <c r="AY591" s="114"/>
    </row>
    <row r="592" spans="6:51" ht="19.5" x14ac:dyDescent="0.4">
      <c r="W592" s="26"/>
      <c r="X592" s="13"/>
      <c r="AB592" s="115"/>
      <c r="AC592" s="117"/>
      <c r="AD592" s="123"/>
      <c r="AE592" s="123"/>
      <c r="AF592" s="123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26">
        <v>45279</v>
      </c>
      <c r="AV592" s="13" t="s">
        <v>162</v>
      </c>
      <c r="AY592" s="114"/>
    </row>
    <row r="593" spans="23:51" ht="19.5" x14ac:dyDescent="0.4">
      <c r="W593" s="26"/>
      <c r="X593" s="13"/>
      <c r="AB593" s="115"/>
      <c r="AC593" s="117"/>
      <c r="AD593" s="123"/>
      <c r="AE593" s="123"/>
      <c r="AF593" s="123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26">
        <v>45279</v>
      </c>
      <c r="AV593" s="13" t="s">
        <v>162</v>
      </c>
      <c r="AY593" s="114"/>
    </row>
    <row r="594" spans="23:51" ht="19.5" x14ac:dyDescent="0.4">
      <c r="W594" s="129"/>
      <c r="X594" s="13"/>
      <c r="AB594" s="115"/>
      <c r="AC594" s="117"/>
      <c r="AD594" s="123"/>
      <c r="AE594" s="123"/>
      <c r="AF594" s="123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26"/>
      <c r="AV594" s="13"/>
      <c r="AY594" s="114"/>
    </row>
    <row r="595" spans="23:51" ht="19.5" x14ac:dyDescent="0.4">
      <c r="W595" s="26"/>
      <c r="X595" s="13"/>
      <c r="AB595" s="115"/>
      <c r="AC595" s="117"/>
      <c r="AD595" s="123"/>
      <c r="AE595" s="123"/>
      <c r="AF595" s="123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26">
        <v>45279</v>
      </c>
      <c r="AV595" s="13" t="s">
        <v>162</v>
      </c>
      <c r="AY595" s="114"/>
    </row>
    <row r="596" spans="23:51" ht="19.5" x14ac:dyDescent="0.4">
      <c r="W596" s="26"/>
      <c r="X596" s="13"/>
      <c r="AB596" s="115"/>
      <c r="AC596" s="117"/>
      <c r="AD596" s="123"/>
      <c r="AE596" s="123"/>
      <c r="AF596" s="123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26">
        <v>45279</v>
      </c>
      <c r="AV596" s="13" t="s">
        <v>162</v>
      </c>
      <c r="AY596" s="114"/>
    </row>
    <row r="597" spans="23:51" ht="19.5" x14ac:dyDescent="0.4">
      <c r="W597" s="26"/>
      <c r="X597" s="13"/>
      <c r="AB597" s="115"/>
      <c r="AC597" s="117"/>
      <c r="AD597" s="123"/>
      <c r="AE597" s="123"/>
      <c r="AF597" s="123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 t="s">
        <v>170</v>
      </c>
      <c r="AU597" s="17">
        <f>SUBTOTAL(3,AU588:AU596)</f>
        <v>6</v>
      </c>
      <c r="AV597" s="13">
        <f>SUBTOTAL(3,AV588:AV596)</f>
        <v>6</v>
      </c>
      <c r="AY597" s="114"/>
    </row>
    <row r="598" spans="23:51" ht="19.5" x14ac:dyDescent="0.4">
      <c r="W598" s="129"/>
      <c r="X598" s="13"/>
      <c r="AB598" s="115"/>
      <c r="AC598" s="117"/>
      <c r="AD598" s="123"/>
      <c r="AE598" s="123"/>
      <c r="AF598" s="123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7"/>
      <c r="AV598" s="13"/>
      <c r="AY598" s="114"/>
    </row>
    <row r="599" spans="23:51" ht="19.5" x14ac:dyDescent="0.4">
      <c r="W599" s="26"/>
      <c r="X599" s="13"/>
      <c r="AB599" s="115"/>
      <c r="AC599" s="117"/>
      <c r="AD599" s="123"/>
      <c r="AE599" s="123"/>
      <c r="AF599" s="123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26">
        <v>45280</v>
      </c>
      <c r="AV599" s="13" t="s">
        <v>162</v>
      </c>
      <c r="AY599" s="114"/>
    </row>
    <row r="600" spans="23:51" ht="19.5" x14ac:dyDescent="0.4">
      <c r="W600" s="26"/>
      <c r="X600" s="13"/>
      <c r="AB600" s="115"/>
      <c r="AC600" s="116"/>
      <c r="AD600" s="123"/>
      <c r="AE600" s="123"/>
      <c r="AF600" s="123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26">
        <v>45280</v>
      </c>
      <c r="AV600" s="13" t="s">
        <v>162</v>
      </c>
      <c r="AY600" s="114"/>
    </row>
    <row r="601" spans="23:51" ht="19.5" x14ac:dyDescent="0.4">
      <c r="W601" s="26"/>
      <c r="X601" s="13"/>
      <c r="AB601" s="115"/>
      <c r="AC601" s="116"/>
      <c r="AD601" s="123"/>
      <c r="AE601" s="123"/>
      <c r="AF601" s="123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26">
        <v>45280</v>
      </c>
      <c r="AV601" s="13" t="s">
        <v>162</v>
      </c>
      <c r="AY601" s="114"/>
    </row>
    <row r="602" spans="23:51" ht="19.5" x14ac:dyDescent="0.4">
      <c r="W602" s="26"/>
      <c r="X602" s="13"/>
      <c r="AB602" s="115"/>
      <c r="AC602" s="116"/>
      <c r="AD602" s="123"/>
      <c r="AE602" s="123"/>
      <c r="AF602" s="123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26">
        <v>45280</v>
      </c>
      <c r="AV602" s="13" t="s">
        <v>162</v>
      </c>
      <c r="AY602" s="114"/>
    </row>
    <row r="603" spans="23:51" ht="19.5" x14ac:dyDescent="0.4">
      <c r="W603" s="129"/>
      <c r="X603" s="13"/>
      <c r="AB603" s="115"/>
      <c r="AC603" s="116"/>
      <c r="AD603" s="123"/>
      <c r="AE603" s="123"/>
      <c r="AF603" s="123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26"/>
      <c r="AV603" s="13"/>
      <c r="AY603" s="114"/>
    </row>
    <row r="604" spans="23:51" ht="19.5" x14ac:dyDescent="0.4">
      <c r="W604" s="26"/>
      <c r="X604" s="13"/>
      <c r="AB604" s="115"/>
      <c r="AC604" s="116"/>
      <c r="AD604" s="123"/>
      <c r="AE604" s="123"/>
      <c r="AF604" s="123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26">
        <v>45280</v>
      </c>
      <c r="AV604" s="13" t="s">
        <v>162</v>
      </c>
      <c r="AY604" s="114"/>
    </row>
    <row r="605" spans="23:51" ht="19.5" x14ac:dyDescent="0.4">
      <c r="W605" s="130"/>
      <c r="X605" s="119"/>
      <c r="AB605" s="115"/>
      <c r="AC605" s="116"/>
      <c r="AD605" s="123"/>
      <c r="AE605" s="123"/>
      <c r="AF605" s="123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26"/>
      <c r="AV605" s="13"/>
      <c r="AY605" s="114"/>
    </row>
    <row r="606" spans="23:51" ht="19.5" x14ac:dyDescent="0.4">
      <c r="W606" s="130"/>
      <c r="X606" s="119"/>
      <c r="AB606" s="115"/>
      <c r="AC606" s="116"/>
      <c r="AD606" s="123"/>
      <c r="AE606" s="123"/>
      <c r="AF606" s="123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26"/>
      <c r="AV606" s="13"/>
      <c r="AY606" s="114"/>
    </row>
    <row r="607" spans="23:51" ht="19.5" x14ac:dyDescent="0.4">
      <c r="AB607" s="115"/>
      <c r="AC607" s="116"/>
      <c r="AD607" s="123"/>
      <c r="AE607" s="123"/>
      <c r="AF607" s="123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26">
        <v>45280</v>
      </c>
      <c r="AV607" s="13" t="s">
        <v>162</v>
      </c>
      <c r="AY607" s="114"/>
    </row>
    <row r="608" spans="23:51" ht="19.5" x14ac:dyDescent="0.4">
      <c r="AB608" s="115"/>
      <c r="AC608" s="116"/>
      <c r="AD608" s="123"/>
      <c r="AE608" s="123"/>
      <c r="AF608" s="123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26">
        <v>45280</v>
      </c>
      <c r="AV608" s="13" t="s">
        <v>162</v>
      </c>
      <c r="AY608" s="114"/>
    </row>
    <row r="609" spans="25:51" ht="19.5" x14ac:dyDescent="0.4">
      <c r="AB609" s="115"/>
      <c r="AC609" s="116"/>
      <c r="AD609" s="123"/>
      <c r="AE609" s="123"/>
      <c r="AF609" s="123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26">
        <v>45280</v>
      </c>
      <c r="AV609" s="13" t="s">
        <v>162</v>
      </c>
      <c r="AY609" s="114"/>
    </row>
    <row r="610" spans="25:51" ht="19.5" x14ac:dyDescent="0.4">
      <c r="AA610" s="115"/>
      <c r="AB610" s="115"/>
      <c r="AC610" s="116"/>
      <c r="AD610" s="123"/>
      <c r="AE610" s="123"/>
      <c r="AF610" s="123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26">
        <v>45280</v>
      </c>
      <c r="AV610" s="13" t="s">
        <v>162</v>
      </c>
      <c r="AY610" s="114"/>
    </row>
    <row r="611" spans="25:51" ht="19.5" x14ac:dyDescent="0.4">
      <c r="AA611" s="115"/>
      <c r="AB611" s="115"/>
      <c r="AC611" s="116"/>
      <c r="AD611" s="123"/>
      <c r="AE611" s="123"/>
      <c r="AF611" s="123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26">
        <v>45280</v>
      </c>
      <c r="AV611" s="13" t="s">
        <v>162</v>
      </c>
      <c r="AY611" s="114"/>
    </row>
    <row r="612" spans="25:51" ht="19.5" x14ac:dyDescent="0.4">
      <c r="Y612" s="115"/>
      <c r="Z612" s="115"/>
      <c r="AA612" s="115"/>
      <c r="AB612" s="115"/>
      <c r="AC612" s="116"/>
      <c r="AD612" s="123"/>
      <c r="AE612" s="123"/>
      <c r="AF612" s="123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26">
        <v>45280</v>
      </c>
      <c r="AV612" s="13" t="s">
        <v>162</v>
      </c>
      <c r="AY612" s="114"/>
    </row>
    <row r="613" spans="25:51" x14ac:dyDescent="0.4">
      <c r="Y613" s="115"/>
      <c r="Z613" s="115"/>
      <c r="AA613" s="115"/>
      <c r="AB613" s="115"/>
      <c r="AC613" s="115"/>
      <c r="AD613" s="122"/>
      <c r="AE613" s="122"/>
      <c r="AF613" s="122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26">
        <v>45280</v>
      </c>
      <c r="AV613" s="13" t="s">
        <v>162</v>
      </c>
      <c r="AY613" s="114"/>
    </row>
    <row r="614" spans="25:51" x14ac:dyDescent="0.4">
      <c r="Y614" s="115"/>
      <c r="Z614" s="115"/>
      <c r="AA614" s="115"/>
      <c r="AB614" s="115"/>
      <c r="AC614" s="115"/>
      <c r="AD614" s="122"/>
      <c r="AE614" s="122"/>
      <c r="AF614" s="122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26">
        <v>45280</v>
      </c>
      <c r="AV614" s="13" t="s">
        <v>162</v>
      </c>
      <c r="AY614" s="114"/>
    </row>
    <row r="615" spans="25:51" x14ac:dyDescent="0.4">
      <c r="Y615" s="115"/>
      <c r="Z615" s="115"/>
      <c r="AA615" s="115"/>
      <c r="AB615" s="115"/>
      <c r="AC615" s="115"/>
      <c r="AD615" s="122"/>
      <c r="AE615" s="122"/>
      <c r="AF615" s="122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 t="s">
        <v>171</v>
      </c>
      <c r="AU615" s="17">
        <f>SUBTOTAL(3,AU599:AU614)</f>
        <v>13</v>
      </c>
      <c r="AV615" s="13">
        <f>SUBTOTAL(3,AV599:AV614)</f>
        <v>13</v>
      </c>
      <c r="AY615" s="114"/>
    </row>
    <row r="616" spans="25:51" x14ac:dyDescent="0.4">
      <c r="Y616" s="115"/>
      <c r="Z616" s="115"/>
      <c r="AA616" s="115"/>
      <c r="AB616" s="115"/>
      <c r="AC616" s="115"/>
      <c r="AD616" s="122"/>
      <c r="AE616" s="122"/>
      <c r="AF616" s="122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26">
        <v>45283</v>
      </c>
      <c r="AV616" s="13" t="s">
        <v>162</v>
      </c>
      <c r="AY616" s="114"/>
    </row>
    <row r="617" spans="25:51" x14ac:dyDescent="0.4">
      <c r="Y617" s="115"/>
      <c r="Z617" s="115"/>
      <c r="AA617" s="115"/>
      <c r="AB617" s="115"/>
      <c r="AC617" s="115"/>
      <c r="AD617" s="122"/>
      <c r="AE617" s="122"/>
      <c r="AF617" s="122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26">
        <v>45283</v>
      </c>
      <c r="AV617" s="13" t="s">
        <v>162</v>
      </c>
      <c r="AY617" s="114"/>
    </row>
    <row r="618" spans="25:51" x14ac:dyDescent="0.4">
      <c r="Y618" s="115"/>
      <c r="Z618" s="115"/>
      <c r="AA618" s="115"/>
      <c r="AB618" s="115"/>
      <c r="AC618" s="115"/>
      <c r="AD618" s="122"/>
      <c r="AE618" s="122"/>
      <c r="AF618" s="122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26">
        <v>45283</v>
      </c>
      <c r="AV618" s="13" t="s">
        <v>162</v>
      </c>
      <c r="AY618" s="114"/>
    </row>
    <row r="619" spans="25:51" x14ac:dyDescent="0.4">
      <c r="Y619" s="115"/>
      <c r="Z619" s="115"/>
      <c r="AA619" s="115"/>
      <c r="AB619" s="115"/>
      <c r="AC619" s="115"/>
      <c r="AD619" s="122"/>
      <c r="AE619" s="122"/>
      <c r="AF619" s="122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26">
        <v>45283</v>
      </c>
      <c r="AV619" s="13" t="s">
        <v>162</v>
      </c>
      <c r="AY619" s="114"/>
    </row>
    <row r="620" spans="25:51" x14ac:dyDescent="0.4">
      <c r="Y620" s="115"/>
      <c r="Z620" s="115"/>
      <c r="AA620" s="115"/>
      <c r="AB620" s="115"/>
      <c r="AC620" s="115"/>
      <c r="AD620" s="122"/>
      <c r="AE620" s="122"/>
      <c r="AF620" s="122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26">
        <v>45283</v>
      </c>
      <c r="AV620" s="13" t="s">
        <v>162</v>
      </c>
      <c r="AY620" s="114"/>
    </row>
    <row r="621" spans="25:51" x14ac:dyDescent="0.4">
      <c r="Y621" s="115"/>
      <c r="Z621" s="115"/>
      <c r="AA621" s="115"/>
      <c r="AB621" s="115"/>
      <c r="AC621" s="115"/>
      <c r="AD621" s="122"/>
      <c r="AE621" s="122"/>
      <c r="AF621" s="122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26">
        <v>45283</v>
      </c>
      <c r="AV621" s="13" t="s">
        <v>162</v>
      </c>
      <c r="AY621" s="114"/>
    </row>
    <row r="622" spans="25:51" x14ac:dyDescent="0.4">
      <c r="Y622" s="115"/>
      <c r="Z622" s="115"/>
      <c r="AA622" s="115"/>
      <c r="AB622" s="115"/>
      <c r="AC622" s="115"/>
      <c r="AD622" s="122"/>
      <c r="AE622" s="122"/>
      <c r="AF622" s="122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26">
        <v>45283</v>
      </c>
      <c r="AV622" s="13" t="s">
        <v>162</v>
      </c>
      <c r="AY622" s="114"/>
    </row>
    <row r="623" spans="25:51" x14ac:dyDescent="0.4">
      <c r="Y623" s="115"/>
      <c r="Z623" s="115"/>
      <c r="AA623" s="115"/>
      <c r="AB623" s="115"/>
      <c r="AC623" s="115"/>
      <c r="AD623" s="122"/>
      <c r="AE623" s="122"/>
      <c r="AF623" s="122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26">
        <v>45283</v>
      </c>
      <c r="AV623" s="13" t="s">
        <v>162</v>
      </c>
      <c r="AY623" s="114"/>
    </row>
    <row r="624" spans="25:51" x14ac:dyDescent="0.4">
      <c r="Y624" s="115"/>
      <c r="Z624" s="115"/>
      <c r="AA624" s="115"/>
      <c r="AB624" s="115"/>
      <c r="AC624" s="115"/>
      <c r="AD624" s="122"/>
      <c r="AE624" s="122"/>
      <c r="AF624" s="122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26">
        <v>45283</v>
      </c>
      <c r="AV624" s="13" t="s">
        <v>162</v>
      </c>
      <c r="AY624" s="114"/>
    </row>
    <row r="625" spans="25:51" x14ac:dyDescent="0.4">
      <c r="Y625" s="115"/>
      <c r="Z625" s="115"/>
      <c r="AA625" s="115"/>
      <c r="AB625" s="115"/>
      <c r="AC625" s="115"/>
      <c r="AD625" s="122"/>
      <c r="AE625" s="122"/>
      <c r="AF625" s="122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26">
        <v>45283</v>
      </c>
      <c r="AV625" s="13" t="s">
        <v>162</v>
      </c>
      <c r="AY625" s="114"/>
    </row>
    <row r="626" spans="25:51" x14ac:dyDescent="0.4">
      <c r="Y626" s="115"/>
      <c r="Z626" s="115"/>
      <c r="AA626" s="115"/>
      <c r="AB626" s="115"/>
      <c r="AC626" s="115"/>
      <c r="AD626" s="122"/>
      <c r="AE626" s="122"/>
      <c r="AF626" s="122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26">
        <v>45283</v>
      </c>
      <c r="AV626" s="13" t="s">
        <v>163</v>
      </c>
      <c r="AY626" s="114"/>
    </row>
    <row r="627" spans="25:51" x14ac:dyDescent="0.4">
      <c r="Y627" s="115"/>
      <c r="Z627" s="115"/>
      <c r="AA627" s="115"/>
      <c r="AB627" s="115"/>
      <c r="AC627" s="115"/>
      <c r="AD627" s="122"/>
      <c r="AE627" s="122"/>
      <c r="AF627" s="122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26">
        <v>45283</v>
      </c>
      <c r="AV627" s="13" t="s">
        <v>163</v>
      </c>
      <c r="AY627" s="114"/>
    </row>
    <row r="628" spans="25:51" x14ac:dyDescent="0.4">
      <c r="Y628" s="115"/>
      <c r="Z628" s="115"/>
      <c r="AA628" s="115"/>
      <c r="AB628" s="115"/>
      <c r="AC628" s="115"/>
      <c r="AD628" s="122"/>
      <c r="AE628" s="122"/>
      <c r="AF628" s="122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26">
        <v>45283</v>
      </c>
      <c r="AV628" s="13" t="s">
        <v>163</v>
      </c>
      <c r="AY628" s="114"/>
    </row>
    <row r="629" spans="25:51" x14ac:dyDescent="0.4">
      <c r="Y629" s="115"/>
      <c r="Z629" s="115"/>
      <c r="AA629" s="115"/>
      <c r="AB629" s="115"/>
      <c r="AC629" s="115"/>
      <c r="AD629" s="122"/>
      <c r="AE629" s="122"/>
      <c r="AF629" s="122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 t="s">
        <v>161</v>
      </c>
      <c r="AU629" s="17">
        <f>SUBTOTAL(3,AU616:AU628)</f>
        <v>13</v>
      </c>
      <c r="AV629" s="13">
        <f>SUBTOTAL(3,AV616:AV628)</f>
        <v>13</v>
      </c>
      <c r="AY629" s="114"/>
    </row>
    <row r="630" spans="25:51" x14ac:dyDescent="0.4">
      <c r="Y630" s="115"/>
      <c r="Z630" s="115"/>
      <c r="AA630" s="115"/>
      <c r="AB630" s="115"/>
      <c r="AC630" s="115"/>
      <c r="AD630" s="122"/>
      <c r="AE630" s="122"/>
      <c r="AF630" s="122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26">
        <v>45285</v>
      </c>
      <c r="AV630" s="13" t="s">
        <v>163</v>
      </c>
      <c r="AY630" s="114"/>
    </row>
    <row r="631" spans="25:51" x14ac:dyDescent="0.4">
      <c r="Y631" s="115"/>
      <c r="Z631" s="115"/>
      <c r="AA631" s="115"/>
      <c r="AB631" s="115"/>
      <c r="AC631" s="115"/>
      <c r="AD631" s="122"/>
      <c r="AE631" s="122"/>
      <c r="AF631" s="122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 t="s">
        <v>172</v>
      </c>
      <c r="AU631" s="17">
        <f>SUBTOTAL(3,AU630:AU630)</f>
        <v>1</v>
      </c>
      <c r="AV631" s="13">
        <f>SUBTOTAL(3,AV630:AV630)</f>
        <v>1</v>
      </c>
      <c r="AY631" s="114"/>
    </row>
    <row r="632" spans="25:51" x14ac:dyDescent="0.4">
      <c r="Y632" s="115"/>
      <c r="Z632" s="115"/>
      <c r="AA632" s="115"/>
      <c r="AB632" s="115"/>
      <c r="AC632" s="115"/>
      <c r="AD632" s="122"/>
      <c r="AE632" s="122"/>
      <c r="AF632" s="122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26">
        <v>45299</v>
      </c>
      <c r="AV632" s="13" t="s">
        <v>164</v>
      </c>
      <c r="AY632" s="114"/>
    </row>
    <row r="633" spans="25:51" x14ac:dyDescent="0.4">
      <c r="Y633" s="115"/>
      <c r="Z633" s="115"/>
      <c r="AA633" s="115"/>
      <c r="AB633" s="115"/>
      <c r="AC633" s="115"/>
      <c r="AD633" s="122"/>
      <c r="AE633" s="122"/>
      <c r="AF633" s="122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26">
        <v>45299</v>
      </c>
      <c r="AV633" s="13" t="s">
        <v>162</v>
      </c>
      <c r="AY633" s="114"/>
    </row>
    <row r="634" spans="25:51" x14ac:dyDescent="0.4">
      <c r="Y634" s="115"/>
      <c r="Z634" s="115"/>
      <c r="AA634" s="115"/>
      <c r="AB634" s="115"/>
      <c r="AC634" s="115"/>
      <c r="AD634" s="122"/>
      <c r="AE634" s="122"/>
      <c r="AF634" s="122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26">
        <v>45299</v>
      </c>
      <c r="AV634" s="13" t="s">
        <v>162</v>
      </c>
      <c r="AY634" s="114"/>
    </row>
    <row r="635" spans="25:51" x14ac:dyDescent="0.4">
      <c r="Y635" s="115"/>
      <c r="Z635" s="115"/>
      <c r="AA635" s="115"/>
      <c r="AB635" s="115"/>
      <c r="AC635" s="115"/>
      <c r="AD635" s="122"/>
      <c r="AE635" s="122"/>
      <c r="AF635" s="122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26">
        <v>45299</v>
      </c>
      <c r="AV635" s="15" t="s">
        <v>162</v>
      </c>
      <c r="AY635" s="114"/>
    </row>
    <row r="636" spans="25:51" x14ac:dyDescent="0.4">
      <c r="Y636" s="115"/>
      <c r="Z636" s="115"/>
      <c r="AA636" s="115"/>
      <c r="AB636" s="115"/>
      <c r="AC636" s="115"/>
      <c r="AD636" s="122"/>
      <c r="AE636" s="122"/>
      <c r="AF636" s="122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 t="s">
        <v>173</v>
      </c>
      <c r="AU636" s="17">
        <f>SUBTOTAL(3,AU632:AU635)</f>
        <v>4</v>
      </c>
      <c r="AV636" s="13">
        <f>SUBTOTAL(3,AV632:AV635)</f>
        <v>4</v>
      </c>
      <c r="AY636" s="114"/>
    </row>
    <row r="637" spans="25:51" x14ac:dyDescent="0.4">
      <c r="Y637" s="115"/>
      <c r="Z637" s="115"/>
      <c r="AA637" s="115"/>
      <c r="AB637" s="115"/>
      <c r="AC637" s="115"/>
      <c r="AD637" s="122"/>
      <c r="AE637" s="122"/>
      <c r="AF637" s="122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 t="s">
        <v>145</v>
      </c>
      <c r="AU637" s="17">
        <f>SUBTOTAL(3,AU2:AU635)</f>
        <v>136</v>
      </c>
      <c r="AV637" s="13">
        <f>SUBTOTAL(3,AV2:AV635)</f>
        <v>136</v>
      </c>
      <c r="AY637" s="114"/>
    </row>
    <row r="638" spans="25:51" x14ac:dyDescent="0.4">
      <c r="Y638" s="115"/>
      <c r="Z638" s="115"/>
      <c r="AA638" s="115"/>
      <c r="AB638" s="115"/>
      <c r="AC638" s="115"/>
      <c r="AD638" s="122"/>
      <c r="AE638" s="122"/>
      <c r="AF638" s="122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 t="s">
        <v>145</v>
      </c>
      <c r="AS638" s="115"/>
      <c r="AT638" s="115"/>
      <c r="AU638" s="26"/>
      <c r="AV638" s="13"/>
      <c r="AY638" s="114"/>
    </row>
    <row r="639" spans="25:51" x14ac:dyDescent="0.4">
      <c r="Y639" s="115"/>
      <c r="Z639" s="115"/>
      <c r="AA639" s="115"/>
      <c r="AB639" s="115"/>
      <c r="AC639" s="115"/>
      <c r="AD639" s="122"/>
      <c r="AE639" s="122"/>
      <c r="AF639" s="122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7"/>
      <c r="AV639" s="13"/>
      <c r="AY639" s="114"/>
    </row>
    <row r="640" spans="25:51" x14ac:dyDescent="0.4">
      <c r="Y640" s="115"/>
      <c r="Z640" s="115"/>
      <c r="AA640" s="115"/>
      <c r="AB640" s="115"/>
      <c r="AC640" s="115"/>
      <c r="AD640" s="122"/>
      <c r="AE640" s="122"/>
      <c r="AF640" s="122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26"/>
      <c r="AV640" s="13"/>
      <c r="AY640" s="114"/>
    </row>
    <row r="641" spans="25:51" x14ac:dyDescent="0.4">
      <c r="Y641" s="115"/>
      <c r="Z641" s="115"/>
      <c r="AA641" s="115"/>
      <c r="AB641" s="115"/>
      <c r="AC641" s="115"/>
      <c r="AD641" s="122"/>
      <c r="AE641" s="122"/>
      <c r="AF641" s="122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7"/>
      <c r="AV641" s="13"/>
      <c r="AY641" s="114"/>
    </row>
    <row r="642" spans="25:51" x14ac:dyDescent="0.4">
      <c r="Y642" s="115"/>
      <c r="Z642" s="115"/>
      <c r="AA642" s="115"/>
      <c r="AB642" s="115"/>
      <c r="AC642" s="115"/>
      <c r="AD642" s="122"/>
      <c r="AE642" s="122"/>
      <c r="AF642" s="122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26"/>
      <c r="AV642" s="13"/>
      <c r="AY642" s="114"/>
    </row>
    <row r="643" spans="25:51" x14ac:dyDescent="0.4">
      <c r="Y643" s="115"/>
      <c r="Z643" s="115"/>
      <c r="AA643" s="115"/>
      <c r="AB643" s="115"/>
      <c r="AC643" s="115"/>
      <c r="AD643" s="122"/>
      <c r="AE643" s="122"/>
      <c r="AF643" s="122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26"/>
      <c r="AV643" s="13"/>
      <c r="AY643" s="114"/>
    </row>
    <row r="644" spans="25:51" x14ac:dyDescent="0.4">
      <c r="Y644" s="115"/>
      <c r="Z644" s="115"/>
      <c r="AA644" s="115"/>
      <c r="AB644" s="115"/>
      <c r="AC644" s="115"/>
      <c r="AD644" s="122"/>
      <c r="AE644" s="122"/>
      <c r="AF644" s="122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26"/>
      <c r="AV644" s="13"/>
      <c r="AY644" s="114"/>
    </row>
    <row r="645" spans="25:51" x14ac:dyDescent="0.4">
      <c r="Y645" s="115"/>
      <c r="Z645" s="115"/>
      <c r="AA645" s="115"/>
      <c r="AB645" s="115"/>
      <c r="AC645" s="115"/>
      <c r="AD645" s="122"/>
      <c r="AE645" s="122"/>
      <c r="AF645" s="122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7"/>
      <c r="AV645" s="13"/>
      <c r="AY645" s="114"/>
    </row>
    <row r="646" spans="25:51" x14ac:dyDescent="0.4">
      <c r="Y646" s="115"/>
      <c r="Z646" s="115"/>
      <c r="AA646" s="115"/>
      <c r="AB646" s="115"/>
      <c r="AC646" s="115"/>
      <c r="AD646" s="122"/>
      <c r="AE646" s="122"/>
      <c r="AF646" s="122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26"/>
      <c r="AV646" s="13"/>
      <c r="AY646" s="114"/>
    </row>
    <row r="647" spans="25:51" x14ac:dyDescent="0.4">
      <c r="Y647" s="115"/>
      <c r="Z647" s="115"/>
      <c r="AA647" s="115"/>
      <c r="AB647" s="115"/>
      <c r="AC647" s="115"/>
      <c r="AD647" s="122"/>
      <c r="AE647" s="122"/>
      <c r="AF647" s="122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7"/>
      <c r="AV647" s="13"/>
      <c r="AY647" s="114"/>
    </row>
    <row r="648" spans="25:51" x14ac:dyDescent="0.4">
      <c r="Y648" s="115"/>
      <c r="Z648" s="115"/>
      <c r="AA648" s="115"/>
      <c r="AB648" s="115"/>
      <c r="AC648" s="115"/>
      <c r="AD648" s="122"/>
      <c r="AE648" s="122"/>
      <c r="AF648" s="122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26"/>
      <c r="AV648" s="13"/>
      <c r="AY648" s="114"/>
    </row>
    <row r="649" spans="25:51" x14ac:dyDescent="0.4">
      <c r="Y649" s="115"/>
      <c r="Z649" s="115"/>
      <c r="AA649" s="115"/>
      <c r="AB649" s="115"/>
      <c r="AC649" s="115"/>
      <c r="AD649" s="122"/>
      <c r="AE649" s="122"/>
      <c r="AF649" s="122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7"/>
      <c r="AV649" s="13"/>
      <c r="AY649" s="114"/>
    </row>
    <row r="650" spans="25:51" x14ac:dyDescent="0.4">
      <c r="Y650" s="115"/>
      <c r="Z650" s="115"/>
      <c r="AA650" s="115"/>
      <c r="AB650" s="115"/>
      <c r="AC650" s="115"/>
      <c r="AD650" s="122"/>
      <c r="AE650" s="122"/>
      <c r="AF650" s="122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7"/>
      <c r="AV650" s="13"/>
      <c r="AY650" s="114"/>
    </row>
    <row r="651" spans="25:51" x14ac:dyDescent="0.4">
      <c r="Y651" s="115"/>
      <c r="Z651" s="115"/>
      <c r="AA651" s="115"/>
      <c r="AB651" s="115"/>
      <c r="AC651" s="115"/>
      <c r="AD651" s="122"/>
      <c r="AE651" s="122"/>
      <c r="AF651" s="122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7"/>
      <c r="AV651" s="13"/>
      <c r="AY651" s="114"/>
    </row>
    <row r="652" spans="25:51" x14ac:dyDescent="0.4">
      <c r="Y652" s="115"/>
      <c r="Z652" s="115"/>
      <c r="AA652" s="115"/>
      <c r="AB652" s="115"/>
      <c r="AC652" s="115"/>
      <c r="AD652" s="122"/>
      <c r="AE652" s="122"/>
      <c r="AF652" s="122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26"/>
      <c r="AV652" s="13"/>
      <c r="AY652" s="114"/>
    </row>
    <row r="653" spans="25:51" x14ac:dyDescent="0.4">
      <c r="Y653" s="115"/>
      <c r="Z653" s="115"/>
      <c r="AA653" s="115"/>
      <c r="AB653" s="115"/>
      <c r="AC653" s="115"/>
      <c r="AD653" s="122"/>
      <c r="AE653" s="122"/>
      <c r="AF653" s="122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7"/>
      <c r="AV653" s="13"/>
      <c r="AY653" s="114"/>
    </row>
    <row r="654" spans="25:51" x14ac:dyDescent="0.4">
      <c r="Y654" s="115"/>
      <c r="Z654" s="115"/>
      <c r="AA654" s="115"/>
      <c r="AB654" s="115"/>
      <c r="AC654" s="115"/>
      <c r="AD654" s="122"/>
      <c r="AE654" s="122"/>
      <c r="AF654" s="122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26"/>
      <c r="AV654" s="13"/>
      <c r="AY654" s="114"/>
    </row>
    <row r="655" spans="25:51" x14ac:dyDescent="0.4">
      <c r="Y655" s="115"/>
      <c r="Z655" s="115"/>
      <c r="AA655" s="115"/>
      <c r="AB655" s="115"/>
      <c r="AC655" s="115"/>
      <c r="AD655" s="122"/>
      <c r="AE655" s="122"/>
      <c r="AF655" s="122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7"/>
      <c r="AV655" s="13"/>
      <c r="AY655" s="114"/>
    </row>
    <row r="656" spans="25:51" x14ac:dyDescent="0.4">
      <c r="Y656" s="115"/>
      <c r="Z656" s="115"/>
      <c r="AA656" s="115"/>
      <c r="AB656" s="115"/>
      <c r="AC656" s="115"/>
      <c r="AD656" s="122"/>
      <c r="AE656" s="122"/>
      <c r="AF656" s="122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26"/>
      <c r="AV656" s="25"/>
      <c r="AY656" s="114"/>
    </row>
    <row r="657" spans="25:51" x14ac:dyDescent="0.4">
      <c r="Y657" s="115"/>
      <c r="Z657" s="115"/>
      <c r="AA657" s="115"/>
      <c r="AB657" s="115"/>
      <c r="AC657" s="115"/>
      <c r="AD657" s="122"/>
      <c r="AE657" s="122"/>
      <c r="AF657" s="122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7"/>
      <c r="AV657" s="13"/>
      <c r="AY657" s="114"/>
    </row>
    <row r="658" spans="25:51" x14ac:dyDescent="0.4">
      <c r="Y658" s="115"/>
      <c r="Z658" s="115"/>
      <c r="AA658" s="115"/>
      <c r="AB658" s="115"/>
      <c r="AC658" s="115"/>
      <c r="AD658" s="122"/>
      <c r="AE658" s="122"/>
      <c r="AF658" s="122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7"/>
      <c r="AV658" s="13"/>
      <c r="AY658" s="114"/>
    </row>
    <row r="659" spans="25:51" x14ac:dyDescent="0.4">
      <c r="Y659" s="115"/>
      <c r="Z659" s="115"/>
      <c r="AA659" s="115"/>
      <c r="AB659" s="115"/>
      <c r="AC659" s="115"/>
      <c r="AD659" s="122"/>
      <c r="AE659" s="122"/>
      <c r="AF659" s="122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26"/>
      <c r="AV659" s="15"/>
      <c r="AY659" s="114"/>
    </row>
    <row r="660" spans="25:51" x14ac:dyDescent="0.4">
      <c r="Y660" s="115"/>
      <c r="Z660" s="115"/>
      <c r="AA660" s="115"/>
      <c r="AB660" s="115"/>
      <c r="AC660" s="115"/>
      <c r="AD660" s="122"/>
      <c r="AE660" s="122"/>
      <c r="AF660" s="122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26"/>
      <c r="AV660" s="15"/>
      <c r="AY660" s="114"/>
    </row>
    <row r="661" spans="25:51" x14ac:dyDescent="0.4">
      <c r="Y661" s="115"/>
      <c r="Z661" s="115"/>
      <c r="AA661" s="115"/>
      <c r="AB661" s="115"/>
      <c r="AC661" s="115"/>
      <c r="AD661" s="122"/>
      <c r="AE661" s="122"/>
      <c r="AF661" s="122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26"/>
      <c r="AV661" s="15"/>
      <c r="AY661" s="114"/>
    </row>
    <row r="662" spans="25:51" x14ac:dyDescent="0.4">
      <c r="Y662" s="115"/>
      <c r="Z662" s="115"/>
      <c r="AA662" s="115"/>
      <c r="AB662" s="115"/>
      <c r="AC662" s="115"/>
      <c r="AD662" s="122"/>
      <c r="AE662" s="122"/>
      <c r="AF662" s="122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26"/>
      <c r="AV662" s="15"/>
      <c r="AY662" s="114"/>
    </row>
    <row r="663" spans="25:51" x14ac:dyDescent="0.4">
      <c r="Y663" s="115"/>
      <c r="Z663" s="115"/>
      <c r="AA663" s="115"/>
      <c r="AB663" s="115"/>
      <c r="AC663" s="115"/>
      <c r="AD663" s="122"/>
      <c r="AE663" s="122"/>
      <c r="AF663" s="122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26"/>
      <c r="AV663" s="15"/>
      <c r="AY663" s="114"/>
    </row>
    <row r="664" spans="25:51" x14ac:dyDescent="0.4">
      <c r="Y664" s="115"/>
      <c r="Z664" s="115"/>
      <c r="AA664" s="115"/>
      <c r="AB664" s="115"/>
      <c r="AC664" s="115"/>
      <c r="AD664" s="122"/>
      <c r="AE664" s="122"/>
      <c r="AF664" s="122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26"/>
      <c r="AV664" s="15"/>
      <c r="AY664" s="114"/>
    </row>
    <row r="665" spans="25:51" x14ac:dyDescent="0.4">
      <c r="Y665" s="115"/>
      <c r="Z665" s="115"/>
      <c r="AA665" s="115"/>
      <c r="AB665" s="115"/>
      <c r="AC665" s="115"/>
      <c r="AD665" s="122"/>
      <c r="AE665" s="122"/>
      <c r="AF665" s="122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26"/>
      <c r="AV665" s="15"/>
      <c r="AY665" s="114"/>
    </row>
    <row r="666" spans="25:51" x14ac:dyDescent="0.4">
      <c r="Y666" s="115"/>
      <c r="Z666" s="115"/>
      <c r="AA666" s="115"/>
      <c r="AB666" s="115"/>
      <c r="AC666" s="115"/>
      <c r="AD666" s="122"/>
      <c r="AE666" s="122"/>
      <c r="AF666" s="122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26"/>
      <c r="AV666" s="15"/>
      <c r="AY666" s="114"/>
    </row>
    <row r="667" spans="25:51" x14ac:dyDescent="0.4">
      <c r="Y667" s="115"/>
      <c r="Z667" s="115"/>
      <c r="AA667" s="115"/>
      <c r="AB667" s="115"/>
      <c r="AC667" s="115"/>
      <c r="AD667" s="122"/>
      <c r="AE667" s="122"/>
      <c r="AF667" s="122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7"/>
      <c r="AV667" s="15"/>
      <c r="AY667" s="114"/>
    </row>
    <row r="668" spans="25:51" x14ac:dyDescent="0.4">
      <c r="Y668" s="115"/>
      <c r="Z668" s="115"/>
      <c r="AA668" s="115"/>
      <c r="AB668" s="115"/>
      <c r="AC668" s="115"/>
      <c r="AD668" s="122"/>
      <c r="AE668" s="122"/>
      <c r="AF668" s="122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26"/>
      <c r="AV668" s="15"/>
      <c r="AY668" s="114"/>
    </row>
    <row r="669" spans="25:51" x14ac:dyDescent="0.4">
      <c r="Y669" s="115"/>
      <c r="Z669" s="115"/>
      <c r="AA669" s="115"/>
      <c r="AB669" s="115"/>
      <c r="AC669" s="115"/>
      <c r="AD669" s="122"/>
      <c r="AE669" s="122"/>
      <c r="AF669" s="122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26"/>
      <c r="AV669" s="13"/>
      <c r="AY669" s="114"/>
    </row>
    <row r="670" spans="25:51" x14ac:dyDescent="0.4">
      <c r="Y670" s="115"/>
      <c r="Z670" s="115"/>
      <c r="AA670" s="115"/>
      <c r="AB670" s="115"/>
      <c r="AC670" s="115"/>
      <c r="AD670" s="122"/>
      <c r="AE670" s="122"/>
      <c r="AF670" s="122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26"/>
      <c r="AV670" s="13"/>
      <c r="AY670" s="114"/>
    </row>
    <row r="671" spans="25:51" x14ac:dyDescent="0.4">
      <c r="Y671" s="115"/>
      <c r="Z671" s="115"/>
      <c r="AA671" s="115"/>
      <c r="AB671" s="115"/>
      <c r="AC671" s="115"/>
      <c r="AD671" s="122"/>
      <c r="AE671" s="122"/>
      <c r="AF671" s="122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26"/>
      <c r="AV671" s="13"/>
      <c r="AY671" s="114"/>
    </row>
    <row r="672" spans="25:51" x14ac:dyDescent="0.4">
      <c r="Y672" s="115"/>
      <c r="Z672" s="115"/>
      <c r="AA672" s="115"/>
      <c r="AB672" s="115"/>
      <c r="AC672" s="115"/>
      <c r="AD672" s="122"/>
      <c r="AE672" s="122"/>
      <c r="AF672" s="122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26"/>
      <c r="AV672" s="13"/>
      <c r="AY672" s="114"/>
    </row>
    <row r="673" spans="25:51" x14ac:dyDescent="0.4">
      <c r="Y673" s="115"/>
      <c r="Z673" s="115"/>
      <c r="AA673" s="115"/>
      <c r="AB673" s="115"/>
      <c r="AC673" s="115"/>
      <c r="AD673" s="122"/>
      <c r="AE673" s="122"/>
      <c r="AF673" s="122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26"/>
      <c r="AV673" s="13"/>
      <c r="AY673" s="114"/>
    </row>
    <row r="674" spans="25:51" x14ac:dyDescent="0.4">
      <c r="Y674" s="115"/>
      <c r="Z674" s="115"/>
      <c r="AA674" s="115"/>
      <c r="AB674" s="115"/>
      <c r="AC674" s="115"/>
      <c r="AD674" s="122"/>
      <c r="AE674" s="122"/>
      <c r="AF674" s="122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26"/>
      <c r="AV674" s="13"/>
      <c r="AY674" s="114"/>
    </row>
    <row r="675" spans="25:51" x14ac:dyDescent="0.4">
      <c r="Y675" s="115"/>
      <c r="Z675" s="115"/>
      <c r="AA675" s="115"/>
      <c r="AB675" s="115"/>
      <c r="AC675" s="115"/>
      <c r="AD675" s="122"/>
      <c r="AE675" s="122"/>
      <c r="AF675" s="122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26"/>
      <c r="AV675" s="13"/>
      <c r="AY675" s="114"/>
    </row>
    <row r="676" spans="25:51" x14ac:dyDescent="0.4">
      <c r="Y676" s="115"/>
      <c r="Z676" s="115"/>
      <c r="AA676" s="115"/>
      <c r="AB676" s="115"/>
      <c r="AC676" s="115"/>
      <c r="AD676" s="122"/>
      <c r="AE676" s="122"/>
      <c r="AF676" s="122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26"/>
      <c r="AV676" s="13"/>
      <c r="AY676" s="114"/>
    </row>
    <row r="677" spans="25:51" x14ac:dyDescent="0.4">
      <c r="Y677" s="115"/>
      <c r="Z677" s="115"/>
      <c r="AA677" s="115"/>
      <c r="AB677" s="115"/>
      <c r="AC677" s="115"/>
      <c r="AD677" s="122"/>
      <c r="AE677" s="122"/>
      <c r="AF677" s="122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26"/>
      <c r="AV677" s="13"/>
      <c r="AY677" s="114"/>
    </row>
    <row r="678" spans="25:51" x14ac:dyDescent="0.4">
      <c r="Y678" s="115"/>
      <c r="Z678" s="115"/>
      <c r="AA678" s="115"/>
      <c r="AB678" s="115"/>
      <c r="AC678" s="115"/>
      <c r="AD678" s="122"/>
      <c r="AE678" s="122"/>
      <c r="AF678" s="122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26"/>
      <c r="AV678" s="13"/>
      <c r="AY678" s="114"/>
    </row>
    <row r="679" spans="25:51" x14ac:dyDescent="0.4">
      <c r="Y679" s="115"/>
      <c r="Z679" s="115"/>
      <c r="AA679" s="115"/>
      <c r="AB679" s="115"/>
      <c r="AC679" s="115"/>
      <c r="AD679" s="122"/>
      <c r="AE679" s="122"/>
      <c r="AF679" s="122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26"/>
      <c r="AV679" s="13"/>
      <c r="AY679" s="114"/>
    </row>
    <row r="680" spans="25:51" x14ac:dyDescent="0.4">
      <c r="Y680" s="115"/>
      <c r="Z680" s="115"/>
      <c r="AA680" s="115"/>
      <c r="AB680" s="115"/>
      <c r="AC680" s="115"/>
      <c r="AD680" s="122"/>
      <c r="AE680" s="122"/>
      <c r="AF680" s="122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7"/>
      <c r="AV680" s="13"/>
      <c r="AY680" s="114"/>
    </row>
    <row r="681" spans="25:51" x14ac:dyDescent="0.4">
      <c r="Y681" s="115"/>
      <c r="Z681" s="115"/>
      <c r="AA681" s="115"/>
      <c r="AB681" s="115"/>
      <c r="AC681" s="115"/>
      <c r="AD681" s="122"/>
      <c r="AE681" s="122"/>
      <c r="AF681" s="122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26"/>
      <c r="AV681" s="13"/>
      <c r="AY681" s="114"/>
    </row>
    <row r="682" spans="25:51" x14ac:dyDescent="0.4">
      <c r="Y682" s="115"/>
      <c r="Z682" s="115"/>
      <c r="AA682" s="115"/>
      <c r="AB682" s="115"/>
      <c r="AC682" s="115"/>
      <c r="AD682" s="122"/>
      <c r="AE682" s="122"/>
      <c r="AF682" s="122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26"/>
      <c r="AV682" s="13"/>
      <c r="AY682" s="114"/>
    </row>
    <row r="683" spans="25:51" x14ac:dyDescent="0.4">
      <c r="Y683" s="115"/>
      <c r="Z683" s="115"/>
      <c r="AA683" s="115"/>
      <c r="AB683" s="115"/>
      <c r="AC683" s="115"/>
      <c r="AD683" s="122"/>
      <c r="AE683" s="122"/>
      <c r="AF683" s="122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26"/>
      <c r="AV683" s="13"/>
      <c r="AY683" s="114"/>
    </row>
    <row r="684" spans="25:51" x14ac:dyDescent="0.4">
      <c r="Y684" s="115"/>
      <c r="Z684" s="115"/>
      <c r="AA684" s="115"/>
      <c r="AB684" s="115"/>
      <c r="AC684" s="115"/>
      <c r="AD684" s="122"/>
      <c r="AE684" s="122"/>
      <c r="AF684" s="122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7"/>
      <c r="AV684" s="13"/>
      <c r="AY684" s="114"/>
    </row>
    <row r="685" spans="25:51" x14ac:dyDescent="0.4">
      <c r="Y685" s="115"/>
      <c r="Z685" s="115"/>
      <c r="AA685" s="115"/>
      <c r="AB685" s="115"/>
      <c r="AC685" s="115"/>
      <c r="AD685" s="122"/>
      <c r="AE685" s="122"/>
      <c r="AF685" s="122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26"/>
      <c r="AV685" s="13"/>
      <c r="AY685" s="114"/>
    </row>
    <row r="686" spans="25:51" x14ac:dyDescent="0.4">
      <c r="Y686" s="115"/>
      <c r="Z686" s="115"/>
      <c r="AA686" s="115"/>
      <c r="AB686" s="115"/>
      <c r="AC686" s="115"/>
      <c r="AD686" s="122"/>
      <c r="AE686" s="122"/>
      <c r="AF686" s="122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7"/>
      <c r="AV686" s="13"/>
      <c r="AY686" s="114"/>
    </row>
    <row r="687" spans="25:51" x14ac:dyDescent="0.4">
      <c r="Y687" s="115"/>
      <c r="Z687" s="115"/>
      <c r="AA687" s="115"/>
      <c r="AB687" s="115"/>
      <c r="AC687" s="115"/>
      <c r="AD687" s="122"/>
      <c r="AE687" s="122"/>
      <c r="AF687" s="122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26"/>
      <c r="AV687" s="13"/>
      <c r="AY687" s="114"/>
    </row>
    <row r="688" spans="25:51" x14ac:dyDescent="0.4">
      <c r="Y688" s="115"/>
      <c r="Z688" s="115"/>
      <c r="AA688" s="115"/>
      <c r="AB688" s="115"/>
      <c r="AC688" s="115"/>
      <c r="AD688" s="122"/>
      <c r="AE688" s="122"/>
      <c r="AF688" s="122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26"/>
      <c r="AV688" s="15"/>
      <c r="AY688" s="114"/>
    </row>
    <row r="689" spans="24:51" x14ac:dyDescent="0.4">
      <c r="Y689" s="115"/>
      <c r="Z689" s="115"/>
      <c r="AA689" s="115"/>
      <c r="AB689" s="115"/>
      <c r="AC689" s="115"/>
      <c r="AD689" s="122"/>
      <c r="AE689" s="122"/>
      <c r="AF689" s="122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7"/>
      <c r="AV689" s="15"/>
      <c r="AY689" s="114"/>
    </row>
    <row r="690" spans="24:51" x14ac:dyDescent="0.4">
      <c r="Y690" s="115"/>
      <c r="Z690" s="115"/>
      <c r="AA690" s="115"/>
      <c r="AB690" s="115"/>
      <c r="AC690" s="115"/>
      <c r="AD690" s="122"/>
      <c r="AE690" s="122"/>
      <c r="AF690" s="122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7"/>
      <c r="AV690" s="15"/>
      <c r="AY690" s="114"/>
    </row>
    <row r="691" spans="24:51" x14ac:dyDescent="0.4">
      <c r="X691" s="115"/>
      <c r="Y691" s="115"/>
      <c r="Z691" s="115"/>
      <c r="AA691" s="115"/>
      <c r="AB691" s="115"/>
      <c r="AC691" s="115"/>
      <c r="AD691" s="122"/>
      <c r="AE691" s="122"/>
      <c r="AF691" s="122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26"/>
      <c r="AV691" s="15"/>
      <c r="AY691" s="114"/>
    </row>
    <row r="692" spans="24:51" x14ac:dyDescent="0.4">
      <c r="X692" s="115"/>
      <c r="Y692" s="115"/>
      <c r="Z692" s="115"/>
      <c r="AA692" s="115"/>
      <c r="AB692" s="115"/>
      <c r="AC692" s="115"/>
      <c r="AD692" s="122"/>
      <c r="AE692" s="122"/>
      <c r="AF692" s="122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7"/>
      <c r="AV692" s="15"/>
      <c r="AY692" s="114"/>
    </row>
    <row r="693" spans="24:51" x14ac:dyDescent="0.4">
      <c r="X693" s="115"/>
      <c r="Y693" s="115"/>
      <c r="Z693" s="115"/>
      <c r="AA693" s="115"/>
      <c r="AB693" s="115"/>
      <c r="AC693" s="115"/>
      <c r="AD693" s="122"/>
      <c r="AE693" s="122"/>
      <c r="AF693" s="122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26"/>
      <c r="AV693" s="15"/>
      <c r="AY693" s="114"/>
    </row>
    <row r="694" spans="24:51" x14ac:dyDescent="0.4">
      <c r="X694" s="115"/>
      <c r="Y694" s="115"/>
      <c r="Z694" s="115"/>
      <c r="AA694" s="115"/>
      <c r="AB694" s="115"/>
      <c r="AC694" s="115"/>
      <c r="AD694" s="122"/>
      <c r="AE694" s="122"/>
      <c r="AF694" s="122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26"/>
      <c r="AV694" s="15"/>
      <c r="AY694" s="114"/>
    </row>
    <row r="695" spans="24:51" x14ac:dyDescent="0.4">
      <c r="X695" s="115"/>
      <c r="Y695" s="115"/>
      <c r="Z695" s="115"/>
      <c r="AA695" s="115"/>
      <c r="AB695" s="115"/>
      <c r="AC695" s="115"/>
      <c r="AD695" s="122"/>
      <c r="AE695" s="122"/>
      <c r="AF695" s="122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7"/>
      <c r="AV695" s="15"/>
      <c r="AY695" s="114"/>
    </row>
    <row r="696" spans="24:51" x14ac:dyDescent="0.4">
      <c r="X696" s="115"/>
      <c r="Y696" s="115"/>
      <c r="Z696" s="115"/>
      <c r="AA696" s="115"/>
      <c r="AB696" s="115"/>
      <c r="AC696" s="115"/>
      <c r="AD696" s="122"/>
      <c r="AE696" s="122"/>
      <c r="AF696" s="122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26"/>
      <c r="AV696" s="15"/>
      <c r="AY696" s="114"/>
    </row>
    <row r="697" spans="24:51" x14ac:dyDescent="0.4">
      <c r="X697" s="115"/>
      <c r="Y697" s="115"/>
      <c r="Z697" s="115"/>
      <c r="AA697" s="115"/>
      <c r="AB697" s="115"/>
      <c r="AC697" s="115"/>
      <c r="AD697" s="122"/>
      <c r="AE697" s="122"/>
      <c r="AF697" s="122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7"/>
      <c r="AV697" s="15"/>
      <c r="AY697" s="114"/>
    </row>
    <row r="698" spans="24:51" x14ac:dyDescent="0.4">
      <c r="X698" s="115"/>
      <c r="Y698" s="115"/>
      <c r="Z698" s="115"/>
      <c r="AA698" s="115"/>
      <c r="AB698" s="115"/>
      <c r="AC698" s="115"/>
      <c r="AD698" s="122"/>
      <c r="AE698" s="122"/>
      <c r="AF698" s="122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17"/>
      <c r="AV698" s="15"/>
      <c r="AY698" s="114"/>
    </row>
    <row r="699" spans="24:51" x14ac:dyDescent="0.4">
      <c r="X699" s="115"/>
      <c r="Y699" s="115"/>
      <c r="Z699" s="115"/>
      <c r="AA699" s="115"/>
      <c r="AB699" s="115"/>
      <c r="AC699" s="115"/>
      <c r="AD699" s="122"/>
      <c r="AE699" s="122"/>
      <c r="AF699" s="122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26"/>
      <c r="AV699" s="15"/>
      <c r="AY699" s="114"/>
    </row>
    <row r="700" spans="24:51" x14ac:dyDescent="0.4">
      <c r="X700" s="115"/>
      <c r="Y700" s="115"/>
      <c r="Z700" s="115"/>
      <c r="AA700" s="115"/>
      <c r="AB700" s="115"/>
      <c r="AC700" s="115"/>
      <c r="AD700" s="122"/>
      <c r="AE700" s="122"/>
      <c r="AF700" s="122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26"/>
      <c r="AV700" s="15"/>
      <c r="AY700" s="114"/>
    </row>
    <row r="701" spans="24:51" x14ac:dyDescent="0.4">
      <c r="X701" s="115"/>
      <c r="Y701" s="115"/>
      <c r="Z701" s="115"/>
      <c r="AA701" s="115"/>
      <c r="AB701" s="115"/>
      <c r="AC701" s="115"/>
      <c r="AD701" s="122"/>
      <c r="AE701" s="122"/>
      <c r="AF701" s="122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26"/>
      <c r="AV701" s="15"/>
      <c r="AY701" s="114"/>
    </row>
    <row r="702" spans="24:51" x14ac:dyDescent="0.4">
      <c r="X702" s="115"/>
      <c r="Y702" s="115"/>
      <c r="Z702" s="115"/>
      <c r="AA702" s="115"/>
      <c r="AB702" s="115"/>
      <c r="AC702" s="115"/>
      <c r="AD702" s="122"/>
      <c r="AE702" s="122"/>
      <c r="AF702" s="122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26"/>
      <c r="AV702" s="15"/>
      <c r="AY702" s="114"/>
    </row>
    <row r="703" spans="24:51" x14ac:dyDescent="0.4">
      <c r="X703" s="115"/>
      <c r="Y703" s="115"/>
      <c r="Z703" s="115"/>
      <c r="AA703" s="115"/>
      <c r="AB703" s="115"/>
      <c r="AC703" s="115"/>
      <c r="AD703" s="122"/>
      <c r="AE703" s="122"/>
      <c r="AF703" s="122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26"/>
      <c r="AV703" s="15"/>
      <c r="AY703" s="114"/>
    </row>
    <row r="704" spans="24:51" x14ac:dyDescent="0.4">
      <c r="X704" s="115"/>
      <c r="Y704" s="115"/>
      <c r="Z704" s="115"/>
      <c r="AA704" s="115"/>
      <c r="AB704" s="115"/>
      <c r="AC704" s="115"/>
      <c r="AD704" s="122"/>
      <c r="AE704" s="122"/>
      <c r="AF704" s="122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26"/>
      <c r="AV704" s="15"/>
      <c r="AY704" s="114"/>
    </row>
    <row r="705" spans="24:51" x14ac:dyDescent="0.4">
      <c r="X705" s="115"/>
      <c r="Y705" s="115"/>
      <c r="Z705" s="115"/>
      <c r="AA705" s="115"/>
      <c r="AB705" s="115"/>
      <c r="AC705" s="115"/>
      <c r="AD705" s="122"/>
      <c r="AE705" s="122"/>
      <c r="AF705" s="122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26"/>
      <c r="AV705" s="15"/>
      <c r="AY705" s="114"/>
    </row>
    <row r="706" spans="24:51" x14ac:dyDescent="0.4">
      <c r="X706" s="115"/>
      <c r="Y706" s="115"/>
      <c r="Z706" s="115"/>
      <c r="AA706" s="115"/>
      <c r="AB706" s="115"/>
      <c r="AC706" s="115"/>
      <c r="AD706" s="122"/>
      <c r="AE706" s="122"/>
      <c r="AF706" s="122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7"/>
      <c r="AV706" s="15"/>
      <c r="AY706" s="114"/>
    </row>
    <row r="707" spans="24:51" x14ac:dyDescent="0.4">
      <c r="X707" s="115"/>
      <c r="Y707" s="115"/>
      <c r="Z707" s="115"/>
      <c r="AA707" s="115"/>
      <c r="AB707" s="115"/>
      <c r="AC707" s="115"/>
      <c r="AD707" s="122"/>
      <c r="AE707" s="122"/>
      <c r="AF707" s="122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26"/>
      <c r="AV707" s="15"/>
      <c r="AY707" s="114"/>
    </row>
    <row r="708" spans="24:51" x14ac:dyDescent="0.4">
      <c r="X708" s="115"/>
      <c r="Y708" s="115"/>
      <c r="Z708" s="115"/>
      <c r="AA708" s="115"/>
      <c r="AB708" s="115"/>
      <c r="AC708" s="115"/>
      <c r="AD708" s="122"/>
      <c r="AE708" s="122"/>
      <c r="AF708" s="122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26"/>
      <c r="AV708" s="15"/>
      <c r="AY708" s="114"/>
    </row>
    <row r="709" spans="24:51" x14ac:dyDescent="0.4">
      <c r="X709" s="115"/>
      <c r="Y709" s="115"/>
      <c r="Z709" s="115"/>
      <c r="AA709" s="115"/>
      <c r="AB709" s="115"/>
      <c r="AC709" s="115"/>
      <c r="AD709" s="122"/>
      <c r="AE709" s="122"/>
      <c r="AF709" s="122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26"/>
      <c r="AV709" s="15"/>
      <c r="AY709" s="114"/>
    </row>
    <row r="710" spans="24:51" x14ac:dyDescent="0.4">
      <c r="X710" s="115"/>
      <c r="Y710" s="115"/>
      <c r="Z710" s="115"/>
      <c r="AA710" s="115"/>
      <c r="AB710" s="115"/>
      <c r="AC710" s="115"/>
      <c r="AD710" s="122"/>
      <c r="AE710" s="122"/>
      <c r="AF710" s="122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26"/>
      <c r="AV710" s="13"/>
      <c r="AY710" s="114"/>
    </row>
    <row r="711" spans="24:51" x14ac:dyDescent="0.4">
      <c r="X711" s="115"/>
      <c r="Y711" s="115"/>
      <c r="Z711" s="115"/>
      <c r="AA711" s="115"/>
      <c r="AB711" s="115"/>
      <c r="AC711" s="115"/>
      <c r="AD711" s="122"/>
      <c r="AE711" s="122"/>
      <c r="AF711" s="122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7"/>
      <c r="AV711" s="13"/>
      <c r="AY711" s="114"/>
    </row>
    <row r="712" spans="24:51" x14ac:dyDescent="0.4">
      <c r="X712" s="115"/>
      <c r="Y712" s="115"/>
      <c r="Z712" s="115"/>
      <c r="AA712" s="115"/>
      <c r="AB712" s="115"/>
      <c r="AC712" s="115"/>
      <c r="AD712" s="122"/>
      <c r="AE712" s="122"/>
      <c r="AF712" s="122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26"/>
      <c r="AV712" s="13"/>
      <c r="AY712" s="114"/>
    </row>
    <row r="713" spans="24:51" x14ac:dyDescent="0.4">
      <c r="X713" s="115"/>
      <c r="Y713" s="115"/>
      <c r="Z713" s="115"/>
      <c r="AA713" s="115"/>
      <c r="AB713" s="115"/>
      <c r="AC713" s="115"/>
      <c r="AD713" s="122"/>
      <c r="AE713" s="122"/>
      <c r="AF713" s="122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26"/>
      <c r="AV713" s="13"/>
      <c r="AY713" s="114"/>
    </row>
    <row r="714" spans="24:51" x14ac:dyDescent="0.4">
      <c r="X714" s="115"/>
      <c r="Y714" s="115"/>
      <c r="Z714" s="115"/>
      <c r="AA714" s="115"/>
      <c r="AB714" s="115"/>
      <c r="AC714" s="115"/>
      <c r="AD714" s="122"/>
      <c r="AE714" s="122"/>
      <c r="AF714" s="122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26"/>
      <c r="AV714" s="13"/>
      <c r="AY714" s="114"/>
    </row>
    <row r="715" spans="24:51" x14ac:dyDescent="0.4">
      <c r="X715" s="115"/>
      <c r="Y715" s="115"/>
      <c r="Z715" s="115"/>
      <c r="AA715" s="115"/>
      <c r="AB715" s="115"/>
      <c r="AC715" s="115"/>
      <c r="AD715" s="122"/>
      <c r="AE715" s="122"/>
      <c r="AF715" s="122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26"/>
      <c r="AV715" s="13"/>
      <c r="AY715" s="114"/>
    </row>
    <row r="716" spans="24:51" x14ac:dyDescent="0.4">
      <c r="X716" s="115"/>
      <c r="Y716" s="115"/>
      <c r="Z716" s="115"/>
      <c r="AA716" s="115"/>
      <c r="AB716" s="115"/>
      <c r="AC716" s="115"/>
      <c r="AD716" s="122"/>
      <c r="AE716" s="122"/>
      <c r="AF716" s="122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26"/>
      <c r="AV716" s="13"/>
      <c r="AY716" s="114"/>
    </row>
    <row r="717" spans="24:51" x14ac:dyDescent="0.4">
      <c r="X717" s="115"/>
      <c r="Y717" s="115"/>
      <c r="Z717" s="115"/>
      <c r="AA717" s="115"/>
      <c r="AB717" s="115"/>
      <c r="AC717" s="115"/>
      <c r="AD717" s="122"/>
      <c r="AE717" s="122"/>
      <c r="AF717" s="122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26"/>
      <c r="AV717" s="13"/>
      <c r="AY717" s="114"/>
    </row>
    <row r="718" spans="24:51" x14ac:dyDescent="0.4">
      <c r="X718" s="115"/>
      <c r="Y718" s="115"/>
      <c r="Z718" s="115"/>
      <c r="AA718" s="115"/>
      <c r="AB718" s="115"/>
      <c r="AC718" s="115"/>
      <c r="AD718" s="122"/>
      <c r="AE718" s="122"/>
      <c r="AF718" s="122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7"/>
      <c r="AV718" s="13"/>
      <c r="AY718" s="114"/>
    </row>
    <row r="719" spans="24:51" x14ac:dyDescent="0.4">
      <c r="X719" s="115"/>
      <c r="Y719" s="115"/>
      <c r="Z719" s="115"/>
      <c r="AA719" s="115"/>
      <c r="AB719" s="115"/>
      <c r="AC719" s="115"/>
      <c r="AD719" s="122"/>
      <c r="AE719" s="122"/>
      <c r="AF719" s="122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26"/>
      <c r="AV719" s="13"/>
      <c r="AY719" s="114"/>
    </row>
    <row r="720" spans="24:51" x14ac:dyDescent="0.4">
      <c r="X720" s="115"/>
      <c r="Y720" s="115"/>
      <c r="Z720" s="115"/>
      <c r="AA720" s="115"/>
      <c r="AB720" s="115"/>
      <c r="AC720" s="115"/>
      <c r="AD720" s="122"/>
      <c r="AE720" s="122"/>
      <c r="AF720" s="122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26"/>
      <c r="AV720" s="13"/>
      <c r="AY720" s="114"/>
    </row>
    <row r="721" spans="5:51" x14ac:dyDescent="0.4"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22"/>
      <c r="AE721" s="122"/>
      <c r="AF721" s="122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26"/>
      <c r="AV721" s="13"/>
      <c r="AY721" s="114"/>
    </row>
    <row r="722" spans="5:51" x14ac:dyDescent="0.4"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22"/>
      <c r="AE722" s="122"/>
      <c r="AF722" s="122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26"/>
      <c r="AV722" s="13"/>
      <c r="AY722" s="114"/>
    </row>
    <row r="723" spans="5:51" x14ac:dyDescent="0.4"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22"/>
      <c r="AE723" s="122"/>
      <c r="AF723" s="122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26"/>
      <c r="AV723" s="13"/>
      <c r="AY723" s="114"/>
    </row>
    <row r="724" spans="5:51" x14ac:dyDescent="0.4"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22"/>
      <c r="AE724" s="122"/>
      <c r="AF724" s="122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26"/>
      <c r="AV724" s="13"/>
      <c r="AY724" s="114"/>
    </row>
    <row r="725" spans="5:51" x14ac:dyDescent="0.4"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22"/>
      <c r="AE725" s="122"/>
      <c r="AF725" s="122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26"/>
      <c r="AV725" s="13"/>
      <c r="AY725" s="114"/>
    </row>
    <row r="726" spans="5:51" x14ac:dyDescent="0.4"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22"/>
      <c r="AE726" s="122"/>
      <c r="AF726" s="122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26"/>
      <c r="AV726" s="13"/>
      <c r="AY726" s="114"/>
    </row>
    <row r="727" spans="5:51" x14ac:dyDescent="0.4"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22"/>
      <c r="AE727" s="122"/>
      <c r="AF727" s="122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26"/>
      <c r="AV727" s="13"/>
      <c r="AY727" s="114"/>
    </row>
    <row r="728" spans="5:51" x14ac:dyDescent="0.4"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22"/>
      <c r="AE728" s="122"/>
      <c r="AF728" s="122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26"/>
      <c r="AV728" s="13"/>
      <c r="AY728" s="114"/>
    </row>
    <row r="729" spans="5:51" x14ac:dyDescent="0.4"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22"/>
      <c r="AE729" s="122"/>
      <c r="AF729" s="122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26"/>
      <c r="AV729" s="13"/>
      <c r="AY729" s="114"/>
    </row>
    <row r="730" spans="5:51" x14ac:dyDescent="0.4"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22"/>
      <c r="AE730" s="122"/>
      <c r="AF730" s="122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26"/>
      <c r="AV730" s="13"/>
      <c r="AY730" s="114"/>
    </row>
    <row r="731" spans="5:51" x14ac:dyDescent="0.4"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22"/>
      <c r="AE731" s="122"/>
      <c r="AF731" s="122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26"/>
      <c r="AV731" s="13"/>
      <c r="AY731" s="114"/>
    </row>
    <row r="732" spans="5:51" x14ac:dyDescent="0.4"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22"/>
      <c r="AE732" s="122"/>
      <c r="AF732" s="122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26"/>
      <c r="AV732" s="13"/>
      <c r="AY732" s="114"/>
    </row>
    <row r="733" spans="5:51" x14ac:dyDescent="0.4"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22"/>
      <c r="AE733" s="122"/>
      <c r="AF733" s="122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26"/>
      <c r="AV733" s="13"/>
      <c r="AY733" s="114"/>
    </row>
    <row r="734" spans="5:51" x14ac:dyDescent="0.4"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22"/>
      <c r="AE734" s="122"/>
      <c r="AF734" s="122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26"/>
      <c r="AV734" s="13"/>
      <c r="AY734" s="114"/>
    </row>
    <row r="735" spans="5:51" x14ac:dyDescent="0.4"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22"/>
      <c r="AE735" s="122"/>
      <c r="AF735" s="122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26"/>
      <c r="AV735" s="13"/>
      <c r="AY735" s="114"/>
    </row>
    <row r="736" spans="5:51" x14ac:dyDescent="0.4"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22"/>
      <c r="AE736" s="122"/>
      <c r="AF736" s="122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26"/>
      <c r="AV736" s="13"/>
      <c r="AY736" s="114"/>
    </row>
    <row r="737" spans="3:51" x14ac:dyDescent="0.4"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22"/>
      <c r="AE737" s="122"/>
      <c r="AF737" s="122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7"/>
      <c r="AV737" s="13"/>
      <c r="AY737" s="114"/>
    </row>
    <row r="738" spans="3:51" x14ac:dyDescent="0.4"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22"/>
      <c r="AE738" s="122"/>
      <c r="AF738" s="122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26"/>
      <c r="AV738" s="13"/>
      <c r="AY738" s="114"/>
    </row>
    <row r="739" spans="3:51" x14ac:dyDescent="0.4"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22"/>
      <c r="AE739" s="122"/>
      <c r="AF739" s="122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26"/>
      <c r="AV739" s="13"/>
      <c r="AY739" s="114"/>
    </row>
    <row r="740" spans="3:51" x14ac:dyDescent="0.4"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22"/>
      <c r="AE740" s="122"/>
      <c r="AF740" s="122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26"/>
      <c r="AV740" s="13"/>
      <c r="AY740" s="114"/>
    </row>
    <row r="741" spans="3:51" x14ac:dyDescent="0.4"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22"/>
      <c r="AE741" s="122"/>
      <c r="AF741" s="122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26"/>
      <c r="AV741" s="15"/>
      <c r="AY741" s="114"/>
    </row>
    <row r="742" spans="3:51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22"/>
      <c r="AE742" s="122"/>
      <c r="AF742" s="122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26"/>
      <c r="AV742" s="15"/>
      <c r="AY742" s="114"/>
    </row>
    <row r="743" spans="3:51" x14ac:dyDescent="0.4"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22"/>
      <c r="AE743" s="122"/>
      <c r="AF743" s="122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26"/>
      <c r="AV743" s="15"/>
      <c r="AY743" s="114"/>
    </row>
    <row r="744" spans="3:51" x14ac:dyDescent="0.4"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22"/>
      <c r="AE744" s="122"/>
      <c r="AF744" s="122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26"/>
      <c r="AV744" s="13"/>
      <c r="AY744" s="114"/>
    </row>
    <row r="745" spans="3:51" x14ac:dyDescent="0.4"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22"/>
      <c r="AE745" s="122"/>
      <c r="AF745" s="122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26"/>
      <c r="AV745" s="13"/>
      <c r="AY745" s="114"/>
    </row>
    <row r="746" spans="3:51" x14ac:dyDescent="0.4"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22"/>
      <c r="AE746" s="122"/>
      <c r="AF746" s="122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26"/>
      <c r="AV746" s="13"/>
      <c r="AY746" s="114"/>
    </row>
    <row r="747" spans="3:51" x14ac:dyDescent="0.4"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22"/>
      <c r="AE747" s="122"/>
      <c r="AF747" s="122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7"/>
      <c r="AV747" s="13"/>
      <c r="AY747" s="114"/>
    </row>
    <row r="748" spans="3:51" x14ac:dyDescent="0.4"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22"/>
      <c r="AE748" s="122"/>
      <c r="AF748" s="122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26"/>
      <c r="AV748" s="13"/>
      <c r="AY748" s="114"/>
    </row>
    <row r="749" spans="3:51" x14ac:dyDescent="0.4"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22"/>
      <c r="AE749" s="122"/>
      <c r="AF749" s="122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26"/>
      <c r="AV749" s="25"/>
      <c r="AY749" s="114"/>
    </row>
    <row r="750" spans="3:51" x14ac:dyDescent="0.4"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22"/>
      <c r="AE750" s="122"/>
      <c r="AF750" s="122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26"/>
      <c r="AV750" s="13"/>
      <c r="AY750" s="114"/>
    </row>
    <row r="751" spans="3:51" x14ac:dyDescent="0.4"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22"/>
      <c r="AE751" s="122"/>
      <c r="AF751" s="122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26"/>
      <c r="AV751" s="13"/>
      <c r="AY751" s="114"/>
    </row>
    <row r="752" spans="3:51" x14ac:dyDescent="0.4"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22"/>
      <c r="AE752" s="122"/>
      <c r="AF752" s="122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26"/>
      <c r="AV752" s="13"/>
      <c r="AY752" s="114"/>
    </row>
    <row r="753" spans="1:51" x14ac:dyDescent="0.4"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22"/>
      <c r="AE753" s="122"/>
      <c r="AF753" s="122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26"/>
      <c r="AV753" s="13"/>
      <c r="AY753" s="114"/>
    </row>
    <row r="754" spans="1:51" x14ac:dyDescent="0.4"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22"/>
      <c r="AE754" s="122"/>
      <c r="AF754" s="122"/>
      <c r="AG754" s="115"/>
      <c r="AH754" s="115"/>
      <c r="AI754" s="115"/>
      <c r="AJ754" s="115"/>
      <c r="AU754" s="26"/>
      <c r="AV754" s="13"/>
      <c r="AY754" s="114"/>
    </row>
    <row r="755" spans="1:51" x14ac:dyDescent="0.4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22"/>
      <c r="AE755" s="122"/>
      <c r="AF755" s="122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26"/>
      <c r="AV755" s="13"/>
      <c r="AY755" s="114"/>
    </row>
    <row r="756" spans="1:51" x14ac:dyDescent="0.4"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22"/>
      <c r="AE756" s="122"/>
      <c r="AF756" s="122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7"/>
      <c r="AV756" s="13"/>
      <c r="AY756" s="114"/>
    </row>
    <row r="757" spans="1:51" x14ac:dyDescent="0.4"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22"/>
      <c r="AE757" s="122"/>
      <c r="AF757" s="122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26"/>
      <c r="AV757" s="13"/>
      <c r="AY757" s="114"/>
    </row>
    <row r="758" spans="1:51" x14ac:dyDescent="0.4"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22"/>
      <c r="AE758" s="122"/>
      <c r="AF758" s="122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26"/>
      <c r="AV758" s="15"/>
      <c r="AY758" s="114"/>
    </row>
    <row r="759" spans="1:51" x14ac:dyDescent="0.4"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22"/>
      <c r="AE759" s="122"/>
      <c r="AF759" s="122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7"/>
      <c r="AV759" s="15"/>
      <c r="AY759" s="114"/>
    </row>
    <row r="760" spans="1:51" x14ac:dyDescent="0.4"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22"/>
      <c r="AE760" s="122"/>
      <c r="AF760" s="122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26"/>
      <c r="AV760" s="15"/>
      <c r="AY760" s="114"/>
    </row>
    <row r="761" spans="1:51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22"/>
      <c r="AE761" s="122"/>
      <c r="AF761" s="122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26"/>
      <c r="AV761" s="15"/>
      <c r="AY761" s="114"/>
    </row>
    <row r="762" spans="1:51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22"/>
      <c r="AE762" s="122"/>
      <c r="AF762" s="122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7"/>
      <c r="AV762" s="13"/>
      <c r="AY762" s="114"/>
    </row>
    <row r="763" spans="1:51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22"/>
      <c r="AE763" s="122"/>
      <c r="AF763" s="122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7"/>
      <c r="AV763" s="13"/>
      <c r="AY763" s="114"/>
    </row>
    <row r="764" spans="1:51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22"/>
      <c r="AE764" s="122"/>
      <c r="AF764" s="122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26"/>
      <c r="AV764" s="13"/>
      <c r="AY764" s="114"/>
    </row>
    <row r="765" spans="1:51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22"/>
      <c r="AE765" s="122"/>
      <c r="AF765" s="122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26"/>
      <c r="AV765" s="13"/>
      <c r="AY765" s="114"/>
    </row>
    <row r="766" spans="1:51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22"/>
      <c r="AE766" s="122"/>
      <c r="AF766" s="122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7"/>
      <c r="AV766" s="13"/>
      <c r="AY766" s="114"/>
    </row>
    <row r="767" spans="1:51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22"/>
      <c r="AE767" s="122"/>
      <c r="AF767" s="122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26"/>
      <c r="AV767" s="15"/>
      <c r="AY767" s="114"/>
    </row>
    <row r="768" spans="1:51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22"/>
      <c r="AE768" s="122"/>
      <c r="AF768" s="122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26"/>
      <c r="AV768" s="15"/>
      <c r="AY768" s="114"/>
    </row>
    <row r="769" spans="1:51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22"/>
      <c r="AE769" s="122"/>
      <c r="AF769" s="122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26"/>
      <c r="AV769" s="15"/>
      <c r="AY769" s="114"/>
    </row>
    <row r="770" spans="1:51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22"/>
      <c r="AE770" s="122"/>
      <c r="AF770" s="122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26"/>
      <c r="AV770" s="13"/>
      <c r="AY770" s="114"/>
    </row>
    <row r="771" spans="1:51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22"/>
      <c r="AE771" s="122"/>
      <c r="AF771" s="122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26"/>
      <c r="AV771" s="25"/>
      <c r="AY771" s="114"/>
    </row>
    <row r="772" spans="1:51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22"/>
      <c r="AE772" s="122"/>
      <c r="AF772" s="122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26"/>
      <c r="AV772" s="13"/>
      <c r="AY772" s="114"/>
    </row>
    <row r="773" spans="1:51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22"/>
      <c r="AE773" s="122"/>
      <c r="AF773" s="122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26"/>
      <c r="AV773" s="13"/>
      <c r="AY773" s="114"/>
    </row>
    <row r="774" spans="1:51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22"/>
      <c r="AE774" s="122"/>
      <c r="AF774" s="122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26"/>
      <c r="AV774" s="13"/>
      <c r="AY774" s="114"/>
    </row>
    <row r="775" spans="1:51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22"/>
      <c r="AE775" s="122"/>
      <c r="AF775" s="122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26"/>
      <c r="AV775" s="13"/>
      <c r="AY775" s="114"/>
    </row>
    <row r="776" spans="1:51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22"/>
      <c r="AE776" s="122"/>
      <c r="AF776" s="122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26"/>
      <c r="AV776" s="13"/>
      <c r="AY776" s="114"/>
    </row>
    <row r="777" spans="1:51" x14ac:dyDescent="0.4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22"/>
      <c r="AE777" s="122"/>
      <c r="AF777" s="122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26"/>
      <c r="AV777" s="13"/>
      <c r="AY777" s="114"/>
    </row>
    <row r="778" spans="1:51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22"/>
      <c r="AE778" s="122"/>
      <c r="AF778" s="122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26"/>
      <c r="AV778" s="13"/>
      <c r="AY778" s="114"/>
    </row>
    <row r="779" spans="1:51" x14ac:dyDescent="0.4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22"/>
      <c r="AE779" s="122"/>
      <c r="AF779" s="122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26"/>
      <c r="AV779" s="13"/>
      <c r="AY779" s="114"/>
    </row>
    <row r="780" spans="1:51" x14ac:dyDescent="0.4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22"/>
      <c r="AE780" s="122"/>
      <c r="AF780" s="122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26"/>
      <c r="AV780" s="13"/>
      <c r="AY780" s="114"/>
    </row>
    <row r="781" spans="1:51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22"/>
      <c r="AE781" s="122"/>
      <c r="AF781" s="122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115"/>
      <c r="AU781" s="26"/>
      <c r="AV781" s="13"/>
      <c r="AY781" s="114"/>
    </row>
    <row r="782" spans="1:51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22"/>
      <c r="AE782" s="122"/>
      <c r="AF782" s="122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26"/>
      <c r="AV782" s="15"/>
      <c r="AY782" s="114"/>
    </row>
    <row r="783" spans="1:51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22"/>
      <c r="AE783" s="122"/>
      <c r="AF783" s="122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26"/>
      <c r="AV783" s="15"/>
      <c r="AY783" s="114"/>
    </row>
    <row r="784" spans="1:51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22"/>
      <c r="AE784" s="122"/>
      <c r="AF784" s="122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26"/>
      <c r="AV784" s="15"/>
      <c r="AY784" s="114"/>
    </row>
    <row r="785" spans="1:51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22"/>
      <c r="AE785" s="122"/>
      <c r="AF785" s="122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26"/>
      <c r="AV785" s="15"/>
      <c r="AY785" s="114"/>
    </row>
    <row r="786" spans="1:51" x14ac:dyDescent="0.4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22"/>
      <c r="AE786" s="122"/>
      <c r="AF786" s="122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26"/>
      <c r="AV786" s="13"/>
      <c r="AY786" s="114"/>
    </row>
    <row r="787" spans="1:51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22"/>
      <c r="AE787" s="122"/>
      <c r="AF787" s="122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26"/>
      <c r="AV787" s="15"/>
      <c r="AY787" s="114"/>
    </row>
    <row r="788" spans="1:51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22"/>
      <c r="AE788" s="122"/>
      <c r="AF788" s="122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26"/>
      <c r="AV788" s="15"/>
      <c r="AY788" s="114"/>
    </row>
    <row r="789" spans="1:51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22"/>
      <c r="AE789" s="122"/>
      <c r="AF789" s="122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26"/>
      <c r="AV789" s="15"/>
      <c r="AY789" s="114"/>
    </row>
    <row r="790" spans="1:51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22"/>
      <c r="AE790" s="122"/>
      <c r="AF790" s="122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26"/>
      <c r="AV790" s="15"/>
      <c r="AY790" s="114"/>
    </row>
    <row r="791" spans="1:51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22"/>
      <c r="AE791" s="122"/>
      <c r="AF791" s="122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26"/>
      <c r="AV791" s="15"/>
      <c r="AY791" s="114"/>
    </row>
    <row r="792" spans="1:51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22"/>
      <c r="AE792" s="122"/>
      <c r="AF792" s="122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26"/>
      <c r="AV792" s="105"/>
      <c r="AY792" s="114"/>
    </row>
    <row r="793" spans="1:51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22"/>
      <c r="AE793" s="122"/>
      <c r="AF793" s="122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7"/>
      <c r="AV793" s="15"/>
      <c r="AY793" s="114"/>
    </row>
    <row r="794" spans="1:51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22"/>
      <c r="AE794" s="122"/>
      <c r="AF794" s="122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26"/>
      <c r="AV794" s="15"/>
      <c r="AY794" s="114"/>
    </row>
    <row r="795" spans="1:51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22"/>
      <c r="AE795" s="122"/>
      <c r="AF795" s="122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26"/>
      <c r="AV795" s="15"/>
      <c r="AY795" s="114"/>
    </row>
    <row r="796" spans="1:51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22"/>
      <c r="AE796" s="122"/>
      <c r="AF796" s="122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26"/>
      <c r="AV796" s="105"/>
      <c r="AY796" s="114"/>
    </row>
    <row r="797" spans="1:51" x14ac:dyDescent="0.4">
      <c r="AU797" s="26"/>
      <c r="AV797" s="15"/>
      <c r="AY797" s="114"/>
    </row>
    <row r="798" spans="1:51" x14ac:dyDescent="0.4">
      <c r="AE798" s="122"/>
      <c r="AF798" s="122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26"/>
      <c r="AV798" s="15"/>
      <c r="AY798" s="114"/>
    </row>
    <row r="799" spans="1:51" x14ac:dyDescent="0.4">
      <c r="AA799" s="115"/>
      <c r="AB799" s="115"/>
      <c r="AC799" s="115"/>
      <c r="AD799" s="122"/>
      <c r="AE799" s="122"/>
      <c r="AF799" s="122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26"/>
      <c r="AV799" s="15"/>
      <c r="AY799" s="114"/>
    </row>
    <row r="800" spans="1:51" x14ac:dyDescent="0.4"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22"/>
      <c r="AE800" s="122"/>
      <c r="AF800" s="122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26"/>
      <c r="AV800" s="15"/>
      <c r="AY800" s="114"/>
    </row>
    <row r="801" spans="2:51" x14ac:dyDescent="0.4"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22"/>
      <c r="AE801" s="122"/>
      <c r="AF801" s="122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7"/>
      <c r="AV801" s="15"/>
      <c r="AY801" s="114"/>
    </row>
    <row r="802" spans="2:51" x14ac:dyDescent="0.4"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22"/>
      <c r="AE802" s="122"/>
      <c r="AF802" s="122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26"/>
      <c r="AV802" s="15"/>
      <c r="AY802" s="114"/>
    </row>
    <row r="803" spans="2:51" x14ac:dyDescent="0.4"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22"/>
      <c r="AE803" s="122"/>
      <c r="AF803" s="122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26"/>
      <c r="AV803" s="15"/>
      <c r="AY803" s="114"/>
    </row>
    <row r="804" spans="2:51" x14ac:dyDescent="0.4"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22"/>
      <c r="AE804" s="122"/>
      <c r="AF804" s="122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26"/>
      <c r="AV804" s="15"/>
      <c r="AY804" s="114"/>
    </row>
    <row r="805" spans="2:51" x14ac:dyDescent="0.4"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22"/>
      <c r="AE805" s="122"/>
      <c r="AF805" s="122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26"/>
      <c r="AV805" s="15"/>
      <c r="AY805" s="114"/>
    </row>
    <row r="806" spans="2:51" x14ac:dyDescent="0.4"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22"/>
      <c r="AE806" s="122"/>
      <c r="AF806" s="122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26"/>
      <c r="AV806" s="15"/>
      <c r="AY806" s="114"/>
    </row>
    <row r="807" spans="2:51" x14ac:dyDescent="0.4"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22"/>
      <c r="AE807" s="122"/>
      <c r="AF807" s="122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26"/>
      <c r="AV807" s="15"/>
      <c r="AY807" s="114"/>
    </row>
    <row r="808" spans="2:51" x14ac:dyDescent="0.4"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22"/>
      <c r="AE808" s="122"/>
      <c r="AF808" s="122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26"/>
      <c r="AV808" s="15"/>
      <c r="AY808" s="114"/>
    </row>
    <row r="809" spans="2:51" x14ac:dyDescent="0.4"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22"/>
      <c r="AE809" s="122"/>
      <c r="AF809" s="122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7"/>
      <c r="AV809" s="15"/>
      <c r="AY809" s="114"/>
    </row>
    <row r="810" spans="2:51" x14ac:dyDescent="0.4"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22"/>
      <c r="AE810" s="122"/>
      <c r="AF810" s="122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26"/>
      <c r="AV810" s="15"/>
      <c r="AY810" s="114"/>
    </row>
    <row r="811" spans="2:51" x14ac:dyDescent="0.4"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22"/>
      <c r="AE811" s="122"/>
      <c r="AF811" s="122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26"/>
      <c r="AV811" s="15"/>
      <c r="AY811" s="114"/>
    </row>
    <row r="812" spans="2:51" x14ac:dyDescent="0.4"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22"/>
      <c r="AE812" s="122"/>
      <c r="AF812" s="122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26"/>
      <c r="AV812" s="15"/>
      <c r="AY812" s="114"/>
    </row>
    <row r="813" spans="2:51" x14ac:dyDescent="0.4"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22"/>
      <c r="AE813" s="122"/>
      <c r="AF813" s="122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26"/>
      <c r="AV813" s="15"/>
      <c r="AY813" s="114"/>
    </row>
    <row r="814" spans="2:51" x14ac:dyDescent="0.4"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22"/>
      <c r="AE814" s="122"/>
      <c r="AF814" s="122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26"/>
      <c r="AV814" s="15"/>
      <c r="AY814" s="114"/>
    </row>
    <row r="815" spans="2:51" x14ac:dyDescent="0.4"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22"/>
      <c r="AE815" s="122"/>
      <c r="AF815" s="122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26"/>
      <c r="AV815" s="15"/>
      <c r="AY815" s="114"/>
    </row>
    <row r="816" spans="2:51" x14ac:dyDescent="0.4"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22"/>
      <c r="AE816" s="122"/>
      <c r="AF816" s="122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26"/>
      <c r="AV816" s="15"/>
      <c r="AY816" s="114"/>
    </row>
    <row r="817" spans="2:51" x14ac:dyDescent="0.4"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22"/>
      <c r="AE817" s="122"/>
      <c r="AF817" s="122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7"/>
      <c r="AV817" s="15"/>
      <c r="AY817" s="114"/>
    </row>
    <row r="818" spans="2:51" x14ac:dyDescent="0.4"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22"/>
      <c r="AE818" s="122"/>
      <c r="AF818" s="122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26"/>
      <c r="AV818" s="15"/>
      <c r="AY818" s="114"/>
    </row>
    <row r="819" spans="2:51" x14ac:dyDescent="0.4"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22"/>
      <c r="AE819" s="122"/>
      <c r="AF819" s="122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26"/>
      <c r="AV819" s="15"/>
      <c r="AY819" s="114"/>
    </row>
    <row r="820" spans="2:51" x14ac:dyDescent="0.4"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22"/>
      <c r="AE820" s="122"/>
      <c r="AF820" s="122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26"/>
      <c r="AV820" s="15"/>
      <c r="AY820" s="114"/>
    </row>
    <row r="821" spans="2:51" x14ac:dyDescent="0.4"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22"/>
      <c r="AE821" s="122"/>
      <c r="AF821" s="122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26"/>
      <c r="AV821" s="15"/>
      <c r="AY821" s="114"/>
    </row>
    <row r="822" spans="2:51" x14ac:dyDescent="0.4"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22"/>
      <c r="AE822" s="122"/>
      <c r="AF822" s="122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26"/>
      <c r="AV822" s="15"/>
      <c r="AY822" s="114"/>
    </row>
    <row r="823" spans="2:51" x14ac:dyDescent="0.4"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22"/>
      <c r="AE823" s="122"/>
      <c r="AF823" s="122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26"/>
      <c r="AV823" s="15"/>
      <c r="AY823" s="114"/>
    </row>
    <row r="824" spans="2:51" x14ac:dyDescent="0.4"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22"/>
      <c r="AE824" s="122"/>
      <c r="AF824" s="122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115"/>
      <c r="AU824" s="26"/>
      <c r="AV824" s="15"/>
      <c r="AY824" s="114"/>
    </row>
    <row r="825" spans="2:51" x14ac:dyDescent="0.4"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22"/>
      <c r="AE825" s="122"/>
      <c r="AF825" s="122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26"/>
      <c r="AV825" s="15"/>
      <c r="AY825" s="114"/>
    </row>
    <row r="826" spans="2:51" x14ac:dyDescent="0.4"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22"/>
      <c r="AE826" s="122"/>
      <c r="AF826" s="122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7"/>
      <c r="AV826" s="15"/>
      <c r="AY826" s="114"/>
    </row>
    <row r="827" spans="2:5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22"/>
      <c r="AE827" s="122"/>
      <c r="AF827" s="122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26"/>
      <c r="AV827" s="15"/>
      <c r="AY827" s="114"/>
    </row>
    <row r="828" spans="2:51" x14ac:dyDescent="0.4"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22"/>
      <c r="AE828" s="122"/>
      <c r="AF828" s="122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7"/>
      <c r="AV828" s="15"/>
      <c r="AY828" s="114"/>
    </row>
    <row r="829" spans="2:51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22"/>
      <c r="AE829" s="122"/>
      <c r="AF829" s="122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26"/>
      <c r="AV829" s="15"/>
      <c r="AY829" s="114"/>
    </row>
    <row r="830" spans="2:51" x14ac:dyDescent="0.4"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22"/>
      <c r="AE830" s="122"/>
      <c r="AF830" s="122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7"/>
      <c r="AV830" s="15"/>
      <c r="AY830" s="114"/>
    </row>
    <row r="831" spans="2:51" x14ac:dyDescent="0.4"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22"/>
      <c r="AE831" s="122"/>
      <c r="AF831" s="122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26"/>
      <c r="AV831" s="15"/>
      <c r="AY831" s="114"/>
    </row>
    <row r="832" spans="2:51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22"/>
      <c r="AE832" s="122"/>
      <c r="AF832" s="122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26"/>
      <c r="AV832" s="15"/>
      <c r="AY832" s="114"/>
    </row>
    <row r="833" spans="1:51" x14ac:dyDescent="0.4"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22"/>
      <c r="AE833" s="122"/>
      <c r="AF833" s="122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7"/>
      <c r="AV833" s="15"/>
      <c r="AY833" s="114"/>
    </row>
    <row r="834" spans="1:51" x14ac:dyDescent="0.4"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22"/>
      <c r="AE834" s="122"/>
      <c r="AF834" s="122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26"/>
      <c r="AV834" s="15"/>
      <c r="AY834" s="114"/>
    </row>
    <row r="835" spans="1:51" x14ac:dyDescent="0.4"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22"/>
      <c r="AE835" s="122"/>
      <c r="AF835" s="122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26"/>
      <c r="AV835" s="15"/>
      <c r="AY835" s="114"/>
    </row>
    <row r="836" spans="1:51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22"/>
      <c r="AE836" s="122"/>
      <c r="AF836" s="122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26"/>
      <c r="AV836" s="105"/>
      <c r="AY836" s="114"/>
    </row>
    <row r="837" spans="1:51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22"/>
      <c r="AE837" s="122"/>
      <c r="AF837" s="122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7"/>
      <c r="AV837" s="15"/>
      <c r="AY837" s="114"/>
    </row>
    <row r="838" spans="1:51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22"/>
      <c r="AE838" s="122"/>
      <c r="AF838" s="122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7"/>
      <c r="AV838" s="15"/>
      <c r="AY838" s="114"/>
    </row>
    <row r="839" spans="1:51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22"/>
      <c r="AE839" s="122"/>
      <c r="AF839" s="122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26"/>
      <c r="AV839" s="15"/>
      <c r="AY839" s="114"/>
    </row>
    <row r="840" spans="1:51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22"/>
      <c r="AE840" s="122"/>
      <c r="AF840" s="122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26"/>
      <c r="AV840" s="15"/>
      <c r="AY840" s="114"/>
    </row>
    <row r="841" spans="1:51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22"/>
      <c r="AE841" s="122"/>
      <c r="AF841" s="122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26"/>
      <c r="AV841" s="15"/>
      <c r="AY841" s="114"/>
    </row>
    <row r="842" spans="1:51" x14ac:dyDescent="0.4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22"/>
      <c r="AE842" s="122"/>
      <c r="AF842" s="122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26"/>
      <c r="AV842" s="15"/>
      <c r="AY842" s="114"/>
    </row>
    <row r="843" spans="1:51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22"/>
      <c r="AE843" s="122"/>
      <c r="AF843" s="122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26"/>
      <c r="AV843" s="15"/>
      <c r="AY843" s="114"/>
    </row>
    <row r="844" spans="1:51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22"/>
      <c r="AE844" s="122"/>
      <c r="AF844" s="122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26"/>
      <c r="AV844" s="15"/>
      <c r="AY844" s="114"/>
    </row>
    <row r="845" spans="1:51" x14ac:dyDescent="0.4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22"/>
      <c r="AE845" s="122"/>
      <c r="AF845" s="122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26"/>
      <c r="AV845" s="15"/>
      <c r="AY845" s="114"/>
    </row>
    <row r="846" spans="1:51" x14ac:dyDescent="0.4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22"/>
      <c r="AE846" s="122"/>
      <c r="AF846" s="122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15"/>
      <c r="AU846" s="26"/>
      <c r="AV846" s="15"/>
      <c r="AY846" s="114"/>
    </row>
    <row r="847" spans="1:51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22"/>
      <c r="AE847" s="122"/>
      <c r="AF847" s="122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26"/>
      <c r="AV847" s="105"/>
      <c r="AY847" s="114"/>
    </row>
    <row r="848" spans="1:51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22"/>
      <c r="AE848" s="122"/>
      <c r="AF848" s="122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26"/>
      <c r="AV848" s="15"/>
      <c r="AY848" s="114"/>
    </row>
    <row r="849" spans="1:51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22"/>
      <c r="AE849" s="122"/>
      <c r="AF849" s="122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26"/>
      <c r="AV849" s="15"/>
      <c r="AY849" s="114"/>
    </row>
    <row r="850" spans="1:51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22"/>
      <c r="AE850" s="122"/>
      <c r="AF850" s="122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26"/>
      <c r="AV850" s="13"/>
      <c r="AY850" s="114"/>
    </row>
    <row r="851" spans="1:51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22"/>
      <c r="AE851" s="122"/>
      <c r="AF851" s="122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7"/>
      <c r="AV851" s="13"/>
      <c r="AY851" s="114"/>
    </row>
    <row r="852" spans="1:51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22"/>
      <c r="AE852" s="122"/>
      <c r="AF852" s="122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26"/>
      <c r="AV852" s="13"/>
      <c r="AY852" s="114"/>
    </row>
    <row r="853" spans="1:51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22"/>
      <c r="AE853" s="122"/>
      <c r="AF853" s="122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26"/>
      <c r="AV853" s="13"/>
      <c r="AY853" s="114"/>
    </row>
    <row r="854" spans="1:51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22"/>
      <c r="AE854" s="122"/>
      <c r="AF854" s="122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26"/>
      <c r="AV854" s="13"/>
      <c r="AY854" s="114"/>
    </row>
    <row r="855" spans="1:51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22"/>
      <c r="AE855" s="122"/>
      <c r="AF855" s="122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26"/>
      <c r="AV855" s="13"/>
      <c r="AY855" s="114"/>
    </row>
    <row r="856" spans="1:51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22"/>
      <c r="AE856" s="122"/>
      <c r="AF856" s="122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26"/>
      <c r="AV856" s="13"/>
      <c r="AY856" s="114"/>
    </row>
    <row r="857" spans="1:51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22"/>
      <c r="AE857" s="122"/>
      <c r="AF857" s="122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15"/>
      <c r="AU857" s="26"/>
      <c r="AV857" s="13"/>
      <c r="AY857" s="114"/>
    </row>
    <row r="858" spans="1:51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22"/>
      <c r="AE858" s="122"/>
      <c r="AF858" s="122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7"/>
      <c r="AV858" s="13"/>
      <c r="AY858" s="114"/>
    </row>
    <row r="859" spans="1:51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22"/>
      <c r="AE859" s="122"/>
      <c r="AF859" s="122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26"/>
      <c r="AV859" s="13"/>
      <c r="AY859" s="114"/>
    </row>
    <row r="860" spans="1:51" x14ac:dyDescent="0.4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22"/>
      <c r="AE860" s="122"/>
      <c r="AF860" s="122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26"/>
      <c r="AV860" s="13"/>
      <c r="AY860" s="114"/>
    </row>
    <row r="861" spans="1:51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22"/>
      <c r="AE861" s="122"/>
      <c r="AF861" s="122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26"/>
      <c r="AV861" s="13"/>
      <c r="AY861" s="114"/>
    </row>
    <row r="862" spans="1:51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22"/>
      <c r="AE862" s="122"/>
      <c r="AF862" s="122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26"/>
      <c r="AV862" s="13"/>
      <c r="AY862" s="114"/>
    </row>
    <row r="863" spans="1:51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22"/>
      <c r="AE863" s="122"/>
      <c r="AF863" s="122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26"/>
      <c r="AV863" s="25"/>
      <c r="AY863" s="114"/>
    </row>
    <row r="864" spans="1:51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22"/>
      <c r="AE864" s="122"/>
      <c r="AF864" s="122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7"/>
      <c r="AV864" s="13"/>
      <c r="AY864" s="114"/>
    </row>
    <row r="865" spans="1:51" x14ac:dyDescent="0.4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22"/>
      <c r="AE865" s="122"/>
      <c r="AF865" s="122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26"/>
      <c r="AV865" s="15"/>
      <c r="AY865" s="114"/>
    </row>
    <row r="866" spans="1:51" x14ac:dyDescent="0.4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22"/>
      <c r="AE866" s="122"/>
      <c r="AF866" s="122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26"/>
      <c r="AV866" s="15"/>
      <c r="AY866" s="114"/>
    </row>
    <row r="867" spans="1:51" x14ac:dyDescent="0.4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22"/>
      <c r="AE867" s="122"/>
      <c r="AF867" s="122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7"/>
      <c r="AV867" s="15"/>
      <c r="AY867" s="114"/>
    </row>
    <row r="868" spans="1:51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22"/>
      <c r="AE868" s="122"/>
      <c r="AF868" s="122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26"/>
      <c r="AV868" s="15"/>
      <c r="AY868" s="114"/>
    </row>
    <row r="869" spans="1:51" x14ac:dyDescent="0.4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22"/>
      <c r="AE869" s="122"/>
      <c r="AF869" s="122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26"/>
      <c r="AV869" s="15"/>
      <c r="AY869" s="114"/>
    </row>
    <row r="870" spans="1:51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22"/>
      <c r="AE870" s="122"/>
      <c r="AF870" s="122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26"/>
      <c r="AV870" s="13"/>
      <c r="AY870" s="114"/>
    </row>
    <row r="871" spans="1:51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22"/>
      <c r="AE871" s="122"/>
      <c r="AF871" s="122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26"/>
      <c r="AV871" s="13"/>
      <c r="AY871" s="114"/>
    </row>
    <row r="872" spans="1:51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22"/>
      <c r="AE872" s="122"/>
      <c r="AF872" s="122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26"/>
      <c r="AV872" s="13"/>
      <c r="AY872" s="114"/>
    </row>
    <row r="873" spans="1:51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22"/>
      <c r="AE873" s="122"/>
      <c r="AF873" s="122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26"/>
      <c r="AV873" s="13"/>
      <c r="AY873" s="114"/>
    </row>
    <row r="874" spans="1:51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22"/>
      <c r="AE874" s="122"/>
      <c r="AF874" s="122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26"/>
      <c r="AV874" s="13"/>
      <c r="AY874" s="114"/>
    </row>
    <row r="875" spans="1:51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22"/>
      <c r="AE875" s="122"/>
      <c r="AF875" s="122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26"/>
      <c r="AV875" s="13"/>
      <c r="AY875" s="114"/>
    </row>
    <row r="876" spans="1:51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22"/>
      <c r="AE876" s="122"/>
      <c r="AF876" s="122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26"/>
      <c r="AV876" s="13"/>
      <c r="AY876" s="114"/>
    </row>
    <row r="877" spans="1:51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22"/>
      <c r="AE877" s="122"/>
      <c r="AF877" s="122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26"/>
      <c r="AV877" s="13"/>
      <c r="AY877" s="114"/>
    </row>
    <row r="878" spans="1:51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22"/>
      <c r="AE878" s="122"/>
      <c r="AF878" s="122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7"/>
      <c r="AV878" s="13"/>
      <c r="AY878" s="114"/>
    </row>
    <row r="879" spans="1:51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22"/>
      <c r="AE879" s="122"/>
      <c r="AF879" s="122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26"/>
      <c r="AV879" s="13"/>
      <c r="AY879" s="114"/>
    </row>
    <row r="880" spans="1:51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22"/>
      <c r="AE880" s="122"/>
      <c r="AF880" s="122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7"/>
      <c r="AV880" s="13"/>
      <c r="AY880" s="114"/>
    </row>
    <row r="881" spans="1:52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22"/>
      <c r="AE881" s="122"/>
      <c r="AF881" s="122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26"/>
      <c r="AV881" s="13"/>
      <c r="AY881" s="114"/>
    </row>
    <row r="882" spans="1:52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22"/>
      <c r="AE882" s="122"/>
      <c r="AF882" s="122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26"/>
      <c r="AV882" s="13"/>
      <c r="AY882" s="114"/>
    </row>
    <row r="883" spans="1:52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22"/>
      <c r="AE883" s="122"/>
      <c r="AF883" s="122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26"/>
      <c r="AV883" s="13"/>
      <c r="AY883" s="114"/>
    </row>
    <row r="884" spans="1:52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22"/>
      <c r="AE884" s="122"/>
      <c r="AF884" s="122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26"/>
      <c r="AV884" s="15"/>
      <c r="AY884" s="114"/>
    </row>
    <row r="885" spans="1:52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22"/>
      <c r="AE885" s="122"/>
      <c r="AF885" s="122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26"/>
      <c r="AV885" s="15"/>
      <c r="AY885" s="114"/>
    </row>
    <row r="886" spans="1:52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22"/>
      <c r="AE886" s="122"/>
      <c r="AF886" s="122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26"/>
      <c r="AV886" s="15"/>
      <c r="AY886" s="114"/>
    </row>
    <row r="887" spans="1:52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22"/>
      <c r="AE887" s="122"/>
      <c r="AF887" s="122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26"/>
      <c r="AV887" s="13"/>
      <c r="AY887" s="114"/>
    </row>
    <row r="888" spans="1:52" x14ac:dyDescent="0.4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22"/>
      <c r="AE888" s="122"/>
      <c r="AF888" s="122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26"/>
      <c r="AV888" s="15"/>
      <c r="AY888" s="114"/>
    </row>
    <row r="889" spans="1:52" x14ac:dyDescent="0.4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22"/>
      <c r="AE889" s="122"/>
      <c r="AF889" s="122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26"/>
      <c r="AV889" s="15"/>
      <c r="AY889" s="114"/>
      <c r="AZ889" s="120"/>
    </row>
    <row r="890" spans="1:52" x14ac:dyDescent="0.4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22"/>
      <c r="AE890" s="122"/>
      <c r="AF890" s="122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26"/>
      <c r="AV890" s="15"/>
      <c r="AY890" s="114"/>
      <c r="AZ890" s="120"/>
    </row>
    <row r="891" spans="1:52" x14ac:dyDescent="0.4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22"/>
      <c r="AE891" s="122"/>
      <c r="AF891" s="122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26"/>
      <c r="AV891" s="15"/>
      <c r="AY891" s="114"/>
      <c r="AZ891" s="120"/>
    </row>
    <row r="892" spans="1:52" x14ac:dyDescent="0.4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22"/>
      <c r="AE892" s="122"/>
      <c r="AF892" s="122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26"/>
      <c r="AV892" s="15"/>
      <c r="AY892" s="114"/>
      <c r="AZ892" s="120"/>
    </row>
    <row r="893" spans="1:52" x14ac:dyDescent="0.4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22"/>
      <c r="AE893" s="122"/>
      <c r="AF893" s="122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26"/>
      <c r="AV893" s="15"/>
      <c r="AY893" s="114"/>
      <c r="AZ893" s="120"/>
    </row>
    <row r="894" spans="1:52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22"/>
      <c r="AE894" s="122"/>
      <c r="AF894" s="122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26"/>
      <c r="AV894" s="15"/>
      <c r="AY894" s="114"/>
      <c r="AZ894" s="120"/>
    </row>
    <row r="895" spans="1:52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22"/>
      <c r="AE895" s="122"/>
      <c r="AF895" s="122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26"/>
      <c r="AV895" s="15"/>
      <c r="AY895" s="114"/>
      <c r="AZ895" s="120"/>
    </row>
    <row r="896" spans="1:52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22"/>
      <c r="AE896" s="122"/>
      <c r="AF896" s="122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7"/>
      <c r="AV896" s="15"/>
      <c r="AY896" s="114"/>
      <c r="AZ896" s="120"/>
    </row>
    <row r="897" spans="1:5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22"/>
      <c r="AE897" s="122"/>
      <c r="AF897" s="122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26"/>
      <c r="AV897" s="15"/>
      <c r="AY897" s="114"/>
      <c r="AZ897" s="120"/>
    </row>
    <row r="898" spans="1:5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22"/>
      <c r="AE898" s="122"/>
      <c r="AF898" s="122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26"/>
      <c r="AV898" s="15"/>
      <c r="AY898" s="114"/>
    </row>
    <row r="899" spans="1:55" x14ac:dyDescent="0.4">
      <c r="AU899" s="26"/>
      <c r="AV899" s="15"/>
      <c r="AY899" s="114"/>
    </row>
    <row r="900" spans="1:55" x14ac:dyDescent="0.4"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7"/>
      <c r="AV900" s="15"/>
      <c r="AY900" s="114"/>
    </row>
    <row r="901" spans="1:55" x14ac:dyDescent="0.4"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7"/>
      <c r="AV901" s="15"/>
      <c r="AY901" s="114"/>
    </row>
    <row r="902" spans="1:55" x14ac:dyDescent="0.4">
      <c r="AF902" s="122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7"/>
      <c r="AV902" s="15"/>
      <c r="AY902" s="114"/>
    </row>
    <row r="903" spans="1:55" x14ac:dyDescent="0.4">
      <c r="AA903" s="115"/>
      <c r="AB903" s="115"/>
      <c r="AC903" s="115"/>
      <c r="AD903" s="122"/>
      <c r="AE903" s="122"/>
      <c r="AF903" s="122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26"/>
      <c r="AV903" s="15"/>
      <c r="AY903" s="114"/>
    </row>
    <row r="904" spans="1:55" x14ac:dyDescent="0.4">
      <c r="AA904" s="115"/>
      <c r="AB904" s="115"/>
      <c r="AC904" s="115"/>
      <c r="AD904" s="122"/>
      <c r="AE904" s="122"/>
      <c r="AF904" s="122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15"/>
      <c r="AU904" s="17"/>
      <c r="AV904" s="15"/>
      <c r="AY904" s="114"/>
    </row>
    <row r="905" spans="1:55" x14ac:dyDescent="0.4">
      <c r="Z905" s="115"/>
      <c r="AA905" s="115"/>
      <c r="AB905" s="115"/>
      <c r="AC905" s="115"/>
      <c r="AD905" s="122"/>
      <c r="AE905" s="122"/>
      <c r="AF905" s="122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26"/>
      <c r="AV905" s="15"/>
      <c r="AY905" s="114"/>
    </row>
    <row r="906" spans="1:55" x14ac:dyDescent="0.4">
      <c r="Z906" s="115"/>
      <c r="AA906" s="115"/>
      <c r="AB906" s="115"/>
      <c r="AC906" s="115"/>
      <c r="AD906" s="122"/>
      <c r="AE906" s="122"/>
      <c r="AF906" s="122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7"/>
      <c r="AV906" s="15"/>
      <c r="AY906" s="114"/>
    </row>
    <row r="907" spans="1:55" x14ac:dyDescent="0.4">
      <c r="Z907" s="115"/>
      <c r="AA907" s="115"/>
      <c r="AB907" s="115"/>
      <c r="AC907" s="115"/>
      <c r="AD907" s="122"/>
      <c r="AE907" s="122"/>
      <c r="AF907" s="122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7"/>
      <c r="AV907" s="15"/>
      <c r="AY907" s="114"/>
    </row>
    <row r="908" spans="1:55" x14ac:dyDescent="0.4">
      <c r="Z908" s="115"/>
      <c r="AA908" s="115"/>
      <c r="AB908" s="115"/>
      <c r="AC908" s="115"/>
      <c r="AD908" s="122"/>
      <c r="AE908" s="122"/>
      <c r="AF908" s="122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7"/>
      <c r="AV908" s="15"/>
      <c r="AY908" s="114"/>
    </row>
    <row r="909" spans="1:55" x14ac:dyDescent="0.4">
      <c r="Z909" s="115"/>
      <c r="AA909" s="115"/>
      <c r="AB909" s="115"/>
      <c r="AC909" s="115"/>
      <c r="AD909" s="122"/>
      <c r="AE909" s="122"/>
      <c r="AF909" s="122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26"/>
      <c r="AV909" s="15"/>
      <c r="AY909" s="114"/>
    </row>
    <row r="910" spans="1:55" x14ac:dyDescent="0.4">
      <c r="Z910" s="115"/>
      <c r="AA910" s="115"/>
      <c r="AB910" s="115"/>
      <c r="AC910" s="115"/>
      <c r="AD910" s="122"/>
      <c r="AE910" s="122"/>
      <c r="AF910" s="122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7"/>
      <c r="AV910" s="15"/>
      <c r="AY910" s="114"/>
    </row>
    <row r="911" spans="1:55" ht="19.5" x14ac:dyDescent="0.4">
      <c r="AU911" s="26"/>
      <c r="AV911" s="15"/>
      <c r="AZ911" s="116"/>
      <c r="BA911" s="116"/>
      <c r="BB911" s="116"/>
      <c r="BC911" s="116"/>
    </row>
    <row r="912" spans="1:55" ht="19.5" x14ac:dyDescent="0.4">
      <c r="AE912" s="122"/>
      <c r="AF912" s="122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7"/>
      <c r="AV912" s="15"/>
      <c r="AZ912" s="117"/>
      <c r="BA912" s="116"/>
      <c r="BB912" s="116"/>
      <c r="BC912" s="116"/>
    </row>
    <row r="913" spans="1:55" ht="19.5" x14ac:dyDescent="0.4">
      <c r="W913" s="115"/>
      <c r="X913" s="115"/>
      <c r="Y913" s="115"/>
      <c r="Z913" s="115"/>
      <c r="AA913" s="115"/>
      <c r="AB913" s="115"/>
      <c r="AC913" s="115"/>
      <c r="AD913" s="122"/>
      <c r="AE913" s="122"/>
      <c r="AF913" s="122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26"/>
      <c r="AV913" s="15"/>
      <c r="AZ913" s="117"/>
      <c r="BA913" s="116"/>
      <c r="BB913" s="116"/>
      <c r="BC913" s="116"/>
    </row>
    <row r="914" spans="1:55" ht="19.5" x14ac:dyDescent="0.4"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22"/>
      <c r="AE914" s="122"/>
      <c r="AF914" s="122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26"/>
      <c r="AV914" s="13"/>
      <c r="AZ914" s="117"/>
      <c r="BA914" s="116"/>
      <c r="BB914" s="116"/>
      <c r="BC914" s="116"/>
    </row>
    <row r="915" spans="1:55" ht="19.5" x14ac:dyDescent="0.4"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22"/>
      <c r="AE915" s="122"/>
      <c r="AF915" s="122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26"/>
      <c r="AV915" s="15"/>
      <c r="AZ915" s="117"/>
      <c r="BA915" s="116"/>
      <c r="BB915" s="116"/>
      <c r="BC915" s="116"/>
    </row>
    <row r="916" spans="1:55" ht="19.5" x14ac:dyDescent="0.4"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22"/>
      <c r="AE916" s="122"/>
      <c r="AF916" s="122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7"/>
      <c r="AV916" s="15"/>
      <c r="AZ916" s="117"/>
      <c r="BA916" s="116"/>
      <c r="BB916" s="116"/>
      <c r="BC916" s="116"/>
    </row>
    <row r="917" spans="1:55" ht="19.5" x14ac:dyDescent="0.4"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22"/>
      <c r="AE917" s="122"/>
      <c r="AF917" s="122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26"/>
      <c r="AV917" s="15"/>
      <c r="AZ917" s="117"/>
      <c r="BA917" s="116"/>
      <c r="BB917" s="116"/>
      <c r="BC917" s="116"/>
    </row>
    <row r="918" spans="1:55" ht="19.5" x14ac:dyDescent="0.4"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22"/>
      <c r="AE918" s="122"/>
      <c r="AF918" s="122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26"/>
      <c r="AV918" s="15"/>
      <c r="AZ918" s="117"/>
      <c r="BA918" s="116"/>
      <c r="BB918" s="116"/>
      <c r="BC918" s="116"/>
    </row>
    <row r="919" spans="1:55" ht="19.5" x14ac:dyDescent="0.4"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22"/>
      <c r="AE919" s="122"/>
      <c r="AF919" s="122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7"/>
      <c r="AV919" s="15"/>
      <c r="AZ919" s="117"/>
      <c r="BA919" s="116"/>
      <c r="BB919" s="116"/>
      <c r="BC919" s="116"/>
    </row>
    <row r="920" spans="1:55" ht="19.5" x14ac:dyDescent="0.4"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22"/>
      <c r="AE920" s="122"/>
      <c r="AF920" s="122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15"/>
      <c r="AU920" s="26"/>
      <c r="AV920" s="15"/>
      <c r="AZ920" s="117"/>
      <c r="BA920" s="116"/>
      <c r="BB920" s="116"/>
      <c r="BC920" s="116"/>
    </row>
    <row r="921" spans="1:55" ht="19.5" x14ac:dyDescent="0.4">
      <c r="AU921" s="26"/>
      <c r="AV921" s="15"/>
      <c r="AZ921" s="117"/>
      <c r="BA921" s="116"/>
      <c r="BB921" s="116"/>
      <c r="BC921" s="116"/>
    </row>
    <row r="922" spans="1:55" ht="19.5" x14ac:dyDescent="0.4">
      <c r="AE922" s="122"/>
      <c r="AF922" s="122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7"/>
      <c r="AV922" s="15"/>
      <c r="AZ922" s="117"/>
      <c r="BA922" s="116"/>
      <c r="BB922" s="116"/>
      <c r="BC922" s="116"/>
    </row>
    <row r="923" spans="1:55" ht="19.5" x14ac:dyDescent="0.4">
      <c r="AB923" s="115"/>
      <c r="AC923" s="115"/>
      <c r="AD923" s="122"/>
      <c r="AE923" s="122"/>
      <c r="AF923" s="122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26"/>
      <c r="AV923" s="15"/>
      <c r="AZ923" s="117"/>
      <c r="BA923" s="116"/>
      <c r="BB923" s="116"/>
      <c r="BC923" s="116"/>
    </row>
    <row r="924" spans="1:55" ht="19.5" x14ac:dyDescent="0.4">
      <c r="AB924" s="115"/>
      <c r="AC924" s="115"/>
      <c r="AD924" s="122"/>
      <c r="AE924" s="122"/>
      <c r="AF924" s="122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7"/>
      <c r="AV924" s="15"/>
      <c r="AZ924" s="117"/>
      <c r="BA924" s="116"/>
      <c r="BB924" s="116"/>
      <c r="BC924" s="116"/>
    </row>
    <row r="925" spans="1:55" ht="19.5" x14ac:dyDescent="0.4">
      <c r="AA925" s="115"/>
      <c r="AB925" s="115"/>
      <c r="AC925" s="115"/>
      <c r="AD925" s="122"/>
      <c r="AE925" s="122"/>
      <c r="AF925" s="122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26"/>
      <c r="AV925" s="15"/>
      <c r="AZ925" s="117"/>
      <c r="BA925" s="116"/>
      <c r="BB925" s="116"/>
      <c r="BC925" s="116"/>
    </row>
    <row r="926" spans="1:55" ht="19.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22"/>
      <c r="AE926" s="122"/>
      <c r="AF926" s="122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15"/>
      <c r="AU926" s="26"/>
      <c r="AV926" s="15"/>
      <c r="AZ926" s="117"/>
      <c r="BA926" s="116"/>
      <c r="BB926" s="116"/>
      <c r="BC926" s="116"/>
    </row>
    <row r="927" spans="1:55" ht="19.5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22"/>
      <c r="AE927" s="122"/>
      <c r="AF927" s="122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26"/>
      <c r="AV927" s="15"/>
      <c r="AZ927" s="117"/>
      <c r="BA927" s="116"/>
      <c r="BB927" s="116"/>
      <c r="BC927" s="116"/>
    </row>
    <row r="928" spans="1:55" ht="19.5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22"/>
      <c r="AE928" s="122"/>
      <c r="AF928" s="122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26"/>
      <c r="AV928" s="15"/>
      <c r="AZ928" s="117"/>
      <c r="BA928" s="116"/>
      <c r="BB928" s="116"/>
      <c r="BC928" s="116"/>
    </row>
    <row r="929" spans="1:55" ht="19.5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22"/>
      <c r="AE929" s="122"/>
      <c r="AF929" s="122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26"/>
      <c r="AV929" s="105"/>
      <c r="AZ929" s="117"/>
      <c r="BA929" s="116"/>
      <c r="BB929" s="116"/>
      <c r="BC929" s="116"/>
    </row>
    <row r="930" spans="1:55" ht="19.5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22"/>
      <c r="AE930" s="122"/>
      <c r="AF930" s="122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26"/>
      <c r="AV930" s="105"/>
      <c r="AZ930" s="117"/>
      <c r="BA930" s="116"/>
      <c r="BB930" s="116"/>
      <c r="BC930" s="116"/>
    </row>
    <row r="931" spans="1:55" ht="19.5" x14ac:dyDescent="0.4">
      <c r="AU931" s="26"/>
      <c r="AV931" s="13"/>
      <c r="AZ931" s="117"/>
      <c r="BA931" s="116"/>
      <c r="BB931" s="116"/>
      <c r="BC931" s="116"/>
    </row>
    <row r="932" spans="1:55" ht="19.5" x14ac:dyDescent="0.4">
      <c r="AB932" s="115"/>
      <c r="AC932" s="115"/>
      <c r="AD932" s="122"/>
      <c r="AE932" s="122"/>
      <c r="AF932" s="122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26"/>
      <c r="AV932" s="13"/>
      <c r="AZ932" s="117"/>
      <c r="BA932" s="116"/>
      <c r="BB932" s="116"/>
      <c r="BC932" s="116"/>
    </row>
    <row r="933" spans="1:55" ht="19.5" x14ac:dyDescent="0.4">
      <c r="W933" s="115"/>
      <c r="X933" s="115"/>
      <c r="Y933" s="115"/>
      <c r="Z933" s="115"/>
      <c r="AA933" s="115"/>
      <c r="AB933" s="115"/>
      <c r="AC933" s="115"/>
      <c r="AD933" s="122"/>
      <c r="AE933" s="122"/>
      <c r="AF933" s="122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26"/>
      <c r="AV933" s="13"/>
      <c r="AZ933" s="117"/>
      <c r="BA933" s="116"/>
      <c r="BB933" s="116"/>
      <c r="BC933" s="116"/>
    </row>
    <row r="934" spans="1:55" ht="19.5" x14ac:dyDescent="0.4">
      <c r="AU934" s="26"/>
      <c r="AV934" s="13"/>
      <c r="AZ934" s="117"/>
      <c r="BA934" s="116"/>
      <c r="BB934" s="116"/>
      <c r="BC934" s="116"/>
    </row>
    <row r="935" spans="1:55" ht="19.5" x14ac:dyDescent="0.4"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22"/>
      <c r="AE935" s="122"/>
      <c r="AF935" s="122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26"/>
      <c r="AV935" s="13"/>
      <c r="AZ935" s="117"/>
      <c r="BA935" s="116"/>
      <c r="BB935" s="116"/>
      <c r="BC935" s="116"/>
    </row>
    <row r="936" spans="1:55" ht="19.5" x14ac:dyDescent="0.4"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22"/>
      <c r="AE936" s="122"/>
      <c r="AF936" s="122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26"/>
      <c r="AV936" s="13"/>
      <c r="AZ936" s="117"/>
      <c r="BA936" s="116"/>
      <c r="BB936" s="116"/>
      <c r="BC936" s="116"/>
    </row>
    <row r="937" spans="1:55" ht="19.5" x14ac:dyDescent="0.4"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22"/>
      <c r="AE937" s="122"/>
      <c r="AF937" s="122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26"/>
      <c r="AV937" s="13"/>
      <c r="AZ937" s="117"/>
      <c r="BA937" s="116"/>
      <c r="BB937" s="116"/>
      <c r="BC937" s="116"/>
    </row>
    <row r="938" spans="1:55" ht="19.5" x14ac:dyDescent="0.4"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22"/>
      <c r="AE938" s="122"/>
      <c r="AF938" s="122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26"/>
      <c r="AV938" s="13"/>
      <c r="AZ938" s="117"/>
      <c r="BA938" s="116"/>
      <c r="BB938" s="116"/>
      <c r="BC938" s="116"/>
    </row>
    <row r="939" spans="1:55" ht="19.5" x14ac:dyDescent="0.4"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22"/>
      <c r="AE939" s="122"/>
      <c r="AF939" s="122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26"/>
      <c r="AV939" s="13"/>
      <c r="AZ939" s="117"/>
      <c r="BA939" s="116"/>
      <c r="BB939" s="116"/>
      <c r="BC939" s="116"/>
    </row>
    <row r="940" spans="1:55" ht="19.5" x14ac:dyDescent="0.4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22"/>
      <c r="AE940" s="122"/>
      <c r="AF940" s="122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26"/>
      <c r="AV940" s="13"/>
      <c r="AZ940" s="117"/>
      <c r="BA940" s="116"/>
      <c r="BB940" s="116"/>
      <c r="BC940" s="116"/>
    </row>
    <row r="941" spans="1:55" ht="19.5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22"/>
      <c r="AE941" s="122"/>
      <c r="AF941" s="122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26"/>
      <c r="AV941" s="13"/>
      <c r="AZ941" s="117"/>
      <c r="BA941" s="116"/>
      <c r="BB941" s="116"/>
      <c r="BC941" s="116"/>
    </row>
    <row r="942" spans="1:55" ht="19.5" x14ac:dyDescent="0.4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22"/>
      <c r="AE942" s="122"/>
      <c r="AF942" s="122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26"/>
      <c r="AV942" s="13"/>
      <c r="AZ942" s="117"/>
      <c r="BA942" s="116"/>
      <c r="BB942" s="116"/>
      <c r="BC942" s="116"/>
    </row>
    <row r="943" spans="1:55" ht="19.5" x14ac:dyDescent="0.4">
      <c r="AU943" s="26"/>
      <c r="AV943" s="15"/>
      <c r="AZ943" s="117"/>
      <c r="BA943" s="116"/>
      <c r="BB943" s="116"/>
      <c r="BC943" s="116"/>
    </row>
    <row r="944" spans="1:55" ht="19.5" x14ac:dyDescent="0.4"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22"/>
      <c r="AE944" s="122"/>
      <c r="AF944" s="122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26"/>
      <c r="AV944" s="15"/>
      <c r="AZ944" s="117"/>
      <c r="BA944" s="116"/>
      <c r="BB944" s="116"/>
      <c r="BC944" s="116"/>
    </row>
    <row r="945" spans="1:55" ht="19.5" x14ac:dyDescent="0.4"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22"/>
      <c r="AE945" s="122"/>
      <c r="AF945" s="122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7"/>
      <c r="AV945" s="15"/>
      <c r="AZ945" s="117"/>
      <c r="BA945" s="116"/>
      <c r="BB945" s="116"/>
      <c r="BC945" s="116"/>
    </row>
    <row r="946" spans="1:55" ht="19.5" x14ac:dyDescent="0.4">
      <c r="AU946" s="26"/>
      <c r="AV946" s="15"/>
      <c r="AZ946" s="117"/>
      <c r="BA946" s="116"/>
      <c r="BB946" s="116"/>
      <c r="BC946" s="116"/>
    </row>
    <row r="947" spans="1:55" ht="19.5" x14ac:dyDescent="0.4">
      <c r="AU947" s="26"/>
      <c r="AV947" s="13"/>
      <c r="AZ947" s="117"/>
      <c r="BA947" s="116"/>
      <c r="BB947" s="116"/>
      <c r="BC947" s="116"/>
    </row>
    <row r="948" spans="1:55" ht="19.5" x14ac:dyDescent="0.4">
      <c r="AA948" s="115"/>
      <c r="AB948" s="115"/>
      <c r="AC948" s="115"/>
      <c r="AD948" s="122"/>
      <c r="AE948" s="122"/>
      <c r="AF948" s="122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115"/>
      <c r="AU948" s="26"/>
      <c r="AV948" s="13"/>
      <c r="AZ948" s="117"/>
      <c r="BA948" s="116"/>
      <c r="BB948" s="116"/>
      <c r="BC948" s="116"/>
    </row>
    <row r="949" spans="1:55" ht="19.5" x14ac:dyDescent="0.4"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22"/>
      <c r="AE949" s="122"/>
      <c r="AF949" s="122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26"/>
      <c r="AV949" s="13"/>
      <c r="AZ949" s="117"/>
      <c r="BA949" s="116"/>
      <c r="BB949" s="116"/>
      <c r="BC949" s="116"/>
    </row>
    <row r="950" spans="1:55" ht="19.5" x14ac:dyDescent="0.4"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22"/>
      <c r="AE950" s="122"/>
      <c r="AF950" s="122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7"/>
      <c r="AV950" s="13"/>
      <c r="AZ950" s="117"/>
      <c r="BA950" s="116"/>
      <c r="BB950" s="116"/>
      <c r="BC950" s="116"/>
    </row>
    <row r="951" spans="1:55" ht="19.5" x14ac:dyDescent="0.4"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22"/>
      <c r="AE951" s="122"/>
      <c r="AF951" s="122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26"/>
      <c r="AV951" s="25"/>
      <c r="AZ951" s="117"/>
      <c r="BA951" s="116"/>
      <c r="BB951" s="116"/>
      <c r="BC951" s="116"/>
    </row>
    <row r="952" spans="1:55" ht="19.5" x14ac:dyDescent="0.4"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22"/>
      <c r="AE952" s="122"/>
      <c r="AF952" s="122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7"/>
      <c r="AV952" s="13"/>
      <c r="AZ952" s="117"/>
      <c r="BA952" s="116"/>
      <c r="BB952" s="116"/>
      <c r="BC952" s="116"/>
    </row>
    <row r="953" spans="1:55" ht="19.5" x14ac:dyDescent="0.4"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22"/>
      <c r="AE953" s="122"/>
      <c r="AF953" s="122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26"/>
      <c r="AV953" s="13"/>
      <c r="AZ953" s="117"/>
      <c r="BA953" s="116"/>
      <c r="BB953" s="116"/>
      <c r="BC953" s="116"/>
    </row>
    <row r="954" spans="1:55" ht="19.5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22"/>
      <c r="AE954" s="122"/>
      <c r="AF954" s="122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26"/>
      <c r="AV954" s="13"/>
      <c r="AZ954" s="117"/>
      <c r="BA954" s="116"/>
      <c r="BB954" s="116"/>
      <c r="BC954" s="116"/>
    </row>
    <row r="955" spans="1:55" ht="19.5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22"/>
      <c r="AE955" s="122"/>
      <c r="AF955" s="122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26"/>
      <c r="AV955" s="13"/>
      <c r="AZ955" s="117"/>
      <c r="BA955" s="116"/>
      <c r="BB955" s="116"/>
      <c r="BC955" s="116"/>
    </row>
    <row r="956" spans="1:55" ht="19.5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22"/>
      <c r="AE956" s="122"/>
      <c r="AF956" s="122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26"/>
      <c r="AV956" s="13"/>
      <c r="AZ956" s="117"/>
      <c r="BA956" s="116"/>
      <c r="BB956" s="116"/>
      <c r="BC956" s="116"/>
    </row>
    <row r="957" spans="1:55" ht="19.5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22"/>
      <c r="AE957" s="122"/>
      <c r="AF957" s="122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26"/>
      <c r="AV957" s="13"/>
      <c r="AZ957" s="117"/>
      <c r="BA957" s="116"/>
      <c r="BB957" s="116"/>
      <c r="BC957" s="116"/>
    </row>
    <row r="958" spans="1:55" ht="19.5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22"/>
      <c r="AE958" s="122"/>
      <c r="AF958" s="122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115"/>
      <c r="AU958" s="26"/>
      <c r="AV958" s="13"/>
      <c r="AZ958" s="117"/>
      <c r="BA958" s="116"/>
      <c r="BB958" s="116"/>
      <c r="BC958" s="116"/>
    </row>
    <row r="959" spans="1:55" ht="19.5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22"/>
      <c r="AE959" s="122"/>
      <c r="AF959" s="122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15"/>
      <c r="AU959" s="26"/>
      <c r="AV959" s="13"/>
      <c r="AZ959" s="117"/>
      <c r="BA959" s="116"/>
      <c r="BB959" s="116"/>
      <c r="BC959" s="116"/>
    </row>
    <row r="960" spans="1:55" ht="19.5" x14ac:dyDescent="0.4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22"/>
      <c r="AE960" s="122"/>
      <c r="AF960" s="122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26"/>
      <c r="AV960" s="13"/>
      <c r="AZ960" s="117"/>
      <c r="BA960" s="116"/>
      <c r="BB960" s="116"/>
      <c r="BC960" s="116"/>
    </row>
    <row r="961" spans="1:55" ht="19.5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22"/>
      <c r="AE961" s="122"/>
      <c r="AF961" s="122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15"/>
      <c r="AU961" s="26"/>
      <c r="AV961" s="15"/>
      <c r="AZ961" s="117"/>
      <c r="BA961" s="116"/>
      <c r="BB961" s="116"/>
      <c r="BC961" s="116"/>
    </row>
    <row r="962" spans="1:55" ht="19.5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22"/>
      <c r="AE962" s="122"/>
      <c r="AF962" s="122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26"/>
      <c r="AV962" s="15"/>
      <c r="AZ962" s="117"/>
      <c r="BA962" s="116"/>
      <c r="BB962" s="116"/>
      <c r="BC962" s="116"/>
    </row>
    <row r="963" spans="1:55" ht="19.5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22"/>
      <c r="AE963" s="122"/>
      <c r="AF963" s="122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26"/>
      <c r="AV963" s="15"/>
      <c r="AZ963" s="117"/>
      <c r="BA963" s="116"/>
      <c r="BB963" s="116"/>
      <c r="BC963" s="116"/>
    </row>
    <row r="964" spans="1:55" ht="19.5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22"/>
      <c r="AE964" s="122"/>
      <c r="AF964" s="122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26"/>
      <c r="AV964" s="15"/>
      <c r="AZ964" s="117"/>
      <c r="BA964" s="116"/>
      <c r="BB964" s="116"/>
      <c r="BC964" s="116"/>
    </row>
    <row r="965" spans="1:55" ht="19.5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22"/>
      <c r="AE965" s="122"/>
      <c r="AF965" s="122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26"/>
      <c r="AV965" s="25"/>
      <c r="AZ965" s="117"/>
      <c r="BA965" s="116"/>
      <c r="BB965" s="116"/>
      <c r="BC965" s="116"/>
    </row>
    <row r="966" spans="1:55" ht="19.5" x14ac:dyDescent="0.4">
      <c r="AU966" s="26"/>
      <c r="AV966" s="15"/>
      <c r="AZ966" s="117"/>
      <c r="BA966" s="116"/>
      <c r="BB966" s="116"/>
      <c r="BC966" s="116"/>
    </row>
    <row r="967" spans="1:55" ht="19.5" x14ac:dyDescent="0.4">
      <c r="AC967" s="115"/>
      <c r="AD967" s="122"/>
      <c r="AE967" s="122"/>
      <c r="AF967" s="122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26"/>
      <c r="AV967" s="15"/>
      <c r="AZ967" s="117"/>
      <c r="BA967" s="116"/>
      <c r="BB967" s="116"/>
      <c r="BC967" s="116"/>
    </row>
    <row r="968" spans="1:55" ht="19.5" x14ac:dyDescent="0.4">
      <c r="AA968" s="115"/>
      <c r="AB968" s="115"/>
      <c r="AC968" s="115"/>
      <c r="AD968" s="122"/>
      <c r="AE968" s="122"/>
      <c r="AF968" s="122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26"/>
      <c r="AV968" s="15"/>
      <c r="AZ968" s="117"/>
      <c r="BA968" s="116"/>
      <c r="BB968" s="116"/>
      <c r="BC968" s="116"/>
    </row>
    <row r="969" spans="1:55" ht="19.5" x14ac:dyDescent="0.4">
      <c r="AA969" s="115"/>
      <c r="AB969" s="115"/>
      <c r="AC969" s="115"/>
      <c r="AD969" s="122"/>
      <c r="AE969" s="122"/>
      <c r="AF969" s="122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7"/>
      <c r="AV969" s="15"/>
      <c r="AZ969" s="117"/>
      <c r="BA969" s="116"/>
      <c r="BB969" s="116"/>
      <c r="BC969" s="116"/>
    </row>
    <row r="970" spans="1:55" ht="19.5" x14ac:dyDescent="0.4">
      <c r="X970" s="115"/>
      <c r="Y970" s="115"/>
      <c r="Z970" s="115"/>
      <c r="AA970" s="115"/>
      <c r="AB970" s="115"/>
      <c r="AC970" s="115"/>
      <c r="AD970" s="122"/>
      <c r="AE970" s="122"/>
      <c r="AF970" s="122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115"/>
      <c r="AU970" s="26"/>
      <c r="AV970" s="15"/>
      <c r="AZ970" s="117"/>
      <c r="BA970" s="116"/>
      <c r="BB970" s="116"/>
      <c r="BC970" s="116"/>
    </row>
    <row r="971" spans="1:55" ht="19.5" x14ac:dyDescent="0.4">
      <c r="X971" s="115"/>
      <c r="Y971" s="115"/>
      <c r="Z971" s="115"/>
      <c r="AA971" s="115"/>
      <c r="AB971" s="115"/>
      <c r="AC971" s="115"/>
      <c r="AD971" s="122"/>
      <c r="AE971" s="122"/>
      <c r="AF971" s="122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115"/>
      <c r="AU971" s="17"/>
      <c r="AV971" s="15"/>
      <c r="AZ971" s="117"/>
      <c r="BA971" s="116"/>
      <c r="BB971" s="116"/>
      <c r="BC971" s="116"/>
    </row>
    <row r="972" spans="1:55" ht="19.5" x14ac:dyDescent="0.4">
      <c r="X972" s="115"/>
      <c r="Y972" s="115"/>
      <c r="Z972" s="115"/>
      <c r="AA972" s="115"/>
      <c r="AB972" s="115"/>
      <c r="AC972" s="115"/>
      <c r="AD972" s="122"/>
      <c r="AE972" s="122"/>
      <c r="AF972" s="122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26"/>
      <c r="AV972" s="15"/>
      <c r="AZ972" s="117"/>
      <c r="BA972" s="116"/>
      <c r="BB972" s="116"/>
      <c r="BC972" s="116"/>
    </row>
    <row r="973" spans="1:55" ht="19.5" x14ac:dyDescent="0.4">
      <c r="X973" s="115"/>
      <c r="Y973" s="115"/>
      <c r="Z973" s="115"/>
      <c r="AA973" s="115"/>
      <c r="AB973" s="115"/>
      <c r="AC973" s="115"/>
      <c r="AD973" s="122"/>
      <c r="AE973" s="122"/>
      <c r="AF973" s="122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15"/>
      <c r="AU973" s="17"/>
      <c r="AV973" s="13"/>
      <c r="AZ973" s="117"/>
      <c r="BA973" s="116"/>
      <c r="BB973" s="116"/>
      <c r="BC973" s="116"/>
    </row>
    <row r="974" spans="1:55" ht="19.5" x14ac:dyDescent="0.4">
      <c r="X974" s="115"/>
      <c r="Y974" s="115"/>
      <c r="Z974" s="115"/>
      <c r="AA974" s="115"/>
      <c r="AB974" s="115"/>
      <c r="AC974" s="115"/>
      <c r="AD974" s="122"/>
      <c r="AE974" s="122"/>
      <c r="AF974" s="122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15"/>
      <c r="AT974" s="115"/>
      <c r="AU974" s="17"/>
      <c r="AV974" s="13"/>
      <c r="AZ974" s="117"/>
      <c r="BA974" s="116"/>
      <c r="BB974" s="116"/>
      <c r="BC974" s="116"/>
    </row>
    <row r="975" spans="1:55" ht="19.5" x14ac:dyDescent="0.4">
      <c r="AU975" s="26"/>
      <c r="AV975" s="13"/>
      <c r="AZ975" s="117"/>
      <c r="BA975" s="116"/>
      <c r="BB975" s="116"/>
      <c r="BC975" s="116"/>
    </row>
    <row r="976" spans="1:55" ht="19.5" x14ac:dyDescent="0.4">
      <c r="AC976" s="115"/>
      <c r="AD976" s="122"/>
      <c r="AE976" s="122"/>
      <c r="AF976" s="122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7"/>
      <c r="AV976" s="13"/>
      <c r="AZ976" s="117"/>
      <c r="BA976" s="116"/>
      <c r="BB976" s="116"/>
      <c r="BC976" s="116"/>
    </row>
    <row r="977" spans="1:55" ht="19.5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22"/>
      <c r="AE977" s="122"/>
      <c r="AF977" s="122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26"/>
      <c r="AV977" s="13"/>
      <c r="AZ977" s="117"/>
      <c r="BA977" s="116"/>
      <c r="BB977" s="116"/>
      <c r="BC977" s="116"/>
    </row>
    <row r="978" spans="1:55" ht="19.5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22"/>
      <c r="AE978" s="122"/>
      <c r="AF978" s="122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26"/>
      <c r="AV978" s="13"/>
      <c r="AZ978" s="117"/>
      <c r="BA978" s="116"/>
      <c r="BB978" s="116"/>
      <c r="BC978" s="116"/>
    </row>
    <row r="979" spans="1:55" ht="19.5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22"/>
      <c r="AE979" s="122"/>
      <c r="AF979" s="122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26"/>
      <c r="AV979" s="13"/>
      <c r="AZ979" s="117"/>
      <c r="BA979" s="116"/>
      <c r="BB979" s="116"/>
      <c r="BC979" s="116"/>
    </row>
    <row r="980" spans="1:55" ht="19.5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22"/>
      <c r="AE980" s="122"/>
      <c r="AF980" s="122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26"/>
      <c r="AV980" s="13"/>
      <c r="AZ980" s="117"/>
      <c r="BA980" s="116"/>
      <c r="BB980" s="116"/>
      <c r="BC980" s="116"/>
    </row>
    <row r="981" spans="1:55" ht="19.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22"/>
      <c r="AE981" s="122"/>
      <c r="AF981" s="122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7"/>
      <c r="AV981" s="13"/>
      <c r="AZ981" s="117"/>
      <c r="BA981" s="116"/>
      <c r="BB981" s="116"/>
      <c r="BC981" s="116"/>
    </row>
    <row r="982" spans="1:55" ht="19.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22"/>
      <c r="AE982" s="122"/>
      <c r="AF982" s="122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26"/>
      <c r="AV982" s="13"/>
      <c r="AZ982" s="117"/>
      <c r="BA982" s="116"/>
      <c r="BB982" s="116"/>
      <c r="BC982" s="116"/>
    </row>
    <row r="983" spans="1:55" ht="19.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22"/>
      <c r="AE983" s="122"/>
      <c r="AF983" s="122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26"/>
      <c r="AV983" s="15"/>
      <c r="AZ983" s="117"/>
      <c r="BA983" s="116"/>
      <c r="BB983" s="116"/>
      <c r="BC983" s="116"/>
    </row>
    <row r="984" spans="1:55" ht="19.5" x14ac:dyDescent="0.4">
      <c r="AU984" s="26"/>
      <c r="AV984" s="15"/>
      <c r="AZ984" s="117"/>
      <c r="BA984" s="116"/>
      <c r="BB984" s="116"/>
      <c r="BC984" s="116"/>
    </row>
    <row r="985" spans="1:55" ht="19.5" x14ac:dyDescent="0.4">
      <c r="AB985" s="115"/>
      <c r="AC985" s="115"/>
      <c r="AD985" s="122"/>
      <c r="AE985" s="122"/>
      <c r="AF985" s="122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26"/>
      <c r="AV985" s="13"/>
      <c r="AZ985" s="117"/>
      <c r="BA985" s="116"/>
      <c r="BB985" s="116"/>
      <c r="BC985" s="116"/>
    </row>
    <row r="986" spans="1:55" ht="19.5" x14ac:dyDescent="0.4">
      <c r="Z986" s="115"/>
      <c r="AA986" s="115"/>
      <c r="AB986" s="115"/>
      <c r="AC986" s="115"/>
      <c r="AD986" s="122"/>
      <c r="AE986" s="122"/>
      <c r="AF986" s="122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26"/>
      <c r="AV986" s="15"/>
      <c r="AZ986" s="117"/>
      <c r="BA986" s="116"/>
      <c r="BB986" s="116"/>
      <c r="BC986" s="116"/>
    </row>
    <row r="987" spans="1:55" ht="19.5" x14ac:dyDescent="0.4">
      <c r="Z987" s="115"/>
      <c r="AA987" s="115"/>
      <c r="AB987" s="115"/>
      <c r="AC987" s="115"/>
      <c r="AD987" s="122"/>
      <c r="AE987" s="122"/>
      <c r="AF987" s="122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26"/>
      <c r="AV987" s="15"/>
      <c r="AZ987" s="117"/>
      <c r="BA987" s="116"/>
      <c r="BB987" s="116"/>
      <c r="BC987" s="116"/>
    </row>
    <row r="988" spans="1:55" ht="19.5" x14ac:dyDescent="0.4">
      <c r="Z988" s="115"/>
      <c r="AA988" s="115"/>
      <c r="AB988" s="115"/>
      <c r="AC988" s="115"/>
      <c r="AD988" s="122"/>
      <c r="AE988" s="122"/>
      <c r="AF988" s="122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7"/>
      <c r="AV988" s="15"/>
      <c r="AZ988" s="117"/>
      <c r="BA988" s="116"/>
      <c r="BB988" s="116"/>
      <c r="BC988" s="116"/>
    </row>
    <row r="989" spans="1:55" ht="19.5" x14ac:dyDescent="0.4">
      <c r="Y989" s="115"/>
      <c r="Z989" s="115"/>
      <c r="AA989" s="115"/>
      <c r="AB989" s="115"/>
      <c r="AC989" s="115"/>
      <c r="AD989" s="122"/>
      <c r="AE989" s="122"/>
      <c r="AF989" s="122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26"/>
      <c r="AV989" s="15"/>
      <c r="AZ989" s="117"/>
      <c r="BA989" s="116"/>
      <c r="BB989" s="116"/>
      <c r="BC989" s="116"/>
    </row>
    <row r="990" spans="1:55" ht="19.5" x14ac:dyDescent="0.4">
      <c r="Y990" s="115"/>
      <c r="Z990" s="115"/>
      <c r="AA990" s="115"/>
      <c r="AB990" s="115"/>
      <c r="AC990" s="115"/>
      <c r="AD990" s="122"/>
      <c r="AE990" s="122"/>
      <c r="AF990" s="122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26"/>
      <c r="AV990" s="15"/>
      <c r="AZ990" s="117"/>
      <c r="BA990" s="116"/>
      <c r="BB990" s="116"/>
      <c r="BC990" s="116"/>
    </row>
    <row r="991" spans="1:55" ht="19.5" x14ac:dyDescent="0.4">
      <c r="Y991" s="115"/>
      <c r="Z991" s="115"/>
      <c r="AA991" s="115"/>
      <c r="AB991" s="115"/>
      <c r="AC991" s="115"/>
      <c r="AD991" s="122"/>
      <c r="AE991" s="122"/>
      <c r="AF991" s="122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15"/>
      <c r="AU991" s="26"/>
      <c r="AV991" s="105"/>
      <c r="AZ991" s="117"/>
      <c r="BA991" s="116"/>
      <c r="BB991" s="116"/>
      <c r="BC991" s="116"/>
    </row>
    <row r="992" spans="1:55" ht="19.5" x14ac:dyDescent="0.4">
      <c r="Y992" s="115"/>
      <c r="Z992" s="115"/>
      <c r="AA992" s="115"/>
      <c r="AB992" s="115"/>
      <c r="AC992" s="115"/>
      <c r="AD992" s="122"/>
      <c r="AE992" s="122"/>
      <c r="AF992" s="122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7"/>
      <c r="AV992" s="15"/>
      <c r="AZ992" s="117"/>
      <c r="BA992" s="116"/>
      <c r="BB992" s="116"/>
      <c r="BC992" s="116"/>
    </row>
    <row r="993" spans="1:55" ht="19.5" x14ac:dyDescent="0.4">
      <c r="Y993" s="115"/>
      <c r="Z993" s="115"/>
      <c r="AA993" s="115"/>
      <c r="AB993" s="115"/>
      <c r="AC993" s="115"/>
      <c r="AD993" s="122"/>
      <c r="AE993" s="122"/>
      <c r="AF993" s="122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26"/>
      <c r="AV993" s="15"/>
      <c r="AZ993" s="117"/>
      <c r="BA993" s="116"/>
      <c r="BB993" s="116"/>
      <c r="BC993" s="116"/>
    </row>
    <row r="994" spans="1:55" ht="19.5" x14ac:dyDescent="0.4">
      <c r="Y994" s="115"/>
      <c r="Z994" s="115"/>
      <c r="AA994" s="115"/>
      <c r="AB994" s="115"/>
      <c r="AC994" s="115"/>
      <c r="AD994" s="122"/>
      <c r="AE994" s="122"/>
      <c r="AF994" s="122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7"/>
      <c r="AV994" s="15"/>
      <c r="AZ994" s="117"/>
      <c r="BA994" s="116"/>
      <c r="BB994" s="116"/>
      <c r="BC994" s="116"/>
    </row>
    <row r="995" spans="1:55" ht="19.5" x14ac:dyDescent="0.4"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22"/>
      <c r="AE995" s="122"/>
      <c r="AF995" s="122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26"/>
      <c r="AV995" s="15"/>
      <c r="AZ995" s="117"/>
      <c r="BA995" s="116"/>
      <c r="BB995" s="116"/>
      <c r="BC995" s="116"/>
    </row>
    <row r="996" spans="1:55" ht="19.5" x14ac:dyDescent="0.4"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22"/>
      <c r="AE996" s="122"/>
      <c r="AF996" s="122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7"/>
      <c r="AV996" s="15"/>
      <c r="AZ996" s="117"/>
      <c r="BA996" s="116"/>
      <c r="BB996" s="116"/>
      <c r="BC996" s="116"/>
    </row>
    <row r="997" spans="1:55" ht="19.5" x14ac:dyDescent="0.4"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22"/>
      <c r="AE997" s="122"/>
      <c r="AF997" s="122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26"/>
      <c r="AV997" s="15"/>
      <c r="AZ997" s="117"/>
      <c r="BA997" s="116"/>
      <c r="BB997" s="116"/>
      <c r="BC997" s="116"/>
    </row>
    <row r="998" spans="1:55" ht="19.5" x14ac:dyDescent="0.4"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22"/>
      <c r="AE998" s="122"/>
      <c r="AF998" s="122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7"/>
      <c r="AV998" s="15"/>
      <c r="AZ998" s="117"/>
      <c r="BA998" s="116"/>
      <c r="BB998" s="116"/>
      <c r="BC998" s="116"/>
    </row>
    <row r="999" spans="1:55" ht="19.5" x14ac:dyDescent="0.4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22"/>
      <c r="AE999" s="122"/>
      <c r="AF999" s="122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26"/>
      <c r="AV999" s="15"/>
      <c r="AZ999" s="117"/>
      <c r="BA999" s="116"/>
      <c r="BB999" s="116"/>
      <c r="BC999" s="116"/>
    </row>
    <row r="1000" spans="1:55" ht="19.5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22"/>
      <c r="AE1000" s="122"/>
      <c r="AF1000" s="122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26"/>
      <c r="AV1000" s="15"/>
      <c r="AZ1000" s="117"/>
      <c r="BA1000" s="116"/>
      <c r="BB1000" s="116"/>
      <c r="BC1000" s="116"/>
    </row>
    <row r="1001" spans="1:55" ht="19.5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22"/>
      <c r="AE1001" s="122"/>
      <c r="AF1001" s="122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26"/>
      <c r="AV1001" s="15"/>
      <c r="AZ1001" s="117"/>
      <c r="BA1001" s="116"/>
      <c r="BB1001" s="116"/>
      <c r="BC1001" s="116"/>
    </row>
    <row r="1002" spans="1:55" ht="19.5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22"/>
      <c r="AE1002" s="122"/>
      <c r="AF1002" s="122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26"/>
      <c r="AV1002" s="15"/>
      <c r="AZ1002" s="117"/>
      <c r="BA1002" s="116"/>
      <c r="BB1002" s="116"/>
      <c r="BC1002" s="116"/>
    </row>
    <row r="1003" spans="1:55" ht="19.5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22"/>
      <c r="AE1003" s="122"/>
      <c r="AF1003" s="122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15"/>
      <c r="AU1003" s="26"/>
      <c r="AV1003" s="15"/>
      <c r="AZ1003" s="117"/>
      <c r="BA1003" s="116"/>
      <c r="BB1003" s="116"/>
      <c r="BC1003" s="116"/>
    </row>
    <row r="1004" spans="1:55" ht="19.5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22"/>
      <c r="AE1004" s="122"/>
      <c r="AF1004" s="122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26"/>
      <c r="AV1004" s="15"/>
      <c r="AZ1004" s="117"/>
      <c r="BA1004" s="116"/>
      <c r="BB1004" s="116"/>
      <c r="BC1004" s="116"/>
    </row>
    <row r="1005" spans="1:55" ht="19.5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22"/>
      <c r="AE1005" s="122"/>
      <c r="AF1005" s="122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7"/>
      <c r="AV1005" s="15"/>
      <c r="AZ1005" s="117"/>
      <c r="BA1005" s="116"/>
      <c r="BB1005" s="116"/>
      <c r="BC1005" s="116"/>
    </row>
    <row r="1006" spans="1:55" ht="19.5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22"/>
      <c r="AE1006" s="122"/>
      <c r="AF1006" s="122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15"/>
      <c r="AU1006" s="26"/>
      <c r="AV1006" s="15"/>
      <c r="AZ1006" s="117"/>
      <c r="BA1006" s="116"/>
      <c r="BB1006" s="116"/>
      <c r="BC1006" s="116"/>
    </row>
    <row r="1007" spans="1:55" ht="19.5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22"/>
      <c r="AE1007" s="122"/>
      <c r="AF1007" s="122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115"/>
      <c r="AU1007" s="17"/>
      <c r="AV1007" s="15"/>
      <c r="AZ1007" s="117"/>
      <c r="BA1007" s="116"/>
      <c r="BB1007" s="116"/>
      <c r="BC1007" s="116"/>
    </row>
    <row r="1008" spans="1:55" ht="19.5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22"/>
      <c r="AE1008" s="122"/>
      <c r="AF1008" s="122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26"/>
      <c r="AV1008" s="15"/>
      <c r="AZ1008" s="117"/>
      <c r="BA1008" s="116"/>
      <c r="BB1008" s="116"/>
      <c r="BC1008" s="116"/>
    </row>
    <row r="1009" spans="1:55" ht="19.5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22"/>
      <c r="AE1009" s="122"/>
      <c r="AF1009" s="122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20"/>
      <c r="AV1009" s="15"/>
      <c r="AZ1009" s="117"/>
      <c r="BA1009" s="116"/>
      <c r="BB1009" s="116"/>
      <c r="BC1009" s="116"/>
    </row>
    <row r="1010" spans="1:55" ht="19.5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22"/>
      <c r="AE1010" s="122"/>
      <c r="AF1010" s="122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20"/>
      <c r="AV1010" s="15"/>
      <c r="AZ1010" s="117"/>
      <c r="BA1010" s="116"/>
      <c r="BB1010" s="116"/>
      <c r="BC1010" s="116"/>
    </row>
    <row r="1011" spans="1:55" ht="19.5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22"/>
      <c r="AE1011" s="122"/>
      <c r="AF1011" s="122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20"/>
      <c r="AV1011" s="15"/>
      <c r="AZ1011" s="117"/>
      <c r="BA1011" s="116"/>
      <c r="BB1011" s="116"/>
      <c r="BC1011" s="116"/>
    </row>
    <row r="1012" spans="1:55" ht="19.5" x14ac:dyDescent="0.4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22"/>
      <c r="AE1012" s="122"/>
      <c r="AF1012" s="122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20"/>
      <c r="AV1012" s="15"/>
      <c r="AZ1012" s="117"/>
      <c r="BA1012" s="116"/>
      <c r="BB1012" s="116"/>
      <c r="BC1012" s="116"/>
    </row>
    <row r="1013" spans="1:55" ht="19.5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22"/>
      <c r="AE1013" s="122"/>
      <c r="AF1013" s="122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25"/>
      <c r="AV1013" s="15"/>
      <c r="AZ1013" s="117"/>
      <c r="BA1013" s="116"/>
      <c r="BB1013" s="116"/>
      <c r="BC1013" s="116"/>
    </row>
    <row r="1014" spans="1:55" ht="19.5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22"/>
      <c r="AE1014" s="122"/>
      <c r="AF1014" s="122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3"/>
      <c r="AV1014" s="15"/>
      <c r="AZ1014" s="117"/>
      <c r="BA1014" s="116"/>
      <c r="BB1014" s="116"/>
      <c r="BC1014" s="116"/>
    </row>
    <row r="1015" spans="1:55" ht="19.5" x14ac:dyDescent="0.4">
      <c r="AU1015" s="25"/>
      <c r="AV1015" s="15"/>
      <c r="AZ1015" s="117"/>
      <c r="BA1015" s="116"/>
      <c r="BB1015" s="116"/>
      <c r="BC1015" s="116"/>
    </row>
    <row r="1016" spans="1:55" ht="19.5" x14ac:dyDescent="0.4">
      <c r="AA1016" s="115"/>
      <c r="AB1016" s="115"/>
      <c r="AC1016" s="115"/>
      <c r="AD1016" s="122"/>
      <c r="AE1016" s="122"/>
      <c r="AF1016" s="122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3"/>
      <c r="AV1016" s="15"/>
      <c r="AZ1016" s="117"/>
      <c r="BA1016" s="116"/>
      <c r="BB1016" s="116"/>
      <c r="BC1016" s="116"/>
    </row>
    <row r="1017" spans="1:55" ht="19.5" x14ac:dyDescent="0.4"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22"/>
      <c r="AE1017" s="122"/>
      <c r="AF1017" s="122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25"/>
      <c r="AV1017" s="15"/>
      <c r="AZ1017" s="117"/>
      <c r="BA1017" s="116"/>
      <c r="BB1017" s="116"/>
      <c r="BC1017" s="116"/>
    </row>
    <row r="1018" spans="1:55" ht="19.5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22"/>
      <c r="AE1018" s="122"/>
      <c r="AF1018" s="122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25"/>
      <c r="AV1018" s="15"/>
      <c r="AZ1018" s="117"/>
      <c r="BA1018" s="116"/>
      <c r="BB1018" s="116"/>
      <c r="BC1018" s="116"/>
    </row>
    <row r="1019" spans="1:55" ht="19.5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22"/>
      <c r="AE1019" s="122"/>
      <c r="AF1019" s="122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3"/>
      <c r="AV1019" s="15"/>
      <c r="AZ1019" s="117"/>
      <c r="BA1019" s="116"/>
      <c r="BB1019" s="116"/>
      <c r="BC1019" s="116"/>
    </row>
    <row r="1020" spans="1:55" ht="19.5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22"/>
      <c r="AE1020" s="122"/>
      <c r="AF1020" s="122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25"/>
      <c r="AV1020" s="15"/>
      <c r="AZ1020" s="117"/>
      <c r="BA1020" s="116"/>
      <c r="BB1020" s="116"/>
      <c r="BC1020" s="116"/>
    </row>
    <row r="1021" spans="1:55" ht="19.5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22"/>
      <c r="AE1021" s="122"/>
      <c r="AF1021" s="122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3"/>
      <c r="AV1021" s="15"/>
      <c r="AZ1021" s="117"/>
      <c r="BA1021" s="116"/>
      <c r="BB1021" s="116"/>
      <c r="BC1021" s="116"/>
    </row>
    <row r="1022" spans="1:55" ht="19.5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22"/>
      <c r="AE1022" s="122"/>
      <c r="AF1022" s="122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25"/>
      <c r="AV1022" s="15"/>
      <c r="AZ1022" s="117"/>
      <c r="BA1022" s="116"/>
      <c r="BB1022" s="116"/>
      <c r="BC1022" s="116"/>
    </row>
    <row r="1023" spans="1:55" ht="19.5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22"/>
      <c r="AE1023" s="122"/>
      <c r="AF1023" s="122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26"/>
      <c r="AV1023" s="15"/>
      <c r="AZ1023" s="117"/>
      <c r="BA1023" s="116"/>
      <c r="BB1023" s="116"/>
      <c r="BC1023" s="116"/>
    </row>
    <row r="1024" spans="1:55" ht="19.5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22"/>
      <c r="AE1024" s="122"/>
      <c r="AF1024" s="122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7"/>
      <c r="AV1024" s="13"/>
      <c r="AZ1024" s="117"/>
      <c r="BA1024" s="116"/>
      <c r="BB1024" s="116"/>
      <c r="BC1024" s="116"/>
    </row>
    <row r="1025" spans="1:55" ht="19.5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22"/>
      <c r="AE1025" s="122"/>
      <c r="AF1025" s="122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26"/>
      <c r="AV1025" s="13"/>
      <c r="AZ1025" s="117"/>
      <c r="BA1025" s="116"/>
      <c r="BB1025" s="116"/>
      <c r="BC1025" s="116"/>
    </row>
    <row r="1026" spans="1:55" ht="19.5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22"/>
      <c r="AE1026" s="122"/>
      <c r="AF1026" s="122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115"/>
      <c r="AT1026" s="115"/>
      <c r="AU1026" s="17"/>
      <c r="AV1026" s="13"/>
      <c r="AZ1026" s="117"/>
      <c r="BA1026" s="116"/>
      <c r="BB1026" s="116"/>
      <c r="BC1026" s="116"/>
    </row>
    <row r="1027" spans="1:55" ht="19.5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22"/>
      <c r="AE1027" s="122"/>
      <c r="AF1027" s="122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26"/>
      <c r="AV1027" s="15"/>
      <c r="AZ1027" s="117"/>
      <c r="BA1027" s="116"/>
      <c r="BB1027" s="116"/>
      <c r="BC1027" s="116"/>
    </row>
    <row r="1028" spans="1:55" ht="19.5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22"/>
      <c r="AE1028" s="122"/>
      <c r="AF1028" s="122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7"/>
      <c r="AV1028" s="15"/>
      <c r="AZ1028" s="117"/>
      <c r="BA1028" s="116"/>
      <c r="BB1028" s="116"/>
      <c r="BC1028" s="116"/>
    </row>
    <row r="1029" spans="1:55" ht="19.5" x14ac:dyDescent="0.4">
      <c r="AU1029" s="26"/>
      <c r="AV1029" s="105"/>
      <c r="AZ1029" s="117"/>
      <c r="BA1029" s="116"/>
      <c r="BB1029" s="116"/>
      <c r="BC1029" s="116"/>
    </row>
    <row r="1030" spans="1:55" ht="19.5" x14ac:dyDescent="0.4">
      <c r="AA1030" s="115"/>
      <c r="AB1030" s="115"/>
      <c r="AC1030" s="115"/>
      <c r="AD1030" s="122"/>
      <c r="AE1030" s="122"/>
      <c r="AF1030" s="122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7"/>
      <c r="AV1030" s="15"/>
      <c r="AZ1030" s="117"/>
      <c r="BA1030" s="116"/>
      <c r="BB1030" s="116"/>
      <c r="BC1030" s="116"/>
    </row>
    <row r="1031" spans="1:55" ht="19.5" x14ac:dyDescent="0.4">
      <c r="X1031" s="115"/>
      <c r="Y1031" s="115"/>
      <c r="Z1031" s="115"/>
      <c r="AA1031" s="115"/>
      <c r="AB1031" s="115"/>
      <c r="AC1031" s="115"/>
      <c r="AD1031" s="122"/>
      <c r="AE1031" s="122"/>
      <c r="AF1031" s="122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26"/>
      <c r="AV1031" s="15"/>
      <c r="AZ1031" s="117"/>
      <c r="BA1031" s="116"/>
      <c r="BB1031" s="116"/>
      <c r="BC1031" s="116"/>
    </row>
    <row r="1032" spans="1:55" ht="19.5" x14ac:dyDescent="0.4">
      <c r="X1032" s="115"/>
      <c r="Y1032" s="115"/>
      <c r="Z1032" s="115"/>
      <c r="AA1032" s="115"/>
      <c r="AB1032" s="115"/>
      <c r="AC1032" s="115"/>
      <c r="AD1032" s="122"/>
      <c r="AE1032" s="122"/>
      <c r="AF1032" s="122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7"/>
      <c r="AV1032" s="15"/>
      <c r="AZ1032" s="117"/>
      <c r="BA1032" s="116"/>
      <c r="BB1032" s="116"/>
      <c r="BC1032" s="116"/>
    </row>
    <row r="1033" spans="1:55" ht="19.5" x14ac:dyDescent="0.4"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22"/>
      <c r="AE1033" s="122"/>
      <c r="AF1033" s="122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26"/>
      <c r="AV1033" s="15"/>
      <c r="AZ1033" s="117"/>
      <c r="BA1033" s="116"/>
      <c r="BB1033" s="116"/>
      <c r="BC1033" s="116"/>
    </row>
    <row r="1034" spans="1:55" ht="19.5" x14ac:dyDescent="0.4"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22"/>
      <c r="AE1034" s="122"/>
      <c r="AF1034" s="122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7"/>
      <c r="AV1034" s="15"/>
      <c r="AZ1034" s="117"/>
      <c r="BA1034" s="116"/>
      <c r="BB1034" s="116"/>
      <c r="BC1034" s="116"/>
    </row>
    <row r="1035" spans="1:55" ht="19.5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22"/>
      <c r="AE1035" s="122"/>
      <c r="AF1035" s="122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115"/>
      <c r="AT1035" s="115"/>
      <c r="AU1035" s="26"/>
      <c r="AV1035" s="15"/>
      <c r="AZ1035" s="117"/>
      <c r="BA1035" s="116"/>
      <c r="BB1035" s="116"/>
      <c r="BC1035" s="116"/>
    </row>
    <row r="1036" spans="1:55" ht="19.5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22"/>
      <c r="AE1036" s="122"/>
      <c r="AF1036" s="122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26"/>
      <c r="AV1036" s="15"/>
      <c r="AZ1036" s="117"/>
      <c r="BA1036" s="116"/>
      <c r="BB1036" s="116"/>
      <c r="BC1036" s="116"/>
    </row>
    <row r="1037" spans="1:55" ht="19.5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22"/>
      <c r="AE1037" s="122"/>
      <c r="AF1037" s="122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7"/>
      <c r="AV1037" s="15"/>
      <c r="AZ1037" s="117"/>
      <c r="BA1037" s="116"/>
      <c r="BB1037" s="116"/>
      <c r="BC1037" s="116"/>
    </row>
    <row r="1038" spans="1:55" ht="19.5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22"/>
      <c r="AE1038" s="122"/>
      <c r="AF1038" s="122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26"/>
      <c r="AV1038" s="15"/>
      <c r="AZ1038" s="117"/>
      <c r="BA1038" s="116"/>
      <c r="BB1038" s="116"/>
      <c r="BC1038" s="116"/>
    </row>
    <row r="1039" spans="1:55" ht="19.5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22"/>
      <c r="AE1039" s="122"/>
      <c r="AF1039" s="122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7"/>
      <c r="AV1039" s="15"/>
      <c r="AZ1039" s="117"/>
      <c r="BA1039" s="116"/>
      <c r="BB1039" s="116"/>
      <c r="BC1039" s="116"/>
    </row>
    <row r="1040" spans="1:55" ht="19.5" x14ac:dyDescent="0.4">
      <c r="AU1040" s="26"/>
      <c r="AV1040" s="15"/>
      <c r="AZ1040" s="117"/>
      <c r="BA1040" s="116"/>
      <c r="BB1040" s="116"/>
      <c r="BC1040" s="116"/>
    </row>
    <row r="1041" spans="2:55" ht="19.5" x14ac:dyDescent="0.4">
      <c r="AA1041" s="115"/>
      <c r="AB1041" s="115"/>
      <c r="AC1041" s="115"/>
      <c r="AD1041" s="122"/>
      <c r="AE1041" s="122"/>
      <c r="AF1041" s="122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7"/>
      <c r="AV1041" s="15"/>
      <c r="AZ1041" s="117"/>
      <c r="BA1041" s="116"/>
      <c r="BB1041" s="116"/>
      <c r="BC1041" s="116"/>
    </row>
    <row r="1042" spans="2:55" ht="19.5" x14ac:dyDescent="0.4">
      <c r="AU1042" s="26"/>
      <c r="AV1042" s="15"/>
      <c r="AZ1042" s="117"/>
      <c r="BA1042" s="116"/>
      <c r="BB1042" s="116"/>
      <c r="BC1042" s="116"/>
    </row>
    <row r="1043" spans="2:55" ht="19.5" x14ac:dyDescent="0.4">
      <c r="AA1043" s="115"/>
      <c r="AB1043" s="115"/>
      <c r="AC1043" s="115"/>
      <c r="AD1043" s="122"/>
      <c r="AE1043" s="122"/>
      <c r="AF1043" s="122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7"/>
      <c r="AV1043" s="15"/>
      <c r="AZ1043" s="117"/>
      <c r="BA1043" s="116"/>
      <c r="BB1043" s="116"/>
      <c r="BC1043" s="116"/>
    </row>
    <row r="1044" spans="2:55" ht="19.5" x14ac:dyDescent="0.4">
      <c r="AU1044" s="26"/>
      <c r="AV1044" s="15"/>
      <c r="AZ1044" s="117"/>
      <c r="BA1044" s="116"/>
      <c r="BB1044" s="116"/>
      <c r="BC1044" s="116"/>
    </row>
    <row r="1045" spans="2:55" ht="19.5" x14ac:dyDescent="0.4">
      <c r="AA1045" s="115"/>
      <c r="AB1045" s="115"/>
      <c r="AC1045" s="115"/>
      <c r="AD1045" s="122"/>
      <c r="AE1045" s="122"/>
      <c r="AF1045" s="122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7"/>
      <c r="AV1045" s="15"/>
      <c r="AZ1045" s="117"/>
      <c r="BA1045" s="116"/>
      <c r="BB1045" s="116"/>
      <c r="BC1045" s="116"/>
    </row>
    <row r="1046" spans="2:55" ht="19.5" x14ac:dyDescent="0.4"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22"/>
      <c r="AE1046" s="122"/>
      <c r="AF1046" s="122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26"/>
      <c r="AV1046" s="15"/>
      <c r="AZ1046" s="117"/>
      <c r="BA1046" s="116"/>
      <c r="BB1046" s="116"/>
      <c r="BC1046" s="116"/>
    </row>
    <row r="1047" spans="2:55" ht="19.5" x14ac:dyDescent="0.4"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22"/>
      <c r="AE1047" s="122"/>
      <c r="AF1047" s="122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7"/>
      <c r="AV1047" s="15"/>
      <c r="AZ1047" s="117"/>
      <c r="BA1047" s="116"/>
      <c r="BB1047" s="116"/>
      <c r="BC1047" s="116"/>
    </row>
    <row r="1048" spans="2:55" ht="19.5" x14ac:dyDescent="0.4"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22"/>
      <c r="AE1048" s="122"/>
      <c r="AF1048" s="122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26"/>
      <c r="AV1048" s="15"/>
      <c r="AZ1048" s="117"/>
      <c r="BA1048" s="116"/>
      <c r="BB1048" s="116"/>
      <c r="BC1048" s="116"/>
    </row>
    <row r="1049" spans="2:55" ht="19.5" x14ac:dyDescent="0.4">
      <c r="AU1049" s="26"/>
      <c r="AV1049" s="15"/>
      <c r="AZ1049" s="117"/>
      <c r="BA1049" s="116"/>
      <c r="BB1049" s="116"/>
      <c r="BC1049" s="116"/>
    </row>
    <row r="1050" spans="2:55" ht="19.5" x14ac:dyDescent="0.4">
      <c r="AA1050" s="115"/>
      <c r="AB1050" s="115"/>
      <c r="AC1050" s="115"/>
      <c r="AD1050" s="122"/>
      <c r="AE1050" s="122"/>
      <c r="AF1050" s="122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7"/>
      <c r="AV1050" s="15"/>
      <c r="AZ1050" s="117"/>
      <c r="BA1050" s="116"/>
      <c r="BB1050" s="116"/>
      <c r="BC1050" s="116"/>
    </row>
    <row r="1051" spans="2:55" ht="19.5" x14ac:dyDescent="0.4">
      <c r="Y1051" s="115"/>
      <c r="Z1051" s="115"/>
      <c r="AA1051" s="115"/>
      <c r="AB1051" s="115"/>
      <c r="AC1051" s="115"/>
      <c r="AD1051" s="122"/>
      <c r="AE1051" s="122"/>
      <c r="AF1051" s="122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26"/>
      <c r="AV1051" s="15"/>
      <c r="AZ1051" s="117"/>
      <c r="BA1051" s="116"/>
      <c r="BB1051" s="116"/>
      <c r="BC1051" s="116"/>
    </row>
    <row r="1052" spans="2:55" ht="19.5" x14ac:dyDescent="0.4">
      <c r="Y1052" s="115"/>
      <c r="Z1052" s="115"/>
      <c r="AA1052" s="115"/>
      <c r="AB1052" s="115"/>
      <c r="AC1052" s="115"/>
      <c r="AD1052" s="122"/>
      <c r="AE1052" s="122"/>
      <c r="AF1052" s="122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7"/>
      <c r="AV1052" s="13"/>
      <c r="AZ1052" s="117"/>
      <c r="BA1052" s="116"/>
      <c r="BB1052" s="116"/>
      <c r="BC1052" s="116"/>
    </row>
    <row r="1053" spans="2:55" ht="19.5" x14ac:dyDescent="0.4">
      <c r="X1053" s="115"/>
      <c r="Y1053" s="115"/>
      <c r="Z1053" s="115"/>
      <c r="AA1053" s="115"/>
      <c r="AB1053" s="115"/>
      <c r="AC1053" s="115"/>
      <c r="AD1053" s="122"/>
      <c r="AE1053" s="122"/>
      <c r="AF1053" s="122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26"/>
      <c r="AV1053" s="13"/>
      <c r="AZ1053" s="117"/>
      <c r="BA1053" s="116"/>
      <c r="BB1053" s="116"/>
      <c r="BC1053" s="116"/>
    </row>
    <row r="1054" spans="2:55" ht="19.5" x14ac:dyDescent="0.4">
      <c r="X1054" s="115"/>
      <c r="Y1054" s="115"/>
      <c r="Z1054" s="115"/>
      <c r="AA1054" s="115"/>
      <c r="AB1054" s="115"/>
      <c r="AC1054" s="115"/>
      <c r="AD1054" s="122"/>
      <c r="AE1054" s="122"/>
      <c r="AF1054" s="122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7"/>
      <c r="AV1054" s="13"/>
      <c r="AZ1054" s="117"/>
      <c r="BA1054" s="116"/>
      <c r="BB1054" s="116"/>
      <c r="BC1054" s="116"/>
    </row>
    <row r="1055" spans="2:55" ht="19.5" x14ac:dyDescent="0.4"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22"/>
      <c r="AE1055" s="122"/>
      <c r="AF1055" s="122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26"/>
      <c r="AV1055" s="15"/>
      <c r="AZ1055" s="117"/>
      <c r="BA1055" s="116"/>
      <c r="BB1055" s="116"/>
      <c r="BC1055" s="116"/>
    </row>
    <row r="1056" spans="2:55" ht="19.5" x14ac:dyDescent="0.4"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22"/>
      <c r="AE1056" s="122"/>
      <c r="AF1056" s="122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7"/>
      <c r="AV1056" s="15"/>
      <c r="AZ1056" s="117"/>
      <c r="BA1056" s="116"/>
      <c r="BB1056" s="116"/>
      <c r="BC1056" s="116"/>
    </row>
    <row r="1057" spans="1:55" ht="19.5" x14ac:dyDescent="0.4"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22"/>
      <c r="AE1057" s="122"/>
      <c r="AF1057" s="122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15"/>
      <c r="AU1057" s="26"/>
      <c r="AV1057" s="105"/>
      <c r="AZ1057" s="117"/>
      <c r="BA1057" s="116"/>
      <c r="BB1057" s="116"/>
      <c r="BC1057" s="116"/>
    </row>
    <row r="1058" spans="1:55" ht="19.5" x14ac:dyDescent="0.4"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22"/>
      <c r="AE1058" s="122"/>
      <c r="AF1058" s="122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15"/>
      <c r="AU1058" s="17"/>
      <c r="AV1058" s="15"/>
      <c r="AZ1058" s="117"/>
      <c r="BA1058" s="116"/>
      <c r="BB1058" s="116"/>
      <c r="BC1058" s="116"/>
    </row>
    <row r="1059" spans="1:55" ht="19.5" x14ac:dyDescent="0.4"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22"/>
      <c r="AE1059" s="122"/>
      <c r="AF1059" s="122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26"/>
      <c r="AV1059" s="15"/>
      <c r="AZ1059" s="117"/>
      <c r="BA1059" s="116"/>
      <c r="BB1059" s="116"/>
      <c r="BC1059" s="116"/>
    </row>
    <row r="1060" spans="1:55" ht="19.5" x14ac:dyDescent="0.4"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22"/>
      <c r="AE1060" s="122"/>
      <c r="AF1060" s="122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26"/>
      <c r="AV1060" s="15"/>
      <c r="AZ1060" s="117"/>
      <c r="BA1060" s="116"/>
      <c r="BB1060" s="116"/>
      <c r="BC1060" s="116"/>
    </row>
    <row r="1061" spans="1:55" ht="19.5" x14ac:dyDescent="0.4">
      <c r="AU1061" s="26"/>
      <c r="AV1061" s="15"/>
      <c r="AZ1061" s="117"/>
      <c r="BA1061" s="116"/>
      <c r="BB1061" s="116"/>
      <c r="BC1061" s="116"/>
    </row>
    <row r="1062" spans="1:55" ht="19.5" x14ac:dyDescent="0.4">
      <c r="Z1062" s="115"/>
      <c r="AA1062" s="115"/>
      <c r="AB1062" s="115"/>
      <c r="AC1062" s="115"/>
      <c r="AD1062" s="122"/>
      <c r="AE1062" s="122"/>
      <c r="AF1062" s="122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26"/>
      <c r="AV1062" s="15"/>
      <c r="AZ1062" s="117"/>
      <c r="BA1062" s="116"/>
      <c r="BB1062" s="116"/>
      <c r="BC1062" s="116"/>
    </row>
    <row r="1063" spans="1:55" ht="19.5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22"/>
      <c r="AE1063" s="122"/>
      <c r="AF1063" s="122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26"/>
      <c r="AV1063" s="15"/>
      <c r="AZ1063" s="117"/>
      <c r="BA1063" s="116"/>
      <c r="BB1063" s="116"/>
      <c r="BC1063" s="116"/>
    </row>
    <row r="1064" spans="1:55" ht="19.5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22"/>
      <c r="AE1064" s="122"/>
      <c r="AF1064" s="122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26"/>
      <c r="AV1064" s="15"/>
      <c r="AZ1064" s="117"/>
      <c r="BA1064" s="116"/>
      <c r="BB1064" s="116"/>
      <c r="BC1064" s="116"/>
    </row>
    <row r="1065" spans="1:55" ht="19.5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22"/>
      <c r="AE1065" s="122"/>
      <c r="AF1065" s="122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7"/>
      <c r="AV1065" s="15"/>
      <c r="AZ1065" s="117"/>
      <c r="BA1065" s="116"/>
      <c r="BB1065" s="116"/>
      <c r="BC1065" s="116"/>
    </row>
    <row r="1066" spans="1:55" ht="19.5" x14ac:dyDescent="0.4">
      <c r="AU1066" s="26"/>
      <c r="AV1066" s="15"/>
      <c r="AZ1066" s="117"/>
      <c r="BA1066" s="116"/>
      <c r="BB1066" s="116"/>
      <c r="BC1066" s="116"/>
    </row>
    <row r="1067" spans="1:55" ht="19.5" x14ac:dyDescent="0.4">
      <c r="AA1067" s="115"/>
      <c r="AB1067" s="115"/>
      <c r="AC1067" s="115"/>
      <c r="AD1067" s="122"/>
      <c r="AE1067" s="122"/>
      <c r="AF1067" s="122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17"/>
      <c r="AV1067" s="15"/>
      <c r="AZ1067" s="117"/>
      <c r="BA1067" s="116"/>
      <c r="BB1067" s="116"/>
      <c r="BC1067" s="116"/>
    </row>
    <row r="1068" spans="1:55" ht="19.5" x14ac:dyDescent="0.4">
      <c r="Z1068" s="115"/>
      <c r="AA1068" s="115"/>
      <c r="AB1068" s="115"/>
      <c r="AC1068" s="115"/>
      <c r="AD1068" s="122"/>
      <c r="AE1068" s="122"/>
      <c r="AF1068" s="122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26"/>
      <c r="AV1068" s="15"/>
      <c r="AZ1068" s="117"/>
      <c r="BA1068" s="116"/>
      <c r="BB1068" s="116"/>
      <c r="BC1068" s="116"/>
    </row>
    <row r="1069" spans="1:55" ht="19.5" x14ac:dyDescent="0.4"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22"/>
      <c r="AE1069" s="122"/>
      <c r="AF1069" s="122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115"/>
      <c r="AU1069" s="26"/>
      <c r="AV1069" s="15"/>
      <c r="AZ1069" s="117"/>
      <c r="BA1069" s="116"/>
      <c r="BB1069" s="116"/>
      <c r="BC1069" s="116"/>
    </row>
    <row r="1070" spans="1:55" ht="19.5" x14ac:dyDescent="0.4"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22"/>
      <c r="AE1070" s="122"/>
      <c r="AF1070" s="122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26"/>
      <c r="AV1070" s="15"/>
      <c r="AZ1070" s="117"/>
      <c r="BA1070" s="116"/>
      <c r="BB1070" s="116"/>
      <c r="BC1070" s="116"/>
    </row>
    <row r="1071" spans="1:55" ht="19.5" x14ac:dyDescent="0.4"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22"/>
      <c r="AE1071" s="122"/>
      <c r="AF1071" s="122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26"/>
      <c r="AV1071" s="15"/>
      <c r="AZ1071" s="117"/>
      <c r="BA1071" s="116"/>
      <c r="BB1071" s="116"/>
      <c r="BC1071" s="116"/>
    </row>
    <row r="1072" spans="1:55" ht="19.5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22"/>
      <c r="AE1072" s="122"/>
      <c r="AF1072" s="122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26"/>
      <c r="AV1072" s="15"/>
      <c r="AZ1072" s="117"/>
      <c r="BA1072" s="116"/>
      <c r="BB1072" s="116"/>
      <c r="BC1072" s="116"/>
    </row>
    <row r="1073" spans="1:55" ht="19.5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22"/>
      <c r="AE1073" s="122"/>
      <c r="AF1073" s="122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26"/>
      <c r="AV1073" s="15"/>
      <c r="AZ1073" s="117"/>
      <c r="BA1073" s="116"/>
      <c r="BB1073" s="116"/>
      <c r="BC1073" s="116"/>
    </row>
    <row r="1074" spans="1:55" ht="19.5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22"/>
      <c r="AE1074" s="122"/>
      <c r="AF1074" s="122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7"/>
      <c r="AV1074" s="15"/>
      <c r="AZ1074" s="117"/>
      <c r="BA1074" s="116"/>
      <c r="BB1074" s="116"/>
      <c r="BC1074" s="116"/>
    </row>
    <row r="1075" spans="1:55" ht="19.5" x14ac:dyDescent="0.4">
      <c r="AU1075" s="26"/>
      <c r="AV1075" s="15"/>
      <c r="AZ1075" s="117"/>
      <c r="BA1075" s="116"/>
      <c r="BB1075" s="116"/>
      <c r="BC1075" s="116"/>
    </row>
    <row r="1076" spans="1:55" ht="19.5" x14ac:dyDescent="0.4">
      <c r="AA1076" s="115"/>
      <c r="AB1076" s="115"/>
      <c r="AC1076" s="115"/>
      <c r="AD1076" s="122"/>
      <c r="AE1076" s="122"/>
      <c r="AF1076" s="122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17"/>
      <c r="AV1076" s="13"/>
      <c r="AZ1076" s="117"/>
      <c r="BA1076" s="116"/>
      <c r="BB1076" s="116"/>
      <c r="BC1076" s="116"/>
    </row>
    <row r="1077" spans="1:55" ht="19.5" x14ac:dyDescent="0.4">
      <c r="AA1077" s="115"/>
      <c r="AB1077" s="115"/>
      <c r="AC1077" s="115"/>
      <c r="AD1077" s="122"/>
      <c r="AE1077" s="122"/>
      <c r="AF1077" s="122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7"/>
      <c r="AV1077" s="13"/>
      <c r="AZ1077" s="117"/>
      <c r="BA1077" s="116"/>
      <c r="BB1077" s="116"/>
      <c r="BC1077" s="116"/>
    </row>
    <row r="1078" spans="1:55" ht="19.5" x14ac:dyDescent="0.4">
      <c r="AU1078" s="26"/>
      <c r="AV1078" s="13"/>
      <c r="AZ1078" s="117"/>
      <c r="BA1078" s="116"/>
      <c r="BB1078" s="116"/>
      <c r="BC1078" s="116"/>
    </row>
    <row r="1079" spans="1:55" ht="19.5" x14ac:dyDescent="0.4">
      <c r="AU1079" s="26"/>
      <c r="AV1079" s="13"/>
      <c r="AZ1079" s="116"/>
      <c r="BA1079" s="116"/>
      <c r="BB1079" s="116"/>
      <c r="BC1079" s="116"/>
    </row>
    <row r="1080" spans="1:55" ht="19.5" x14ac:dyDescent="0.4"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22"/>
      <c r="AE1080" s="122"/>
      <c r="AF1080" s="122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26"/>
      <c r="AV1080" s="13"/>
      <c r="AZ1080" s="118"/>
      <c r="BA1080" s="118"/>
      <c r="BB1080" s="118"/>
      <c r="BC1080" s="118"/>
    </row>
    <row r="1081" spans="1:55" ht="19.5" x14ac:dyDescent="0.4"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22"/>
      <c r="AE1081" s="122"/>
      <c r="AF1081" s="122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26"/>
      <c r="AV1081" s="13"/>
      <c r="AZ1081" s="118"/>
      <c r="BA1081" s="118"/>
      <c r="BB1081" s="118"/>
      <c r="BC1081" s="118"/>
    </row>
    <row r="1082" spans="1:55" ht="19.5" x14ac:dyDescent="0.4"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22"/>
      <c r="AE1082" s="122"/>
      <c r="AF1082" s="122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26"/>
      <c r="AV1082" s="13"/>
      <c r="AZ1082" s="118"/>
      <c r="BA1082" s="118"/>
      <c r="BB1082" s="118"/>
      <c r="BC1082" s="118"/>
    </row>
    <row r="1083" spans="1:55" ht="19.5" x14ac:dyDescent="0.4"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22"/>
      <c r="AE1083" s="122"/>
      <c r="AF1083" s="122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26"/>
      <c r="AV1083" s="15"/>
      <c r="AZ1083" s="118"/>
      <c r="BA1083" s="118"/>
      <c r="BB1083" s="118"/>
      <c r="BC1083" s="118"/>
    </row>
    <row r="1084" spans="1:55" ht="19.5" x14ac:dyDescent="0.4"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22"/>
      <c r="AE1084" s="122"/>
      <c r="AF1084" s="122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26"/>
      <c r="AV1084" s="15"/>
      <c r="AZ1084" s="118"/>
      <c r="BA1084" s="118"/>
      <c r="BB1084" s="118"/>
      <c r="BC1084" s="118"/>
    </row>
    <row r="1085" spans="1:55" ht="19.5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22"/>
      <c r="AE1085" s="122"/>
      <c r="AF1085" s="122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26"/>
      <c r="AV1085" s="15"/>
      <c r="AZ1085" s="118"/>
      <c r="BA1085" s="118"/>
      <c r="BB1085" s="118"/>
      <c r="BC1085" s="118"/>
    </row>
    <row r="1086" spans="1:55" ht="19.5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22"/>
      <c r="AE1086" s="122"/>
      <c r="AF1086" s="122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26"/>
      <c r="AV1086" s="15"/>
      <c r="AZ1086" s="118"/>
      <c r="BA1086" s="118"/>
      <c r="BB1086" s="118"/>
      <c r="BC1086" s="118"/>
    </row>
    <row r="1087" spans="1:55" ht="20.25" customHeight="1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22"/>
      <c r="AE1087" s="122"/>
      <c r="AF1087" s="122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26"/>
      <c r="AV1087" s="15"/>
      <c r="AZ1087" s="118"/>
      <c r="BA1087" s="118"/>
      <c r="BB1087" s="118"/>
      <c r="BC1087" s="118"/>
    </row>
    <row r="1088" spans="1:55" x14ac:dyDescent="0.4">
      <c r="AU1088" s="26"/>
      <c r="AV1088" s="15"/>
    </row>
    <row r="1089" spans="3:48" x14ac:dyDescent="0.4">
      <c r="AU1089" s="26"/>
      <c r="AV1089" s="13"/>
    </row>
    <row r="1090" spans="3:48" x14ac:dyDescent="0.4">
      <c r="Y1090" s="115"/>
      <c r="Z1090" s="115"/>
      <c r="AA1090" s="115"/>
      <c r="AB1090" s="115"/>
      <c r="AC1090" s="115"/>
      <c r="AD1090" s="122"/>
      <c r="AE1090" s="122"/>
      <c r="AF1090" s="122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26"/>
      <c r="AV1090" s="13"/>
    </row>
    <row r="1091" spans="3:48" x14ac:dyDescent="0.4">
      <c r="Y1091" s="115"/>
      <c r="Z1091" s="115"/>
      <c r="AA1091" s="115"/>
      <c r="AB1091" s="115"/>
      <c r="AC1091" s="115"/>
      <c r="AD1091" s="122"/>
      <c r="AE1091" s="122"/>
      <c r="AF1091" s="122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7"/>
      <c r="AV1091" s="13"/>
    </row>
    <row r="1092" spans="3:48" x14ac:dyDescent="0.4"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22"/>
      <c r="AE1092" s="122"/>
      <c r="AF1092" s="122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26"/>
      <c r="AV1092" s="13"/>
    </row>
    <row r="1093" spans="3:48" x14ac:dyDescent="0.4"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22"/>
      <c r="AE1093" s="122"/>
      <c r="AF1093" s="122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26"/>
      <c r="AV1093" s="13"/>
    </row>
    <row r="1094" spans="3:48" x14ac:dyDescent="0.4">
      <c r="AU1094" s="26"/>
      <c r="AV1094" s="13"/>
    </row>
    <row r="1095" spans="3:48" x14ac:dyDescent="0.4"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22"/>
      <c r="AE1095" s="122"/>
      <c r="AF1095" s="122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26"/>
      <c r="AV1095" s="13"/>
    </row>
    <row r="1096" spans="3:48" x14ac:dyDescent="0.4"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22"/>
      <c r="AE1096" s="122"/>
      <c r="AF1096" s="122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26"/>
      <c r="AV1096" s="13"/>
    </row>
    <row r="1097" spans="3:48" x14ac:dyDescent="0.4">
      <c r="AU1097" s="26"/>
      <c r="AV1097" s="13"/>
    </row>
    <row r="1098" spans="3:48" x14ac:dyDescent="0.4"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22"/>
      <c r="AE1098" s="122"/>
      <c r="AF1098" s="122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26"/>
      <c r="AV1098" s="13"/>
    </row>
    <row r="1099" spans="3:48" x14ac:dyDescent="0.4">
      <c r="AU1099" s="26"/>
      <c r="AV1099" s="13"/>
    </row>
    <row r="1100" spans="3:48" x14ac:dyDescent="0.4">
      <c r="X1100" s="115"/>
      <c r="Y1100" s="115"/>
      <c r="Z1100" s="115"/>
      <c r="AA1100" s="115"/>
      <c r="AB1100" s="115"/>
      <c r="AC1100" s="115"/>
      <c r="AD1100" s="122"/>
      <c r="AE1100" s="122"/>
      <c r="AF1100" s="122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115"/>
      <c r="AU1100" s="26"/>
      <c r="AV1100" s="13"/>
    </row>
    <row r="1101" spans="3:48" x14ac:dyDescent="0.4">
      <c r="AU1101" s="26"/>
      <c r="AV1101" s="13"/>
    </row>
    <row r="1102" spans="3:48" x14ac:dyDescent="0.4"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22"/>
      <c r="AE1102" s="122"/>
      <c r="AF1102" s="122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26"/>
      <c r="AV1102" s="15"/>
    </row>
    <row r="1103" spans="3:48" x14ac:dyDescent="0.4"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22"/>
      <c r="AE1103" s="122"/>
      <c r="AF1103" s="122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26"/>
      <c r="AV1103" s="15"/>
    </row>
    <row r="1104" spans="3:48" x14ac:dyDescent="0.4"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22"/>
      <c r="AE1104" s="122"/>
      <c r="AF1104" s="122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26"/>
      <c r="AV1104" s="15"/>
    </row>
    <row r="1105" spans="1:48" x14ac:dyDescent="0.4">
      <c r="AU1105" s="26"/>
      <c r="AV1105" s="13"/>
    </row>
    <row r="1106" spans="1:48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22"/>
      <c r="AE1106" s="122"/>
      <c r="AF1106" s="122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26"/>
      <c r="AV1106" s="15"/>
    </row>
    <row r="1107" spans="1:48" x14ac:dyDescent="0.4">
      <c r="AU1107" s="26"/>
      <c r="AV1107" s="15"/>
    </row>
    <row r="1108" spans="1:48" x14ac:dyDescent="0.4">
      <c r="AU1108" s="26"/>
      <c r="AV1108" s="15"/>
    </row>
    <row r="1109" spans="1:48" x14ac:dyDescent="0.4"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22"/>
      <c r="AE1109" s="122"/>
      <c r="AF1109" s="122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115"/>
      <c r="AU1109" s="26"/>
      <c r="AV1109" s="15"/>
    </row>
    <row r="1110" spans="1:48" x14ac:dyDescent="0.4"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22"/>
      <c r="AE1110" s="122"/>
      <c r="AF1110" s="122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26"/>
      <c r="AV1110" s="15"/>
    </row>
    <row r="1111" spans="1:48" x14ac:dyDescent="0.4">
      <c r="AU1111" s="26"/>
      <c r="AV1111" s="15"/>
    </row>
    <row r="1112" spans="1:48" x14ac:dyDescent="0.4">
      <c r="W1112" s="115"/>
      <c r="X1112" s="115"/>
      <c r="Y1112" s="115"/>
      <c r="Z1112" s="115"/>
      <c r="AA1112" s="115"/>
      <c r="AB1112" s="115"/>
      <c r="AC1112" s="115"/>
      <c r="AD1112" s="122"/>
      <c r="AE1112" s="122"/>
      <c r="AF1112" s="122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26"/>
      <c r="AV1112" s="15"/>
    </row>
    <row r="1113" spans="1:48" x14ac:dyDescent="0.4"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22"/>
      <c r="AE1113" s="122"/>
      <c r="AF1113" s="122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26"/>
      <c r="AV1113" s="15"/>
    </row>
    <row r="1114" spans="1:48" x14ac:dyDescent="0.4"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22"/>
      <c r="AE1114" s="122"/>
      <c r="AF1114" s="122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26"/>
      <c r="AV1114" s="15"/>
    </row>
    <row r="1115" spans="1:48" x14ac:dyDescent="0.4"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22"/>
      <c r="AE1115" s="122"/>
      <c r="AF1115" s="122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26"/>
      <c r="AV1115" s="15"/>
    </row>
    <row r="1116" spans="1:48" x14ac:dyDescent="0.4"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22"/>
      <c r="AE1116" s="122"/>
      <c r="AF1116" s="122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26"/>
      <c r="AV1116" s="15"/>
    </row>
    <row r="1117" spans="1:48" x14ac:dyDescent="0.4">
      <c r="AU1117" s="26"/>
      <c r="AV1117" s="15"/>
    </row>
    <row r="1118" spans="1:48" x14ac:dyDescent="0.4">
      <c r="Z1118" s="115"/>
      <c r="AA1118" s="115"/>
      <c r="AB1118" s="115"/>
      <c r="AC1118" s="115"/>
      <c r="AD1118" s="122"/>
      <c r="AE1118" s="122"/>
      <c r="AF1118" s="122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7"/>
      <c r="AV1118" s="15"/>
    </row>
    <row r="1119" spans="1:48" x14ac:dyDescent="0.4">
      <c r="AU1119" s="26"/>
      <c r="AV1119" s="15"/>
    </row>
    <row r="1120" spans="1:48" x14ac:dyDescent="0.4">
      <c r="X1120" s="115"/>
      <c r="Y1120" s="115"/>
      <c r="Z1120" s="115"/>
      <c r="AA1120" s="115"/>
      <c r="AB1120" s="115"/>
      <c r="AC1120" s="115"/>
      <c r="AD1120" s="122"/>
      <c r="AE1120" s="122"/>
      <c r="AF1120" s="122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26"/>
      <c r="AV1120" s="15"/>
    </row>
    <row r="1121" spans="1:48" x14ac:dyDescent="0.4">
      <c r="AU1121" s="26"/>
      <c r="AV1121" s="15"/>
    </row>
    <row r="1122" spans="1:48" x14ac:dyDescent="0.4">
      <c r="AU1122" s="26"/>
      <c r="AV1122" s="15"/>
    </row>
    <row r="1123" spans="1:48" x14ac:dyDescent="0.4"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22"/>
      <c r="AE1123" s="122"/>
      <c r="AF1123" s="122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26"/>
      <c r="AV1123" s="15"/>
    </row>
    <row r="1124" spans="1:48" x14ac:dyDescent="0.4"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22"/>
      <c r="AE1124" s="122"/>
      <c r="AF1124" s="122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26"/>
      <c r="AV1124" s="15"/>
    </row>
    <row r="1125" spans="1:48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22"/>
      <c r="AE1125" s="122"/>
      <c r="AF1125" s="122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26"/>
      <c r="AV1125" s="15"/>
    </row>
    <row r="1126" spans="1:48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22"/>
      <c r="AE1126" s="122"/>
      <c r="AF1126" s="122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26"/>
      <c r="AV1126" s="15"/>
    </row>
    <row r="1127" spans="1:48" x14ac:dyDescent="0.4">
      <c r="AU1127" s="26"/>
      <c r="AV1127" s="15"/>
    </row>
    <row r="1128" spans="1:48" x14ac:dyDescent="0.4">
      <c r="Z1128" s="115"/>
      <c r="AA1128" s="115"/>
      <c r="AB1128" s="115"/>
      <c r="AC1128" s="115"/>
      <c r="AD1128" s="122"/>
      <c r="AE1128" s="122"/>
      <c r="AF1128" s="122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7"/>
      <c r="AV1128" s="15"/>
    </row>
    <row r="1129" spans="1:48" x14ac:dyDescent="0.4">
      <c r="AU1129" s="26"/>
      <c r="AV1129" s="15"/>
    </row>
    <row r="1130" spans="1:48" x14ac:dyDescent="0.4"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22"/>
      <c r="AE1130" s="122"/>
      <c r="AF1130" s="122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26"/>
      <c r="AV1130" s="15"/>
    </row>
    <row r="1131" spans="1:48" x14ac:dyDescent="0.4"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22"/>
      <c r="AE1131" s="122"/>
      <c r="AF1131" s="122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26"/>
      <c r="AV1131" s="15"/>
    </row>
    <row r="1132" spans="1:48" x14ac:dyDescent="0.4"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22"/>
      <c r="AE1132" s="122"/>
      <c r="AF1132" s="122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15"/>
      <c r="AU1132" s="17"/>
      <c r="AV1132" s="15"/>
    </row>
    <row r="1133" spans="1:48" x14ac:dyDescent="0.4">
      <c r="AU1133" s="26"/>
      <c r="AV1133" s="15"/>
    </row>
    <row r="1134" spans="1:48" x14ac:dyDescent="0.4"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22"/>
      <c r="AE1134" s="122"/>
      <c r="AF1134" s="122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15"/>
      <c r="AU1134" s="26"/>
      <c r="AV1134" s="15"/>
    </row>
    <row r="1135" spans="1:48" x14ac:dyDescent="0.4"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22"/>
      <c r="AE1135" s="122"/>
      <c r="AF1135" s="122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115"/>
      <c r="AT1135" s="115"/>
      <c r="AU1135" s="17"/>
      <c r="AV1135" s="15"/>
    </row>
    <row r="1136" spans="1:48" x14ac:dyDescent="0.4">
      <c r="AU1136" s="26"/>
      <c r="AV1136" s="15"/>
    </row>
    <row r="1137" spans="3:48" x14ac:dyDescent="0.4">
      <c r="Z1137" s="115"/>
      <c r="AA1137" s="115"/>
      <c r="AB1137" s="115"/>
      <c r="AC1137" s="115"/>
      <c r="AD1137" s="122"/>
      <c r="AE1137" s="122"/>
      <c r="AF1137" s="122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7"/>
      <c r="AV1137" s="15"/>
    </row>
    <row r="1138" spans="3:48" x14ac:dyDescent="0.4"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22"/>
      <c r="AE1138" s="122"/>
      <c r="AF1138" s="122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15"/>
      <c r="AT1138" s="115"/>
      <c r="AU1138" s="26"/>
      <c r="AV1138" s="15"/>
    </row>
    <row r="1139" spans="3:48" x14ac:dyDescent="0.4"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22"/>
      <c r="AE1139" s="122"/>
      <c r="AF1139" s="122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7"/>
      <c r="AV1139" s="15"/>
    </row>
    <row r="1140" spans="3:48" x14ac:dyDescent="0.4">
      <c r="AU1140" s="26"/>
      <c r="AV1140" s="15"/>
    </row>
    <row r="1141" spans="3:48" x14ac:dyDescent="0.4">
      <c r="AU1141" s="26"/>
      <c r="AV1141" s="15"/>
    </row>
    <row r="1142" spans="3:48" x14ac:dyDescent="0.4">
      <c r="Y1142" s="115"/>
      <c r="Z1142" s="115"/>
      <c r="AA1142" s="115"/>
      <c r="AB1142" s="115"/>
      <c r="AC1142" s="115"/>
      <c r="AD1142" s="122"/>
      <c r="AE1142" s="122"/>
      <c r="AF1142" s="122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26"/>
      <c r="AV1142" s="15"/>
    </row>
    <row r="1143" spans="3:48" x14ac:dyDescent="0.4">
      <c r="W1143" s="115"/>
      <c r="X1143" s="115"/>
      <c r="Y1143" s="115"/>
      <c r="Z1143" s="115"/>
      <c r="AA1143" s="115"/>
      <c r="AB1143" s="115"/>
      <c r="AC1143" s="115"/>
      <c r="AD1143" s="122"/>
      <c r="AE1143" s="122"/>
      <c r="AF1143" s="122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26"/>
      <c r="AV1143" s="15"/>
    </row>
    <row r="1144" spans="3:48" x14ac:dyDescent="0.4">
      <c r="W1144" s="115"/>
      <c r="X1144" s="115"/>
      <c r="Y1144" s="115"/>
      <c r="Z1144" s="115"/>
      <c r="AA1144" s="115"/>
      <c r="AB1144" s="115"/>
      <c r="AC1144" s="115"/>
      <c r="AD1144" s="122"/>
      <c r="AE1144" s="122"/>
      <c r="AF1144" s="122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26"/>
      <c r="AV1144" s="15"/>
    </row>
    <row r="1145" spans="3:48" x14ac:dyDescent="0.4"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22"/>
      <c r="AE1145" s="122"/>
      <c r="AF1145" s="122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26"/>
      <c r="AV1145" s="15"/>
    </row>
    <row r="1146" spans="3:48" x14ac:dyDescent="0.4"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22"/>
      <c r="AE1146" s="122"/>
      <c r="AF1146" s="122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26"/>
      <c r="AV1146" s="15"/>
    </row>
    <row r="1147" spans="3:48" x14ac:dyDescent="0.4">
      <c r="AU1147" s="26"/>
      <c r="AV1147" s="15"/>
    </row>
    <row r="1148" spans="3:48" x14ac:dyDescent="0.4">
      <c r="Y1148" s="115"/>
      <c r="Z1148" s="115"/>
      <c r="AA1148" s="115"/>
      <c r="AB1148" s="115"/>
      <c r="AC1148" s="115"/>
      <c r="AD1148" s="122"/>
      <c r="AE1148" s="122"/>
      <c r="AF1148" s="122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26"/>
      <c r="AV1148" s="15"/>
    </row>
    <row r="1149" spans="3:48" x14ac:dyDescent="0.4">
      <c r="AU1149" s="26"/>
      <c r="AV1149" s="15"/>
    </row>
    <row r="1150" spans="3:48" x14ac:dyDescent="0.4">
      <c r="Z1150" s="115"/>
      <c r="AA1150" s="115"/>
      <c r="AB1150" s="115"/>
      <c r="AC1150" s="115"/>
      <c r="AD1150" s="122"/>
      <c r="AE1150" s="122"/>
      <c r="AF1150" s="122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7"/>
      <c r="AV1150" s="15"/>
    </row>
    <row r="1151" spans="3:48" x14ac:dyDescent="0.4">
      <c r="Y1151" s="115"/>
      <c r="Z1151" s="115"/>
      <c r="AA1151" s="115"/>
      <c r="AB1151" s="115"/>
      <c r="AC1151" s="115"/>
      <c r="AD1151" s="122"/>
      <c r="AE1151" s="122"/>
      <c r="AF1151" s="122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26"/>
      <c r="AV1151" s="15"/>
    </row>
    <row r="1152" spans="3:48" x14ac:dyDescent="0.4"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22"/>
      <c r="AE1152" s="122"/>
      <c r="AF1152" s="122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26"/>
      <c r="AV1152" s="15"/>
    </row>
    <row r="1153" spans="3:48" x14ac:dyDescent="0.4"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22"/>
      <c r="AE1153" s="122"/>
      <c r="AF1153" s="122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7"/>
      <c r="AV1153" s="15"/>
    </row>
    <row r="1154" spans="3:48" x14ac:dyDescent="0.4">
      <c r="AU1154" s="26"/>
      <c r="AV1154" s="15"/>
    </row>
    <row r="1155" spans="3:48" x14ac:dyDescent="0.4">
      <c r="Z1155" s="115"/>
      <c r="AA1155" s="115"/>
      <c r="AB1155" s="115"/>
      <c r="AC1155" s="115"/>
      <c r="AD1155" s="122"/>
      <c r="AE1155" s="122"/>
      <c r="AF1155" s="122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7"/>
      <c r="AV1155" s="15"/>
    </row>
    <row r="1156" spans="3:48" x14ac:dyDescent="0.4">
      <c r="Y1156" s="115"/>
      <c r="Z1156" s="115"/>
      <c r="AA1156" s="115"/>
      <c r="AB1156" s="115"/>
      <c r="AC1156" s="115"/>
      <c r="AD1156" s="122"/>
      <c r="AE1156" s="122"/>
      <c r="AF1156" s="122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26"/>
      <c r="AV1156" s="15"/>
    </row>
    <row r="1157" spans="3:48" x14ac:dyDescent="0.4">
      <c r="Y1157" s="115"/>
      <c r="Z1157" s="115"/>
      <c r="AA1157" s="115"/>
      <c r="AB1157" s="115"/>
      <c r="AC1157" s="115"/>
      <c r="AD1157" s="122"/>
      <c r="AE1157" s="122"/>
      <c r="AF1157" s="122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7"/>
      <c r="AV1157" s="15"/>
    </row>
    <row r="1158" spans="3:48" x14ac:dyDescent="0.4">
      <c r="Y1158" s="115"/>
      <c r="Z1158" s="115"/>
      <c r="AA1158" s="115"/>
      <c r="AB1158" s="115"/>
      <c r="AC1158" s="115"/>
      <c r="AD1158" s="122"/>
      <c r="AE1158" s="122"/>
      <c r="AF1158" s="122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7"/>
      <c r="AV1158" s="15"/>
    </row>
    <row r="1159" spans="3:48" x14ac:dyDescent="0.4"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22"/>
      <c r="AE1159" s="122"/>
      <c r="AF1159" s="122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26"/>
      <c r="AV1159" s="15"/>
    </row>
    <row r="1160" spans="3:48" x14ac:dyDescent="0.4"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22"/>
      <c r="AE1160" s="122"/>
      <c r="AF1160" s="122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26"/>
      <c r="AV1160" s="15"/>
    </row>
    <row r="1161" spans="3:48" x14ac:dyDescent="0.4"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22"/>
      <c r="AE1161" s="122"/>
      <c r="AF1161" s="122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26"/>
      <c r="AV1161" s="15"/>
    </row>
    <row r="1162" spans="3:48" x14ac:dyDescent="0.4"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22"/>
      <c r="AE1162" s="122"/>
      <c r="AF1162" s="122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26"/>
      <c r="AV1162" s="15"/>
    </row>
    <row r="1163" spans="3:48" x14ac:dyDescent="0.4"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22"/>
      <c r="AE1163" s="122"/>
      <c r="AF1163" s="122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26"/>
      <c r="AV1163" s="15"/>
    </row>
    <row r="1164" spans="3:48" x14ac:dyDescent="0.4"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22"/>
      <c r="AE1164" s="122"/>
      <c r="AF1164" s="122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7"/>
      <c r="AV1164" s="15"/>
    </row>
    <row r="1165" spans="3:48" x14ac:dyDescent="0.4">
      <c r="AU1165" s="26"/>
      <c r="AV1165" s="15"/>
    </row>
    <row r="1166" spans="3:48" x14ac:dyDescent="0.4">
      <c r="Y1166" s="115"/>
      <c r="Z1166" s="115"/>
      <c r="AA1166" s="115"/>
      <c r="AB1166" s="115"/>
      <c r="AC1166" s="115"/>
      <c r="AD1166" s="122"/>
      <c r="AE1166" s="122"/>
      <c r="AF1166" s="122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7"/>
      <c r="AV1166" s="13"/>
    </row>
    <row r="1167" spans="3:48" x14ac:dyDescent="0.4">
      <c r="Y1167" s="115"/>
      <c r="Z1167" s="115"/>
      <c r="AA1167" s="115"/>
      <c r="AB1167" s="115"/>
      <c r="AC1167" s="115"/>
      <c r="AD1167" s="122"/>
      <c r="AE1167" s="122"/>
      <c r="AF1167" s="122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7"/>
      <c r="AV1167" s="13"/>
    </row>
    <row r="1168" spans="3:48" x14ac:dyDescent="0.4">
      <c r="W1168" s="115"/>
      <c r="X1168" s="115"/>
      <c r="Y1168" s="115"/>
      <c r="Z1168" s="115"/>
      <c r="AA1168" s="115"/>
      <c r="AB1168" s="115"/>
      <c r="AC1168" s="115"/>
      <c r="AD1168" s="122"/>
      <c r="AE1168" s="122"/>
      <c r="AF1168" s="122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26"/>
      <c r="AV1168" s="13"/>
    </row>
    <row r="1169" spans="3:48" x14ac:dyDescent="0.4">
      <c r="W1169" s="115"/>
      <c r="X1169" s="115"/>
      <c r="Y1169" s="115"/>
      <c r="Z1169" s="115"/>
      <c r="AA1169" s="115"/>
      <c r="AB1169" s="115"/>
      <c r="AC1169" s="115"/>
      <c r="AD1169" s="122"/>
      <c r="AE1169" s="122"/>
      <c r="AF1169" s="122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7"/>
      <c r="AV1169" s="13"/>
    </row>
    <row r="1170" spans="3:48" x14ac:dyDescent="0.4">
      <c r="AU1170" s="26"/>
      <c r="AV1170" s="13"/>
    </row>
    <row r="1171" spans="3:48" x14ac:dyDescent="0.4">
      <c r="X1171" s="115"/>
      <c r="Y1171" s="115"/>
      <c r="Z1171" s="115"/>
      <c r="AA1171" s="115"/>
      <c r="AB1171" s="115"/>
      <c r="AC1171" s="115"/>
      <c r="AD1171" s="122"/>
      <c r="AE1171" s="122"/>
      <c r="AF1171" s="122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7"/>
      <c r="AV1171" s="13"/>
    </row>
    <row r="1172" spans="3:48" x14ac:dyDescent="0.4">
      <c r="AU1172" s="26"/>
      <c r="AV1172" s="13"/>
    </row>
    <row r="1173" spans="3:48" x14ac:dyDescent="0.4">
      <c r="AU1173" s="26"/>
      <c r="AV1173" s="13"/>
    </row>
    <row r="1174" spans="3:48" x14ac:dyDescent="0.4"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22"/>
      <c r="AE1174" s="122"/>
      <c r="AF1174" s="122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26"/>
      <c r="AV1174" s="13"/>
    </row>
    <row r="1175" spans="3:48" x14ac:dyDescent="0.4"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22"/>
      <c r="AE1175" s="122"/>
      <c r="AF1175" s="122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26"/>
      <c r="AV1175" s="13"/>
    </row>
    <row r="1176" spans="3:48" x14ac:dyDescent="0.4">
      <c r="AU1176" s="26"/>
      <c r="AV1176" s="13"/>
    </row>
    <row r="1177" spans="3:48" x14ac:dyDescent="0.4">
      <c r="AU1177" s="26"/>
      <c r="AV1177" s="13"/>
    </row>
    <row r="1178" spans="3:48" x14ac:dyDescent="0.4"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22"/>
      <c r="AE1178" s="122"/>
      <c r="AF1178" s="122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26"/>
      <c r="AV1178" s="13"/>
    </row>
    <row r="1179" spans="3:48" x14ac:dyDescent="0.4">
      <c r="AU1179" s="26"/>
      <c r="AV1179" s="105"/>
    </row>
    <row r="1180" spans="3:48" x14ac:dyDescent="0.4"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22"/>
      <c r="AE1180" s="122"/>
      <c r="AF1180" s="122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26"/>
      <c r="AV1180" s="15"/>
    </row>
    <row r="1181" spans="3:48" x14ac:dyDescent="0.4"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22"/>
      <c r="AE1181" s="122"/>
      <c r="AF1181" s="122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15"/>
      <c r="AT1181" s="115"/>
      <c r="AU1181" s="17"/>
      <c r="AV1181" s="15"/>
    </row>
    <row r="1182" spans="3:48" x14ac:dyDescent="0.4">
      <c r="AU1182" s="26"/>
      <c r="AV1182" s="15"/>
    </row>
    <row r="1183" spans="3:48" x14ac:dyDescent="0.4"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22"/>
      <c r="AE1183" s="122"/>
      <c r="AF1183" s="122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26"/>
      <c r="AV1183" s="15"/>
    </row>
    <row r="1184" spans="3:48" x14ac:dyDescent="0.4"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22"/>
      <c r="AE1184" s="122"/>
      <c r="AF1184" s="122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26"/>
      <c r="AV1184" s="15"/>
    </row>
    <row r="1185" spans="2:48" x14ac:dyDescent="0.4"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22"/>
      <c r="AE1185" s="122"/>
      <c r="AF1185" s="122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26"/>
      <c r="AV1185" s="13"/>
    </row>
    <row r="1186" spans="2:48" x14ac:dyDescent="0.4">
      <c r="AU1186" s="26"/>
      <c r="AV1186" s="15"/>
    </row>
    <row r="1187" spans="2:48" x14ac:dyDescent="0.4"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22"/>
      <c r="AE1187" s="122"/>
      <c r="AF1187" s="122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26"/>
      <c r="AV1187" s="15"/>
    </row>
    <row r="1188" spans="2:48" x14ac:dyDescent="0.4"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22"/>
      <c r="AE1188" s="122"/>
      <c r="AF1188" s="122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26"/>
      <c r="AV1188" s="15"/>
    </row>
    <row r="1189" spans="2:48" x14ac:dyDescent="0.4"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22"/>
      <c r="AE1189" s="122"/>
      <c r="AF1189" s="122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26"/>
      <c r="AV1189" s="15"/>
    </row>
    <row r="1190" spans="2:48" x14ac:dyDescent="0.4"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22"/>
      <c r="AE1190" s="122"/>
      <c r="AF1190" s="122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26"/>
      <c r="AV1190" s="15"/>
    </row>
    <row r="1191" spans="2:48" x14ac:dyDescent="0.4"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22"/>
      <c r="AE1191" s="122"/>
      <c r="AF1191" s="122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26"/>
      <c r="AV1191" s="15"/>
    </row>
    <row r="1192" spans="2:48" x14ac:dyDescent="0.4"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22"/>
      <c r="AE1192" s="122"/>
      <c r="AF1192" s="122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26"/>
      <c r="AV1192" s="15"/>
    </row>
    <row r="1193" spans="2:48" ht="19.5" customHeight="1" x14ac:dyDescent="0.4"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22"/>
      <c r="AE1193" s="122"/>
      <c r="AF1193" s="122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26"/>
      <c r="AV1193" s="15"/>
    </row>
    <row r="1194" spans="2:48" ht="19.5" customHeight="1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22"/>
      <c r="AE1194" s="122"/>
      <c r="AF1194" s="122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26"/>
      <c r="AV1194" s="15"/>
    </row>
    <row r="1195" spans="2:48" x14ac:dyDescent="0.4">
      <c r="AU1195" s="26"/>
      <c r="AV1195" s="15"/>
    </row>
    <row r="1196" spans="2:48" x14ac:dyDescent="0.4"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22"/>
      <c r="AE1196" s="122"/>
      <c r="AF1196" s="122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26"/>
      <c r="AV1196" s="15"/>
    </row>
    <row r="1197" spans="2:48" x14ac:dyDescent="0.4"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22"/>
      <c r="AE1197" s="122"/>
      <c r="AF1197" s="122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26"/>
      <c r="AV1197" s="15"/>
    </row>
    <row r="1198" spans="2:48" x14ac:dyDescent="0.4"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22"/>
      <c r="AE1198" s="122"/>
      <c r="AF1198" s="122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7"/>
      <c r="AV1198" s="15"/>
    </row>
    <row r="1199" spans="2:48" x14ac:dyDescent="0.4">
      <c r="AU1199" s="26"/>
      <c r="AV1199" s="15"/>
    </row>
    <row r="1200" spans="2:48" x14ac:dyDescent="0.4">
      <c r="X1200" s="115"/>
      <c r="Y1200" s="115"/>
      <c r="Z1200" s="115"/>
      <c r="AA1200" s="115"/>
      <c r="AB1200" s="115"/>
      <c r="AC1200" s="115"/>
      <c r="AD1200" s="122"/>
      <c r="AE1200" s="122"/>
      <c r="AF1200" s="122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7"/>
      <c r="AV1200" s="15"/>
    </row>
    <row r="1201" spans="1:48" x14ac:dyDescent="0.4"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22"/>
      <c r="AE1201" s="122"/>
      <c r="AF1201" s="122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26"/>
      <c r="AV1201" s="15"/>
    </row>
    <row r="1202" spans="1:48" x14ac:dyDescent="0.4">
      <c r="AU1202" s="26"/>
      <c r="AV1202" s="15"/>
    </row>
    <row r="1203" spans="1:48" x14ac:dyDescent="0.4">
      <c r="AU1203" s="26"/>
      <c r="AV1203" s="15"/>
    </row>
    <row r="1204" spans="1:48" x14ac:dyDescent="0.4">
      <c r="W1204" s="115"/>
      <c r="X1204" s="115"/>
      <c r="Y1204" s="115"/>
      <c r="Z1204" s="115"/>
      <c r="AA1204" s="115"/>
      <c r="AB1204" s="115"/>
      <c r="AC1204" s="115"/>
      <c r="AD1204" s="122"/>
      <c r="AE1204" s="122"/>
      <c r="AF1204" s="122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26"/>
      <c r="AV1204" s="15"/>
    </row>
    <row r="1205" spans="1:48" x14ac:dyDescent="0.4">
      <c r="AU1205" s="26"/>
      <c r="AV1205" s="15"/>
    </row>
    <row r="1206" spans="1:48" x14ac:dyDescent="0.4">
      <c r="X1206" s="115"/>
      <c r="Y1206" s="115"/>
      <c r="Z1206" s="115"/>
      <c r="AA1206" s="115"/>
      <c r="AB1206" s="115"/>
      <c r="AC1206" s="115"/>
      <c r="AD1206" s="122"/>
      <c r="AE1206" s="122"/>
      <c r="AF1206" s="122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7"/>
      <c r="AV1206" s="15"/>
    </row>
    <row r="1207" spans="1:48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22"/>
      <c r="AE1207" s="122"/>
      <c r="AF1207" s="122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26"/>
      <c r="AV1207" s="15"/>
    </row>
    <row r="1208" spans="1:48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22"/>
      <c r="AE1208" s="122"/>
      <c r="AF1208" s="122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7"/>
      <c r="AV1208" s="13"/>
    </row>
    <row r="1209" spans="1:48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22"/>
      <c r="AE1209" s="122"/>
      <c r="AF1209" s="122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7"/>
      <c r="AV1209" s="13"/>
    </row>
    <row r="1210" spans="1:48" x14ac:dyDescent="0.4">
      <c r="AU1210" s="26"/>
      <c r="AV1210" s="13"/>
    </row>
    <row r="1211" spans="1:48" x14ac:dyDescent="0.4"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22"/>
      <c r="AE1211" s="122"/>
      <c r="AF1211" s="122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26"/>
      <c r="AV1211" s="15"/>
    </row>
    <row r="1212" spans="1:48" x14ac:dyDescent="0.4"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22"/>
      <c r="AE1212" s="122"/>
      <c r="AF1212" s="122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26"/>
      <c r="AV1212" s="15"/>
    </row>
    <row r="1213" spans="1:48" x14ac:dyDescent="0.4">
      <c r="AU1213" s="26"/>
      <c r="AV1213" s="15"/>
    </row>
    <row r="1214" spans="1:48" x14ac:dyDescent="0.4"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22"/>
      <c r="AE1214" s="122"/>
      <c r="AF1214" s="122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26"/>
      <c r="AV1214" s="15"/>
    </row>
    <row r="1215" spans="1:48" x14ac:dyDescent="0.4"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22"/>
      <c r="AE1215" s="122"/>
      <c r="AF1215" s="122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26"/>
      <c r="AV1215" s="15"/>
    </row>
    <row r="1216" spans="1:48" x14ac:dyDescent="0.4"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22"/>
      <c r="AE1216" s="122"/>
      <c r="AF1216" s="122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26"/>
      <c r="AV1216" s="15"/>
    </row>
    <row r="1217" spans="1:48" x14ac:dyDescent="0.4"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22"/>
      <c r="AE1217" s="122"/>
      <c r="AF1217" s="122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26"/>
      <c r="AV1217" s="15"/>
    </row>
    <row r="1218" spans="1:48" x14ac:dyDescent="0.4">
      <c r="AU1218" s="26"/>
      <c r="AV1218" s="15"/>
    </row>
    <row r="1219" spans="1:48" x14ac:dyDescent="0.4"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22"/>
      <c r="AE1219" s="122"/>
      <c r="AF1219" s="122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26"/>
      <c r="AV1219" s="15"/>
    </row>
    <row r="1220" spans="1:48" x14ac:dyDescent="0.4">
      <c r="AU1220" s="26"/>
      <c r="AV1220" s="15"/>
    </row>
    <row r="1221" spans="1:48" x14ac:dyDescent="0.4"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22"/>
      <c r="AE1221" s="122"/>
      <c r="AF1221" s="122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26"/>
      <c r="AV1221" s="15"/>
    </row>
    <row r="1222" spans="1:48" x14ac:dyDescent="0.4"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22"/>
      <c r="AE1222" s="122"/>
      <c r="AF1222" s="122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26"/>
      <c r="AV1222" s="15"/>
    </row>
    <row r="1223" spans="1:48" x14ac:dyDescent="0.4"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22"/>
      <c r="AE1223" s="122"/>
      <c r="AF1223" s="122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7"/>
      <c r="AV1223" s="15"/>
    </row>
    <row r="1224" spans="1:48" x14ac:dyDescent="0.4">
      <c r="AU1224" s="26"/>
      <c r="AV1224" s="15"/>
    </row>
    <row r="1225" spans="1:48" x14ac:dyDescent="0.4">
      <c r="AU1225" s="26"/>
      <c r="AV1225" s="15"/>
    </row>
    <row r="1226" spans="1:48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22"/>
      <c r="AE1226" s="122"/>
      <c r="AF1226" s="122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26"/>
      <c r="AV1226" s="15"/>
    </row>
    <row r="1227" spans="1:48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22"/>
      <c r="AE1227" s="122"/>
      <c r="AF1227" s="122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7"/>
      <c r="AV1227" s="15"/>
    </row>
    <row r="1228" spans="1:48" x14ac:dyDescent="0.4">
      <c r="AU1228" s="26"/>
      <c r="AV1228" s="15"/>
    </row>
    <row r="1229" spans="1:48" ht="17.25" customHeight="1" x14ac:dyDescent="0.4"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22"/>
      <c r="AE1229" s="122"/>
      <c r="AF1229" s="122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26"/>
      <c r="AV1229" s="15"/>
    </row>
    <row r="1230" spans="1:48" x14ac:dyDescent="0.4">
      <c r="AU1230" s="26"/>
      <c r="AV1230" s="15"/>
    </row>
    <row r="1231" spans="1:48" x14ac:dyDescent="0.4">
      <c r="W1231" s="115"/>
      <c r="X1231" s="115"/>
      <c r="Y1231" s="115"/>
      <c r="Z1231" s="115"/>
      <c r="AA1231" s="115"/>
      <c r="AB1231" s="115"/>
      <c r="AC1231" s="115"/>
      <c r="AD1231" s="122"/>
      <c r="AE1231" s="122"/>
      <c r="AF1231" s="122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7"/>
      <c r="AV1231" s="15"/>
    </row>
    <row r="1232" spans="1:48" ht="16.5" customHeight="1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22"/>
      <c r="AE1232" s="122"/>
      <c r="AF1232" s="122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26"/>
      <c r="AV1232" s="15"/>
    </row>
    <row r="1233" spans="1:48" ht="22.5" customHeight="1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22"/>
      <c r="AE1233" s="122"/>
      <c r="AF1233" s="122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26"/>
      <c r="AV1233" s="15"/>
    </row>
    <row r="1234" spans="1:48" x14ac:dyDescent="0.4">
      <c r="AU1234" s="26"/>
      <c r="AV1234" s="15"/>
    </row>
    <row r="1235" spans="1:48" x14ac:dyDescent="0.4">
      <c r="AU1235" s="26"/>
      <c r="AV1235" s="105"/>
    </row>
    <row r="1236" spans="1:48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22"/>
      <c r="AE1236" s="122"/>
      <c r="AF1236" s="122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26"/>
      <c r="AV1236" s="15"/>
    </row>
    <row r="1237" spans="1:48" x14ac:dyDescent="0.4">
      <c r="AU1237" s="26"/>
      <c r="AV1237" s="15"/>
    </row>
    <row r="1238" spans="1:48" x14ac:dyDescent="0.4">
      <c r="AU1238" s="26"/>
      <c r="AV1238" s="15"/>
    </row>
    <row r="1239" spans="1:48" x14ac:dyDescent="0.4">
      <c r="AU1239" s="26"/>
      <c r="AV1239" s="15"/>
    </row>
    <row r="1240" spans="1:48" x14ac:dyDescent="0.4">
      <c r="AU1240" s="26"/>
      <c r="AV1240" s="15"/>
    </row>
    <row r="1241" spans="1:48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22"/>
      <c r="AE1241" s="122"/>
      <c r="AF1241" s="122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26"/>
      <c r="AV1241" s="15"/>
    </row>
    <row r="1242" spans="1:48" x14ac:dyDescent="0.4">
      <c r="AU1242" s="26"/>
      <c r="AV1242" s="15"/>
    </row>
    <row r="1243" spans="1:48" x14ac:dyDescent="0.4">
      <c r="AU1243" s="26"/>
      <c r="AV1243" s="15"/>
    </row>
    <row r="1244" spans="1:48" x14ac:dyDescent="0.4">
      <c r="AU1244" s="26"/>
      <c r="AV1244" s="15"/>
    </row>
    <row r="1245" spans="1:48" x14ac:dyDescent="0.4">
      <c r="AU1245" s="26"/>
      <c r="AV1245" s="15"/>
    </row>
    <row r="1246" spans="1:48" ht="18.75" customHeight="1" x14ac:dyDescent="0.4"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22"/>
      <c r="AE1246" s="122"/>
      <c r="AF1246" s="122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26"/>
      <c r="AV1246" s="15"/>
    </row>
    <row r="1247" spans="1:48" x14ac:dyDescent="0.4">
      <c r="AU1247" s="26"/>
      <c r="AV1247" s="15"/>
    </row>
    <row r="1248" spans="1:48" x14ac:dyDescent="0.4">
      <c r="AU1248" s="26"/>
      <c r="AV1248" s="15"/>
    </row>
    <row r="1249" spans="1:48" x14ac:dyDescent="0.4"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22"/>
      <c r="AE1249" s="122"/>
      <c r="AF1249" s="122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26"/>
      <c r="AV1249" s="15"/>
    </row>
    <row r="1250" spans="1:48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22"/>
      <c r="AE1250" s="122"/>
      <c r="AF1250" s="122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26"/>
      <c r="AV1250" s="15"/>
    </row>
    <row r="1251" spans="1:48" x14ac:dyDescent="0.4">
      <c r="AU1251" s="26"/>
      <c r="AV1251" s="15"/>
    </row>
    <row r="1252" spans="1:48" x14ac:dyDescent="0.4">
      <c r="W1252" s="115"/>
      <c r="X1252" s="115"/>
      <c r="Y1252" s="115"/>
      <c r="Z1252" s="115"/>
      <c r="AA1252" s="115"/>
      <c r="AB1252" s="115"/>
      <c r="AC1252" s="115"/>
      <c r="AD1252" s="122"/>
      <c r="AE1252" s="122"/>
      <c r="AF1252" s="122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7"/>
      <c r="AV1252" s="15"/>
    </row>
    <row r="1253" spans="1:48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22"/>
      <c r="AE1253" s="122"/>
      <c r="AF1253" s="122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26"/>
      <c r="AV1253" s="15"/>
    </row>
    <row r="1254" spans="1:48" x14ac:dyDescent="0.4">
      <c r="AU1254" s="26"/>
      <c r="AV1254" s="15"/>
    </row>
    <row r="1255" spans="1:48" x14ac:dyDescent="0.4">
      <c r="W1255" s="115"/>
      <c r="X1255" s="115"/>
      <c r="Y1255" s="115"/>
      <c r="Z1255" s="115"/>
      <c r="AA1255" s="115"/>
      <c r="AB1255" s="115"/>
      <c r="AC1255" s="115"/>
      <c r="AD1255" s="122"/>
      <c r="AE1255" s="122"/>
      <c r="AF1255" s="122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7"/>
      <c r="AV1255" s="15"/>
    </row>
    <row r="1256" spans="1:48" x14ac:dyDescent="0.4">
      <c r="AU1256" s="26"/>
      <c r="AV1256" s="15"/>
    </row>
    <row r="1257" spans="1:48" x14ac:dyDescent="0.4"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22"/>
      <c r="AE1257" s="122"/>
      <c r="AF1257" s="122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26"/>
      <c r="AV1257" s="15"/>
    </row>
    <row r="1258" spans="1:48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22"/>
      <c r="AE1258" s="122"/>
      <c r="AF1258" s="122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26"/>
      <c r="AV1258" s="15"/>
    </row>
    <row r="1259" spans="1:48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22"/>
      <c r="AE1259" s="122"/>
      <c r="AF1259" s="122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26"/>
      <c r="AV1259" s="15"/>
    </row>
    <row r="1260" spans="1:48" x14ac:dyDescent="0.4">
      <c r="AU1260" s="26"/>
      <c r="AV1260" s="15"/>
    </row>
    <row r="1261" spans="1:48" x14ac:dyDescent="0.4"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22"/>
      <c r="AE1261" s="122"/>
      <c r="AF1261" s="122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26"/>
      <c r="AV1261" s="15"/>
    </row>
    <row r="1262" spans="1:48" x14ac:dyDescent="0.4">
      <c r="AU1262" s="26"/>
      <c r="AV1262" s="15"/>
    </row>
    <row r="1263" spans="1:48" x14ac:dyDescent="0.4"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22"/>
      <c r="AE1263" s="122"/>
      <c r="AF1263" s="122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26"/>
      <c r="AV1263" s="15"/>
    </row>
    <row r="1264" spans="1:48" x14ac:dyDescent="0.4">
      <c r="AU1264" s="26"/>
      <c r="AV1264" s="15"/>
    </row>
    <row r="1265" spans="1:48" x14ac:dyDescent="0.4">
      <c r="AU1265" s="26"/>
      <c r="AV1265" s="15"/>
    </row>
    <row r="1266" spans="1:48" x14ac:dyDescent="0.4">
      <c r="AU1266" s="26"/>
      <c r="AV1266" s="15"/>
    </row>
    <row r="1267" spans="1:48" x14ac:dyDescent="0.4">
      <c r="AU1267" s="26"/>
      <c r="AV1267" s="15"/>
    </row>
    <row r="1268" spans="1:48" x14ac:dyDescent="0.4">
      <c r="AU1268" s="26"/>
      <c r="AV1268" s="15"/>
    </row>
    <row r="1269" spans="1:48" x14ac:dyDescent="0.4">
      <c r="AU1269" s="26"/>
      <c r="AV1269" s="15"/>
    </row>
    <row r="1270" spans="1:48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22"/>
      <c r="AE1270" s="122"/>
      <c r="AF1270" s="122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26"/>
      <c r="AV1270" s="15"/>
    </row>
    <row r="1271" spans="1:48" x14ac:dyDescent="0.4">
      <c r="AU1271" s="26"/>
      <c r="AV1271" s="15"/>
    </row>
    <row r="1272" spans="1:48" x14ac:dyDescent="0.4">
      <c r="AU1272" s="26"/>
      <c r="AV1272" s="15"/>
    </row>
    <row r="1273" spans="1:48" x14ac:dyDescent="0.4">
      <c r="AU1273" s="26"/>
      <c r="AV1273" s="15"/>
    </row>
    <row r="1274" spans="1:48" x14ac:dyDescent="0.4">
      <c r="AU1274" s="26"/>
      <c r="AV1274" s="15"/>
    </row>
    <row r="1275" spans="1:48" x14ac:dyDescent="0.4">
      <c r="AU1275" s="26"/>
      <c r="AV1275" s="15"/>
    </row>
    <row r="1276" spans="1:48" x14ac:dyDescent="0.4">
      <c r="W1276" s="115"/>
      <c r="X1276" s="115"/>
      <c r="Y1276" s="115"/>
      <c r="Z1276" s="115"/>
      <c r="AA1276" s="115"/>
      <c r="AB1276" s="115"/>
      <c r="AC1276" s="115"/>
      <c r="AD1276" s="122"/>
      <c r="AE1276" s="122"/>
      <c r="AF1276" s="122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7"/>
      <c r="AV1276" s="15"/>
    </row>
    <row r="1277" spans="1:48" x14ac:dyDescent="0.4">
      <c r="W1277" s="115"/>
      <c r="X1277" s="115"/>
      <c r="Y1277" s="115"/>
      <c r="Z1277" s="115"/>
      <c r="AA1277" s="115"/>
      <c r="AB1277" s="115"/>
      <c r="AC1277" s="115"/>
      <c r="AD1277" s="122"/>
      <c r="AE1277" s="122"/>
      <c r="AF1277" s="122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7"/>
      <c r="AV1277" s="15"/>
    </row>
    <row r="1278" spans="1:48" x14ac:dyDescent="0.4">
      <c r="AU1278" s="26"/>
      <c r="AV1278" s="15"/>
    </row>
    <row r="1279" spans="1:48" x14ac:dyDescent="0.4">
      <c r="AU1279" s="26"/>
      <c r="AV1279" s="15"/>
    </row>
    <row r="1280" spans="1:48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22"/>
      <c r="AE1280" s="122"/>
      <c r="AF1280" s="122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26"/>
      <c r="AV1280" s="15"/>
    </row>
    <row r="1281" spans="1:48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22"/>
      <c r="AE1281" s="122"/>
      <c r="AF1281" s="122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26"/>
      <c r="AV1281" s="13"/>
    </row>
    <row r="1282" spans="1:48" x14ac:dyDescent="0.4">
      <c r="AU1282" s="26"/>
      <c r="AV1282" s="15"/>
    </row>
    <row r="1283" spans="1:48" x14ac:dyDescent="0.4"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22"/>
      <c r="AE1283" s="122"/>
      <c r="AF1283" s="122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26"/>
      <c r="AV1283" s="15"/>
    </row>
    <row r="1284" spans="1:48" x14ac:dyDescent="0.4">
      <c r="AU1284" s="26"/>
      <c r="AV1284" s="15"/>
    </row>
    <row r="1285" spans="1:48" x14ac:dyDescent="0.4">
      <c r="AU1285" s="26"/>
      <c r="AV1285" s="15"/>
    </row>
    <row r="1286" spans="1:48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22"/>
      <c r="AE1286" s="122"/>
      <c r="AF1286" s="122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26"/>
      <c r="AV1286" s="15"/>
    </row>
    <row r="1287" spans="1:48" x14ac:dyDescent="0.4">
      <c r="AU1287" s="26"/>
      <c r="AV1287" s="13"/>
    </row>
    <row r="1288" spans="1:48" x14ac:dyDescent="0.4">
      <c r="AU1288" s="26"/>
      <c r="AV1288" s="13"/>
    </row>
    <row r="1289" spans="1:48" x14ac:dyDescent="0.4">
      <c r="A1289" s="115"/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22"/>
      <c r="AE1289" s="122"/>
      <c r="AF1289" s="122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26"/>
      <c r="AV1289" s="13"/>
    </row>
    <row r="1290" spans="1:48" x14ac:dyDescent="0.4">
      <c r="AU1290" s="26"/>
      <c r="AV1290" s="13"/>
    </row>
    <row r="1291" spans="1:48" x14ac:dyDescent="0.4">
      <c r="AU1291" s="26"/>
      <c r="AV1291" s="13"/>
    </row>
    <row r="1292" spans="1:48" x14ac:dyDescent="0.4">
      <c r="AU1292" s="26"/>
      <c r="AV1292" s="13"/>
    </row>
    <row r="1293" spans="1:48" x14ac:dyDescent="0.4">
      <c r="AU1293" s="26"/>
      <c r="AV1293" s="13"/>
    </row>
    <row r="1294" spans="1:48" x14ac:dyDescent="0.4">
      <c r="AU1294" s="26"/>
      <c r="AV1294" s="13"/>
    </row>
    <row r="1295" spans="1:48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22"/>
      <c r="AE1295" s="122"/>
      <c r="AF1295" s="122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26"/>
      <c r="AV1295" s="25"/>
    </row>
    <row r="1296" spans="1:48" x14ac:dyDescent="0.4">
      <c r="AU1296" s="26"/>
      <c r="AV1296" s="13"/>
    </row>
    <row r="1297" spans="1:48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22"/>
      <c r="AE1297" s="122"/>
      <c r="AF1297" s="122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26"/>
      <c r="AV1297" s="13"/>
    </row>
    <row r="1298" spans="1:48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22"/>
      <c r="AE1298" s="122"/>
      <c r="AF1298" s="122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26"/>
      <c r="AV1298" s="13"/>
    </row>
    <row r="1299" spans="1:48" x14ac:dyDescent="0.4">
      <c r="AU1299" s="26"/>
      <c r="AV1299" s="15"/>
    </row>
    <row r="1300" spans="1:48" x14ac:dyDescent="0.4">
      <c r="AU1300" s="26"/>
      <c r="AV1300" s="15"/>
    </row>
    <row r="1301" spans="1:48" x14ac:dyDescent="0.4">
      <c r="AU1301" s="26"/>
      <c r="AV1301" s="15"/>
    </row>
    <row r="1302" spans="1:48" x14ac:dyDescent="0.4">
      <c r="AU1302" s="26"/>
      <c r="AV1302" s="13"/>
    </row>
    <row r="1303" spans="1:48" x14ac:dyDescent="0.4">
      <c r="AU1303" s="26"/>
      <c r="AV1303" s="15"/>
    </row>
    <row r="1304" spans="1:48" x14ac:dyDescent="0.4"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22"/>
      <c r="AE1304" s="122"/>
      <c r="AF1304" s="122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7"/>
      <c r="AV1304" s="15"/>
    </row>
    <row r="1305" spans="1:48" x14ac:dyDescent="0.4">
      <c r="AU1305" s="26"/>
      <c r="AV1305" s="15"/>
    </row>
    <row r="1306" spans="1:48" x14ac:dyDescent="0.4"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22"/>
      <c r="AE1306" s="122"/>
      <c r="AF1306" s="122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7"/>
      <c r="AV1306" s="15"/>
    </row>
    <row r="1307" spans="1:48" x14ac:dyDescent="0.4">
      <c r="AU1307" s="26"/>
      <c r="AV1307" s="15"/>
    </row>
    <row r="1308" spans="1:48" x14ac:dyDescent="0.4">
      <c r="AU1308" s="26"/>
      <c r="AV1308" s="15"/>
    </row>
    <row r="1309" spans="1:48" x14ac:dyDescent="0.4"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22"/>
      <c r="AE1309" s="122"/>
      <c r="AF1309" s="122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7"/>
      <c r="AV1309" s="15"/>
    </row>
    <row r="1310" spans="1:48" x14ac:dyDescent="0.4">
      <c r="AU1310" s="26"/>
      <c r="AV1310" s="15"/>
    </row>
    <row r="1311" spans="1:48" x14ac:dyDescent="0.4">
      <c r="AU1311" s="26"/>
      <c r="AV1311" s="15"/>
    </row>
    <row r="1312" spans="1:48" x14ac:dyDescent="0.4">
      <c r="AU1312" s="26"/>
      <c r="AV1312" s="105"/>
    </row>
    <row r="1313" spans="2:48" x14ac:dyDescent="0.4">
      <c r="AU1313" s="26"/>
      <c r="AV1313" s="15"/>
    </row>
    <row r="1314" spans="2:48" x14ac:dyDescent="0.4">
      <c r="AU1314" s="26"/>
      <c r="AV1314" s="15"/>
    </row>
    <row r="1315" spans="2:48" x14ac:dyDescent="0.4">
      <c r="AU1315" s="26"/>
      <c r="AV1315" s="15"/>
    </row>
    <row r="1316" spans="2:48" x14ac:dyDescent="0.4">
      <c r="AU1316" s="26"/>
      <c r="AV1316" s="15"/>
    </row>
    <row r="1317" spans="2:48" x14ac:dyDescent="0.4">
      <c r="AU1317" s="26"/>
      <c r="AV1317" s="15"/>
    </row>
    <row r="1318" spans="2:48" x14ac:dyDescent="0.4"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22"/>
      <c r="AE1318" s="122"/>
      <c r="AF1318" s="122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9"/>
      <c r="AV1318" s="119"/>
    </row>
    <row r="1319" spans="2:48" x14ac:dyDescent="0.4"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22"/>
      <c r="AE1319" s="122"/>
      <c r="AF1319" s="122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9"/>
      <c r="AV1319" s="119"/>
    </row>
  </sheetData>
  <sortState xmlns:xlrd2="http://schemas.microsoft.com/office/spreadsheetml/2017/richdata2" ref="L2:M141">
    <sortCondition ref="L2:L14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2025-03-25T05:24:15Z</cp:lastPrinted>
  <dcterms:created xsi:type="dcterms:W3CDTF">2020-05-08T06:29:04Z</dcterms:created>
  <dcterms:modified xsi:type="dcterms:W3CDTF">2025-03-26T00:28:55Z</dcterms:modified>
</cp:coreProperties>
</file>