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8839DFA3-BD9C-41A5-AB28-A939D7573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29" i="3"/>
  <c r="C29" i="3"/>
  <c r="B29" i="3"/>
  <c r="W194" i="3"/>
  <c r="W193" i="3"/>
  <c r="V193" i="3"/>
  <c r="W191" i="3"/>
  <c r="V191" i="3"/>
  <c r="W186" i="3"/>
  <c r="V186" i="3"/>
  <c r="W181" i="3"/>
  <c r="V181" i="3"/>
  <c r="W177" i="3"/>
  <c r="V177" i="3"/>
  <c r="W169" i="3"/>
  <c r="V169" i="3"/>
  <c r="W159" i="3"/>
  <c r="V159" i="3"/>
  <c r="W157" i="3"/>
  <c r="V157" i="3"/>
  <c r="W155" i="3"/>
  <c r="V155" i="3"/>
  <c r="W151" i="3"/>
  <c r="V151" i="3"/>
  <c r="W139" i="3"/>
  <c r="V139" i="3"/>
  <c r="W135" i="3"/>
  <c r="V135" i="3"/>
  <c r="W125" i="3"/>
  <c r="V125" i="3"/>
  <c r="W123" i="3"/>
  <c r="V123" i="3"/>
  <c r="W118" i="3"/>
  <c r="V118" i="3"/>
  <c r="W84" i="3"/>
  <c r="V84" i="3"/>
  <c r="W77" i="3"/>
  <c r="V77" i="3"/>
  <c r="W70" i="3"/>
  <c r="V70" i="3"/>
  <c r="W38" i="3"/>
  <c r="V38" i="3"/>
  <c r="W25" i="3"/>
  <c r="V25" i="3"/>
  <c r="W22" i="3"/>
  <c r="V22" i="3"/>
  <c r="W17" i="3"/>
  <c r="V17" i="3"/>
  <c r="W10" i="3"/>
  <c r="V10" i="3"/>
  <c r="W7" i="3"/>
  <c r="V7" i="3"/>
  <c r="W5" i="3"/>
  <c r="V5" i="3"/>
  <c r="W3" i="3"/>
  <c r="V3" i="3"/>
  <c r="V194" i="3" s="1"/>
  <c r="U118" i="1"/>
  <c r="A241" i="1" l="1"/>
  <c r="AX980" i="3"/>
  <c r="AV980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V1262" i="3"/>
  <c r="BU1262" i="3"/>
  <c r="BV1257" i="3"/>
  <c r="BU1257" i="3"/>
  <c r="BV1255" i="3"/>
  <c r="BU1255" i="3"/>
  <c r="BV1241" i="3"/>
  <c r="BU1241" i="3"/>
  <c r="BV1223" i="3"/>
  <c r="BU1223" i="3"/>
  <c r="BV1212" i="3"/>
  <c r="BU1212" i="3"/>
  <c r="BV1178" i="3"/>
  <c r="BU1178" i="3"/>
  <c r="BV1165" i="3"/>
  <c r="BU1165" i="3"/>
  <c r="BV1127" i="3"/>
  <c r="BU1127" i="3"/>
  <c r="BV1118" i="3"/>
  <c r="BU1118" i="3"/>
  <c r="BV1104" i="3"/>
  <c r="BU1104" i="3"/>
  <c r="BV1071" i="3"/>
  <c r="BU1071" i="3"/>
  <c r="BV1018" i="3"/>
  <c r="BU1018" i="3"/>
  <c r="BV1006" i="3"/>
  <c r="BU1006" i="3"/>
  <c r="BV983" i="3"/>
  <c r="BU983" i="3"/>
  <c r="BV968" i="3"/>
  <c r="BU968" i="3"/>
  <c r="BV944" i="3"/>
  <c r="BU944" i="3"/>
  <c r="BV926" i="3"/>
  <c r="BU926" i="3"/>
  <c r="BV906" i="3"/>
  <c r="BU906" i="3"/>
  <c r="BV892" i="3"/>
  <c r="BU892" i="3"/>
  <c r="BV883" i="3"/>
  <c r="BU883" i="3"/>
  <c r="BV809" i="3"/>
  <c r="BU809" i="3"/>
  <c r="B61" i="1"/>
  <c r="A151" i="1"/>
  <c r="AB43" i="1"/>
  <c r="BU1263" i="3" l="1"/>
  <c r="BV1263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<sst xmlns="http://schemas.openxmlformats.org/spreadsheetml/2006/main" count="2765" uniqueCount="407">
  <si>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</si>
  <si>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</si>
  <si>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</si>
  <si>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</si>
  <si>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</si>
  <si>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</si>
  <si>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</si>
  <si>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</si>
  <si>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</si>
  <si>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</si>
  <si>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</si>
  <si>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</si>
  <si>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</si>
  <si>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</si>
  <si>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</si>
  <si>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</si>
  <si>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</si>
  <si>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</si>
  <si>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</si>
  <si>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</si>
  <si>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</si>
  <si>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</si>
  <si>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</si>
  <si>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</si>
  <si>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</si>
  <si>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</si>
  <si>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</si>
  <si>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</si>
  <si>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</si>
  <si>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</si>
  <si>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</si>
  <si>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</si>
  <si>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</si>
  <si>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</si>
  <si>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</si>
  <si>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</si>
  <si>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</si>
  <si>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</si>
  <si>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</si>
  <si>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</si>
  <si>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</si>
  <si>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</si>
  <si>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</si>
  <si>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</si>
  <si>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</si>
  <si>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</si>
  <si>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</si>
  <si>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</si>
  <si>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</si>
  <si>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</si>
  <si>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</si>
  <si>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</si>
  <si>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</si>
  <si>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</si>
  <si>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</si>
  <si>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</si>
  <si>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</si>
  <si>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</si>
  <si>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</si>
  <si>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</si>
  <si>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</si>
  <si>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</si>
  <si>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</si>
  <si>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</si>
  <si>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</si>
  <si>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</si>
  <si>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</si>
  <si>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</si>
  <si>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</si>
  <si>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</si>
  <si>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</si>
  <si>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</si>
  <si>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</si>
  <si>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</si>
  <si>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</si>
  <si>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</si>
  <si>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</si>
  <si>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</si>
  <si>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</si>
  <si>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</si>
  <si>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</si>
  <si>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</si>
  <si>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</si>
  <si>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</si>
  <si>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</si>
  <si>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</si>
  <si>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</si>
  <si>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</si>
  <si>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</si>
  <si>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</si>
  <si>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</si>
  <si>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</si>
  <si>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</si>
  <si>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</si>
  <si>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</si>
  <si>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</si>
  <si>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</si>
  <si>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</si>
  <si>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</si>
  <si>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</si>
  <si>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</si>
  <si>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</si>
  <si>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</si>
  <si>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</si>
  <si>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</si>
  <si>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</si>
  <si>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</si>
  <si>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</si>
  <si>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</si>
  <si>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</si>
  <si>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</si>
  <si>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</si>
  <si>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</si>
  <si>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</si>
  <si>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</si>
  <si>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</si>
  <si>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</si>
  <si>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</si>
  <si>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</si>
  <si>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</si>
  <si>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</si>
  <si>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</si>
  <si>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</si>
  <si>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</si>
  <si>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</si>
  <si>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</si>
  <si>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</si>
  <si>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</si>
  <si>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</si>
  <si>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</si>
  <si>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</si>
  <si>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</si>
  <si>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</si>
  <si>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</si>
  <si>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</si>
  <si>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</si>
  <si>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</si>
  <si>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</si>
  <si>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</si>
  <si>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</si>
  <si>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</si>
  <si>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</si>
  <si>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</si>
  <si>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</si>
  <si>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</si>
  <si>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</si>
  <si>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</si>
  <si>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</si>
  <si>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</si>
  <si>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</si>
  <si>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</si>
  <si>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</si>
  <si>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</si>
  <si>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</si>
  <si>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</si>
  <si>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</si>
  <si>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</si>
  <si>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</si>
  <si>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</si>
  <si>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</si>
  <si>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</si>
  <si>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</si>
  <si>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</si>
  <si>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</si>
  <si>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</si>
  <si>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</si>
  <si>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</si>
  <si>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</si>
  <si>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</si>
  <si>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</si>
  <si>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</si>
  <si>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</si>
  <si>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</si>
  <si>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</si>
  <si>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</si>
  <si>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</si>
  <si>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</si>
  <si>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</si>
  <si>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</si>
  <si>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</si>
  <si>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</si>
  <si>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</si>
  <si>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</si>
  <si>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M074</t>
    <phoneticPr fontId="1"/>
  </si>
  <si>
    <t>P</t>
    <phoneticPr fontId="1"/>
  </si>
  <si>
    <t>A335</t>
    <phoneticPr fontId="1"/>
  </si>
  <si>
    <t>M078</t>
    <phoneticPr fontId="1"/>
  </si>
  <si>
    <t>A700</t>
    <phoneticPr fontId="1"/>
  </si>
  <si>
    <t>A545</t>
    <phoneticPr fontId="1"/>
  </si>
  <si>
    <t>A328</t>
    <phoneticPr fontId="1"/>
  </si>
  <si>
    <t>A997</t>
    <phoneticPr fontId="1"/>
  </si>
  <si>
    <t>C</t>
    <phoneticPr fontId="1"/>
  </si>
  <si>
    <t>2026/2/2 個数</t>
  </si>
  <si>
    <t>2026/2/3 個数</t>
  </si>
  <si>
    <t>2026/2/7 個数</t>
  </si>
  <si>
    <t>2026/2/8 個数</t>
  </si>
  <si>
    <t>2026/2/18 個数</t>
  </si>
  <si>
    <t>2026/2/26 個数</t>
  </si>
  <si>
    <t>A550</t>
    <phoneticPr fontId="1"/>
  </si>
  <si>
    <t>M079</t>
    <phoneticPr fontId="1"/>
  </si>
  <si>
    <t>A199</t>
    <phoneticPr fontId="1"/>
  </si>
  <si>
    <t>A552</t>
    <phoneticPr fontId="1"/>
  </si>
  <si>
    <t>A505</t>
    <phoneticPr fontId="1"/>
  </si>
  <si>
    <t>A318</t>
    <phoneticPr fontId="1"/>
  </si>
  <si>
    <t>A181</t>
    <phoneticPr fontId="1"/>
  </si>
  <si>
    <t>M070</t>
    <phoneticPr fontId="1"/>
  </si>
  <si>
    <t>A501</t>
    <phoneticPr fontId="1"/>
  </si>
  <si>
    <t>2026/2/10 個数</t>
  </si>
  <si>
    <t>2026/2/11 個数</t>
  </si>
  <si>
    <t>2026/2/15 個数</t>
  </si>
  <si>
    <t>2026/2/16 個数</t>
  </si>
  <si>
    <t>2026/2/23 個数</t>
  </si>
  <si>
    <t>2026/2/24 個数</t>
  </si>
  <si>
    <t>2026/2/28 個数</t>
  </si>
  <si>
    <t>AYG131</t>
    <phoneticPr fontId="1"/>
  </si>
  <si>
    <t>08010086</t>
    <phoneticPr fontId="1"/>
  </si>
  <si>
    <t>08010106</t>
    <phoneticPr fontId="1"/>
  </si>
  <si>
    <t>08010108</t>
    <phoneticPr fontId="1"/>
  </si>
  <si>
    <t>08010109</t>
    <phoneticPr fontId="1"/>
  </si>
  <si>
    <t>08010113</t>
    <phoneticPr fontId="1"/>
  </si>
  <si>
    <t>08010114</t>
    <phoneticPr fontId="1"/>
  </si>
  <si>
    <t>08010186</t>
    <phoneticPr fontId="1"/>
  </si>
  <si>
    <t>A611</t>
    <phoneticPr fontId="1"/>
  </si>
  <si>
    <t>08010187</t>
    <phoneticPr fontId="1"/>
  </si>
  <si>
    <t>08010190</t>
    <phoneticPr fontId="1"/>
  </si>
  <si>
    <t>08010191</t>
    <phoneticPr fontId="1"/>
  </si>
  <si>
    <t>08010202</t>
    <phoneticPr fontId="1"/>
  </si>
  <si>
    <t>08010204</t>
    <phoneticPr fontId="1"/>
  </si>
  <si>
    <t>08010246</t>
    <phoneticPr fontId="1"/>
  </si>
  <si>
    <t>A640</t>
    <phoneticPr fontId="1"/>
  </si>
  <si>
    <t>08010252</t>
    <phoneticPr fontId="1"/>
  </si>
  <si>
    <t>08010254</t>
    <phoneticPr fontId="1"/>
  </si>
  <si>
    <t>07120265</t>
    <phoneticPr fontId="1"/>
  </si>
  <si>
    <t>08010029</t>
    <phoneticPr fontId="1"/>
  </si>
  <si>
    <t>08010080</t>
    <phoneticPr fontId="1"/>
  </si>
  <si>
    <t>08010094</t>
    <phoneticPr fontId="1"/>
  </si>
  <si>
    <t>08010123</t>
    <phoneticPr fontId="1"/>
  </si>
  <si>
    <t>08010197</t>
    <phoneticPr fontId="1"/>
  </si>
  <si>
    <t>08010198</t>
    <phoneticPr fontId="1"/>
  </si>
  <si>
    <t>08010179</t>
    <phoneticPr fontId="1"/>
  </si>
  <si>
    <t>08010199</t>
    <phoneticPr fontId="1"/>
  </si>
  <si>
    <t>08010200</t>
    <phoneticPr fontId="1"/>
  </si>
  <si>
    <t>08010250</t>
    <phoneticPr fontId="1"/>
  </si>
  <si>
    <t>08010031</t>
    <phoneticPr fontId="1"/>
  </si>
  <si>
    <t>08010032</t>
    <phoneticPr fontId="1"/>
  </si>
  <si>
    <t>08010260</t>
    <phoneticPr fontId="1"/>
  </si>
  <si>
    <t>A523</t>
    <phoneticPr fontId="1"/>
  </si>
  <si>
    <t>08010261</t>
    <phoneticPr fontId="1"/>
  </si>
  <si>
    <t>08010262</t>
    <phoneticPr fontId="1"/>
  </si>
  <si>
    <t>R</t>
    <phoneticPr fontId="2"/>
  </si>
  <si>
    <t>08010294</t>
    <phoneticPr fontId="1"/>
  </si>
  <si>
    <t>08010307</t>
    <phoneticPr fontId="1"/>
  </si>
  <si>
    <t>08010308</t>
    <phoneticPr fontId="1"/>
  </si>
  <si>
    <t>08010310</t>
    <phoneticPr fontId="1"/>
  </si>
  <si>
    <t>08010311</t>
    <phoneticPr fontId="1"/>
  </si>
  <si>
    <t>08010312</t>
    <phoneticPr fontId="1"/>
  </si>
  <si>
    <t>A260</t>
    <phoneticPr fontId="1"/>
  </si>
  <si>
    <t>08010322</t>
    <phoneticPr fontId="1"/>
  </si>
  <si>
    <t>08010330</t>
    <phoneticPr fontId="1"/>
  </si>
  <si>
    <t>08010331</t>
    <phoneticPr fontId="1"/>
  </si>
  <si>
    <t>08010332</t>
    <phoneticPr fontId="1"/>
  </si>
  <si>
    <t>08010340</t>
    <phoneticPr fontId="1"/>
  </si>
  <si>
    <t>08010344</t>
    <phoneticPr fontId="1"/>
  </si>
  <si>
    <t>07100356</t>
    <phoneticPr fontId="1"/>
  </si>
  <si>
    <t>08010137</t>
    <phoneticPr fontId="1"/>
  </si>
  <si>
    <t>08010138</t>
    <phoneticPr fontId="1"/>
  </si>
  <si>
    <t>08010177</t>
    <phoneticPr fontId="1"/>
  </si>
  <si>
    <t>08010183</t>
    <phoneticPr fontId="1"/>
  </si>
  <si>
    <t>08010184</t>
    <phoneticPr fontId="1"/>
  </si>
  <si>
    <t>08010216</t>
    <phoneticPr fontId="1"/>
  </si>
  <si>
    <t>08010240</t>
    <phoneticPr fontId="1"/>
  </si>
  <si>
    <t>A128</t>
    <phoneticPr fontId="1"/>
  </si>
  <si>
    <t>08010241</t>
    <phoneticPr fontId="1"/>
  </si>
  <si>
    <t>07120285</t>
    <phoneticPr fontId="1"/>
  </si>
  <si>
    <t>07120286</t>
    <phoneticPr fontId="1"/>
  </si>
  <si>
    <t>08010291</t>
    <phoneticPr fontId="1"/>
  </si>
  <si>
    <t>08010292</t>
    <phoneticPr fontId="1"/>
  </si>
  <si>
    <t>08010304</t>
    <phoneticPr fontId="1"/>
  </si>
  <si>
    <t>A255</t>
    <phoneticPr fontId="1"/>
  </si>
  <si>
    <t>08010342</t>
    <phoneticPr fontId="1"/>
  </si>
  <si>
    <t>07120466</t>
    <phoneticPr fontId="1"/>
  </si>
  <si>
    <t>07120480</t>
    <phoneticPr fontId="1"/>
  </si>
  <si>
    <t>A730</t>
    <phoneticPr fontId="1"/>
  </si>
  <si>
    <t>08010079</t>
    <phoneticPr fontId="1"/>
  </si>
  <si>
    <t>08010142</t>
    <phoneticPr fontId="1"/>
  </si>
  <si>
    <t>08010143</t>
    <phoneticPr fontId="1"/>
  </si>
  <si>
    <t>08010185</t>
    <phoneticPr fontId="1"/>
  </si>
  <si>
    <t>08010188</t>
    <phoneticPr fontId="1"/>
  </si>
  <si>
    <t>08010189</t>
    <phoneticPr fontId="1"/>
  </si>
  <si>
    <t>08010192</t>
    <phoneticPr fontId="1"/>
  </si>
  <si>
    <t>08010209</t>
    <phoneticPr fontId="1"/>
  </si>
  <si>
    <t>08010239</t>
    <phoneticPr fontId="1"/>
  </si>
  <si>
    <t>08010259</t>
    <phoneticPr fontId="1"/>
  </si>
  <si>
    <t>A336</t>
    <phoneticPr fontId="1"/>
  </si>
  <si>
    <t>08010328</t>
    <phoneticPr fontId="1"/>
  </si>
  <si>
    <t>08010329</t>
    <phoneticPr fontId="1"/>
  </si>
  <si>
    <t>08010343</t>
    <phoneticPr fontId="1"/>
  </si>
  <si>
    <t>07120293</t>
    <phoneticPr fontId="1"/>
  </si>
  <si>
    <t>M025</t>
    <phoneticPr fontId="1"/>
  </si>
  <si>
    <t>A632</t>
    <phoneticPr fontId="1"/>
  </si>
  <si>
    <t>08010371</t>
    <phoneticPr fontId="1"/>
  </si>
  <si>
    <t>08010372</t>
    <phoneticPr fontId="1"/>
  </si>
  <si>
    <t>08010373</t>
    <phoneticPr fontId="1"/>
  </si>
  <si>
    <t>08010374</t>
    <phoneticPr fontId="1"/>
  </si>
  <si>
    <t>A658</t>
    <phoneticPr fontId="1"/>
  </si>
  <si>
    <t>08010375</t>
    <phoneticPr fontId="1"/>
  </si>
  <si>
    <t>08010376</t>
    <phoneticPr fontId="1"/>
  </si>
  <si>
    <t>08010383</t>
    <phoneticPr fontId="1"/>
  </si>
  <si>
    <t>08010392</t>
    <phoneticPr fontId="1"/>
  </si>
  <si>
    <t>08010400</t>
    <phoneticPr fontId="1"/>
  </si>
  <si>
    <t>08010389</t>
    <phoneticPr fontId="1"/>
  </si>
  <si>
    <t>08010390</t>
    <phoneticPr fontId="1"/>
  </si>
  <si>
    <t>08010391</t>
    <phoneticPr fontId="1"/>
  </si>
  <si>
    <t>08010401</t>
    <phoneticPr fontId="1"/>
  </si>
  <si>
    <t>08010402</t>
    <phoneticPr fontId="1"/>
  </si>
  <si>
    <t>08010221</t>
    <phoneticPr fontId="1"/>
  </si>
  <si>
    <t>08010222</t>
  </si>
  <si>
    <t>08010223</t>
  </si>
  <si>
    <t>08010224</t>
  </si>
  <si>
    <t>08010235</t>
    <phoneticPr fontId="1"/>
  </si>
  <si>
    <t>08010236</t>
  </si>
  <si>
    <t>08010237</t>
  </si>
  <si>
    <t>08010238</t>
  </si>
  <si>
    <t>08010263</t>
    <phoneticPr fontId="1"/>
  </si>
  <si>
    <t>08010264</t>
  </si>
  <si>
    <t>08010265</t>
  </si>
  <si>
    <t>08010266</t>
  </si>
  <si>
    <t>08010267</t>
  </si>
  <si>
    <t>08010268</t>
  </si>
  <si>
    <t>08010269</t>
  </si>
  <si>
    <t>08010270</t>
  </si>
  <si>
    <t>08010225</t>
    <phoneticPr fontId="1"/>
  </si>
  <si>
    <t>08010226</t>
  </si>
  <si>
    <t>08010227</t>
  </si>
  <si>
    <t>08010228</t>
  </si>
  <si>
    <t>08010229</t>
  </si>
  <si>
    <t>08010230</t>
  </si>
  <si>
    <t>08010231</t>
  </si>
  <si>
    <t>08010232</t>
  </si>
  <si>
    <t>08010233</t>
  </si>
  <si>
    <t>08010234</t>
  </si>
  <si>
    <t>08010271</t>
    <phoneticPr fontId="1"/>
  </si>
  <si>
    <t>08010272</t>
  </si>
  <si>
    <t>08010273</t>
  </si>
  <si>
    <t>08010274</t>
  </si>
  <si>
    <t>08010275</t>
  </si>
  <si>
    <t>08010380</t>
    <phoneticPr fontId="1"/>
  </si>
  <si>
    <t>08010381</t>
    <phoneticPr fontId="1"/>
  </si>
  <si>
    <t>08010382</t>
  </si>
  <si>
    <t>08010385</t>
  </si>
  <si>
    <t>08010386</t>
  </si>
  <si>
    <t>08010387</t>
  </si>
  <si>
    <t>08010388</t>
  </si>
  <si>
    <t>08010384</t>
    <phoneticPr fontId="1"/>
  </si>
  <si>
    <t>08010393</t>
    <phoneticPr fontId="1"/>
  </si>
  <si>
    <t>08010394</t>
  </si>
  <si>
    <t>08010395</t>
  </si>
  <si>
    <t>08010396</t>
  </si>
  <si>
    <t>08010397</t>
  </si>
  <si>
    <t>08010398</t>
  </si>
  <si>
    <t>08010399</t>
  </si>
  <si>
    <t>08010037</t>
    <phoneticPr fontId="1"/>
  </si>
  <si>
    <t>08010053</t>
    <phoneticPr fontId="1"/>
  </si>
  <si>
    <t>08010116</t>
    <phoneticPr fontId="1"/>
  </si>
  <si>
    <t>08010117</t>
    <phoneticPr fontId="1"/>
  </si>
  <si>
    <t>08010255</t>
    <phoneticPr fontId="1"/>
  </si>
  <si>
    <t>08010290</t>
    <phoneticPr fontId="1"/>
  </si>
  <si>
    <t>08010295</t>
    <phoneticPr fontId="1"/>
  </si>
  <si>
    <t>08010296</t>
  </si>
  <si>
    <t>08010297</t>
  </si>
  <si>
    <t>08010298</t>
  </si>
  <si>
    <t>08010299</t>
  </si>
  <si>
    <t>08010300</t>
  </si>
  <si>
    <t>08010301</t>
  </si>
  <si>
    <t>08010302</t>
  </si>
  <si>
    <t>08010303</t>
  </si>
  <si>
    <t>08010315</t>
    <phoneticPr fontId="1"/>
  </si>
  <si>
    <t>08010317</t>
    <phoneticPr fontId="1"/>
  </si>
  <si>
    <t>08010321</t>
    <phoneticPr fontId="1"/>
  </si>
  <si>
    <t>08010242</t>
    <phoneticPr fontId="1"/>
  </si>
  <si>
    <t>A332</t>
    <phoneticPr fontId="1"/>
  </si>
  <si>
    <t>08010243</t>
    <phoneticPr fontId="1"/>
  </si>
  <si>
    <t>08010244</t>
    <phoneticPr fontId="1"/>
  </si>
  <si>
    <t>08010245</t>
    <phoneticPr fontId="1"/>
  </si>
  <si>
    <t>08010289</t>
    <phoneticPr fontId="1"/>
  </si>
  <si>
    <t>08010309</t>
    <phoneticPr fontId="1"/>
  </si>
  <si>
    <t>08010333</t>
    <phoneticPr fontId="1"/>
  </si>
  <si>
    <t>08010334</t>
    <phoneticPr fontId="1"/>
  </si>
  <si>
    <t>08010335</t>
    <phoneticPr fontId="1"/>
  </si>
  <si>
    <t>07110401</t>
    <phoneticPr fontId="1"/>
  </si>
  <si>
    <t>08010406</t>
    <phoneticPr fontId="1"/>
  </si>
  <si>
    <t>08010407</t>
    <phoneticPr fontId="1"/>
  </si>
  <si>
    <t>08010420</t>
    <phoneticPr fontId="1"/>
  </si>
  <si>
    <t>08010421</t>
    <phoneticPr fontId="1"/>
  </si>
  <si>
    <t>2026/2/5 個数</t>
  </si>
  <si>
    <t>2026/2/14 個数</t>
  </si>
  <si>
    <t>2026/2/17 個数</t>
  </si>
  <si>
    <t>2026/2/21 個数</t>
  </si>
  <si>
    <t>2026/2/22 個数</t>
  </si>
  <si>
    <t>2026/3/4 個数</t>
  </si>
  <si>
    <t>2026/3/5 個数</t>
  </si>
  <si>
    <t>2026/3/7 個数</t>
  </si>
  <si>
    <t>2026/3/8 個数</t>
  </si>
  <si>
    <t>2026/3/10 個数</t>
  </si>
  <si>
    <t>2026/3/16 個数</t>
  </si>
  <si>
    <t>2026/3/18 個数</t>
  </si>
  <si>
    <t>2026/3/22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</si>
</sst>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L7" sqref="L6:L7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214</v>
      </c>
      <c r="B1" s="24">
        <v>46044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23.6</v>
      </c>
      <c r="C3" s="85" t="s">
        <v>215</v>
      </c>
      <c r="D3" s="109" t="s">
        <v>186</v>
      </c>
      <c r="E3" s="15" t="s">
        <v>37</v>
      </c>
      <c r="F3" s="14"/>
      <c r="G3" s="12" t="s">
        <v>180</v>
      </c>
      <c r="H3" s="13"/>
      <c r="I3" s="13"/>
      <c r="J3" s="13"/>
      <c r="K3" s="13"/>
      <c r="L3" s="13"/>
      <c r="M3" s="13">
        <v>1</v>
      </c>
      <c r="N3" s="13">
        <v>1</v>
      </c>
      <c r="O3" s="13"/>
      <c r="P3" s="13"/>
      <c r="Q3" s="13">
        <v>1</v>
      </c>
      <c r="R3" s="13"/>
      <c r="S3" s="13"/>
      <c r="T3" s="25">
        <v>46069</v>
      </c>
      <c r="U3" s="13" t="s">
        <v>147</v>
      </c>
      <c r="V3">
        <v>1</v>
      </c>
      <c r="X3" s="51" t="s">
        <v>106</v>
      </c>
      <c r="Y3" s="52">
        <f>COUNTIF(U3:U27,"K")</f>
        <v>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216</v>
      </c>
      <c r="D4" s="109">
        <v>1183</v>
      </c>
      <c r="E4" s="15" t="s">
        <v>38</v>
      </c>
      <c r="F4" s="16"/>
      <c r="G4" s="12" t="s">
        <v>180</v>
      </c>
      <c r="H4" s="15"/>
      <c r="I4" s="13"/>
      <c r="J4" s="13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46081</v>
      </c>
      <c r="U4" s="13" t="s">
        <v>146</v>
      </c>
      <c r="V4">
        <v>2</v>
      </c>
      <c r="X4" s="51" t="s">
        <v>107</v>
      </c>
      <c r="Y4" s="52">
        <f>COUNTIF(U3:U27,"R")</f>
        <v>8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217</v>
      </c>
      <c r="D5" s="109" t="s">
        <v>203</v>
      </c>
      <c r="E5" s="15" t="s">
        <v>39</v>
      </c>
      <c r="F5" s="16"/>
      <c r="G5" s="12" t="s">
        <v>180</v>
      </c>
      <c r="H5" s="13"/>
      <c r="I5" s="13"/>
      <c r="J5" s="13"/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46076</v>
      </c>
      <c r="U5" s="13" t="s">
        <v>146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218</v>
      </c>
      <c r="D6" s="109" t="s">
        <v>203</v>
      </c>
      <c r="E6" s="15" t="s">
        <v>133</v>
      </c>
      <c r="F6" s="16"/>
      <c r="G6" s="12" t="s">
        <v>180</v>
      </c>
      <c r="H6" s="15"/>
      <c r="I6" s="13"/>
      <c r="J6" s="13"/>
      <c r="K6" s="15"/>
      <c r="L6" s="17"/>
      <c r="M6" s="17"/>
      <c r="N6" s="13"/>
      <c r="O6" s="17">
        <v>1</v>
      </c>
      <c r="P6" s="17">
        <v>1</v>
      </c>
      <c r="Q6" s="17">
        <v>1</v>
      </c>
      <c r="R6" s="17">
        <v>1</v>
      </c>
      <c r="S6" s="15"/>
      <c r="T6" s="25">
        <v>46076</v>
      </c>
      <c r="U6" s="13" t="s">
        <v>148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219</v>
      </c>
      <c r="D7" s="109" t="s">
        <v>203</v>
      </c>
      <c r="E7" s="15" t="s">
        <v>39</v>
      </c>
      <c r="F7" s="16"/>
      <c r="G7" s="12" t="s">
        <v>180</v>
      </c>
      <c r="H7" s="15"/>
      <c r="I7" s="13"/>
      <c r="J7" s="13"/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46071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220</v>
      </c>
      <c r="D8" s="109" t="s">
        <v>203</v>
      </c>
      <c r="E8" s="15" t="s">
        <v>133</v>
      </c>
      <c r="F8" s="16"/>
      <c r="G8" s="12" t="s">
        <v>180</v>
      </c>
      <c r="H8" s="13"/>
      <c r="I8" s="13"/>
      <c r="J8" s="13"/>
      <c r="K8" s="15"/>
      <c r="L8" s="17"/>
      <c r="M8" s="17"/>
      <c r="N8" s="13"/>
      <c r="O8" s="17">
        <v>1</v>
      </c>
      <c r="P8" s="17">
        <v>1</v>
      </c>
      <c r="Q8" s="17">
        <v>1</v>
      </c>
      <c r="R8" s="17">
        <v>1</v>
      </c>
      <c r="S8" s="15"/>
      <c r="T8" s="25">
        <v>46071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221</v>
      </c>
      <c r="D9" s="109" t="s">
        <v>222</v>
      </c>
      <c r="E9" s="15" t="s">
        <v>74</v>
      </c>
      <c r="F9" s="16"/>
      <c r="G9" s="12" t="s">
        <v>180</v>
      </c>
      <c r="H9" s="15"/>
      <c r="I9" s="13"/>
      <c r="J9" s="13"/>
      <c r="K9" s="15"/>
      <c r="L9" s="17"/>
      <c r="M9" s="17">
        <v>1</v>
      </c>
      <c r="N9" s="13">
        <v>1</v>
      </c>
      <c r="O9" s="17"/>
      <c r="P9" s="17"/>
      <c r="Q9" s="17"/>
      <c r="R9" s="17"/>
      <c r="S9" s="15"/>
      <c r="T9" s="25">
        <v>46067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223</v>
      </c>
      <c r="D10" s="109" t="s">
        <v>222</v>
      </c>
      <c r="E10" s="15" t="s">
        <v>36</v>
      </c>
      <c r="F10" s="16"/>
      <c r="G10" s="12" t="s">
        <v>180</v>
      </c>
      <c r="H10" s="15"/>
      <c r="I10" s="13"/>
      <c r="J10" s="13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46067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224</v>
      </c>
      <c r="D11" s="109" t="s">
        <v>222</v>
      </c>
      <c r="E11" s="15" t="s">
        <v>37</v>
      </c>
      <c r="F11" s="16"/>
      <c r="G11" s="12" t="s">
        <v>180</v>
      </c>
      <c r="H11" s="15"/>
      <c r="I11" s="13"/>
      <c r="J11" s="13"/>
      <c r="K11" s="15"/>
      <c r="L11" s="17"/>
      <c r="M11" s="17">
        <v>1</v>
      </c>
      <c r="N11" s="13">
        <v>1</v>
      </c>
      <c r="O11" s="17"/>
      <c r="P11" s="17"/>
      <c r="Q11" s="17"/>
      <c r="R11" s="17"/>
      <c r="S11" s="15"/>
      <c r="T11" s="25">
        <v>46067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225</v>
      </c>
      <c r="D12" s="109" t="s">
        <v>222</v>
      </c>
      <c r="E12" s="15" t="s">
        <v>75</v>
      </c>
      <c r="F12" s="16"/>
      <c r="G12" s="12" t="s">
        <v>180</v>
      </c>
      <c r="H12" s="15"/>
      <c r="I12" s="15"/>
      <c r="J12" s="13"/>
      <c r="K12" s="15"/>
      <c r="L12" s="17"/>
      <c r="M12" s="17"/>
      <c r="N12" s="17"/>
      <c r="O12" s="17"/>
      <c r="P12" s="17"/>
      <c r="Q12" s="17"/>
      <c r="R12" s="17"/>
      <c r="S12" s="15"/>
      <c r="T12" s="25">
        <v>46067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226</v>
      </c>
      <c r="D13" s="109" t="s">
        <v>199</v>
      </c>
      <c r="E13" s="15" t="s">
        <v>38</v>
      </c>
      <c r="F13" s="16"/>
      <c r="G13" s="12" t="s">
        <v>180</v>
      </c>
      <c r="H13" s="15"/>
      <c r="I13" s="15"/>
      <c r="J13" s="13">
        <v>1</v>
      </c>
      <c r="K13" s="15">
        <v>1</v>
      </c>
      <c r="L13" s="17"/>
      <c r="M13" s="17"/>
      <c r="N13" s="17">
        <v>1</v>
      </c>
      <c r="O13" s="17"/>
      <c r="P13" s="17"/>
      <c r="Q13" s="17"/>
      <c r="R13" s="17"/>
      <c r="S13" s="15"/>
      <c r="T13" s="25">
        <v>46069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227</v>
      </c>
      <c r="D14" s="109" t="s">
        <v>199</v>
      </c>
      <c r="E14" s="15" t="s">
        <v>37</v>
      </c>
      <c r="F14" s="16"/>
      <c r="G14" s="12" t="s">
        <v>180</v>
      </c>
      <c r="H14" s="15"/>
      <c r="I14" s="15"/>
      <c r="J14" s="13"/>
      <c r="K14" s="15"/>
      <c r="L14" s="17"/>
      <c r="M14" s="17">
        <v>1</v>
      </c>
      <c r="N14" s="17">
        <v>1</v>
      </c>
      <c r="O14" s="17"/>
      <c r="P14" s="17"/>
      <c r="Q14" s="17">
        <v>1</v>
      </c>
      <c r="R14" s="17"/>
      <c r="S14" s="15"/>
      <c r="T14" s="25">
        <v>46077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228</v>
      </c>
      <c r="D15" s="109" t="s">
        <v>229</v>
      </c>
      <c r="E15" s="15" t="s">
        <v>75</v>
      </c>
      <c r="F15" s="16"/>
      <c r="G15" s="12" t="s">
        <v>180</v>
      </c>
      <c r="H15" s="15"/>
      <c r="I15" s="15"/>
      <c r="J15" s="13"/>
      <c r="K15" s="15"/>
      <c r="L15" s="17"/>
      <c r="M15" s="17"/>
      <c r="N15" s="17"/>
      <c r="O15" s="17"/>
      <c r="P15" s="17"/>
      <c r="Q15" s="17"/>
      <c r="R15" s="17"/>
      <c r="S15" s="15"/>
      <c r="T15" s="25">
        <v>46068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 t="s">
        <v>230</v>
      </c>
      <c r="D16" s="109" t="s">
        <v>186</v>
      </c>
      <c r="E16" s="15" t="s">
        <v>37</v>
      </c>
      <c r="F16" s="16"/>
      <c r="G16" s="12" t="s">
        <v>180</v>
      </c>
      <c r="H16" s="15"/>
      <c r="I16" s="15"/>
      <c r="J16" s="13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46074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 t="s">
        <v>231</v>
      </c>
      <c r="D17" s="109" t="s">
        <v>186</v>
      </c>
      <c r="E17" s="15" t="s">
        <v>40</v>
      </c>
      <c r="F17" s="16"/>
      <c r="G17" s="12" t="s">
        <v>180</v>
      </c>
      <c r="H17" s="15"/>
      <c r="I17" s="15"/>
      <c r="J17" s="13"/>
      <c r="K17" s="15"/>
      <c r="L17" s="17"/>
      <c r="M17" s="17"/>
      <c r="N17" s="17"/>
      <c r="O17" s="17">
        <v>1</v>
      </c>
      <c r="P17" s="17">
        <v>1</v>
      </c>
      <c r="Q17" s="17"/>
      <c r="R17" s="17"/>
      <c r="S17" s="15"/>
      <c r="T17" s="25">
        <v>46074</v>
      </c>
      <c r="U17" s="13" t="s">
        <v>148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298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166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3</v>
      </c>
      <c r="K28" s="29">
        <f t="shared" si="0"/>
        <v>5</v>
      </c>
      <c r="L28" s="29">
        <f t="shared" si="0"/>
        <v>0</v>
      </c>
      <c r="M28" s="29">
        <f t="shared" si="0"/>
        <v>5</v>
      </c>
      <c r="N28" s="29">
        <f t="shared" si="0"/>
        <v>6</v>
      </c>
      <c r="O28" s="29">
        <f t="shared" si="0"/>
        <v>3</v>
      </c>
      <c r="P28" s="29">
        <f t="shared" si="0"/>
        <v>3</v>
      </c>
      <c r="Q28" s="29">
        <f t="shared" si="0"/>
        <v>5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32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AYG131</v>
      </c>
      <c r="B31" s="24">
        <f>B1</f>
        <v>46044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22.6</v>
      </c>
      <c r="C33" s="85" t="s">
        <v>232</v>
      </c>
      <c r="D33" s="109" t="s">
        <v>183</v>
      </c>
      <c r="E33" s="15" t="s">
        <v>75</v>
      </c>
      <c r="F33" s="14"/>
      <c r="G33" s="12" t="s">
        <v>180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25">
        <v>46058</v>
      </c>
      <c r="U33" s="13" t="s">
        <v>147</v>
      </c>
      <c r="V33">
        <v>1</v>
      </c>
      <c r="X33" s="51" t="s">
        <v>106</v>
      </c>
      <c r="Y33" s="52">
        <f>COUNTIF(U33:U57,"K")</f>
        <v>3</v>
      </c>
      <c r="AA33" s="31" t="s">
        <v>46</v>
      </c>
      <c r="AB33" s="32">
        <f>J28+J178+J148+J118+J208+J238+J268+J298+J328+J358</f>
        <v>84</v>
      </c>
    </row>
    <row r="34" spans="1:29" x14ac:dyDescent="0.4">
      <c r="A34" s="153"/>
      <c r="B34" s="143"/>
      <c r="C34" s="85" t="s">
        <v>233</v>
      </c>
      <c r="D34" s="109" t="s">
        <v>181</v>
      </c>
      <c r="E34" s="15" t="s">
        <v>75</v>
      </c>
      <c r="F34" s="16"/>
      <c r="G34" s="12" t="s">
        <v>180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/>
      <c r="T34" s="25">
        <v>46064</v>
      </c>
      <c r="U34" s="13" t="s">
        <v>147</v>
      </c>
      <c r="V34">
        <v>2</v>
      </c>
      <c r="X34" s="51" t="s">
        <v>107</v>
      </c>
      <c r="Y34" s="52">
        <f>COUNTIF(U33:U57,"R")</f>
        <v>9</v>
      </c>
      <c r="AA34" s="31" t="s">
        <v>48</v>
      </c>
      <c r="AB34" s="32">
        <f>K28+K178+K148+K118+K208+K238+K268+K298+K328+K358</f>
        <v>42</v>
      </c>
    </row>
    <row r="35" spans="1:29" ht="19.5" thickBot="1" x14ac:dyDescent="0.45">
      <c r="A35" s="153"/>
      <c r="B35" s="143"/>
      <c r="C35" s="85" t="s">
        <v>234</v>
      </c>
      <c r="D35" s="109" t="s">
        <v>186</v>
      </c>
      <c r="E35" s="15" t="s">
        <v>36</v>
      </c>
      <c r="F35" s="16"/>
      <c r="G35" s="12" t="s">
        <v>180</v>
      </c>
      <c r="H35" s="13"/>
      <c r="I35" s="13"/>
      <c r="J35" s="15">
        <v>1</v>
      </c>
      <c r="K35" s="15">
        <v>1</v>
      </c>
      <c r="L35" s="17"/>
      <c r="M35" s="17"/>
      <c r="N35" s="13"/>
      <c r="O35" s="17"/>
      <c r="P35" s="17"/>
      <c r="Q35" s="17"/>
      <c r="R35" s="17"/>
      <c r="S35" s="15"/>
      <c r="T35" s="25">
        <v>46069</v>
      </c>
      <c r="U35" s="13" t="s">
        <v>147</v>
      </c>
      <c r="X35" s="53" t="s">
        <v>108</v>
      </c>
      <c r="Y35" s="54">
        <f>COUNTIF(U33:U57,"J")</f>
        <v>1</v>
      </c>
      <c r="AA35" s="31" t="s">
        <v>49</v>
      </c>
      <c r="AB35" s="32">
        <f>L28+L178+L148+L118+L208+L238+L268+L298+L328+L358</f>
        <v>41</v>
      </c>
    </row>
    <row r="36" spans="1:29" x14ac:dyDescent="0.4">
      <c r="A36" s="153"/>
      <c r="B36" s="143"/>
      <c r="C36" s="85" t="s">
        <v>235</v>
      </c>
      <c r="D36" s="109" t="s">
        <v>181</v>
      </c>
      <c r="E36" s="15" t="s">
        <v>36</v>
      </c>
      <c r="F36" s="16"/>
      <c r="G36" s="12" t="s">
        <v>180</v>
      </c>
      <c r="H36" s="15"/>
      <c r="I36" s="13"/>
      <c r="J36" s="13"/>
      <c r="K36" s="15"/>
      <c r="L36" s="17"/>
      <c r="M36" s="17">
        <v>1</v>
      </c>
      <c r="N36" s="13">
        <v>1</v>
      </c>
      <c r="O36" s="17"/>
      <c r="P36" s="17"/>
      <c r="Q36" s="17">
        <v>1</v>
      </c>
      <c r="R36" s="17"/>
      <c r="S36" s="15"/>
      <c r="T36" s="25">
        <v>46064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14</v>
      </c>
    </row>
    <row r="37" spans="1:29" x14ac:dyDescent="0.4">
      <c r="A37" s="153"/>
      <c r="B37" s="143"/>
      <c r="C37" s="85" t="s">
        <v>236</v>
      </c>
      <c r="D37" s="109" t="s">
        <v>182</v>
      </c>
      <c r="E37" s="15" t="s">
        <v>44</v>
      </c>
      <c r="F37" s="16"/>
      <c r="G37" s="12" t="s">
        <v>180</v>
      </c>
      <c r="H37" s="15"/>
      <c r="I37" s="13"/>
      <c r="J37" s="15">
        <v>1</v>
      </c>
      <c r="K37" s="15">
        <v>1</v>
      </c>
      <c r="L37" s="17"/>
      <c r="M37" s="17"/>
      <c r="N37" s="13"/>
      <c r="O37" s="17"/>
      <c r="P37" s="17"/>
      <c r="Q37" s="17"/>
      <c r="R37" s="17"/>
      <c r="S37" s="15"/>
      <c r="T37" s="25">
        <v>46063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17</v>
      </c>
    </row>
    <row r="38" spans="1:29" x14ac:dyDescent="0.4">
      <c r="A38" s="153"/>
      <c r="B38" s="143"/>
      <c r="C38" s="85" t="s">
        <v>237</v>
      </c>
      <c r="D38" s="109" t="s">
        <v>199</v>
      </c>
      <c r="E38" s="15" t="s">
        <v>41</v>
      </c>
      <c r="F38" s="16"/>
      <c r="G38" s="12" t="s">
        <v>180</v>
      </c>
      <c r="H38" s="13"/>
      <c r="I38" s="13"/>
      <c r="J38" s="15"/>
      <c r="K38" s="15"/>
      <c r="L38" s="17"/>
      <c r="M38" s="17"/>
      <c r="N38" s="13"/>
      <c r="O38" s="17"/>
      <c r="P38" s="17"/>
      <c r="Q38" s="17"/>
      <c r="R38" s="17"/>
      <c r="S38" s="15"/>
      <c r="T38" s="25">
        <v>46097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12</v>
      </c>
    </row>
    <row r="39" spans="1:29" x14ac:dyDescent="0.4">
      <c r="A39" s="153"/>
      <c r="B39" s="143"/>
      <c r="C39" s="85" t="s">
        <v>238</v>
      </c>
      <c r="D39" s="109" t="s">
        <v>199</v>
      </c>
      <c r="E39" s="15" t="s">
        <v>41</v>
      </c>
      <c r="F39" s="16"/>
      <c r="G39" s="12" t="s">
        <v>180</v>
      </c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/>
      <c r="T39" s="25">
        <v>46097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53"/>
      <c r="B40" s="143"/>
      <c r="C40" s="85" t="s">
        <v>239</v>
      </c>
      <c r="D40" s="109" t="s">
        <v>181</v>
      </c>
      <c r="E40" s="15" t="s">
        <v>36</v>
      </c>
      <c r="F40" s="16"/>
      <c r="G40" s="12" t="s">
        <v>180</v>
      </c>
      <c r="H40" s="15"/>
      <c r="I40" s="13"/>
      <c r="J40" s="15"/>
      <c r="K40" s="15">
        <v>1</v>
      </c>
      <c r="L40" s="17"/>
      <c r="M40" s="17"/>
      <c r="N40" s="13">
        <v>1</v>
      </c>
      <c r="O40" s="17"/>
      <c r="P40" s="17"/>
      <c r="Q40" s="17">
        <v>1</v>
      </c>
      <c r="R40" s="17"/>
      <c r="S40" s="15"/>
      <c r="T40" s="25">
        <v>46068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17</v>
      </c>
    </row>
    <row r="41" spans="1:29" x14ac:dyDescent="0.4">
      <c r="A41" s="153"/>
      <c r="B41" s="143"/>
      <c r="C41" s="85" t="s">
        <v>240</v>
      </c>
      <c r="D41" s="109" t="s">
        <v>199</v>
      </c>
      <c r="E41" s="15" t="s">
        <v>57</v>
      </c>
      <c r="F41" s="16"/>
      <c r="G41" s="12" t="s">
        <v>180</v>
      </c>
      <c r="H41" s="15"/>
      <c r="I41" s="13"/>
      <c r="J41" s="15"/>
      <c r="K41" s="15"/>
      <c r="L41" s="17"/>
      <c r="M41" s="17"/>
      <c r="N41" s="13"/>
      <c r="O41" s="17"/>
      <c r="P41" s="17"/>
      <c r="Q41" s="17"/>
      <c r="R41" s="17"/>
      <c r="S41" s="15"/>
      <c r="T41" s="25">
        <v>46097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7</v>
      </c>
      <c r="AC41" t="s">
        <v>123</v>
      </c>
    </row>
    <row r="42" spans="1:29" ht="19.5" thickBot="1" x14ac:dyDescent="0.45">
      <c r="A42" s="153"/>
      <c r="B42" s="143"/>
      <c r="C42" s="85" t="s">
        <v>241</v>
      </c>
      <c r="D42" s="109" t="s">
        <v>199</v>
      </c>
      <c r="E42" s="15" t="s">
        <v>41</v>
      </c>
      <c r="F42" s="16"/>
      <c r="G42" s="12" t="s">
        <v>180</v>
      </c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>
        <v>46097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7</v>
      </c>
      <c r="AC42" s="73">
        <f>SUM(AB33:AB42)</f>
        <v>254</v>
      </c>
    </row>
    <row r="43" spans="1:29" ht="19.5" thickBot="1" x14ac:dyDescent="0.45">
      <c r="A43" s="153"/>
      <c r="B43" s="143"/>
      <c r="C43" s="85" t="s">
        <v>242</v>
      </c>
      <c r="D43" s="109" t="s">
        <v>186</v>
      </c>
      <c r="E43" s="15" t="s">
        <v>40</v>
      </c>
      <c r="F43" s="16"/>
      <c r="G43" s="12" t="s">
        <v>184</v>
      </c>
      <c r="H43" s="15"/>
      <c r="I43" s="15"/>
      <c r="J43" s="15"/>
      <c r="K43" s="15"/>
      <c r="L43" s="17"/>
      <c r="M43" s="17"/>
      <c r="N43" s="17"/>
      <c r="O43" s="17">
        <v>1</v>
      </c>
      <c r="P43" s="17">
        <v>1</v>
      </c>
      <c r="Q43" s="17"/>
      <c r="R43" s="17">
        <v>1</v>
      </c>
      <c r="S43" s="15"/>
      <c r="T43" s="25">
        <v>46056</v>
      </c>
      <c r="U43" s="13" t="s">
        <v>148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243</v>
      </c>
      <c r="D44" s="109" t="s">
        <v>202</v>
      </c>
      <c r="E44" s="15" t="s">
        <v>38</v>
      </c>
      <c r="F44" s="16"/>
      <c r="G44" s="12" t="s">
        <v>180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46061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53"/>
      <c r="B45" s="143"/>
      <c r="C45" s="85" t="s">
        <v>244</v>
      </c>
      <c r="D45" s="109" t="s">
        <v>202</v>
      </c>
      <c r="E45" s="15" t="s">
        <v>38</v>
      </c>
      <c r="F45" s="16"/>
      <c r="G45" s="12" t="s">
        <v>180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46061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3"/>
      <c r="B46" s="143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/>
      <c r="D47" s="109"/>
      <c r="E47" s="15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5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53"/>
      <c r="B49" s="143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164</v>
      </c>
    </row>
    <row r="50" spans="1:28" ht="19.5" thickBot="1" x14ac:dyDescent="0.45">
      <c r="A50" s="153"/>
      <c r="B50" s="143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1</v>
      </c>
    </row>
    <row r="51" spans="1:28" ht="19.5" thickBot="1" x14ac:dyDescent="0.45">
      <c r="A51" s="153"/>
      <c r="B51" s="143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13</v>
      </c>
      <c r="D58" s="112"/>
      <c r="E58" s="29"/>
      <c r="F58" s="29" t="s">
        <v>34</v>
      </c>
      <c r="G58" s="29">
        <f>COUNTIF(G33:G57,"S")</f>
        <v>12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4</v>
      </c>
      <c r="K58" s="29">
        <f t="shared" si="1"/>
        <v>5</v>
      </c>
      <c r="L58" s="29">
        <f t="shared" si="1"/>
        <v>0</v>
      </c>
      <c r="M58" s="29">
        <f t="shared" si="1"/>
        <v>1</v>
      </c>
      <c r="N58" s="29">
        <f t="shared" si="1"/>
        <v>2</v>
      </c>
      <c r="O58" s="29">
        <f t="shared" si="1"/>
        <v>1</v>
      </c>
      <c r="P58" s="29">
        <f t="shared" si="1"/>
        <v>1</v>
      </c>
      <c r="Q58" s="29">
        <f t="shared" si="1"/>
        <v>2</v>
      </c>
      <c r="R58" s="29">
        <f t="shared" si="1"/>
        <v>1</v>
      </c>
      <c r="S58" s="29">
        <f t="shared" si="1"/>
        <v>0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1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17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AYG131</v>
      </c>
      <c r="B61" s="24">
        <f>B1</f>
        <v>46044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23.6</v>
      </c>
      <c r="C63" s="85" t="s">
        <v>245</v>
      </c>
      <c r="D63" s="109" t="s">
        <v>246</v>
      </c>
      <c r="E63" s="15" t="s">
        <v>37</v>
      </c>
      <c r="F63" s="16"/>
      <c r="G63" s="12" t="s">
        <v>180</v>
      </c>
      <c r="H63" s="15"/>
      <c r="I63" s="13"/>
      <c r="J63" s="15"/>
      <c r="K63" s="15"/>
      <c r="L63" s="17"/>
      <c r="M63" s="17">
        <v>1</v>
      </c>
      <c r="N63" s="13">
        <v>1</v>
      </c>
      <c r="O63" s="17"/>
      <c r="P63" s="17"/>
      <c r="Q63" s="17"/>
      <c r="R63" s="17"/>
      <c r="S63" s="15"/>
      <c r="T63" s="25">
        <v>46099</v>
      </c>
      <c r="U63" s="13" t="s">
        <v>147</v>
      </c>
      <c r="V63">
        <v>1</v>
      </c>
      <c r="X63" s="51" t="s">
        <v>106</v>
      </c>
      <c r="Y63" s="52">
        <f>COUNTIF(U63:U87,"K")</f>
        <v>3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247</v>
      </c>
      <c r="D64" s="109" t="s">
        <v>246</v>
      </c>
      <c r="E64" s="15" t="s">
        <v>37</v>
      </c>
      <c r="F64" s="16"/>
      <c r="G64" s="12" t="s">
        <v>180</v>
      </c>
      <c r="H64" s="15"/>
      <c r="I64" s="13"/>
      <c r="J64" s="15"/>
      <c r="K64" s="15"/>
      <c r="L64" s="17"/>
      <c r="M64" s="17">
        <v>1</v>
      </c>
      <c r="N64" s="13">
        <v>1</v>
      </c>
      <c r="O64" s="17"/>
      <c r="P64" s="17"/>
      <c r="Q64" s="17">
        <v>1</v>
      </c>
      <c r="R64" s="17"/>
      <c r="S64" s="15"/>
      <c r="T64" s="25">
        <v>46089</v>
      </c>
      <c r="U64" s="13" t="s">
        <v>147</v>
      </c>
      <c r="V64">
        <v>2</v>
      </c>
      <c r="X64" s="51" t="s">
        <v>107</v>
      </c>
      <c r="Y64" s="52">
        <f>COUNTIF(U63:U87,"R")</f>
        <v>12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248</v>
      </c>
      <c r="D65" s="109" t="s">
        <v>246</v>
      </c>
      <c r="E65" s="15" t="s">
        <v>37</v>
      </c>
      <c r="F65" s="16"/>
      <c r="G65" s="12" t="s">
        <v>180</v>
      </c>
      <c r="H65" s="15"/>
      <c r="I65" s="13"/>
      <c r="J65" s="15"/>
      <c r="K65" s="15"/>
      <c r="L65" s="17"/>
      <c r="M65" s="17">
        <v>1</v>
      </c>
      <c r="N65" s="13">
        <v>1</v>
      </c>
      <c r="O65" s="17"/>
      <c r="P65" s="17"/>
      <c r="Q65" s="17">
        <v>1</v>
      </c>
      <c r="R65" s="17"/>
      <c r="S65" s="15"/>
      <c r="T65" s="25">
        <v>46089</v>
      </c>
      <c r="U65" s="13" t="s">
        <v>249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250</v>
      </c>
      <c r="D66" s="109" t="s">
        <v>181</v>
      </c>
      <c r="E66" s="15" t="s">
        <v>36</v>
      </c>
      <c r="F66" s="16"/>
      <c r="G66" s="12" t="s">
        <v>180</v>
      </c>
      <c r="H66" s="15"/>
      <c r="I66" s="15"/>
      <c r="J66" s="15"/>
      <c r="K66" s="15"/>
      <c r="L66" s="17"/>
      <c r="M66" s="17">
        <v>1</v>
      </c>
      <c r="N66" s="17">
        <v>1</v>
      </c>
      <c r="O66" s="17"/>
      <c r="P66" s="17"/>
      <c r="Q66" s="17">
        <v>1</v>
      </c>
      <c r="R66" s="17"/>
      <c r="S66" s="15"/>
      <c r="T66" s="25">
        <v>46067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251</v>
      </c>
      <c r="D67" s="109" t="s">
        <v>188</v>
      </c>
      <c r="E67" s="15" t="s">
        <v>36</v>
      </c>
      <c r="F67" s="16"/>
      <c r="G67" s="12" t="s">
        <v>180</v>
      </c>
      <c r="H67" s="15"/>
      <c r="I67" s="15"/>
      <c r="J67" s="15">
        <v>1</v>
      </c>
      <c r="K67" s="15"/>
      <c r="L67" s="17"/>
      <c r="M67" s="17"/>
      <c r="N67" s="17"/>
      <c r="O67" s="17"/>
      <c r="P67" s="17"/>
      <c r="Q67" s="17"/>
      <c r="R67" s="17"/>
      <c r="S67" s="15"/>
      <c r="T67" s="25">
        <v>46079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252</v>
      </c>
      <c r="D68" s="109" t="s">
        <v>188</v>
      </c>
      <c r="E68" s="15" t="s">
        <v>58</v>
      </c>
      <c r="F68" s="16"/>
      <c r="G68" s="12" t="s">
        <v>180</v>
      </c>
      <c r="H68" s="15"/>
      <c r="I68" s="15"/>
      <c r="J68" s="15"/>
      <c r="K68" s="15"/>
      <c r="L68" s="17"/>
      <c r="M68" s="17"/>
      <c r="N68" s="17"/>
      <c r="O68" s="17"/>
      <c r="P68" s="17"/>
      <c r="Q68" s="17"/>
      <c r="R68" s="17"/>
      <c r="S68" s="15">
        <v>1</v>
      </c>
      <c r="T68" s="25">
        <v>46071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253</v>
      </c>
      <c r="D69" s="109" t="s">
        <v>200</v>
      </c>
      <c r="E69" s="15" t="s">
        <v>75</v>
      </c>
      <c r="F69" s="16"/>
      <c r="G69" s="12" t="s">
        <v>180</v>
      </c>
      <c r="H69" s="15"/>
      <c r="I69" s="15"/>
      <c r="J69" s="15"/>
      <c r="K69" s="15"/>
      <c r="L69" s="17"/>
      <c r="M69" s="17"/>
      <c r="N69" s="17"/>
      <c r="O69" s="17"/>
      <c r="P69" s="17"/>
      <c r="Q69" s="17"/>
      <c r="R69" s="17"/>
      <c r="S69" s="15"/>
      <c r="T69" s="25">
        <v>46070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254</v>
      </c>
      <c r="D70" s="109" t="s">
        <v>246</v>
      </c>
      <c r="E70" s="15" t="s">
        <v>37</v>
      </c>
      <c r="F70" s="16"/>
      <c r="G70" s="12" t="s">
        <v>180</v>
      </c>
      <c r="H70" s="15"/>
      <c r="I70" s="15"/>
      <c r="J70" s="15"/>
      <c r="K70" s="15"/>
      <c r="L70" s="17"/>
      <c r="M70" s="17">
        <v>1</v>
      </c>
      <c r="N70" s="17">
        <v>1</v>
      </c>
      <c r="O70" s="17"/>
      <c r="P70" s="17"/>
      <c r="Q70" s="17">
        <v>1</v>
      </c>
      <c r="R70" s="17"/>
      <c r="S70" s="15"/>
      <c r="T70" s="25">
        <v>46099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255</v>
      </c>
      <c r="D71" s="109" t="s">
        <v>246</v>
      </c>
      <c r="E71" s="15" t="s">
        <v>36</v>
      </c>
      <c r="F71" s="16"/>
      <c r="G71" s="12" t="s">
        <v>180</v>
      </c>
      <c r="H71" s="15"/>
      <c r="I71" s="15"/>
      <c r="J71" s="15">
        <v>1</v>
      </c>
      <c r="K71" s="15">
        <v>1</v>
      </c>
      <c r="L71" s="17"/>
      <c r="M71" s="17"/>
      <c r="N71" s="17"/>
      <c r="O71" s="17"/>
      <c r="P71" s="17"/>
      <c r="Q71" s="17"/>
      <c r="R71" s="17"/>
      <c r="S71" s="15"/>
      <c r="T71" s="25">
        <v>46089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257</v>
      </c>
      <c r="D72" s="109" t="s">
        <v>256</v>
      </c>
      <c r="E72" s="18" t="s">
        <v>58</v>
      </c>
      <c r="F72" s="16"/>
      <c r="G72" s="12" t="s">
        <v>180</v>
      </c>
      <c r="H72" s="15"/>
      <c r="I72" s="15"/>
      <c r="J72" s="18"/>
      <c r="K72" s="15"/>
      <c r="L72" s="19"/>
      <c r="M72" s="19"/>
      <c r="N72" s="19"/>
      <c r="O72" s="19"/>
      <c r="P72" s="19"/>
      <c r="Q72" s="19"/>
      <c r="R72" s="19"/>
      <c r="S72" s="15"/>
      <c r="T72" s="25">
        <v>46075</v>
      </c>
      <c r="U72" s="15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 t="s">
        <v>258</v>
      </c>
      <c r="D73" s="109" t="s">
        <v>202</v>
      </c>
      <c r="E73" s="18" t="s">
        <v>74</v>
      </c>
      <c r="F73" s="16"/>
      <c r="G73" s="12" t="s">
        <v>180</v>
      </c>
      <c r="H73" s="15"/>
      <c r="I73" s="15"/>
      <c r="J73" s="18"/>
      <c r="K73" s="15"/>
      <c r="L73" s="19"/>
      <c r="M73" s="19">
        <v>1</v>
      </c>
      <c r="N73" s="19"/>
      <c r="O73" s="19"/>
      <c r="P73" s="19"/>
      <c r="Q73" s="19"/>
      <c r="R73" s="19"/>
      <c r="S73" s="15"/>
      <c r="T73" s="25">
        <v>46069</v>
      </c>
      <c r="U73" s="15" t="s">
        <v>147</v>
      </c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 t="s">
        <v>259</v>
      </c>
      <c r="D74" s="109" t="s">
        <v>181</v>
      </c>
      <c r="E74" s="18" t="s">
        <v>40</v>
      </c>
      <c r="F74" s="16"/>
      <c r="G74" s="12" t="s">
        <v>180</v>
      </c>
      <c r="H74" s="15"/>
      <c r="I74" s="15"/>
      <c r="J74" s="18"/>
      <c r="K74" s="15"/>
      <c r="L74" s="19"/>
      <c r="M74" s="19"/>
      <c r="N74" s="19"/>
      <c r="O74" s="19">
        <v>1</v>
      </c>
      <c r="P74" s="19">
        <v>1</v>
      </c>
      <c r="Q74" s="19">
        <v>1</v>
      </c>
      <c r="R74" s="19">
        <v>1</v>
      </c>
      <c r="S74" s="15"/>
      <c r="T74" s="26">
        <v>46081</v>
      </c>
      <c r="U74" s="15" t="s">
        <v>148</v>
      </c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 t="s">
        <v>260</v>
      </c>
      <c r="D75" s="109" t="s">
        <v>182</v>
      </c>
      <c r="E75" s="18" t="s">
        <v>75</v>
      </c>
      <c r="F75" s="16"/>
      <c r="G75" s="12" t="s">
        <v>180</v>
      </c>
      <c r="H75" s="15"/>
      <c r="I75" s="15"/>
      <c r="J75" s="18"/>
      <c r="K75" s="15"/>
      <c r="L75" s="19"/>
      <c r="M75" s="19"/>
      <c r="N75" s="19"/>
      <c r="O75" s="19"/>
      <c r="P75" s="19"/>
      <c r="Q75" s="19"/>
      <c r="R75" s="19"/>
      <c r="S75" s="15"/>
      <c r="T75" s="26">
        <v>46070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6" t="s">
        <v>261</v>
      </c>
      <c r="D76" s="109" t="s">
        <v>246</v>
      </c>
      <c r="E76" s="18" t="s">
        <v>37</v>
      </c>
      <c r="F76" s="16"/>
      <c r="G76" s="12" t="s">
        <v>180</v>
      </c>
      <c r="H76" s="15"/>
      <c r="I76" s="15"/>
      <c r="J76" s="18"/>
      <c r="K76" s="15"/>
      <c r="L76" s="19"/>
      <c r="M76" s="19">
        <v>1</v>
      </c>
      <c r="N76" s="19">
        <v>1</v>
      </c>
      <c r="O76" s="19"/>
      <c r="P76" s="19"/>
      <c r="Q76" s="19"/>
      <c r="R76" s="19"/>
      <c r="S76" s="15"/>
      <c r="T76" s="26">
        <v>46099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6" t="s">
        <v>262</v>
      </c>
      <c r="D77" s="110" t="s">
        <v>188</v>
      </c>
      <c r="E77" s="18" t="s">
        <v>58</v>
      </c>
      <c r="F77" s="16"/>
      <c r="G77" s="18" t="s">
        <v>180</v>
      </c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>
        <v>1</v>
      </c>
      <c r="T77" s="26">
        <v>46079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6" t="s">
        <v>263</v>
      </c>
      <c r="D78" s="106" t="s">
        <v>181</v>
      </c>
      <c r="E78" s="15" t="s">
        <v>37</v>
      </c>
      <c r="F78" s="16"/>
      <c r="G78" s="15" t="s">
        <v>180</v>
      </c>
      <c r="H78" s="15"/>
      <c r="I78" s="15"/>
      <c r="J78" s="15"/>
      <c r="K78" s="15"/>
      <c r="L78" s="17"/>
      <c r="M78" s="17">
        <v>1</v>
      </c>
      <c r="N78" s="17">
        <v>1</v>
      </c>
      <c r="O78" s="17"/>
      <c r="P78" s="17"/>
      <c r="Q78" s="17">
        <v>1</v>
      </c>
      <c r="R78" s="17"/>
      <c r="S78" s="15"/>
      <c r="T78" s="26">
        <v>46055</v>
      </c>
      <c r="U78" s="15" t="s">
        <v>147</v>
      </c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16</v>
      </c>
      <c r="D88" s="112"/>
      <c r="E88" s="29"/>
      <c r="F88" s="29" t="s">
        <v>34</v>
      </c>
      <c r="G88" s="29">
        <f>COUNTIF(G63:G87,"S")</f>
        <v>16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1</v>
      </c>
      <c r="L88" s="29">
        <f t="shared" si="2"/>
        <v>0</v>
      </c>
      <c r="M88" s="29">
        <f t="shared" si="2"/>
        <v>8</v>
      </c>
      <c r="N88" s="29">
        <f t="shared" si="2"/>
        <v>7</v>
      </c>
      <c r="O88" s="29">
        <f t="shared" si="2"/>
        <v>1</v>
      </c>
      <c r="P88" s="29">
        <f t="shared" si="2"/>
        <v>1</v>
      </c>
      <c r="Q88" s="29">
        <f t="shared" si="2"/>
        <v>6</v>
      </c>
      <c r="R88" s="29">
        <f t="shared" si="2"/>
        <v>1</v>
      </c>
      <c r="S88" s="29">
        <f t="shared" si="2"/>
        <v>2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27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AYG131</v>
      </c>
      <c r="B91" s="24">
        <f>B1</f>
        <v>46044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21.2</v>
      </c>
      <c r="C93" s="85" t="s">
        <v>264</v>
      </c>
      <c r="D93" s="109" t="s">
        <v>181</v>
      </c>
      <c r="E93" s="15" t="s">
        <v>75</v>
      </c>
      <c r="F93" s="14"/>
      <c r="G93" s="12" t="s">
        <v>180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25">
        <v>46067</v>
      </c>
      <c r="U93" s="13" t="s">
        <v>147</v>
      </c>
      <c r="V93">
        <v>1</v>
      </c>
      <c r="X93" s="51" t="s">
        <v>106</v>
      </c>
      <c r="Y93" s="52">
        <f>COUNTIF(U93:U117,"K")</f>
        <v>7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265</v>
      </c>
      <c r="D94" s="109" t="s">
        <v>181</v>
      </c>
      <c r="E94" s="15" t="s">
        <v>36</v>
      </c>
      <c r="F94" s="16"/>
      <c r="G94" s="12" t="s">
        <v>180</v>
      </c>
      <c r="H94" s="15"/>
      <c r="I94" s="15"/>
      <c r="J94" s="13"/>
      <c r="K94" s="15"/>
      <c r="L94" s="13"/>
      <c r="M94" s="17">
        <v>1</v>
      </c>
      <c r="N94" s="17">
        <v>1</v>
      </c>
      <c r="O94" s="17"/>
      <c r="P94" s="17"/>
      <c r="Q94" s="17"/>
      <c r="R94" s="17"/>
      <c r="S94" s="15"/>
      <c r="T94" s="25">
        <v>46061</v>
      </c>
      <c r="U94" s="13" t="s">
        <v>147</v>
      </c>
      <c r="V94">
        <v>2</v>
      </c>
      <c r="X94" s="51" t="s">
        <v>107</v>
      </c>
      <c r="Y94" s="52">
        <f>COUNTIF(U93:U117,"R")</f>
        <v>6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266</v>
      </c>
      <c r="D95" s="109" t="s">
        <v>182</v>
      </c>
      <c r="E95" s="15" t="s">
        <v>58</v>
      </c>
      <c r="F95" s="16"/>
      <c r="G95" s="12" t="s">
        <v>180</v>
      </c>
      <c r="H95" s="15"/>
      <c r="I95" s="15"/>
      <c r="J95" s="13"/>
      <c r="K95" s="15"/>
      <c r="L95" s="13"/>
      <c r="M95" s="17"/>
      <c r="N95" s="17"/>
      <c r="O95" s="17"/>
      <c r="P95" s="17"/>
      <c r="Q95" s="17"/>
      <c r="R95" s="17"/>
      <c r="S95" s="15">
        <v>1</v>
      </c>
      <c r="T95" s="25">
        <v>46063</v>
      </c>
      <c r="U95" s="13" t="s">
        <v>146</v>
      </c>
      <c r="V95">
        <v>3</v>
      </c>
      <c r="X95" s="53" t="s">
        <v>108</v>
      </c>
      <c r="Y95" s="54">
        <f>COUNTIF(U93:U117,"J")</f>
        <v>2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267</v>
      </c>
      <c r="D96" s="109" t="s">
        <v>189</v>
      </c>
      <c r="E96" s="15" t="s">
        <v>37</v>
      </c>
      <c r="F96" s="16"/>
      <c r="G96" s="12" t="s">
        <v>180</v>
      </c>
      <c r="H96" s="15"/>
      <c r="I96" s="15"/>
      <c r="J96" s="13"/>
      <c r="K96" s="15"/>
      <c r="L96" s="13"/>
      <c r="M96" s="17">
        <v>1</v>
      </c>
      <c r="N96" s="17"/>
      <c r="O96" s="17"/>
      <c r="P96" s="17"/>
      <c r="Q96" s="17">
        <v>1</v>
      </c>
      <c r="R96" s="17"/>
      <c r="S96" s="15"/>
      <c r="T96" s="25">
        <v>46079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268</v>
      </c>
      <c r="D97" s="109" t="s">
        <v>189</v>
      </c>
      <c r="E97" s="15" t="s">
        <v>37</v>
      </c>
      <c r="F97" s="16"/>
      <c r="G97" s="12" t="s">
        <v>180</v>
      </c>
      <c r="H97" s="15"/>
      <c r="I97" s="15"/>
      <c r="J97" s="13">
        <v>1</v>
      </c>
      <c r="K97" s="15">
        <v>1</v>
      </c>
      <c r="L97" s="13"/>
      <c r="M97" s="17"/>
      <c r="N97" s="17"/>
      <c r="O97" s="17"/>
      <c r="P97" s="17"/>
      <c r="Q97" s="17"/>
      <c r="R97" s="17"/>
      <c r="S97" s="15"/>
      <c r="T97" s="25">
        <v>46079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269</v>
      </c>
      <c r="D98" s="109" t="s">
        <v>205</v>
      </c>
      <c r="E98" s="15" t="s">
        <v>75</v>
      </c>
      <c r="F98" s="16"/>
      <c r="G98" s="12" t="s">
        <v>180</v>
      </c>
      <c r="H98" s="13"/>
      <c r="I98" s="15"/>
      <c r="J98" s="13"/>
      <c r="K98" s="15"/>
      <c r="L98" s="13"/>
      <c r="M98" s="17"/>
      <c r="N98" s="17"/>
      <c r="O98" s="17"/>
      <c r="P98" s="17"/>
      <c r="Q98" s="17"/>
      <c r="R98" s="17"/>
      <c r="S98" s="15"/>
      <c r="T98" s="25">
        <v>46070</v>
      </c>
      <c r="U98" s="13" t="s">
        <v>147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270</v>
      </c>
      <c r="D99" s="109" t="s">
        <v>271</v>
      </c>
      <c r="E99" s="15" t="s">
        <v>37</v>
      </c>
      <c r="F99" s="16"/>
      <c r="G99" s="12" t="s">
        <v>180</v>
      </c>
      <c r="H99" s="15"/>
      <c r="I99" s="15"/>
      <c r="J99" s="13">
        <v>1</v>
      </c>
      <c r="K99" s="15">
        <v>1</v>
      </c>
      <c r="L99" s="13"/>
      <c r="M99" s="17"/>
      <c r="N99" s="17"/>
      <c r="O99" s="17"/>
      <c r="P99" s="17"/>
      <c r="Q99" s="17"/>
      <c r="R99" s="17"/>
      <c r="S99" s="15"/>
      <c r="T99" s="25">
        <v>46068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272</v>
      </c>
      <c r="D100" s="109" t="s">
        <v>271</v>
      </c>
      <c r="E100" s="15" t="s">
        <v>75</v>
      </c>
      <c r="F100" s="16"/>
      <c r="G100" s="12" t="s">
        <v>180</v>
      </c>
      <c r="H100" s="15"/>
      <c r="I100" s="15"/>
      <c r="J100" s="13"/>
      <c r="K100" s="15"/>
      <c r="L100" s="13"/>
      <c r="M100" s="17"/>
      <c r="N100" s="17"/>
      <c r="O100" s="17"/>
      <c r="P100" s="17"/>
      <c r="Q100" s="17"/>
      <c r="R100" s="17"/>
      <c r="S100" s="15">
        <v>1</v>
      </c>
      <c r="T100" s="25">
        <v>46068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273</v>
      </c>
      <c r="D101" s="109" t="s">
        <v>181</v>
      </c>
      <c r="E101" s="15" t="s">
        <v>38</v>
      </c>
      <c r="F101" s="16"/>
      <c r="G101" s="12" t="s">
        <v>180</v>
      </c>
      <c r="H101" s="15"/>
      <c r="I101" s="15"/>
      <c r="J101" s="13">
        <v>1</v>
      </c>
      <c r="K101" s="15">
        <v>1</v>
      </c>
      <c r="L101" s="13"/>
      <c r="M101" s="17"/>
      <c r="N101" s="17"/>
      <c r="O101" s="17"/>
      <c r="P101" s="17"/>
      <c r="Q101" s="17"/>
      <c r="R101" s="17"/>
      <c r="S101" s="15"/>
      <c r="T101" s="25">
        <v>46060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274</v>
      </c>
      <c r="D102" s="109" t="s">
        <v>181</v>
      </c>
      <c r="E102" s="15" t="s">
        <v>38</v>
      </c>
      <c r="F102" s="16"/>
      <c r="G102" s="12" t="s">
        <v>180</v>
      </c>
      <c r="H102" s="15"/>
      <c r="I102" s="15"/>
      <c r="J102" s="13">
        <v>1</v>
      </c>
      <c r="K102" s="15">
        <v>1</v>
      </c>
      <c r="L102" s="13"/>
      <c r="M102" s="17"/>
      <c r="N102" s="17"/>
      <c r="O102" s="17"/>
      <c r="P102" s="17"/>
      <c r="Q102" s="17"/>
      <c r="R102" s="17"/>
      <c r="S102" s="15"/>
      <c r="T102" s="25">
        <v>46060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275</v>
      </c>
      <c r="D103" s="109" t="s">
        <v>181</v>
      </c>
      <c r="E103" s="15" t="s">
        <v>40</v>
      </c>
      <c r="F103" s="16"/>
      <c r="G103" s="12" t="s">
        <v>180</v>
      </c>
      <c r="H103" s="15"/>
      <c r="I103" s="15"/>
      <c r="J103" s="13"/>
      <c r="K103" s="15"/>
      <c r="L103" s="13"/>
      <c r="M103" s="17"/>
      <c r="N103" s="17"/>
      <c r="O103" s="17">
        <v>1</v>
      </c>
      <c r="P103" s="17">
        <v>1</v>
      </c>
      <c r="Q103" s="17"/>
      <c r="R103" s="17"/>
      <c r="S103" s="15"/>
      <c r="T103" s="25">
        <v>46076</v>
      </c>
      <c r="U103" s="13" t="s">
        <v>148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276</v>
      </c>
      <c r="D104" s="109" t="s">
        <v>181</v>
      </c>
      <c r="E104" s="15" t="s">
        <v>40</v>
      </c>
      <c r="F104" s="16"/>
      <c r="G104" s="12" t="s">
        <v>180</v>
      </c>
      <c r="H104" s="15"/>
      <c r="I104" s="15"/>
      <c r="J104" s="13"/>
      <c r="K104" s="15"/>
      <c r="L104" s="13"/>
      <c r="M104" s="17"/>
      <c r="N104" s="17"/>
      <c r="O104" s="17">
        <v>1</v>
      </c>
      <c r="P104" s="17">
        <v>1</v>
      </c>
      <c r="Q104" s="17">
        <v>1</v>
      </c>
      <c r="R104" s="17"/>
      <c r="S104" s="15"/>
      <c r="T104" s="25">
        <v>46076</v>
      </c>
      <c r="U104" s="13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 t="s">
        <v>277</v>
      </c>
      <c r="D105" s="109" t="s">
        <v>278</v>
      </c>
      <c r="E105" s="15" t="s">
        <v>74</v>
      </c>
      <c r="F105" s="16"/>
      <c r="G105" s="12" t="s">
        <v>180</v>
      </c>
      <c r="H105" s="15"/>
      <c r="I105" s="15"/>
      <c r="J105" s="15">
        <v>1</v>
      </c>
      <c r="K105" s="15">
        <v>1</v>
      </c>
      <c r="L105" s="17"/>
      <c r="M105" s="17"/>
      <c r="N105" s="17"/>
      <c r="O105" s="17"/>
      <c r="P105" s="17"/>
      <c r="Q105" s="17"/>
      <c r="R105" s="17"/>
      <c r="S105" s="15"/>
      <c r="T105" s="25">
        <v>46061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 t="s">
        <v>279</v>
      </c>
      <c r="D106" s="109" t="s">
        <v>201</v>
      </c>
      <c r="E106" s="15" t="s">
        <v>44</v>
      </c>
      <c r="F106" s="16"/>
      <c r="G106" s="12" t="s">
        <v>180</v>
      </c>
      <c r="H106" s="15"/>
      <c r="I106" s="15"/>
      <c r="J106" s="15">
        <v>1</v>
      </c>
      <c r="K106" s="15">
        <v>1</v>
      </c>
      <c r="L106" s="17"/>
      <c r="M106" s="17"/>
      <c r="N106" s="17"/>
      <c r="O106" s="17"/>
      <c r="P106" s="17"/>
      <c r="Q106" s="17"/>
      <c r="R106" s="17"/>
      <c r="S106" s="15"/>
      <c r="T106" s="25">
        <v>46077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 t="s">
        <v>280</v>
      </c>
      <c r="D107" s="109" t="s">
        <v>199</v>
      </c>
      <c r="E107" s="15" t="s">
        <v>41</v>
      </c>
      <c r="F107" s="16"/>
      <c r="G107" s="15" t="s">
        <v>180</v>
      </c>
      <c r="H107" s="15"/>
      <c r="I107" s="15"/>
      <c r="J107" s="15"/>
      <c r="K107" s="15"/>
      <c r="L107" s="17"/>
      <c r="M107" s="17"/>
      <c r="N107" s="17">
        <v>1</v>
      </c>
      <c r="O107" s="17"/>
      <c r="P107" s="17"/>
      <c r="Q107" s="17"/>
      <c r="R107" s="17"/>
      <c r="S107" s="15"/>
      <c r="T107" s="25">
        <v>46081</v>
      </c>
      <c r="U107" s="15" t="s">
        <v>147</v>
      </c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6</v>
      </c>
      <c r="K118" s="29">
        <f t="shared" ref="K118" si="4">SUM(K93:K117)</f>
        <v>6</v>
      </c>
      <c r="L118" s="29">
        <f t="shared" ref="L118" si="5">SUM(L93:L117)</f>
        <v>0</v>
      </c>
      <c r="M118" s="29">
        <f t="shared" ref="M118" si="6">SUM(M93:M117)</f>
        <v>2</v>
      </c>
      <c r="N118" s="29">
        <f t="shared" ref="N118" si="7">SUM(N93:N117)</f>
        <v>2</v>
      </c>
      <c r="O118" s="29">
        <f t="shared" ref="O118" si="8">SUM(O93:O117)</f>
        <v>2</v>
      </c>
      <c r="P118" s="29">
        <f t="shared" ref="P118" si="9">SUM(P93:P117)</f>
        <v>2</v>
      </c>
      <c r="Q118" s="29">
        <f t="shared" ref="Q118" si="10">SUM(Q93:Q117)</f>
        <v>2</v>
      </c>
      <c r="R118" s="29">
        <f t="shared" ref="R118" si="11">SUM(R93:R117)</f>
        <v>0</v>
      </c>
      <c r="S118" s="29">
        <f t="shared" ref="S118" si="12">SUM(S93:S117)</f>
        <v>2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24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AYG131</v>
      </c>
      <c r="B121" s="24">
        <f>B1</f>
        <v>46044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22.4</v>
      </c>
      <c r="C123" s="85" t="s">
        <v>281</v>
      </c>
      <c r="D123" s="109" t="s">
        <v>282</v>
      </c>
      <c r="E123" s="15" t="s">
        <v>38</v>
      </c>
      <c r="F123" s="14"/>
      <c r="G123" s="12" t="s">
        <v>180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46061</v>
      </c>
      <c r="U123" s="13" t="s">
        <v>146</v>
      </c>
      <c r="V123">
        <v>1</v>
      </c>
      <c r="X123" s="51" t="s">
        <v>106</v>
      </c>
      <c r="Y123" s="52">
        <f>COUNTIF(U123:U147,"K")</f>
        <v>11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283</v>
      </c>
      <c r="D124" s="109" t="s">
        <v>186</v>
      </c>
      <c r="E124" s="15" t="s">
        <v>58</v>
      </c>
      <c r="F124" s="16"/>
      <c r="G124" s="12" t="s">
        <v>180</v>
      </c>
      <c r="H124" s="15"/>
      <c r="I124" s="15"/>
      <c r="J124" s="15"/>
      <c r="K124" s="15"/>
      <c r="L124" s="17"/>
      <c r="M124" s="17"/>
      <c r="N124" s="17"/>
      <c r="O124" s="17"/>
      <c r="P124" s="17"/>
      <c r="Q124" s="17"/>
      <c r="R124" s="17"/>
      <c r="S124" s="15">
        <v>1</v>
      </c>
      <c r="T124" s="25">
        <v>46069</v>
      </c>
      <c r="U124" s="13" t="s">
        <v>146</v>
      </c>
      <c r="V124">
        <v>2</v>
      </c>
      <c r="X124" s="51" t="s">
        <v>107</v>
      </c>
      <c r="Y124" s="52">
        <f>COUNTIF(U123:U147,"R")</f>
        <v>1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284</v>
      </c>
      <c r="D125" s="109" t="s">
        <v>202</v>
      </c>
      <c r="E125" s="15" t="s">
        <v>38</v>
      </c>
      <c r="F125" s="16"/>
      <c r="G125" s="12" t="s">
        <v>180</v>
      </c>
      <c r="H125" s="15"/>
      <c r="I125" s="15"/>
      <c r="J125" s="13">
        <v>1</v>
      </c>
      <c r="K125" s="13">
        <v>1</v>
      </c>
      <c r="L125" s="13"/>
      <c r="M125" s="17"/>
      <c r="N125" s="17"/>
      <c r="O125" s="17"/>
      <c r="P125" s="17"/>
      <c r="Q125" s="17"/>
      <c r="R125" s="17"/>
      <c r="S125" s="15"/>
      <c r="T125" s="25">
        <v>46063</v>
      </c>
      <c r="U125" s="13" t="s">
        <v>146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285</v>
      </c>
      <c r="D126" s="109" t="s">
        <v>202</v>
      </c>
      <c r="E126" s="15" t="s">
        <v>38</v>
      </c>
      <c r="F126" s="16"/>
      <c r="G126" s="12" t="s">
        <v>180</v>
      </c>
      <c r="H126" s="15"/>
      <c r="I126" s="15"/>
      <c r="J126" s="15"/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46063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286</v>
      </c>
      <c r="D127" s="109" t="s">
        <v>222</v>
      </c>
      <c r="E127" s="15" t="s">
        <v>39</v>
      </c>
      <c r="F127" s="16"/>
      <c r="G127" s="12" t="s">
        <v>180</v>
      </c>
      <c r="H127" s="15"/>
      <c r="I127" s="15"/>
      <c r="J127" s="13">
        <v>1</v>
      </c>
      <c r="K127" s="13">
        <v>1</v>
      </c>
      <c r="L127" s="13"/>
      <c r="M127" s="17"/>
      <c r="N127" s="17"/>
      <c r="O127" s="17"/>
      <c r="P127" s="17"/>
      <c r="Q127" s="17"/>
      <c r="R127" s="17"/>
      <c r="S127" s="15"/>
      <c r="T127" s="25">
        <v>46067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287</v>
      </c>
      <c r="D128" s="109" t="s">
        <v>222</v>
      </c>
      <c r="E128" s="15" t="s">
        <v>39</v>
      </c>
      <c r="F128" s="16"/>
      <c r="G128" s="12" t="s">
        <v>180</v>
      </c>
      <c r="H128" s="13"/>
      <c r="I128" s="15"/>
      <c r="J128" s="15">
        <v>1</v>
      </c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46067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288</v>
      </c>
      <c r="D129" s="109" t="s">
        <v>222</v>
      </c>
      <c r="E129" s="15" t="s">
        <v>39</v>
      </c>
      <c r="F129" s="16"/>
      <c r="G129" s="12" t="s">
        <v>180</v>
      </c>
      <c r="H129" s="15"/>
      <c r="I129" s="15"/>
      <c r="J129" s="13">
        <v>1</v>
      </c>
      <c r="K129" s="13">
        <v>1</v>
      </c>
      <c r="L129" s="13"/>
      <c r="M129" s="17"/>
      <c r="N129" s="17"/>
      <c r="O129" s="17"/>
      <c r="P129" s="17"/>
      <c r="Q129" s="17"/>
      <c r="R129" s="17"/>
      <c r="S129" s="15"/>
      <c r="T129" s="25">
        <v>46067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289</v>
      </c>
      <c r="D130" s="109" t="s">
        <v>222</v>
      </c>
      <c r="E130" s="15" t="s">
        <v>39</v>
      </c>
      <c r="F130" s="16"/>
      <c r="G130" s="12" t="s">
        <v>180</v>
      </c>
      <c r="H130" s="15"/>
      <c r="I130" s="15"/>
      <c r="J130" s="15">
        <v>1</v>
      </c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46067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290</v>
      </c>
      <c r="D131" s="109" t="s">
        <v>222</v>
      </c>
      <c r="E131" s="15" t="s">
        <v>133</v>
      </c>
      <c r="F131" s="16"/>
      <c r="G131" s="12" t="s">
        <v>180</v>
      </c>
      <c r="H131" s="15"/>
      <c r="I131" s="15"/>
      <c r="J131" s="13"/>
      <c r="K131" s="13"/>
      <c r="L131" s="13"/>
      <c r="M131" s="17"/>
      <c r="N131" s="17">
        <v>1</v>
      </c>
      <c r="O131" s="17">
        <v>1</v>
      </c>
      <c r="P131" s="17">
        <v>1</v>
      </c>
      <c r="Q131" s="17">
        <v>1</v>
      </c>
      <c r="R131" s="17">
        <v>1</v>
      </c>
      <c r="S131" s="15"/>
      <c r="T131" s="25">
        <v>46067</v>
      </c>
      <c r="U131" s="13" t="s">
        <v>148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 t="s">
        <v>291</v>
      </c>
      <c r="D132" s="109" t="s">
        <v>271</v>
      </c>
      <c r="E132" s="15" t="s">
        <v>76</v>
      </c>
      <c r="F132" s="16"/>
      <c r="G132" s="12" t="s">
        <v>180</v>
      </c>
      <c r="H132" s="15"/>
      <c r="I132" s="15"/>
      <c r="J132" s="15">
        <v>1</v>
      </c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46068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 t="s">
        <v>292</v>
      </c>
      <c r="D133" s="109" t="s">
        <v>189</v>
      </c>
      <c r="E133" s="15" t="s">
        <v>38</v>
      </c>
      <c r="F133" s="16"/>
      <c r="G133" s="12" t="s">
        <v>180</v>
      </c>
      <c r="H133" s="15"/>
      <c r="I133" s="15"/>
      <c r="J133" s="13">
        <v>1</v>
      </c>
      <c r="K133" s="13">
        <v>1</v>
      </c>
      <c r="L133" s="13"/>
      <c r="M133" s="17"/>
      <c r="N133" s="17"/>
      <c r="O133" s="17"/>
      <c r="P133" s="17"/>
      <c r="Q133" s="17"/>
      <c r="R133" s="17"/>
      <c r="S133" s="15"/>
      <c r="T133" s="25">
        <v>46079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 t="s">
        <v>294</v>
      </c>
      <c r="D134" s="109" t="s">
        <v>293</v>
      </c>
      <c r="E134" s="15" t="s">
        <v>36</v>
      </c>
      <c r="F134" s="16"/>
      <c r="G134" s="12" t="s">
        <v>180</v>
      </c>
      <c r="H134" s="15"/>
      <c r="I134" s="15"/>
      <c r="J134" s="15"/>
      <c r="K134" s="15"/>
      <c r="L134" s="17"/>
      <c r="M134" s="17">
        <v>1</v>
      </c>
      <c r="N134" s="17">
        <v>1</v>
      </c>
      <c r="O134" s="17"/>
      <c r="P134" s="17"/>
      <c r="Q134" s="17">
        <v>1</v>
      </c>
      <c r="R134" s="17"/>
      <c r="S134" s="15"/>
      <c r="T134" s="25">
        <v>46068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 t="s">
        <v>295</v>
      </c>
      <c r="D135" s="109" t="s">
        <v>293</v>
      </c>
      <c r="E135" s="15" t="s">
        <v>38</v>
      </c>
      <c r="F135" s="16"/>
      <c r="G135" s="12" t="s">
        <v>180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46068</v>
      </c>
      <c r="U135" s="132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 t="s">
        <v>296</v>
      </c>
      <c r="D136" s="109" t="s">
        <v>198</v>
      </c>
      <c r="E136" s="15" t="s">
        <v>133</v>
      </c>
      <c r="F136" s="16"/>
      <c r="G136" s="12" t="s">
        <v>180</v>
      </c>
      <c r="H136" s="15"/>
      <c r="I136" s="15"/>
      <c r="J136" s="15"/>
      <c r="K136" s="15"/>
      <c r="L136" s="17"/>
      <c r="M136" s="17"/>
      <c r="N136" s="17"/>
      <c r="O136" s="17">
        <v>1</v>
      </c>
      <c r="P136" s="17"/>
      <c r="Q136" s="17"/>
      <c r="R136" s="17"/>
      <c r="S136" s="15"/>
      <c r="T136" s="25">
        <v>46079</v>
      </c>
      <c r="U136" s="15" t="s">
        <v>148</v>
      </c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/>
      <c r="D137" s="109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5"/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14</v>
      </c>
      <c r="D148" s="112"/>
      <c r="E148" s="29"/>
      <c r="F148" s="29" t="s">
        <v>34</v>
      </c>
      <c r="G148" s="29">
        <f>COUNTIF(G123:G147,"S")</f>
        <v>14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9</v>
      </c>
      <c r="K148" s="29">
        <f t="shared" ref="K148" si="14">SUM(K123:K147)</f>
        <v>10</v>
      </c>
      <c r="L148" s="29">
        <f t="shared" ref="L148" si="15">SUM(L123:L147)</f>
        <v>0</v>
      </c>
      <c r="M148" s="29">
        <f t="shared" ref="M148" si="16">SUM(M123:M147)</f>
        <v>1</v>
      </c>
      <c r="N148" s="29">
        <f t="shared" ref="N148" si="17">SUM(N123:N147)</f>
        <v>2</v>
      </c>
      <c r="O148" s="29">
        <f t="shared" ref="O148" si="18">SUM(O123:O147)</f>
        <v>2</v>
      </c>
      <c r="P148" s="29">
        <f t="shared" ref="P148" si="19">SUM(P123:P147)</f>
        <v>1</v>
      </c>
      <c r="Q148" s="29">
        <f t="shared" ref="Q148" si="20">SUM(Q123:Q147)</f>
        <v>2</v>
      </c>
      <c r="R148" s="29">
        <f t="shared" ref="R148" si="21">SUM(R123:R147)</f>
        <v>1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29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AYG131</v>
      </c>
      <c r="B151" s="24">
        <f>B1</f>
        <v>46044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>
        <v>19.2</v>
      </c>
      <c r="C153" s="85" t="s">
        <v>297</v>
      </c>
      <c r="D153" s="109" t="s">
        <v>298</v>
      </c>
      <c r="E153" s="13" t="s">
        <v>36</v>
      </c>
      <c r="F153" s="14"/>
      <c r="G153" s="12" t="s">
        <v>180</v>
      </c>
      <c r="H153" s="13"/>
      <c r="I153" s="13"/>
      <c r="J153" s="13"/>
      <c r="K153" s="13"/>
      <c r="L153" s="13"/>
      <c r="M153" s="13"/>
      <c r="N153" s="13">
        <v>1</v>
      </c>
      <c r="O153" s="13"/>
      <c r="P153" s="13"/>
      <c r="Q153" s="13"/>
      <c r="R153" s="13"/>
      <c r="S153" s="13"/>
      <c r="T153" s="26">
        <v>46077</v>
      </c>
      <c r="U153" s="13" t="s">
        <v>147</v>
      </c>
      <c r="V153">
        <v>1</v>
      </c>
      <c r="X153" s="51" t="s">
        <v>106</v>
      </c>
      <c r="Y153" s="52">
        <f>COUNTIF(U153:U177,"K")</f>
        <v>9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 t="s">
        <v>300</v>
      </c>
      <c r="D154" s="109" t="s">
        <v>299</v>
      </c>
      <c r="E154" s="13" t="s">
        <v>36</v>
      </c>
      <c r="F154" s="16"/>
      <c r="G154" s="12" t="s">
        <v>180</v>
      </c>
      <c r="H154" s="15"/>
      <c r="I154" s="15"/>
      <c r="J154" s="15">
        <v>1</v>
      </c>
      <c r="K154" s="15">
        <v>1</v>
      </c>
      <c r="L154" s="17"/>
      <c r="M154" s="17"/>
      <c r="N154" s="17"/>
      <c r="O154" s="17"/>
      <c r="P154" s="17"/>
      <c r="Q154" s="17"/>
      <c r="R154" s="17"/>
      <c r="S154" s="15"/>
      <c r="T154" s="26">
        <v>46085</v>
      </c>
      <c r="U154" s="13" t="s">
        <v>146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 t="s">
        <v>301</v>
      </c>
      <c r="D155" s="109" t="s">
        <v>189</v>
      </c>
      <c r="E155" s="13" t="s">
        <v>38</v>
      </c>
      <c r="F155" s="16"/>
      <c r="G155" s="12" t="s">
        <v>180</v>
      </c>
      <c r="H155" s="13"/>
      <c r="I155" s="15"/>
      <c r="J155" s="13">
        <v>1</v>
      </c>
      <c r="K155" s="13"/>
      <c r="L155" s="13"/>
      <c r="M155" s="17"/>
      <c r="N155" s="17"/>
      <c r="O155" s="17"/>
      <c r="P155" s="17"/>
      <c r="Q155" s="17"/>
      <c r="R155" s="17"/>
      <c r="S155" s="15"/>
      <c r="T155" s="26">
        <v>46079</v>
      </c>
      <c r="U155" s="13" t="s">
        <v>146</v>
      </c>
      <c r="V155">
        <v>3</v>
      </c>
      <c r="X155" s="53" t="s">
        <v>108</v>
      </c>
      <c r="Y155" s="54">
        <f>COUNTIF(U153:U177,"J")</f>
        <v>2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 t="s">
        <v>302</v>
      </c>
      <c r="D156" s="109" t="s">
        <v>188</v>
      </c>
      <c r="E156" s="13" t="s">
        <v>58</v>
      </c>
      <c r="F156" s="16"/>
      <c r="G156" s="12" t="s">
        <v>180</v>
      </c>
      <c r="H156" s="15"/>
      <c r="I156" s="15"/>
      <c r="J156" s="15"/>
      <c r="K156" s="15"/>
      <c r="L156" s="17"/>
      <c r="M156" s="17"/>
      <c r="N156" s="17"/>
      <c r="O156" s="17"/>
      <c r="P156" s="17"/>
      <c r="Q156" s="17"/>
      <c r="R156" s="17"/>
      <c r="S156" s="15"/>
      <c r="T156" s="26">
        <v>46071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 t="s">
        <v>303</v>
      </c>
      <c r="D157" s="109" t="s">
        <v>282</v>
      </c>
      <c r="E157" s="13" t="s">
        <v>37</v>
      </c>
      <c r="F157" s="16"/>
      <c r="G157" s="12" t="s">
        <v>180</v>
      </c>
      <c r="H157" s="15"/>
      <c r="I157" s="15"/>
      <c r="J157" s="13">
        <v>1</v>
      </c>
      <c r="K157" s="15"/>
      <c r="L157" s="13"/>
      <c r="M157" s="17"/>
      <c r="N157" s="17"/>
      <c r="O157" s="17"/>
      <c r="P157" s="17"/>
      <c r="Q157" s="17"/>
      <c r="R157" s="17"/>
      <c r="S157" s="15"/>
      <c r="T157" s="26">
        <v>46079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 t="s">
        <v>305</v>
      </c>
      <c r="D158" s="109" t="s">
        <v>304</v>
      </c>
      <c r="E158" s="13" t="s">
        <v>37</v>
      </c>
      <c r="F158" s="16"/>
      <c r="G158" s="12" t="s">
        <v>180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6">
        <v>46070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 t="s">
        <v>306</v>
      </c>
      <c r="D159" s="109" t="s">
        <v>204</v>
      </c>
      <c r="E159" s="13" t="s">
        <v>38</v>
      </c>
      <c r="F159" s="16"/>
      <c r="G159" s="12" t="s">
        <v>180</v>
      </c>
      <c r="H159" s="15"/>
      <c r="I159" s="15"/>
      <c r="J159" s="13">
        <v>1</v>
      </c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46068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 t="s">
        <v>307</v>
      </c>
      <c r="D160" s="109" t="s">
        <v>185</v>
      </c>
      <c r="E160" s="13" t="s">
        <v>36</v>
      </c>
      <c r="F160" s="16"/>
      <c r="G160" s="12" t="s">
        <v>180</v>
      </c>
      <c r="H160" s="15"/>
      <c r="I160" s="15"/>
      <c r="J160" s="13">
        <v>1</v>
      </c>
      <c r="K160" s="15">
        <v>1</v>
      </c>
      <c r="L160" s="13"/>
      <c r="M160" s="17"/>
      <c r="N160" s="17"/>
      <c r="O160" s="17"/>
      <c r="P160" s="17"/>
      <c r="Q160" s="17"/>
      <c r="R160" s="17"/>
      <c r="S160" s="15"/>
      <c r="T160" s="26">
        <v>46068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 t="s">
        <v>308</v>
      </c>
      <c r="D161" s="109" t="s">
        <v>185</v>
      </c>
      <c r="E161" s="13" t="s">
        <v>40</v>
      </c>
      <c r="F161" s="16"/>
      <c r="G161" s="12" t="s">
        <v>180</v>
      </c>
      <c r="H161" s="15"/>
      <c r="I161" s="15"/>
      <c r="J161" s="13"/>
      <c r="K161" s="15"/>
      <c r="L161" s="13"/>
      <c r="M161" s="17"/>
      <c r="N161" s="17"/>
      <c r="O161" s="17"/>
      <c r="P161" s="17">
        <v>1</v>
      </c>
      <c r="Q161" s="17"/>
      <c r="R161" s="17"/>
      <c r="S161" s="15"/>
      <c r="T161" s="26">
        <v>46068</v>
      </c>
      <c r="U161" s="13" t="s">
        <v>148</v>
      </c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 t="s">
        <v>309</v>
      </c>
      <c r="D162" s="109" t="s">
        <v>185</v>
      </c>
      <c r="E162" s="13" t="s">
        <v>57</v>
      </c>
      <c r="F162" s="138"/>
      <c r="G162" s="12" t="s">
        <v>191</v>
      </c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>
        <v>46068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 t="s">
        <v>310</v>
      </c>
      <c r="D163" s="109" t="s">
        <v>185</v>
      </c>
      <c r="E163" s="13" t="s">
        <v>36</v>
      </c>
      <c r="F163" s="16"/>
      <c r="G163" s="12" t="s">
        <v>180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6">
        <v>46068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 t="s">
        <v>311</v>
      </c>
      <c r="D164" s="109" t="s">
        <v>185</v>
      </c>
      <c r="E164" s="13" t="s">
        <v>37</v>
      </c>
      <c r="F164" s="16"/>
      <c r="G164" s="12" t="s">
        <v>180</v>
      </c>
      <c r="H164" s="15"/>
      <c r="I164" s="15"/>
      <c r="J164" s="15">
        <v>1</v>
      </c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6">
        <v>46068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 t="s">
        <v>312</v>
      </c>
      <c r="D165" s="109" t="s">
        <v>185</v>
      </c>
      <c r="E165" s="13" t="s">
        <v>37</v>
      </c>
      <c r="F165" s="16"/>
      <c r="G165" s="12" t="s">
        <v>180</v>
      </c>
      <c r="H165" s="15"/>
      <c r="I165" s="15"/>
      <c r="J165" s="15"/>
      <c r="K165" s="15"/>
      <c r="L165" s="17"/>
      <c r="M165" s="17">
        <v>1</v>
      </c>
      <c r="N165" s="17">
        <v>1</v>
      </c>
      <c r="O165" s="17"/>
      <c r="P165" s="17"/>
      <c r="Q165" s="17"/>
      <c r="R165" s="17"/>
      <c r="S165" s="15"/>
      <c r="T165" s="26">
        <v>46068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 t="s">
        <v>313</v>
      </c>
      <c r="D166" s="109" t="s">
        <v>185</v>
      </c>
      <c r="E166" s="13" t="s">
        <v>40</v>
      </c>
      <c r="F166" s="16"/>
      <c r="G166" s="12" t="s">
        <v>180</v>
      </c>
      <c r="H166" s="15"/>
      <c r="I166" s="15"/>
      <c r="J166" s="15"/>
      <c r="K166" s="15"/>
      <c r="L166" s="17"/>
      <c r="M166" s="17"/>
      <c r="N166" s="17"/>
      <c r="O166" s="17">
        <v>1</v>
      </c>
      <c r="P166" s="17">
        <v>1</v>
      </c>
      <c r="Q166" s="17"/>
      <c r="R166" s="17"/>
      <c r="S166" s="15"/>
      <c r="T166" s="26">
        <v>46068</v>
      </c>
      <c r="U166" s="13" t="s">
        <v>148</v>
      </c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 t="s">
        <v>314</v>
      </c>
      <c r="D167" s="109" t="s">
        <v>185</v>
      </c>
      <c r="E167" s="13" t="s">
        <v>41</v>
      </c>
      <c r="F167" s="16"/>
      <c r="G167" s="12" t="s">
        <v>180</v>
      </c>
      <c r="H167" s="15"/>
      <c r="I167" s="15"/>
      <c r="J167" s="15">
        <v>1</v>
      </c>
      <c r="K167" s="15"/>
      <c r="L167" s="17"/>
      <c r="M167" s="17"/>
      <c r="N167" s="17"/>
      <c r="O167" s="17"/>
      <c r="P167" s="17"/>
      <c r="Q167" s="17"/>
      <c r="R167" s="17"/>
      <c r="S167" s="15"/>
      <c r="T167" s="26">
        <v>46068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14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9</v>
      </c>
      <c r="K178" s="29">
        <f t="shared" ref="K178" si="24">SUM(K153:K177)</f>
        <v>5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2</v>
      </c>
      <c r="O178" s="29">
        <f t="shared" ref="O178" si="28">SUM(O153:O177)</f>
        <v>1</v>
      </c>
      <c r="P178" s="29">
        <f t="shared" ref="P178" si="29">SUM(P153:P177)</f>
        <v>2</v>
      </c>
      <c r="Q178" s="29">
        <f t="shared" ref="Q178" si="30">SUM(Q153:Q177)</f>
        <v>0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20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>
        <v>27</v>
      </c>
      <c r="C183" s="85" t="s">
        <v>315</v>
      </c>
      <c r="D183" s="110" t="s">
        <v>187</v>
      </c>
      <c r="E183" s="18" t="s">
        <v>60</v>
      </c>
      <c r="F183" s="16"/>
      <c r="G183" s="18" t="s">
        <v>180</v>
      </c>
      <c r="H183" s="15"/>
      <c r="I183" s="15"/>
      <c r="J183" s="18">
        <v>1</v>
      </c>
      <c r="K183" s="15"/>
      <c r="L183" s="18">
        <v>1</v>
      </c>
      <c r="M183" s="19"/>
      <c r="N183" s="19"/>
      <c r="O183" s="19"/>
      <c r="P183" s="19"/>
      <c r="Q183" s="19"/>
      <c r="R183" s="19"/>
      <c r="S183" s="15"/>
      <c r="T183" s="25">
        <v>46071</v>
      </c>
      <c r="U183" s="15" t="s">
        <v>146</v>
      </c>
      <c r="V183">
        <v>1</v>
      </c>
      <c r="X183" s="51" t="s">
        <v>106</v>
      </c>
      <c r="Y183" s="52">
        <f>COUNTIF(U183:U207,"K")</f>
        <v>16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 t="s">
        <v>316</v>
      </c>
      <c r="D184" s="110" t="s">
        <v>187</v>
      </c>
      <c r="E184" s="18" t="s">
        <v>60</v>
      </c>
      <c r="F184" s="16"/>
      <c r="G184" s="18" t="s">
        <v>180</v>
      </c>
      <c r="H184" s="15"/>
      <c r="I184" s="15"/>
      <c r="J184" s="18">
        <v>1</v>
      </c>
      <c r="K184" s="15"/>
      <c r="L184" s="18">
        <v>1</v>
      </c>
      <c r="M184" s="19"/>
      <c r="N184" s="19"/>
      <c r="O184" s="19"/>
      <c r="P184" s="19"/>
      <c r="Q184" s="19"/>
      <c r="R184" s="19"/>
      <c r="S184" s="132"/>
      <c r="T184" s="25">
        <v>46071</v>
      </c>
      <c r="U184" s="15" t="s">
        <v>146</v>
      </c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 t="s">
        <v>317</v>
      </c>
      <c r="D185" s="110" t="s">
        <v>187</v>
      </c>
      <c r="E185" s="18" t="s">
        <v>60</v>
      </c>
      <c r="F185" s="16"/>
      <c r="G185" s="18" t="s">
        <v>180</v>
      </c>
      <c r="H185" s="15"/>
      <c r="I185" s="15"/>
      <c r="J185" s="18">
        <v>1</v>
      </c>
      <c r="K185" s="15"/>
      <c r="L185" s="18">
        <v>1</v>
      </c>
      <c r="M185" s="17"/>
      <c r="N185" s="17"/>
      <c r="O185" s="17"/>
      <c r="P185" s="17"/>
      <c r="Q185" s="17"/>
      <c r="R185" s="17"/>
      <c r="S185" s="15"/>
      <c r="T185" s="25">
        <v>46071</v>
      </c>
      <c r="U185" s="15" t="s">
        <v>146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 t="s">
        <v>318</v>
      </c>
      <c r="D186" s="110" t="s">
        <v>187</v>
      </c>
      <c r="E186" s="18" t="s">
        <v>60</v>
      </c>
      <c r="F186" s="16"/>
      <c r="G186" s="18" t="s">
        <v>180</v>
      </c>
      <c r="H186" s="15"/>
      <c r="I186" s="15"/>
      <c r="J186" s="18">
        <v>1</v>
      </c>
      <c r="K186" s="15"/>
      <c r="L186" s="18">
        <v>1</v>
      </c>
      <c r="M186" s="17"/>
      <c r="N186" s="17"/>
      <c r="O186" s="17"/>
      <c r="P186" s="17"/>
      <c r="Q186" s="17"/>
      <c r="R186" s="17"/>
      <c r="S186" s="15"/>
      <c r="T186" s="25">
        <v>46071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 t="s">
        <v>319</v>
      </c>
      <c r="D187" s="110" t="s">
        <v>187</v>
      </c>
      <c r="E187" s="18" t="s">
        <v>60</v>
      </c>
      <c r="F187" s="16"/>
      <c r="G187" s="18" t="s">
        <v>180</v>
      </c>
      <c r="H187" s="15"/>
      <c r="I187" s="15"/>
      <c r="J187" s="18">
        <v>1</v>
      </c>
      <c r="K187" s="15"/>
      <c r="L187" s="18">
        <v>1</v>
      </c>
      <c r="M187" s="17"/>
      <c r="N187" s="17"/>
      <c r="O187" s="17"/>
      <c r="P187" s="17"/>
      <c r="Q187" s="17"/>
      <c r="R187" s="17"/>
      <c r="S187" s="15"/>
      <c r="T187" s="25">
        <v>46071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 t="s">
        <v>320</v>
      </c>
      <c r="D188" s="110" t="s">
        <v>187</v>
      </c>
      <c r="E188" s="18" t="s">
        <v>60</v>
      </c>
      <c r="F188" s="16"/>
      <c r="G188" s="18" t="s">
        <v>180</v>
      </c>
      <c r="H188" s="13"/>
      <c r="I188" s="15"/>
      <c r="J188" s="18">
        <v>1</v>
      </c>
      <c r="K188" s="15"/>
      <c r="L188" s="18">
        <v>1</v>
      </c>
      <c r="M188" s="17"/>
      <c r="N188" s="17"/>
      <c r="O188" s="17"/>
      <c r="P188" s="17"/>
      <c r="Q188" s="17"/>
      <c r="R188" s="17"/>
      <c r="S188" s="15"/>
      <c r="T188" s="25">
        <v>46071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 t="s">
        <v>321</v>
      </c>
      <c r="D189" s="110" t="s">
        <v>187</v>
      </c>
      <c r="E189" s="18" t="s">
        <v>60</v>
      </c>
      <c r="F189" s="16"/>
      <c r="G189" s="18" t="s">
        <v>180</v>
      </c>
      <c r="H189" s="15"/>
      <c r="I189" s="15"/>
      <c r="J189" s="18">
        <v>1</v>
      </c>
      <c r="K189" s="15"/>
      <c r="L189" s="18">
        <v>1</v>
      </c>
      <c r="M189" s="17"/>
      <c r="N189" s="17"/>
      <c r="O189" s="17"/>
      <c r="P189" s="17"/>
      <c r="Q189" s="17"/>
      <c r="R189" s="17"/>
      <c r="S189" s="15"/>
      <c r="T189" s="25">
        <v>46071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 t="s">
        <v>322</v>
      </c>
      <c r="D190" s="110" t="s">
        <v>187</v>
      </c>
      <c r="E190" s="18" t="s">
        <v>60</v>
      </c>
      <c r="F190" s="16"/>
      <c r="G190" s="18" t="s">
        <v>180</v>
      </c>
      <c r="H190" s="15"/>
      <c r="I190" s="15"/>
      <c r="J190" s="18">
        <v>1</v>
      </c>
      <c r="K190" s="15"/>
      <c r="L190" s="18">
        <v>1</v>
      </c>
      <c r="M190" s="17"/>
      <c r="N190" s="17"/>
      <c r="O190" s="17"/>
      <c r="P190" s="17"/>
      <c r="Q190" s="17"/>
      <c r="R190" s="17"/>
      <c r="S190" s="15"/>
      <c r="T190" s="25">
        <v>46071</v>
      </c>
      <c r="U190" s="15" t="s">
        <v>146</v>
      </c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 t="s">
        <v>323</v>
      </c>
      <c r="D191" s="110" t="s">
        <v>187</v>
      </c>
      <c r="E191" s="18" t="s">
        <v>60</v>
      </c>
      <c r="F191" s="16"/>
      <c r="G191" s="18" t="s">
        <v>180</v>
      </c>
      <c r="H191" s="15"/>
      <c r="I191" s="15"/>
      <c r="J191" s="18">
        <v>1</v>
      </c>
      <c r="K191" s="15"/>
      <c r="L191" s="18">
        <v>1</v>
      </c>
      <c r="M191" s="17"/>
      <c r="N191" s="17"/>
      <c r="O191" s="17"/>
      <c r="P191" s="17"/>
      <c r="Q191" s="17"/>
      <c r="R191" s="17"/>
      <c r="S191" s="15"/>
      <c r="T191" s="25">
        <v>46071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 t="s">
        <v>324</v>
      </c>
      <c r="D192" s="110" t="s">
        <v>187</v>
      </c>
      <c r="E192" s="18" t="s">
        <v>60</v>
      </c>
      <c r="F192" s="16"/>
      <c r="G192" s="18" t="s">
        <v>180</v>
      </c>
      <c r="H192" s="15"/>
      <c r="I192" s="15"/>
      <c r="J192" s="18">
        <v>1</v>
      </c>
      <c r="K192" s="15"/>
      <c r="L192" s="18">
        <v>1</v>
      </c>
      <c r="M192" s="17"/>
      <c r="N192" s="17"/>
      <c r="O192" s="17"/>
      <c r="P192" s="17"/>
      <c r="Q192" s="17"/>
      <c r="R192" s="17"/>
      <c r="S192" s="15"/>
      <c r="T192" s="25">
        <v>46071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 t="s">
        <v>325</v>
      </c>
      <c r="D193" s="110" t="s">
        <v>187</v>
      </c>
      <c r="E193" s="18" t="s">
        <v>60</v>
      </c>
      <c r="F193" s="16"/>
      <c r="G193" s="18" t="s">
        <v>180</v>
      </c>
      <c r="H193" s="15"/>
      <c r="I193" s="15"/>
      <c r="J193" s="18">
        <v>1</v>
      </c>
      <c r="K193" s="15"/>
      <c r="L193" s="18">
        <v>1</v>
      </c>
      <c r="M193" s="17"/>
      <c r="N193" s="17"/>
      <c r="O193" s="17"/>
      <c r="P193" s="17"/>
      <c r="Q193" s="17"/>
      <c r="R193" s="17"/>
      <c r="S193" s="15"/>
      <c r="T193" s="25">
        <v>46071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 t="s">
        <v>326</v>
      </c>
      <c r="D194" s="110" t="s">
        <v>187</v>
      </c>
      <c r="E194" s="18" t="s">
        <v>60</v>
      </c>
      <c r="F194" s="16"/>
      <c r="G194" s="18" t="s">
        <v>180</v>
      </c>
      <c r="H194" s="15"/>
      <c r="I194" s="15"/>
      <c r="J194" s="18">
        <v>1</v>
      </c>
      <c r="K194" s="15"/>
      <c r="L194" s="18">
        <v>1</v>
      </c>
      <c r="M194" s="17"/>
      <c r="N194" s="17"/>
      <c r="O194" s="17"/>
      <c r="P194" s="17"/>
      <c r="Q194" s="17"/>
      <c r="R194" s="17"/>
      <c r="S194" s="15"/>
      <c r="T194" s="25">
        <v>46071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 t="s">
        <v>327</v>
      </c>
      <c r="D195" s="110" t="s">
        <v>187</v>
      </c>
      <c r="E195" s="18" t="s">
        <v>60</v>
      </c>
      <c r="F195" s="16"/>
      <c r="G195" s="18" t="s">
        <v>180</v>
      </c>
      <c r="H195" s="15"/>
      <c r="I195" s="15"/>
      <c r="J195" s="18">
        <v>1</v>
      </c>
      <c r="K195" s="15"/>
      <c r="L195" s="18">
        <v>1</v>
      </c>
      <c r="M195" s="17"/>
      <c r="N195" s="17"/>
      <c r="O195" s="17"/>
      <c r="P195" s="17"/>
      <c r="Q195" s="17"/>
      <c r="R195" s="17"/>
      <c r="S195" s="15"/>
      <c r="T195" s="25">
        <v>46071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 t="s">
        <v>328</v>
      </c>
      <c r="D196" s="110" t="s">
        <v>187</v>
      </c>
      <c r="E196" s="18" t="s">
        <v>60</v>
      </c>
      <c r="F196" s="16"/>
      <c r="G196" s="18" t="s">
        <v>180</v>
      </c>
      <c r="H196" s="15"/>
      <c r="I196" s="15"/>
      <c r="J196" s="18">
        <v>1</v>
      </c>
      <c r="K196" s="15"/>
      <c r="L196" s="18">
        <v>1</v>
      </c>
      <c r="M196" s="17"/>
      <c r="N196" s="17"/>
      <c r="O196" s="17"/>
      <c r="P196" s="17"/>
      <c r="Q196" s="17"/>
      <c r="R196" s="17"/>
      <c r="S196" s="15"/>
      <c r="T196" s="25">
        <v>46071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 t="s">
        <v>329</v>
      </c>
      <c r="D197" s="110" t="s">
        <v>187</v>
      </c>
      <c r="E197" s="18" t="s">
        <v>60</v>
      </c>
      <c r="F197" s="16"/>
      <c r="G197" s="18" t="s">
        <v>180</v>
      </c>
      <c r="H197" s="15"/>
      <c r="I197" s="15"/>
      <c r="J197" s="18">
        <v>1</v>
      </c>
      <c r="K197" s="15"/>
      <c r="L197" s="18">
        <v>1</v>
      </c>
      <c r="M197" s="17"/>
      <c r="N197" s="17"/>
      <c r="O197" s="17"/>
      <c r="P197" s="17"/>
      <c r="Q197" s="17"/>
      <c r="R197" s="17"/>
      <c r="S197" s="15"/>
      <c r="T197" s="25">
        <v>46071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 t="s">
        <v>330</v>
      </c>
      <c r="D198" s="110" t="s">
        <v>187</v>
      </c>
      <c r="E198" s="18" t="s">
        <v>60</v>
      </c>
      <c r="F198" s="16"/>
      <c r="G198" s="18" t="s">
        <v>180</v>
      </c>
      <c r="H198" s="15"/>
      <c r="I198" s="15"/>
      <c r="J198" s="18">
        <v>1</v>
      </c>
      <c r="K198" s="15"/>
      <c r="L198" s="18">
        <v>1</v>
      </c>
      <c r="M198" s="19"/>
      <c r="N198" s="19"/>
      <c r="O198" s="19"/>
      <c r="P198" s="19"/>
      <c r="Q198" s="19"/>
      <c r="R198" s="19"/>
      <c r="S198" s="15"/>
      <c r="T198" s="25">
        <v>46071</v>
      </c>
      <c r="U198" s="15" t="s">
        <v>146</v>
      </c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16</v>
      </c>
      <c r="K208" s="29">
        <f t="shared" ref="K208" si="34">SUM(K183:K207)</f>
        <v>0</v>
      </c>
      <c r="L208" s="29">
        <f t="shared" ref="L208" si="35">SUM(L183:L207)</f>
        <v>16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0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32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AYG131</v>
      </c>
      <c r="B211" s="24">
        <f>B1</f>
        <v>46044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>
        <v>24.4</v>
      </c>
      <c r="C213" s="85" t="s">
        <v>331</v>
      </c>
      <c r="D213" s="106" t="s">
        <v>187</v>
      </c>
      <c r="E213" s="15" t="s">
        <v>60</v>
      </c>
      <c r="F213" s="16"/>
      <c r="G213" s="15" t="s">
        <v>180</v>
      </c>
      <c r="H213" s="15"/>
      <c r="I213" s="15"/>
      <c r="J213" s="15">
        <v>1</v>
      </c>
      <c r="K213" s="15"/>
      <c r="L213" s="17">
        <v>1</v>
      </c>
      <c r="M213" s="17"/>
      <c r="N213" s="17"/>
      <c r="O213" s="17"/>
      <c r="P213" s="17"/>
      <c r="Q213" s="17"/>
      <c r="R213" s="17"/>
      <c r="S213" s="15"/>
      <c r="T213" s="25">
        <v>46071</v>
      </c>
      <c r="U213" s="15" t="s">
        <v>146</v>
      </c>
      <c r="V213">
        <v>1</v>
      </c>
      <c r="X213" s="51" t="s">
        <v>106</v>
      </c>
      <c r="Y213" s="52">
        <f>COUNTIF(U213:U237,"K")</f>
        <v>15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 t="s">
        <v>332</v>
      </c>
      <c r="D214" s="106" t="s">
        <v>187</v>
      </c>
      <c r="E214" s="15" t="s">
        <v>60</v>
      </c>
      <c r="F214" s="16"/>
      <c r="G214" s="15" t="s">
        <v>180</v>
      </c>
      <c r="H214" s="15"/>
      <c r="I214" s="15"/>
      <c r="J214" s="15">
        <v>1</v>
      </c>
      <c r="K214" s="15"/>
      <c r="L214" s="15">
        <v>1</v>
      </c>
      <c r="M214" s="19"/>
      <c r="N214" s="19"/>
      <c r="O214" s="19"/>
      <c r="P214" s="19"/>
      <c r="Q214" s="19"/>
      <c r="R214" s="19"/>
      <c r="S214" s="15"/>
      <c r="T214" s="25">
        <v>46071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 t="s">
        <v>333</v>
      </c>
      <c r="D215" s="106" t="s">
        <v>187</v>
      </c>
      <c r="E215" s="15" t="s">
        <v>60</v>
      </c>
      <c r="F215" s="16"/>
      <c r="G215" s="15" t="s">
        <v>180</v>
      </c>
      <c r="H215" s="15"/>
      <c r="I215" s="15"/>
      <c r="J215" s="15">
        <v>1</v>
      </c>
      <c r="K215" s="15"/>
      <c r="L215" s="15">
        <v>1</v>
      </c>
      <c r="M215" s="19"/>
      <c r="N215" s="19"/>
      <c r="O215" s="19"/>
      <c r="P215" s="19"/>
      <c r="Q215" s="19"/>
      <c r="R215" s="19"/>
      <c r="S215" s="15"/>
      <c r="T215" s="25">
        <v>46071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 t="s">
        <v>334</v>
      </c>
      <c r="D216" s="106" t="s">
        <v>187</v>
      </c>
      <c r="E216" s="15" t="s">
        <v>60</v>
      </c>
      <c r="F216" s="16"/>
      <c r="G216" s="15" t="s">
        <v>180</v>
      </c>
      <c r="H216" s="15"/>
      <c r="I216" s="15"/>
      <c r="J216" s="15">
        <v>1</v>
      </c>
      <c r="K216" s="15"/>
      <c r="L216" s="15">
        <v>1</v>
      </c>
      <c r="M216" s="19"/>
      <c r="N216" s="19"/>
      <c r="O216" s="19"/>
      <c r="P216" s="19"/>
      <c r="Q216" s="19"/>
      <c r="R216" s="19"/>
      <c r="S216" s="15"/>
      <c r="T216" s="25">
        <v>46071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 t="s">
        <v>335</v>
      </c>
      <c r="D217" s="106" t="s">
        <v>187</v>
      </c>
      <c r="E217" s="15" t="s">
        <v>60</v>
      </c>
      <c r="F217" s="16"/>
      <c r="G217" s="15" t="s">
        <v>180</v>
      </c>
      <c r="H217" s="15"/>
      <c r="I217" s="15"/>
      <c r="J217" s="15">
        <v>1</v>
      </c>
      <c r="K217" s="15"/>
      <c r="L217" s="15">
        <v>1</v>
      </c>
      <c r="M217" s="19"/>
      <c r="N217" s="19"/>
      <c r="O217" s="19"/>
      <c r="P217" s="19"/>
      <c r="Q217" s="19"/>
      <c r="R217" s="19"/>
      <c r="S217" s="15"/>
      <c r="T217" s="25">
        <v>46071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 t="s">
        <v>336</v>
      </c>
      <c r="D218" s="106" t="s">
        <v>187</v>
      </c>
      <c r="E218" s="15" t="s">
        <v>60</v>
      </c>
      <c r="F218" s="16"/>
      <c r="G218" s="15" t="s">
        <v>180</v>
      </c>
      <c r="H218" s="15"/>
      <c r="I218" s="15"/>
      <c r="J218" s="15">
        <v>1</v>
      </c>
      <c r="K218" s="15"/>
      <c r="L218" s="15">
        <v>1</v>
      </c>
      <c r="M218" s="19"/>
      <c r="N218" s="19"/>
      <c r="O218" s="19"/>
      <c r="P218" s="19"/>
      <c r="Q218" s="19"/>
      <c r="R218" s="19"/>
      <c r="S218" s="15"/>
      <c r="T218" s="25">
        <v>46071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 t="s">
        <v>337</v>
      </c>
      <c r="D219" s="106" t="s">
        <v>187</v>
      </c>
      <c r="E219" s="15" t="s">
        <v>60</v>
      </c>
      <c r="F219" s="16"/>
      <c r="G219" s="15" t="s">
        <v>180</v>
      </c>
      <c r="H219" s="15"/>
      <c r="I219" s="15"/>
      <c r="J219" s="15">
        <v>1</v>
      </c>
      <c r="K219" s="15"/>
      <c r="L219" s="15">
        <v>1</v>
      </c>
      <c r="M219" s="19"/>
      <c r="N219" s="19"/>
      <c r="O219" s="19"/>
      <c r="P219" s="19"/>
      <c r="Q219" s="19"/>
      <c r="R219" s="19"/>
      <c r="S219" s="15"/>
      <c r="T219" s="25">
        <v>46071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 t="s">
        <v>338</v>
      </c>
      <c r="D220" s="106" t="s">
        <v>187</v>
      </c>
      <c r="E220" s="15" t="s">
        <v>60</v>
      </c>
      <c r="F220" s="16"/>
      <c r="G220" s="15" t="s">
        <v>180</v>
      </c>
      <c r="H220" s="15"/>
      <c r="I220" s="15"/>
      <c r="J220" s="15">
        <v>1</v>
      </c>
      <c r="K220" s="15"/>
      <c r="L220" s="15">
        <v>1</v>
      </c>
      <c r="M220" s="17"/>
      <c r="N220" s="17"/>
      <c r="O220" s="17"/>
      <c r="P220" s="17"/>
      <c r="Q220" s="17"/>
      <c r="R220" s="17"/>
      <c r="S220" s="15"/>
      <c r="T220" s="25">
        <v>46071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 t="s">
        <v>339</v>
      </c>
      <c r="D221" s="106" t="s">
        <v>187</v>
      </c>
      <c r="E221" s="15" t="s">
        <v>60</v>
      </c>
      <c r="F221" s="16"/>
      <c r="G221" s="15" t="s">
        <v>180</v>
      </c>
      <c r="H221" s="15"/>
      <c r="I221" s="15"/>
      <c r="J221" s="15">
        <v>1</v>
      </c>
      <c r="K221" s="15"/>
      <c r="L221" s="15">
        <v>1</v>
      </c>
      <c r="M221" s="17"/>
      <c r="N221" s="17"/>
      <c r="O221" s="17"/>
      <c r="P221" s="17"/>
      <c r="Q221" s="17"/>
      <c r="R221" s="17"/>
      <c r="S221" s="15"/>
      <c r="T221" s="25">
        <v>46071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 t="s">
        <v>340</v>
      </c>
      <c r="D222" s="106" t="s">
        <v>187</v>
      </c>
      <c r="E222" s="15" t="s">
        <v>60</v>
      </c>
      <c r="F222" s="138"/>
      <c r="G222" s="15" t="s">
        <v>180</v>
      </c>
      <c r="H222" s="15"/>
      <c r="I222" s="15"/>
      <c r="J222" s="15">
        <v>1</v>
      </c>
      <c r="K222" s="15"/>
      <c r="L222" s="15">
        <v>1</v>
      </c>
      <c r="M222" s="17"/>
      <c r="N222" s="17"/>
      <c r="O222" s="17"/>
      <c r="P222" s="17"/>
      <c r="Q222" s="17"/>
      <c r="R222" s="17"/>
      <c r="S222" s="15"/>
      <c r="T222" s="25">
        <v>46071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 t="s">
        <v>341</v>
      </c>
      <c r="D223" s="106" t="s">
        <v>187</v>
      </c>
      <c r="E223" s="15" t="s">
        <v>60</v>
      </c>
      <c r="F223" s="16"/>
      <c r="G223" s="15" t="s">
        <v>180</v>
      </c>
      <c r="H223" s="15"/>
      <c r="I223" s="15"/>
      <c r="J223" s="15">
        <v>1</v>
      </c>
      <c r="K223" s="15"/>
      <c r="L223" s="15">
        <v>1</v>
      </c>
      <c r="M223" s="17"/>
      <c r="N223" s="17"/>
      <c r="O223" s="17"/>
      <c r="P223" s="17"/>
      <c r="Q223" s="17"/>
      <c r="R223" s="17"/>
      <c r="S223" s="15"/>
      <c r="T223" s="25">
        <v>46076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 t="s">
        <v>342</v>
      </c>
      <c r="D224" s="106" t="s">
        <v>187</v>
      </c>
      <c r="E224" s="15" t="s">
        <v>60</v>
      </c>
      <c r="F224" s="16"/>
      <c r="G224" s="15" t="s">
        <v>180</v>
      </c>
      <c r="H224" s="15"/>
      <c r="I224" s="15"/>
      <c r="J224" s="15">
        <v>1</v>
      </c>
      <c r="K224" s="15"/>
      <c r="L224" s="15">
        <v>1</v>
      </c>
      <c r="M224" s="17"/>
      <c r="N224" s="17"/>
      <c r="O224" s="17"/>
      <c r="P224" s="17"/>
      <c r="Q224" s="17"/>
      <c r="R224" s="17"/>
      <c r="S224" s="15"/>
      <c r="T224" s="25">
        <v>46076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 t="s">
        <v>343</v>
      </c>
      <c r="D225" s="106" t="s">
        <v>187</v>
      </c>
      <c r="E225" s="15" t="s">
        <v>60</v>
      </c>
      <c r="F225" s="16"/>
      <c r="G225" s="15" t="s">
        <v>180</v>
      </c>
      <c r="H225" s="15"/>
      <c r="I225" s="15"/>
      <c r="J225" s="15">
        <v>1</v>
      </c>
      <c r="K225" s="15"/>
      <c r="L225" s="15">
        <v>1</v>
      </c>
      <c r="M225" s="17"/>
      <c r="N225" s="17"/>
      <c r="O225" s="17"/>
      <c r="P225" s="17"/>
      <c r="Q225" s="17"/>
      <c r="R225" s="17"/>
      <c r="S225" s="15"/>
      <c r="T225" s="25">
        <v>46076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 t="s">
        <v>344</v>
      </c>
      <c r="D226" s="106" t="s">
        <v>187</v>
      </c>
      <c r="E226" s="15" t="s">
        <v>60</v>
      </c>
      <c r="F226" s="16"/>
      <c r="G226" s="15" t="s">
        <v>180</v>
      </c>
      <c r="H226" s="15"/>
      <c r="I226" s="15"/>
      <c r="J226" s="15">
        <v>1</v>
      </c>
      <c r="K226" s="15"/>
      <c r="L226" s="15">
        <v>1</v>
      </c>
      <c r="M226" s="17"/>
      <c r="N226" s="17"/>
      <c r="O226" s="17"/>
      <c r="P226" s="17"/>
      <c r="Q226" s="17"/>
      <c r="R226" s="17"/>
      <c r="S226" s="15"/>
      <c r="T226" s="25">
        <v>46076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 t="s">
        <v>345</v>
      </c>
      <c r="D227" s="106" t="s">
        <v>187</v>
      </c>
      <c r="E227" s="15" t="s">
        <v>60</v>
      </c>
      <c r="F227" s="16"/>
      <c r="G227" s="15" t="s">
        <v>180</v>
      </c>
      <c r="H227" s="15"/>
      <c r="I227" s="15"/>
      <c r="J227" s="15">
        <v>1</v>
      </c>
      <c r="K227" s="15"/>
      <c r="L227" s="15">
        <v>1</v>
      </c>
      <c r="M227" s="17"/>
      <c r="N227" s="17"/>
      <c r="O227" s="17"/>
      <c r="P227" s="17"/>
      <c r="Q227" s="17"/>
      <c r="R227" s="17"/>
      <c r="S227" s="15"/>
      <c r="T227" s="25">
        <v>46076</v>
      </c>
      <c r="U227" s="15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15</v>
      </c>
      <c r="K238" s="29">
        <f t="shared" ref="K238" si="44">SUM(K213:K237)</f>
        <v>0</v>
      </c>
      <c r="L238" s="29">
        <f t="shared" ref="L238" si="45">SUM(L213:L237)</f>
        <v>15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AYG131</v>
      </c>
      <c r="B241" s="24">
        <f>B1</f>
        <v>46044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>
        <v>22</v>
      </c>
      <c r="C243" s="85" t="s">
        <v>346</v>
      </c>
      <c r="D243" s="106" t="s">
        <v>185</v>
      </c>
      <c r="E243" s="106" t="s">
        <v>44</v>
      </c>
      <c r="F243" s="14"/>
      <c r="G243" s="12" t="s">
        <v>180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5">
        <v>46068</v>
      </c>
      <c r="U243" s="13" t="s">
        <v>146</v>
      </c>
      <c r="V243">
        <v>1</v>
      </c>
      <c r="X243" t="s">
        <v>106</v>
      </c>
      <c r="Y243">
        <f>COUNTIF(U243:U267,"K")</f>
        <v>12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 t="s">
        <v>347</v>
      </c>
      <c r="D244" s="106" t="s">
        <v>185</v>
      </c>
      <c r="E244" s="106" t="s">
        <v>74</v>
      </c>
      <c r="F244" s="16"/>
      <c r="G244" s="12" t="s">
        <v>180</v>
      </c>
      <c r="H244" s="15"/>
      <c r="I244" s="15"/>
      <c r="J244" s="13">
        <v>1</v>
      </c>
      <c r="K244" s="15">
        <v>1</v>
      </c>
      <c r="L244" s="13"/>
      <c r="M244" s="17"/>
      <c r="N244" s="17"/>
      <c r="O244" s="17"/>
      <c r="P244" s="17"/>
      <c r="Q244" s="17"/>
      <c r="R244" s="17"/>
      <c r="S244" s="15"/>
      <c r="T244" s="25">
        <v>46068</v>
      </c>
      <c r="U244" s="13" t="s">
        <v>146</v>
      </c>
      <c r="V244">
        <v>2</v>
      </c>
      <c r="X244" t="s">
        <v>107</v>
      </c>
      <c r="Y244">
        <f>COUNTIF(U243:U267,"R")</f>
        <v>1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 t="s">
        <v>348</v>
      </c>
      <c r="D245" s="106" t="s">
        <v>185</v>
      </c>
      <c r="E245" s="106" t="s">
        <v>37</v>
      </c>
      <c r="F245" s="16"/>
      <c r="G245" s="12" t="s">
        <v>180</v>
      </c>
      <c r="H245" s="13"/>
      <c r="I245" s="15"/>
      <c r="J245" s="13">
        <v>1</v>
      </c>
      <c r="K245" s="15">
        <v>1</v>
      </c>
      <c r="L245" s="13"/>
      <c r="M245" s="17"/>
      <c r="N245" s="17"/>
      <c r="O245" s="17"/>
      <c r="P245" s="17"/>
      <c r="Q245" s="17"/>
      <c r="R245" s="17"/>
      <c r="S245" s="15"/>
      <c r="T245" s="25">
        <v>46068</v>
      </c>
      <c r="U245" s="13" t="s">
        <v>146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 t="s">
        <v>353</v>
      </c>
      <c r="D246" s="106" t="s">
        <v>185</v>
      </c>
      <c r="E246" s="106" t="s">
        <v>37</v>
      </c>
      <c r="F246" s="16"/>
      <c r="G246" s="12" t="s">
        <v>180</v>
      </c>
      <c r="H246" s="15"/>
      <c r="I246" s="15"/>
      <c r="J246" s="13">
        <v>1</v>
      </c>
      <c r="K246" s="15">
        <v>1</v>
      </c>
      <c r="L246" s="13"/>
      <c r="M246" s="17"/>
      <c r="N246" s="17"/>
      <c r="O246" s="17"/>
      <c r="P246" s="17"/>
      <c r="Q246" s="17"/>
      <c r="R246" s="17"/>
      <c r="S246" s="15"/>
      <c r="T246" s="25">
        <v>46068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 t="s">
        <v>349</v>
      </c>
      <c r="D247" s="106" t="s">
        <v>185</v>
      </c>
      <c r="E247" s="106" t="s">
        <v>37</v>
      </c>
      <c r="F247" s="16"/>
      <c r="G247" s="12" t="s">
        <v>180</v>
      </c>
      <c r="H247" s="15"/>
      <c r="I247" s="15"/>
      <c r="J247" s="13">
        <v>1</v>
      </c>
      <c r="K247" s="15">
        <v>1</v>
      </c>
      <c r="L247" s="13"/>
      <c r="M247" s="17"/>
      <c r="N247" s="17"/>
      <c r="O247" s="17"/>
      <c r="P247" s="17"/>
      <c r="Q247" s="17"/>
      <c r="R247" s="17"/>
      <c r="S247" s="15"/>
      <c r="T247" s="25">
        <v>46068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 t="s">
        <v>350</v>
      </c>
      <c r="D248" s="106" t="s">
        <v>185</v>
      </c>
      <c r="E248" s="106" t="s">
        <v>74</v>
      </c>
      <c r="F248" s="16"/>
      <c r="G248" s="12" t="s">
        <v>180</v>
      </c>
      <c r="H248" s="13"/>
      <c r="I248" s="15"/>
      <c r="J248" s="13">
        <v>1</v>
      </c>
      <c r="K248" s="15">
        <v>1</v>
      </c>
      <c r="L248" s="13"/>
      <c r="M248" s="17"/>
      <c r="N248" s="17"/>
      <c r="O248" s="17"/>
      <c r="P248" s="17"/>
      <c r="Q248" s="17"/>
      <c r="R248" s="17"/>
      <c r="S248" s="15"/>
      <c r="T248" s="25">
        <v>46068</v>
      </c>
      <c r="U248" s="13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 t="s">
        <v>351</v>
      </c>
      <c r="D249" s="106" t="s">
        <v>185</v>
      </c>
      <c r="E249" s="106" t="s">
        <v>43</v>
      </c>
      <c r="F249" s="16"/>
      <c r="G249" s="12" t="s">
        <v>180</v>
      </c>
      <c r="H249" s="15"/>
      <c r="I249" s="15"/>
      <c r="J249" s="13">
        <v>1</v>
      </c>
      <c r="K249" s="15">
        <v>1</v>
      </c>
      <c r="L249" s="13"/>
      <c r="M249" s="17"/>
      <c r="N249" s="17"/>
      <c r="O249" s="17"/>
      <c r="P249" s="17"/>
      <c r="Q249" s="17"/>
      <c r="R249" s="17"/>
      <c r="S249" s="15"/>
      <c r="T249" s="25">
        <v>46068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 t="s">
        <v>352</v>
      </c>
      <c r="D250" s="106" t="s">
        <v>185</v>
      </c>
      <c r="E250" s="106" t="s">
        <v>36</v>
      </c>
      <c r="F250" s="16"/>
      <c r="G250" s="12" t="s">
        <v>180</v>
      </c>
      <c r="H250" s="15"/>
      <c r="I250" s="15"/>
      <c r="J250" s="13">
        <v>1</v>
      </c>
      <c r="K250" s="15">
        <v>1</v>
      </c>
      <c r="L250" s="13"/>
      <c r="M250" s="17"/>
      <c r="N250" s="17"/>
      <c r="O250" s="17"/>
      <c r="P250" s="17"/>
      <c r="Q250" s="17"/>
      <c r="R250" s="17"/>
      <c r="S250" s="15"/>
      <c r="T250" s="25">
        <v>46068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 t="s">
        <v>354</v>
      </c>
      <c r="D251" s="106" t="s">
        <v>185</v>
      </c>
      <c r="E251" s="106" t="s">
        <v>38</v>
      </c>
      <c r="F251" s="16"/>
      <c r="G251" s="12" t="s">
        <v>180</v>
      </c>
      <c r="H251" s="15"/>
      <c r="I251" s="15"/>
      <c r="J251" s="13">
        <v>1</v>
      </c>
      <c r="K251" s="15">
        <v>1</v>
      </c>
      <c r="L251" s="13"/>
      <c r="M251" s="17"/>
      <c r="N251" s="17"/>
      <c r="O251" s="17"/>
      <c r="P251" s="17"/>
      <c r="Q251" s="17"/>
      <c r="R251" s="17"/>
      <c r="S251" s="15"/>
      <c r="T251" s="25">
        <v>46068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 t="s">
        <v>355</v>
      </c>
      <c r="D252" s="106" t="s">
        <v>185</v>
      </c>
      <c r="E252" s="106" t="s">
        <v>75</v>
      </c>
      <c r="F252" s="138"/>
      <c r="G252" s="137" t="s">
        <v>180</v>
      </c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>
        <v>1</v>
      </c>
      <c r="T252" s="25">
        <v>46068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 t="s">
        <v>356</v>
      </c>
      <c r="D253" s="106" t="s">
        <v>185</v>
      </c>
      <c r="E253" s="106" t="s">
        <v>74</v>
      </c>
      <c r="F253" s="16"/>
      <c r="G253" s="12" t="s">
        <v>180</v>
      </c>
      <c r="H253" s="15"/>
      <c r="I253" s="15"/>
      <c r="J253" s="15">
        <v>1</v>
      </c>
      <c r="K253" s="15"/>
      <c r="L253" s="17"/>
      <c r="M253" s="17"/>
      <c r="N253" s="17"/>
      <c r="O253" s="17"/>
      <c r="P253" s="17"/>
      <c r="Q253" s="17"/>
      <c r="R253" s="17"/>
      <c r="S253" s="15"/>
      <c r="T253" s="25">
        <v>46068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 t="s">
        <v>357</v>
      </c>
      <c r="D254" s="106" t="s">
        <v>185</v>
      </c>
      <c r="E254" s="106" t="s">
        <v>39</v>
      </c>
      <c r="F254" s="16"/>
      <c r="G254" s="12" t="s">
        <v>180</v>
      </c>
      <c r="H254" s="15"/>
      <c r="I254" s="15"/>
      <c r="J254" s="15">
        <v>1</v>
      </c>
      <c r="K254" s="15"/>
      <c r="L254" s="17"/>
      <c r="M254" s="17"/>
      <c r="N254" s="17"/>
      <c r="O254" s="17"/>
      <c r="P254" s="17"/>
      <c r="Q254" s="17"/>
      <c r="R254" s="17"/>
      <c r="S254" s="15"/>
      <c r="T254" s="25">
        <v>46068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 t="s">
        <v>358</v>
      </c>
      <c r="D255" s="106" t="s">
        <v>185</v>
      </c>
      <c r="E255" s="106" t="s">
        <v>133</v>
      </c>
      <c r="F255" s="16"/>
      <c r="G255" s="12" t="s">
        <v>180</v>
      </c>
      <c r="H255" s="15"/>
      <c r="I255" s="15"/>
      <c r="J255" s="15"/>
      <c r="K255" s="15"/>
      <c r="L255" s="17"/>
      <c r="M255" s="17"/>
      <c r="N255" s="17"/>
      <c r="O255" s="17">
        <v>1</v>
      </c>
      <c r="P255" s="17">
        <v>1</v>
      </c>
      <c r="Q255" s="17"/>
      <c r="R255" s="17">
        <v>1</v>
      </c>
      <c r="S255" s="15"/>
      <c r="T255" s="25">
        <v>46068</v>
      </c>
      <c r="U255" s="13" t="s">
        <v>148</v>
      </c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 t="s">
        <v>359</v>
      </c>
      <c r="D256" s="106" t="s">
        <v>185</v>
      </c>
      <c r="E256" s="106" t="s">
        <v>40</v>
      </c>
      <c r="F256" s="16"/>
      <c r="G256" s="12" t="s">
        <v>180</v>
      </c>
      <c r="H256" s="15"/>
      <c r="I256" s="15"/>
      <c r="J256" s="15"/>
      <c r="K256" s="15"/>
      <c r="L256" s="17"/>
      <c r="M256" s="17"/>
      <c r="N256" s="17"/>
      <c r="O256" s="17">
        <v>1</v>
      </c>
      <c r="P256" s="17">
        <v>1</v>
      </c>
      <c r="Q256" s="17"/>
      <c r="R256" s="17"/>
      <c r="S256" s="15"/>
      <c r="T256" s="25">
        <v>46068</v>
      </c>
      <c r="U256" s="13" t="s">
        <v>148</v>
      </c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 t="s">
        <v>360</v>
      </c>
      <c r="D257" s="106" t="s">
        <v>185</v>
      </c>
      <c r="E257" s="106" t="s">
        <v>36</v>
      </c>
      <c r="F257" s="16"/>
      <c r="G257" s="12" t="s">
        <v>180</v>
      </c>
      <c r="H257" s="15"/>
      <c r="I257" s="15"/>
      <c r="J257" s="15"/>
      <c r="K257" s="15"/>
      <c r="L257" s="17"/>
      <c r="M257" s="17">
        <v>1</v>
      </c>
      <c r="N257" s="17">
        <v>1</v>
      </c>
      <c r="O257" s="17"/>
      <c r="P257" s="17"/>
      <c r="Q257" s="17">
        <v>1</v>
      </c>
      <c r="R257" s="17"/>
      <c r="S257" s="15"/>
      <c r="T257" s="25">
        <v>46068</v>
      </c>
      <c r="U257" s="13" t="s">
        <v>147</v>
      </c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15</v>
      </c>
      <c r="D268" s="112"/>
      <c r="E268" s="29"/>
      <c r="F268" s="29" t="s">
        <v>34</v>
      </c>
      <c r="G268" s="29">
        <f>COUNTIF(G243:G267,"S")</f>
        <v>15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11</v>
      </c>
      <c r="K268" s="29">
        <f t="shared" ref="K268" si="54">SUM(K243:K267)</f>
        <v>9</v>
      </c>
      <c r="L268" s="29">
        <f t="shared" ref="L268" si="55">SUM(L243:L267)</f>
        <v>0</v>
      </c>
      <c r="M268" s="29">
        <f t="shared" ref="M268" si="56">SUM(M243:M267)</f>
        <v>1</v>
      </c>
      <c r="N268" s="29">
        <f t="shared" ref="N268" si="57">SUM(N243:N267)</f>
        <v>1</v>
      </c>
      <c r="O268" s="29">
        <f t="shared" ref="O268" si="58">SUM(O243:O267)</f>
        <v>2</v>
      </c>
      <c r="P268" s="29">
        <f t="shared" ref="P268" si="59">SUM(P243:P267)</f>
        <v>2</v>
      </c>
      <c r="Q268" s="29">
        <f t="shared" ref="Q268" si="60">SUM(Q243:Q267)</f>
        <v>1</v>
      </c>
      <c r="R268" s="29">
        <f t="shared" ref="R268" si="61">SUM(R243:R267)</f>
        <v>1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29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AYG131</v>
      </c>
      <c r="B271" s="24">
        <f>B1</f>
        <v>46044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>
        <v>20</v>
      </c>
      <c r="C273" s="85" t="s">
        <v>361</v>
      </c>
      <c r="D273" s="109" t="s">
        <v>202</v>
      </c>
      <c r="E273" s="13" t="s">
        <v>60</v>
      </c>
      <c r="F273" s="14"/>
      <c r="G273" s="12" t="s">
        <v>180</v>
      </c>
      <c r="H273" s="13"/>
      <c r="I273" s="13"/>
      <c r="J273" s="13"/>
      <c r="K273" s="13">
        <v>1</v>
      </c>
      <c r="L273" s="13">
        <v>1</v>
      </c>
      <c r="M273" s="13"/>
      <c r="N273" s="13"/>
      <c r="O273" s="13"/>
      <c r="P273" s="13"/>
      <c r="Q273" s="13"/>
      <c r="R273" s="13"/>
      <c r="S273" s="13"/>
      <c r="T273" s="26">
        <v>46091</v>
      </c>
      <c r="U273" s="13" t="s">
        <v>146</v>
      </c>
      <c r="V273">
        <v>1</v>
      </c>
      <c r="X273" s="51" t="s">
        <v>106</v>
      </c>
      <c r="Y273" s="52">
        <f>COUNTIF(U273:U297,"K")</f>
        <v>13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 t="s">
        <v>362</v>
      </c>
      <c r="D274" s="109" t="s">
        <v>190</v>
      </c>
      <c r="E274" s="13" t="s">
        <v>40</v>
      </c>
      <c r="F274" s="16"/>
      <c r="G274" s="12" t="s">
        <v>180</v>
      </c>
      <c r="H274" s="15"/>
      <c r="I274" s="15"/>
      <c r="J274" s="15"/>
      <c r="K274" s="15"/>
      <c r="L274" s="17"/>
      <c r="M274" s="17"/>
      <c r="N274" s="17"/>
      <c r="O274" s="17">
        <v>1</v>
      </c>
      <c r="P274" s="17">
        <v>1</v>
      </c>
      <c r="Q274" s="17">
        <v>1</v>
      </c>
      <c r="R274" s="17">
        <v>1</v>
      </c>
      <c r="S274" s="15"/>
      <c r="T274" s="26">
        <v>46061</v>
      </c>
      <c r="U274" s="13" t="s">
        <v>148</v>
      </c>
      <c r="V274">
        <v>2</v>
      </c>
      <c r="X274" s="51" t="s">
        <v>107</v>
      </c>
      <c r="Y274" s="52">
        <f>COUNTIF(U273:U297,"R")</f>
        <v>3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 t="s">
        <v>363</v>
      </c>
      <c r="D275" s="109" t="s">
        <v>188</v>
      </c>
      <c r="E275" s="13" t="s">
        <v>37</v>
      </c>
      <c r="F275" s="16"/>
      <c r="G275" s="12" t="s">
        <v>180</v>
      </c>
      <c r="H275" s="15"/>
      <c r="I275" s="15"/>
      <c r="J275" s="15">
        <v>1</v>
      </c>
      <c r="K275" s="15">
        <v>1</v>
      </c>
      <c r="L275" s="17"/>
      <c r="M275" s="17"/>
      <c r="N275" s="17"/>
      <c r="O275" s="17"/>
      <c r="P275" s="17"/>
      <c r="Q275" s="17"/>
      <c r="R275" s="17"/>
      <c r="S275" s="15"/>
      <c r="T275" s="26">
        <v>46070</v>
      </c>
      <c r="U275" s="13" t="s">
        <v>146</v>
      </c>
      <c r="V275">
        <v>3</v>
      </c>
      <c r="X275" s="53" t="s">
        <v>108</v>
      </c>
      <c r="Y275" s="54">
        <f>COUNTIF(U273:U297,"J")</f>
        <v>2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 t="s">
        <v>364</v>
      </c>
      <c r="D276" s="109" t="s">
        <v>188</v>
      </c>
      <c r="E276" s="13" t="s">
        <v>39</v>
      </c>
      <c r="F276" s="16"/>
      <c r="G276" s="12" t="s">
        <v>180</v>
      </c>
      <c r="H276" s="15"/>
      <c r="I276" s="15"/>
      <c r="J276" s="15">
        <v>1</v>
      </c>
      <c r="K276" s="15">
        <v>1</v>
      </c>
      <c r="L276" s="17"/>
      <c r="M276" s="17"/>
      <c r="N276" s="17"/>
      <c r="O276" s="17"/>
      <c r="P276" s="17"/>
      <c r="Q276" s="17"/>
      <c r="R276" s="17"/>
      <c r="S276" s="15"/>
      <c r="T276" s="26">
        <v>46070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 t="s">
        <v>365</v>
      </c>
      <c r="D277" s="109" t="s">
        <v>186</v>
      </c>
      <c r="E277" s="13" t="s">
        <v>58</v>
      </c>
      <c r="F277" s="16"/>
      <c r="G277" s="12" t="s">
        <v>180</v>
      </c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>
        <v>46074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 t="s">
        <v>366</v>
      </c>
      <c r="D278" s="109" t="s">
        <v>181</v>
      </c>
      <c r="E278" s="13" t="s">
        <v>36</v>
      </c>
      <c r="F278" s="16"/>
      <c r="G278" s="12" t="s">
        <v>180</v>
      </c>
      <c r="H278" s="13"/>
      <c r="I278" s="15"/>
      <c r="J278" s="15"/>
      <c r="K278" s="15"/>
      <c r="L278" s="17"/>
      <c r="M278" s="17">
        <v>1</v>
      </c>
      <c r="N278" s="17">
        <v>1</v>
      </c>
      <c r="O278" s="17"/>
      <c r="P278" s="17"/>
      <c r="Q278" s="17">
        <v>1</v>
      </c>
      <c r="R278" s="17"/>
      <c r="S278" s="15"/>
      <c r="T278" s="26">
        <v>46067</v>
      </c>
      <c r="U278" s="13" t="s">
        <v>147</v>
      </c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 t="s">
        <v>367</v>
      </c>
      <c r="D279" s="109" t="s">
        <v>187</v>
      </c>
      <c r="E279" s="13" t="s">
        <v>60</v>
      </c>
      <c r="F279" s="16"/>
      <c r="G279" s="12" t="s">
        <v>180</v>
      </c>
      <c r="H279" s="15"/>
      <c r="I279" s="15"/>
      <c r="J279" s="15">
        <v>1</v>
      </c>
      <c r="K279" s="15"/>
      <c r="L279" s="15">
        <v>1</v>
      </c>
      <c r="M279" s="17"/>
      <c r="N279" s="17"/>
      <c r="O279" s="17"/>
      <c r="P279" s="17"/>
      <c r="Q279" s="17"/>
      <c r="R279" s="17"/>
      <c r="S279" s="15"/>
      <c r="T279" s="26">
        <v>46088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 t="s">
        <v>368</v>
      </c>
      <c r="D280" s="109" t="s">
        <v>187</v>
      </c>
      <c r="E280" s="13" t="s">
        <v>60</v>
      </c>
      <c r="F280" s="16"/>
      <c r="G280" s="12" t="s">
        <v>180</v>
      </c>
      <c r="H280" s="15"/>
      <c r="I280" s="15"/>
      <c r="J280" s="15">
        <v>1</v>
      </c>
      <c r="K280" s="15"/>
      <c r="L280" s="15">
        <v>1</v>
      </c>
      <c r="M280" s="17"/>
      <c r="N280" s="17"/>
      <c r="O280" s="17"/>
      <c r="P280" s="17"/>
      <c r="Q280" s="17"/>
      <c r="R280" s="17"/>
      <c r="S280" s="15"/>
      <c r="T280" s="26">
        <v>46088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 t="s">
        <v>369</v>
      </c>
      <c r="D281" s="109" t="s">
        <v>187</v>
      </c>
      <c r="E281" s="13" t="s">
        <v>60</v>
      </c>
      <c r="F281" s="16"/>
      <c r="G281" s="12" t="s">
        <v>180</v>
      </c>
      <c r="H281" s="15"/>
      <c r="I281" s="15"/>
      <c r="J281" s="15">
        <v>1</v>
      </c>
      <c r="K281" s="15"/>
      <c r="L281" s="15">
        <v>1</v>
      </c>
      <c r="M281" s="17"/>
      <c r="N281" s="17"/>
      <c r="O281" s="17"/>
      <c r="P281" s="17"/>
      <c r="Q281" s="17"/>
      <c r="R281" s="17"/>
      <c r="S281" s="15"/>
      <c r="T281" s="26">
        <v>46088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 t="s">
        <v>370</v>
      </c>
      <c r="D282" s="109" t="s">
        <v>187</v>
      </c>
      <c r="E282" s="13" t="s">
        <v>60</v>
      </c>
      <c r="F282" s="16"/>
      <c r="G282" s="12" t="s">
        <v>180</v>
      </c>
      <c r="H282" s="15"/>
      <c r="I282" s="15"/>
      <c r="J282" s="15">
        <v>1</v>
      </c>
      <c r="K282" s="15"/>
      <c r="L282" s="15">
        <v>1</v>
      </c>
      <c r="M282" s="17"/>
      <c r="N282" s="17"/>
      <c r="O282" s="17"/>
      <c r="P282" s="17"/>
      <c r="Q282" s="17"/>
      <c r="R282" s="17"/>
      <c r="S282" s="15"/>
      <c r="T282" s="26">
        <v>46088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 t="s">
        <v>371</v>
      </c>
      <c r="D283" s="109" t="s">
        <v>187</v>
      </c>
      <c r="E283" s="13" t="s">
        <v>60</v>
      </c>
      <c r="F283" s="16"/>
      <c r="G283" s="12" t="s">
        <v>180</v>
      </c>
      <c r="H283" s="15"/>
      <c r="I283" s="15"/>
      <c r="J283" s="15">
        <v>1</v>
      </c>
      <c r="K283" s="15"/>
      <c r="L283" s="15">
        <v>1</v>
      </c>
      <c r="M283" s="17"/>
      <c r="N283" s="17"/>
      <c r="O283" s="17"/>
      <c r="P283" s="17"/>
      <c r="Q283" s="17"/>
      <c r="R283" s="17"/>
      <c r="S283" s="15"/>
      <c r="T283" s="26">
        <v>46088</v>
      </c>
      <c r="U283" s="13" t="s">
        <v>146</v>
      </c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 t="s">
        <v>372</v>
      </c>
      <c r="D284" s="109" t="s">
        <v>187</v>
      </c>
      <c r="E284" s="13" t="s">
        <v>60</v>
      </c>
      <c r="F284" s="16"/>
      <c r="G284" s="12" t="s">
        <v>180</v>
      </c>
      <c r="H284" s="15"/>
      <c r="I284" s="15"/>
      <c r="J284" s="15">
        <v>1</v>
      </c>
      <c r="K284" s="15"/>
      <c r="L284" s="15">
        <v>1</v>
      </c>
      <c r="M284" s="17"/>
      <c r="N284" s="17"/>
      <c r="O284" s="17"/>
      <c r="P284" s="17"/>
      <c r="Q284" s="17"/>
      <c r="R284" s="17"/>
      <c r="S284" s="15"/>
      <c r="T284" s="26">
        <v>46088</v>
      </c>
      <c r="U284" s="13" t="s">
        <v>146</v>
      </c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 t="s">
        <v>373</v>
      </c>
      <c r="D285" s="109" t="s">
        <v>187</v>
      </c>
      <c r="E285" s="13" t="s">
        <v>60</v>
      </c>
      <c r="F285" s="16"/>
      <c r="G285" s="12" t="s">
        <v>180</v>
      </c>
      <c r="H285" s="15"/>
      <c r="I285" s="15"/>
      <c r="J285" s="15">
        <v>1</v>
      </c>
      <c r="K285" s="15"/>
      <c r="L285" s="15">
        <v>1</v>
      </c>
      <c r="M285" s="17"/>
      <c r="N285" s="17"/>
      <c r="O285" s="17"/>
      <c r="P285" s="17"/>
      <c r="Q285" s="17"/>
      <c r="R285" s="17"/>
      <c r="S285" s="15"/>
      <c r="T285" s="26">
        <v>46088</v>
      </c>
      <c r="U285" s="13" t="s">
        <v>146</v>
      </c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 t="s">
        <v>374</v>
      </c>
      <c r="D286" s="109" t="s">
        <v>187</v>
      </c>
      <c r="E286" s="13" t="s">
        <v>60</v>
      </c>
      <c r="F286" s="16"/>
      <c r="G286" s="12" t="s">
        <v>180</v>
      </c>
      <c r="H286" s="15"/>
      <c r="I286" s="15"/>
      <c r="J286" s="15">
        <v>1</v>
      </c>
      <c r="K286" s="15"/>
      <c r="L286" s="15">
        <v>1</v>
      </c>
      <c r="M286" s="17"/>
      <c r="N286" s="17"/>
      <c r="O286" s="17"/>
      <c r="P286" s="17"/>
      <c r="Q286" s="17"/>
      <c r="R286" s="17"/>
      <c r="S286" s="15"/>
      <c r="T286" s="26">
        <v>46088</v>
      </c>
      <c r="U286" s="13" t="s">
        <v>146</v>
      </c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 t="s">
        <v>375</v>
      </c>
      <c r="D287" s="109" t="s">
        <v>187</v>
      </c>
      <c r="E287" s="13" t="s">
        <v>60</v>
      </c>
      <c r="F287" s="16"/>
      <c r="G287" s="12" t="s">
        <v>180</v>
      </c>
      <c r="H287" s="15"/>
      <c r="I287" s="15"/>
      <c r="J287" s="15">
        <v>1</v>
      </c>
      <c r="K287" s="15"/>
      <c r="L287" s="15">
        <v>1</v>
      </c>
      <c r="M287" s="17"/>
      <c r="N287" s="17"/>
      <c r="O287" s="17"/>
      <c r="P287" s="17"/>
      <c r="Q287" s="17"/>
      <c r="R287" s="17"/>
      <c r="S287" s="15"/>
      <c r="T287" s="26">
        <v>46088</v>
      </c>
      <c r="U287" s="13" t="s">
        <v>146</v>
      </c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 t="s">
        <v>376</v>
      </c>
      <c r="D288" s="109" t="s">
        <v>183</v>
      </c>
      <c r="E288" s="15" t="s">
        <v>37</v>
      </c>
      <c r="F288" s="16"/>
      <c r="G288" s="15" t="s">
        <v>180</v>
      </c>
      <c r="H288" s="15"/>
      <c r="I288" s="15"/>
      <c r="J288" s="15"/>
      <c r="K288" s="15"/>
      <c r="L288" s="19"/>
      <c r="M288" s="19">
        <v>1</v>
      </c>
      <c r="N288" s="19">
        <v>1</v>
      </c>
      <c r="O288" s="19"/>
      <c r="P288" s="19"/>
      <c r="Q288" s="19">
        <v>1</v>
      </c>
      <c r="R288" s="19"/>
      <c r="S288" s="15"/>
      <c r="T288" s="26">
        <v>46099</v>
      </c>
      <c r="U288" s="15" t="s">
        <v>147</v>
      </c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 t="s">
        <v>377</v>
      </c>
      <c r="D289" s="109" t="s">
        <v>183</v>
      </c>
      <c r="E289" s="18" t="s">
        <v>37</v>
      </c>
      <c r="F289" s="16"/>
      <c r="G289" s="18" t="s">
        <v>180</v>
      </c>
      <c r="H289" s="15"/>
      <c r="I289" s="15"/>
      <c r="J289" s="18"/>
      <c r="K289" s="15"/>
      <c r="L289" s="19"/>
      <c r="M289" s="19">
        <v>1</v>
      </c>
      <c r="N289" s="19">
        <v>1</v>
      </c>
      <c r="O289" s="19"/>
      <c r="P289" s="19"/>
      <c r="Q289" s="19">
        <v>1</v>
      </c>
      <c r="R289" s="19"/>
      <c r="S289" s="15"/>
      <c r="T289" s="26">
        <v>46103</v>
      </c>
      <c r="U289" s="15" t="s">
        <v>147</v>
      </c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 t="s">
        <v>378</v>
      </c>
      <c r="D290" s="109" t="s">
        <v>183</v>
      </c>
      <c r="E290" s="18" t="s">
        <v>40</v>
      </c>
      <c r="F290" s="16"/>
      <c r="G290" s="18" t="s">
        <v>180</v>
      </c>
      <c r="H290" s="15"/>
      <c r="I290" s="15"/>
      <c r="J290" s="18"/>
      <c r="K290" s="15"/>
      <c r="L290" s="19"/>
      <c r="M290" s="19"/>
      <c r="N290" s="19"/>
      <c r="O290" s="19"/>
      <c r="P290" s="19">
        <v>1</v>
      </c>
      <c r="Q290" s="19">
        <v>1</v>
      </c>
      <c r="R290" s="19">
        <v>1</v>
      </c>
      <c r="S290" s="15"/>
      <c r="T290" s="26">
        <v>46074</v>
      </c>
      <c r="U290" s="15" t="s">
        <v>148</v>
      </c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18</v>
      </c>
      <c r="D298" s="112"/>
      <c r="E298" s="29"/>
      <c r="F298" s="29" t="s">
        <v>34</v>
      </c>
      <c r="G298" s="29">
        <f>COUNTIF(G273:G297,"S")</f>
        <v>18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11</v>
      </c>
      <c r="K298" s="29">
        <f t="shared" ref="K298" si="64">SUM(K273:K297)</f>
        <v>3</v>
      </c>
      <c r="L298" s="29">
        <f t="shared" ref="L298" si="65">SUM(L273:L297)</f>
        <v>10</v>
      </c>
      <c r="M298" s="29">
        <f t="shared" ref="M298" si="66">SUM(M273:M297)</f>
        <v>3</v>
      </c>
      <c r="N298" s="29">
        <f t="shared" ref="N298" si="67">SUM(N273:N297)</f>
        <v>3</v>
      </c>
      <c r="O298" s="29">
        <f t="shared" ref="O298" si="68">SUM(O273:O297)</f>
        <v>1</v>
      </c>
      <c r="P298" s="29">
        <f t="shared" ref="P298" si="69">SUM(P273:P297)</f>
        <v>2</v>
      </c>
      <c r="Q298" s="29">
        <f t="shared" ref="Q298" si="70">SUM(Q273:Q297)</f>
        <v>5</v>
      </c>
      <c r="R298" s="29">
        <f t="shared" ref="R298" si="71">SUM(R273:R297)</f>
        <v>2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40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AYG131</v>
      </c>
      <c r="B301" s="24">
        <f>B1</f>
        <v>46044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>
        <v>20</v>
      </c>
      <c r="C303" s="85" t="s">
        <v>379</v>
      </c>
      <c r="D303" s="109" t="s">
        <v>380</v>
      </c>
      <c r="E303" s="13" t="s">
        <v>40</v>
      </c>
      <c r="F303" s="14"/>
      <c r="G303" s="12" t="s">
        <v>180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>
        <v>46089</v>
      </c>
      <c r="U303" s="13" t="s">
        <v>148</v>
      </c>
      <c r="V303">
        <v>1</v>
      </c>
      <c r="X303" s="51" t="s">
        <v>106</v>
      </c>
      <c r="Y303" s="52">
        <f>COUNTIF(U303:U327,"K")</f>
        <v>8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 t="s">
        <v>381</v>
      </c>
      <c r="D304" s="109" t="s">
        <v>380</v>
      </c>
      <c r="E304" s="13" t="s">
        <v>40</v>
      </c>
      <c r="F304" s="16"/>
      <c r="G304" s="12" t="s">
        <v>180</v>
      </c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>
        <v>46089</v>
      </c>
      <c r="U304" s="13" t="s">
        <v>148</v>
      </c>
      <c r="V304">
        <v>2</v>
      </c>
      <c r="X304" s="51" t="s">
        <v>107</v>
      </c>
      <c r="Y304" s="52">
        <f>COUNTIF(U303:U327,"R")</f>
        <v>1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 t="s">
        <v>382</v>
      </c>
      <c r="D305" s="109" t="s">
        <v>380</v>
      </c>
      <c r="E305" s="13" t="s">
        <v>40</v>
      </c>
      <c r="F305" s="16"/>
      <c r="G305" s="12" t="s">
        <v>180</v>
      </c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>
        <v>46089</v>
      </c>
      <c r="U305" s="13" t="s">
        <v>148</v>
      </c>
      <c r="V305">
        <v>3</v>
      </c>
      <c r="X305" s="53" t="s">
        <v>108</v>
      </c>
      <c r="Y305" s="54">
        <f>COUNTIF(U303:U327,"J")</f>
        <v>5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 t="s">
        <v>383</v>
      </c>
      <c r="D306" s="109" t="s">
        <v>380</v>
      </c>
      <c r="E306" s="13" t="s">
        <v>40</v>
      </c>
      <c r="F306" s="16"/>
      <c r="G306" s="12" t="s">
        <v>180</v>
      </c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>
        <v>46089</v>
      </c>
      <c r="U306" s="13" t="s">
        <v>148</v>
      </c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 t="s">
        <v>384</v>
      </c>
      <c r="D307" s="109" t="s">
        <v>181</v>
      </c>
      <c r="E307" s="13" t="s">
        <v>36</v>
      </c>
      <c r="F307" s="16"/>
      <c r="G307" s="12" t="s">
        <v>180</v>
      </c>
      <c r="H307" s="15"/>
      <c r="I307" s="15"/>
      <c r="J307" s="15"/>
      <c r="K307" s="15"/>
      <c r="L307" s="17"/>
      <c r="M307" s="13">
        <v>1</v>
      </c>
      <c r="N307" s="13">
        <v>1</v>
      </c>
      <c r="O307" s="17"/>
      <c r="P307" s="17"/>
      <c r="Q307" s="17">
        <v>1</v>
      </c>
      <c r="R307" s="17"/>
      <c r="S307" s="15"/>
      <c r="T307" s="26">
        <v>46069</v>
      </c>
      <c r="U307" s="13" t="s">
        <v>147</v>
      </c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 t="s">
        <v>385</v>
      </c>
      <c r="D308" s="109" t="s">
        <v>188</v>
      </c>
      <c r="E308" s="13" t="s">
        <v>38</v>
      </c>
      <c r="F308" s="16"/>
      <c r="G308" s="12" t="s">
        <v>180</v>
      </c>
      <c r="H308" s="13"/>
      <c r="I308" s="15"/>
      <c r="J308" s="15">
        <v>1</v>
      </c>
      <c r="K308" s="15">
        <v>1</v>
      </c>
      <c r="L308" s="17"/>
      <c r="M308" s="13"/>
      <c r="N308" s="13"/>
      <c r="O308" s="17"/>
      <c r="P308" s="17"/>
      <c r="Q308" s="17"/>
      <c r="R308" s="17"/>
      <c r="S308" s="15"/>
      <c r="T308" s="26">
        <v>46071</v>
      </c>
      <c r="U308" s="13" t="s">
        <v>142</v>
      </c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 t="s">
        <v>386</v>
      </c>
      <c r="D309" s="109" t="s">
        <v>203</v>
      </c>
      <c r="E309" s="13" t="s">
        <v>36</v>
      </c>
      <c r="F309" s="16"/>
      <c r="G309" s="12" t="s">
        <v>180</v>
      </c>
      <c r="H309" s="15"/>
      <c r="I309" s="15"/>
      <c r="J309" s="15"/>
      <c r="K309" s="15">
        <v>1</v>
      </c>
      <c r="L309" s="17"/>
      <c r="M309" s="13"/>
      <c r="N309" s="13"/>
      <c r="O309" s="17"/>
      <c r="P309" s="17"/>
      <c r="Q309" s="17"/>
      <c r="R309" s="17"/>
      <c r="S309" s="15"/>
      <c r="T309" s="26">
        <v>46079</v>
      </c>
      <c r="U309" s="13" t="s">
        <v>146</v>
      </c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 t="s">
        <v>387</v>
      </c>
      <c r="D310" s="109" t="s">
        <v>203</v>
      </c>
      <c r="E310" s="13" t="s">
        <v>39</v>
      </c>
      <c r="F310" s="16"/>
      <c r="G310" s="12" t="s">
        <v>180</v>
      </c>
      <c r="H310" s="15"/>
      <c r="I310" s="15"/>
      <c r="J310" s="15">
        <v>1</v>
      </c>
      <c r="K310" s="15">
        <v>1</v>
      </c>
      <c r="L310" s="17"/>
      <c r="M310" s="13"/>
      <c r="N310" s="13"/>
      <c r="O310" s="17"/>
      <c r="P310" s="17"/>
      <c r="Q310" s="17"/>
      <c r="R310" s="17"/>
      <c r="S310" s="15"/>
      <c r="T310" s="26">
        <v>46079</v>
      </c>
      <c r="U310" s="13" t="s">
        <v>146</v>
      </c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 t="s">
        <v>388</v>
      </c>
      <c r="D311" s="109" t="s">
        <v>203</v>
      </c>
      <c r="E311" s="13" t="s">
        <v>133</v>
      </c>
      <c r="F311" s="16"/>
      <c r="G311" s="12" t="s">
        <v>180</v>
      </c>
      <c r="H311" s="15"/>
      <c r="I311" s="15"/>
      <c r="J311" s="15"/>
      <c r="K311" s="15"/>
      <c r="L311" s="17"/>
      <c r="M311" s="13"/>
      <c r="N311" s="13"/>
      <c r="O311" s="17">
        <v>1</v>
      </c>
      <c r="P311" s="17">
        <v>1</v>
      </c>
      <c r="Q311" s="17">
        <v>1</v>
      </c>
      <c r="R311" s="17">
        <v>1</v>
      </c>
      <c r="S311" s="15"/>
      <c r="T311" s="26">
        <v>46079</v>
      </c>
      <c r="U311" s="13" t="s">
        <v>148</v>
      </c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 t="s">
        <v>389</v>
      </c>
      <c r="D312" s="109" t="s">
        <v>202</v>
      </c>
      <c r="E312" s="13" t="s">
        <v>36</v>
      </c>
      <c r="F312" s="16"/>
      <c r="G312" s="12" t="s">
        <v>180</v>
      </c>
      <c r="H312" s="15"/>
      <c r="I312" s="15"/>
      <c r="J312" s="15">
        <v>1</v>
      </c>
      <c r="K312" s="15">
        <v>1</v>
      </c>
      <c r="L312" s="17"/>
      <c r="M312" s="13"/>
      <c r="N312" s="13"/>
      <c r="O312" s="17"/>
      <c r="P312" s="17"/>
      <c r="Q312" s="17"/>
      <c r="R312" s="17"/>
      <c r="S312" s="15"/>
      <c r="T312" s="26">
        <v>46086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 t="s">
        <v>390</v>
      </c>
      <c r="D313" s="109" t="s">
        <v>202</v>
      </c>
      <c r="E313" s="13" t="s">
        <v>41</v>
      </c>
      <c r="F313" s="16"/>
      <c r="G313" s="12" t="s">
        <v>180</v>
      </c>
      <c r="H313" s="15"/>
      <c r="I313" s="15"/>
      <c r="J313" s="15">
        <v>1</v>
      </c>
      <c r="K313" s="15"/>
      <c r="L313" s="17"/>
      <c r="M313" s="13"/>
      <c r="N313" s="13"/>
      <c r="O313" s="17"/>
      <c r="P313" s="17"/>
      <c r="Q313" s="17"/>
      <c r="R313" s="17"/>
      <c r="S313" s="15"/>
      <c r="T313" s="26">
        <v>46071</v>
      </c>
      <c r="U313" s="13" t="s">
        <v>146</v>
      </c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 t="s">
        <v>391</v>
      </c>
      <c r="D314" s="109" t="s">
        <v>202</v>
      </c>
      <c r="E314" s="13" t="s">
        <v>42</v>
      </c>
      <c r="F314" s="16"/>
      <c r="G314" s="12" t="s">
        <v>180</v>
      </c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>
        <v>1</v>
      </c>
      <c r="T314" s="26">
        <v>46071</v>
      </c>
      <c r="U314" s="13" t="s">
        <v>146</v>
      </c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 t="s">
        <v>392</v>
      </c>
      <c r="D315" s="109" t="s">
        <v>206</v>
      </c>
      <c r="E315" s="13" t="s">
        <v>58</v>
      </c>
      <c r="F315" s="16"/>
      <c r="G315" s="12" t="s">
        <v>180</v>
      </c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>
        <v>1</v>
      </c>
      <c r="T315" s="26">
        <v>46091</v>
      </c>
      <c r="U315" s="13" t="s">
        <v>146</v>
      </c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 t="s">
        <v>393</v>
      </c>
      <c r="D316" s="109" t="s">
        <v>206</v>
      </c>
      <c r="E316" s="13" t="s">
        <v>58</v>
      </c>
      <c r="F316" s="16"/>
      <c r="G316" s="12" t="s">
        <v>180</v>
      </c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>
        <v>1</v>
      </c>
      <c r="T316" s="26">
        <v>46091</v>
      </c>
      <c r="U316" s="13" t="s">
        <v>146</v>
      </c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14</v>
      </c>
      <c r="D328" s="112"/>
      <c r="E328" s="29"/>
      <c r="F328" s="29" t="s">
        <v>34</v>
      </c>
      <c r="G328" s="29">
        <f>COUNTIF(G303:G327,"S")</f>
        <v>14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4</v>
      </c>
      <c r="K328" s="29">
        <f t="shared" ref="K328" si="74">SUM(K303:K327)</f>
        <v>4</v>
      </c>
      <c r="L328" s="29">
        <f t="shared" ref="L328" si="75">SUM(L303:L327)</f>
        <v>0</v>
      </c>
      <c r="M328" s="29">
        <f t="shared" ref="M328" si="76">SUM(M303:M327)</f>
        <v>1</v>
      </c>
      <c r="N328" s="29">
        <f t="shared" ref="N328" si="77">SUM(N303:N327)</f>
        <v>1</v>
      </c>
      <c r="O328" s="29">
        <f t="shared" ref="O328" si="78">SUM(O303:O327)</f>
        <v>1</v>
      </c>
      <c r="P328" s="29">
        <f t="shared" ref="P328" si="79">SUM(P303:P327)</f>
        <v>1</v>
      </c>
      <c r="Q328" s="29">
        <f t="shared" ref="Q328" si="80">SUM(Q303:Q327)</f>
        <v>2</v>
      </c>
      <c r="R328" s="29">
        <f t="shared" ref="R328" si="81">SUM(R303:R327)</f>
        <v>1</v>
      </c>
      <c r="S328" s="29">
        <f t="shared" ref="S328" si="82">SUM(S303:S327)</f>
        <v>3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18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AYG131</v>
      </c>
      <c r="B331" s="24">
        <f>B151</f>
        <v>46044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C1945"/>
  <sheetViews>
    <sheetView topLeftCell="A4" zoomScaleNormal="100" workbookViewId="0">
      <selection sqref="A1:E30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54" width="16.625" customWidth="1"/>
    <col min="55" max="55" width="11" customWidth="1"/>
    <col min="56" max="56" width="10.5" style="121" customWidth="1"/>
    <col min="57" max="57" width="10.25" style="121" customWidth="1"/>
    <col min="58" max="58" width="10.875" style="121" customWidth="1"/>
    <col min="59" max="72" width="16.625" customWidth="1"/>
    <col min="73" max="73" width="20.5" customWidth="1"/>
    <col min="78" max="78" width="12.375" customWidth="1"/>
    <col min="79" max="79" width="11.25" customWidth="1"/>
    <col min="80" max="80" width="10.5" customWidth="1"/>
    <col min="81" max="81" width="10.25" customWidth="1"/>
  </cols>
  <sheetData>
    <row r="1" spans="1:77" x14ac:dyDescent="0.4">
      <c r="A1" s="120" t="s">
        <v>214</v>
      </c>
      <c r="B1" s="121"/>
      <c r="C1" s="121"/>
      <c r="D1" s="121"/>
      <c r="V1" t="s">
        <v>143</v>
      </c>
      <c r="W1" t="s">
        <v>144</v>
      </c>
      <c r="AW1" t="s">
        <v>143</v>
      </c>
      <c r="AX1" t="s">
        <v>144</v>
      </c>
      <c r="BC1" s="120"/>
      <c r="BU1" t="s">
        <v>143</v>
      </c>
      <c r="BV1" t="s">
        <v>144</v>
      </c>
    </row>
    <row r="2" spans="1:77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V2" s="25">
        <v>46055</v>
      </c>
      <c r="W2" s="13" t="s">
        <v>147</v>
      </c>
      <c r="AL2" s="127"/>
      <c r="AM2" s="29"/>
      <c r="AW2" s="25">
        <v>45669</v>
      </c>
      <c r="AX2" s="13" t="s">
        <v>147</v>
      </c>
      <c r="BC2" s="116"/>
      <c r="BD2" s="123"/>
      <c r="BE2" s="123"/>
      <c r="BF2" s="123"/>
      <c r="BK2" s="115"/>
      <c r="BL2" s="115"/>
      <c r="BM2" s="115"/>
      <c r="BN2" s="115"/>
      <c r="BO2" s="115"/>
      <c r="BP2" s="115"/>
      <c r="BQ2" s="115"/>
      <c r="BR2" s="115"/>
      <c r="BS2" s="115"/>
      <c r="BT2" s="115"/>
      <c r="BU2" s="25">
        <v>45258</v>
      </c>
      <c r="BV2" s="13" t="s">
        <v>162</v>
      </c>
      <c r="BY2" s="114"/>
    </row>
    <row r="3" spans="1:77" ht="20.100000000000001" customHeight="1" x14ac:dyDescent="0.4">
      <c r="A3" s="117">
        <v>46055</v>
      </c>
      <c r="B3" s="123"/>
      <c r="C3" s="123">
        <v>1</v>
      </c>
      <c r="D3" s="123"/>
      <c r="U3" s="115" t="s">
        <v>192</v>
      </c>
      <c r="V3" s="13">
        <f>SUBTOTAL(3,V2:V2)</f>
        <v>1</v>
      </c>
      <c r="W3" s="13">
        <f>SUBTOTAL(3,W2:W2)</f>
        <v>1</v>
      </c>
      <c r="AL3" s="127"/>
      <c r="AM3" s="29"/>
      <c r="AW3" s="25"/>
      <c r="AX3" s="13"/>
      <c r="BC3" s="116"/>
      <c r="BD3" s="123"/>
      <c r="BE3" s="123"/>
      <c r="BF3" s="123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25"/>
      <c r="BV3" s="13"/>
      <c r="BY3" s="114"/>
    </row>
    <row r="4" spans="1:77" ht="20.100000000000001" customHeight="1" x14ac:dyDescent="0.4">
      <c r="A4" s="117">
        <v>46056</v>
      </c>
      <c r="B4" s="123"/>
      <c r="C4" s="123"/>
      <c r="D4" s="123">
        <v>1</v>
      </c>
      <c r="T4" s="115"/>
      <c r="U4" s="115"/>
      <c r="V4" s="25">
        <v>46056</v>
      </c>
      <c r="W4" s="13" t="s">
        <v>148</v>
      </c>
      <c r="AL4" s="127"/>
      <c r="AM4" s="29"/>
      <c r="AW4" s="25"/>
      <c r="AX4" s="13"/>
      <c r="BC4" s="116"/>
      <c r="BD4" s="123"/>
      <c r="BE4" s="123"/>
      <c r="BF4" s="123"/>
      <c r="BK4" s="115"/>
      <c r="BL4" s="115"/>
      <c r="BM4" s="115"/>
      <c r="BN4" s="115"/>
      <c r="BO4" s="115"/>
      <c r="BP4" s="115"/>
      <c r="BQ4" s="115"/>
      <c r="BR4" s="115"/>
      <c r="BS4" s="115"/>
      <c r="BT4" s="115"/>
      <c r="BU4" s="25"/>
      <c r="BV4" s="13"/>
      <c r="BY4" s="114"/>
    </row>
    <row r="5" spans="1:77" ht="20.100000000000001" customHeight="1" x14ac:dyDescent="0.4">
      <c r="A5" s="117">
        <v>46058</v>
      </c>
      <c r="B5" s="123"/>
      <c r="C5" s="123">
        <v>1</v>
      </c>
      <c r="D5" s="123"/>
      <c r="T5" s="115"/>
      <c r="U5" s="115" t="s">
        <v>193</v>
      </c>
      <c r="V5" s="13">
        <f>SUBTOTAL(3,V4:V4)</f>
        <v>1</v>
      </c>
      <c r="W5" s="13">
        <f>SUBTOTAL(3,W4:W4)</f>
        <v>1</v>
      </c>
      <c r="AL5" s="127"/>
      <c r="AM5" s="29"/>
      <c r="AW5" s="25"/>
      <c r="AX5" s="13"/>
      <c r="BC5" s="116"/>
      <c r="BD5" s="123"/>
      <c r="BE5" s="123"/>
      <c r="BF5" s="123"/>
      <c r="BK5" s="115"/>
      <c r="BL5" s="115"/>
      <c r="BM5" s="115"/>
      <c r="BN5" s="115"/>
      <c r="BO5" s="115"/>
      <c r="BP5" s="115"/>
      <c r="BQ5" s="115"/>
      <c r="BR5" s="115"/>
      <c r="BS5" s="115"/>
      <c r="BT5" s="115"/>
      <c r="BU5" s="25"/>
      <c r="BV5" s="13"/>
      <c r="BY5" s="114"/>
    </row>
    <row r="6" spans="1:77" ht="20.100000000000001" customHeight="1" x14ac:dyDescent="0.4">
      <c r="A6" s="117">
        <v>46060</v>
      </c>
      <c r="B6" s="123">
        <v>2</v>
      </c>
      <c r="C6" s="123"/>
      <c r="D6" s="123"/>
      <c r="S6" s="115"/>
      <c r="T6" s="115"/>
      <c r="U6" s="115"/>
      <c r="V6" s="25">
        <v>46058</v>
      </c>
      <c r="W6" s="13" t="s">
        <v>147</v>
      </c>
      <c r="AL6" s="127"/>
      <c r="AM6" s="29"/>
      <c r="AW6" s="25"/>
      <c r="AX6" s="13"/>
      <c r="BC6" s="116"/>
      <c r="BD6" s="123"/>
      <c r="BE6" s="123"/>
      <c r="BF6" s="123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25"/>
      <c r="BV6" s="13"/>
      <c r="BY6" s="114"/>
    </row>
    <row r="7" spans="1:77" ht="20.100000000000001" customHeight="1" x14ac:dyDescent="0.4">
      <c r="A7" s="117">
        <v>46061</v>
      </c>
      <c r="B7" s="123">
        <v>4</v>
      </c>
      <c r="C7" s="123">
        <v>1</v>
      </c>
      <c r="D7" s="123">
        <v>1</v>
      </c>
      <c r="S7" s="115"/>
      <c r="T7" s="115"/>
      <c r="U7" s="115" t="s">
        <v>394</v>
      </c>
      <c r="V7" s="13">
        <f>SUBTOTAL(3,V6:V6)</f>
        <v>1</v>
      </c>
      <c r="W7" s="13">
        <f>SUBTOTAL(3,W6:W6)</f>
        <v>1</v>
      </c>
      <c r="AL7" s="127"/>
      <c r="AM7" s="29"/>
      <c r="AW7" s="25"/>
      <c r="AX7" s="13"/>
      <c r="BC7" s="116"/>
      <c r="BD7" s="123"/>
      <c r="BE7" s="123"/>
      <c r="BF7" s="123"/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25"/>
      <c r="BV7" s="13"/>
      <c r="BY7" s="114"/>
    </row>
    <row r="8" spans="1:77" ht="20.100000000000001" customHeight="1" x14ac:dyDescent="0.4">
      <c r="A8" s="117">
        <v>46063</v>
      </c>
      <c r="B8" s="123">
        <v>4</v>
      </c>
      <c r="C8" s="123"/>
      <c r="D8" s="123"/>
      <c r="O8" s="115"/>
      <c r="P8" s="115"/>
      <c r="Q8" s="115"/>
      <c r="R8" s="115"/>
      <c r="S8" s="115"/>
      <c r="T8" s="115"/>
      <c r="U8" s="115"/>
      <c r="V8" s="25">
        <v>46060</v>
      </c>
      <c r="W8" s="13" t="s">
        <v>146</v>
      </c>
      <c r="AL8" s="127"/>
      <c r="AM8" s="29"/>
      <c r="AW8" s="25"/>
      <c r="AX8" s="13"/>
      <c r="BC8" s="116"/>
      <c r="BD8" s="123"/>
      <c r="BE8" s="123"/>
      <c r="BF8" s="123"/>
      <c r="BK8" s="115"/>
      <c r="BL8" s="115"/>
      <c r="BM8" s="115"/>
      <c r="BN8" s="115"/>
      <c r="BO8" s="115"/>
      <c r="BP8" s="115"/>
      <c r="BQ8" s="115"/>
      <c r="BR8" s="115"/>
      <c r="BS8" s="115"/>
      <c r="BT8" s="115"/>
      <c r="BU8" s="25"/>
      <c r="BV8" s="13"/>
      <c r="BY8" s="114"/>
    </row>
    <row r="9" spans="1:77" ht="20.100000000000001" customHeight="1" x14ac:dyDescent="0.4">
      <c r="A9" s="117">
        <v>46064</v>
      </c>
      <c r="B9" s="123"/>
      <c r="C9" s="123">
        <v>2</v>
      </c>
      <c r="D9" s="123"/>
      <c r="O9" s="115"/>
      <c r="P9" s="115"/>
      <c r="Q9" s="115"/>
      <c r="R9" s="115"/>
      <c r="S9" s="115"/>
      <c r="T9" s="115"/>
      <c r="U9" s="115"/>
      <c r="V9" s="25">
        <v>46060</v>
      </c>
      <c r="W9" s="13" t="s">
        <v>146</v>
      </c>
      <c r="AL9" s="127"/>
      <c r="AM9" s="29"/>
      <c r="AW9" s="25"/>
      <c r="AX9" s="13"/>
      <c r="BC9" s="116"/>
      <c r="BD9" s="123"/>
      <c r="BE9" s="123"/>
      <c r="BF9" s="123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25"/>
      <c r="BV9" s="13"/>
      <c r="BY9" s="114"/>
    </row>
    <row r="10" spans="1:77" ht="20.100000000000001" customHeight="1" x14ac:dyDescent="0.4">
      <c r="A10" s="117">
        <v>46067</v>
      </c>
      <c r="B10" s="123">
        <v>5</v>
      </c>
      <c r="C10" s="123">
        <v>6</v>
      </c>
      <c r="D10" s="123">
        <v>1</v>
      </c>
      <c r="O10" s="115"/>
      <c r="P10" s="115"/>
      <c r="Q10" s="115"/>
      <c r="R10" s="115"/>
      <c r="S10" s="115"/>
      <c r="T10" s="115"/>
      <c r="U10" s="115" t="s">
        <v>194</v>
      </c>
      <c r="V10" s="13">
        <f>SUBTOTAL(3,V8:V9)</f>
        <v>2</v>
      </c>
      <c r="W10" s="13">
        <f>SUBTOTAL(3,W8:W9)</f>
        <v>2</v>
      </c>
      <c r="AL10" s="127"/>
      <c r="AM10" s="29"/>
      <c r="AW10" s="25"/>
      <c r="AX10" s="13"/>
      <c r="BC10" s="116"/>
      <c r="BD10" s="123"/>
      <c r="BE10" s="123"/>
      <c r="BF10" s="123"/>
      <c r="BK10" s="115"/>
      <c r="BL10" s="115"/>
      <c r="BM10" s="115"/>
      <c r="BN10" s="115"/>
      <c r="BO10" s="115"/>
      <c r="BP10" s="115"/>
      <c r="BQ10" s="115"/>
      <c r="BR10" s="115"/>
      <c r="BS10" s="115"/>
      <c r="BT10" s="115"/>
      <c r="BU10" s="25"/>
      <c r="BV10" s="13"/>
      <c r="BY10" s="114"/>
    </row>
    <row r="11" spans="1:77" ht="20.100000000000001" customHeight="1" x14ac:dyDescent="0.4">
      <c r="A11" s="117">
        <v>46068</v>
      </c>
      <c r="B11" s="123">
        <v>20</v>
      </c>
      <c r="C11" s="123">
        <v>7</v>
      </c>
      <c r="D11" s="123">
        <v>4</v>
      </c>
      <c r="O11" s="115"/>
      <c r="P11" s="115"/>
      <c r="Q11" s="115"/>
      <c r="R11" s="115"/>
      <c r="S11" s="115"/>
      <c r="T11" s="115"/>
      <c r="U11" s="115"/>
      <c r="V11" s="25">
        <v>46061</v>
      </c>
      <c r="W11" s="13" t="s">
        <v>146</v>
      </c>
      <c r="AL11" s="127"/>
      <c r="AM11" s="29"/>
      <c r="AW11" s="25"/>
      <c r="AX11" s="13"/>
      <c r="BC11" s="116"/>
      <c r="BD11" s="123"/>
      <c r="BE11" s="123"/>
      <c r="BF11" s="123"/>
      <c r="BK11" s="115"/>
      <c r="BL11" s="115"/>
      <c r="BM11" s="115"/>
      <c r="BN11" s="115"/>
      <c r="BO11" s="115"/>
      <c r="BP11" s="115"/>
      <c r="BQ11" s="115"/>
      <c r="BR11" s="115"/>
      <c r="BS11" s="115"/>
      <c r="BT11" s="115"/>
      <c r="BU11" s="25"/>
      <c r="BV11" s="13"/>
      <c r="BY11" s="114"/>
    </row>
    <row r="12" spans="1:77" ht="20.100000000000001" customHeight="1" x14ac:dyDescent="0.4">
      <c r="A12" s="117">
        <v>46069</v>
      </c>
      <c r="B12" s="123">
        <v>1</v>
      </c>
      <c r="C12" s="123">
        <v>5</v>
      </c>
      <c r="D12" s="123"/>
      <c r="O12" s="115"/>
      <c r="P12" s="115"/>
      <c r="Q12" s="115"/>
      <c r="R12" s="115"/>
      <c r="S12" s="115"/>
      <c r="T12" s="115"/>
      <c r="U12" s="115"/>
      <c r="V12" s="25">
        <v>46061</v>
      </c>
      <c r="W12" s="13" t="s">
        <v>146</v>
      </c>
      <c r="AL12" s="127"/>
      <c r="AM12" s="29"/>
      <c r="AW12" s="25"/>
      <c r="AX12" s="13"/>
      <c r="BC12" s="116"/>
      <c r="BD12" s="123"/>
      <c r="BE12" s="123"/>
      <c r="BF12" s="123"/>
      <c r="BK12" s="115"/>
      <c r="BL12" s="115"/>
      <c r="BM12" s="115"/>
      <c r="BN12" s="115"/>
      <c r="BO12" s="115"/>
      <c r="BP12" s="115"/>
      <c r="BQ12" s="115"/>
      <c r="BR12" s="115"/>
      <c r="BS12" s="115"/>
      <c r="BT12" s="115"/>
      <c r="BU12" s="25"/>
      <c r="BV12" s="13"/>
      <c r="BY12" s="114"/>
    </row>
    <row r="13" spans="1:77" ht="20.100000000000001" customHeight="1" x14ac:dyDescent="0.4">
      <c r="A13" s="117">
        <v>46070</v>
      </c>
      <c r="B13" s="123">
        <v>3</v>
      </c>
      <c r="C13" s="123">
        <v>3</v>
      </c>
      <c r="D13" s="123"/>
      <c r="O13" s="115"/>
      <c r="P13" s="115"/>
      <c r="Q13" s="115"/>
      <c r="R13" s="115"/>
      <c r="S13" s="115"/>
      <c r="T13" s="115"/>
      <c r="U13" s="115"/>
      <c r="V13" s="25">
        <v>46061</v>
      </c>
      <c r="W13" s="13" t="s">
        <v>147</v>
      </c>
      <c r="AL13" s="127"/>
      <c r="AM13" s="29"/>
      <c r="AW13" s="25"/>
      <c r="AX13" s="13"/>
      <c r="BC13" s="116"/>
      <c r="BD13" s="123"/>
      <c r="BE13" s="123"/>
      <c r="BF13" s="123"/>
      <c r="BK13" s="115"/>
      <c r="BL13" s="115"/>
      <c r="BM13" s="115"/>
      <c r="BN13" s="115"/>
      <c r="BO13" s="115"/>
      <c r="BP13" s="115"/>
      <c r="BQ13" s="115"/>
      <c r="BR13" s="115"/>
      <c r="BS13" s="115"/>
      <c r="BT13" s="115"/>
      <c r="BU13" s="25"/>
      <c r="BV13" s="13"/>
      <c r="BY13" s="114"/>
    </row>
    <row r="14" spans="1:77" ht="20.100000000000001" customHeight="1" x14ac:dyDescent="0.4">
      <c r="A14" s="117">
        <v>46071</v>
      </c>
      <c r="B14" s="123">
        <v>31</v>
      </c>
      <c r="C14" s="123">
        <v>1</v>
      </c>
      <c r="D14" s="123">
        <v>1</v>
      </c>
      <c r="O14" s="115"/>
      <c r="P14" s="115"/>
      <c r="Q14" s="115"/>
      <c r="R14" s="115"/>
      <c r="S14" s="115"/>
      <c r="T14" s="115"/>
      <c r="U14" s="115"/>
      <c r="V14" s="25">
        <v>46061</v>
      </c>
      <c r="W14" s="133" t="s">
        <v>146</v>
      </c>
      <c r="AL14" s="127"/>
      <c r="AM14" s="29"/>
      <c r="AW14" s="25"/>
      <c r="AX14" s="13"/>
      <c r="BC14" s="116"/>
      <c r="BD14" s="123"/>
      <c r="BE14" s="123"/>
      <c r="BF14" s="123"/>
      <c r="BK14" s="115"/>
      <c r="BL14" s="115"/>
      <c r="BM14" s="115"/>
      <c r="BN14" s="115"/>
      <c r="BO14" s="115"/>
      <c r="BP14" s="115"/>
      <c r="BQ14" s="115"/>
      <c r="BR14" s="115"/>
      <c r="BS14" s="115"/>
      <c r="BT14" s="115"/>
      <c r="BU14" s="25"/>
      <c r="BV14" s="13"/>
      <c r="BY14" s="114"/>
    </row>
    <row r="15" spans="1:77" ht="20.100000000000001" customHeight="1" x14ac:dyDescent="0.4">
      <c r="A15" s="117">
        <v>46074</v>
      </c>
      <c r="B15" s="123">
        <v>1</v>
      </c>
      <c r="C15" s="123">
        <v>1</v>
      </c>
      <c r="D15" s="123">
        <v>2</v>
      </c>
      <c r="O15" s="115"/>
      <c r="P15" s="115"/>
      <c r="Q15" s="115"/>
      <c r="R15" s="115"/>
      <c r="S15" s="115"/>
      <c r="T15" s="115"/>
      <c r="U15" s="115"/>
      <c r="V15" s="25">
        <v>46061</v>
      </c>
      <c r="W15" s="13" t="s">
        <v>146</v>
      </c>
      <c r="AL15" s="127"/>
      <c r="AM15" s="29"/>
      <c r="AW15" s="25"/>
      <c r="AX15" s="13"/>
      <c r="BC15" s="116"/>
      <c r="BD15" s="123"/>
      <c r="BE15" s="123"/>
      <c r="BF15" s="123"/>
      <c r="BK15" s="115"/>
      <c r="BL15" s="115"/>
      <c r="BM15" s="115"/>
      <c r="BN15" s="115"/>
      <c r="BO15" s="115"/>
      <c r="BP15" s="115"/>
      <c r="BQ15" s="115"/>
      <c r="BR15" s="115"/>
      <c r="BS15" s="115"/>
      <c r="BT15" s="115"/>
      <c r="BU15" s="25"/>
      <c r="BV15" s="13"/>
      <c r="BY15" s="114"/>
    </row>
    <row r="16" spans="1:77" ht="20.100000000000001" customHeight="1" x14ac:dyDescent="0.4">
      <c r="A16" s="117">
        <v>46075</v>
      </c>
      <c r="B16" s="123"/>
      <c r="C16" s="123">
        <v>1</v>
      </c>
      <c r="D16" s="123"/>
      <c r="O16" s="115"/>
      <c r="P16" s="115"/>
      <c r="Q16" s="115"/>
      <c r="R16" s="115"/>
      <c r="S16" s="115"/>
      <c r="T16" s="115"/>
      <c r="U16" s="115"/>
      <c r="V16" s="25">
        <v>46061</v>
      </c>
      <c r="W16" s="13" t="s">
        <v>148</v>
      </c>
      <c r="AL16" s="127"/>
      <c r="AM16" s="29"/>
      <c r="AW16" s="25"/>
      <c r="AX16" s="13"/>
      <c r="BC16" s="116"/>
      <c r="BD16" s="123"/>
      <c r="BE16" s="123"/>
      <c r="BF16" s="123"/>
      <c r="BK16" s="115"/>
      <c r="BL16" s="115"/>
      <c r="BM16" s="115"/>
      <c r="BN16" s="115"/>
      <c r="BO16" s="115"/>
      <c r="BP16" s="115"/>
      <c r="BQ16" s="115"/>
      <c r="BR16" s="115"/>
      <c r="BS16" s="115"/>
      <c r="BT16" s="115"/>
      <c r="BU16" s="25"/>
      <c r="BV16" s="13"/>
      <c r="BY16" s="114"/>
    </row>
    <row r="17" spans="1:77" ht="20.100000000000001" customHeight="1" x14ac:dyDescent="0.4">
      <c r="A17" s="117">
        <v>46076</v>
      </c>
      <c r="B17" s="123">
        <v>6</v>
      </c>
      <c r="C17" s="123"/>
      <c r="D17" s="123">
        <v>3</v>
      </c>
      <c r="O17" s="115"/>
      <c r="P17" s="115"/>
      <c r="Q17" s="115"/>
      <c r="R17" s="115"/>
      <c r="S17" s="115"/>
      <c r="T17" s="115"/>
      <c r="U17" s="115" t="s">
        <v>195</v>
      </c>
      <c r="V17" s="13">
        <f>SUBTOTAL(3,V11:V16)</f>
        <v>6</v>
      </c>
      <c r="W17" s="13">
        <f>SUBTOTAL(3,W11:W16)</f>
        <v>6</v>
      </c>
      <c r="AL17" s="127"/>
      <c r="AM17" s="29"/>
      <c r="AW17" s="25"/>
      <c r="AX17" s="13"/>
      <c r="BC17" s="116"/>
      <c r="BD17" s="123"/>
      <c r="BE17" s="123"/>
      <c r="BF17" s="123"/>
      <c r="BK17" s="115"/>
      <c r="BL17" s="115"/>
      <c r="BM17" s="115"/>
      <c r="BN17" s="115"/>
      <c r="BO17" s="115"/>
      <c r="BP17" s="115"/>
      <c r="BQ17" s="115"/>
      <c r="BR17" s="115"/>
      <c r="BS17" s="115"/>
      <c r="BT17" s="115"/>
      <c r="BU17" s="25"/>
      <c r="BV17" s="13"/>
      <c r="BY17" s="114"/>
    </row>
    <row r="18" spans="1:77" ht="20.100000000000001" customHeight="1" x14ac:dyDescent="0.4">
      <c r="A18" s="117">
        <v>46077</v>
      </c>
      <c r="B18" s="123">
        <v>1</v>
      </c>
      <c r="C18" s="123">
        <v>2</v>
      </c>
      <c r="D18" s="123"/>
      <c r="O18" s="115"/>
      <c r="P18" s="115"/>
      <c r="Q18" s="115"/>
      <c r="R18" s="115"/>
      <c r="S18" s="115"/>
      <c r="T18" s="115"/>
      <c r="U18" s="115"/>
      <c r="V18" s="25">
        <v>46063</v>
      </c>
      <c r="W18" s="13" t="s">
        <v>146</v>
      </c>
      <c r="AL18" s="127"/>
      <c r="AM18" s="29"/>
      <c r="AW18" s="25"/>
      <c r="AX18" s="13"/>
      <c r="BC18" s="116"/>
      <c r="BD18" s="123"/>
      <c r="BE18" s="123"/>
      <c r="BF18" s="123"/>
      <c r="BK18" s="115"/>
      <c r="BL18" s="115"/>
      <c r="BM18" s="115"/>
      <c r="BN18" s="115"/>
      <c r="BO18" s="115"/>
      <c r="BP18" s="115"/>
      <c r="BQ18" s="115"/>
      <c r="BR18" s="115"/>
      <c r="BS18" s="115"/>
      <c r="BT18" s="115"/>
      <c r="BU18" s="25"/>
      <c r="BV18" s="13"/>
      <c r="BY18" s="114"/>
    </row>
    <row r="19" spans="1:77" ht="20.100000000000001" customHeight="1" x14ac:dyDescent="0.4">
      <c r="A19" s="117">
        <v>46079</v>
      </c>
      <c r="B19" s="123">
        <v>7</v>
      </c>
      <c r="C19" s="123">
        <v>2</v>
      </c>
      <c r="D19" s="123">
        <v>2</v>
      </c>
      <c r="O19" s="115"/>
      <c r="P19" s="115"/>
      <c r="Q19" s="115"/>
      <c r="R19" s="115"/>
      <c r="S19" s="115"/>
      <c r="T19" s="115"/>
      <c r="U19" s="115"/>
      <c r="V19" s="25">
        <v>46063</v>
      </c>
      <c r="W19" s="13" t="s">
        <v>146</v>
      </c>
      <c r="AL19" s="127"/>
      <c r="AM19" s="29"/>
      <c r="AW19" s="25"/>
      <c r="AX19" s="13"/>
      <c r="BC19" s="116"/>
      <c r="BD19" s="123"/>
      <c r="BE19" s="123"/>
      <c r="BF19" s="123"/>
      <c r="BK19" s="115"/>
      <c r="BL19" s="115"/>
      <c r="BM19" s="115"/>
      <c r="BN19" s="115"/>
      <c r="BO19" s="115"/>
      <c r="BP19" s="115"/>
      <c r="BQ19" s="115"/>
      <c r="BR19" s="115"/>
      <c r="BS19" s="115"/>
      <c r="BT19" s="115"/>
      <c r="BU19" s="25"/>
      <c r="BV19" s="13"/>
      <c r="BY19" s="114"/>
    </row>
    <row r="20" spans="1:77" ht="20.100000000000001" customHeight="1" x14ac:dyDescent="0.4">
      <c r="A20" s="117">
        <v>46081</v>
      </c>
      <c r="B20" s="123">
        <v>1</v>
      </c>
      <c r="C20" s="123">
        <v>1</v>
      </c>
      <c r="D20" s="123">
        <v>1</v>
      </c>
      <c r="O20" s="115"/>
      <c r="P20" s="115"/>
      <c r="Q20" s="115"/>
      <c r="R20" s="115"/>
      <c r="S20" s="115"/>
      <c r="T20" s="115"/>
      <c r="U20" s="115"/>
      <c r="V20" s="25">
        <v>46063</v>
      </c>
      <c r="W20" s="13" t="s">
        <v>146</v>
      </c>
      <c r="AL20" s="127"/>
      <c r="AM20" s="29"/>
      <c r="AW20" s="25"/>
      <c r="AX20" s="13"/>
      <c r="BC20" s="116"/>
      <c r="BD20" s="123"/>
      <c r="BE20" s="123"/>
      <c r="BF20" s="123"/>
      <c r="BK20" s="115"/>
      <c r="BL20" s="115"/>
      <c r="BM20" s="115"/>
      <c r="BN20" s="115"/>
      <c r="BO20" s="115"/>
      <c r="BP20" s="115"/>
      <c r="BQ20" s="115"/>
      <c r="BR20" s="115"/>
      <c r="BS20" s="115"/>
      <c r="BT20" s="115"/>
      <c r="BU20" s="25"/>
      <c r="BV20" s="13"/>
      <c r="BY20" s="114"/>
    </row>
    <row r="21" spans="1:77" ht="20.100000000000001" customHeight="1" x14ac:dyDescent="0.4">
      <c r="A21" s="117">
        <v>46085</v>
      </c>
      <c r="B21" s="123">
        <v>1</v>
      </c>
      <c r="C21" s="123"/>
      <c r="D21" s="123"/>
      <c r="O21" s="115"/>
      <c r="P21" s="115"/>
      <c r="Q21" s="115"/>
      <c r="R21" s="115"/>
      <c r="S21" s="115"/>
      <c r="T21" s="115"/>
      <c r="U21" s="115"/>
      <c r="V21" s="25">
        <v>46063</v>
      </c>
      <c r="W21" s="13" t="s">
        <v>146</v>
      </c>
      <c r="AL21" s="127"/>
      <c r="AM21" s="29"/>
      <c r="AW21" s="25"/>
      <c r="AX21" s="13"/>
      <c r="BC21" s="116"/>
      <c r="BD21" s="123"/>
      <c r="BE21" s="123"/>
      <c r="BF21" s="123"/>
      <c r="BK21" s="115"/>
      <c r="BL21" s="115"/>
      <c r="BM21" s="115"/>
      <c r="BN21" s="115"/>
      <c r="BO21" s="115"/>
      <c r="BP21" s="115"/>
      <c r="BQ21" s="115"/>
      <c r="BR21" s="115"/>
      <c r="BS21" s="115"/>
      <c r="BT21" s="115"/>
      <c r="BU21" s="25"/>
      <c r="BV21" s="13"/>
      <c r="BY21" s="114"/>
    </row>
    <row r="22" spans="1:77" ht="20.100000000000001" customHeight="1" x14ac:dyDescent="0.4">
      <c r="A22" s="117">
        <v>46086</v>
      </c>
      <c r="B22" s="123">
        <v>1</v>
      </c>
      <c r="C22" s="123"/>
      <c r="D22" s="123"/>
      <c r="O22" s="115"/>
      <c r="P22" s="115"/>
      <c r="Q22" s="115"/>
      <c r="R22" s="115"/>
      <c r="S22" s="115"/>
      <c r="T22" s="115"/>
      <c r="U22" s="115" t="s">
        <v>207</v>
      </c>
      <c r="V22" s="13">
        <f>SUBTOTAL(3,V18:V21)</f>
        <v>4</v>
      </c>
      <c r="W22" s="13">
        <f>SUBTOTAL(3,W18:W21)</f>
        <v>4</v>
      </c>
      <c r="AL22" s="127"/>
      <c r="AM22" s="29"/>
      <c r="AW22" s="25"/>
      <c r="AX22" s="13"/>
      <c r="BC22" s="116"/>
      <c r="BD22" s="123"/>
      <c r="BE22" s="123"/>
      <c r="BF22" s="123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  <c r="BU22" s="25"/>
      <c r="BV22" s="13"/>
      <c r="BY22" s="114"/>
    </row>
    <row r="23" spans="1:77" ht="20.100000000000001" customHeight="1" x14ac:dyDescent="0.4">
      <c r="A23" s="117">
        <v>46088</v>
      </c>
      <c r="B23" s="123">
        <v>9</v>
      </c>
      <c r="C23" s="123"/>
      <c r="D23" s="123"/>
      <c r="O23" s="115"/>
      <c r="P23" s="115"/>
      <c r="Q23" s="115"/>
      <c r="R23" s="115"/>
      <c r="S23" s="115"/>
      <c r="T23" s="115"/>
      <c r="U23" s="115"/>
      <c r="V23" s="25">
        <v>46064</v>
      </c>
      <c r="W23" s="13" t="s">
        <v>147</v>
      </c>
      <c r="AL23" s="127"/>
      <c r="AM23" s="29"/>
      <c r="AW23" s="25"/>
      <c r="AX23" s="13"/>
      <c r="BC23" s="116"/>
      <c r="BD23" s="123"/>
      <c r="BE23" s="123"/>
      <c r="BF23" s="123"/>
      <c r="BK23" s="115"/>
      <c r="BL23" s="115"/>
      <c r="BM23" s="115"/>
      <c r="BN23" s="115"/>
      <c r="BO23" s="115"/>
      <c r="BP23" s="115"/>
      <c r="BQ23" s="115"/>
      <c r="BR23" s="115"/>
      <c r="BS23" s="115"/>
      <c r="BT23" s="115"/>
      <c r="BU23" s="25"/>
      <c r="BV23" s="13"/>
      <c r="BY23" s="114"/>
    </row>
    <row r="24" spans="1:77" ht="20.100000000000001" customHeight="1" x14ac:dyDescent="0.4">
      <c r="A24" s="117">
        <v>46089</v>
      </c>
      <c r="B24" s="123">
        <v>1</v>
      </c>
      <c r="C24" s="123">
        <v>2</v>
      </c>
      <c r="D24" s="123">
        <v>4</v>
      </c>
      <c r="N24" s="115"/>
      <c r="O24" s="115"/>
      <c r="P24" s="115"/>
      <c r="Q24" s="115"/>
      <c r="R24" s="115"/>
      <c r="S24" s="115"/>
      <c r="T24" s="115"/>
      <c r="U24" s="115"/>
      <c r="V24" s="25">
        <v>46064</v>
      </c>
      <c r="W24" s="13" t="s">
        <v>147</v>
      </c>
      <c r="AL24" s="127"/>
      <c r="AM24" s="29"/>
      <c r="AW24" s="25"/>
      <c r="AX24" s="13"/>
      <c r="BC24" s="116"/>
      <c r="BD24" s="123"/>
      <c r="BE24" s="123"/>
      <c r="BF24" s="123"/>
      <c r="BK24" s="115"/>
      <c r="BL24" s="115"/>
      <c r="BM24" s="115"/>
      <c r="BN24" s="115"/>
      <c r="BO24" s="115"/>
      <c r="BP24" s="115"/>
      <c r="BQ24" s="115"/>
      <c r="BR24" s="115"/>
      <c r="BS24" s="115"/>
      <c r="BT24" s="115"/>
      <c r="BU24" s="25"/>
      <c r="BV24" s="13"/>
      <c r="BY24" s="114"/>
    </row>
    <row r="25" spans="1:77" ht="20.100000000000001" customHeight="1" x14ac:dyDescent="0.4">
      <c r="A25" s="117">
        <v>46091</v>
      </c>
      <c r="B25" s="123">
        <v>3</v>
      </c>
      <c r="C25" s="123"/>
      <c r="D25" s="123"/>
      <c r="N25" s="115"/>
      <c r="O25" s="115"/>
      <c r="P25" s="115"/>
      <c r="Q25" s="115"/>
      <c r="R25" s="115"/>
      <c r="S25" s="115"/>
      <c r="T25" s="115"/>
      <c r="U25" s="115" t="s">
        <v>208</v>
      </c>
      <c r="V25" s="13">
        <f>SUBTOTAL(3,V23:V24)</f>
        <v>2</v>
      </c>
      <c r="W25" s="13">
        <f>SUBTOTAL(3,W23:W24)</f>
        <v>2</v>
      </c>
      <c r="AL25" s="127"/>
      <c r="AM25" s="29"/>
      <c r="AW25" s="25"/>
      <c r="AX25" s="13"/>
      <c r="BC25" s="116"/>
      <c r="BD25" s="123"/>
      <c r="BE25" s="123"/>
      <c r="BF25" s="123"/>
      <c r="BK25" s="115"/>
      <c r="BL25" s="115"/>
      <c r="BM25" s="115"/>
      <c r="BN25" s="115"/>
      <c r="BO25" s="115"/>
      <c r="BP25" s="115"/>
      <c r="BQ25" s="115"/>
      <c r="BR25" s="115"/>
      <c r="BS25" s="115"/>
      <c r="BT25" s="115"/>
      <c r="BU25" s="25"/>
      <c r="BV25" s="13"/>
      <c r="BY25" s="114"/>
    </row>
    <row r="26" spans="1:77" ht="20.100000000000001" customHeight="1" x14ac:dyDescent="0.4">
      <c r="A26" s="117">
        <v>46097</v>
      </c>
      <c r="B26" s="123"/>
      <c r="C26" s="123">
        <v>4</v>
      </c>
      <c r="D26" s="123"/>
      <c r="N26" s="115"/>
      <c r="O26" s="115"/>
      <c r="P26" s="115"/>
      <c r="Q26" s="115"/>
      <c r="R26" s="115"/>
      <c r="S26" s="115"/>
      <c r="T26" s="115"/>
      <c r="U26" s="115"/>
      <c r="V26" s="25">
        <v>46067</v>
      </c>
      <c r="W26" s="13" t="s">
        <v>147</v>
      </c>
      <c r="AL26" s="127"/>
      <c r="AM26" s="29"/>
      <c r="AW26" s="25"/>
      <c r="AX26" s="13"/>
      <c r="BC26" s="116"/>
      <c r="BD26" s="123"/>
      <c r="BE26" s="123"/>
      <c r="BF26" s="123"/>
      <c r="BK26" s="115"/>
      <c r="BL26" s="115"/>
      <c r="BM26" s="115"/>
      <c r="BN26" s="115"/>
      <c r="BO26" s="115"/>
      <c r="BP26" s="115"/>
      <c r="BQ26" s="115"/>
      <c r="BR26" s="115"/>
      <c r="BS26" s="115"/>
      <c r="BT26" s="115"/>
      <c r="BU26" s="25"/>
      <c r="BV26" s="13"/>
      <c r="BY26" s="114"/>
    </row>
    <row r="27" spans="1:77" ht="20.100000000000001" customHeight="1" x14ac:dyDescent="0.4">
      <c r="A27" s="117">
        <v>46099</v>
      </c>
      <c r="B27" s="123"/>
      <c r="C27" s="123">
        <v>4</v>
      </c>
      <c r="D27" s="123"/>
      <c r="N27" s="115"/>
      <c r="O27" s="115"/>
      <c r="P27" s="115"/>
      <c r="Q27" s="115"/>
      <c r="R27" s="115"/>
      <c r="S27" s="115"/>
      <c r="T27" s="115"/>
      <c r="U27" s="115"/>
      <c r="V27" s="25">
        <v>46067</v>
      </c>
      <c r="W27" s="13" t="s">
        <v>146</v>
      </c>
      <c r="AL27" s="127"/>
      <c r="AM27" s="29"/>
      <c r="AW27" s="25"/>
      <c r="AX27" s="13"/>
      <c r="BC27" s="116"/>
      <c r="BD27" s="123"/>
      <c r="BE27" s="123"/>
      <c r="BF27" s="123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25"/>
      <c r="BV27" s="13"/>
      <c r="BY27" s="114"/>
    </row>
    <row r="28" spans="1:77" ht="20.100000000000001" customHeight="1" x14ac:dyDescent="0.4">
      <c r="A28" s="117">
        <v>46103</v>
      </c>
      <c r="B28" s="123"/>
      <c r="C28" s="123">
        <v>1</v>
      </c>
      <c r="D28" s="123"/>
      <c r="N28" s="115"/>
      <c r="O28" s="115"/>
      <c r="P28" s="115"/>
      <c r="Q28" s="115"/>
      <c r="R28" s="115"/>
      <c r="S28" s="115"/>
      <c r="T28" s="115"/>
      <c r="U28" s="115"/>
      <c r="V28" s="25">
        <v>46067</v>
      </c>
      <c r="W28" s="13" t="s">
        <v>147</v>
      </c>
      <c r="AL28" s="127"/>
      <c r="AM28" s="29"/>
      <c r="AW28" s="25"/>
      <c r="AX28" s="13"/>
      <c r="BC28" s="116"/>
      <c r="BD28" s="123"/>
      <c r="BE28" s="123"/>
      <c r="BF28" s="123"/>
      <c r="BK28" s="115"/>
      <c r="BL28" s="115"/>
      <c r="BM28" s="115"/>
      <c r="BN28" s="115"/>
      <c r="BO28" s="115"/>
      <c r="BP28" s="115"/>
      <c r="BQ28" s="115"/>
      <c r="BR28" s="115"/>
      <c r="BS28" s="115"/>
      <c r="BT28" s="115"/>
      <c r="BU28" s="25"/>
      <c r="BV28" s="13"/>
      <c r="BY28" s="114"/>
    </row>
    <row r="29" spans="1:77" ht="20.100000000000001" customHeight="1" x14ac:dyDescent="0.4">
      <c r="A29" s="117"/>
      <c r="B29" s="123">
        <f>SUM(B3:B28)</f>
        <v>101</v>
      </c>
      <c r="C29" s="123">
        <f>SUM(C3:C28)</f>
        <v>45</v>
      </c>
      <c r="D29" s="123">
        <f>SUM(D3:D28)</f>
        <v>20</v>
      </c>
      <c r="N29" s="115"/>
      <c r="O29" s="115"/>
      <c r="P29" s="115"/>
      <c r="Q29" s="115"/>
      <c r="R29" s="115"/>
      <c r="S29" s="115"/>
      <c r="T29" s="115"/>
      <c r="U29" s="115"/>
      <c r="V29" s="25">
        <v>46067</v>
      </c>
      <c r="W29" s="13" t="s">
        <v>147</v>
      </c>
      <c r="AL29" s="127"/>
      <c r="AM29" s="29"/>
      <c r="AW29" s="25"/>
      <c r="AX29" s="13"/>
      <c r="BC29" s="116"/>
      <c r="BD29" s="123"/>
      <c r="BE29" s="123"/>
      <c r="BF29" s="123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25"/>
      <c r="BV29" s="13"/>
      <c r="BY29" s="114"/>
    </row>
    <row r="30" spans="1:77" ht="20.100000000000001" customHeight="1" x14ac:dyDescent="0.4">
      <c r="A30" s="117"/>
      <c r="B30" s="123"/>
      <c r="C30" s="123"/>
      <c r="D30" s="123">
        <f>SUM(B29:D29)</f>
        <v>166</v>
      </c>
      <c r="N30" s="115"/>
      <c r="O30" s="115"/>
      <c r="P30" s="115"/>
      <c r="Q30" s="115"/>
      <c r="R30" s="115"/>
      <c r="S30" s="115"/>
      <c r="T30" s="115"/>
      <c r="U30" s="115"/>
      <c r="V30" s="25">
        <v>46067</v>
      </c>
      <c r="W30" s="13" t="s">
        <v>147</v>
      </c>
      <c r="AL30" s="127"/>
      <c r="AM30" s="29"/>
      <c r="AW30" s="25"/>
      <c r="AX30" s="13"/>
      <c r="BC30" s="116"/>
      <c r="BD30" s="123"/>
      <c r="BE30" s="123"/>
      <c r="BF30" s="123"/>
      <c r="BK30" s="115"/>
      <c r="BL30" s="115"/>
      <c r="BM30" s="115"/>
      <c r="BN30" s="115"/>
      <c r="BO30" s="115"/>
      <c r="BP30" s="115"/>
      <c r="BQ30" s="115"/>
      <c r="BR30" s="115"/>
      <c r="BS30" s="115"/>
      <c r="BT30" s="115"/>
      <c r="BU30" s="25"/>
      <c r="BV30" s="13"/>
      <c r="BY30" s="114"/>
    </row>
    <row r="31" spans="1:77" ht="20.100000000000001" customHeight="1" x14ac:dyDescent="0.4">
      <c r="A31" s="117"/>
      <c r="B31" s="123"/>
      <c r="C31" s="123"/>
      <c r="D31" s="123"/>
      <c r="N31" s="115"/>
      <c r="O31" s="115"/>
      <c r="P31" s="115"/>
      <c r="Q31" s="115"/>
      <c r="R31" s="115"/>
      <c r="S31" s="115"/>
      <c r="T31" s="115"/>
      <c r="U31" s="115"/>
      <c r="V31" s="25">
        <v>46067</v>
      </c>
      <c r="W31" s="13" t="s">
        <v>147</v>
      </c>
      <c r="AL31" s="127"/>
      <c r="AM31" s="29"/>
      <c r="AW31" s="25"/>
      <c r="AX31" s="13"/>
      <c r="BC31" s="116"/>
      <c r="BD31" s="123"/>
      <c r="BE31" s="123"/>
      <c r="BF31" s="123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25"/>
      <c r="BV31" s="13"/>
      <c r="BY31" s="114"/>
    </row>
    <row r="32" spans="1:77" ht="20.100000000000001" customHeight="1" x14ac:dyDescent="0.4">
      <c r="A32" s="117"/>
      <c r="B32" s="123"/>
      <c r="C32" s="123"/>
      <c r="D32" s="123"/>
      <c r="M32" s="115"/>
      <c r="N32" s="115"/>
      <c r="O32" s="115"/>
      <c r="P32" s="115"/>
      <c r="Q32" s="115"/>
      <c r="R32" s="115"/>
      <c r="S32" s="115"/>
      <c r="T32" s="115"/>
      <c r="U32" s="115"/>
      <c r="V32" s="25">
        <v>46067</v>
      </c>
      <c r="W32" s="13" t="s">
        <v>146</v>
      </c>
      <c r="AL32" s="127"/>
      <c r="AM32" s="29"/>
      <c r="AW32" s="25"/>
      <c r="AX32" s="13"/>
      <c r="BC32" s="116"/>
      <c r="BD32" s="123"/>
      <c r="BE32" s="123"/>
      <c r="BF32" s="123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25"/>
      <c r="BV32" s="13"/>
      <c r="BY32" s="114"/>
    </row>
    <row r="33" spans="1:77" ht="20.100000000000001" customHeight="1" x14ac:dyDescent="0.4">
      <c r="A33" s="117"/>
      <c r="B33" s="123"/>
      <c r="C33" s="123"/>
      <c r="D33" s="123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25">
        <v>46067</v>
      </c>
      <c r="W33" s="13" t="s">
        <v>146</v>
      </c>
      <c r="AL33" s="127"/>
      <c r="AM33" s="29"/>
      <c r="AW33" s="25"/>
      <c r="AX33" s="13"/>
      <c r="BC33" s="116"/>
      <c r="BD33" s="123"/>
      <c r="BE33" s="123"/>
      <c r="BF33" s="123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25"/>
      <c r="BV33" s="13"/>
      <c r="BY33" s="114"/>
    </row>
    <row r="34" spans="1:77" ht="20.100000000000001" customHeight="1" x14ac:dyDescent="0.4">
      <c r="A34" s="117"/>
      <c r="B34" s="123"/>
      <c r="C34" s="123"/>
      <c r="D34" s="123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25">
        <v>46067</v>
      </c>
      <c r="W34" s="13" t="s">
        <v>146</v>
      </c>
      <c r="AL34" s="127"/>
      <c r="AM34" s="29"/>
      <c r="AW34" s="25"/>
      <c r="AX34" s="13"/>
      <c r="BC34" s="116"/>
      <c r="BD34" s="123"/>
      <c r="BE34" s="123"/>
      <c r="BF34" s="123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25"/>
      <c r="BV34" s="13"/>
      <c r="BY34" s="114"/>
    </row>
    <row r="35" spans="1:77" ht="20.100000000000001" customHeight="1" x14ac:dyDescent="0.4">
      <c r="A35" s="117"/>
      <c r="B35" s="123"/>
      <c r="C35" s="123"/>
      <c r="D35" s="123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25">
        <v>46067</v>
      </c>
      <c r="W35" s="13" t="s">
        <v>146</v>
      </c>
      <c r="AL35" s="127"/>
      <c r="AM35" s="29"/>
      <c r="AW35" s="25"/>
      <c r="AX35" s="13"/>
      <c r="BC35" s="116"/>
      <c r="BD35" s="123"/>
      <c r="BE35" s="123"/>
      <c r="BF35" s="123"/>
      <c r="BK35" s="115"/>
      <c r="BL35" s="115"/>
      <c r="BM35" s="115"/>
      <c r="BN35" s="115"/>
      <c r="BO35" s="115"/>
      <c r="BP35" s="115"/>
      <c r="BQ35" s="115"/>
      <c r="BR35" s="115"/>
      <c r="BS35" s="115"/>
      <c r="BT35" s="115"/>
      <c r="BU35" s="25"/>
      <c r="BV35" s="13"/>
      <c r="BY35" s="114"/>
    </row>
    <row r="36" spans="1:77" ht="20.100000000000001" customHeight="1" x14ac:dyDescent="0.4">
      <c r="A36" s="117"/>
      <c r="B36" s="123"/>
      <c r="C36" s="123"/>
      <c r="D36" s="123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25">
        <v>46067</v>
      </c>
      <c r="W36" s="13" t="s">
        <v>148</v>
      </c>
      <c r="AL36" s="127"/>
      <c r="AM36" s="29"/>
      <c r="AW36" s="25"/>
      <c r="AX36" s="13"/>
      <c r="BC36" s="116"/>
      <c r="BD36" s="123"/>
      <c r="BE36" s="123"/>
      <c r="BF36" s="123"/>
      <c r="BK36" s="115"/>
      <c r="BL36" s="115"/>
      <c r="BM36" s="115"/>
      <c r="BN36" s="115"/>
      <c r="BO36" s="115"/>
      <c r="BP36" s="115"/>
      <c r="BQ36" s="115"/>
      <c r="BR36" s="115"/>
      <c r="BS36" s="115"/>
      <c r="BT36" s="115"/>
      <c r="BU36" s="25"/>
      <c r="BV36" s="13"/>
      <c r="BY36" s="114"/>
    </row>
    <row r="37" spans="1:77" ht="20.100000000000001" customHeight="1" x14ac:dyDescent="0.4">
      <c r="A37" s="117"/>
      <c r="B37" s="123"/>
      <c r="C37" s="123"/>
      <c r="D37" s="123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25">
        <v>46067</v>
      </c>
      <c r="W37" s="13" t="s">
        <v>147</v>
      </c>
      <c r="AL37" s="127"/>
      <c r="AM37" s="29"/>
      <c r="AW37" s="25"/>
      <c r="AX37" s="13"/>
      <c r="BC37" s="116"/>
      <c r="BD37" s="123"/>
      <c r="BE37" s="123"/>
      <c r="BF37" s="123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  <c r="BU37" s="25"/>
      <c r="BV37" s="13"/>
      <c r="BY37" s="114"/>
    </row>
    <row r="38" spans="1:77" ht="20.100000000000001" customHeight="1" x14ac:dyDescent="0.4">
      <c r="A38" s="117"/>
      <c r="B38" s="123"/>
      <c r="C38" s="123"/>
      <c r="D38" s="123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 t="s">
        <v>395</v>
      </c>
      <c r="V38" s="13">
        <f>SUBTOTAL(3,V26:V37)</f>
        <v>12</v>
      </c>
      <c r="W38" s="13">
        <f>SUBTOTAL(3,W26:W37)</f>
        <v>12</v>
      </c>
      <c r="AL38" s="127"/>
      <c r="AM38" s="29"/>
      <c r="AW38" s="25"/>
      <c r="AX38" s="13"/>
      <c r="BC38" s="116"/>
      <c r="BD38" s="123"/>
      <c r="BE38" s="123"/>
      <c r="BF38" s="123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25"/>
      <c r="BV38" s="13"/>
      <c r="BY38" s="114"/>
    </row>
    <row r="39" spans="1:77" ht="20.100000000000001" customHeight="1" x14ac:dyDescent="0.4">
      <c r="A39" s="117"/>
      <c r="B39" s="123"/>
      <c r="C39" s="123"/>
      <c r="D39" s="123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25">
        <v>46068</v>
      </c>
      <c r="W39" s="13" t="s">
        <v>147</v>
      </c>
      <c r="AL39" s="127"/>
      <c r="AM39" s="29"/>
      <c r="AW39" s="25"/>
      <c r="AX39" s="13"/>
      <c r="BC39" s="116"/>
      <c r="BD39" s="123"/>
      <c r="BE39" s="123"/>
      <c r="BF39" s="123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25"/>
      <c r="BV39" s="13"/>
      <c r="BY39" s="114"/>
    </row>
    <row r="40" spans="1:77" ht="20.100000000000001" customHeight="1" x14ac:dyDescent="0.4">
      <c r="A40" s="117"/>
      <c r="B40" s="123"/>
      <c r="C40" s="123"/>
      <c r="D40" s="123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25">
        <v>46068</v>
      </c>
      <c r="W40" s="13" t="s">
        <v>147</v>
      </c>
      <c r="AL40" s="127"/>
      <c r="AM40" s="29"/>
      <c r="AW40" s="25"/>
      <c r="AX40" s="13"/>
      <c r="BC40" s="116"/>
      <c r="BD40" s="123"/>
      <c r="BE40" s="123"/>
      <c r="BF40" s="123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25"/>
      <c r="BV40" s="13"/>
      <c r="BY40" s="114"/>
    </row>
    <row r="41" spans="1:77" ht="20.100000000000001" customHeight="1" x14ac:dyDescent="0.4">
      <c r="A41" s="117"/>
      <c r="B41" s="123"/>
      <c r="C41" s="123"/>
      <c r="D41" s="123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25">
        <v>46068</v>
      </c>
      <c r="W41" s="13" t="s">
        <v>147</v>
      </c>
      <c r="AL41" s="127"/>
      <c r="AM41" s="29"/>
      <c r="AW41" s="25"/>
      <c r="AX41" s="13"/>
      <c r="BC41" s="116"/>
      <c r="BD41" s="123"/>
      <c r="BE41" s="123"/>
      <c r="BF41" s="123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25"/>
      <c r="BV41" s="13"/>
      <c r="BY41" s="114"/>
    </row>
    <row r="42" spans="1:77" ht="20.100000000000001" customHeight="1" x14ac:dyDescent="0.4">
      <c r="A42" s="117"/>
      <c r="B42" s="123"/>
      <c r="C42" s="123"/>
      <c r="D42" s="123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25">
        <v>46068</v>
      </c>
      <c r="W42" s="13" t="s">
        <v>146</v>
      </c>
      <c r="AL42" s="127"/>
      <c r="AM42" s="29"/>
      <c r="AW42" s="25"/>
      <c r="AX42" s="13"/>
      <c r="BC42" s="116"/>
      <c r="BD42" s="123"/>
      <c r="BE42" s="123"/>
      <c r="BF42" s="123"/>
      <c r="BK42" s="115"/>
      <c r="BL42" s="115"/>
      <c r="BM42" s="115"/>
      <c r="BN42" s="115"/>
      <c r="BO42" s="115"/>
      <c r="BP42" s="115"/>
      <c r="BQ42" s="115"/>
      <c r="BR42" s="115"/>
      <c r="BS42" s="115"/>
      <c r="BT42" s="115"/>
      <c r="BU42" s="25"/>
      <c r="BV42" s="13"/>
      <c r="BY42" s="114"/>
    </row>
    <row r="43" spans="1:77" ht="20.100000000000001" customHeight="1" x14ac:dyDescent="0.4">
      <c r="A43" s="117"/>
      <c r="B43" s="123"/>
      <c r="C43" s="123"/>
      <c r="D43" s="123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25">
        <v>46068</v>
      </c>
      <c r="W43" s="13" t="s">
        <v>146</v>
      </c>
      <c r="AL43" s="127"/>
      <c r="AM43" s="29"/>
      <c r="AW43" s="25"/>
      <c r="AX43" s="13"/>
      <c r="BC43" s="116"/>
      <c r="BD43" s="123"/>
      <c r="BE43" s="123"/>
      <c r="BF43" s="123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  <c r="BU43" s="25"/>
      <c r="BV43" s="13"/>
      <c r="BY43" s="114"/>
    </row>
    <row r="44" spans="1:77" ht="20.100000000000001" customHeight="1" x14ac:dyDescent="0.4">
      <c r="A44" s="117"/>
      <c r="B44" s="123"/>
      <c r="C44" s="123"/>
      <c r="D44" s="123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25">
        <v>46068</v>
      </c>
      <c r="W44" s="13" t="s">
        <v>147</v>
      </c>
      <c r="AL44" s="127"/>
      <c r="AM44" s="29"/>
      <c r="AW44" s="25"/>
      <c r="AX44" s="13"/>
      <c r="BC44" s="116"/>
      <c r="BD44" s="123"/>
      <c r="BE44" s="123"/>
      <c r="BF44" s="123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25"/>
      <c r="BV44" s="13"/>
      <c r="BY44" s="114"/>
    </row>
    <row r="45" spans="1:77" ht="20.100000000000001" customHeight="1" x14ac:dyDescent="0.4">
      <c r="A45" s="117"/>
      <c r="B45" s="123"/>
      <c r="C45" s="123"/>
      <c r="D45" s="123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25">
        <v>46068</v>
      </c>
      <c r="W45" s="133" t="s">
        <v>146</v>
      </c>
      <c r="AL45" s="127"/>
      <c r="AM45" s="29"/>
      <c r="AW45" s="25"/>
      <c r="AX45" s="13"/>
      <c r="BC45" s="116"/>
      <c r="BD45" s="123"/>
      <c r="BE45" s="123"/>
      <c r="BF45" s="123"/>
      <c r="BK45" s="115"/>
      <c r="BL45" s="115"/>
      <c r="BM45" s="115"/>
      <c r="BN45" s="115"/>
      <c r="BO45" s="115"/>
      <c r="BP45" s="115"/>
      <c r="BQ45" s="115"/>
      <c r="BR45" s="115"/>
      <c r="BS45" s="115"/>
      <c r="BT45" s="115"/>
      <c r="BU45" s="25"/>
      <c r="BV45" s="13"/>
      <c r="BY45" s="114"/>
    </row>
    <row r="46" spans="1:77" ht="20.100000000000001" customHeight="1" x14ac:dyDescent="0.4">
      <c r="A46" s="117"/>
      <c r="B46" s="123"/>
      <c r="C46" s="123"/>
      <c r="D46" s="123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25">
        <v>46068</v>
      </c>
      <c r="W46" s="15" t="s">
        <v>146</v>
      </c>
      <c r="AL46" s="127"/>
      <c r="AM46" s="29"/>
      <c r="AW46" s="25"/>
      <c r="AX46" s="13"/>
      <c r="BC46" s="116"/>
      <c r="BD46" s="123"/>
      <c r="BE46" s="123"/>
      <c r="BF46" s="123"/>
      <c r="BK46" s="115"/>
      <c r="BL46" s="115"/>
      <c r="BM46" s="115"/>
      <c r="BN46" s="115"/>
      <c r="BO46" s="115"/>
      <c r="BP46" s="115"/>
      <c r="BQ46" s="115"/>
      <c r="BR46" s="115"/>
      <c r="BS46" s="115"/>
      <c r="BT46" s="115"/>
      <c r="BU46" s="25"/>
      <c r="BV46" s="13"/>
      <c r="BY46" s="114"/>
    </row>
    <row r="47" spans="1:77" ht="20.100000000000001" customHeight="1" x14ac:dyDescent="0.4">
      <c r="A47" s="117"/>
      <c r="B47" s="123"/>
      <c r="C47" s="123"/>
      <c r="D47" s="123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25">
        <v>46068</v>
      </c>
      <c r="W47" s="15" t="s">
        <v>146</v>
      </c>
      <c r="AL47" s="127"/>
      <c r="AM47" s="29"/>
      <c r="AW47" s="25"/>
      <c r="AX47" s="13"/>
      <c r="BC47" s="116"/>
      <c r="BD47" s="123"/>
      <c r="BE47" s="123"/>
      <c r="BF47" s="123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25"/>
      <c r="BV47" s="13"/>
      <c r="BY47" s="114"/>
    </row>
    <row r="48" spans="1:77" ht="20.100000000000001" customHeight="1" x14ac:dyDescent="0.4">
      <c r="A48" s="117"/>
      <c r="B48" s="123"/>
      <c r="C48" s="123"/>
      <c r="D48" s="123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25">
        <v>46068</v>
      </c>
      <c r="W48" s="15" t="s">
        <v>148</v>
      </c>
      <c r="AL48" s="127"/>
      <c r="AM48" s="29"/>
      <c r="AW48" s="25"/>
      <c r="AX48" s="13"/>
      <c r="BC48" s="116"/>
      <c r="BD48" s="123"/>
      <c r="BE48" s="123"/>
      <c r="BF48" s="123"/>
      <c r="BK48" s="115"/>
      <c r="BL48" s="115"/>
      <c r="BM48" s="115"/>
      <c r="BN48" s="115"/>
      <c r="BO48" s="115"/>
      <c r="BP48" s="115"/>
      <c r="BQ48" s="115"/>
      <c r="BR48" s="115"/>
      <c r="BS48" s="115"/>
      <c r="BT48" s="115"/>
      <c r="BU48" s="25"/>
      <c r="BV48" s="13"/>
      <c r="BY48" s="114"/>
    </row>
    <row r="49" spans="1:77" ht="20.100000000000001" customHeight="1" x14ac:dyDescent="0.4">
      <c r="A49" s="117"/>
      <c r="B49" s="123"/>
      <c r="C49" s="123"/>
      <c r="D49" s="123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26">
        <v>46068</v>
      </c>
      <c r="W49" s="15" t="s">
        <v>147</v>
      </c>
      <c r="AL49" s="127"/>
      <c r="AM49" s="29"/>
      <c r="AW49" s="25"/>
      <c r="AX49" s="13"/>
      <c r="BC49" s="116"/>
      <c r="BD49" s="123"/>
      <c r="BE49" s="123"/>
      <c r="BF49" s="123"/>
      <c r="BK49" s="115"/>
      <c r="BL49" s="115"/>
      <c r="BM49" s="115"/>
      <c r="BN49" s="115"/>
      <c r="BO49" s="115"/>
      <c r="BP49" s="115"/>
      <c r="BQ49" s="115"/>
      <c r="BR49" s="115"/>
      <c r="BS49" s="115"/>
      <c r="BT49" s="115"/>
      <c r="BU49" s="25"/>
      <c r="BV49" s="13"/>
      <c r="BY49" s="114"/>
    </row>
    <row r="50" spans="1:77" ht="20.100000000000001" customHeight="1" x14ac:dyDescent="0.4">
      <c r="A50" s="117"/>
      <c r="B50" s="123"/>
      <c r="C50" s="123"/>
      <c r="D50" s="123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26">
        <v>46068</v>
      </c>
      <c r="W50" s="15" t="s">
        <v>146</v>
      </c>
      <c r="AL50" s="127"/>
      <c r="AM50" s="29"/>
      <c r="AW50" s="25"/>
      <c r="AX50" s="13"/>
      <c r="BC50" s="116"/>
      <c r="BD50" s="123"/>
      <c r="BE50" s="123"/>
      <c r="BF50" s="123"/>
      <c r="BK50" s="115"/>
      <c r="BL50" s="115"/>
      <c r="BM50" s="115"/>
      <c r="BN50" s="115"/>
      <c r="BO50" s="115"/>
      <c r="BP50" s="115"/>
      <c r="BQ50" s="115"/>
      <c r="BR50" s="115"/>
      <c r="BS50" s="115"/>
      <c r="BT50" s="115"/>
      <c r="BU50" s="25"/>
      <c r="BV50" s="13"/>
      <c r="BY50" s="114"/>
    </row>
    <row r="51" spans="1:77" ht="20.100000000000001" customHeight="1" x14ac:dyDescent="0.4">
      <c r="A51" s="117"/>
      <c r="B51" s="123"/>
      <c r="C51" s="123"/>
      <c r="D51" s="123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26">
        <v>46068</v>
      </c>
      <c r="W51" s="15" t="s">
        <v>146</v>
      </c>
      <c r="AL51" s="127"/>
      <c r="AM51" s="29"/>
      <c r="AW51" s="25"/>
      <c r="AX51" s="13"/>
      <c r="BC51" s="116"/>
      <c r="BD51" s="123"/>
      <c r="BE51" s="123"/>
      <c r="BF51" s="123"/>
      <c r="BK51" s="115"/>
      <c r="BL51" s="115"/>
      <c r="BM51" s="115"/>
      <c r="BN51" s="115"/>
      <c r="BO51" s="115"/>
      <c r="BP51" s="115"/>
      <c r="BQ51" s="115"/>
      <c r="BR51" s="115"/>
      <c r="BS51" s="115"/>
      <c r="BT51" s="115"/>
      <c r="BU51" s="25"/>
      <c r="BV51" s="13"/>
      <c r="BY51" s="114"/>
    </row>
    <row r="52" spans="1:77" ht="20.100000000000001" customHeight="1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26">
        <v>46068</v>
      </c>
      <c r="W52" s="15" t="s">
        <v>147</v>
      </c>
      <c r="AL52" s="127"/>
      <c r="AM52" s="29"/>
      <c r="AW52" s="25"/>
      <c r="AX52" s="13"/>
      <c r="BC52" s="116"/>
      <c r="BD52" s="123"/>
      <c r="BE52" s="123"/>
      <c r="BF52" s="123"/>
      <c r="BK52" s="115"/>
      <c r="BL52" s="115"/>
      <c r="BM52" s="115"/>
      <c r="BN52" s="115"/>
      <c r="BO52" s="115"/>
      <c r="BP52" s="115"/>
      <c r="BQ52" s="115"/>
      <c r="BR52" s="115"/>
      <c r="BS52" s="115"/>
      <c r="BT52" s="115"/>
      <c r="BU52" s="25"/>
      <c r="BV52" s="13"/>
      <c r="BY52" s="114"/>
    </row>
    <row r="53" spans="1:77" ht="20.100000000000001" customHeight="1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26">
        <v>46068</v>
      </c>
      <c r="W53" s="15" t="s">
        <v>148</v>
      </c>
      <c r="AL53" s="127"/>
      <c r="AM53" s="29"/>
      <c r="AW53" s="25"/>
      <c r="AX53" s="13"/>
      <c r="BC53" s="116"/>
      <c r="BD53" s="123"/>
      <c r="BE53" s="123"/>
      <c r="BF53" s="123"/>
      <c r="BK53" s="115"/>
      <c r="BL53" s="115"/>
      <c r="BM53" s="115"/>
      <c r="BN53" s="115"/>
      <c r="BO53" s="115"/>
      <c r="BP53" s="115"/>
      <c r="BQ53" s="115"/>
      <c r="BR53" s="115"/>
      <c r="BS53" s="115"/>
      <c r="BT53" s="115"/>
      <c r="BU53" s="25"/>
      <c r="BV53" s="13"/>
      <c r="BY53" s="114"/>
    </row>
    <row r="54" spans="1:77" ht="20.100000000000001" customHeight="1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25">
        <v>46068</v>
      </c>
      <c r="W54" s="13" t="s">
        <v>146</v>
      </c>
      <c r="AL54" s="127"/>
      <c r="AM54" s="29"/>
      <c r="AW54" s="25"/>
      <c r="AX54" s="13"/>
      <c r="BC54" s="116"/>
      <c r="BD54" s="123"/>
      <c r="BE54" s="123"/>
      <c r="BF54" s="123"/>
      <c r="BK54" s="115"/>
      <c r="BL54" s="115"/>
      <c r="BM54" s="115"/>
      <c r="BN54" s="115"/>
      <c r="BO54" s="115"/>
      <c r="BP54" s="115"/>
      <c r="BQ54" s="115"/>
      <c r="BR54" s="115"/>
      <c r="BS54" s="115"/>
      <c r="BT54" s="115"/>
      <c r="BU54" s="25"/>
      <c r="BV54" s="13"/>
      <c r="BY54" s="114"/>
    </row>
    <row r="55" spans="1:77" ht="20.100000000000001" customHeight="1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25">
        <v>46068</v>
      </c>
      <c r="W55" s="13" t="s">
        <v>146</v>
      </c>
      <c r="AL55" s="127"/>
      <c r="AM55" s="29"/>
      <c r="AW55" s="25"/>
      <c r="AX55" s="13"/>
      <c r="BC55" s="116"/>
      <c r="BD55" s="123"/>
      <c r="BE55" s="123"/>
      <c r="BF55" s="123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25"/>
      <c r="BV55" s="13"/>
      <c r="BY55" s="114"/>
    </row>
    <row r="56" spans="1:77" ht="20.100000000000001" customHeight="1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25">
        <v>46068</v>
      </c>
      <c r="W56" s="13" t="s">
        <v>146</v>
      </c>
      <c r="AL56" s="127"/>
      <c r="AM56" s="29"/>
      <c r="AW56" s="25"/>
      <c r="AX56" s="13"/>
      <c r="BC56" s="116"/>
      <c r="BD56" s="123"/>
      <c r="BE56" s="123"/>
      <c r="BF56" s="123"/>
      <c r="BK56" s="115"/>
      <c r="BL56" s="115"/>
      <c r="BM56" s="115"/>
      <c r="BN56" s="115"/>
      <c r="BO56" s="115"/>
      <c r="BP56" s="115"/>
      <c r="BQ56" s="115"/>
      <c r="BR56" s="115"/>
      <c r="BS56" s="115"/>
      <c r="BT56" s="115"/>
      <c r="BU56" s="25"/>
      <c r="BV56" s="13"/>
      <c r="BY56" s="114"/>
    </row>
    <row r="57" spans="1:77" ht="20.100000000000001" customHeight="1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25">
        <v>46068</v>
      </c>
      <c r="W57" s="13" t="s">
        <v>146</v>
      </c>
      <c r="AL57" s="127"/>
      <c r="AM57" s="29"/>
      <c r="AW57" s="25"/>
      <c r="AX57" s="13"/>
      <c r="BC57" s="116"/>
      <c r="BD57" s="123"/>
      <c r="BE57" s="123"/>
      <c r="BF57" s="123"/>
      <c r="BK57" s="115"/>
      <c r="BL57" s="115"/>
      <c r="BM57" s="115"/>
      <c r="BN57" s="115"/>
      <c r="BO57" s="115"/>
      <c r="BP57" s="115"/>
      <c r="BQ57" s="115"/>
      <c r="BR57" s="115"/>
      <c r="BS57" s="115"/>
      <c r="BT57" s="115"/>
      <c r="BU57" s="25"/>
      <c r="BV57" s="13"/>
      <c r="BY57" s="114"/>
    </row>
    <row r="58" spans="1:77" ht="20.100000000000001" customHeight="1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25">
        <v>46068</v>
      </c>
      <c r="W58" s="13" t="s">
        <v>146</v>
      </c>
      <c r="AL58" s="127"/>
      <c r="AM58" s="29"/>
      <c r="AW58" s="25"/>
      <c r="AX58" s="13"/>
      <c r="BC58" s="116"/>
      <c r="BD58" s="123"/>
      <c r="BE58" s="123"/>
      <c r="BF58" s="123"/>
      <c r="BK58" s="115"/>
      <c r="BL58" s="115"/>
      <c r="BM58" s="115"/>
      <c r="BN58" s="115"/>
      <c r="BO58" s="115"/>
      <c r="BP58" s="115"/>
      <c r="BQ58" s="115"/>
      <c r="BR58" s="115"/>
      <c r="BS58" s="115"/>
      <c r="BT58" s="115"/>
      <c r="BU58" s="25"/>
      <c r="BV58" s="13"/>
      <c r="BY58" s="114"/>
    </row>
    <row r="59" spans="1:77" ht="20.100000000000001" customHeight="1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25">
        <v>46068</v>
      </c>
      <c r="W59" s="13" t="s">
        <v>146</v>
      </c>
      <c r="AL59" s="127"/>
      <c r="AM59" s="29"/>
      <c r="AW59" s="25"/>
      <c r="AX59" s="13"/>
      <c r="BC59" s="116"/>
      <c r="BD59" s="123"/>
      <c r="BE59" s="123"/>
      <c r="BF59" s="123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25"/>
      <c r="BV59" s="13"/>
      <c r="BY59" s="114"/>
    </row>
    <row r="60" spans="1:77" ht="20.100000000000001" customHeight="1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25">
        <v>46068</v>
      </c>
      <c r="W60" s="133" t="s">
        <v>146</v>
      </c>
      <c r="AL60" s="127"/>
      <c r="AM60" s="29"/>
      <c r="AW60" s="25"/>
      <c r="AX60" s="13"/>
      <c r="BC60" s="116"/>
      <c r="BD60" s="123"/>
      <c r="BE60" s="123"/>
      <c r="BF60" s="123"/>
      <c r="BK60" s="115"/>
      <c r="BL60" s="115"/>
      <c r="BM60" s="115"/>
      <c r="BN60" s="115"/>
      <c r="BO60" s="115"/>
      <c r="BP60" s="115"/>
      <c r="BQ60" s="115"/>
      <c r="BR60" s="115"/>
      <c r="BS60" s="115"/>
      <c r="BT60" s="115"/>
      <c r="BU60" s="25"/>
      <c r="BV60" s="13"/>
      <c r="BY60" s="114"/>
    </row>
    <row r="61" spans="1:77" ht="20.100000000000001" customHeight="1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25">
        <v>46068</v>
      </c>
      <c r="W61" s="13" t="s">
        <v>146</v>
      </c>
      <c r="AL61" s="127"/>
      <c r="AM61" s="29"/>
      <c r="AW61" s="25"/>
      <c r="AX61" s="13"/>
      <c r="BC61" s="116"/>
      <c r="BD61" s="123"/>
      <c r="BE61" s="123"/>
      <c r="BF61" s="123"/>
      <c r="BK61" s="115"/>
      <c r="BL61" s="115"/>
      <c r="BM61" s="115"/>
      <c r="BN61" s="115"/>
      <c r="BO61" s="115"/>
      <c r="BP61" s="115"/>
      <c r="BQ61" s="115"/>
      <c r="BR61" s="115"/>
      <c r="BS61" s="115"/>
      <c r="BT61" s="115"/>
      <c r="BU61" s="25"/>
      <c r="BV61" s="13"/>
      <c r="BY61" s="114"/>
    </row>
    <row r="62" spans="1:77" ht="20.100000000000001" customHeight="1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25">
        <v>46068</v>
      </c>
      <c r="W62" s="13" t="s">
        <v>146</v>
      </c>
      <c r="AL62" s="127"/>
      <c r="AM62" s="29"/>
      <c r="AW62" s="25"/>
      <c r="AX62" s="13"/>
      <c r="BC62" s="116"/>
      <c r="BD62" s="123"/>
      <c r="BE62" s="123"/>
      <c r="BF62" s="123"/>
      <c r="BK62" s="115"/>
      <c r="BL62" s="115"/>
      <c r="BM62" s="115"/>
      <c r="BN62" s="115"/>
      <c r="BO62" s="115"/>
      <c r="BP62" s="115"/>
      <c r="BQ62" s="115"/>
      <c r="BR62" s="115"/>
      <c r="BS62" s="115"/>
      <c r="BT62" s="115"/>
      <c r="BU62" s="25"/>
      <c r="BV62" s="13"/>
      <c r="BY62" s="114"/>
    </row>
    <row r="63" spans="1:77" ht="20.100000000000001" customHeight="1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25">
        <v>46068</v>
      </c>
      <c r="W63" s="13" t="s">
        <v>146</v>
      </c>
      <c r="AL63" s="127"/>
      <c r="AM63" s="29"/>
      <c r="AW63" s="25"/>
      <c r="AX63" s="13"/>
      <c r="BC63" s="116"/>
      <c r="BD63" s="123"/>
      <c r="BE63" s="123"/>
      <c r="BF63" s="123"/>
      <c r="BK63" s="115"/>
      <c r="BL63" s="115"/>
      <c r="BM63" s="115"/>
      <c r="BN63" s="115"/>
      <c r="BO63" s="115"/>
      <c r="BP63" s="115"/>
      <c r="BQ63" s="115"/>
      <c r="BR63" s="115"/>
      <c r="BS63" s="115"/>
      <c r="BT63" s="115"/>
      <c r="BU63" s="25"/>
      <c r="BV63" s="13"/>
      <c r="BY63" s="114"/>
    </row>
    <row r="64" spans="1:77" ht="20.100000000000001" customHeight="1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25">
        <v>46068</v>
      </c>
      <c r="W64" s="13" t="s">
        <v>146</v>
      </c>
      <c r="AL64" s="127"/>
      <c r="AM64" s="29"/>
      <c r="AW64" s="25"/>
      <c r="AX64" s="13"/>
      <c r="BC64" s="116"/>
      <c r="BD64" s="123"/>
      <c r="BE64" s="123"/>
      <c r="BF64" s="123"/>
      <c r="BK64" s="115"/>
      <c r="BL64" s="115"/>
      <c r="BM64" s="115"/>
      <c r="BN64" s="115"/>
      <c r="BO64" s="115"/>
      <c r="BP64" s="115"/>
      <c r="BQ64" s="115"/>
      <c r="BR64" s="115"/>
      <c r="BS64" s="115"/>
      <c r="BT64" s="115"/>
      <c r="BU64" s="25"/>
      <c r="BV64" s="13"/>
      <c r="BY64" s="114"/>
    </row>
    <row r="65" spans="1:77" ht="20.100000000000001" customHeight="1" x14ac:dyDescent="0.4">
      <c r="A65" s="117"/>
      <c r="B65" s="123"/>
      <c r="C65" s="123"/>
      <c r="D65" s="123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25">
        <v>46068</v>
      </c>
      <c r="W65" s="13" t="s">
        <v>146</v>
      </c>
      <c r="AL65" s="127"/>
      <c r="AM65" s="29"/>
      <c r="AW65" s="25"/>
      <c r="AX65" s="13"/>
      <c r="BC65" s="116"/>
      <c r="BD65" s="123"/>
      <c r="BE65" s="123"/>
      <c r="BF65" s="123"/>
      <c r="BK65" s="115"/>
      <c r="BL65" s="115"/>
      <c r="BM65" s="115"/>
      <c r="BN65" s="115"/>
      <c r="BO65" s="115"/>
      <c r="BP65" s="115"/>
      <c r="BQ65" s="115"/>
      <c r="BR65" s="115"/>
      <c r="BS65" s="115"/>
      <c r="BT65" s="115"/>
      <c r="BU65" s="25"/>
      <c r="BV65" s="13"/>
      <c r="BY65" s="114"/>
    </row>
    <row r="66" spans="1:77" ht="20.100000000000001" customHeight="1" x14ac:dyDescent="0.4">
      <c r="A66" s="117"/>
      <c r="B66" s="123"/>
      <c r="C66" s="123"/>
      <c r="D66" s="123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25">
        <v>46068</v>
      </c>
      <c r="W66" s="15" t="s">
        <v>146</v>
      </c>
      <c r="AL66" s="127"/>
      <c r="AM66" s="29"/>
      <c r="AW66" s="25"/>
      <c r="AX66" s="13"/>
      <c r="BC66" s="116"/>
      <c r="BD66" s="123"/>
      <c r="BE66" s="123"/>
      <c r="BF66" s="123"/>
      <c r="BK66" s="115"/>
      <c r="BL66" s="115"/>
      <c r="BM66" s="115"/>
      <c r="BN66" s="115"/>
      <c r="BO66" s="115"/>
      <c r="BP66" s="115"/>
      <c r="BQ66" s="115"/>
      <c r="BR66" s="115"/>
      <c r="BS66" s="115"/>
      <c r="BT66" s="115"/>
      <c r="BU66" s="25"/>
      <c r="BV66" s="13"/>
      <c r="BY66" s="114"/>
    </row>
    <row r="67" spans="1:77" ht="20.100000000000001" customHeight="1" x14ac:dyDescent="0.4">
      <c r="A67" s="117"/>
      <c r="B67" s="123"/>
      <c r="C67" s="123"/>
      <c r="D67" s="123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25">
        <v>46068</v>
      </c>
      <c r="W67" s="15" t="s">
        <v>148</v>
      </c>
      <c r="AL67" s="127"/>
      <c r="AM67" s="29"/>
      <c r="AW67" s="25"/>
      <c r="AX67" s="13"/>
      <c r="BC67" s="116"/>
      <c r="BD67" s="123"/>
      <c r="BE67" s="123"/>
      <c r="BF67" s="123"/>
      <c r="BK67" s="115"/>
      <c r="BL67" s="115"/>
      <c r="BM67" s="115"/>
      <c r="BN67" s="115"/>
      <c r="BO67" s="115"/>
      <c r="BP67" s="115"/>
      <c r="BQ67" s="115"/>
      <c r="BR67" s="115"/>
      <c r="BS67" s="115"/>
      <c r="BT67" s="115"/>
      <c r="BU67" s="25"/>
      <c r="BV67" s="13"/>
      <c r="BY67" s="114"/>
    </row>
    <row r="68" spans="1:77" ht="20.100000000000001" customHeight="1" x14ac:dyDescent="0.4">
      <c r="A68" s="117"/>
      <c r="B68" s="123"/>
      <c r="C68" s="123"/>
      <c r="D68" s="123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25">
        <v>46068</v>
      </c>
      <c r="W68" s="15" t="s">
        <v>148</v>
      </c>
      <c r="AL68" s="127"/>
      <c r="AM68" s="29"/>
      <c r="AW68" s="25"/>
      <c r="AX68" s="13"/>
      <c r="BC68" s="116"/>
      <c r="BD68" s="123"/>
      <c r="BE68" s="123"/>
      <c r="BF68" s="123"/>
      <c r="BK68" s="115"/>
      <c r="BL68" s="115"/>
      <c r="BM68" s="115"/>
      <c r="BN68" s="115"/>
      <c r="BO68" s="115"/>
      <c r="BP68" s="115"/>
      <c r="BQ68" s="115"/>
      <c r="BR68" s="115"/>
      <c r="BS68" s="115"/>
      <c r="BT68" s="115"/>
      <c r="BU68" s="25"/>
      <c r="BV68" s="13"/>
      <c r="BY68" s="114"/>
    </row>
    <row r="69" spans="1:77" ht="20.100000000000001" customHeight="1" x14ac:dyDescent="0.4">
      <c r="A69" s="117"/>
      <c r="B69" s="123"/>
      <c r="C69" s="123"/>
      <c r="D69" s="123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25">
        <v>46068</v>
      </c>
      <c r="W69" s="13" t="s">
        <v>147</v>
      </c>
      <c r="AL69" s="127"/>
      <c r="AM69" s="29"/>
      <c r="AW69" s="25"/>
      <c r="AX69" s="13"/>
      <c r="BC69" s="116"/>
      <c r="BD69" s="123"/>
      <c r="BE69" s="123"/>
      <c r="BF69" s="123"/>
      <c r="BK69" s="115"/>
      <c r="BL69" s="115"/>
      <c r="BM69" s="115"/>
      <c r="BN69" s="115"/>
      <c r="BO69" s="115"/>
      <c r="BP69" s="115"/>
      <c r="BQ69" s="115"/>
      <c r="BR69" s="115"/>
      <c r="BS69" s="115"/>
      <c r="BT69" s="115"/>
      <c r="BU69" s="25"/>
      <c r="BV69" s="13"/>
      <c r="BY69" s="114"/>
    </row>
    <row r="70" spans="1:77" ht="20.100000000000001" customHeight="1" x14ac:dyDescent="0.4">
      <c r="A70" s="117"/>
      <c r="B70" s="123"/>
      <c r="C70" s="123"/>
      <c r="D70" s="123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 t="s">
        <v>209</v>
      </c>
      <c r="V70" s="13">
        <f>SUBTOTAL(3,V39:V69)</f>
        <v>31</v>
      </c>
      <c r="W70" s="13">
        <f>SUBTOTAL(3,W39:W69)</f>
        <v>31</v>
      </c>
      <c r="AL70" s="127"/>
      <c r="AM70" s="29"/>
      <c r="AW70" s="25"/>
      <c r="AX70" s="13"/>
      <c r="BC70" s="116"/>
      <c r="BD70" s="123"/>
      <c r="BE70" s="123"/>
      <c r="BF70" s="123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25"/>
      <c r="BV70" s="13"/>
      <c r="BY70" s="114"/>
    </row>
    <row r="71" spans="1:77" ht="20.100000000000001" customHeight="1" x14ac:dyDescent="0.4">
      <c r="A71" s="117"/>
      <c r="B71" s="123"/>
      <c r="C71" s="123"/>
      <c r="D71" s="123"/>
      <c r="V71" s="25">
        <v>46069</v>
      </c>
      <c r="W71" s="13" t="s">
        <v>147</v>
      </c>
      <c r="AK71" s="115"/>
      <c r="AL71" s="29"/>
      <c r="AM71" s="29"/>
      <c r="AW71" s="25"/>
      <c r="AX71" s="13"/>
      <c r="BC71" s="116"/>
      <c r="BD71" s="123"/>
      <c r="BE71" s="123"/>
      <c r="BF71" s="123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25"/>
      <c r="BV71" s="13"/>
      <c r="BY71" s="114"/>
    </row>
    <row r="72" spans="1:77" ht="20.100000000000001" customHeight="1" x14ac:dyDescent="0.4">
      <c r="A72" s="117"/>
      <c r="B72" s="123"/>
      <c r="C72" s="123"/>
      <c r="D72" s="123"/>
      <c r="N72" s="115"/>
      <c r="O72" s="115"/>
      <c r="P72" s="115"/>
      <c r="Q72" s="115"/>
      <c r="R72" s="115"/>
      <c r="S72" s="115"/>
      <c r="T72" s="115"/>
      <c r="U72" s="115"/>
      <c r="V72" s="25">
        <v>46069</v>
      </c>
      <c r="W72" s="13" t="s">
        <v>147</v>
      </c>
      <c r="AK72" s="115"/>
      <c r="AL72" s="29"/>
      <c r="AM72" s="29"/>
      <c r="AW72" s="25"/>
      <c r="AX72" s="13"/>
      <c r="BC72" s="116"/>
      <c r="BD72" s="123"/>
      <c r="BE72" s="123"/>
      <c r="BF72" s="123"/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25"/>
      <c r="BV72" s="13"/>
      <c r="BY72" s="114"/>
    </row>
    <row r="73" spans="1:77" ht="20.100000000000001" customHeight="1" x14ac:dyDescent="0.4">
      <c r="A73" s="117"/>
      <c r="B73" s="123"/>
      <c r="C73" s="123"/>
      <c r="D73" s="123"/>
      <c r="N73" s="115"/>
      <c r="O73" s="115"/>
      <c r="P73" s="115"/>
      <c r="Q73" s="115"/>
      <c r="R73" s="115"/>
      <c r="S73" s="115"/>
      <c r="T73" s="115"/>
      <c r="U73" s="115"/>
      <c r="V73" s="25">
        <v>46069</v>
      </c>
      <c r="W73" s="13" t="s">
        <v>147</v>
      </c>
      <c r="AK73" s="115"/>
      <c r="AL73" s="29"/>
      <c r="AM73" s="29"/>
      <c r="AW73" s="25"/>
      <c r="AX73" s="13"/>
      <c r="BC73" s="116"/>
      <c r="BD73" s="123"/>
      <c r="BE73" s="123"/>
      <c r="BF73" s="123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25"/>
      <c r="BV73" s="13"/>
      <c r="BY73" s="114"/>
    </row>
    <row r="74" spans="1:77" ht="20.100000000000001" customHeight="1" x14ac:dyDescent="0.4">
      <c r="A74" s="117"/>
      <c r="B74" s="123"/>
      <c r="C74" s="123"/>
      <c r="D74" s="123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25">
        <v>46069</v>
      </c>
      <c r="W74" s="13" t="s">
        <v>147</v>
      </c>
      <c r="AK74" s="115"/>
      <c r="AL74" s="29"/>
      <c r="AM74" s="29"/>
      <c r="AW74" s="25"/>
      <c r="AX74" s="13"/>
      <c r="BC74" s="116"/>
      <c r="BD74" s="123"/>
      <c r="BE74" s="123"/>
      <c r="BF74" s="123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25"/>
      <c r="BV74" s="13"/>
      <c r="BY74" s="114"/>
    </row>
    <row r="75" spans="1:77" ht="20.100000000000001" customHeight="1" x14ac:dyDescent="0.4">
      <c r="A75" s="117"/>
      <c r="B75" s="123"/>
      <c r="C75" s="123"/>
      <c r="D75" s="123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25">
        <v>46069</v>
      </c>
      <c r="W75" s="13" t="s">
        <v>146</v>
      </c>
      <c r="AK75" s="115"/>
      <c r="AL75" s="29"/>
      <c r="AM75" s="29"/>
      <c r="AW75" s="25"/>
      <c r="AX75" s="13"/>
      <c r="BC75" s="116"/>
      <c r="BD75" s="123"/>
      <c r="BE75" s="123"/>
      <c r="BF75" s="123"/>
      <c r="BK75" s="115"/>
      <c r="BL75" s="115"/>
      <c r="BM75" s="115"/>
      <c r="BN75" s="115"/>
      <c r="BO75" s="115"/>
      <c r="BP75" s="115"/>
      <c r="BQ75" s="115"/>
      <c r="BR75" s="115"/>
      <c r="BS75" s="115"/>
      <c r="BT75" s="115"/>
      <c r="BU75" s="25"/>
      <c r="BV75" s="13"/>
      <c r="BY75" s="114"/>
    </row>
    <row r="76" spans="1:77" ht="20.100000000000001" customHeight="1" x14ac:dyDescent="0.4">
      <c r="A76" s="117"/>
      <c r="B76" s="123"/>
      <c r="C76" s="123"/>
      <c r="D76" s="123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25">
        <v>46069</v>
      </c>
      <c r="W76" s="13" t="s">
        <v>147</v>
      </c>
      <c r="AK76" s="115"/>
      <c r="AL76" s="29"/>
      <c r="AM76" s="29"/>
      <c r="AW76" s="25"/>
      <c r="AX76" s="13"/>
      <c r="BC76" s="116"/>
      <c r="BD76" s="123"/>
      <c r="BE76" s="123"/>
      <c r="BF76" s="123"/>
      <c r="BK76" s="115"/>
      <c r="BL76" s="115"/>
      <c r="BM76" s="115"/>
      <c r="BN76" s="115"/>
      <c r="BO76" s="115"/>
      <c r="BP76" s="115"/>
      <c r="BQ76" s="115"/>
      <c r="BR76" s="115"/>
      <c r="BS76" s="115"/>
      <c r="BT76" s="115"/>
      <c r="BU76" s="25"/>
      <c r="BV76" s="13"/>
      <c r="BY76" s="114"/>
    </row>
    <row r="77" spans="1:77" ht="20.100000000000001" customHeight="1" x14ac:dyDescent="0.4">
      <c r="A77" s="117"/>
      <c r="B77" s="123"/>
      <c r="C77" s="123"/>
      <c r="D77" s="123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 t="s">
        <v>210</v>
      </c>
      <c r="V77" s="13">
        <f>SUBTOTAL(3,V71:V76)</f>
        <v>6</v>
      </c>
      <c r="W77" s="13">
        <f>SUBTOTAL(3,W71:W76)</f>
        <v>6</v>
      </c>
      <c r="AK77" s="115"/>
      <c r="AL77" s="29"/>
      <c r="AM77" s="29"/>
      <c r="AW77" s="25"/>
      <c r="AX77" s="13"/>
      <c r="BC77" s="116"/>
      <c r="BD77" s="123"/>
      <c r="BE77" s="123"/>
      <c r="BF77" s="123"/>
      <c r="BK77" s="115"/>
      <c r="BL77" s="115"/>
      <c r="BM77" s="115"/>
      <c r="BN77" s="115"/>
      <c r="BO77" s="115"/>
      <c r="BP77" s="115"/>
      <c r="BQ77" s="115"/>
      <c r="BR77" s="115"/>
      <c r="BS77" s="115"/>
      <c r="BT77" s="115"/>
      <c r="BU77" s="25"/>
      <c r="BV77" s="13"/>
      <c r="BY77" s="114"/>
    </row>
    <row r="78" spans="1:77" ht="20.100000000000001" customHeight="1" x14ac:dyDescent="0.4">
      <c r="A78" s="117"/>
      <c r="B78" s="123"/>
      <c r="C78" s="123"/>
      <c r="D78" s="123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25">
        <v>46070</v>
      </c>
      <c r="W78" s="13" t="s">
        <v>147</v>
      </c>
      <c r="AK78" s="115"/>
      <c r="AL78" s="29"/>
      <c r="AM78" s="29"/>
      <c r="AW78" s="25"/>
      <c r="AX78" s="13"/>
      <c r="BC78" s="116"/>
      <c r="BD78" s="123"/>
      <c r="BE78" s="123"/>
      <c r="BF78" s="123"/>
      <c r="BK78" s="115"/>
      <c r="BL78" s="115"/>
      <c r="BM78" s="115"/>
      <c r="BN78" s="115"/>
      <c r="BO78" s="115"/>
      <c r="BP78" s="115"/>
      <c r="BQ78" s="115"/>
      <c r="BR78" s="115"/>
      <c r="BS78" s="115"/>
      <c r="BT78" s="115"/>
      <c r="BU78" s="25"/>
      <c r="BV78" s="13"/>
      <c r="BY78" s="114"/>
    </row>
    <row r="79" spans="1:77" ht="20.100000000000001" customHeight="1" x14ac:dyDescent="0.4">
      <c r="A79" s="117"/>
      <c r="B79" s="123"/>
      <c r="C79" s="123"/>
      <c r="D79" s="123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25">
        <v>46070</v>
      </c>
      <c r="W79" s="13" t="s">
        <v>147</v>
      </c>
      <c r="AK79" s="115"/>
      <c r="AL79" s="29"/>
      <c r="AM79" s="29"/>
      <c r="AW79" s="25"/>
      <c r="AX79" s="13"/>
      <c r="BC79" s="116"/>
      <c r="BD79" s="123"/>
      <c r="BE79" s="123"/>
      <c r="BF79" s="123"/>
      <c r="BK79" s="115"/>
      <c r="BL79" s="115"/>
      <c r="BM79" s="115"/>
      <c r="BN79" s="115"/>
      <c r="BO79" s="115"/>
      <c r="BP79" s="115"/>
      <c r="BQ79" s="115"/>
      <c r="BR79" s="115"/>
      <c r="BS79" s="115"/>
      <c r="BT79" s="115"/>
      <c r="BU79" s="25"/>
      <c r="BV79" s="13"/>
      <c r="BY79" s="114"/>
    </row>
    <row r="80" spans="1:77" ht="20.100000000000001" customHeight="1" x14ac:dyDescent="0.4">
      <c r="A80" s="117"/>
      <c r="B80" s="123"/>
      <c r="C80" s="123"/>
      <c r="D80" s="123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25">
        <v>46070</v>
      </c>
      <c r="W80" s="13" t="s">
        <v>147</v>
      </c>
      <c r="AK80" s="115"/>
      <c r="AL80" s="29"/>
      <c r="AM80" s="29"/>
      <c r="AW80" s="25"/>
      <c r="AX80" s="13"/>
      <c r="BC80" s="116"/>
      <c r="BD80" s="123"/>
      <c r="BE80" s="123"/>
      <c r="BF80" s="123"/>
      <c r="BK80" s="115"/>
      <c r="BL80" s="115"/>
      <c r="BM80" s="115"/>
      <c r="BN80" s="115"/>
      <c r="BO80" s="115"/>
      <c r="BP80" s="115"/>
      <c r="BQ80" s="115"/>
      <c r="BR80" s="115"/>
      <c r="BS80" s="115"/>
      <c r="BT80" s="115"/>
      <c r="BU80" s="25"/>
      <c r="BV80" s="13"/>
      <c r="BY80" s="114"/>
    </row>
    <row r="81" spans="1:77" ht="20.100000000000001" customHeight="1" x14ac:dyDescent="0.4">
      <c r="A81" s="117"/>
      <c r="B81" s="123"/>
      <c r="C81" s="123"/>
      <c r="D81" s="123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25">
        <v>46070</v>
      </c>
      <c r="W81" s="13" t="s">
        <v>146</v>
      </c>
      <c r="AK81" s="115"/>
      <c r="AL81" s="29"/>
      <c r="AM81" s="29"/>
      <c r="AW81" s="25"/>
      <c r="AX81" s="13"/>
      <c r="BC81" s="116"/>
      <c r="BD81" s="123"/>
      <c r="BE81" s="123"/>
      <c r="BF81" s="123"/>
      <c r="BK81" s="115"/>
      <c r="BL81" s="115"/>
      <c r="BM81" s="115"/>
      <c r="BN81" s="115"/>
      <c r="BO81" s="115"/>
      <c r="BP81" s="115"/>
      <c r="BQ81" s="115"/>
      <c r="BR81" s="115"/>
      <c r="BS81" s="115"/>
      <c r="BT81" s="115"/>
      <c r="BU81" s="25"/>
      <c r="BV81" s="13"/>
      <c r="BY81" s="114"/>
    </row>
    <row r="82" spans="1:77" ht="20.100000000000001" customHeight="1" x14ac:dyDescent="0.4">
      <c r="A82" s="117"/>
      <c r="B82" s="123"/>
      <c r="C82" s="123"/>
      <c r="D82" s="123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25">
        <v>46070</v>
      </c>
      <c r="W82" s="13" t="s">
        <v>146</v>
      </c>
      <c r="AK82" s="115"/>
      <c r="AL82" s="29"/>
      <c r="AM82" s="29"/>
      <c r="AW82" s="25"/>
      <c r="AX82" s="13"/>
      <c r="BC82" s="116"/>
      <c r="BD82" s="123"/>
      <c r="BE82" s="123"/>
      <c r="BF82" s="123"/>
      <c r="BK82" s="115"/>
      <c r="BL82" s="115"/>
      <c r="BM82" s="115"/>
      <c r="BN82" s="115"/>
      <c r="BO82" s="115"/>
      <c r="BP82" s="115"/>
      <c r="BQ82" s="115"/>
      <c r="BR82" s="115"/>
      <c r="BS82" s="115"/>
      <c r="BT82" s="115"/>
      <c r="BU82" s="25"/>
      <c r="BV82" s="13"/>
      <c r="BY82" s="114"/>
    </row>
    <row r="83" spans="1:77" ht="20.100000000000001" customHeight="1" x14ac:dyDescent="0.4">
      <c r="A83" s="117"/>
      <c r="B83" s="123"/>
      <c r="C83" s="123"/>
      <c r="D83" s="123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25">
        <v>46070</v>
      </c>
      <c r="W83" s="15" t="s">
        <v>146</v>
      </c>
      <c r="AK83" s="115"/>
      <c r="AL83" s="29"/>
      <c r="AM83" s="29"/>
      <c r="AW83" s="25"/>
      <c r="AX83" s="13"/>
      <c r="BC83" s="116"/>
      <c r="BD83" s="123"/>
      <c r="BE83" s="123"/>
      <c r="BF83" s="123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25"/>
      <c r="BV83" s="13"/>
      <c r="BY83" s="114"/>
    </row>
    <row r="84" spans="1:77" ht="20.100000000000001" customHeight="1" x14ac:dyDescent="0.4">
      <c r="A84" s="117"/>
      <c r="B84" s="123"/>
      <c r="C84" s="123"/>
      <c r="D84" s="123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 t="s">
        <v>396</v>
      </c>
      <c r="V84" s="13">
        <f>SUBTOTAL(3,V78:V83)</f>
        <v>6</v>
      </c>
      <c r="W84" s="15">
        <f>SUBTOTAL(3,W78:W83)</f>
        <v>6</v>
      </c>
      <c r="AK84" s="115"/>
      <c r="AL84" s="29"/>
      <c r="AM84" s="29"/>
      <c r="AW84" s="25"/>
      <c r="AX84" s="13"/>
      <c r="BC84" s="116"/>
      <c r="BD84" s="123"/>
      <c r="BE84" s="123"/>
      <c r="BF84" s="123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25"/>
      <c r="BV84" s="13"/>
      <c r="BY84" s="114"/>
    </row>
    <row r="85" spans="1:77" ht="20.100000000000001" customHeight="1" x14ac:dyDescent="0.4">
      <c r="A85" s="117"/>
      <c r="B85" s="123"/>
      <c r="C85" s="123"/>
      <c r="D85" s="123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25">
        <v>46071</v>
      </c>
      <c r="W85" s="15" t="s">
        <v>146</v>
      </c>
      <c r="AK85" s="115"/>
      <c r="AL85" s="29"/>
      <c r="AM85" s="29"/>
      <c r="AW85" s="25"/>
      <c r="AX85" s="13"/>
      <c r="BC85" s="116"/>
      <c r="BD85" s="123"/>
      <c r="BE85" s="123"/>
      <c r="BF85" s="123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25"/>
      <c r="BV85" s="13"/>
      <c r="BY85" s="114"/>
    </row>
    <row r="86" spans="1:77" ht="20.100000000000001" customHeight="1" x14ac:dyDescent="0.4">
      <c r="A86" s="117"/>
      <c r="B86" s="123"/>
      <c r="C86" s="123"/>
      <c r="D86" s="123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26">
        <v>46071</v>
      </c>
      <c r="W86" s="13" t="s">
        <v>148</v>
      </c>
      <c r="AK86" s="115"/>
      <c r="AL86" s="29"/>
      <c r="AM86" s="29"/>
      <c r="AW86" s="25"/>
      <c r="AX86" s="13"/>
      <c r="BC86" s="116"/>
      <c r="BD86" s="123"/>
      <c r="BE86" s="123"/>
      <c r="BF86" s="123"/>
      <c r="BK86" s="115"/>
      <c r="BL86" s="115"/>
      <c r="BM86" s="115"/>
      <c r="BN86" s="115"/>
      <c r="BO86" s="115"/>
      <c r="BP86" s="115"/>
      <c r="BQ86" s="115"/>
      <c r="BR86" s="115"/>
      <c r="BS86" s="115"/>
      <c r="BT86" s="115"/>
      <c r="BU86" s="25"/>
      <c r="BV86" s="13"/>
      <c r="BY86" s="114"/>
    </row>
    <row r="87" spans="1:77" ht="20.100000000000001" customHeight="1" x14ac:dyDescent="0.4">
      <c r="A87" s="117"/>
      <c r="B87" s="123"/>
      <c r="C87" s="123"/>
      <c r="D87" s="123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26">
        <v>46071</v>
      </c>
      <c r="W87" s="13" t="s">
        <v>146</v>
      </c>
      <c r="AK87" s="115"/>
      <c r="AL87" s="29"/>
      <c r="AM87" s="29"/>
      <c r="AW87" s="25"/>
      <c r="AX87" s="13"/>
      <c r="BC87" s="116"/>
      <c r="BD87" s="123"/>
      <c r="BE87" s="123"/>
      <c r="BF87" s="123"/>
      <c r="BK87" s="115"/>
      <c r="BL87" s="115"/>
      <c r="BM87" s="115"/>
      <c r="BN87" s="115"/>
      <c r="BO87" s="115"/>
      <c r="BP87" s="115"/>
      <c r="BQ87" s="115"/>
      <c r="BR87" s="115"/>
      <c r="BS87" s="115"/>
      <c r="BT87" s="115"/>
      <c r="BU87" s="25"/>
      <c r="BV87" s="13"/>
      <c r="BY87" s="114"/>
    </row>
    <row r="88" spans="1:77" ht="20.100000000000001" customHeight="1" x14ac:dyDescent="0.4">
      <c r="A88" s="117"/>
      <c r="B88" s="123"/>
      <c r="C88" s="123"/>
      <c r="D88" s="123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26">
        <v>46071</v>
      </c>
      <c r="W88" s="13" t="s">
        <v>147</v>
      </c>
      <c r="AK88" s="115"/>
      <c r="AL88" s="29"/>
      <c r="AM88" s="29"/>
      <c r="AW88" s="25"/>
      <c r="AX88" s="13"/>
      <c r="BC88" s="116"/>
      <c r="BD88" s="123"/>
      <c r="BE88" s="123"/>
      <c r="BF88" s="123"/>
      <c r="BK88" s="115"/>
      <c r="BL88" s="115"/>
      <c r="BM88" s="115"/>
      <c r="BN88" s="115"/>
      <c r="BO88" s="115"/>
      <c r="BP88" s="115"/>
      <c r="BQ88" s="115"/>
      <c r="BR88" s="115"/>
      <c r="BS88" s="115"/>
      <c r="BT88" s="115"/>
      <c r="BU88" s="25"/>
      <c r="BV88" s="13"/>
      <c r="BY88" s="114"/>
    </row>
    <row r="89" spans="1:77" ht="20.100000000000001" customHeight="1" x14ac:dyDescent="0.4">
      <c r="A89" s="117"/>
      <c r="B89" s="123"/>
      <c r="C89" s="123"/>
      <c r="D89" s="123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26">
        <v>46071</v>
      </c>
      <c r="W89" s="13" t="s">
        <v>146</v>
      </c>
      <c r="AK89" s="115"/>
      <c r="AL89" s="29"/>
      <c r="AM89" s="29"/>
      <c r="AW89" s="25"/>
      <c r="AX89" s="13"/>
      <c r="BC89" s="116"/>
      <c r="BD89" s="123"/>
      <c r="BE89" s="123"/>
      <c r="BF89" s="123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25"/>
      <c r="BV89" s="13"/>
      <c r="BY89" s="114"/>
    </row>
    <row r="90" spans="1:77" ht="20.100000000000001" customHeight="1" x14ac:dyDescent="0.4">
      <c r="A90" s="117"/>
      <c r="B90" s="123"/>
      <c r="C90" s="123"/>
      <c r="D90" s="123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26">
        <v>46071</v>
      </c>
      <c r="W90" s="13" t="s">
        <v>146</v>
      </c>
      <c r="AK90" s="115"/>
      <c r="AL90" s="29"/>
      <c r="AM90" s="29"/>
      <c r="AW90" s="25"/>
      <c r="AX90" s="13"/>
      <c r="BC90" s="116"/>
      <c r="BD90" s="123"/>
      <c r="BE90" s="123"/>
      <c r="BF90" s="123"/>
      <c r="BK90" s="115"/>
      <c r="BL90" s="115"/>
      <c r="BM90" s="115"/>
      <c r="BN90" s="115"/>
      <c r="BO90" s="115"/>
      <c r="BP90" s="115"/>
      <c r="BQ90" s="115"/>
      <c r="BR90" s="115"/>
      <c r="BS90" s="115"/>
      <c r="BT90" s="115"/>
      <c r="BU90" s="25"/>
      <c r="BV90" s="13"/>
      <c r="BY90" s="114"/>
    </row>
    <row r="91" spans="1:77" ht="20.100000000000001" customHeight="1" x14ac:dyDescent="0.4">
      <c r="A91" s="117"/>
      <c r="B91" s="123"/>
      <c r="C91" s="123"/>
      <c r="D91" s="123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26">
        <v>46071</v>
      </c>
      <c r="W91" s="13" t="s">
        <v>146</v>
      </c>
      <c r="AK91" s="115"/>
      <c r="AL91" s="29"/>
      <c r="AM91" s="29"/>
      <c r="AW91" s="25"/>
      <c r="AX91" s="13"/>
      <c r="BC91" s="116"/>
      <c r="BD91" s="123"/>
      <c r="BE91" s="123"/>
      <c r="BF91" s="123"/>
      <c r="BK91" s="115"/>
      <c r="BL91" s="115"/>
      <c r="BM91" s="115"/>
      <c r="BN91" s="115"/>
      <c r="BO91" s="115"/>
      <c r="BP91" s="115"/>
      <c r="BQ91" s="115"/>
      <c r="BR91" s="115"/>
      <c r="BS91" s="115"/>
      <c r="BT91" s="115"/>
      <c r="BU91" s="25"/>
      <c r="BV91" s="13"/>
      <c r="BY91" s="114"/>
    </row>
    <row r="92" spans="1:77" ht="20.100000000000001" customHeight="1" x14ac:dyDescent="0.4">
      <c r="A92" s="117"/>
      <c r="B92" s="123"/>
      <c r="C92" s="123"/>
      <c r="D92" s="123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26">
        <v>46071</v>
      </c>
      <c r="W92" s="13" t="s">
        <v>146</v>
      </c>
      <c r="AK92" s="115"/>
      <c r="AL92" s="29"/>
      <c r="AM92" s="29"/>
      <c r="AW92" s="25"/>
      <c r="AX92" s="13"/>
      <c r="BC92" s="116"/>
      <c r="BD92" s="123"/>
      <c r="BE92" s="123"/>
      <c r="BF92" s="123"/>
      <c r="BK92" s="115"/>
      <c r="BL92" s="115"/>
      <c r="BM92" s="115"/>
      <c r="BN92" s="115"/>
      <c r="BO92" s="115"/>
      <c r="BP92" s="115"/>
      <c r="BQ92" s="115"/>
      <c r="BR92" s="115"/>
      <c r="BS92" s="115"/>
      <c r="BT92" s="115"/>
      <c r="BU92" s="25"/>
      <c r="BV92" s="13"/>
      <c r="BY92" s="114"/>
    </row>
    <row r="93" spans="1:77" ht="20.100000000000001" customHeight="1" x14ac:dyDescent="0.4">
      <c r="A93" s="117"/>
      <c r="B93" s="123"/>
      <c r="C93" s="123"/>
      <c r="D93" s="123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26">
        <v>46071</v>
      </c>
      <c r="W93" s="13" t="s">
        <v>146</v>
      </c>
      <c r="AK93" s="115"/>
      <c r="AL93" s="29"/>
      <c r="AM93" s="29"/>
      <c r="AW93" s="25"/>
      <c r="AX93" s="13"/>
      <c r="BC93" s="116"/>
      <c r="BD93" s="123"/>
      <c r="BE93" s="123"/>
      <c r="BF93" s="123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25"/>
      <c r="BV93" s="13"/>
      <c r="BY93" s="114"/>
    </row>
    <row r="94" spans="1:77" ht="20.100000000000001" customHeight="1" x14ac:dyDescent="0.4">
      <c r="A94" s="117"/>
      <c r="B94" s="123"/>
      <c r="C94" s="123"/>
      <c r="D94" s="123"/>
      <c r="V94" s="26">
        <v>46071</v>
      </c>
      <c r="W94" s="13" t="s">
        <v>146</v>
      </c>
      <c r="AI94" s="115"/>
      <c r="AJ94" s="115"/>
      <c r="AK94" s="115"/>
      <c r="AL94" s="127"/>
      <c r="AM94" s="29"/>
      <c r="AW94" s="25"/>
      <c r="AX94" s="13"/>
      <c r="BC94" s="116"/>
      <c r="BD94" s="123"/>
      <c r="BE94" s="123"/>
      <c r="BF94" s="123"/>
      <c r="BK94" s="115"/>
      <c r="BL94" s="115"/>
      <c r="BM94" s="115"/>
      <c r="BN94" s="115"/>
      <c r="BO94" s="115"/>
      <c r="BP94" s="115"/>
      <c r="BQ94" s="115"/>
      <c r="BR94" s="115"/>
      <c r="BS94" s="115"/>
      <c r="BT94" s="115"/>
      <c r="BU94" s="25"/>
      <c r="BV94" s="13"/>
      <c r="BY94" s="114"/>
    </row>
    <row r="95" spans="1:77" ht="20.100000000000001" customHeight="1" x14ac:dyDescent="0.4">
      <c r="A95" s="117"/>
      <c r="B95" s="123"/>
      <c r="C95" s="123"/>
      <c r="D95" s="123"/>
      <c r="N95" s="115"/>
      <c r="O95" s="115"/>
      <c r="P95" s="115"/>
      <c r="Q95" s="115"/>
      <c r="R95" s="115"/>
      <c r="S95" s="115"/>
      <c r="T95" s="115"/>
      <c r="U95" s="115"/>
      <c r="V95" s="26">
        <v>46071</v>
      </c>
      <c r="W95" s="13" t="s">
        <v>146</v>
      </c>
      <c r="AI95" s="115"/>
      <c r="AJ95" s="115"/>
      <c r="AK95" s="115"/>
      <c r="AL95" s="127"/>
      <c r="AM95" s="29"/>
      <c r="AW95" s="25"/>
      <c r="AX95" s="13"/>
      <c r="BC95" s="116"/>
      <c r="BD95" s="123"/>
      <c r="BE95" s="123"/>
      <c r="BF95" s="123"/>
      <c r="BK95" s="115"/>
      <c r="BL95" s="115"/>
      <c r="BM95" s="115"/>
      <c r="BN95" s="115"/>
      <c r="BO95" s="115"/>
      <c r="BP95" s="115"/>
      <c r="BQ95" s="115"/>
      <c r="BR95" s="115"/>
      <c r="BS95" s="115"/>
      <c r="BT95" s="115"/>
      <c r="BU95" s="25"/>
      <c r="BV95" s="13"/>
      <c r="BY95" s="114"/>
    </row>
    <row r="96" spans="1:77" ht="20.100000000000001" customHeight="1" x14ac:dyDescent="0.4">
      <c r="A96" s="117"/>
      <c r="B96" s="123"/>
      <c r="C96" s="123"/>
      <c r="D96" s="123"/>
      <c r="N96" s="115"/>
      <c r="O96" s="115"/>
      <c r="P96" s="115"/>
      <c r="Q96" s="115"/>
      <c r="R96" s="115"/>
      <c r="S96" s="115"/>
      <c r="T96" s="115"/>
      <c r="U96" s="115"/>
      <c r="V96" s="26">
        <v>46071</v>
      </c>
      <c r="W96" s="13" t="s">
        <v>146</v>
      </c>
      <c r="AI96" s="115"/>
      <c r="AJ96" s="115"/>
      <c r="AK96" s="115"/>
      <c r="AL96" s="127"/>
      <c r="AM96" s="29"/>
      <c r="AW96" s="25"/>
      <c r="AX96" s="13"/>
      <c r="BC96" s="116"/>
      <c r="BD96" s="123"/>
      <c r="BE96" s="123"/>
      <c r="BF96" s="123"/>
      <c r="BK96" s="115"/>
      <c r="BL96" s="115"/>
      <c r="BM96" s="115"/>
      <c r="BN96" s="115"/>
      <c r="BO96" s="115"/>
      <c r="BP96" s="115"/>
      <c r="BQ96" s="115"/>
      <c r="BR96" s="115"/>
      <c r="BS96" s="115"/>
      <c r="BT96" s="115"/>
      <c r="BU96" s="25"/>
      <c r="BV96" s="13"/>
      <c r="BY96" s="114"/>
    </row>
    <row r="97" spans="1:77" ht="20.100000000000001" customHeight="1" x14ac:dyDescent="0.4">
      <c r="A97" s="117"/>
      <c r="B97" s="123"/>
      <c r="C97" s="123"/>
      <c r="D97" s="123"/>
      <c r="M97" s="115"/>
      <c r="N97" s="115"/>
      <c r="O97" s="115"/>
      <c r="P97" s="115"/>
      <c r="Q97" s="115"/>
      <c r="R97" s="115"/>
      <c r="S97" s="115"/>
      <c r="T97" s="115"/>
      <c r="U97" s="115"/>
      <c r="V97" s="26">
        <v>46071</v>
      </c>
      <c r="W97" s="13" t="s">
        <v>146</v>
      </c>
      <c r="AI97" s="115"/>
      <c r="AJ97" s="115"/>
      <c r="AK97" s="115"/>
      <c r="AL97" s="127"/>
      <c r="AM97" s="29"/>
      <c r="AW97" s="25"/>
      <c r="AX97" s="13"/>
      <c r="BC97" s="116"/>
      <c r="BD97" s="123"/>
      <c r="BE97" s="123"/>
      <c r="BF97" s="123"/>
      <c r="BK97" s="115"/>
      <c r="BL97" s="115"/>
      <c r="BM97" s="115"/>
      <c r="BN97" s="115"/>
      <c r="BO97" s="115"/>
      <c r="BP97" s="115"/>
      <c r="BQ97" s="115"/>
      <c r="BR97" s="115"/>
      <c r="BS97" s="115"/>
      <c r="BT97" s="115"/>
      <c r="BU97" s="25"/>
      <c r="BV97" s="13"/>
      <c r="BY97" s="114"/>
    </row>
    <row r="98" spans="1:77" ht="20.100000000000001" customHeight="1" x14ac:dyDescent="0.4">
      <c r="A98" s="117"/>
      <c r="B98" s="123"/>
      <c r="C98" s="123"/>
      <c r="D98" s="123"/>
      <c r="M98" s="115"/>
      <c r="N98" s="115"/>
      <c r="O98" s="115"/>
      <c r="P98" s="115"/>
      <c r="Q98" s="115"/>
      <c r="R98" s="115"/>
      <c r="S98" s="115"/>
      <c r="T98" s="115"/>
      <c r="U98" s="115"/>
      <c r="V98" s="26">
        <v>46071</v>
      </c>
      <c r="W98" s="13" t="s">
        <v>146</v>
      </c>
      <c r="AI98" s="115"/>
      <c r="AJ98" s="115"/>
      <c r="AK98" s="115"/>
      <c r="AL98" s="127"/>
      <c r="AM98" s="29"/>
      <c r="AW98" s="25"/>
      <c r="AX98" s="13"/>
      <c r="BC98" s="116"/>
      <c r="BD98" s="123"/>
      <c r="BE98" s="123"/>
      <c r="BF98" s="123"/>
      <c r="BK98" s="115"/>
      <c r="BL98" s="115"/>
      <c r="BM98" s="115"/>
      <c r="BN98" s="115"/>
      <c r="BO98" s="115"/>
      <c r="BP98" s="115"/>
      <c r="BQ98" s="115"/>
      <c r="BR98" s="115"/>
      <c r="BS98" s="115"/>
      <c r="BT98" s="115"/>
      <c r="BU98" s="25"/>
      <c r="BV98" s="13"/>
      <c r="BY98" s="114"/>
    </row>
    <row r="99" spans="1:77" ht="20.100000000000001" customHeight="1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26">
        <v>46071</v>
      </c>
      <c r="W99" s="13" t="s">
        <v>146</v>
      </c>
      <c r="AI99" s="115"/>
      <c r="AJ99" s="115"/>
      <c r="AK99" s="115"/>
      <c r="AL99" s="127"/>
      <c r="AM99" s="29"/>
      <c r="AW99" s="25"/>
      <c r="AX99" s="13"/>
      <c r="BC99" s="116"/>
      <c r="BD99" s="123"/>
      <c r="BE99" s="123"/>
      <c r="BF99" s="123"/>
      <c r="BK99" s="115"/>
      <c r="BL99" s="115"/>
      <c r="BM99" s="115"/>
      <c r="BN99" s="115"/>
      <c r="BO99" s="115"/>
      <c r="BP99" s="115"/>
      <c r="BQ99" s="115"/>
      <c r="BR99" s="115"/>
      <c r="BS99" s="115"/>
      <c r="BT99" s="115"/>
      <c r="BU99" s="25"/>
      <c r="BV99" s="13"/>
      <c r="BY99" s="114"/>
    </row>
    <row r="100" spans="1:77" ht="20.100000000000001" customHeight="1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26">
        <v>46071</v>
      </c>
      <c r="W100" s="13" t="s">
        <v>146</v>
      </c>
      <c r="AI100" s="115"/>
      <c r="AJ100" s="115"/>
      <c r="AK100" s="115"/>
      <c r="AL100" s="127"/>
      <c r="AM100" s="29"/>
      <c r="AW100" s="25"/>
      <c r="AX100" s="13"/>
      <c r="BC100" s="116"/>
      <c r="BD100" s="123"/>
      <c r="BE100" s="123"/>
      <c r="BF100" s="123"/>
      <c r="BK100" s="115"/>
      <c r="BL100" s="115"/>
      <c r="BM100" s="115"/>
      <c r="BN100" s="115"/>
      <c r="BO100" s="115"/>
      <c r="BP100" s="115"/>
      <c r="BQ100" s="115"/>
      <c r="BR100" s="115"/>
      <c r="BS100" s="115"/>
      <c r="BT100" s="115"/>
      <c r="BU100" s="25"/>
      <c r="BV100" s="13"/>
      <c r="BY100" s="114"/>
    </row>
    <row r="101" spans="1:77" ht="20.100000000000001" customHeight="1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25">
        <v>46071</v>
      </c>
      <c r="W101" s="15" t="s">
        <v>146</v>
      </c>
      <c r="AI101" s="115"/>
      <c r="AJ101" s="115"/>
      <c r="AK101" s="115"/>
      <c r="AL101" s="127"/>
      <c r="AM101" s="29"/>
      <c r="AW101" s="25"/>
      <c r="AX101" s="13"/>
      <c r="BC101" s="116"/>
      <c r="BD101" s="123"/>
      <c r="BE101" s="123"/>
      <c r="BF101" s="123"/>
      <c r="BK101" s="115"/>
      <c r="BL101" s="115"/>
      <c r="BM101" s="115"/>
      <c r="BN101" s="115"/>
      <c r="BO101" s="115"/>
      <c r="BP101" s="115"/>
      <c r="BQ101" s="115"/>
      <c r="BR101" s="115"/>
      <c r="BS101" s="115"/>
      <c r="BT101" s="115"/>
      <c r="BU101" s="25"/>
      <c r="BV101" s="13"/>
      <c r="BY101" s="114"/>
    </row>
    <row r="102" spans="1:77" ht="20.100000000000001" customHeight="1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25">
        <v>46071</v>
      </c>
      <c r="W102" s="15" t="s">
        <v>146</v>
      </c>
      <c r="AI102" s="115"/>
      <c r="AJ102" s="115"/>
      <c r="AK102" s="115"/>
      <c r="AL102" s="127"/>
      <c r="AM102" s="29"/>
      <c r="AW102" s="25"/>
      <c r="AX102" s="13"/>
      <c r="BC102" s="116"/>
      <c r="BD102" s="123"/>
      <c r="BE102" s="123"/>
      <c r="BF102" s="123"/>
      <c r="BK102" s="115"/>
      <c r="BL102" s="115"/>
      <c r="BM102" s="115"/>
      <c r="BN102" s="115"/>
      <c r="BO102" s="115"/>
      <c r="BP102" s="115"/>
      <c r="BQ102" s="115"/>
      <c r="BR102" s="115"/>
      <c r="BS102" s="115"/>
      <c r="BT102" s="115"/>
      <c r="BU102" s="25"/>
      <c r="BV102" s="13"/>
      <c r="BY102" s="114"/>
    </row>
    <row r="103" spans="1:77" ht="20.100000000000001" customHeight="1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25">
        <v>46071</v>
      </c>
      <c r="W103" s="15" t="s">
        <v>146</v>
      </c>
      <c r="AI103" s="115"/>
      <c r="AJ103" s="115"/>
      <c r="AK103" s="115"/>
      <c r="AL103" s="127"/>
      <c r="AM103" s="29"/>
      <c r="AW103" s="25"/>
      <c r="AX103" s="13"/>
      <c r="BC103" s="116"/>
      <c r="BD103" s="123"/>
      <c r="BE103" s="123"/>
      <c r="BF103" s="123"/>
      <c r="BK103" s="115"/>
      <c r="BL103" s="115"/>
      <c r="BM103" s="115"/>
      <c r="BN103" s="115"/>
      <c r="BO103" s="115"/>
      <c r="BP103" s="115"/>
      <c r="BQ103" s="115"/>
      <c r="BR103" s="115"/>
      <c r="BS103" s="115"/>
      <c r="BT103" s="115"/>
      <c r="BU103" s="25"/>
      <c r="BV103" s="13"/>
      <c r="BY103" s="114"/>
    </row>
    <row r="104" spans="1:77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25">
        <v>46071</v>
      </c>
      <c r="W104" s="15" t="s">
        <v>146</v>
      </c>
      <c r="AI104" s="115"/>
      <c r="AJ104" s="115"/>
      <c r="AK104" s="115"/>
      <c r="AL104" s="127"/>
      <c r="AM104" s="29"/>
      <c r="AW104" s="25"/>
      <c r="AX104" s="13"/>
      <c r="BC104" s="116"/>
      <c r="BD104" s="123"/>
      <c r="BE104" s="123"/>
      <c r="BF104" s="123"/>
      <c r="BK104" s="115"/>
      <c r="BL104" s="115"/>
      <c r="BM104" s="115"/>
      <c r="BN104" s="115"/>
      <c r="BO104" s="115"/>
      <c r="BP104" s="115"/>
      <c r="BQ104" s="115"/>
      <c r="BR104" s="115"/>
      <c r="BS104" s="115"/>
      <c r="BT104" s="115"/>
      <c r="BU104" s="25"/>
      <c r="BV104" s="13"/>
      <c r="BY104" s="114"/>
    </row>
    <row r="105" spans="1:77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25">
        <v>46071</v>
      </c>
      <c r="W105" s="15" t="s">
        <v>146</v>
      </c>
      <c r="AI105" s="115"/>
      <c r="AJ105" s="115"/>
      <c r="AK105" s="115"/>
      <c r="AL105" s="127"/>
      <c r="AM105" s="29"/>
      <c r="AW105" s="25"/>
      <c r="AX105" s="13"/>
      <c r="BC105" s="116"/>
      <c r="BD105" s="123"/>
      <c r="BE105" s="123"/>
      <c r="BF105" s="123"/>
      <c r="BK105" s="115"/>
      <c r="BL105" s="115"/>
      <c r="BM105" s="115"/>
      <c r="BN105" s="115"/>
      <c r="BO105" s="115"/>
      <c r="BP105" s="115"/>
      <c r="BQ105" s="115"/>
      <c r="BR105" s="115"/>
      <c r="BS105" s="115"/>
      <c r="BT105" s="115"/>
      <c r="BU105" s="25"/>
      <c r="BV105" s="13"/>
      <c r="BY105" s="114"/>
    </row>
    <row r="106" spans="1:77" ht="20.100000000000001" customHeight="1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25">
        <v>46071</v>
      </c>
      <c r="W106" s="15" t="s">
        <v>146</v>
      </c>
      <c r="AI106" s="115"/>
      <c r="AJ106" s="115"/>
      <c r="AK106" s="115"/>
      <c r="AL106" s="127"/>
      <c r="AM106" s="29"/>
      <c r="AW106" s="25"/>
      <c r="AX106" s="13"/>
      <c r="BC106" s="116"/>
      <c r="BD106" s="123"/>
      <c r="BE106" s="123"/>
      <c r="BF106" s="123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115"/>
      <c r="BU106" s="25"/>
      <c r="BV106" s="13"/>
      <c r="BY106" s="114"/>
    </row>
    <row r="107" spans="1:77" ht="20.100000000000001" customHeight="1" x14ac:dyDescent="0.4">
      <c r="A107" s="117"/>
      <c r="B107" s="123"/>
      <c r="C107" s="123"/>
      <c r="D107" s="123"/>
      <c r="V107" s="25">
        <v>46071</v>
      </c>
      <c r="W107" s="15" t="s">
        <v>146</v>
      </c>
      <c r="AI107" s="115"/>
      <c r="AJ107" s="115"/>
      <c r="AK107" s="115"/>
      <c r="AL107" s="29"/>
      <c r="AM107" s="29"/>
      <c r="AW107" s="25"/>
      <c r="AX107" s="13"/>
      <c r="BC107" s="116"/>
      <c r="BD107" s="123"/>
      <c r="BE107" s="123"/>
      <c r="BF107" s="123"/>
      <c r="BK107" s="115"/>
      <c r="BL107" s="115"/>
      <c r="BM107" s="115"/>
      <c r="BN107" s="115"/>
      <c r="BO107" s="115"/>
      <c r="BP107" s="115"/>
      <c r="BQ107" s="115"/>
      <c r="BR107" s="115"/>
      <c r="BS107" s="115"/>
      <c r="BT107" s="115"/>
      <c r="BU107" s="25"/>
      <c r="BV107" s="13"/>
      <c r="BY107" s="114"/>
    </row>
    <row r="108" spans="1:77" ht="20.100000000000001" customHeight="1" x14ac:dyDescent="0.4">
      <c r="A108" s="117"/>
      <c r="B108" s="123"/>
      <c r="C108" s="123"/>
      <c r="D108" s="123"/>
      <c r="P108" s="115"/>
      <c r="Q108" s="115"/>
      <c r="R108" s="115"/>
      <c r="S108" s="115"/>
      <c r="T108" s="115"/>
      <c r="U108" s="115"/>
      <c r="V108" s="25">
        <v>46071</v>
      </c>
      <c r="W108" s="15" t="s">
        <v>146</v>
      </c>
      <c r="AI108" s="115"/>
      <c r="AJ108" s="115"/>
      <c r="AK108" s="115"/>
      <c r="AL108" s="29"/>
      <c r="AM108" s="29"/>
      <c r="AW108" s="25"/>
      <c r="AX108" s="13"/>
      <c r="BC108" s="116"/>
      <c r="BD108" s="123"/>
      <c r="BE108" s="123"/>
      <c r="BF108" s="123"/>
      <c r="BK108" s="115"/>
      <c r="BL108" s="115"/>
      <c r="BM108" s="115"/>
      <c r="BN108" s="115"/>
      <c r="BO108" s="115"/>
      <c r="BP108" s="115"/>
      <c r="BQ108" s="115"/>
      <c r="BR108" s="115"/>
      <c r="BS108" s="115"/>
      <c r="BT108" s="115"/>
      <c r="BU108" s="25"/>
      <c r="BV108" s="13"/>
      <c r="BY108" s="114"/>
    </row>
    <row r="109" spans="1:77" ht="20.100000000000001" customHeight="1" x14ac:dyDescent="0.4">
      <c r="A109" s="117"/>
      <c r="B109" s="123"/>
      <c r="C109" s="123"/>
      <c r="D109" s="123"/>
      <c r="P109" s="115"/>
      <c r="Q109" s="115"/>
      <c r="R109" s="115"/>
      <c r="S109" s="115"/>
      <c r="T109" s="115"/>
      <c r="U109" s="115"/>
      <c r="V109" s="25">
        <v>46071</v>
      </c>
      <c r="W109" s="15" t="s">
        <v>146</v>
      </c>
      <c r="AI109" s="115"/>
      <c r="AJ109" s="115"/>
      <c r="AK109" s="115"/>
      <c r="AL109" s="29"/>
      <c r="AM109" s="29"/>
      <c r="AW109" s="25"/>
      <c r="AX109" s="13"/>
      <c r="BC109" s="116"/>
      <c r="BD109" s="123"/>
      <c r="BE109" s="123"/>
      <c r="BF109" s="123"/>
      <c r="BK109" s="115"/>
      <c r="BL109" s="115"/>
      <c r="BM109" s="115"/>
      <c r="BN109" s="115"/>
      <c r="BO109" s="115"/>
      <c r="BP109" s="115"/>
      <c r="BQ109" s="115"/>
      <c r="BR109" s="115"/>
      <c r="BS109" s="115"/>
      <c r="BT109" s="115"/>
      <c r="BU109" s="25"/>
      <c r="BV109" s="13"/>
      <c r="BY109" s="114"/>
    </row>
    <row r="110" spans="1:77" ht="20.100000000000001" customHeight="1" x14ac:dyDescent="0.4">
      <c r="A110" s="117"/>
      <c r="B110" s="123"/>
      <c r="C110" s="123"/>
      <c r="D110" s="123"/>
      <c r="P110" s="115"/>
      <c r="Q110" s="115"/>
      <c r="R110" s="115"/>
      <c r="S110" s="115"/>
      <c r="T110" s="115"/>
      <c r="U110" s="115"/>
      <c r="V110" s="25">
        <v>46071</v>
      </c>
      <c r="W110" s="15" t="s">
        <v>146</v>
      </c>
      <c r="AI110" s="115"/>
      <c r="AJ110" s="115"/>
      <c r="AK110" s="115"/>
      <c r="AL110" s="29"/>
      <c r="AM110" s="29"/>
      <c r="AW110" s="25"/>
      <c r="AX110" s="13"/>
      <c r="BC110" s="116"/>
      <c r="BD110" s="123"/>
      <c r="BE110" s="123"/>
      <c r="BF110" s="123"/>
      <c r="BK110" s="115"/>
      <c r="BL110" s="115"/>
      <c r="BM110" s="115"/>
      <c r="BN110" s="115"/>
      <c r="BO110" s="115"/>
      <c r="BP110" s="115"/>
      <c r="BQ110" s="115"/>
      <c r="BR110" s="115"/>
      <c r="BS110" s="115"/>
      <c r="BT110" s="115"/>
      <c r="BU110" s="25"/>
      <c r="BV110" s="13"/>
      <c r="BY110" s="114"/>
    </row>
    <row r="111" spans="1:77" ht="20.100000000000001" customHeight="1" x14ac:dyDescent="0.4">
      <c r="A111" s="117"/>
      <c r="B111" s="123"/>
      <c r="C111" s="123"/>
      <c r="D111" s="123"/>
      <c r="P111" s="115"/>
      <c r="Q111" s="115"/>
      <c r="R111" s="115"/>
      <c r="S111" s="115"/>
      <c r="T111" s="115"/>
      <c r="U111" s="115"/>
      <c r="V111" s="25">
        <v>46071</v>
      </c>
      <c r="W111" s="15" t="s">
        <v>146</v>
      </c>
      <c r="AI111" s="115"/>
      <c r="AJ111" s="115"/>
      <c r="AK111" s="115"/>
      <c r="AL111" s="29"/>
      <c r="AM111" s="29"/>
      <c r="AW111" s="25"/>
      <c r="AX111" s="13"/>
      <c r="BC111" s="116"/>
      <c r="BD111" s="123"/>
      <c r="BE111" s="123"/>
      <c r="BF111" s="123"/>
      <c r="BK111" s="115"/>
      <c r="BL111" s="115"/>
      <c r="BM111" s="115"/>
      <c r="BN111" s="115"/>
      <c r="BO111" s="115"/>
      <c r="BP111" s="115"/>
      <c r="BQ111" s="115"/>
      <c r="BR111" s="115"/>
      <c r="BS111" s="115"/>
      <c r="BT111" s="115"/>
      <c r="BU111" s="25"/>
      <c r="BV111" s="13"/>
      <c r="BY111" s="114"/>
    </row>
    <row r="112" spans="1:77" ht="20.100000000000001" customHeight="1" x14ac:dyDescent="0.4">
      <c r="A112" s="117"/>
      <c r="B112" s="123"/>
      <c r="C112" s="123"/>
      <c r="D112" s="123"/>
      <c r="V112" s="25">
        <v>46071</v>
      </c>
      <c r="W112" s="15" t="s">
        <v>146</v>
      </c>
      <c r="AH112" s="115"/>
      <c r="AI112" s="115"/>
      <c r="AJ112" s="115"/>
      <c r="AK112" s="115"/>
      <c r="AL112" s="127"/>
      <c r="AM112" s="29"/>
      <c r="AW112" s="25"/>
      <c r="AX112" s="13"/>
      <c r="BC112" s="116"/>
      <c r="BD112" s="123"/>
      <c r="BE112" s="123"/>
      <c r="BF112" s="123"/>
      <c r="BK112" s="115"/>
      <c r="BL112" s="115"/>
      <c r="BM112" s="115"/>
      <c r="BN112" s="115"/>
      <c r="BO112" s="115"/>
      <c r="BP112" s="115"/>
      <c r="BQ112" s="115"/>
      <c r="BR112" s="115"/>
      <c r="BS112" s="115"/>
      <c r="BT112" s="115"/>
      <c r="BU112" s="25"/>
      <c r="BV112" s="13"/>
      <c r="BY112" s="114"/>
    </row>
    <row r="113" spans="1:77" ht="20.100000000000001" customHeight="1" x14ac:dyDescent="0.4">
      <c r="A113" s="117"/>
      <c r="B113" s="123"/>
      <c r="C113" s="123"/>
      <c r="D113" s="123"/>
      <c r="R113" s="115"/>
      <c r="S113" s="115"/>
      <c r="T113" s="115"/>
      <c r="U113" s="115"/>
      <c r="V113" s="25">
        <v>46071</v>
      </c>
      <c r="W113" s="15" t="s">
        <v>146</v>
      </c>
      <c r="AH113" s="115"/>
      <c r="AI113" s="115"/>
      <c r="AJ113" s="115"/>
      <c r="AK113" s="115"/>
      <c r="AL113" s="127"/>
      <c r="AM113" s="29"/>
      <c r="AW113" s="25"/>
      <c r="AX113" s="13"/>
      <c r="BC113" s="116"/>
      <c r="BD113" s="123"/>
      <c r="BE113" s="123"/>
      <c r="BF113" s="123"/>
      <c r="BK113" s="115"/>
      <c r="BL113" s="115"/>
      <c r="BM113" s="115"/>
      <c r="BN113" s="115"/>
      <c r="BO113" s="115"/>
      <c r="BP113" s="115"/>
      <c r="BQ113" s="115"/>
      <c r="BR113" s="115"/>
      <c r="BS113" s="115"/>
      <c r="BT113" s="115"/>
      <c r="BU113" s="25"/>
      <c r="BV113" s="13"/>
      <c r="BY113" s="114"/>
    </row>
    <row r="114" spans="1:77" ht="20.100000000000001" customHeight="1" x14ac:dyDescent="0.4">
      <c r="A114" s="117"/>
      <c r="B114" s="123"/>
      <c r="C114" s="123"/>
      <c r="D114" s="123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25">
        <v>46071</v>
      </c>
      <c r="W114" s="15" t="s">
        <v>146</v>
      </c>
      <c r="AH114" s="115"/>
      <c r="AI114" s="115"/>
      <c r="AJ114" s="115"/>
      <c r="AK114" s="115"/>
      <c r="AL114" s="127"/>
      <c r="AM114" s="29"/>
      <c r="AW114" s="25"/>
      <c r="AX114" s="13"/>
      <c r="BC114" s="116"/>
      <c r="BD114" s="123"/>
      <c r="BE114" s="123"/>
      <c r="BF114" s="123"/>
      <c r="BK114" s="115"/>
      <c r="BL114" s="115"/>
      <c r="BM114" s="115"/>
      <c r="BN114" s="115"/>
      <c r="BO114" s="115"/>
      <c r="BP114" s="115"/>
      <c r="BQ114" s="115"/>
      <c r="BR114" s="115"/>
      <c r="BS114" s="115"/>
      <c r="BT114" s="115"/>
      <c r="BU114" s="25"/>
      <c r="BV114" s="13"/>
      <c r="BY114" s="114"/>
    </row>
    <row r="115" spans="1:77" ht="20.100000000000001" customHeight="1" x14ac:dyDescent="0.4">
      <c r="A115" s="117"/>
      <c r="B115" s="123"/>
      <c r="C115" s="123"/>
      <c r="D115" s="123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25">
        <v>46071</v>
      </c>
      <c r="W115" s="15" t="s">
        <v>142</v>
      </c>
      <c r="AH115" s="115"/>
      <c r="AI115" s="115"/>
      <c r="AJ115" s="115"/>
      <c r="AK115" s="115"/>
      <c r="AL115" s="127"/>
      <c r="AM115" s="29"/>
      <c r="AW115" s="25"/>
      <c r="AX115" s="13"/>
      <c r="BC115" s="116"/>
      <c r="BD115" s="123"/>
      <c r="BE115" s="123"/>
      <c r="BF115" s="123"/>
      <c r="BK115" s="115"/>
      <c r="BL115" s="115"/>
      <c r="BM115" s="115"/>
      <c r="BN115" s="115"/>
      <c r="BO115" s="115"/>
      <c r="BP115" s="115"/>
      <c r="BQ115" s="115"/>
      <c r="BR115" s="115"/>
      <c r="BS115" s="115"/>
      <c r="BT115" s="115"/>
      <c r="BU115" s="25"/>
      <c r="BV115" s="13"/>
      <c r="BY115" s="114"/>
    </row>
    <row r="116" spans="1:77" ht="20.100000000000001" customHeight="1" x14ac:dyDescent="0.4">
      <c r="A116" s="117"/>
      <c r="B116" s="123"/>
      <c r="C116" s="123"/>
      <c r="D116" s="123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25">
        <v>46071</v>
      </c>
      <c r="W116" s="15" t="s">
        <v>146</v>
      </c>
      <c r="AH116" s="115"/>
      <c r="AI116" s="115"/>
      <c r="AJ116" s="115"/>
      <c r="AK116" s="115"/>
      <c r="AL116" s="127"/>
      <c r="AM116" s="29"/>
      <c r="AW116" s="25"/>
      <c r="AX116" s="13"/>
      <c r="BC116" s="116"/>
      <c r="BD116" s="123"/>
      <c r="BE116" s="123"/>
      <c r="BF116" s="123"/>
      <c r="BK116" s="115"/>
      <c r="BL116" s="115"/>
      <c r="BM116" s="115"/>
      <c r="BN116" s="115"/>
      <c r="BO116" s="115"/>
      <c r="BP116" s="115"/>
      <c r="BQ116" s="115"/>
      <c r="BR116" s="115"/>
      <c r="BS116" s="115"/>
      <c r="BT116" s="115"/>
      <c r="BU116" s="25"/>
      <c r="BV116" s="13"/>
      <c r="BY116" s="114"/>
    </row>
    <row r="117" spans="1:77" ht="20.100000000000001" customHeight="1" x14ac:dyDescent="0.4">
      <c r="A117" s="117"/>
      <c r="B117" s="123"/>
      <c r="C117" s="123"/>
      <c r="D117" s="123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25">
        <v>46071</v>
      </c>
      <c r="W117" s="15" t="s">
        <v>146</v>
      </c>
      <c r="AH117" s="115"/>
      <c r="AI117" s="115"/>
      <c r="AJ117" s="115"/>
      <c r="AK117" s="115"/>
      <c r="AL117" s="127"/>
      <c r="AM117" s="29"/>
      <c r="AW117" s="25"/>
      <c r="AX117" s="13"/>
      <c r="BC117" s="116"/>
      <c r="BD117" s="123"/>
      <c r="BE117" s="123"/>
      <c r="BF117" s="123"/>
      <c r="BK117" s="115"/>
      <c r="BL117" s="115"/>
      <c r="BM117" s="115"/>
      <c r="BN117" s="115"/>
      <c r="BO117" s="115"/>
      <c r="BP117" s="115"/>
      <c r="BQ117" s="115"/>
      <c r="BR117" s="115"/>
      <c r="BS117" s="115"/>
      <c r="BT117" s="115"/>
      <c r="BU117" s="25"/>
      <c r="BV117" s="13"/>
      <c r="BY117" s="114"/>
    </row>
    <row r="118" spans="1:77" ht="20.100000000000001" customHeight="1" x14ac:dyDescent="0.4">
      <c r="A118" s="117"/>
      <c r="B118" s="123"/>
      <c r="C118" s="123"/>
      <c r="D118" s="123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 t="s">
        <v>196</v>
      </c>
      <c r="V118" s="13">
        <f>SUBTOTAL(3,V85:V117)</f>
        <v>33</v>
      </c>
      <c r="W118" s="15">
        <f>SUBTOTAL(3,W85:W117)</f>
        <v>33</v>
      </c>
      <c r="AH118" s="115"/>
      <c r="AI118" s="115"/>
      <c r="AJ118" s="115"/>
      <c r="AK118" s="115"/>
      <c r="AL118" s="127"/>
      <c r="AM118" s="29"/>
      <c r="AW118" s="25"/>
      <c r="AX118" s="13"/>
      <c r="BC118" s="116"/>
      <c r="BD118" s="123"/>
      <c r="BE118" s="123"/>
      <c r="BF118" s="123"/>
      <c r="BK118" s="115"/>
      <c r="BL118" s="115"/>
      <c r="BM118" s="115"/>
      <c r="BN118" s="115"/>
      <c r="BO118" s="115"/>
      <c r="BP118" s="115"/>
      <c r="BQ118" s="115"/>
      <c r="BR118" s="115"/>
      <c r="BS118" s="115"/>
      <c r="BT118" s="115"/>
      <c r="BU118" s="25"/>
      <c r="BV118" s="13"/>
      <c r="BY118" s="114"/>
    </row>
    <row r="119" spans="1:77" ht="20.100000000000001" customHeight="1" x14ac:dyDescent="0.4">
      <c r="A119" s="117"/>
      <c r="B119" s="123"/>
      <c r="C119" s="123"/>
      <c r="D119" s="123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25">
        <v>46074</v>
      </c>
      <c r="W119" s="15" t="s">
        <v>147</v>
      </c>
      <c r="AH119" s="115"/>
      <c r="AI119" s="115"/>
      <c r="AJ119" s="115"/>
      <c r="AK119" s="115"/>
      <c r="AL119" s="127"/>
      <c r="AM119" s="29"/>
      <c r="AW119" s="25"/>
      <c r="AX119" s="13"/>
      <c r="BC119" s="116"/>
      <c r="BD119" s="123"/>
      <c r="BE119" s="123"/>
      <c r="BF119" s="123"/>
      <c r="BK119" s="115"/>
      <c r="BL119" s="115"/>
      <c r="BM119" s="115"/>
      <c r="BN119" s="115"/>
      <c r="BO119" s="115"/>
      <c r="BP119" s="115"/>
      <c r="BQ119" s="115"/>
      <c r="BR119" s="115"/>
      <c r="BS119" s="115"/>
      <c r="BT119" s="115"/>
      <c r="BU119" s="25"/>
      <c r="BV119" s="13"/>
      <c r="BY119" s="114"/>
    </row>
    <row r="120" spans="1:77" ht="20.100000000000001" customHeight="1" x14ac:dyDescent="0.4">
      <c r="A120" s="117"/>
      <c r="B120" s="123"/>
      <c r="C120" s="123"/>
      <c r="D120" s="123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25">
        <v>46074</v>
      </c>
      <c r="W120" s="15" t="s">
        <v>148</v>
      </c>
      <c r="AH120" s="115"/>
      <c r="AI120" s="115"/>
      <c r="AJ120" s="115"/>
      <c r="AK120" s="115"/>
      <c r="AL120" s="127"/>
      <c r="AM120" s="29"/>
      <c r="AW120" s="25"/>
      <c r="AX120" s="13"/>
      <c r="BC120" s="116"/>
      <c r="BD120" s="123"/>
      <c r="BE120" s="123"/>
      <c r="BF120" s="123"/>
      <c r="BK120" s="115"/>
      <c r="BL120" s="115"/>
      <c r="BM120" s="115"/>
      <c r="BN120" s="115"/>
      <c r="BO120" s="115"/>
      <c r="BP120" s="115"/>
      <c r="BQ120" s="115"/>
      <c r="BR120" s="115"/>
      <c r="BS120" s="115"/>
      <c r="BT120" s="115"/>
      <c r="BU120" s="25"/>
      <c r="BV120" s="13"/>
      <c r="BY120" s="114"/>
    </row>
    <row r="121" spans="1:77" ht="20.100000000000001" customHeight="1" x14ac:dyDescent="0.4">
      <c r="A121" s="117"/>
      <c r="B121" s="123"/>
      <c r="C121" s="123"/>
      <c r="D121" s="123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25">
        <v>46074</v>
      </c>
      <c r="W121" s="15" t="s">
        <v>146</v>
      </c>
      <c r="AH121" s="115"/>
      <c r="AI121" s="115"/>
      <c r="AJ121" s="115"/>
      <c r="AK121" s="115"/>
      <c r="AL121" s="127"/>
      <c r="AM121" s="29"/>
      <c r="AW121" s="25"/>
      <c r="AX121" s="13"/>
      <c r="BC121" s="116"/>
      <c r="BD121" s="123"/>
      <c r="BE121" s="123"/>
      <c r="BF121" s="123"/>
      <c r="BK121" s="115"/>
      <c r="BL121" s="115"/>
      <c r="BM121" s="115"/>
      <c r="BN121" s="115"/>
      <c r="BO121" s="115"/>
      <c r="BP121" s="115"/>
      <c r="BQ121" s="115"/>
      <c r="BR121" s="115"/>
      <c r="BS121" s="115"/>
      <c r="BT121" s="115"/>
      <c r="BU121" s="25"/>
      <c r="BV121" s="13"/>
      <c r="BY121" s="114"/>
    </row>
    <row r="122" spans="1:77" ht="20.100000000000001" customHeight="1" x14ac:dyDescent="0.4">
      <c r="A122" s="117"/>
      <c r="B122" s="123"/>
      <c r="C122" s="123"/>
      <c r="D122" s="123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25">
        <v>46074</v>
      </c>
      <c r="W122" s="15" t="s">
        <v>148</v>
      </c>
      <c r="AH122" s="115"/>
      <c r="AI122" s="115"/>
      <c r="AJ122" s="115"/>
      <c r="AK122" s="115"/>
      <c r="AL122" s="127"/>
      <c r="AM122" s="29"/>
      <c r="AW122" s="25"/>
      <c r="AX122" s="13"/>
      <c r="BC122" s="116"/>
      <c r="BD122" s="123"/>
      <c r="BE122" s="123"/>
      <c r="BF122" s="123"/>
      <c r="BK122" s="115"/>
      <c r="BL122" s="115"/>
      <c r="BM122" s="115"/>
      <c r="BN122" s="115"/>
      <c r="BO122" s="115"/>
      <c r="BP122" s="115"/>
      <c r="BQ122" s="115"/>
      <c r="BR122" s="115"/>
      <c r="BS122" s="115"/>
      <c r="BT122" s="115"/>
      <c r="BU122" s="25"/>
      <c r="BV122" s="13"/>
      <c r="BY122" s="114"/>
    </row>
    <row r="123" spans="1:77" ht="20.100000000000001" customHeight="1" x14ac:dyDescent="0.4">
      <c r="A123" s="117"/>
      <c r="B123" s="123"/>
      <c r="C123" s="123"/>
      <c r="D123" s="123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 t="s">
        <v>397</v>
      </c>
      <c r="V123" s="13">
        <f>SUBTOTAL(3,V119:V122)</f>
        <v>4</v>
      </c>
      <c r="W123" s="15">
        <f>SUBTOTAL(3,W119:W122)</f>
        <v>4</v>
      </c>
      <c r="AH123" s="115"/>
      <c r="AI123" s="115"/>
      <c r="AJ123" s="115"/>
      <c r="AK123" s="115"/>
      <c r="AL123" s="127"/>
      <c r="AM123" s="29"/>
      <c r="AW123" s="25"/>
      <c r="AX123" s="13"/>
      <c r="BC123" s="116"/>
      <c r="BD123" s="123"/>
      <c r="BE123" s="123"/>
      <c r="BF123" s="123"/>
      <c r="BK123" s="115"/>
      <c r="BL123" s="115"/>
      <c r="BM123" s="115"/>
      <c r="BN123" s="115"/>
      <c r="BO123" s="115"/>
      <c r="BP123" s="115"/>
      <c r="BQ123" s="115"/>
      <c r="BR123" s="115"/>
      <c r="BS123" s="115"/>
      <c r="BT123" s="115"/>
      <c r="BU123" s="25"/>
      <c r="BV123" s="13"/>
      <c r="BY123" s="114"/>
    </row>
    <row r="124" spans="1:77" ht="20.100000000000001" customHeight="1" x14ac:dyDescent="0.4">
      <c r="A124" s="117"/>
      <c r="B124" s="123"/>
      <c r="C124" s="123"/>
      <c r="D124" s="123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25">
        <v>46075</v>
      </c>
      <c r="W124" s="15" t="s">
        <v>147</v>
      </c>
      <c r="AH124" s="115"/>
      <c r="AI124" s="115"/>
      <c r="AJ124" s="115"/>
      <c r="AK124" s="115"/>
      <c r="AL124" s="127"/>
      <c r="AM124" s="29"/>
      <c r="AW124" s="25"/>
      <c r="AX124" s="13"/>
      <c r="BC124" s="116"/>
      <c r="BD124" s="123"/>
      <c r="BE124" s="123"/>
      <c r="BF124" s="123"/>
      <c r="BK124" s="115"/>
      <c r="BL124" s="115"/>
      <c r="BM124" s="115"/>
      <c r="BN124" s="115"/>
      <c r="BO124" s="115"/>
      <c r="BP124" s="115"/>
      <c r="BQ124" s="115"/>
      <c r="BR124" s="115"/>
      <c r="BS124" s="115"/>
      <c r="BT124" s="115"/>
      <c r="BU124" s="25"/>
      <c r="BV124" s="13"/>
      <c r="BY124" s="114"/>
    </row>
    <row r="125" spans="1:77" ht="20.100000000000001" customHeight="1" x14ac:dyDescent="0.4">
      <c r="A125" s="117"/>
      <c r="B125" s="123"/>
      <c r="C125" s="123"/>
      <c r="D125" s="123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 t="s">
        <v>398</v>
      </c>
      <c r="V125" s="13">
        <f>SUBTOTAL(3,V124:V124)</f>
        <v>1</v>
      </c>
      <c r="W125" s="15">
        <f>SUBTOTAL(3,W124:W124)</f>
        <v>1</v>
      </c>
      <c r="AH125" s="115"/>
      <c r="AI125" s="115"/>
      <c r="AJ125" s="115"/>
      <c r="AK125" s="115"/>
      <c r="AL125" s="127"/>
      <c r="AM125" s="29"/>
      <c r="AW125" s="25"/>
      <c r="AX125" s="13"/>
      <c r="BC125" s="116"/>
      <c r="BD125" s="123"/>
      <c r="BE125" s="123"/>
      <c r="BF125" s="123"/>
      <c r="BK125" s="115"/>
      <c r="BL125" s="115"/>
      <c r="BM125" s="115"/>
      <c r="BN125" s="115"/>
      <c r="BO125" s="115"/>
      <c r="BP125" s="115"/>
      <c r="BQ125" s="115"/>
      <c r="BR125" s="115"/>
      <c r="BS125" s="115"/>
      <c r="BT125" s="115"/>
      <c r="BU125" s="25"/>
      <c r="BV125" s="13"/>
      <c r="BY125" s="114"/>
    </row>
    <row r="126" spans="1:77" ht="20.100000000000001" customHeight="1" x14ac:dyDescent="0.4">
      <c r="A126" s="117"/>
      <c r="B126" s="123"/>
      <c r="C126" s="123"/>
      <c r="D126" s="123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25">
        <v>46076</v>
      </c>
      <c r="W126" s="15" t="s">
        <v>146</v>
      </c>
      <c r="AH126" s="115"/>
      <c r="AI126" s="115"/>
      <c r="AJ126" s="115"/>
      <c r="AK126" s="115"/>
      <c r="AL126" s="127"/>
      <c r="AM126" s="29"/>
      <c r="AW126" s="25"/>
      <c r="AX126" s="13"/>
      <c r="BC126" s="116"/>
      <c r="BD126" s="123"/>
      <c r="BE126" s="123"/>
      <c r="BF126" s="123"/>
      <c r="BK126" s="115"/>
      <c r="BL126" s="115"/>
      <c r="BM126" s="115"/>
      <c r="BN126" s="115"/>
      <c r="BO126" s="115"/>
      <c r="BP126" s="115"/>
      <c r="BQ126" s="115"/>
      <c r="BR126" s="115"/>
      <c r="BS126" s="115"/>
      <c r="BT126" s="115"/>
      <c r="BU126" s="25"/>
      <c r="BV126" s="13"/>
      <c r="BY126" s="114"/>
    </row>
    <row r="127" spans="1:77" ht="20.100000000000001" customHeight="1" x14ac:dyDescent="0.4">
      <c r="A127" s="117"/>
      <c r="B127" s="123"/>
      <c r="C127" s="123"/>
      <c r="D127" s="123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25">
        <v>46076</v>
      </c>
      <c r="W127" s="15" t="s">
        <v>148</v>
      </c>
      <c r="AH127" s="115"/>
      <c r="AI127" s="115"/>
      <c r="AJ127" s="115"/>
      <c r="AK127" s="115"/>
      <c r="AL127" s="127"/>
      <c r="AM127" s="29"/>
      <c r="AW127" s="25"/>
      <c r="AX127" s="13"/>
      <c r="BC127" s="116"/>
      <c r="BD127" s="123"/>
      <c r="BE127" s="123"/>
      <c r="BF127" s="123"/>
      <c r="BK127" s="115"/>
      <c r="BL127" s="115"/>
      <c r="BM127" s="115"/>
      <c r="BN127" s="115"/>
      <c r="BO127" s="115"/>
      <c r="BP127" s="115"/>
      <c r="BQ127" s="115"/>
      <c r="BR127" s="115"/>
      <c r="BS127" s="115"/>
      <c r="BT127" s="115"/>
      <c r="BU127" s="25"/>
      <c r="BV127" s="13"/>
      <c r="BY127" s="114"/>
    </row>
    <row r="128" spans="1:77" ht="20.100000000000001" customHeight="1" x14ac:dyDescent="0.4">
      <c r="A128" s="117"/>
      <c r="B128" s="123"/>
      <c r="C128" s="123"/>
      <c r="D128" s="123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25">
        <v>46076</v>
      </c>
      <c r="W128" s="15" t="s">
        <v>148</v>
      </c>
      <c r="AH128" s="115"/>
      <c r="AI128" s="115"/>
      <c r="AJ128" s="115"/>
      <c r="AK128" s="115"/>
      <c r="AL128" s="127"/>
      <c r="AM128" s="29"/>
      <c r="AW128" s="25"/>
      <c r="AX128" s="13"/>
      <c r="BC128" s="116"/>
      <c r="BD128" s="123"/>
      <c r="BE128" s="123"/>
      <c r="BF128" s="123"/>
      <c r="BK128" s="115"/>
      <c r="BL128" s="115"/>
      <c r="BM128" s="115"/>
      <c r="BN128" s="115"/>
      <c r="BO128" s="115"/>
      <c r="BP128" s="115"/>
      <c r="BQ128" s="115"/>
      <c r="BR128" s="115"/>
      <c r="BS128" s="115"/>
      <c r="BT128" s="115"/>
      <c r="BU128" s="25"/>
      <c r="BV128" s="13"/>
      <c r="BY128" s="114"/>
    </row>
    <row r="129" spans="1:77" ht="20.100000000000001" customHeight="1" x14ac:dyDescent="0.4">
      <c r="A129" s="117"/>
      <c r="B129" s="123"/>
      <c r="C129" s="123"/>
      <c r="D129" s="123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25">
        <v>46076</v>
      </c>
      <c r="W129" s="15" t="s">
        <v>148</v>
      </c>
      <c r="AH129" s="115"/>
      <c r="AI129" s="115"/>
      <c r="AJ129" s="115"/>
      <c r="AK129" s="115"/>
      <c r="AL129" s="127"/>
      <c r="AM129" s="29"/>
      <c r="AW129" s="25"/>
      <c r="AX129" s="13"/>
      <c r="BC129" s="116"/>
      <c r="BD129" s="123"/>
      <c r="BE129" s="123"/>
      <c r="BF129" s="123"/>
      <c r="BK129" s="115"/>
      <c r="BL129" s="115"/>
      <c r="BM129" s="115"/>
      <c r="BN129" s="115"/>
      <c r="BO129" s="115"/>
      <c r="BP129" s="115"/>
      <c r="BQ129" s="115"/>
      <c r="BR129" s="115"/>
      <c r="BS129" s="115"/>
      <c r="BT129" s="115"/>
      <c r="BU129" s="25"/>
      <c r="BV129" s="13"/>
      <c r="BY129" s="114"/>
    </row>
    <row r="130" spans="1:77" ht="20.100000000000001" customHeight="1" x14ac:dyDescent="0.4">
      <c r="A130" s="117"/>
      <c r="B130" s="123"/>
      <c r="C130" s="123"/>
      <c r="D130" s="123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25">
        <v>46076</v>
      </c>
      <c r="W130" s="15" t="s">
        <v>146</v>
      </c>
      <c r="AH130" s="115"/>
      <c r="AI130" s="115"/>
      <c r="AJ130" s="115"/>
      <c r="AK130" s="115"/>
      <c r="AL130" s="127"/>
      <c r="AM130" s="29"/>
      <c r="AW130" s="25"/>
      <c r="AX130" s="13"/>
      <c r="BC130" s="116"/>
      <c r="BD130" s="123"/>
      <c r="BE130" s="123"/>
      <c r="BF130" s="123"/>
      <c r="BK130" s="115"/>
      <c r="BL130" s="115"/>
      <c r="BM130" s="115"/>
      <c r="BN130" s="115"/>
      <c r="BO130" s="115"/>
      <c r="BP130" s="115"/>
      <c r="BQ130" s="115"/>
      <c r="BR130" s="115"/>
      <c r="BS130" s="115"/>
      <c r="BT130" s="115"/>
      <c r="BU130" s="25"/>
      <c r="BV130" s="13"/>
      <c r="BY130" s="114"/>
    </row>
    <row r="131" spans="1:77" ht="20.100000000000001" customHeight="1" x14ac:dyDescent="0.4">
      <c r="A131" s="117"/>
      <c r="B131" s="123"/>
      <c r="C131" s="123"/>
      <c r="D131" s="123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25">
        <v>46076</v>
      </c>
      <c r="W131" s="15" t="s">
        <v>146</v>
      </c>
      <c r="AH131" s="115"/>
      <c r="AI131" s="115"/>
      <c r="AJ131" s="115"/>
      <c r="AK131" s="115"/>
      <c r="AL131" s="127"/>
      <c r="AM131" s="29"/>
      <c r="AW131" s="25"/>
      <c r="AX131" s="13"/>
      <c r="BC131" s="116"/>
      <c r="BD131" s="123"/>
      <c r="BE131" s="123"/>
      <c r="BF131" s="123"/>
      <c r="BK131" s="115"/>
      <c r="BL131" s="115"/>
      <c r="BM131" s="115"/>
      <c r="BN131" s="115"/>
      <c r="BO131" s="115"/>
      <c r="BP131" s="115"/>
      <c r="BQ131" s="115"/>
      <c r="BR131" s="115"/>
      <c r="BS131" s="115"/>
      <c r="BT131" s="115"/>
      <c r="BU131" s="25"/>
      <c r="BV131" s="13"/>
      <c r="BY131" s="114"/>
    </row>
    <row r="132" spans="1:77" ht="20.100000000000001" customHeight="1" x14ac:dyDescent="0.4">
      <c r="A132" s="117"/>
      <c r="B132" s="123"/>
      <c r="C132" s="123"/>
      <c r="D132" s="123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25">
        <v>46076</v>
      </c>
      <c r="W132" s="15" t="s">
        <v>146</v>
      </c>
      <c r="AH132" s="115"/>
      <c r="AI132" s="115"/>
      <c r="AJ132" s="115"/>
      <c r="AK132" s="115"/>
      <c r="AL132" s="127"/>
      <c r="AM132" s="29"/>
      <c r="AW132" s="25"/>
      <c r="AX132" s="13"/>
      <c r="BC132" s="116"/>
      <c r="BD132" s="123"/>
      <c r="BE132" s="123"/>
      <c r="BF132" s="123"/>
      <c r="BK132" s="115"/>
      <c r="BL132" s="115"/>
      <c r="BM132" s="115"/>
      <c r="BN132" s="115"/>
      <c r="BO132" s="115"/>
      <c r="BP132" s="115"/>
      <c r="BQ132" s="115"/>
      <c r="BR132" s="115"/>
      <c r="BS132" s="115"/>
      <c r="BT132" s="115"/>
      <c r="BU132" s="25"/>
      <c r="BV132" s="13"/>
      <c r="BY132" s="114"/>
    </row>
    <row r="133" spans="1:77" ht="20.100000000000001" customHeight="1" x14ac:dyDescent="0.4">
      <c r="A133" s="117"/>
      <c r="B133" s="123"/>
      <c r="C133" s="123"/>
      <c r="D133" s="123"/>
      <c r="V133" s="25">
        <v>46076</v>
      </c>
      <c r="W133" s="15" t="s">
        <v>146</v>
      </c>
      <c r="AH133" s="115"/>
      <c r="AI133" s="115"/>
      <c r="AJ133" s="115"/>
      <c r="AK133" s="115"/>
      <c r="AL133" s="29"/>
      <c r="AM133" s="29"/>
      <c r="AW133" s="25"/>
      <c r="AX133" s="13"/>
      <c r="BC133" s="116"/>
      <c r="BD133" s="123"/>
      <c r="BE133" s="123"/>
      <c r="BF133" s="123"/>
      <c r="BK133" s="115"/>
      <c r="BL133" s="115"/>
      <c r="BM133" s="115"/>
      <c r="BN133" s="115"/>
      <c r="BO133" s="115"/>
      <c r="BP133" s="115"/>
      <c r="BQ133" s="115"/>
      <c r="BR133" s="115"/>
      <c r="BS133" s="115"/>
      <c r="BT133" s="115"/>
      <c r="BU133" s="25"/>
      <c r="BV133" s="13"/>
      <c r="BY133" s="114"/>
    </row>
    <row r="134" spans="1:77" ht="20.100000000000001" customHeight="1" x14ac:dyDescent="0.4">
      <c r="A134" s="117"/>
      <c r="B134" s="123"/>
      <c r="C134" s="123"/>
      <c r="D134" s="123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25">
        <v>46076</v>
      </c>
      <c r="W134" s="15" t="s">
        <v>146</v>
      </c>
      <c r="AH134" s="115"/>
      <c r="AI134" s="115"/>
      <c r="AJ134" s="115"/>
      <c r="AK134" s="115"/>
      <c r="AL134" s="29"/>
      <c r="AM134" s="29"/>
      <c r="AW134" s="25"/>
      <c r="AX134" s="13"/>
      <c r="BC134" s="116"/>
      <c r="BD134" s="123"/>
      <c r="BE134" s="123"/>
      <c r="BF134" s="123"/>
      <c r="BK134" s="115"/>
      <c r="BL134" s="115"/>
      <c r="BM134" s="115"/>
      <c r="BN134" s="115"/>
      <c r="BO134" s="115"/>
      <c r="BP134" s="115"/>
      <c r="BQ134" s="115"/>
      <c r="BR134" s="115"/>
      <c r="BS134" s="115"/>
      <c r="BT134" s="115"/>
      <c r="BU134" s="25"/>
      <c r="BV134" s="13"/>
      <c r="BY134" s="114"/>
    </row>
    <row r="135" spans="1:77" ht="20.100000000000001" customHeight="1" x14ac:dyDescent="0.4">
      <c r="A135" s="117"/>
      <c r="B135" s="123"/>
      <c r="C135" s="123"/>
      <c r="D135" s="123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 t="s">
        <v>211</v>
      </c>
      <c r="V135" s="13">
        <f>SUBTOTAL(3,V126:V134)</f>
        <v>9</v>
      </c>
      <c r="W135" s="13">
        <f>SUBTOTAL(3,W126:W134)</f>
        <v>9</v>
      </c>
      <c r="AH135" s="115"/>
      <c r="AI135" s="115"/>
      <c r="AJ135" s="115"/>
      <c r="AK135" s="115"/>
      <c r="AL135" s="29"/>
      <c r="AM135" s="29"/>
      <c r="AW135" s="25"/>
      <c r="AX135" s="13"/>
      <c r="BC135" s="116"/>
      <c r="BD135" s="123"/>
      <c r="BE135" s="123"/>
      <c r="BF135" s="123"/>
      <c r="BK135" s="115"/>
      <c r="BL135" s="115"/>
      <c r="BM135" s="115"/>
      <c r="BN135" s="115"/>
      <c r="BO135" s="115"/>
      <c r="BP135" s="115"/>
      <c r="BQ135" s="115"/>
      <c r="BR135" s="115"/>
      <c r="BS135" s="115"/>
      <c r="BT135" s="115"/>
      <c r="BU135" s="25"/>
      <c r="BV135" s="13"/>
      <c r="BY135" s="114"/>
    </row>
    <row r="136" spans="1:77" ht="20.100000000000001" customHeight="1" x14ac:dyDescent="0.4">
      <c r="A136" s="117"/>
      <c r="B136" s="139"/>
      <c r="C136" s="123"/>
      <c r="D136" s="123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25">
        <v>46077</v>
      </c>
      <c r="W136" s="13" t="s">
        <v>147</v>
      </c>
      <c r="AH136" s="115"/>
      <c r="AI136" s="115"/>
      <c r="AJ136" s="115"/>
      <c r="AK136" s="115"/>
      <c r="AL136" s="29"/>
      <c r="AM136" s="29"/>
      <c r="AW136" s="25"/>
      <c r="AX136" s="13"/>
      <c r="BC136" s="116"/>
      <c r="BD136" s="123"/>
      <c r="BE136" s="123"/>
      <c r="BF136" s="123"/>
      <c r="BK136" s="115"/>
      <c r="BL136" s="115"/>
      <c r="BM136" s="115"/>
      <c r="BN136" s="115"/>
      <c r="BO136" s="115"/>
      <c r="BP136" s="115"/>
      <c r="BQ136" s="115"/>
      <c r="BR136" s="115"/>
      <c r="BS136" s="115"/>
      <c r="BT136" s="115"/>
      <c r="BU136" s="25"/>
      <c r="BV136" s="13"/>
      <c r="BY136" s="114"/>
    </row>
    <row r="137" spans="1:77" ht="20.100000000000001" customHeight="1" x14ac:dyDescent="0.4">
      <c r="A137" s="117"/>
      <c r="B137" s="139"/>
      <c r="C137" s="123"/>
      <c r="D137" s="123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25">
        <v>46077</v>
      </c>
      <c r="W137" s="13" t="s">
        <v>146</v>
      </c>
      <c r="AH137" s="115"/>
      <c r="AI137" s="115"/>
      <c r="AJ137" s="115"/>
      <c r="AK137" s="115"/>
      <c r="AL137" s="29"/>
      <c r="AM137" s="29"/>
      <c r="AW137" s="25"/>
      <c r="AX137" s="13"/>
      <c r="BC137" s="116"/>
      <c r="BD137" s="123"/>
      <c r="BE137" s="123"/>
      <c r="BF137" s="123"/>
      <c r="BK137" s="115"/>
      <c r="BL137" s="115"/>
      <c r="BM137" s="115"/>
      <c r="BN137" s="115"/>
      <c r="BO137" s="115"/>
      <c r="BP137" s="115"/>
      <c r="BQ137" s="115"/>
      <c r="BR137" s="115"/>
      <c r="BS137" s="115"/>
      <c r="BT137" s="115"/>
      <c r="BU137" s="25"/>
      <c r="BV137" s="13"/>
      <c r="BY137" s="114"/>
    </row>
    <row r="138" spans="1:77" ht="20.100000000000001" customHeight="1" x14ac:dyDescent="0.4">
      <c r="A138" s="117"/>
      <c r="B138" s="139"/>
      <c r="C138" s="123"/>
      <c r="D138" s="123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25">
        <v>46077</v>
      </c>
      <c r="W138" s="13" t="s">
        <v>147</v>
      </c>
      <c r="AH138" s="115"/>
      <c r="AI138" s="115"/>
      <c r="AJ138" s="115"/>
      <c r="AK138" s="115"/>
      <c r="AL138" s="29"/>
      <c r="AM138" s="29"/>
      <c r="AW138" s="25"/>
      <c r="AX138" s="13"/>
      <c r="BC138" s="116"/>
      <c r="BD138" s="123"/>
      <c r="BE138" s="123"/>
      <c r="BF138" s="123"/>
      <c r="BK138" s="115"/>
      <c r="BL138" s="115"/>
      <c r="BM138" s="115"/>
      <c r="BN138" s="115"/>
      <c r="BO138" s="115"/>
      <c r="BP138" s="115"/>
      <c r="BQ138" s="115"/>
      <c r="BR138" s="115"/>
      <c r="BS138" s="115"/>
      <c r="BT138" s="115"/>
      <c r="BU138" s="25"/>
      <c r="BV138" s="13"/>
      <c r="BY138" s="114"/>
    </row>
    <row r="139" spans="1:77" ht="20.100000000000001" customHeight="1" x14ac:dyDescent="0.4">
      <c r="A139" s="117"/>
      <c r="B139" s="139"/>
      <c r="C139" s="123"/>
      <c r="D139" s="123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 t="s">
        <v>212</v>
      </c>
      <c r="V139" s="13">
        <f>SUBTOTAL(3,V136:V138)</f>
        <v>3</v>
      </c>
      <c r="W139" s="13">
        <f>SUBTOTAL(3,W136:W138)</f>
        <v>3</v>
      </c>
      <c r="AH139" s="115"/>
      <c r="AI139" s="115"/>
      <c r="AJ139" s="115"/>
      <c r="AK139" s="115"/>
      <c r="AL139" s="29"/>
      <c r="AM139" s="29"/>
      <c r="AW139" s="25"/>
      <c r="AX139" s="13"/>
      <c r="BC139" s="116"/>
      <c r="BD139" s="123"/>
      <c r="BE139" s="123"/>
      <c r="BF139" s="123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25"/>
      <c r="BV139" s="13"/>
      <c r="BY139" s="114"/>
    </row>
    <row r="140" spans="1:77" ht="20.100000000000001" customHeight="1" x14ac:dyDescent="0.4">
      <c r="A140" s="117"/>
      <c r="B140" s="123"/>
      <c r="C140" s="123"/>
      <c r="D140" s="123"/>
      <c r="V140" s="25">
        <v>46079</v>
      </c>
      <c r="W140" s="13" t="s">
        <v>146</v>
      </c>
      <c r="AH140" s="115"/>
      <c r="AI140" s="115"/>
      <c r="AJ140" s="115"/>
      <c r="AK140" s="115"/>
      <c r="AL140" s="127"/>
      <c r="AM140" s="29"/>
      <c r="AW140" s="25"/>
      <c r="AX140" s="13"/>
      <c r="BC140" s="116"/>
      <c r="BD140" s="123"/>
      <c r="BE140" s="123"/>
      <c r="BF140" s="123"/>
      <c r="BK140" s="115"/>
      <c r="BL140" s="115"/>
      <c r="BM140" s="115"/>
      <c r="BN140" s="115"/>
      <c r="BO140" s="115"/>
      <c r="BP140" s="115"/>
      <c r="BQ140" s="115"/>
      <c r="BR140" s="115"/>
      <c r="BS140" s="115"/>
      <c r="BT140" s="115"/>
      <c r="BU140" s="25"/>
      <c r="BV140" s="13"/>
      <c r="BY140" s="114"/>
    </row>
    <row r="141" spans="1:77" ht="20.100000000000001" customHeight="1" x14ac:dyDescent="0.4">
      <c r="A141" s="117"/>
      <c r="B141" s="123"/>
      <c r="C141" s="123"/>
      <c r="D141" s="123"/>
      <c r="R141" s="115"/>
      <c r="S141" s="115"/>
      <c r="T141" s="115"/>
      <c r="U141" s="115"/>
      <c r="V141" s="25">
        <v>46079</v>
      </c>
      <c r="W141" s="13" t="s">
        <v>147</v>
      </c>
      <c r="AH141" s="115"/>
      <c r="AI141" s="115"/>
      <c r="AJ141" s="115"/>
      <c r="AK141" s="115"/>
      <c r="AL141" s="127"/>
      <c r="AM141" s="29"/>
      <c r="AW141" s="25"/>
      <c r="AX141" s="13"/>
      <c r="BC141" s="116"/>
      <c r="BD141" s="123"/>
      <c r="BE141" s="123"/>
      <c r="BF141" s="123"/>
      <c r="BK141" s="115"/>
      <c r="BL141" s="115"/>
      <c r="BM141" s="115"/>
      <c r="BN141" s="115"/>
      <c r="BO141" s="115"/>
      <c r="BP141" s="115"/>
      <c r="BQ141" s="115"/>
      <c r="BR141" s="115"/>
      <c r="BS141" s="115"/>
      <c r="BT141" s="115"/>
      <c r="BU141" s="25"/>
      <c r="BV141" s="13"/>
      <c r="BY141" s="114"/>
    </row>
    <row r="142" spans="1:77" ht="20.100000000000001" customHeight="1" x14ac:dyDescent="0.4">
      <c r="A142" s="117"/>
      <c r="B142" s="123"/>
      <c r="C142" s="123"/>
      <c r="D142" s="123"/>
      <c r="P142" s="115"/>
      <c r="Q142" s="115"/>
      <c r="R142" s="115"/>
      <c r="S142" s="115"/>
      <c r="T142" s="115"/>
      <c r="U142" s="115"/>
      <c r="V142" s="25">
        <v>46079</v>
      </c>
      <c r="W142" s="13" t="s">
        <v>147</v>
      </c>
      <c r="AH142" s="115"/>
      <c r="AI142" s="115"/>
      <c r="AJ142" s="115"/>
      <c r="AK142" s="115"/>
      <c r="AL142" s="127"/>
      <c r="AM142" s="29"/>
      <c r="AW142" s="25"/>
      <c r="AX142" s="13"/>
      <c r="BC142" s="116"/>
      <c r="BD142" s="123"/>
      <c r="BE142" s="123"/>
      <c r="BF142" s="123"/>
      <c r="BK142" s="115"/>
      <c r="BL142" s="115"/>
      <c r="BM142" s="115"/>
      <c r="BN142" s="115"/>
      <c r="BO142" s="115"/>
      <c r="BP142" s="115"/>
      <c r="BQ142" s="115"/>
      <c r="BR142" s="115"/>
      <c r="BS142" s="115"/>
      <c r="BT142" s="115"/>
      <c r="BU142" s="25"/>
      <c r="BV142" s="13"/>
      <c r="BY142" s="114"/>
    </row>
    <row r="143" spans="1:77" ht="20.100000000000001" customHeight="1" x14ac:dyDescent="0.4">
      <c r="A143" s="117"/>
      <c r="B143" s="123"/>
      <c r="C143" s="123"/>
      <c r="D143" s="123"/>
      <c r="P143" s="115"/>
      <c r="Q143" s="115"/>
      <c r="R143" s="115"/>
      <c r="S143" s="115"/>
      <c r="T143" s="115"/>
      <c r="U143" s="115"/>
      <c r="V143" s="25">
        <v>46079</v>
      </c>
      <c r="W143" s="13" t="s">
        <v>146</v>
      </c>
      <c r="AH143" s="115"/>
      <c r="AI143" s="115"/>
      <c r="AJ143" s="115"/>
      <c r="AK143" s="115"/>
      <c r="AL143" s="127"/>
      <c r="AM143" s="29"/>
      <c r="AW143" s="25"/>
      <c r="AX143" s="13"/>
      <c r="BC143" s="116"/>
      <c r="BD143" s="123"/>
      <c r="BE143" s="123"/>
      <c r="BF143" s="123"/>
      <c r="BK143" s="115"/>
      <c r="BL143" s="115"/>
      <c r="BM143" s="115"/>
      <c r="BN143" s="115"/>
      <c r="BO143" s="115"/>
      <c r="BP143" s="115"/>
      <c r="BQ143" s="115"/>
      <c r="BR143" s="115"/>
      <c r="BS143" s="115"/>
      <c r="BT143" s="115"/>
      <c r="BU143" s="25"/>
      <c r="BV143" s="13"/>
      <c r="BY143" s="114"/>
    </row>
    <row r="144" spans="1:77" ht="20.100000000000001" customHeight="1" x14ac:dyDescent="0.4">
      <c r="A144" s="117"/>
      <c r="B144" s="123"/>
      <c r="C144" s="123"/>
      <c r="D144" s="123"/>
      <c r="P144" s="115"/>
      <c r="Q144" s="115"/>
      <c r="R144" s="115"/>
      <c r="S144" s="115"/>
      <c r="T144" s="115"/>
      <c r="U144" s="115"/>
      <c r="V144" s="25">
        <v>46079</v>
      </c>
      <c r="W144" s="13" t="s">
        <v>146</v>
      </c>
      <c r="AH144" s="115"/>
      <c r="AI144" s="115"/>
      <c r="AJ144" s="115"/>
      <c r="AK144" s="115"/>
      <c r="AL144" s="127"/>
      <c r="AM144" s="29"/>
      <c r="AW144" s="25"/>
      <c r="AX144" s="13"/>
      <c r="BC144" s="116"/>
      <c r="BD144" s="123"/>
      <c r="BE144" s="123"/>
      <c r="BF144" s="123"/>
      <c r="BK144" s="115"/>
      <c r="BL144" s="115"/>
      <c r="BM144" s="115"/>
      <c r="BN144" s="115"/>
      <c r="BO144" s="115"/>
      <c r="BP144" s="115"/>
      <c r="BQ144" s="115"/>
      <c r="BR144" s="115"/>
      <c r="BS144" s="115"/>
      <c r="BT144" s="115"/>
      <c r="BU144" s="25"/>
      <c r="BV144" s="13"/>
      <c r="BY144" s="114"/>
    </row>
    <row r="145" spans="1:77" ht="20.100000000000001" customHeight="1" x14ac:dyDescent="0.4">
      <c r="A145" s="117"/>
      <c r="B145" s="123"/>
      <c r="C145" s="123"/>
      <c r="D145" s="123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25">
        <v>46079</v>
      </c>
      <c r="W145" s="13" t="s">
        <v>148</v>
      </c>
      <c r="AH145" s="115"/>
      <c r="AI145" s="115"/>
      <c r="AJ145" s="115"/>
      <c r="AK145" s="115"/>
      <c r="AL145" s="127"/>
      <c r="AM145" s="29"/>
      <c r="AW145" s="25"/>
      <c r="AX145" s="13"/>
      <c r="BC145" s="116"/>
      <c r="BD145" s="123"/>
      <c r="BE145" s="123"/>
      <c r="BF145" s="123"/>
      <c r="BK145" s="115"/>
      <c r="BL145" s="115"/>
      <c r="BM145" s="115"/>
      <c r="BN145" s="115"/>
      <c r="BO145" s="115"/>
      <c r="BP145" s="115"/>
      <c r="BQ145" s="115"/>
      <c r="BR145" s="115"/>
      <c r="BS145" s="115"/>
      <c r="BT145" s="115"/>
      <c r="BU145" s="25"/>
      <c r="BV145" s="13"/>
      <c r="BY145" s="114"/>
    </row>
    <row r="146" spans="1:77" ht="20.100000000000001" customHeight="1" x14ac:dyDescent="0.4">
      <c r="A146" s="117"/>
      <c r="B146" s="123"/>
      <c r="C146" s="123"/>
      <c r="D146" s="123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25">
        <v>46079</v>
      </c>
      <c r="W146" s="13" t="s">
        <v>146</v>
      </c>
      <c r="AH146" s="115"/>
      <c r="AI146" s="115"/>
      <c r="AJ146" s="115"/>
      <c r="AK146" s="115"/>
      <c r="AL146" s="127"/>
      <c r="AM146" s="29"/>
      <c r="AW146" s="25"/>
      <c r="AX146" s="13"/>
      <c r="BC146" s="116"/>
      <c r="BD146" s="123"/>
      <c r="BE146" s="123"/>
      <c r="BF146" s="123"/>
      <c r="BK146" s="115"/>
      <c r="BL146" s="115"/>
      <c r="BM146" s="115"/>
      <c r="BN146" s="115"/>
      <c r="BO146" s="115"/>
      <c r="BP146" s="115"/>
      <c r="BQ146" s="115"/>
      <c r="BR146" s="115"/>
      <c r="BS146" s="115"/>
      <c r="BT146" s="115"/>
      <c r="BU146" s="25"/>
      <c r="BV146" s="13"/>
      <c r="BY146" s="114"/>
    </row>
    <row r="147" spans="1:77" ht="20.100000000000001" customHeight="1" x14ac:dyDescent="0.4">
      <c r="A147" s="117"/>
      <c r="B147" s="123"/>
      <c r="C147" s="123"/>
      <c r="D147" s="123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25">
        <v>46079</v>
      </c>
      <c r="W147" s="13" t="s">
        <v>146</v>
      </c>
      <c r="AH147" s="115"/>
      <c r="AI147" s="115"/>
      <c r="AJ147" s="115"/>
      <c r="AK147" s="115"/>
      <c r="AL147" s="127"/>
      <c r="AM147" s="29"/>
      <c r="AW147" s="25"/>
      <c r="AX147" s="13"/>
      <c r="BC147" s="116"/>
      <c r="BD147" s="123"/>
      <c r="BE147" s="123"/>
      <c r="BF147" s="123"/>
      <c r="BK147" s="115"/>
      <c r="BL147" s="115"/>
      <c r="BM147" s="115"/>
      <c r="BN147" s="115"/>
      <c r="BO147" s="115"/>
      <c r="BP147" s="115"/>
      <c r="BQ147" s="115"/>
      <c r="BR147" s="115"/>
      <c r="BS147" s="115"/>
      <c r="BT147" s="115"/>
      <c r="BU147" s="25"/>
      <c r="BV147" s="13"/>
      <c r="BY147" s="114"/>
    </row>
    <row r="148" spans="1:77" ht="20.100000000000001" customHeight="1" x14ac:dyDescent="0.4">
      <c r="A148" s="117"/>
      <c r="B148" s="123"/>
      <c r="C148" s="123"/>
      <c r="D148" s="123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25">
        <v>46079</v>
      </c>
      <c r="W148" s="13" t="s">
        <v>146</v>
      </c>
      <c r="AH148" s="115"/>
      <c r="AI148" s="115"/>
      <c r="AJ148" s="115"/>
      <c r="AK148" s="115"/>
      <c r="AL148" s="127"/>
      <c r="AM148" s="29"/>
      <c r="AW148" s="25"/>
      <c r="AX148" s="13"/>
      <c r="BC148" s="116"/>
      <c r="BD148" s="123"/>
      <c r="BE148" s="123"/>
      <c r="BF148" s="123"/>
      <c r="BK148" s="115"/>
      <c r="BL148" s="115"/>
      <c r="BM148" s="115"/>
      <c r="BN148" s="115"/>
      <c r="BO148" s="115"/>
      <c r="BP148" s="115"/>
      <c r="BQ148" s="115"/>
      <c r="BR148" s="115"/>
      <c r="BS148" s="115"/>
      <c r="BT148" s="115"/>
      <c r="BU148" s="25"/>
      <c r="BV148" s="13"/>
      <c r="BY148" s="114"/>
    </row>
    <row r="149" spans="1:77" ht="20.100000000000001" customHeight="1" x14ac:dyDescent="0.4">
      <c r="A149" s="117"/>
      <c r="B149" s="123"/>
      <c r="C149" s="123"/>
      <c r="D149" s="123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25">
        <v>46079</v>
      </c>
      <c r="W149" s="13" t="s">
        <v>146</v>
      </c>
      <c r="AH149" s="115"/>
      <c r="AI149" s="115"/>
      <c r="AJ149" s="115"/>
      <c r="AK149" s="115"/>
      <c r="AL149" s="127"/>
      <c r="AM149" s="29"/>
      <c r="AW149" s="25"/>
      <c r="AX149" s="13"/>
      <c r="BC149" s="116"/>
      <c r="BD149" s="123"/>
      <c r="BE149" s="123"/>
      <c r="BF149" s="123"/>
      <c r="BK149" s="115"/>
      <c r="BL149" s="115"/>
      <c r="BM149" s="115"/>
      <c r="BN149" s="115"/>
      <c r="BO149" s="115"/>
      <c r="BP149" s="115"/>
      <c r="BQ149" s="115"/>
      <c r="BR149" s="115"/>
      <c r="BS149" s="115"/>
      <c r="BT149" s="115"/>
      <c r="BU149" s="25"/>
      <c r="BV149" s="13"/>
      <c r="BY149" s="114"/>
    </row>
    <row r="150" spans="1:77" ht="20.100000000000001" customHeight="1" x14ac:dyDescent="0.4">
      <c r="A150" s="117"/>
      <c r="B150" s="123"/>
      <c r="C150" s="123"/>
      <c r="D150" s="123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25">
        <v>46079</v>
      </c>
      <c r="W150" s="13" t="s">
        <v>148</v>
      </c>
      <c r="AH150" s="115"/>
      <c r="AI150" s="115"/>
      <c r="AJ150" s="115"/>
      <c r="AK150" s="115"/>
      <c r="AL150" s="127"/>
      <c r="AM150" s="29"/>
      <c r="AW150" s="25"/>
      <c r="AX150" s="13"/>
      <c r="BC150" s="116"/>
      <c r="BD150" s="123"/>
      <c r="BE150" s="123"/>
      <c r="BF150" s="123"/>
      <c r="BK150" s="115"/>
      <c r="BL150" s="115"/>
      <c r="BM150" s="115"/>
      <c r="BN150" s="115"/>
      <c r="BO150" s="115"/>
      <c r="BP150" s="115"/>
      <c r="BQ150" s="115"/>
      <c r="BR150" s="115"/>
      <c r="BS150" s="115"/>
      <c r="BT150" s="115"/>
      <c r="BU150" s="25"/>
      <c r="BV150" s="13"/>
      <c r="BY150" s="114"/>
    </row>
    <row r="151" spans="1:77" ht="20.100000000000001" customHeight="1" x14ac:dyDescent="0.4">
      <c r="A151" s="117"/>
      <c r="B151" s="123"/>
      <c r="C151" s="123"/>
      <c r="D151" s="123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 t="s">
        <v>197</v>
      </c>
      <c r="V151" s="13">
        <f>SUBTOTAL(3,V140:V150)</f>
        <v>11</v>
      </c>
      <c r="W151" s="13">
        <f>SUBTOTAL(3,W140:W150)</f>
        <v>11</v>
      </c>
      <c r="AH151" s="115"/>
      <c r="AI151" s="115"/>
      <c r="AJ151" s="115"/>
      <c r="AK151" s="115"/>
      <c r="AL151" s="127"/>
      <c r="AM151" s="29"/>
      <c r="AW151" s="25"/>
      <c r="AX151" s="13"/>
      <c r="BC151" s="116"/>
      <c r="BD151" s="123"/>
      <c r="BE151" s="123"/>
      <c r="BF151" s="123"/>
      <c r="BK151" s="115"/>
      <c r="BL151" s="115"/>
      <c r="BM151" s="115"/>
      <c r="BN151" s="115"/>
      <c r="BO151" s="115"/>
      <c r="BP151" s="115"/>
      <c r="BQ151" s="115"/>
      <c r="BR151" s="115"/>
      <c r="BS151" s="115"/>
      <c r="BT151" s="115"/>
      <c r="BU151" s="25"/>
      <c r="BV151" s="13"/>
      <c r="BY151" s="114"/>
    </row>
    <row r="152" spans="1:77" ht="20.100000000000001" customHeight="1" x14ac:dyDescent="0.4">
      <c r="A152" s="117"/>
      <c r="B152" s="123"/>
      <c r="C152" s="123"/>
      <c r="D152" s="123"/>
      <c r="V152" s="25">
        <v>46081</v>
      </c>
      <c r="W152" s="13" t="s">
        <v>146</v>
      </c>
      <c r="AH152" s="115"/>
      <c r="AI152" s="115"/>
      <c r="AJ152" s="115"/>
      <c r="AK152" s="115"/>
      <c r="AL152" s="29"/>
      <c r="AM152" s="29"/>
      <c r="AW152" s="25"/>
      <c r="AX152" s="13"/>
      <c r="BC152" s="116"/>
      <c r="BD152" s="123"/>
      <c r="BE152" s="123"/>
      <c r="BF152" s="123"/>
      <c r="BK152" s="115"/>
      <c r="BL152" s="115"/>
      <c r="BM152" s="115"/>
      <c r="BN152" s="115"/>
      <c r="BO152" s="115"/>
      <c r="BP152" s="115"/>
      <c r="BQ152" s="115"/>
      <c r="BR152" s="115"/>
      <c r="BS152" s="115"/>
      <c r="BT152" s="115"/>
      <c r="BU152" s="25"/>
      <c r="BV152" s="13"/>
      <c r="BY152" s="114"/>
    </row>
    <row r="153" spans="1:77" ht="20.100000000000001" customHeight="1" x14ac:dyDescent="0.4">
      <c r="A153" s="117"/>
      <c r="B153" s="123"/>
      <c r="C153" s="123"/>
      <c r="D153" s="123"/>
      <c r="T153" s="115"/>
      <c r="U153" s="115"/>
      <c r="V153" s="26">
        <v>46081</v>
      </c>
      <c r="W153" s="13" t="s">
        <v>148</v>
      </c>
      <c r="AH153" s="115"/>
      <c r="AI153" s="115"/>
      <c r="AJ153" s="115"/>
      <c r="AK153" s="115"/>
      <c r="AL153" s="29"/>
      <c r="AM153" s="29"/>
      <c r="AW153" s="25"/>
      <c r="AX153" s="13"/>
      <c r="BC153" s="116"/>
      <c r="BD153" s="123"/>
      <c r="BE153" s="123"/>
      <c r="BF153" s="123"/>
      <c r="BK153" s="115"/>
      <c r="BL153" s="115"/>
      <c r="BM153" s="115"/>
      <c r="BN153" s="115"/>
      <c r="BO153" s="115"/>
      <c r="BP153" s="115"/>
      <c r="BQ153" s="115"/>
      <c r="BR153" s="115"/>
      <c r="BS153" s="115"/>
      <c r="BT153" s="115"/>
      <c r="BU153" s="25"/>
      <c r="BV153" s="13"/>
      <c r="BY153" s="114"/>
    </row>
    <row r="154" spans="1:77" ht="20.100000000000001" customHeight="1" x14ac:dyDescent="0.4">
      <c r="A154" s="117"/>
      <c r="B154" s="123"/>
      <c r="C154" s="123"/>
      <c r="D154" s="123"/>
      <c r="S154" s="115"/>
      <c r="T154" s="115"/>
      <c r="U154" s="115"/>
      <c r="V154" s="26">
        <v>46081</v>
      </c>
      <c r="W154" s="13" t="s">
        <v>147</v>
      </c>
      <c r="AH154" s="115"/>
      <c r="AI154" s="115"/>
      <c r="AJ154" s="115"/>
      <c r="AK154" s="115"/>
      <c r="AL154" s="29"/>
      <c r="AM154" s="29"/>
      <c r="AW154" s="25"/>
      <c r="AX154" s="13"/>
      <c r="BC154" s="116"/>
      <c r="BD154" s="123"/>
      <c r="BE154" s="123"/>
      <c r="BF154" s="123"/>
      <c r="BK154" s="115"/>
      <c r="BL154" s="115"/>
      <c r="BM154" s="115"/>
      <c r="BN154" s="115"/>
      <c r="BO154" s="115"/>
      <c r="BP154" s="115"/>
      <c r="BQ154" s="115"/>
      <c r="BR154" s="115"/>
      <c r="BS154" s="115"/>
      <c r="BT154" s="115"/>
      <c r="BU154" s="25"/>
      <c r="BV154" s="13"/>
      <c r="BY154" s="114"/>
    </row>
    <row r="155" spans="1:77" ht="20.100000000000001" customHeight="1" x14ac:dyDescent="0.4">
      <c r="A155" s="117"/>
      <c r="B155" s="123"/>
      <c r="C155" s="123"/>
      <c r="D155" s="123"/>
      <c r="S155" s="115"/>
      <c r="T155" s="115"/>
      <c r="U155" s="115" t="s">
        <v>213</v>
      </c>
      <c r="V155" s="17">
        <f>SUBTOTAL(3,V152:V154)</f>
        <v>3</v>
      </c>
      <c r="W155" s="13">
        <f>SUBTOTAL(3,W152:W154)</f>
        <v>3</v>
      </c>
      <c r="AH155" s="115"/>
      <c r="AI155" s="115"/>
      <c r="AJ155" s="115"/>
      <c r="AK155" s="115"/>
      <c r="AL155" s="29"/>
      <c r="AM155" s="29"/>
      <c r="AW155" s="25"/>
      <c r="AX155" s="13"/>
      <c r="BC155" s="116"/>
      <c r="BD155" s="123"/>
      <c r="BE155" s="123"/>
      <c r="BF155" s="123"/>
      <c r="BK155" s="115"/>
      <c r="BL155" s="115"/>
      <c r="BM155" s="115"/>
      <c r="BN155" s="115"/>
      <c r="BO155" s="115"/>
      <c r="BP155" s="115"/>
      <c r="BQ155" s="115"/>
      <c r="BR155" s="115"/>
      <c r="BS155" s="115"/>
      <c r="BT155" s="115"/>
      <c r="BU155" s="25"/>
      <c r="BV155" s="13"/>
      <c r="BY155" s="114"/>
    </row>
    <row r="156" spans="1:77" ht="20.100000000000001" customHeight="1" x14ac:dyDescent="0.4">
      <c r="A156" s="117"/>
      <c r="B156" s="123"/>
      <c r="C156" s="123"/>
      <c r="D156" s="123"/>
      <c r="V156" s="26">
        <v>46085</v>
      </c>
      <c r="W156" s="13" t="s">
        <v>146</v>
      </c>
      <c r="AG156" s="115"/>
      <c r="AH156" s="115"/>
      <c r="AI156" s="115"/>
      <c r="AJ156" s="115"/>
      <c r="AK156" s="115"/>
      <c r="AL156" s="127"/>
      <c r="AM156" s="29"/>
      <c r="AW156" s="25"/>
      <c r="AX156" s="13"/>
      <c r="BC156" s="116"/>
      <c r="BD156" s="123"/>
      <c r="BE156" s="123"/>
      <c r="BF156" s="123"/>
      <c r="BK156" s="115"/>
      <c r="BL156" s="115"/>
      <c r="BM156" s="115"/>
      <c r="BN156" s="115"/>
      <c r="BO156" s="115"/>
      <c r="BP156" s="115"/>
      <c r="BQ156" s="115"/>
      <c r="BR156" s="115"/>
      <c r="BS156" s="115"/>
      <c r="BT156" s="115"/>
      <c r="BU156" s="25"/>
      <c r="BV156" s="13"/>
      <c r="BY156" s="114"/>
    </row>
    <row r="157" spans="1:77" ht="20.100000000000001" customHeight="1" x14ac:dyDescent="0.4">
      <c r="A157" s="117"/>
      <c r="B157" s="123"/>
      <c r="C157" s="123"/>
      <c r="D157" s="123"/>
      <c r="U157" s="115" t="s">
        <v>399</v>
      </c>
      <c r="V157" s="17">
        <f>SUBTOTAL(3,V156:V156)</f>
        <v>1</v>
      </c>
      <c r="W157" s="13">
        <f>SUBTOTAL(3,W156:W156)</f>
        <v>1</v>
      </c>
      <c r="AG157" s="115"/>
      <c r="AH157" s="115"/>
      <c r="AI157" s="115"/>
      <c r="AJ157" s="115"/>
      <c r="AK157" s="115"/>
      <c r="AL157" s="127"/>
      <c r="AM157" s="29"/>
      <c r="AW157" s="25"/>
      <c r="AX157" s="13"/>
      <c r="BC157" s="116"/>
      <c r="BD157" s="123"/>
      <c r="BE157" s="123"/>
      <c r="BF157" s="123"/>
      <c r="BK157" s="115"/>
      <c r="BL157" s="115"/>
      <c r="BM157" s="115"/>
      <c r="BN157" s="115"/>
      <c r="BO157" s="115"/>
      <c r="BP157" s="115"/>
      <c r="BQ157" s="115"/>
      <c r="BR157" s="115"/>
      <c r="BS157" s="115"/>
      <c r="BT157" s="115"/>
      <c r="BU157" s="25"/>
      <c r="BV157" s="13"/>
      <c r="BY157" s="114"/>
    </row>
    <row r="158" spans="1:77" ht="20.100000000000001" customHeight="1" x14ac:dyDescent="0.4">
      <c r="A158" s="117"/>
      <c r="B158" s="123"/>
      <c r="C158" s="123"/>
      <c r="D158" s="123"/>
      <c r="S158" s="115"/>
      <c r="T158" s="115"/>
      <c r="U158" s="115"/>
      <c r="V158" s="26">
        <v>46086</v>
      </c>
      <c r="W158" s="13" t="s">
        <v>146</v>
      </c>
      <c r="AG158" s="115"/>
      <c r="AH158" s="115"/>
      <c r="AI158" s="115"/>
      <c r="AJ158" s="115"/>
      <c r="AK158" s="115"/>
      <c r="AL158" s="127"/>
      <c r="AM158" s="29"/>
      <c r="AW158" s="25"/>
      <c r="AX158" s="13"/>
      <c r="BC158" s="116"/>
      <c r="BD158" s="123"/>
      <c r="BE158" s="123"/>
      <c r="BF158" s="123"/>
      <c r="BK158" s="115"/>
      <c r="BL158" s="115"/>
      <c r="BM158" s="115"/>
      <c r="BN158" s="115"/>
      <c r="BO158" s="115"/>
      <c r="BP158" s="115"/>
      <c r="BQ158" s="115"/>
      <c r="BR158" s="115"/>
      <c r="BS158" s="115"/>
      <c r="BT158" s="115"/>
      <c r="BU158" s="25"/>
      <c r="BV158" s="13"/>
      <c r="BY158" s="114"/>
    </row>
    <row r="159" spans="1:77" ht="20.100000000000001" customHeight="1" x14ac:dyDescent="0.4">
      <c r="A159" s="117"/>
      <c r="B159" s="123"/>
      <c r="C159" s="123"/>
      <c r="D159" s="123"/>
      <c r="S159" s="115"/>
      <c r="T159" s="115"/>
      <c r="U159" s="115" t="s">
        <v>400</v>
      </c>
      <c r="V159" s="17">
        <f>SUBTOTAL(3,V158:V158)</f>
        <v>1</v>
      </c>
      <c r="W159" s="13">
        <f>SUBTOTAL(3,W158:W158)</f>
        <v>1</v>
      </c>
      <c r="AG159" s="115"/>
      <c r="AH159" s="115"/>
      <c r="AI159" s="115"/>
      <c r="AJ159" s="115"/>
      <c r="AK159" s="115"/>
      <c r="AL159" s="127"/>
      <c r="AM159" s="29"/>
      <c r="AW159" s="25"/>
      <c r="AX159" s="13"/>
      <c r="BC159" s="116"/>
      <c r="BD159" s="123"/>
      <c r="BE159" s="123"/>
      <c r="BF159" s="123"/>
      <c r="BK159" s="115"/>
      <c r="BL159" s="115"/>
      <c r="BM159" s="115"/>
      <c r="BN159" s="115"/>
      <c r="BO159" s="115"/>
      <c r="BP159" s="115"/>
      <c r="BQ159" s="115"/>
      <c r="BR159" s="115"/>
      <c r="BS159" s="115"/>
      <c r="BT159" s="115"/>
      <c r="BU159" s="25"/>
      <c r="BV159" s="13"/>
      <c r="BY159" s="114"/>
    </row>
    <row r="160" spans="1:77" ht="20.100000000000001" customHeight="1" x14ac:dyDescent="0.4">
      <c r="A160" s="117"/>
      <c r="B160" s="123"/>
      <c r="C160" s="123"/>
      <c r="D160" s="123"/>
      <c r="S160" s="115"/>
      <c r="T160" s="115"/>
      <c r="U160" s="115"/>
      <c r="V160" s="26">
        <v>46088</v>
      </c>
      <c r="W160" s="13" t="s">
        <v>146</v>
      </c>
      <c r="AG160" s="115"/>
      <c r="AH160" s="115"/>
      <c r="AI160" s="115"/>
      <c r="AJ160" s="115"/>
      <c r="AK160" s="115"/>
      <c r="AL160" s="127"/>
      <c r="AM160" s="29"/>
      <c r="AW160" s="25"/>
      <c r="AX160" s="13"/>
      <c r="BC160" s="116"/>
      <c r="BD160" s="123"/>
      <c r="BE160" s="123"/>
      <c r="BF160" s="123"/>
      <c r="BK160" s="115"/>
      <c r="BL160" s="115"/>
      <c r="BM160" s="115"/>
      <c r="BN160" s="115"/>
      <c r="BO160" s="115"/>
      <c r="BP160" s="115"/>
      <c r="BQ160" s="115"/>
      <c r="BR160" s="115"/>
      <c r="BS160" s="115"/>
      <c r="BT160" s="115"/>
      <c r="BU160" s="25"/>
      <c r="BV160" s="13"/>
      <c r="BY160" s="114"/>
    </row>
    <row r="161" spans="1:77" ht="20.100000000000001" customHeight="1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26">
        <v>46088</v>
      </c>
      <c r="W161" s="13" t="s">
        <v>146</v>
      </c>
      <c r="AG161" s="115"/>
      <c r="AH161" s="115"/>
      <c r="AI161" s="115"/>
      <c r="AJ161" s="115"/>
      <c r="AK161" s="115"/>
      <c r="AL161" s="127"/>
      <c r="AM161" s="29"/>
      <c r="AW161" s="25"/>
      <c r="AX161" s="13"/>
      <c r="BC161" s="116"/>
      <c r="BD161" s="123"/>
      <c r="BE161" s="123"/>
      <c r="BF161" s="123"/>
      <c r="BK161" s="115"/>
      <c r="BL161" s="115"/>
      <c r="BM161" s="115"/>
      <c r="BN161" s="115"/>
      <c r="BO161" s="115"/>
      <c r="BP161" s="115"/>
      <c r="BQ161" s="115"/>
      <c r="BR161" s="115"/>
      <c r="BS161" s="115"/>
      <c r="BT161" s="115"/>
      <c r="BU161" s="25"/>
      <c r="BV161" s="13"/>
      <c r="BY161" s="114"/>
    </row>
    <row r="162" spans="1:77" ht="20.100000000000001" customHeight="1" x14ac:dyDescent="0.4">
      <c r="A162" s="117"/>
      <c r="B162" s="123"/>
      <c r="C162" s="123"/>
      <c r="D162" s="123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26">
        <v>46088</v>
      </c>
      <c r="W162" s="13" t="s">
        <v>146</v>
      </c>
      <c r="AG162" s="115"/>
      <c r="AH162" s="115"/>
      <c r="AI162" s="115"/>
      <c r="AJ162" s="115"/>
      <c r="AK162" s="115"/>
      <c r="AL162" s="127"/>
      <c r="AM162" s="29"/>
      <c r="AW162" s="25"/>
      <c r="AX162" s="13"/>
      <c r="BC162" s="116"/>
      <c r="BD162" s="123"/>
      <c r="BE162" s="123"/>
      <c r="BF162" s="123"/>
      <c r="BK162" s="115"/>
      <c r="BL162" s="115"/>
      <c r="BM162" s="115"/>
      <c r="BN162" s="115"/>
      <c r="BO162" s="115"/>
      <c r="BP162" s="115"/>
      <c r="BQ162" s="115"/>
      <c r="BR162" s="115"/>
      <c r="BS162" s="115"/>
      <c r="BT162" s="115"/>
      <c r="BU162" s="25"/>
      <c r="BV162" s="13"/>
      <c r="BY162" s="114"/>
    </row>
    <row r="163" spans="1:77" ht="20.100000000000001" customHeight="1" x14ac:dyDescent="0.4">
      <c r="A163" s="117"/>
      <c r="B163" s="123"/>
      <c r="C163" s="123"/>
      <c r="D163" s="123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26">
        <v>46088</v>
      </c>
      <c r="W163" s="13" t="s">
        <v>146</v>
      </c>
      <c r="AG163" s="115"/>
      <c r="AH163" s="115"/>
      <c r="AI163" s="115"/>
      <c r="AJ163" s="115"/>
      <c r="AK163" s="115"/>
      <c r="AL163" s="127"/>
      <c r="AM163" s="29"/>
      <c r="AW163" s="25"/>
      <c r="AX163" s="13"/>
      <c r="BC163" s="116"/>
      <c r="BD163" s="123"/>
      <c r="BE163" s="123"/>
      <c r="BF163" s="123"/>
      <c r="BK163" s="115"/>
      <c r="BL163" s="115"/>
      <c r="BM163" s="115"/>
      <c r="BN163" s="115"/>
      <c r="BO163" s="115"/>
      <c r="BP163" s="115"/>
      <c r="BQ163" s="115"/>
      <c r="BR163" s="115"/>
      <c r="BS163" s="115"/>
      <c r="BT163" s="115"/>
      <c r="BU163" s="25"/>
      <c r="BV163" s="13"/>
      <c r="BY163" s="114"/>
    </row>
    <row r="164" spans="1:77" ht="20.100000000000001" customHeight="1" x14ac:dyDescent="0.4">
      <c r="A164" s="117"/>
      <c r="B164" s="123"/>
      <c r="C164" s="123"/>
      <c r="D164" s="123"/>
      <c r="V164" s="26">
        <v>46088</v>
      </c>
      <c r="W164" s="13" t="s">
        <v>146</v>
      </c>
      <c r="AG164" s="115"/>
      <c r="AH164" s="115"/>
      <c r="AI164" s="115"/>
      <c r="AJ164" s="115"/>
      <c r="AK164" s="115"/>
      <c r="AL164" s="29"/>
      <c r="AM164" s="29"/>
      <c r="AW164" s="25"/>
      <c r="AX164" s="13"/>
      <c r="BC164" s="116"/>
      <c r="BD164" s="123"/>
      <c r="BE164" s="123"/>
      <c r="BF164" s="123"/>
      <c r="BK164" s="115"/>
      <c r="BL164" s="115"/>
      <c r="BM164" s="115"/>
      <c r="BN164" s="115"/>
      <c r="BO164" s="115"/>
      <c r="BP164" s="115"/>
      <c r="BQ164" s="115"/>
      <c r="BR164" s="115"/>
      <c r="BS164" s="115"/>
      <c r="BT164" s="115"/>
      <c r="BU164" s="25"/>
      <c r="BV164" s="13"/>
      <c r="BY164" s="114"/>
    </row>
    <row r="165" spans="1:77" ht="20.100000000000001" customHeight="1" x14ac:dyDescent="0.4">
      <c r="A165" s="117"/>
      <c r="B165" s="123"/>
      <c r="C165" s="123"/>
      <c r="D165" s="123"/>
      <c r="T165" s="115"/>
      <c r="U165" s="115"/>
      <c r="V165" s="26">
        <v>46088</v>
      </c>
      <c r="W165" s="13" t="s">
        <v>146</v>
      </c>
      <c r="AG165" s="115"/>
      <c r="AH165" s="115"/>
      <c r="AI165" s="115"/>
      <c r="AJ165" s="115"/>
      <c r="AK165" s="115"/>
      <c r="AL165" s="29"/>
      <c r="AM165" s="29"/>
      <c r="AW165" s="25"/>
      <c r="AX165" s="13"/>
      <c r="BC165" s="116"/>
      <c r="BD165" s="123"/>
      <c r="BE165" s="123"/>
      <c r="BF165" s="123"/>
      <c r="BK165" s="115"/>
      <c r="BL165" s="115"/>
      <c r="BM165" s="115"/>
      <c r="BN165" s="115"/>
      <c r="BO165" s="115"/>
      <c r="BP165" s="115"/>
      <c r="BQ165" s="115"/>
      <c r="BR165" s="115"/>
      <c r="BS165" s="115"/>
      <c r="BT165" s="115"/>
      <c r="BU165" s="25"/>
      <c r="BV165" s="13"/>
      <c r="BY165" s="114"/>
    </row>
    <row r="166" spans="1:77" ht="20.100000000000001" customHeight="1" x14ac:dyDescent="0.4">
      <c r="A166" s="117"/>
      <c r="B166" s="123"/>
      <c r="C166" s="123"/>
      <c r="D166" s="123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26">
        <v>46088</v>
      </c>
      <c r="W166" s="13" t="s">
        <v>146</v>
      </c>
      <c r="AG166" s="115"/>
      <c r="AH166" s="115"/>
      <c r="AI166" s="115"/>
      <c r="AJ166" s="115"/>
      <c r="AK166" s="115"/>
      <c r="AL166" s="29"/>
      <c r="AM166" s="29"/>
      <c r="AW166" s="25"/>
      <c r="AX166" s="13"/>
      <c r="BC166" s="116"/>
      <c r="BD166" s="123"/>
      <c r="BE166" s="123"/>
      <c r="BF166" s="123"/>
      <c r="BK166" s="115"/>
      <c r="BL166" s="115"/>
      <c r="BM166" s="115"/>
      <c r="BN166" s="115"/>
      <c r="BO166" s="115"/>
      <c r="BP166" s="115"/>
      <c r="BQ166" s="115"/>
      <c r="BR166" s="115"/>
      <c r="BS166" s="115"/>
      <c r="BT166" s="115"/>
      <c r="BU166" s="25"/>
      <c r="BV166" s="13"/>
      <c r="BY166" s="114"/>
    </row>
    <row r="167" spans="1:77" ht="20.100000000000001" customHeight="1" x14ac:dyDescent="0.4">
      <c r="A167" s="117"/>
      <c r="B167" s="123"/>
      <c r="C167" s="123"/>
      <c r="D167" s="123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26">
        <v>46088</v>
      </c>
      <c r="W167" s="13" t="s">
        <v>146</v>
      </c>
      <c r="AG167" s="115"/>
      <c r="AH167" s="115"/>
      <c r="AI167" s="115"/>
      <c r="AJ167" s="115"/>
      <c r="AK167" s="115"/>
      <c r="AL167" s="29"/>
      <c r="AM167" s="29"/>
      <c r="AW167" s="25"/>
      <c r="AX167" s="13"/>
      <c r="BC167" s="116"/>
      <c r="BD167" s="123"/>
      <c r="BE167" s="123"/>
      <c r="BF167" s="123"/>
      <c r="BK167" s="115"/>
      <c r="BL167" s="115"/>
      <c r="BM167" s="115"/>
      <c r="BN167" s="115"/>
      <c r="BO167" s="115"/>
      <c r="BP167" s="115"/>
      <c r="BQ167" s="115"/>
      <c r="BR167" s="115"/>
      <c r="BS167" s="115"/>
      <c r="BT167" s="115"/>
      <c r="BU167" s="25"/>
      <c r="BV167" s="13"/>
      <c r="BY167" s="114"/>
    </row>
    <row r="168" spans="1:77" ht="20.100000000000001" customHeight="1" x14ac:dyDescent="0.4">
      <c r="A168" s="117"/>
      <c r="B168" s="123"/>
      <c r="C168" s="123"/>
      <c r="D168" s="123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26">
        <v>46088</v>
      </c>
      <c r="W168" s="13" t="s">
        <v>146</v>
      </c>
      <c r="AG168" s="115"/>
      <c r="AH168" s="115"/>
      <c r="AI168" s="115"/>
      <c r="AJ168" s="115"/>
      <c r="AK168" s="115"/>
      <c r="AL168" s="29"/>
      <c r="AM168" s="29"/>
      <c r="AW168" s="25"/>
      <c r="AX168" s="13"/>
      <c r="BC168" s="116"/>
      <c r="BD168" s="123"/>
      <c r="BE168" s="123"/>
      <c r="BF168" s="123"/>
      <c r="BK168" s="115"/>
      <c r="BL168" s="115"/>
      <c r="BM168" s="115"/>
      <c r="BN168" s="115"/>
      <c r="BO168" s="115"/>
      <c r="BP168" s="115"/>
      <c r="BQ168" s="115"/>
      <c r="BR168" s="115"/>
      <c r="BS168" s="115"/>
      <c r="BT168" s="115"/>
      <c r="BU168" s="25"/>
      <c r="BV168" s="13"/>
      <c r="BY168" s="114"/>
    </row>
    <row r="169" spans="1:77" ht="20.100000000000001" customHeight="1" x14ac:dyDescent="0.4">
      <c r="A169" s="117"/>
      <c r="B169" s="123"/>
      <c r="C169" s="123"/>
      <c r="D169" s="123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 t="s">
        <v>401</v>
      </c>
      <c r="V169" s="17">
        <f>SUBTOTAL(3,V160:V168)</f>
        <v>9</v>
      </c>
      <c r="W169" s="13">
        <f>SUBTOTAL(3,W160:W168)</f>
        <v>9</v>
      </c>
      <c r="AG169" s="115"/>
      <c r="AH169" s="115"/>
      <c r="AI169" s="115"/>
      <c r="AJ169" s="115"/>
      <c r="AK169" s="115"/>
      <c r="AL169" s="29"/>
      <c r="AM169" s="29"/>
      <c r="AW169" s="25"/>
      <c r="AX169" s="13"/>
      <c r="BC169" s="116"/>
      <c r="BD169" s="123"/>
      <c r="BE169" s="123"/>
      <c r="BF169" s="123"/>
      <c r="BK169" s="115"/>
      <c r="BL169" s="115"/>
      <c r="BM169" s="115"/>
      <c r="BN169" s="115"/>
      <c r="BO169" s="115"/>
      <c r="BP169" s="115"/>
      <c r="BQ169" s="115"/>
      <c r="BR169" s="115"/>
      <c r="BS169" s="115"/>
      <c r="BT169" s="115"/>
      <c r="BU169" s="25"/>
      <c r="BV169" s="13"/>
      <c r="BY169" s="114"/>
    </row>
    <row r="170" spans="1:77" ht="20.100000000000001" customHeight="1" x14ac:dyDescent="0.4">
      <c r="A170" s="117"/>
      <c r="B170" s="123"/>
      <c r="C170" s="123"/>
      <c r="D170" s="123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26">
        <v>46089</v>
      </c>
      <c r="W170" s="13" t="s">
        <v>147</v>
      </c>
      <c r="AG170" s="115"/>
      <c r="AH170" s="115"/>
      <c r="AI170" s="115"/>
      <c r="AJ170" s="115"/>
      <c r="AK170" s="115"/>
      <c r="AL170" s="29"/>
      <c r="AM170" s="29"/>
      <c r="AW170" s="25"/>
      <c r="AX170" s="13"/>
      <c r="BC170" s="116"/>
      <c r="BD170" s="123"/>
      <c r="BE170" s="123"/>
      <c r="BF170" s="123"/>
      <c r="BK170" s="115"/>
      <c r="BL170" s="115"/>
      <c r="BM170" s="115"/>
      <c r="BN170" s="115"/>
      <c r="BO170" s="115"/>
      <c r="BP170" s="115"/>
      <c r="BQ170" s="115"/>
      <c r="BR170" s="115"/>
      <c r="BS170" s="115"/>
      <c r="BT170" s="115"/>
      <c r="BU170" s="25"/>
      <c r="BV170" s="13"/>
      <c r="BY170" s="114"/>
    </row>
    <row r="171" spans="1:77" ht="20.100000000000001" customHeight="1" x14ac:dyDescent="0.4">
      <c r="A171" s="117"/>
      <c r="B171" s="123"/>
      <c r="C171" s="123"/>
      <c r="D171" s="123"/>
      <c r="V171" s="26">
        <v>46089</v>
      </c>
      <c r="W171" s="13" t="s">
        <v>249</v>
      </c>
      <c r="AG171" s="115"/>
      <c r="AH171" s="115"/>
      <c r="AI171" s="115"/>
      <c r="AJ171" s="115"/>
      <c r="AK171" s="115"/>
      <c r="AL171" s="127"/>
      <c r="AM171" s="29"/>
      <c r="AW171" s="25"/>
      <c r="AX171" s="13"/>
      <c r="BC171" s="116"/>
      <c r="BD171" s="123"/>
      <c r="BE171" s="123"/>
      <c r="BF171" s="123"/>
      <c r="BK171" s="115"/>
      <c r="BL171" s="115"/>
      <c r="BM171" s="115"/>
      <c r="BN171" s="115"/>
      <c r="BO171" s="115"/>
      <c r="BP171" s="115"/>
      <c r="BQ171" s="115"/>
      <c r="BR171" s="115"/>
      <c r="BS171" s="115"/>
      <c r="BT171" s="115"/>
      <c r="BU171" s="25"/>
      <c r="BV171" s="13"/>
      <c r="BY171" s="114"/>
    </row>
    <row r="172" spans="1:77" ht="20.100000000000001" customHeight="1" x14ac:dyDescent="0.4">
      <c r="A172" s="117"/>
      <c r="B172" s="123"/>
      <c r="C172" s="123"/>
      <c r="D172" s="123"/>
      <c r="V172" s="26">
        <v>46089</v>
      </c>
      <c r="W172" s="15" t="s">
        <v>146</v>
      </c>
      <c r="AF172" s="115"/>
      <c r="AG172" s="115"/>
      <c r="AH172" s="115"/>
      <c r="AI172" s="115"/>
      <c r="AJ172" s="115"/>
      <c r="AK172" s="115"/>
      <c r="AL172" s="127"/>
      <c r="AM172" s="29"/>
      <c r="AW172" s="25"/>
      <c r="AX172" s="13"/>
      <c r="BC172" s="116"/>
      <c r="BD172" s="123"/>
      <c r="BE172" s="123"/>
      <c r="BF172" s="123"/>
      <c r="BK172" s="115"/>
      <c r="BL172" s="115"/>
      <c r="BM172" s="115"/>
      <c r="BN172" s="115"/>
      <c r="BO172" s="115"/>
      <c r="BP172" s="115"/>
      <c r="BQ172" s="115"/>
      <c r="BR172" s="115"/>
      <c r="BS172" s="115"/>
      <c r="BT172" s="115"/>
      <c r="BU172" s="25"/>
      <c r="BV172" s="13"/>
      <c r="BY172" s="114"/>
    </row>
    <row r="173" spans="1:77" ht="20.100000000000001" customHeight="1" x14ac:dyDescent="0.4">
      <c r="A173" s="117"/>
      <c r="B173" s="123"/>
      <c r="C173" s="123"/>
      <c r="D173" s="123"/>
      <c r="T173" s="115"/>
      <c r="U173" s="115"/>
      <c r="V173" s="26">
        <v>46089</v>
      </c>
      <c r="W173" s="15" t="s">
        <v>148</v>
      </c>
      <c r="AF173" s="115"/>
      <c r="AG173" s="115"/>
      <c r="AH173" s="115"/>
      <c r="AI173" s="115"/>
      <c r="AJ173" s="115"/>
      <c r="AK173" s="115"/>
      <c r="AL173" s="127"/>
      <c r="AM173" s="29"/>
      <c r="AW173" s="25"/>
      <c r="AX173" s="13"/>
      <c r="BC173" s="116"/>
      <c r="BD173" s="123"/>
      <c r="BE173" s="123"/>
      <c r="BF173" s="123"/>
      <c r="BK173" s="115"/>
      <c r="BL173" s="115"/>
      <c r="BM173" s="115"/>
      <c r="BN173" s="115"/>
      <c r="BO173" s="115"/>
      <c r="BP173" s="115"/>
      <c r="BQ173" s="115"/>
      <c r="BR173" s="115"/>
      <c r="BS173" s="115"/>
      <c r="BT173" s="115"/>
      <c r="BU173" s="25"/>
      <c r="BV173" s="13"/>
      <c r="BY173" s="114"/>
    </row>
    <row r="174" spans="1:77" ht="20.100000000000001" customHeight="1" x14ac:dyDescent="0.4">
      <c r="A174" s="117"/>
      <c r="B174" s="123"/>
      <c r="C174" s="123"/>
      <c r="D174" s="123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26">
        <v>46089</v>
      </c>
      <c r="W174" s="15" t="s">
        <v>148</v>
      </c>
      <c r="AF174" s="115"/>
      <c r="AG174" s="115"/>
      <c r="AH174" s="115"/>
      <c r="AI174" s="115"/>
      <c r="AJ174" s="115"/>
      <c r="AK174" s="115"/>
      <c r="AL174" s="127"/>
      <c r="AM174" s="29"/>
      <c r="AW174" s="25"/>
      <c r="AX174" s="13"/>
      <c r="BC174" s="116"/>
      <c r="BD174" s="123"/>
      <c r="BE174" s="123"/>
      <c r="BF174" s="123"/>
      <c r="BK174" s="115"/>
      <c r="BL174" s="115"/>
      <c r="BM174" s="115"/>
      <c r="BN174" s="115"/>
      <c r="BO174" s="115"/>
      <c r="BP174" s="115"/>
      <c r="BQ174" s="115"/>
      <c r="BR174" s="115"/>
      <c r="BS174" s="115"/>
      <c r="BT174" s="115"/>
      <c r="BU174" s="25"/>
      <c r="BV174" s="13"/>
      <c r="BY174" s="114"/>
    </row>
    <row r="175" spans="1:77" ht="20.100000000000001" customHeight="1" x14ac:dyDescent="0.4">
      <c r="A175" s="117"/>
      <c r="B175" s="123"/>
      <c r="C175" s="123"/>
      <c r="D175" s="123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26">
        <v>46089</v>
      </c>
      <c r="W175" s="13" t="s">
        <v>148</v>
      </c>
      <c r="AF175" s="115"/>
      <c r="AG175" s="115"/>
      <c r="AH175" s="115"/>
      <c r="AI175" s="115"/>
      <c r="AJ175" s="115"/>
      <c r="AK175" s="115"/>
      <c r="AL175" s="127"/>
      <c r="AM175" s="29"/>
      <c r="AW175" s="25"/>
      <c r="AX175" s="13"/>
      <c r="BC175" s="116"/>
      <c r="BD175" s="123"/>
      <c r="BE175" s="123"/>
      <c r="BF175" s="123"/>
      <c r="BK175" s="115"/>
      <c r="BL175" s="115"/>
      <c r="BM175" s="115"/>
      <c r="BN175" s="115"/>
      <c r="BO175" s="115"/>
      <c r="BP175" s="115"/>
      <c r="BQ175" s="115"/>
      <c r="BR175" s="115"/>
      <c r="BS175" s="115"/>
      <c r="BT175" s="115"/>
      <c r="BU175" s="25"/>
      <c r="BV175" s="13"/>
      <c r="BY175" s="114"/>
    </row>
    <row r="176" spans="1:77" ht="20.100000000000001" customHeight="1" x14ac:dyDescent="0.4">
      <c r="A176" s="117"/>
      <c r="B176" s="123"/>
      <c r="C176" s="123"/>
      <c r="D176" s="123"/>
      <c r="V176" s="26">
        <v>46089</v>
      </c>
      <c r="W176" s="13" t="s">
        <v>148</v>
      </c>
      <c r="AF176" s="115"/>
      <c r="AG176" s="115"/>
      <c r="AH176" s="115"/>
      <c r="AI176" s="115"/>
      <c r="AJ176" s="115"/>
      <c r="AK176" s="115"/>
      <c r="AL176" s="29"/>
      <c r="AM176" s="29"/>
      <c r="AW176" s="25"/>
      <c r="AX176" s="13"/>
      <c r="BC176" s="116"/>
      <c r="BD176" s="123"/>
      <c r="BE176" s="123"/>
      <c r="BF176" s="123"/>
      <c r="BK176" s="115"/>
      <c r="BL176" s="115"/>
      <c r="BM176" s="115"/>
      <c r="BN176" s="115"/>
      <c r="BO176" s="115"/>
      <c r="BP176" s="115"/>
      <c r="BQ176" s="115"/>
      <c r="BR176" s="115"/>
      <c r="BS176" s="115"/>
      <c r="BT176" s="115"/>
      <c r="BU176" s="25"/>
      <c r="BV176" s="13"/>
      <c r="BY176" s="114"/>
    </row>
    <row r="177" spans="1:77" ht="20.100000000000001" customHeight="1" x14ac:dyDescent="0.4">
      <c r="A177" s="117"/>
      <c r="B177" s="123"/>
      <c r="C177" s="123"/>
      <c r="D177" s="123"/>
      <c r="U177" s="115" t="s">
        <v>402</v>
      </c>
      <c r="V177" s="17">
        <f>SUBTOTAL(3,V170:V176)</f>
        <v>7</v>
      </c>
      <c r="W177" s="13">
        <f>SUBTOTAL(3,W170:W176)</f>
        <v>7</v>
      </c>
      <c r="AF177" s="115"/>
      <c r="AG177" s="115"/>
      <c r="AH177" s="115"/>
      <c r="AI177" s="115"/>
      <c r="AJ177" s="115"/>
      <c r="AK177" s="115"/>
      <c r="AL177" s="29"/>
      <c r="AM177" s="29"/>
      <c r="AW177" s="25"/>
      <c r="AX177" s="13"/>
      <c r="BC177" s="116"/>
      <c r="BD177" s="123"/>
      <c r="BE177" s="123"/>
      <c r="BF177" s="123"/>
      <c r="BK177" s="115"/>
      <c r="BL177" s="115"/>
      <c r="BM177" s="115"/>
      <c r="BN177" s="115"/>
      <c r="BO177" s="115"/>
      <c r="BP177" s="115"/>
      <c r="BQ177" s="115"/>
      <c r="BR177" s="115"/>
      <c r="BS177" s="115"/>
      <c r="BT177" s="115"/>
      <c r="BU177" s="25"/>
      <c r="BV177" s="13"/>
      <c r="BY177" s="114"/>
    </row>
    <row r="178" spans="1:77" ht="20.100000000000001" customHeight="1" x14ac:dyDescent="0.4">
      <c r="A178" s="117"/>
      <c r="B178" s="123"/>
      <c r="C178" s="123"/>
      <c r="D178" s="123"/>
      <c r="T178" s="115"/>
      <c r="U178" s="115"/>
      <c r="V178" s="26">
        <v>46091</v>
      </c>
      <c r="W178" s="13" t="s">
        <v>146</v>
      </c>
      <c r="AF178" s="115"/>
      <c r="AG178" s="115"/>
      <c r="AH178" s="115"/>
      <c r="AI178" s="115"/>
      <c r="AJ178" s="115"/>
      <c r="AK178" s="115"/>
      <c r="AL178" s="29"/>
      <c r="AM178" s="29"/>
      <c r="AW178" s="25"/>
      <c r="AX178" s="13"/>
      <c r="BC178" s="116"/>
      <c r="BD178" s="123"/>
      <c r="BE178" s="123"/>
      <c r="BF178" s="123"/>
      <c r="BK178" s="115"/>
      <c r="BL178" s="115"/>
      <c r="BM178" s="115"/>
      <c r="BN178" s="115"/>
      <c r="BO178" s="115"/>
      <c r="BP178" s="115"/>
      <c r="BQ178" s="115"/>
      <c r="BR178" s="115"/>
      <c r="BS178" s="115"/>
      <c r="BT178" s="115"/>
      <c r="BU178" s="25"/>
      <c r="BV178" s="13"/>
      <c r="BY178" s="114"/>
    </row>
    <row r="179" spans="1:77" ht="20.100000000000001" customHeight="1" x14ac:dyDescent="0.4">
      <c r="A179" s="117"/>
      <c r="B179" s="123"/>
      <c r="C179" s="123"/>
      <c r="D179" s="123"/>
      <c r="V179" s="26">
        <v>46091</v>
      </c>
      <c r="W179" s="13" t="s">
        <v>146</v>
      </c>
      <c r="AF179" s="115"/>
      <c r="AG179" s="115"/>
      <c r="AH179" s="115"/>
      <c r="AI179" s="115"/>
      <c r="AJ179" s="115"/>
      <c r="AK179" s="115"/>
      <c r="AL179" s="127"/>
      <c r="AM179" s="29"/>
      <c r="AW179" s="25"/>
      <c r="AX179" s="13"/>
      <c r="BC179" s="116"/>
      <c r="BD179" s="123"/>
      <c r="BE179" s="123"/>
      <c r="BF179" s="123"/>
      <c r="BK179" s="115"/>
      <c r="BL179" s="115"/>
      <c r="BM179" s="115"/>
      <c r="BN179" s="115"/>
      <c r="BO179" s="115"/>
      <c r="BP179" s="115"/>
      <c r="BQ179" s="115"/>
      <c r="BR179" s="115"/>
      <c r="BS179" s="115"/>
      <c r="BT179" s="115"/>
      <c r="BU179" s="25"/>
      <c r="BV179" s="13"/>
      <c r="BY179" s="114"/>
    </row>
    <row r="180" spans="1:77" ht="20.100000000000001" customHeight="1" x14ac:dyDescent="0.4">
      <c r="A180" s="117"/>
      <c r="B180" s="123"/>
      <c r="C180" s="123"/>
      <c r="D180" s="123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26">
        <v>46091</v>
      </c>
      <c r="W180" s="13" t="s">
        <v>146</v>
      </c>
      <c r="AF180" s="115"/>
      <c r="AG180" s="115"/>
      <c r="AH180" s="115"/>
      <c r="AI180" s="115"/>
      <c r="AJ180" s="115"/>
      <c r="AK180" s="115"/>
      <c r="AL180" s="127"/>
      <c r="AM180" s="29"/>
      <c r="AW180" s="25"/>
      <c r="AX180" s="13"/>
      <c r="BC180" s="116"/>
      <c r="BD180" s="123"/>
      <c r="BE180" s="123"/>
      <c r="BF180" s="123"/>
      <c r="BK180" s="115"/>
      <c r="BL180" s="115"/>
      <c r="BM180" s="115"/>
      <c r="BN180" s="115"/>
      <c r="BO180" s="115"/>
      <c r="BP180" s="115"/>
      <c r="BQ180" s="115"/>
      <c r="BR180" s="115"/>
      <c r="BS180" s="115"/>
      <c r="BT180" s="115"/>
      <c r="BU180" s="25"/>
      <c r="BV180" s="13"/>
      <c r="BY180" s="114"/>
    </row>
    <row r="181" spans="1:77" ht="20.100000000000001" customHeight="1" x14ac:dyDescent="0.4">
      <c r="A181" s="117"/>
      <c r="B181" s="123"/>
      <c r="C181" s="123"/>
      <c r="D181" s="123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 t="s">
        <v>403</v>
      </c>
      <c r="V181" s="17">
        <f>SUBTOTAL(3,V178:V180)</f>
        <v>3</v>
      </c>
      <c r="W181" s="13">
        <f>SUBTOTAL(3,W178:W180)</f>
        <v>3</v>
      </c>
      <c r="AF181" s="115"/>
      <c r="AG181" s="115"/>
      <c r="AH181" s="115"/>
      <c r="AI181" s="115"/>
      <c r="AJ181" s="115"/>
      <c r="AK181" s="115"/>
      <c r="AL181" s="127"/>
      <c r="AM181" s="29"/>
      <c r="AW181" s="25"/>
      <c r="AX181" s="13"/>
      <c r="BC181" s="116"/>
      <c r="BD181" s="123"/>
      <c r="BE181" s="123"/>
      <c r="BF181" s="123"/>
      <c r="BK181" s="115"/>
      <c r="BL181" s="115"/>
      <c r="BM181" s="115"/>
      <c r="BN181" s="115"/>
      <c r="BO181" s="115"/>
      <c r="BP181" s="115"/>
      <c r="BQ181" s="115"/>
      <c r="BR181" s="115"/>
      <c r="BS181" s="115"/>
      <c r="BT181" s="115"/>
      <c r="BU181" s="25"/>
      <c r="BV181" s="13"/>
      <c r="BY181" s="114"/>
    </row>
    <row r="182" spans="1:77" ht="20.100000000000001" customHeight="1" x14ac:dyDescent="0.4">
      <c r="A182" s="117"/>
      <c r="B182" s="123"/>
      <c r="C182" s="123"/>
      <c r="D182" s="123"/>
      <c r="V182" s="26">
        <v>46097</v>
      </c>
      <c r="W182" s="13" t="s">
        <v>147</v>
      </c>
      <c r="AF182" s="115"/>
      <c r="AG182" s="115"/>
      <c r="AH182" s="115"/>
      <c r="AI182" s="115"/>
      <c r="AJ182" s="115"/>
      <c r="AK182" s="115"/>
      <c r="AL182" s="127"/>
      <c r="AM182" s="29"/>
      <c r="AW182" s="25"/>
      <c r="AX182" s="13"/>
      <c r="BC182" s="116"/>
      <c r="BD182" s="123"/>
      <c r="BE182" s="123"/>
      <c r="BF182" s="123"/>
      <c r="BK182" s="115"/>
      <c r="BL182" s="115"/>
      <c r="BM182" s="115"/>
      <c r="BN182" s="115"/>
      <c r="BO182" s="115"/>
      <c r="BP182" s="115"/>
      <c r="BQ182" s="115"/>
      <c r="BR182" s="115"/>
      <c r="BS182" s="115"/>
      <c r="BT182" s="115"/>
      <c r="BU182" s="25"/>
      <c r="BV182" s="13"/>
      <c r="BY182" s="114"/>
    </row>
    <row r="183" spans="1:77" ht="20.100000000000001" customHeight="1" x14ac:dyDescent="0.4">
      <c r="A183" s="117"/>
      <c r="B183" s="123"/>
      <c r="C183" s="123"/>
      <c r="D183" s="123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26">
        <v>46097</v>
      </c>
      <c r="W183" s="13" t="s">
        <v>147</v>
      </c>
      <c r="AF183" s="115"/>
      <c r="AG183" s="115"/>
      <c r="AH183" s="115"/>
      <c r="AI183" s="115"/>
      <c r="AJ183" s="115"/>
      <c r="AK183" s="115"/>
      <c r="AL183" s="127"/>
      <c r="AM183" s="29"/>
      <c r="AW183" s="25"/>
      <c r="AX183" s="13"/>
      <c r="BC183" s="116"/>
      <c r="BD183" s="123"/>
      <c r="BE183" s="123"/>
      <c r="BF183" s="123"/>
      <c r="BK183" s="115"/>
      <c r="BL183" s="115"/>
      <c r="BM183" s="115"/>
      <c r="BN183" s="115"/>
      <c r="BO183" s="115"/>
      <c r="BP183" s="115"/>
      <c r="BQ183" s="115"/>
      <c r="BR183" s="115"/>
      <c r="BS183" s="115"/>
      <c r="BT183" s="115"/>
      <c r="BU183" s="25"/>
      <c r="BV183" s="13"/>
      <c r="BY183" s="114"/>
    </row>
    <row r="184" spans="1:77" ht="20.100000000000001" customHeight="1" x14ac:dyDescent="0.4">
      <c r="A184" s="117"/>
      <c r="B184" s="123"/>
      <c r="C184" s="123"/>
      <c r="D184" s="123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26">
        <v>46097</v>
      </c>
      <c r="W184" s="13" t="s">
        <v>147</v>
      </c>
      <c r="AF184" s="115"/>
      <c r="AG184" s="115"/>
      <c r="AH184" s="115"/>
      <c r="AI184" s="115"/>
      <c r="AJ184" s="115"/>
      <c r="AK184" s="115"/>
      <c r="AL184" s="127"/>
      <c r="AM184" s="29"/>
      <c r="AW184" s="25"/>
      <c r="AX184" s="13"/>
      <c r="BC184" s="116"/>
      <c r="BD184" s="123"/>
      <c r="BE184" s="123"/>
      <c r="BF184" s="123"/>
      <c r="BK184" s="115"/>
      <c r="BL184" s="115"/>
      <c r="BM184" s="115"/>
      <c r="BN184" s="115"/>
      <c r="BO184" s="115"/>
      <c r="BP184" s="115"/>
      <c r="BQ184" s="115"/>
      <c r="BR184" s="115"/>
      <c r="BS184" s="115"/>
      <c r="BT184" s="115"/>
      <c r="BU184" s="25"/>
      <c r="BV184" s="13"/>
      <c r="BY184" s="114"/>
    </row>
    <row r="185" spans="1:77" ht="20.100000000000001" customHeight="1" x14ac:dyDescent="0.4">
      <c r="A185" s="117"/>
      <c r="B185" s="123"/>
      <c r="C185" s="123"/>
      <c r="D185" s="123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26">
        <v>46097</v>
      </c>
      <c r="W185" s="13" t="s">
        <v>147</v>
      </c>
      <c r="AF185" s="115"/>
      <c r="AG185" s="115"/>
      <c r="AH185" s="115"/>
      <c r="AI185" s="115"/>
      <c r="AJ185" s="115"/>
      <c r="AK185" s="115"/>
      <c r="AL185" s="127"/>
      <c r="AM185" s="29"/>
      <c r="AW185" s="25"/>
      <c r="AX185" s="13"/>
      <c r="BC185" s="116"/>
      <c r="BD185" s="123"/>
      <c r="BE185" s="123"/>
      <c r="BF185" s="123"/>
      <c r="BK185" s="115"/>
      <c r="BL185" s="115"/>
      <c r="BM185" s="115"/>
      <c r="BN185" s="115"/>
      <c r="BO185" s="115"/>
      <c r="BP185" s="115"/>
      <c r="BQ185" s="115"/>
      <c r="BR185" s="115"/>
      <c r="BS185" s="115"/>
      <c r="BT185" s="115"/>
      <c r="BU185" s="25"/>
      <c r="BV185" s="13"/>
      <c r="BY185" s="114"/>
    </row>
    <row r="186" spans="1:77" ht="20.100000000000001" customHeight="1" x14ac:dyDescent="0.4">
      <c r="A186" s="117"/>
      <c r="B186" s="123"/>
      <c r="C186" s="123"/>
      <c r="D186" s="123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 t="s">
        <v>404</v>
      </c>
      <c r="V186" s="17">
        <f>SUBTOTAL(3,V182:V185)</f>
        <v>4</v>
      </c>
      <c r="W186" s="13">
        <f>SUBTOTAL(3,W182:W185)</f>
        <v>4</v>
      </c>
      <c r="AF186" s="115"/>
      <c r="AG186" s="115"/>
      <c r="AH186" s="115"/>
      <c r="AI186" s="115"/>
      <c r="AJ186" s="115"/>
      <c r="AK186" s="115"/>
      <c r="AL186" s="127"/>
      <c r="AM186" s="29"/>
      <c r="AW186" s="25"/>
      <c r="AX186" s="13"/>
      <c r="BC186" s="116"/>
      <c r="BD186" s="123"/>
      <c r="BE186" s="123"/>
      <c r="BF186" s="123"/>
      <c r="BK186" s="115"/>
      <c r="BL186" s="115"/>
      <c r="BM186" s="115"/>
      <c r="BN186" s="115"/>
      <c r="BO186" s="115"/>
      <c r="BP186" s="115"/>
      <c r="BQ186" s="115"/>
      <c r="BR186" s="115"/>
      <c r="BS186" s="115"/>
      <c r="BT186" s="115"/>
      <c r="BU186" s="25"/>
      <c r="BV186" s="13"/>
      <c r="BY186" s="114"/>
    </row>
    <row r="187" spans="1:77" ht="20.100000000000001" customHeight="1" x14ac:dyDescent="0.4">
      <c r="A187" s="117"/>
      <c r="B187" s="123"/>
      <c r="C187" s="123"/>
      <c r="D187" s="123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26">
        <v>46099</v>
      </c>
      <c r="W187" s="13" t="s">
        <v>147</v>
      </c>
      <c r="AF187" s="115"/>
      <c r="AG187" s="115"/>
      <c r="AH187" s="115"/>
      <c r="AI187" s="115"/>
      <c r="AJ187" s="115"/>
      <c r="AK187" s="115"/>
      <c r="AL187" s="127"/>
      <c r="AM187" s="29"/>
      <c r="AW187" s="25"/>
      <c r="AX187" s="13"/>
      <c r="BC187" s="116"/>
      <c r="BD187" s="123"/>
      <c r="BE187" s="123"/>
      <c r="BF187" s="123"/>
      <c r="BK187" s="115"/>
      <c r="BL187" s="115"/>
      <c r="BM187" s="115"/>
      <c r="BN187" s="115"/>
      <c r="BO187" s="115"/>
      <c r="BP187" s="115"/>
      <c r="BQ187" s="115"/>
      <c r="BR187" s="115"/>
      <c r="BS187" s="115"/>
      <c r="BT187" s="115"/>
      <c r="BU187" s="25"/>
      <c r="BV187" s="13"/>
      <c r="BY187" s="114"/>
    </row>
    <row r="188" spans="1:77" ht="20.100000000000001" customHeight="1" x14ac:dyDescent="0.4">
      <c r="A188" s="117"/>
      <c r="B188" s="123"/>
      <c r="C188" s="123"/>
      <c r="D188" s="123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26">
        <v>46099</v>
      </c>
      <c r="W188" s="13" t="s">
        <v>147</v>
      </c>
      <c r="AF188" s="115"/>
      <c r="AG188" s="115"/>
      <c r="AH188" s="115"/>
      <c r="AI188" s="115"/>
      <c r="AJ188" s="115"/>
      <c r="AK188" s="115"/>
      <c r="AL188" s="127"/>
      <c r="AM188" s="29"/>
      <c r="AW188" s="25"/>
      <c r="AX188" s="13"/>
      <c r="BC188" s="116"/>
      <c r="BD188" s="123"/>
      <c r="BE188" s="123"/>
      <c r="BF188" s="123"/>
      <c r="BK188" s="115"/>
      <c r="BL188" s="115"/>
      <c r="BM188" s="115"/>
      <c r="BN188" s="115"/>
      <c r="BO188" s="115"/>
      <c r="BP188" s="115"/>
      <c r="BQ188" s="115"/>
      <c r="BR188" s="115"/>
      <c r="BS188" s="115"/>
      <c r="BT188" s="115"/>
      <c r="BU188" s="25"/>
      <c r="BV188" s="13"/>
      <c r="BY188" s="114"/>
    </row>
    <row r="189" spans="1:77" ht="20.100000000000001" customHeight="1" x14ac:dyDescent="0.4">
      <c r="A189" s="117"/>
      <c r="B189" s="123"/>
      <c r="C189" s="123"/>
      <c r="D189" s="123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26">
        <v>46099</v>
      </c>
      <c r="W189" s="13" t="s">
        <v>147</v>
      </c>
      <c r="AF189" s="115"/>
      <c r="AG189" s="115"/>
      <c r="AH189" s="115"/>
      <c r="AI189" s="115"/>
      <c r="AJ189" s="115"/>
      <c r="AK189" s="115"/>
      <c r="AL189" s="127"/>
      <c r="AM189" s="29"/>
      <c r="AW189" s="25"/>
      <c r="AX189" s="13"/>
      <c r="BC189" s="116"/>
      <c r="BD189" s="123"/>
      <c r="BE189" s="123"/>
      <c r="BF189" s="123"/>
      <c r="BK189" s="115"/>
      <c r="BL189" s="115"/>
      <c r="BM189" s="115"/>
      <c r="BN189" s="115"/>
      <c r="BO189" s="115"/>
      <c r="BP189" s="115"/>
      <c r="BQ189" s="115"/>
      <c r="BR189" s="115"/>
      <c r="BS189" s="115"/>
      <c r="BT189" s="115"/>
      <c r="BU189" s="25"/>
      <c r="BV189" s="13"/>
      <c r="BY189" s="114"/>
    </row>
    <row r="190" spans="1:77" ht="20.100000000000001" customHeight="1" x14ac:dyDescent="0.4">
      <c r="A190" s="117"/>
      <c r="B190" s="123"/>
      <c r="C190" s="123"/>
      <c r="D190" s="123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26">
        <v>46099</v>
      </c>
      <c r="W190" s="13" t="s">
        <v>147</v>
      </c>
      <c r="AF190" s="115"/>
      <c r="AG190" s="115"/>
      <c r="AH190" s="115"/>
      <c r="AI190" s="115"/>
      <c r="AJ190" s="115"/>
      <c r="AK190" s="115"/>
      <c r="AL190" s="127"/>
      <c r="AM190" s="29"/>
      <c r="AW190" s="25"/>
      <c r="AX190" s="13"/>
      <c r="BC190" s="116"/>
      <c r="BD190" s="123"/>
      <c r="BE190" s="123"/>
      <c r="BF190" s="123"/>
      <c r="BK190" s="115"/>
      <c r="BL190" s="115"/>
      <c r="BM190" s="115"/>
      <c r="BN190" s="115"/>
      <c r="BO190" s="115"/>
      <c r="BP190" s="115"/>
      <c r="BQ190" s="115"/>
      <c r="BR190" s="115"/>
      <c r="BS190" s="115"/>
      <c r="BT190" s="115"/>
      <c r="BU190" s="25"/>
      <c r="BV190" s="13"/>
      <c r="BY190" s="114"/>
    </row>
    <row r="191" spans="1:77" ht="20.100000000000001" customHeight="1" x14ac:dyDescent="0.4">
      <c r="A191" s="117"/>
      <c r="B191" s="123"/>
      <c r="C191" s="123"/>
      <c r="D191" s="123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 t="s">
        <v>405</v>
      </c>
      <c r="V191" s="17">
        <f>SUBTOTAL(3,V187:V190)</f>
        <v>4</v>
      </c>
      <c r="W191" s="13">
        <f>SUBTOTAL(3,W187:W190)</f>
        <v>4</v>
      </c>
      <c r="AF191" s="115"/>
      <c r="AG191" s="115"/>
      <c r="AH191" s="115"/>
      <c r="AI191" s="115"/>
      <c r="AJ191" s="115"/>
      <c r="AK191" s="115"/>
      <c r="AL191" s="127"/>
      <c r="AM191" s="29"/>
      <c r="AW191" s="25"/>
      <c r="AX191" s="13"/>
      <c r="BC191" s="116"/>
      <c r="BD191" s="123"/>
      <c r="BE191" s="123"/>
      <c r="BF191" s="123"/>
      <c r="BK191" s="115"/>
      <c r="BL191" s="115"/>
      <c r="BM191" s="115"/>
      <c r="BN191" s="115"/>
      <c r="BO191" s="115"/>
      <c r="BP191" s="115"/>
      <c r="BQ191" s="115"/>
      <c r="BR191" s="115"/>
      <c r="BS191" s="115"/>
      <c r="BT191" s="115"/>
      <c r="BU191" s="25"/>
      <c r="BV191" s="13"/>
      <c r="BY191" s="114"/>
    </row>
    <row r="192" spans="1:77" ht="20.100000000000001" customHeight="1" x14ac:dyDescent="0.4">
      <c r="A192" s="117"/>
      <c r="B192" s="123"/>
      <c r="C192" s="123"/>
      <c r="D192" s="123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26">
        <v>46103</v>
      </c>
      <c r="W192" s="13" t="s">
        <v>147</v>
      </c>
      <c r="AF192" s="115"/>
      <c r="AG192" s="115"/>
      <c r="AH192" s="115"/>
      <c r="AI192" s="115"/>
      <c r="AJ192" s="115"/>
      <c r="AK192" s="115"/>
      <c r="AL192" s="127"/>
      <c r="AM192" s="29"/>
      <c r="AW192" s="25"/>
      <c r="AX192" s="13"/>
      <c r="BC192" s="116"/>
      <c r="BD192" s="123"/>
      <c r="BE192" s="123"/>
      <c r="BF192" s="123"/>
      <c r="BK192" s="115"/>
      <c r="BL192" s="115"/>
      <c r="BM192" s="115"/>
      <c r="BN192" s="115"/>
      <c r="BO192" s="115"/>
      <c r="BP192" s="115"/>
      <c r="BQ192" s="115"/>
      <c r="BR192" s="115"/>
      <c r="BS192" s="115"/>
      <c r="BT192" s="115"/>
      <c r="BU192" s="25"/>
      <c r="BV192" s="13"/>
      <c r="BY192" s="114"/>
    </row>
    <row r="193" spans="1:77" ht="20.100000000000001" customHeight="1" x14ac:dyDescent="0.4">
      <c r="A193" s="117"/>
      <c r="B193" s="123"/>
      <c r="C193" s="123"/>
      <c r="D193" s="123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 t="s">
        <v>406</v>
      </c>
      <c r="V193" s="20">
        <f>SUBTOTAL(3,V192:V192)</f>
        <v>1</v>
      </c>
      <c r="W193" s="13">
        <f>SUBTOTAL(3,W192:W192)</f>
        <v>1</v>
      </c>
      <c r="AF193" s="115"/>
      <c r="AG193" s="115"/>
      <c r="AH193" s="115"/>
      <c r="AI193" s="115"/>
      <c r="AJ193" s="115"/>
      <c r="AK193" s="115"/>
      <c r="AL193" s="127"/>
      <c r="AM193" s="29"/>
      <c r="AW193" s="25"/>
      <c r="AX193" s="13"/>
      <c r="BC193" s="116"/>
      <c r="BD193" s="123"/>
      <c r="BE193" s="123"/>
      <c r="BF193" s="123"/>
      <c r="BK193" s="115"/>
      <c r="BL193" s="115"/>
      <c r="BM193" s="115"/>
      <c r="BN193" s="115"/>
      <c r="BO193" s="115"/>
      <c r="BP193" s="115"/>
      <c r="BQ193" s="115"/>
      <c r="BR193" s="115"/>
      <c r="BS193" s="115"/>
      <c r="BT193" s="115"/>
      <c r="BU193" s="25"/>
      <c r="BV193" s="13"/>
      <c r="BY193" s="114"/>
    </row>
    <row r="194" spans="1:77" ht="20.100000000000001" customHeight="1" x14ac:dyDescent="0.4">
      <c r="A194" s="117"/>
      <c r="B194" s="123"/>
      <c r="C194" s="123"/>
      <c r="D194" s="123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 t="s">
        <v>145</v>
      </c>
      <c r="V194" s="20">
        <f>SUBTOTAL(3,V2:V192)</f>
        <v>166</v>
      </c>
      <c r="W194" s="13">
        <f>SUBTOTAL(3,W2:W192)</f>
        <v>166</v>
      </c>
      <c r="AF194" s="115"/>
      <c r="AG194" s="115"/>
      <c r="AH194" s="115"/>
      <c r="AI194" s="115"/>
      <c r="AJ194" s="115"/>
      <c r="AK194" s="115"/>
      <c r="AL194" s="127"/>
      <c r="AM194" s="29"/>
      <c r="AW194" s="25"/>
      <c r="AX194" s="13"/>
      <c r="BC194" s="116"/>
      <c r="BD194" s="123"/>
      <c r="BE194" s="123"/>
      <c r="BF194" s="123"/>
      <c r="BK194" s="115"/>
      <c r="BL194" s="115"/>
      <c r="BM194" s="115"/>
      <c r="BN194" s="115"/>
      <c r="BO194" s="115"/>
      <c r="BP194" s="115"/>
      <c r="BQ194" s="115"/>
      <c r="BR194" s="115"/>
      <c r="BS194" s="115"/>
      <c r="BT194" s="115"/>
      <c r="BU194" s="25"/>
      <c r="BV194" s="13"/>
      <c r="BY194" s="114"/>
    </row>
    <row r="195" spans="1:77" ht="20.100000000000001" customHeight="1" x14ac:dyDescent="0.4">
      <c r="A195" s="117"/>
      <c r="B195" s="123"/>
      <c r="C195" s="123"/>
      <c r="D195" s="123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20"/>
      <c r="W195" s="13"/>
      <c r="AF195" s="115"/>
      <c r="AG195" s="115"/>
      <c r="AH195" s="115"/>
      <c r="AI195" s="115"/>
      <c r="AJ195" s="115"/>
      <c r="AK195" s="115"/>
      <c r="AL195" s="127"/>
      <c r="AM195" s="29"/>
      <c r="AW195" s="25"/>
      <c r="AX195" s="13"/>
      <c r="BC195" s="116"/>
      <c r="BD195" s="123"/>
      <c r="BE195" s="123"/>
      <c r="BF195" s="123"/>
      <c r="BK195" s="115"/>
      <c r="BL195" s="115"/>
      <c r="BM195" s="115"/>
      <c r="BN195" s="115"/>
      <c r="BO195" s="115"/>
      <c r="BP195" s="115"/>
      <c r="BQ195" s="115"/>
      <c r="BR195" s="115"/>
      <c r="BS195" s="115"/>
      <c r="BT195" s="115"/>
      <c r="BU195" s="25"/>
      <c r="BV195" s="13"/>
      <c r="BY195" s="114"/>
    </row>
    <row r="196" spans="1:77" ht="20.100000000000001" customHeight="1" x14ac:dyDescent="0.4">
      <c r="A196" s="117"/>
      <c r="B196" s="123"/>
      <c r="C196" s="123"/>
      <c r="D196" s="123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20"/>
      <c r="W196" s="13"/>
      <c r="AF196" s="115"/>
      <c r="AG196" s="115"/>
      <c r="AH196" s="115"/>
      <c r="AI196" s="115"/>
      <c r="AJ196" s="115"/>
      <c r="AK196" s="115"/>
      <c r="AL196" s="127"/>
      <c r="AM196" s="29"/>
      <c r="AW196" s="25"/>
      <c r="AX196" s="13"/>
      <c r="BC196" s="116"/>
      <c r="BD196" s="123"/>
      <c r="BE196" s="123"/>
      <c r="BF196" s="123"/>
      <c r="BK196" s="115"/>
      <c r="BL196" s="115"/>
      <c r="BM196" s="115"/>
      <c r="BN196" s="115"/>
      <c r="BO196" s="115"/>
      <c r="BP196" s="115"/>
      <c r="BQ196" s="115"/>
      <c r="BR196" s="115"/>
      <c r="BS196" s="115"/>
      <c r="BT196" s="115"/>
      <c r="BU196" s="25"/>
      <c r="BV196" s="13"/>
      <c r="BY196" s="114"/>
    </row>
    <row r="197" spans="1:77" ht="20.100000000000001" customHeight="1" x14ac:dyDescent="0.4">
      <c r="A197" s="117"/>
      <c r="B197" s="123"/>
      <c r="C197" s="123"/>
      <c r="D197" s="123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25"/>
      <c r="W197" s="13"/>
      <c r="AF197" s="115"/>
      <c r="AG197" s="115"/>
      <c r="AH197" s="115"/>
      <c r="AI197" s="115"/>
      <c r="AJ197" s="115"/>
      <c r="AK197" s="115"/>
      <c r="AL197" s="127"/>
      <c r="AM197" s="29"/>
      <c r="AW197" s="25"/>
      <c r="AX197" s="13"/>
      <c r="BC197" s="116"/>
      <c r="BD197" s="123"/>
      <c r="BE197" s="123"/>
      <c r="BF197" s="123"/>
      <c r="BK197" s="115"/>
      <c r="BL197" s="115"/>
      <c r="BM197" s="115"/>
      <c r="BN197" s="115"/>
      <c r="BO197" s="115"/>
      <c r="BP197" s="115"/>
      <c r="BQ197" s="115"/>
      <c r="BR197" s="115"/>
      <c r="BS197" s="115"/>
      <c r="BT197" s="115"/>
      <c r="BU197" s="25"/>
      <c r="BV197" s="13"/>
      <c r="BY197" s="114"/>
    </row>
    <row r="198" spans="1:77" ht="20.100000000000001" customHeight="1" x14ac:dyDescent="0.4">
      <c r="A198" s="117"/>
      <c r="B198" s="123"/>
      <c r="C198" s="123"/>
      <c r="D198" s="123"/>
      <c r="V198" s="25"/>
      <c r="W198" s="13"/>
      <c r="AF198" s="115"/>
      <c r="AG198" s="115"/>
      <c r="AH198" s="115"/>
      <c r="AI198" s="115"/>
      <c r="AJ198" s="115"/>
      <c r="AK198" s="115"/>
      <c r="AL198" s="127"/>
      <c r="AM198" s="29"/>
      <c r="AW198" s="25"/>
      <c r="AX198" s="13"/>
      <c r="BC198" s="116"/>
      <c r="BD198" s="123"/>
      <c r="BE198" s="123"/>
      <c r="BF198" s="123"/>
      <c r="BK198" s="115"/>
      <c r="BL198" s="115"/>
      <c r="BM198" s="115"/>
      <c r="BN198" s="115"/>
      <c r="BO198" s="115"/>
      <c r="BP198" s="115"/>
      <c r="BQ198" s="115"/>
      <c r="BR198" s="115"/>
      <c r="BS198" s="115"/>
      <c r="BT198" s="115"/>
      <c r="BU198" s="25"/>
      <c r="BV198" s="13"/>
      <c r="BY198" s="114"/>
    </row>
    <row r="199" spans="1:77" ht="20.100000000000001" customHeight="1" x14ac:dyDescent="0.4">
      <c r="A199" s="117"/>
      <c r="B199" s="123"/>
      <c r="C199" s="123"/>
      <c r="D199" s="123"/>
      <c r="V199" s="25"/>
      <c r="W199" s="13"/>
      <c r="AF199" s="115"/>
      <c r="AG199" s="115"/>
      <c r="AH199" s="115"/>
      <c r="AI199" s="115"/>
      <c r="AJ199" s="115"/>
      <c r="AK199" s="115"/>
      <c r="AL199" s="29"/>
      <c r="AM199" s="29"/>
      <c r="AW199" s="25"/>
      <c r="AX199" s="13"/>
      <c r="BC199" s="116"/>
      <c r="BD199" s="123"/>
      <c r="BE199" s="123"/>
      <c r="BF199" s="123"/>
      <c r="BK199" s="115"/>
      <c r="BL199" s="115"/>
      <c r="BM199" s="115"/>
      <c r="BN199" s="115"/>
      <c r="BO199" s="115"/>
      <c r="BP199" s="115"/>
      <c r="BQ199" s="115"/>
      <c r="BR199" s="115"/>
      <c r="BS199" s="115"/>
      <c r="BT199" s="115"/>
      <c r="BU199" s="25"/>
      <c r="BV199" s="13"/>
      <c r="BY199" s="114"/>
    </row>
    <row r="200" spans="1:77" ht="20.100000000000001" customHeight="1" x14ac:dyDescent="0.4">
      <c r="A200" s="117"/>
      <c r="B200" s="123"/>
      <c r="C200" s="123"/>
      <c r="D200" s="123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25"/>
      <c r="W200" s="13"/>
      <c r="AF200" s="115"/>
      <c r="AG200" s="115"/>
      <c r="AH200" s="115"/>
      <c r="AI200" s="115"/>
      <c r="AJ200" s="115"/>
      <c r="AK200" s="115"/>
      <c r="AL200" s="29"/>
      <c r="AM200" s="29"/>
      <c r="AW200" s="25"/>
      <c r="AX200" s="13"/>
      <c r="BC200" s="116"/>
      <c r="BD200" s="123"/>
      <c r="BE200" s="123"/>
      <c r="BF200" s="123"/>
      <c r="BK200" s="115"/>
      <c r="BL200" s="115"/>
      <c r="BM200" s="115"/>
      <c r="BN200" s="115"/>
      <c r="BO200" s="115"/>
      <c r="BP200" s="115"/>
      <c r="BQ200" s="115"/>
      <c r="BR200" s="115"/>
      <c r="BS200" s="115"/>
      <c r="BT200" s="115"/>
      <c r="BU200" s="25"/>
      <c r="BV200" s="13"/>
      <c r="BY200" s="114"/>
    </row>
    <row r="201" spans="1:77" ht="20.100000000000001" customHeight="1" x14ac:dyDescent="0.4">
      <c r="A201" s="117"/>
      <c r="B201" s="123"/>
      <c r="C201" s="123"/>
      <c r="D201" s="123"/>
      <c r="V201" s="25"/>
      <c r="W201" s="13"/>
      <c r="AF201" s="115"/>
      <c r="AG201" s="115"/>
      <c r="AH201" s="115"/>
      <c r="AI201" s="115"/>
      <c r="AJ201" s="115"/>
      <c r="AK201" s="115"/>
      <c r="AL201" s="127"/>
      <c r="AM201" s="29"/>
      <c r="AW201" s="25"/>
      <c r="AX201" s="13"/>
      <c r="BC201" s="116"/>
      <c r="BD201" s="123"/>
      <c r="BE201" s="123"/>
      <c r="BF201" s="123"/>
      <c r="BK201" s="115"/>
      <c r="BL201" s="115"/>
      <c r="BM201" s="115"/>
      <c r="BN201" s="115"/>
      <c r="BO201" s="115"/>
      <c r="BP201" s="115"/>
      <c r="BQ201" s="115"/>
      <c r="BR201" s="115"/>
      <c r="BS201" s="115"/>
      <c r="BT201" s="115"/>
      <c r="BU201" s="25"/>
      <c r="BV201" s="13"/>
      <c r="BY201" s="114"/>
    </row>
    <row r="202" spans="1:77" ht="20.100000000000001" customHeight="1" x14ac:dyDescent="0.4">
      <c r="A202" s="117"/>
      <c r="B202" s="123"/>
      <c r="C202" s="123"/>
      <c r="D202" s="123"/>
      <c r="P202" s="115"/>
      <c r="Q202" s="115"/>
      <c r="R202" s="115"/>
      <c r="S202" s="115"/>
      <c r="T202" s="115"/>
      <c r="U202" s="115"/>
      <c r="V202" s="25"/>
      <c r="W202" s="13"/>
      <c r="AF202" s="115"/>
      <c r="AG202" s="115"/>
      <c r="AH202" s="115"/>
      <c r="AI202" s="115"/>
      <c r="AJ202" s="115"/>
      <c r="AK202" s="115"/>
      <c r="AL202" s="127"/>
      <c r="AM202" s="29"/>
      <c r="AW202" s="25"/>
      <c r="AX202" s="13"/>
      <c r="BC202" s="116"/>
      <c r="BD202" s="123"/>
      <c r="BE202" s="123"/>
      <c r="BF202" s="123"/>
      <c r="BK202" s="115"/>
      <c r="BL202" s="115"/>
      <c r="BM202" s="115"/>
      <c r="BN202" s="115"/>
      <c r="BO202" s="115"/>
      <c r="BP202" s="115"/>
      <c r="BQ202" s="115"/>
      <c r="BR202" s="115"/>
      <c r="BS202" s="115"/>
      <c r="BT202" s="115"/>
      <c r="BU202" s="25"/>
      <c r="BV202" s="13"/>
      <c r="BY202" s="114"/>
    </row>
    <row r="203" spans="1:77" ht="20.100000000000001" customHeight="1" x14ac:dyDescent="0.4">
      <c r="A203" s="117"/>
      <c r="B203" s="123"/>
      <c r="C203" s="123"/>
      <c r="D203" s="123"/>
      <c r="V203" s="25"/>
      <c r="W203" s="13"/>
      <c r="AF203" s="115"/>
      <c r="AG203" s="115"/>
      <c r="AH203" s="115"/>
      <c r="AI203" s="115"/>
      <c r="AJ203" s="115"/>
      <c r="AK203" s="115"/>
      <c r="AL203" s="29"/>
      <c r="AM203" s="29"/>
      <c r="AW203" s="25"/>
      <c r="AX203" s="13"/>
      <c r="BC203" s="116"/>
      <c r="BD203" s="123"/>
      <c r="BE203" s="123"/>
      <c r="BF203" s="123"/>
      <c r="BK203" s="115"/>
      <c r="BL203" s="115"/>
      <c r="BM203" s="115"/>
      <c r="BN203" s="115"/>
      <c r="BO203" s="115"/>
      <c r="BP203" s="115"/>
      <c r="BQ203" s="115"/>
      <c r="BR203" s="115"/>
      <c r="BS203" s="115"/>
      <c r="BT203" s="115"/>
      <c r="BU203" s="25"/>
      <c r="BV203" s="13"/>
      <c r="BY203" s="114"/>
    </row>
    <row r="204" spans="1:77" ht="20.100000000000001" customHeight="1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25"/>
      <c r="W204" s="13"/>
      <c r="AF204" s="115"/>
      <c r="AG204" s="115"/>
      <c r="AH204" s="115"/>
      <c r="AI204" s="115"/>
      <c r="AJ204" s="115"/>
      <c r="AK204" s="115"/>
      <c r="AL204" s="29"/>
      <c r="AM204" s="29"/>
      <c r="AW204" s="25"/>
      <c r="AX204" s="13"/>
      <c r="BC204" s="116"/>
      <c r="BD204" s="123"/>
      <c r="BE204" s="123"/>
      <c r="BF204" s="123"/>
      <c r="BK204" s="115"/>
      <c r="BL204" s="115"/>
      <c r="BM204" s="115"/>
      <c r="BN204" s="115"/>
      <c r="BO204" s="115"/>
      <c r="BP204" s="115"/>
      <c r="BQ204" s="115"/>
      <c r="BR204" s="115"/>
      <c r="BS204" s="115"/>
      <c r="BT204" s="115"/>
      <c r="BU204" s="25"/>
      <c r="BV204" s="13"/>
      <c r="BY204" s="114"/>
    </row>
    <row r="205" spans="1:77" ht="20.100000000000001" customHeight="1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25"/>
      <c r="W205" s="13"/>
      <c r="AF205" s="115"/>
      <c r="AG205" s="115"/>
      <c r="AH205" s="115"/>
      <c r="AI205" s="115"/>
      <c r="AJ205" s="115"/>
      <c r="AK205" s="115"/>
      <c r="AL205" s="29"/>
      <c r="AM205" s="29"/>
      <c r="AW205" s="25"/>
      <c r="AX205" s="13"/>
      <c r="BC205" s="116"/>
      <c r="BD205" s="123"/>
      <c r="BE205" s="123"/>
      <c r="BF205" s="123"/>
      <c r="BK205" s="115"/>
      <c r="BL205" s="115"/>
      <c r="BM205" s="115"/>
      <c r="BN205" s="115"/>
      <c r="BO205" s="115"/>
      <c r="BP205" s="115"/>
      <c r="BQ205" s="115"/>
      <c r="BR205" s="115"/>
      <c r="BS205" s="115"/>
      <c r="BT205" s="115"/>
      <c r="BU205" s="25"/>
      <c r="BV205" s="13"/>
      <c r="BY205" s="114"/>
    </row>
    <row r="206" spans="1:77" ht="20.100000000000001" customHeight="1" x14ac:dyDescent="0.4">
      <c r="A206" s="117"/>
      <c r="B206" s="123"/>
      <c r="C206" s="123"/>
      <c r="D206" s="123"/>
      <c r="V206" s="25"/>
      <c r="W206" s="13"/>
      <c r="AF206" s="115"/>
      <c r="AG206" s="115"/>
      <c r="AH206" s="115"/>
      <c r="AI206" s="115"/>
      <c r="AJ206" s="115"/>
      <c r="AK206" s="115"/>
      <c r="AL206" s="127"/>
      <c r="AM206" s="29"/>
      <c r="AW206" s="25"/>
      <c r="AX206" s="13"/>
      <c r="BC206" s="116"/>
      <c r="BD206" s="123"/>
      <c r="BE206" s="123"/>
      <c r="BF206" s="123"/>
      <c r="BK206" s="115"/>
      <c r="BL206" s="115"/>
      <c r="BM206" s="115"/>
      <c r="BN206" s="115"/>
      <c r="BO206" s="115"/>
      <c r="BP206" s="115"/>
      <c r="BQ206" s="115"/>
      <c r="BR206" s="115"/>
      <c r="BS206" s="115"/>
      <c r="BT206" s="115"/>
      <c r="BU206" s="25"/>
      <c r="BV206" s="13"/>
      <c r="BY206" s="114"/>
    </row>
    <row r="207" spans="1:77" ht="20.100000000000001" customHeight="1" x14ac:dyDescent="0.4">
      <c r="A207" s="117"/>
      <c r="B207" s="123"/>
      <c r="C207" s="123"/>
      <c r="D207" s="123"/>
      <c r="O207" s="115"/>
      <c r="P207" s="115"/>
      <c r="Q207" s="115"/>
      <c r="R207" s="115"/>
      <c r="S207" s="115"/>
      <c r="T207" s="115"/>
      <c r="U207" s="115"/>
      <c r="V207" s="25"/>
      <c r="W207" s="13"/>
      <c r="AF207" s="115"/>
      <c r="AG207" s="115"/>
      <c r="AH207" s="115"/>
      <c r="AI207" s="115"/>
      <c r="AJ207" s="115"/>
      <c r="AK207" s="115"/>
      <c r="AL207" s="127"/>
      <c r="AM207" s="29"/>
      <c r="AW207" s="25"/>
      <c r="AX207" s="13"/>
      <c r="BC207" s="116"/>
      <c r="BD207" s="123"/>
      <c r="BE207" s="123"/>
      <c r="BF207" s="123"/>
      <c r="BK207" s="115"/>
      <c r="BL207" s="115"/>
      <c r="BM207" s="115"/>
      <c r="BN207" s="115"/>
      <c r="BO207" s="115"/>
      <c r="BP207" s="115"/>
      <c r="BQ207" s="115"/>
      <c r="BR207" s="115"/>
      <c r="BS207" s="115"/>
      <c r="BT207" s="115"/>
      <c r="BU207" s="25"/>
      <c r="BV207" s="13"/>
      <c r="BY207" s="114"/>
    </row>
    <row r="208" spans="1:77" ht="20.100000000000001" customHeight="1" x14ac:dyDescent="0.4">
      <c r="A208" s="117"/>
      <c r="B208" s="123"/>
      <c r="C208" s="123"/>
      <c r="D208" s="123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25"/>
      <c r="W208" s="13"/>
      <c r="AF208" s="115"/>
      <c r="AG208" s="115"/>
      <c r="AH208" s="115"/>
      <c r="AI208" s="115"/>
      <c r="AJ208" s="115"/>
      <c r="AK208" s="115"/>
      <c r="AL208" s="127"/>
      <c r="AM208" s="29"/>
      <c r="AW208" s="25"/>
      <c r="AX208" s="13"/>
      <c r="BC208" s="116"/>
      <c r="BD208" s="123"/>
      <c r="BE208" s="123"/>
      <c r="BF208" s="123"/>
      <c r="BK208" s="115"/>
      <c r="BL208" s="115"/>
      <c r="BM208" s="115"/>
      <c r="BN208" s="115"/>
      <c r="BO208" s="115"/>
      <c r="BP208" s="115"/>
      <c r="BQ208" s="115"/>
      <c r="BR208" s="115"/>
      <c r="BS208" s="115"/>
      <c r="BT208" s="115"/>
      <c r="BU208" s="25"/>
      <c r="BV208" s="13"/>
      <c r="BY208" s="114"/>
    </row>
    <row r="209" spans="1:77" ht="20.100000000000001" customHeight="1" x14ac:dyDescent="0.4">
      <c r="A209" s="117"/>
      <c r="B209" s="123"/>
      <c r="C209" s="123"/>
      <c r="D209" s="123"/>
      <c r="V209" s="25"/>
      <c r="W209" s="13"/>
      <c r="AF209" s="115"/>
      <c r="AG209" s="115"/>
      <c r="AH209" s="115"/>
      <c r="AI209" s="115"/>
      <c r="AJ209" s="115"/>
      <c r="AK209" s="115"/>
      <c r="AL209" s="127"/>
      <c r="AM209" s="29"/>
      <c r="AW209" s="25"/>
      <c r="AX209" s="13"/>
      <c r="BC209" s="116"/>
      <c r="BD209" s="123"/>
      <c r="BE209" s="123"/>
      <c r="BF209" s="123"/>
      <c r="BK209" s="115"/>
      <c r="BL209" s="115"/>
      <c r="BM209" s="115"/>
      <c r="BN209" s="115"/>
      <c r="BO209" s="115"/>
      <c r="BP209" s="115"/>
      <c r="BQ209" s="115"/>
      <c r="BR209" s="115"/>
      <c r="BS209" s="115"/>
      <c r="BT209" s="115"/>
      <c r="BU209" s="25"/>
      <c r="BV209" s="13"/>
      <c r="BY209" s="114"/>
    </row>
    <row r="210" spans="1:77" ht="20.100000000000001" customHeight="1" x14ac:dyDescent="0.4">
      <c r="A210" s="117"/>
      <c r="B210" s="123"/>
      <c r="C210" s="123"/>
      <c r="D210" s="123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25"/>
      <c r="W210" s="13"/>
      <c r="AF210" s="115"/>
      <c r="AG210" s="115"/>
      <c r="AH210" s="115"/>
      <c r="AI210" s="115"/>
      <c r="AJ210" s="115"/>
      <c r="AK210" s="115"/>
      <c r="AL210" s="127"/>
      <c r="AM210" s="29"/>
      <c r="AW210" s="25"/>
      <c r="AX210" s="13"/>
      <c r="BC210" s="116"/>
      <c r="BD210" s="123"/>
      <c r="BE210" s="123"/>
      <c r="BF210" s="123"/>
      <c r="BK210" s="115"/>
      <c r="BL210" s="115"/>
      <c r="BM210" s="115"/>
      <c r="BN210" s="115"/>
      <c r="BO210" s="115"/>
      <c r="BP210" s="115"/>
      <c r="BQ210" s="115"/>
      <c r="BR210" s="115"/>
      <c r="BS210" s="115"/>
      <c r="BT210" s="115"/>
      <c r="BU210" s="25"/>
      <c r="BV210" s="13"/>
      <c r="BY210" s="114"/>
    </row>
    <row r="211" spans="1:77" ht="20.100000000000001" customHeight="1" x14ac:dyDescent="0.4">
      <c r="A211" s="117"/>
      <c r="B211" s="123"/>
      <c r="C211" s="123"/>
      <c r="D211" s="123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25"/>
      <c r="W211" s="13"/>
      <c r="AF211" s="115"/>
      <c r="AG211" s="115"/>
      <c r="AH211" s="115"/>
      <c r="AI211" s="115"/>
      <c r="AJ211" s="115"/>
      <c r="AK211" s="115"/>
      <c r="AL211" s="127"/>
      <c r="AM211" s="29"/>
      <c r="AW211" s="25"/>
      <c r="AX211" s="13"/>
      <c r="BC211" s="116"/>
      <c r="BD211" s="123"/>
      <c r="BE211" s="123"/>
      <c r="BF211" s="123"/>
      <c r="BK211" s="115"/>
      <c r="BL211" s="115"/>
      <c r="BM211" s="115"/>
      <c r="BN211" s="115"/>
      <c r="BO211" s="115"/>
      <c r="BP211" s="115"/>
      <c r="BQ211" s="115"/>
      <c r="BR211" s="115"/>
      <c r="BS211" s="115"/>
      <c r="BT211" s="115"/>
      <c r="BU211" s="25"/>
      <c r="BV211" s="13"/>
      <c r="BY211" s="114"/>
    </row>
    <row r="212" spans="1:77" ht="20.100000000000001" customHeight="1" x14ac:dyDescent="0.4">
      <c r="A212" s="117"/>
      <c r="B212" s="123"/>
      <c r="C212" s="123"/>
      <c r="D212" s="123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26"/>
      <c r="W212" s="13"/>
      <c r="AF212" s="115"/>
      <c r="AG212" s="115"/>
      <c r="AH212" s="115"/>
      <c r="AI212" s="115"/>
      <c r="AJ212" s="115"/>
      <c r="AK212" s="115"/>
      <c r="AL212" s="127"/>
      <c r="AM212" s="29"/>
      <c r="AW212" s="25"/>
      <c r="AX212" s="13"/>
      <c r="BC212" s="116"/>
      <c r="BD212" s="123"/>
      <c r="BE212" s="123"/>
      <c r="BF212" s="123"/>
      <c r="BK212" s="115"/>
      <c r="BL212" s="115"/>
      <c r="BM212" s="115"/>
      <c r="BN212" s="115"/>
      <c r="BO212" s="115"/>
      <c r="BP212" s="115"/>
      <c r="BQ212" s="115"/>
      <c r="BR212" s="115"/>
      <c r="BS212" s="115"/>
      <c r="BT212" s="115"/>
      <c r="BU212" s="25"/>
      <c r="BV212" s="13"/>
      <c r="BY212" s="114"/>
    </row>
    <row r="213" spans="1:77" ht="20.100000000000001" customHeight="1" x14ac:dyDescent="0.4">
      <c r="A213" s="117"/>
      <c r="B213" s="123"/>
      <c r="C213" s="123"/>
      <c r="D213" s="123"/>
      <c r="V213" s="26"/>
      <c r="W213" s="13"/>
      <c r="AF213" s="115"/>
      <c r="AG213" s="115"/>
      <c r="AH213" s="115"/>
      <c r="AI213" s="115"/>
      <c r="AJ213" s="115"/>
      <c r="AK213" s="115"/>
      <c r="AL213" s="29"/>
      <c r="AM213" s="29"/>
      <c r="AW213" s="25"/>
      <c r="AX213" s="13"/>
      <c r="BC213" s="116"/>
      <c r="BD213" s="123"/>
      <c r="BE213" s="123"/>
      <c r="BF213" s="123"/>
      <c r="BK213" s="115"/>
      <c r="BL213" s="115"/>
      <c r="BM213" s="115"/>
      <c r="BN213" s="115"/>
      <c r="BO213" s="115"/>
      <c r="BP213" s="115"/>
      <c r="BQ213" s="115"/>
      <c r="BR213" s="115"/>
      <c r="BS213" s="115"/>
      <c r="BT213" s="115"/>
      <c r="BU213" s="25"/>
      <c r="BV213" s="13"/>
      <c r="BY213" s="114"/>
    </row>
    <row r="214" spans="1:77" ht="20.100000000000001" customHeight="1" x14ac:dyDescent="0.4">
      <c r="A214" s="117"/>
      <c r="B214" s="123"/>
      <c r="C214" s="123"/>
      <c r="D214" s="123"/>
      <c r="Q214" s="115"/>
      <c r="R214" s="115"/>
      <c r="S214" s="115"/>
      <c r="T214" s="115"/>
      <c r="U214" s="115"/>
      <c r="V214" s="17"/>
      <c r="W214" s="13"/>
      <c r="AF214" s="115"/>
      <c r="AG214" s="115"/>
      <c r="AH214" s="115"/>
      <c r="AI214" s="115"/>
      <c r="AJ214" s="115"/>
      <c r="AK214" s="115"/>
      <c r="AL214" s="29"/>
      <c r="AM214" s="29"/>
      <c r="AW214" s="25"/>
      <c r="AX214" s="13"/>
      <c r="BC214" s="116"/>
      <c r="BD214" s="123"/>
      <c r="BE214" s="123"/>
      <c r="BF214" s="123"/>
      <c r="BK214" s="115"/>
      <c r="BL214" s="115"/>
      <c r="BM214" s="115"/>
      <c r="BN214" s="115"/>
      <c r="BO214" s="115"/>
      <c r="BP214" s="115"/>
      <c r="BQ214" s="115"/>
      <c r="BR214" s="115"/>
      <c r="BS214" s="115"/>
      <c r="BT214" s="115"/>
      <c r="BU214" s="25"/>
      <c r="BV214" s="13"/>
      <c r="BY214" s="114"/>
    </row>
    <row r="215" spans="1:77" ht="20.100000000000001" customHeight="1" x14ac:dyDescent="0.4">
      <c r="A215" s="117"/>
      <c r="B215" s="123"/>
      <c r="C215" s="123"/>
      <c r="D215" s="123"/>
      <c r="P215" s="115"/>
      <c r="Q215" s="115"/>
      <c r="R215" s="115"/>
      <c r="S215" s="115"/>
      <c r="T215" s="115"/>
      <c r="U215" s="115"/>
      <c r="V215" s="26"/>
      <c r="W215" s="13"/>
      <c r="AF215" s="115"/>
      <c r="AG215" s="115"/>
      <c r="AH215" s="115"/>
      <c r="AI215" s="115"/>
      <c r="AJ215" s="115"/>
      <c r="AK215" s="115"/>
      <c r="AL215" s="29"/>
      <c r="AM215" s="29"/>
      <c r="AW215" s="25"/>
      <c r="AX215" s="13"/>
      <c r="BC215" s="116"/>
      <c r="BD215" s="123"/>
      <c r="BE215" s="123"/>
      <c r="BF215" s="123"/>
      <c r="BK215" s="115"/>
      <c r="BL215" s="115"/>
      <c r="BM215" s="115"/>
      <c r="BN215" s="115"/>
      <c r="BO215" s="115"/>
      <c r="BP215" s="115"/>
      <c r="BQ215" s="115"/>
      <c r="BR215" s="115"/>
      <c r="BS215" s="115"/>
      <c r="BT215" s="115"/>
      <c r="BU215" s="25"/>
      <c r="BV215" s="13"/>
      <c r="BY215" s="114"/>
    </row>
    <row r="216" spans="1:77" ht="20.100000000000001" customHeight="1" x14ac:dyDescent="0.4">
      <c r="A216" s="117"/>
      <c r="B216" s="123"/>
      <c r="C216" s="123"/>
      <c r="D216" s="123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26"/>
      <c r="W216" s="13"/>
      <c r="AF216" s="115"/>
      <c r="AG216" s="115"/>
      <c r="AH216" s="115"/>
      <c r="AI216" s="115"/>
      <c r="AJ216" s="115"/>
      <c r="AK216" s="115"/>
      <c r="AL216" s="29"/>
      <c r="AM216" s="29"/>
      <c r="AW216" s="25"/>
      <c r="AX216" s="13"/>
      <c r="BC216" s="116"/>
      <c r="BD216" s="123"/>
      <c r="BE216" s="123"/>
      <c r="BF216" s="123"/>
      <c r="BK216" s="115"/>
      <c r="BL216" s="115"/>
      <c r="BM216" s="115"/>
      <c r="BN216" s="115"/>
      <c r="BO216" s="115"/>
      <c r="BP216" s="115"/>
      <c r="BQ216" s="115"/>
      <c r="BR216" s="115"/>
      <c r="BS216" s="115"/>
      <c r="BT216" s="115"/>
      <c r="BU216" s="25"/>
      <c r="BV216" s="13"/>
      <c r="BY216" s="114"/>
    </row>
    <row r="217" spans="1:77" ht="20.100000000000001" customHeight="1" x14ac:dyDescent="0.4">
      <c r="A217" s="117"/>
      <c r="B217" s="123"/>
      <c r="C217" s="123"/>
      <c r="D217" s="123"/>
      <c r="V217" s="26"/>
      <c r="W217" s="13"/>
      <c r="AE217" s="115"/>
      <c r="AF217" s="115"/>
      <c r="AG217" s="115"/>
      <c r="AH217" s="115"/>
      <c r="AI217" s="115"/>
      <c r="AJ217" s="115"/>
      <c r="AK217" s="115"/>
      <c r="AL217" s="127"/>
      <c r="AM217" s="29"/>
      <c r="AW217" s="25"/>
      <c r="AX217" s="13"/>
      <c r="BC217" s="116"/>
      <c r="BD217" s="123"/>
      <c r="BE217" s="123"/>
      <c r="BF217" s="123"/>
      <c r="BK217" s="115"/>
      <c r="BL217" s="115"/>
      <c r="BM217" s="115"/>
      <c r="BN217" s="115"/>
      <c r="BO217" s="115"/>
      <c r="BP217" s="115"/>
      <c r="BQ217" s="115"/>
      <c r="BR217" s="115"/>
      <c r="BS217" s="115"/>
      <c r="BT217" s="115"/>
      <c r="BU217" s="25"/>
      <c r="BV217" s="13"/>
      <c r="BY217" s="114"/>
    </row>
    <row r="218" spans="1:77" ht="20.100000000000001" customHeight="1" x14ac:dyDescent="0.4">
      <c r="A218" s="117"/>
      <c r="B218" s="123"/>
      <c r="C218" s="123"/>
      <c r="D218" s="123"/>
      <c r="P218" s="115"/>
      <c r="Q218" s="115"/>
      <c r="R218" s="115"/>
      <c r="S218" s="115"/>
      <c r="T218" s="115"/>
      <c r="U218" s="115"/>
      <c r="V218" s="26"/>
      <c r="W218" s="13"/>
      <c r="AE218" s="115"/>
      <c r="AF218" s="115"/>
      <c r="AG218" s="115"/>
      <c r="AH218" s="115"/>
      <c r="AI218" s="115"/>
      <c r="AJ218" s="115"/>
      <c r="AK218" s="115"/>
      <c r="AL218" s="127"/>
      <c r="AM218" s="29"/>
      <c r="AW218" s="25"/>
      <c r="AX218" s="13"/>
      <c r="BC218" s="116"/>
      <c r="BD218" s="123"/>
      <c r="BE218" s="123"/>
      <c r="BF218" s="123"/>
      <c r="BK218" s="115"/>
      <c r="BL218" s="115"/>
      <c r="BM218" s="115"/>
      <c r="BN218" s="115"/>
      <c r="BO218" s="115"/>
      <c r="BP218" s="115"/>
      <c r="BQ218" s="115"/>
      <c r="BR218" s="115"/>
      <c r="BS218" s="115"/>
      <c r="BT218" s="115"/>
      <c r="BU218" s="25"/>
      <c r="BV218" s="13"/>
      <c r="BY218" s="114"/>
    </row>
    <row r="219" spans="1:77" ht="20.100000000000001" customHeight="1" x14ac:dyDescent="0.4">
      <c r="A219" s="117"/>
      <c r="B219" s="123"/>
      <c r="C219" s="123"/>
      <c r="D219" s="123"/>
      <c r="N219" s="115"/>
      <c r="O219" s="115"/>
      <c r="P219" s="115"/>
      <c r="Q219" s="115"/>
      <c r="R219" s="115"/>
      <c r="S219" s="115"/>
      <c r="T219" s="115"/>
      <c r="U219" s="115"/>
      <c r="V219" s="26"/>
      <c r="W219" s="13"/>
      <c r="AE219" s="115"/>
      <c r="AF219" s="115"/>
      <c r="AG219" s="115"/>
      <c r="AH219" s="115"/>
      <c r="AI219" s="115"/>
      <c r="AJ219" s="115"/>
      <c r="AK219" s="115"/>
      <c r="AL219" s="127"/>
      <c r="AM219" s="29"/>
      <c r="AW219" s="25"/>
      <c r="AX219" s="13"/>
      <c r="BC219" s="116"/>
      <c r="BD219" s="123"/>
      <c r="BE219" s="123"/>
      <c r="BF219" s="123"/>
      <c r="BK219" s="115"/>
      <c r="BL219" s="115"/>
      <c r="BM219" s="115"/>
      <c r="BN219" s="115"/>
      <c r="BO219" s="115"/>
      <c r="BP219" s="115"/>
      <c r="BQ219" s="115"/>
      <c r="BR219" s="115"/>
      <c r="BS219" s="115"/>
      <c r="BT219" s="115"/>
      <c r="BU219" s="25"/>
      <c r="BV219" s="13"/>
      <c r="BY219" s="114"/>
    </row>
    <row r="220" spans="1:77" ht="20.100000000000001" customHeight="1" x14ac:dyDescent="0.4">
      <c r="A220" s="117"/>
      <c r="B220" s="123"/>
      <c r="C220" s="123"/>
      <c r="D220" s="123"/>
      <c r="V220" s="26"/>
      <c r="W220" s="13"/>
      <c r="AE220" s="115"/>
      <c r="AF220" s="115"/>
      <c r="AG220" s="115"/>
      <c r="AH220" s="115"/>
      <c r="AI220" s="115"/>
      <c r="AJ220" s="115"/>
      <c r="AK220" s="115"/>
      <c r="AL220" s="127"/>
      <c r="AM220" s="134"/>
      <c r="AW220" s="25"/>
      <c r="AX220" s="13"/>
      <c r="BC220" s="116"/>
      <c r="BD220" s="123"/>
      <c r="BE220" s="123"/>
      <c r="BF220" s="123"/>
      <c r="BK220" s="115"/>
      <c r="BL220" s="115"/>
      <c r="BM220" s="115"/>
      <c r="BN220" s="115"/>
      <c r="BO220" s="115"/>
      <c r="BP220" s="115"/>
      <c r="BQ220" s="115"/>
      <c r="BR220" s="115"/>
      <c r="BS220" s="115"/>
      <c r="BT220" s="115"/>
      <c r="BU220" s="25"/>
      <c r="BV220" s="13"/>
      <c r="BY220" s="114"/>
    </row>
    <row r="221" spans="1:77" ht="20.100000000000001" customHeight="1" x14ac:dyDescent="0.4">
      <c r="A221" s="117"/>
      <c r="B221" s="123"/>
      <c r="C221" s="123"/>
      <c r="D221" s="123"/>
      <c r="P221" s="115"/>
      <c r="Q221" s="115"/>
      <c r="R221" s="115"/>
      <c r="S221" s="115"/>
      <c r="T221" s="115"/>
      <c r="U221" s="115"/>
      <c r="V221" s="26"/>
      <c r="W221" s="13"/>
      <c r="AE221" s="115"/>
      <c r="AF221" s="115"/>
      <c r="AG221" s="115"/>
      <c r="AH221" s="115"/>
      <c r="AI221" s="115"/>
      <c r="AJ221" s="115"/>
      <c r="AK221" s="115"/>
      <c r="AL221" s="127"/>
      <c r="AM221" s="134"/>
      <c r="AW221" s="25"/>
      <c r="AX221" s="13"/>
      <c r="BC221" s="116"/>
      <c r="BD221" s="123"/>
      <c r="BE221" s="123"/>
      <c r="BF221" s="123"/>
      <c r="BK221" s="115"/>
      <c r="BL221" s="115"/>
      <c r="BM221" s="115"/>
      <c r="BN221" s="115"/>
      <c r="BO221" s="115"/>
      <c r="BP221" s="115"/>
      <c r="BQ221" s="115"/>
      <c r="BR221" s="115"/>
      <c r="BS221" s="115"/>
      <c r="BT221" s="115"/>
      <c r="BU221" s="25"/>
      <c r="BV221" s="13"/>
      <c r="BY221" s="114"/>
    </row>
    <row r="222" spans="1:77" ht="20.100000000000001" customHeight="1" x14ac:dyDescent="0.4">
      <c r="A222" s="117"/>
      <c r="B222" s="123"/>
      <c r="C222" s="123"/>
      <c r="D222" s="123"/>
      <c r="O222" s="115"/>
      <c r="P222" s="115"/>
      <c r="Q222" s="115"/>
      <c r="R222" s="115"/>
      <c r="S222" s="115"/>
      <c r="T222" s="115"/>
      <c r="U222" s="115"/>
      <c r="V222" s="26"/>
      <c r="W222" s="13"/>
      <c r="AE222" s="115"/>
      <c r="AF222" s="115"/>
      <c r="AG222" s="115"/>
      <c r="AH222" s="115"/>
      <c r="AI222" s="115"/>
      <c r="AJ222" s="115"/>
      <c r="AK222" s="115"/>
      <c r="AL222" s="127"/>
      <c r="AM222" s="134"/>
      <c r="AW222" s="25"/>
      <c r="AX222" s="13"/>
      <c r="BC222" s="116"/>
      <c r="BD222" s="123"/>
      <c r="BE222" s="123"/>
      <c r="BF222" s="123"/>
      <c r="BK222" s="115"/>
      <c r="BL222" s="115"/>
      <c r="BM222" s="115"/>
      <c r="BN222" s="115"/>
      <c r="BO222" s="115"/>
      <c r="BP222" s="115"/>
      <c r="BQ222" s="115"/>
      <c r="BR222" s="115"/>
      <c r="BS222" s="115"/>
      <c r="BT222" s="115"/>
      <c r="BU222" s="25"/>
      <c r="BV222" s="13"/>
      <c r="BY222" s="114"/>
    </row>
    <row r="223" spans="1:77" ht="20.100000000000001" customHeight="1" x14ac:dyDescent="0.4">
      <c r="A223" s="117"/>
      <c r="B223" s="123"/>
      <c r="C223" s="123"/>
      <c r="D223" s="123"/>
      <c r="O223" s="115"/>
      <c r="P223" s="115"/>
      <c r="Q223" s="115"/>
      <c r="R223" s="115"/>
      <c r="S223" s="115"/>
      <c r="T223" s="115"/>
      <c r="U223" s="115"/>
      <c r="V223" s="26"/>
      <c r="W223" s="13"/>
      <c r="AE223" s="115"/>
      <c r="AF223" s="115"/>
      <c r="AG223" s="115"/>
      <c r="AH223" s="115"/>
      <c r="AI223" s="115"/>
      <c r="AJ223" s="115"/>
      <c r="AK223" s="115"/>
      <c r="AL223" s="127"/>
      <c r="AM223" s="134"/>
      <c r="AW223" s="25"/>
      <c r="AX223" s="13"/>
      <c r="BC223" s="116"/>
      <c r="BD223" s="123"/>
      <c r="BE223" s="123"/>
      <c r="BF223" s="123"/>
      <c r="BK223" s="115"/>
      <c r="BL223" s="115"/>
      <c r="BM223" s="115"/>
      <c r="BN223" s="115"/>
      <c r="BO223" s="115"/>
      <c r="BP223" s="115"/>
      <c r="BQ223" s="115"/>
      <c r="BR223" s="115"/>
      <c r="BS223" s="115"/>
      <c r="BT223" s="115"/>
      <c r="BU223" s="25"/>
      <c r="BV223" s="13"/>
      <c r="BY223" s="114"/>
    </row>
    <row r="224" spans="1:77" ht="20.100000000000001" customHeight="1" x14ac:dyDescent="0.4">
      <c r="A224" s="117"/>
      <c r="B224" s="123"/>
      <c r="C224" s="123"/>
      <c r="D224" s="123"/>
      <c r="V224" s="26"/>
      <c r="W224" s="13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27"/>
      <c r="AM224" s="29"/>
      <c r="AW224" s="25"/>
      <c r="AX224" s="13"/>
      <c r="BC224" s="116"/>
      <c r="BD224" s="123"/>
      <c r="BE224" s="123"/>
      <c r="BF224" s="123"/>
      <c r="BK224" s="115"/>
      <c r="BL224" s="115"/>
      <c r="BM224" s="115"/>
      <c r="BN224" s="115"/>
      <c r="BO224" s="115"/>
      <c r="BP224" s="115"/>
      <c r="BQ224" s="115"/>
      <c r="BR224" s="115"/>
      <c r="BS224" s="115"/>
      <c r="BT224" s="115"/>
      <c r="BU224" s="25"/>
      <c r="BV224" s="13"/>
      <c r="BY224" s="114"/>
    </row>
    <row r="225" spans="1:77" ht="20.100000000000001" customHeight="1" x14ac:dyDescent="0.4">
      <c r="A225" s="117"/>
      <c r="B225" s="123"/>
      <c r="C225" s="123"/>
      <c r="D225" s="123"/>
      <c r="P225" s="115"/>
      <c r="Q225" s="115"/>
      <c r="R225" s="115"/>
      <c r="S225" s="115"/>
      <c r="T225" s="115"/>
      <c r="U225" s="115"/>
      <c r="V225" s="26"/>
      <c r="W225" s="13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127"/>
      <c r="AM225" s="29"/>
      <c r="AW225" s="25"/>
      <c r="AX225" s="13"/>
      <c r="BC225" s="116"/>
      <c r="BD225" s="123"/>
      <c r="BE225" s="123"/>
      <c r="BF225" s="123"/>
      <c r="BK225" s="115"/>
      <c r="BL225" s="115"/>
      <c r="BM225" s="115"/>
      <c r="BN225" s="115"/>
      <c r="BO225" s="115"/>
      <c r="BP225" s="115"/>
      <c r="BQ225" s="115"/>
      <c r="BR225" s="115"/>
      <c r="BS225" s="115"/>
      <c r="BT225" s="115"/>
      <c r="BU225" s="25"/>
      <c r="BV225" s="13"/>
      <c r="BY225" s="114"/>
    </row>
    <row r="226" spans="1:77" ht="20.100000000000001" customHeight="1" x14ac:dyDescent="0.4">
      <c r="A226" s="117"/>
      <c r="B226" s="123"/>
      <c r="C226" s="123"/>
      <c r="D226" s="123"/>
      <c r="V226" s="26"/>
      <c r="W226" s="13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27"/>
      <c r="AM226" s="29"/>
      <c r="AW226" s="25"/>
      <c r="AX226" s="13"/>
      <c r="BC226" s="116"/>
      <c r="BD226" s="123"/>
      <c r="BE226" s="123"/>
      <c r="BF226" s="123"/>
      <c r="BK226" s="115"/>
      <c r="BL226" s="115"/>
      <c r="BM226" s="115"/>
      <c r="BN226" s="115"/>
      <c r="BO226" s="115"/>
      <c r="BP226" s="115"/>
      <c r="BQ226" s="115"/>
      <c r="BR226" s="115"/>
      <c r="BS226" s="115"/>
      <c r="BT226" s="115"/>
      <c r="BU226" s="25"/>
      <c r="BV226" s="13"/>
      <c r="BY226" s="114"/>
    </row>
    <row r="227" spans="1:77" ht="20.100000000000001" customHeight="1" x14ac:dyDescent="0.4">
      <c r="A227" s="117"/>
      <c r="B227" s="123"/>
      <c r="C227" s="123"/>
      <c r="D227" s="123"/>
      <c r="P227" s="115"/>
      <c r="Q227" s="115"/>
      <c r="R227" s="115"/>
      <c r="S227" s="115"/>
      <c r="T227" s="115"/>
      <c r="U227" s="115"/>
      <c r="V227" s="26"/>
      <c r="W227" s="15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127"/>
      <c r="AM227" s="29"/>
      <c r="AW227" s="25"/>
      <c r="AX227" s="13"/>
      <c r="BC227" s="116"/>
      <c r="BD227" s="123"/>
      <c r="BE227" s="123"/>
      <c r="BF227" s="123"/>
      <c r="BK227" s="115"/>
      <c r="BL227" s="115"/>
      <c r="BM227" s="115"/>
      <c r="BN227" s="115"/>
      <c r="BO227" s="115"/>
      <c r="BP227" s="115"/>
      <c r="BQ227" s="115"/>
      <c r="BR227" s="115"/>
      <c r="BS227" s="115"/>
      <c r="BT227" s="115"/>
      <c r="BU227" s="25"/>
      <c r="BV227" s="13"/>
      <c r="BY227" s="114"/>
    </row>
    <row r="228" spans="1:77" ht="20.100000000000001" customHeight="1" x14ac:dyDescent="0.4">
      <c r="A228" s="117"/>
      <c r="B228" s="123"/>
      <c r="C228" s="123"/>
      <c r="D228" s="123"/>
      <c r="P228" s="115"/>
      <c r="Q228" s="115"/>
      <c r="R228" s="115"/>
      <c r="S228" s="115"/>
      <c r="T228" s="115"/>
      <c r="U228" s="115"/>
      <c r="V228" s="17"/>
      <c r="W228" s="15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127"/>
      <c r="AM228" s="29"/>
      <c r="AW228" s="25"/>
      <c r="AX228" s="13"/>
      <c r="BC228" s="116"/>
      <c r="BD228" s="123"/>
      <c r="BE228" s="123"/>
      <c r="BF228" s="123"/>
      <c r="BK228" s="115"/>
      <c r="BL228" s="115"/>
      <c r="BM228" s="115"/>
      <c r="BN228" s="115"/>
      <c r="BO228" s="115"/>
      <c r="BP228" s="115"/>
      <c r="BQ228" s="115"/>
      <c r="BR228" s="115"/>
      <c r="BS228" s="115"/>
      <c r="BT228" s="115"/>
      <c r="BU228" s="25"/>
      <c r="BV228" s="13"/>
      <c r="BY228" s="114"/>
    </row>
    <row r="229" spans="1:77" ht="20.100000000000001" customHeight="1" x14ac:dyDescent="0.4">
      <c r="A229" s="117"/>
      <c r="B229" s="123"/>
      <c r="C229" s="123"/>
      <c r="D229" s="123"/>
      <c r="P229" s="115"/>
      <c r="Q229" s="115"/>
      <c r="R229" s="115"/>
      <c r="S229" s="115"/>
      <c r="T229" s="115"/>
      <c r="U229" s="115"/>
      <c r="V229" s="26"/>
      <c r="W229" s="132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27"/>
      <c r="AM229" s="29"/>
      <c r="AW229" s="25"/>
      <c r="AX229" s="13"/>
      <c r="BC229" s="116"/>
      <c r="BD229" s="123"/>
      <c r="BE229" s="123"/>
      <c r="BF229" s="123"/>
      <c r="BK229" s="115"/>
      <c r="BL229" s="115"/>
      <c r="BM229" s="115"/>
      <c r="BN229" s="115"/>
      <c r="BO229" s="115"/>
      <c r="BP229" s="115"/>
      <c r="BQ229" s="115"/>
      <c r="BR229" s="115"/>
      <c r="BS229" s="115"/>
      <c r="BT229" s="115"/>
      <c r="BU229" s="25"/>
      <c r="BV229" s="13"/>
      <c r="BY229" s="114"/>
    </row>
    <row r="230" spans="1:77" ht="20.100000000000001" customHeight="1" x14ac:dyDescent="0.4">
      <c r="A230" s="117"/>
      <c r="B230" s="123"/>
      <c r="C230" s="123"/>
      <c r="D230" s="123"/>
      <c r="V230" s="26"/>
      <c r="W230" s="13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127"/>
      <c r="AM230" s="29"/>
      <c r="AW230" s="25"/>
      <c r="AX230" s="13"/>
      <c r="BC230" s="116"/>
      <c r="BD230" s="123"/>
      <c r="BE230" s="123"/>
      <c r="BF230" s="123"/>
      <c r="BK230" s="115"/>
      <c r="BL230" s="115"/>
      <c r="BM230" s="115"/>
      <c r="BN230" s="115"/>
      <c r="BO230" s="115"/>
      <c r="BP230" s="115"/>
      <c r="BQ230" s="115"/>
      <c r="BR230" s="115"/>
      <c r="BS230" s="115"/>
      <c r="BT230" s="115"/>
      <c r="BU230" s="25"/>
      <c r="BV230" s="13"/>
      <c r="BY230" s="114"/>
    </row>
    <row r="231" spans="1:77" ht="20.100000000000001" customHeight="1" x14ac:dyDescent="0.4">
      <c r="A231" s="117"/>
      <c r="B231" s="123"/>
      <c r="C231" s="123"/>
      <c r="D231" s="123"/>
      <c r="O231" s="115"/>
      <c r="P231" s="115"/>
      <c r="Q231" s="115"/>
      <c r="R231" s="115"/>
      <c r="S231" s="115"/>
      <c r="T231" s="115"/>
      <c r="U231" s="115"/>
      <c r="V231" s="26"/>
      <c r="W231" s="13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27"/>
      <c r="AM231" s="29"/>
      <c r="AW231" s="25"/>
      <c r="AX231" s="13"/>
      <c r="BC231" s="116"/>
      <c r="BD231" s="123"/>
      <c r="BE231" s="123"/>
      <c r="BF231" s="123"/>
      <c r="BK231" s="115"/>
      <c r="BL231" s="115"/>
      <c r="BM231" s="115"/>
      <c r="BN231" s="115"/>
      <c r="BO231" s="115"/>
      <c r="BP231" s="115"/>
      <c r="BQ231" s="115"/>
      <c r="BR231" s="115"/>
      <c r="BS231" s="115"/>
      <c r="BT231" s="115"/>
      <c r="BU231" s="25"/>
      <c r="BV231" s="13"/>
      <c r="BY231" s="114"/>
    </row>
    <row r="232" spans="1:77" ht="20.100000000000001" customHeight="1" x14ac:dyDescent="0.4">
      <c r="A232" s="117"/>
      <c r="B232" s="123"/>
      <c r="C232" s="123"/>
      <c r="D232" s="123"/>
      <c r="V232" s="26"/>
      <c r="W232" s="13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29"/>
      <c r="AM232" s="29"/>
      <c r="AW232" s="25"/>
      <c r="AX232" s="13"/>
      <c r="BC232" s="116"/>
      <c r="BD232" s="123"/>
      <c r="BE232" s="123"/>
      <c r="BF232" s="123"/>
      <c r="BK232" s="115"/>
      <c r="BL232" s="115"/>
      <c r="BM232" s="115"/>
      <c r="BN232" s="115"/>
      <c r="BO232" s="115"/>
      <c r="BP232" s="115"/>
      <c r="BQ232" s="115"/>
      <c r="BR232" s="115"/>
      <c r="BS232" s="115"/>
      <c r="BT232" s="115"/>
      <c r="BU232" s="25"/>
      <c r="BV232" s="13"/>
      <c r="BY232" s="114"/>
    </row>
    <row r="233" spans="1:77" ht="20.100000000000001" customHeight="1" x14ac:dyDescent="0.4">
      <c r="A233" s="117"/>
      <c r="B233" s="123"/>
      <c r="C233" s="123"/>
      <c r="D233" s="123"/>
      <c r="V233" s="26"/>
      <c r="W233" s="13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27"/>
      <c r="AM233" s="29"/>
      <c r="AW233" s="25"/>
      <c r="AX233" s="13"/>
      <c r="BC233" s="116"/>
      <c r="BD233" s="123"/>
      <c r="BE233" s="123"/>
      <c r="BF233" s="123"/>
      <c r="BK233" s="115"/>
      <c r="BL233" s="115"/>
      <c r="BM233" s="115"/>
      <c r="BN233" s="115"/>
      <c r="BO233" s="115"/>
      <c r="BP233" s="115"/>
      <c r="BQ233" s="115"/>
      <c r="BR233" s="115"/>
      <c r="BS233" s="115"/>
      <c r="BT233" s="115"/>
      <c r="BU233" s="25"/>
      <c r="BV233" s="13"/>
      <c r="BY233" s="114"/>
    </row>
    <row r="234" spans="1:77" ht="20.100000000000001" customHeight="1" x14ac:dyDescent="0.4">
      <c r="A234" s="117"/>
      <c r="B234" s="123"/>
      <c r="C234" s="123"/>
      <c r="D234" s="123"/>
      <c r="M234" s="115"/>
      <c r="N234" s="115"/>
      <c r="O234" s="115"/>
      <c r="P234" s="115"/>
      <c r="Q234" s="115"/>
      <c r="R234" s="115"/>
      <c r="S234" s="115"/>
      <c r="T234" s="115"/>
      <c r="U234" s="115"/>
      <c r="V234" s="26"/>
      <c r="W234" s="13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27"/>
      <c r="AM234" s="29"/>
      <c r="AW234" s="25"/>
      <c r="AX234" s="13"/>
      <c r="BC234" s="116"/>
      <c r="BD234" s="123"/>
      <c r="BE234" s="123"/>
      <c r="BF234" s="123"/>
      <c r="BK234" s="115"/>
      <c r="BL234" s="115"/>
      <c r="BM234" s="115"/>
      <c r="BN234" s="115"/>
      <c r="BO234" s="115"/>
      <c r="BP234" s="115"/>
      <c r="BQ234" s="115"/>
      <c r="BR234" s="115"/>
      <c r="BS234" s="115"/>
      <c r="BT234" s="115"/>
      <c r="BU234" s="25"/>
      <c r="BV234" s="13"/>
      <c r="BY234" s="114"/>
    </row>
    <row r="235" spans="1:77" ht="20.100000000000001" customHeight="1" x14ac:dyDescent="0.4">
      <c r="A235" s="117"/>
      <c r="B235" s="123"/>
      <c r="C235" s="123"/>
      <c r="D235" s="123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26"/>
      <c r="W235" s="13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27"/>
      <c r="AM235" s="29"/>
      <c r="AW235" s="25"/>
      <c r="AX235" s="13"/>
      <c r="BC235" s="116"/>
      <c r="BD235" s="123"/>
      <c r="BE235" s="123"/>
      <c r="BF235" s="123"/>
      <c r="BK235" s="115"/>
      <c r="BL235" s="115"/>
      <c r="BM235" s="115"/>
      <c r="BN235" s="115"/>
      <c r="BO235" s="115"/>
      <c r="BP235" s="115"/>
      <c r="BQ235" s="115"/>
      <c r="BR235" s="115"/>
      <c r="BS235" s="115"/>
      <c r="BT235" s="115"/>
      <c r="BU235" s="25"/>
      <c r="BV235" s="13"/>
      <c r="BY235" s="114"/>
    </row>
    <row r="236" spans="1:77" ht="20.100000000000001" customHeight="1" x14ac:dyDescent="0.4">
      <c r="A236" s="117"/>
      <c r="B236" s="123"/>
      <c r="C236" s="123"/>
      <c r="D236" s="123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7"/>
      <c r="W236" s="13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27"/>
      <c r="AM236" s="29"/>
      <c r="AW236" s="25"/>
      <c r="AX236" s="13"/>
      <c r="BC236" s="116"/>
      <c r="BD236" s="123"/>
      <c r="BE236" s="123"/>
      <c r="BF236" s="123"/>
      <c r="BK236" s="115"/>
      <c r="BL236" s="115"/>
      <c r="BM236" s="115"/>
      <c r="BN236" s="115"/>
      <c r="BO236" s="115"/>
      <c r="BP236" s="115"/>
      <c r="BQ236" s="115"/>
      <c r="BR236" s="115"/>
      <c r="BS236" s="115"/>
      <c r="BT236" s="115"/>
      <c r="BU236" s="25"/>
      <c r="BV236" s="13"/>
      <c r="BY236" s="114"/>
    </row>
    <row r="237" spans="1:77" ht="20.100000000000001" customHeight="1" x14ac:dyDescent="0.4">
      <c r="A237" s="117"/>
      <c r="B237" s="123"/>
      <c r="C237" s="123"/>
      <c r="D237" s="123"/>
      <c r="V237" s="26"/>
      <c r="W237" s="13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27"/>
      <c r="AM237" s="29"/>
      <c r="AW237" s="25"/>
      <c r="AX237" s="13"/>
      <c r="BC237" s="116"/>
      <c r="BD237" s="123"/>
      <c r="BE237" s="123"/>
      <c r="BF237" s="123"/>
      <c r="BK237" s="115"/>
      <c r="BL237" s="115"/>
      <c r="BM237" s="115"/>
      <c r="BN237" s="115"/>
      <c r="BO237" s="115"/>
      <c r="BP237" s="115"/>
      <c r="BQ237" s="115"/>
      <c r="BR237" s="115"/>
      <c r="BS237" s="115"/>
      <c r="BT237" s="115"/>
      <c r="BU237" s="25"/>
      <c r="BV237" s="13"/>
      <c r="BY237" s="114"/>
    </row>
    <row r="238" spans="1:77" ht="20.100000000000001" customHeight="1" x14ac:dyDescent="0.4">
      <c r="A238" s="117"/>
      <c r="B238" s="123"/>
      <c r="C238" s="123"/>
      <c r="D238" s="123"/>
      <c r="O238" s="115"/>
      <c r="P238" s="115"/>
      <c r="Q238" s="115"/>
      <c r="R238" s="115"/>
      <c r="S238" s="115"/>
      <c r="T238" s="115"/>
      <c r="U238" s="115"/>
      <c r="V238" s="26"/>
      <c r="W238" s="13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27"/>
      <c r="AM238" s="29"/>
      <c r="AW238" s="25"/>
      <c r="AX238" s="13"/>
      <c r="BC238" s="116"/>
      <c r="BD238" s="123"/>
      <c r="BE238" s="123"/>
      <c r="BF238" s="123"/>
      <c r="BK238" s="115"/>
      <c r="BL238" s="115"/>
      <c r="BM238" s="115"/>
      <c r="BN238" s="115"/>
      <c r="BO238" s="115"/>
      <c r="BP238" s="115"/>
      <c r="BQ238" s="115"/>
      <c r="BR238" s="115"/>
      <c r="BS238" s="115"/>
      <c r="BT238" s="115"/>
      <c r="BU238" s="25"/>
      <c r="BV238" s="13"/>
      <c r="BY238" s="114"/>
    </row>
    <row r="239" spans="1:77" ht="20.100000000000001" customHeight="1" x14ac:dyDescent="0.4">
      <c r="A239" s="117"/>
      <c r="B239" s="123"/>
      <c r="C239" s="123"/>
      <c r="D239" s="123"/>
      <c r="O239" s="115"/>
      <c r="P239" s="115"/>
      <c r="Q239" s="115"/>
      <c r="R239" s="115"/>
      <c r="S239" s="115"/>
      <c r="T239" s="115"/>
      <c r="U239" s="115"/>
      <c r="V239" s="17"/>
      <c r="W239" s="13"/>
      <c r="AC239" s="115"/>
      <c r="AD239" s="115"/>
      <c r="AE239" s="115"/>
      <c r="AF239" s="115"/>
      <c r="AG239" s="115"/>
      <c r="AH239" s="115"/>
      <c r="AI239" s="115"/>
      <c r="AJ239" s="115"/>
      <c r="AK239" s="115"/>
      <c r="AL239" s="127"/>
      <c r="AM239" s="29"/>
      <c r="AW239" s="25"/>
      <c r="AX239" s="13"/>
      <c r="BC239" s="116"/>
      <c r="BD239" s="123"/>
      <c r="BE239" s="123"/>
      <c r="BF239" s="123"/>
      <c r="BK239" s="115"/>
      <c r="BL239" s="115"/>
      <c r="BM239" s="115"/>
      <c r="BN239" s="115"/>
      <c r="BO239" s="115"/>
      <c r="BP239" s="115"/>
      <c r="BQ239" s="115"/>
      <c r="BR239" s="115"/>
      <c r="BS239" s="115"/>
      <c r="BT239" s="115"/>
      <c r="BU239" s="25"/>
      <c r="BV239" s="13"/>
      <c r="BY239" s="114"/>
    </row>
    <row r="240" spans="1:77" ht="20.100000000000001" customHeight="1" x14ac:dyDescent="0.4">
      <c r="A240" s="117"/>
      <c r="B240" s="123"/>
      <c r="C240" s="123"/>
      <c r="D240" s="123"/>
      <c r="V240" s="26"/>
      <c r="W240" s="13"/>
      <c r="AC240" s="115"/>
      <c r="AD240" s="115"/>
      <c r="AE240" s="115"/>
      <c r="AF240" s="115"/>
      <c r="AG240" s="115"/>
      <c r="AH240" s="115"/>
      <c r="AI240" s="115"/>
      <c r="AJ240" s="115"/>
      <c r="AK240" s="115"/>
      <c r="AL240" s="127"/>
      <c r="AM240" s="29"/>
      <c r="AW240" s="25"/>
      <c r="AX240" s="13"/>
      <c r="BC240" s="116"/>
      <c r="BD240" s="123"/>
      <c r="BE240" s="123"/>
      <c r="BF240" s="123"/>
      <c r="BK240" s="115"/>
      <c r="BL240" s="115"/>
      <c r="BM240" s="115"/>
      <c r="BN240" s="115"/>
      <c r="BO240" s="115"/>
      <c r="BP240" s="115"/>
      <c r="BQ240" s="115"/>
      <c r="BR240" s="115"/>
      <c r="BS240" s="115"/>
      <c r="BT240" s="115"/>
      <c r="BU240" s="25"/>
      <c r="BV240" s="13"/>
      <c r="BY240" s="114"/>
    </row>
    <row r="241" spans="1:77" ht="20.100000000000001" customHeight="1" x14ac:dyDescent="0.4">
      <c r="A241" s="117"/>
      <c r="B241" s="123"/>
      <c r="C241" s="123"/>
      <c r="D241" s="123"/>
      <c r="V241" s="26"/>
      <c r="W241" s="13"/>
      <c r="AC241" s="115"/>
      <c r="AD241" s="115"/>
      <c r="AE241" s="115"/>
      <c r="AF241" s="115"/>
      <c r="AG241" s="115"/>
      <c r="AH241" s="115"/>
      <c r="AI241" s="115"/>
      <c r="AJ241" s="115"/>
      <c r="AK241" s="115"/>
      <c r="AL241" s="127"/>
      <c r="AM241" s="29"/>
      <c r="AW241" s="25"/>
      <c r="AX241" s="13"/>
      <c r="BC241" s="116"/>
      <c r="BD241" s="123"/>
      <c r="BE241" s="123"/>
      <c r="BF241" s="123"/>
      <c r="BK241" s="115"/>
      <c r="BL241" s="115"/>
      <c r="BM241" s="115"/>
      <c r="BN241" s="115"/>
      <c r="BO241" s="115"/>
      <c r="BP241" s="115"/>
      <c r="BQ241" s="115"/>
      <c r="BR241" s="115"/>
      <c r="BS241" s="115"/>
      <c r="BT241" s="115"/>
      <c r="BU241" s="25"/>
      <c r="BV241" s="13"/>
      <c r="BY241" s="114"/>
    </row>
    <row r="242" spans="1:77" ht="20.100000000000001" customHeight="1" x14ac:dyDescent="0.4">
      <c r="A242" s="117"/>
      <c r="B242" s="123"/>
      <c r="C242" s="123"/>
      <c r="D242" s="123"/>
      <c r="O242" s="115"/>
      <c r="P242" s="115"/>
      <c r="Q242" s="115"/>
      <c r="R242" s="115"/>
      <c r="S242" s="115"/>
      <c r="T242" s="115"/>
      <c r="U242" s="115"/>
      <c r="V242" s="26"/>
      <c r="W242" s="13"/>
      <c r="AC242" s="115"/>
      <c r="AD242" s="115"/>
      <c r="AE242" s="115"/>
      <c r="AF242" s="115"/>
      <c r="AG242" s="115"/>
      <c r="AH242" s="115"/>
      <c r="AI242" s="115"/>
      <c r="AJ242" s="115"/>
      <c r="AK242" s="115"/>
      <c r="AL242" s="127"/>
      <c r="AM242" s="29"/>
      <c r="AW242" s="25"/>
      <c r="AX242" s="13"/>
      <c r="BC242" s="116"/>
      <c r="BD242" s="123"/>
      <c r="BE242" s="123"/>
      <c r="BF242" s="123"/>
      <c r="BK242" s="115"/>
      <c r="BL242" s="115"/>
      <c r="BM242" s="115"/>
      <c r="BN242" s="115"/>
      <c r="BO242" s="115"/>
      <c r="BP242" s="115"/>
      <c r="BQ242" s="115"/>
      <c r="BR242" s="115"/>
      <c r="BS242" s="115"/>
      <c r="BT242" s="115"/>
      <c r="BU242" s="25"/>
      <c r="BV242" s="13"/>
      <c r="BY242" s="114"/>
    </row>
    <row r="243" spans="1:77" ht="20.100000000000001" customHeight="1" x14ac:dyDescent="0.4">
      <c r="A243" s="117"/>
      <c r="B243" s="123"/>
      <c r="C243" s="123"/>
      <c r="D243" s="123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26"/>
      <c r="W243" s="13"/>
      <c r="AC243" s="115"/>
      <c r="AD243" s="115"/>
      <c r="AE243" s="115"/>
      <c r="AF243" s="115"/>
      <c r="AG243" s="115"/>
      <c r="AH243" s="115"/>
      <c r="AI243" s="115"/>
      <c r="AJ243" s="115"/>
      <c r="AK243" s="115"/>
      <c r="AL243" s="127"/>
      <c r="AM243" s="29"/>
      <c r="AW243" s="25"/>
      <c r="AX243" s="13"/>
      <c r="BC243" s="116"/>
      <c r="BD243" s="123"/>
      <c r="BE243" s="123"/>
      <c r="BF243" s="123"/>
      <c r="BK243" s="115"/>
      <c r="BL243" s="115"/>
      <c r="BM243" s="115"/>
      <c r="BN243" s="115"/>
      <c r="BO243" s="115"/>
      <c r="BP243" s="115"/>
      <c r="BQ243" s="115"/>
      <c r="BR243" s="115"/>
      <c r="BS243" s="115"/>
      <c r="BT243" s="115"/>
      <c r="BU243" s="25"/>
      <c r="BV243" s="13"/>
      <c r="BY243" s="114"/>
    </row>
    <row r="244" spans="1:77" ht="20.100000000000001" customHeight="1" x14ac:dyDescent="0.4">
      <c r="A244" s="117"/>
      <c r="B244" s="123"/>
      <c r="C244" s="123"/>
      <c r="D244" s="123"/>
      <c r="V244" s="26"/>
      <c r="W244" s="13"/>
      <c r="AC244" s="115"/>
      <c r="AD244" s="115"/>
      <c r="AE244" s="115"/>
      <c r="AF244" s="115"/>
      <c r="AG244" s="115"/>
      <c r="AH244" s="115"/>
      <c r="AI244" s="115"/>
      <c r="AJ244" s="115"/>
      <c r="AK244" s="115"/>
      <c r="AL244" s="127"/>
      <c r="AM244" s="29"/>
      <c r="AW244" s="25"/>
      <c r="AX244" s="13"/>
      <c r="BC244" s="116"/>
      <c r="BD244" s="123"/>
      <c r="BE244" s="123"/>
      <c r="BF244" s="123"/>
      <c r="BK244" s="115"/>
      <c r="BL244" s="115"/>
      <c r="BM244" s="115"/>
      <c r="BN244" s="115"/>
      <c r="BO244" s="115"/>
      <c r="BP244" s="115"/>
      <c r="BQ244" s="115"/>
      <c r="BR244" s="115"/>
      <c r="BS244" s="115"/>
      <c r="BT244" s="115"/>
      <c r="BU244" s="25"/>
      <c r="BV244" s="13"/>
      <c r="BY244" s="114"/>
    </row>
    <row r="245" spans="1:77" ht="20.100000000000001" customHeight="1" x14ac:dyDescent="0.4">
      <c r="A245" s="117"/>
      <c r="B245" s="123"/>
      <c r="C245" s="123"/>
      <c r="D245" s="123"/>
      <c r="V245" s="26"/>
      <c r="W245" s="13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27"/>
      <c r="AM245" s="29"/>
      <c r="AW245" s="25"/>
      <c r="AX245" s="13"/>
      <c r="BC245" s="116"/>
      <c r="BD245" s="123"/>
      <c r="BE245" s="123"/>
      <c r="BF245" s="123"/>
      <c r="BK245" s="115"/>
      <c r="BL245" s="115"/>
      <c r="BM245" s="115"/>
      <c r="BN245" s="115"/>
      <c r="BO245" s="115"/>
      <c r="BP245" s="115"/>
      <c r="BQ245" s="115"/>
      <c r="BR245" s="115"/>
      <c r="BS245" s="115"/>
      <c r="BT245" s="115"/>
      <c r="BU245" s="25"/>
      <c r="BV245" s="13"/>
      <c r="BY245" s="114"/>
    </row>
    <row r="246" spans="1:77" ht="20.100000000000001" customHeight="1" x14ac:dyDescent="0.4">
      <c r="A246" s="117"/>
      <c r="B246" s="123"/>
      <c r="C246" s="123"/>
      <c r="D246" s="123"/>
      <c r="V246" s="26"/>
      <c r="W246" s="13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27"/>
      <c r="AM246" s="29"/>
      <c r="AW246" s="25"/>
      <c r="AX246" s="13"/>
      <c r="BC246" s="116"/>
      <c r="BD246" s="123"/>
      <c r="BE246" s="123"/>
      <c r="BF246" s="123"/>
      <c r="BK246" s="115"/>
      <c r="BL246" s="115"/>
      <c r="BM246" s="115"/>
      <c r="BN246" s="115"/>
      <c r="BO246" s="115"/>
      <c r="BP246" s="115"/>
      <c r="BQ246" s="115"/>
      <c r="BR246" s="115"/>
      <c r="BS246" s="115"/>
      <c r="BT246" s="115"/>
      <c r="BU246" s="25"/>
      <c r="BV246" s="13"/>
      <c r="BY246" s="114"/>
    </row>
    <row r="247" spans="1:77" ht="20.100000000000001" customHeight="1" x14ac:dyDescent="0.4">
      <c r="A247" s="117"/>
      <c r="B247" s="123"/>
      <c r="C247" s="123"/>
      <c r="D247" s="123"/>
      <c r="V247" s="26"/>
      <c r="W247" s="13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27"/>
      <c r="AM247" s="29"/>
      <c r="AW247" s="25"/>
      <c r="AX247" s="13"/>
      <c r="BC247" s="116"/>
      <c r="BD247" s="123"/>
      <c r="BE247" s="123"/>
      <c r="BF247" s="123"/>
      <c r="BK247" s="115"/>
      <c r="BL247" s="115"/>
      <c r="BM247" s="115"/>
      <c r="BN247" s="115"/>
      <c r="BO247" s="115"/>
      <c r="BP247" s="115"/>
      <c r="BQ247" s="115"/>
      <c r="BR247" s="115"/>
      <c r="BS247" s="115"/>
      <c r="BT247" s="115"/>
      <c r="BU247" s="25"/>
      <c r="BV247" s="13"/>
      <c r="BY247" s="114"/>
    </row>
    <row r="248" spans="1:77" ht="20.100000000000001" customHeight="1" x14ac:dyDescent="0.4">
      <c r="A248" s="117"/>
      <c r="B248" s="123"/>
      <c r="C248" s="123"/>
      <c r="D248" s="123"/>
      <c r="Q248" s="115"/>
      <c r="R248" s="115"/>
      <c r="S248" s="115"/>
      <c r="T248" s="115"/>
      <c r="U248" s="115"/>
      <c r="V248" s="17"/>
      <c r="W248" s="13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27"/>
      <c r="AM248" s="29"/>
      <c r="AW248" s="25"/>
      <c r="AX248" s="13"/>
      <c r="BC248" s="116"/>
      <c r="BD248" s="123"/>
      <c r="BE248" s="123"/>
      <c r="BF248" s="123"/>
      <c r="BK248" s="115"/>
      <c r="BL248" s="115"/>
      <c r="BM248" s="115"/>
      <c r="BN248" s="115"/>
      <c r="BO248" s="115"/>
      <c r="BP248" s="115"/>
      <c r="BQ248" s="115"/>
      <c r="BR248" s="115"/>
      <c r="BS248" s="115"/>
      <c r="BT248" s="115"/>
      <c r="BU248" s="25"/>
      <c r="BV248" s="13"/>
      <c r="BY248" s="114"/>
    </row>
    <row r="249" spans="1:77" ht="20.100000000000001" customHeight="1" x14ac:dyDescent="0.4">
      <c r="A249" s="117"/>
      <c r="B249" s="123"/>
      <c r="C249" s="123"/>
      <c r="D249" s="123"/>
      <c r="O249" s="115"/>
      <c r="P249" s="115"/>
      <c r="Q249" s="115"/>
      <c r="R249" s="115"/>
      <c r="S249" s="115"/>
      <c r="T249" s="115"/>
      <c r="U249" s="115"/>
      <c r="V249" s="26"/>
      <c r="W249" s="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27"/>
      <c r="AM249" s="29"/>
      <c r="AW249" s="25"/>
      <c r="AX249" s="13"/>
      <c r="BC249" s="116"/>
      <c r="BD249" s="123"/>
      <c r="BE249" s="123"/>
      <c r="BF249" s="123"/>
      <c r="BK249" s="115"/>
      <c r="BL249" s="115"/>
      <c r="BM249" s="115"/>
      <c r="BN249" s="115"/>
      <c r="BO249" s="115"/>
      <c r="BP249" s="115"/>
      <c r="BQ249" s="115"/>
      <c r="BR249" s="115"/>
      <c r="BS249" s="115"/>
      <c r="BT249" s="115"/>
      <c r="BU249" s="25"/>
      <c r="BV249" s="13"/>
      <c r="BY249" s="114"/>
    </row>
    <row r="250" spans="1:77" ht="20.100000000000001" customHeight="1" x14ac:dyDescent="0.4">
      <c r="A250" s="117"/>
      <c r="B250" s="123"/>
      <c r="C250" s="123"/>
      <c r="D250" s="123"/>
      <c r="O250" s="115"/>
      <c r="P250" s="115"/>
      <c r="Q250" s="115"/>
      <c r="R250" s="115"/>
      <c r="S250" s="115"/>
      <c r="T250" s="115"/>
      <c r="U250" s="115"/>
      <c r="V250" s="17"/>
      <c r="W250" s="15"/>
      <c r="AC250" s="115"/>
      <c r="AD250" s="115"/>
      <c r="AE250" s="115"/>
      <c r="AF250" s="115"/>
      <c r="AG250" s="115"/>
      <c r="AH250" s="115"/>
      <c r="AI250" s="115"/>
      <c r="AJ250" s="115"/>
      <c r="AK250" s="115"/>
      <c r="AL250" s="127"/>
      <c r="AM250" s="29"/>
      <c r="AW250" s="25"/>
      <c r="AX250" s="13"/>
      <c r="BC250" s="116"/>
      <c r="BD250" s="123"/>
      <c r="BE250" s="123"/>
      <c r="BF250" s="123"/>
      <c r="BK250" s="115"/>
      <c r="BL250" s="115"/>
      <c r="BM250" s="115"/>
      <c r="BN250" s="115"/>
      <c r="BO250" s="115"/>
      <c r="BP250" s="115"/>
      <c r="BQ250" s="115"/>
      <c r="BR250" s="115"/>
      <c r="BS250" s="115"/>
      <c r="BT250" s="115"/>
      <c r="BU250" s="25"/>
      <c r="BV250" s="13"/>
      <c r="BY250" s="114"/>
    </row>
    <row r="251" spans="1:77" ht="20.100000000000001" customHeight="1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26"/>
      <c r="W251" s="15"/>
      <c r="AC251" s="115"/>
      <c r="AD251" s="115"/>
      <c r="AE251" s="115"/>
      <c r="AF251" s="115"/>
      <c r="AG251" s="115"/>
      <c r="AH251" s="115"/>
      <c r="AI251" s="115"/>
      <c r="AJ251" s="115"/>
      <c r="AK251" s="115"/>
      <c r="AL251" s="127"/>
      <c r="AM251" s="29"/>
      <c r="AW251" s="25"/>
      <c r="AX251" s="13"/>
      <c r="BC251" s="116"/>
      <c r="BD251" s="123"/>
      <c r="BE251" s="123"/>
      <c r="BF251" s="123"/>
      <c r="BK251" s="115"/>
      <c r="BL251" s="115"/>
      <c r="BM251" s="115"/>
      <c r="BN251" s="115"/>
      <c r="BO251" s="115"/>
      <c r="BP251" s="115"/>
      <c r="BQ251" s="115"/>
      <c r="BR251" s="115"/>
      <c r="BS251" s="115"/>
      <c r="BT251" s="115"/>
      <c r="BU251" s="25"/>
      <c r="BV251" s="13"/>
      <c r="BY251" s="114"/>
    </row>
    <row r="252" spans="1:77" ht="20.100000000000001" customHeight="1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7"/>
      <c r="W252" s="15"/>
      <c r="AC252" s="115"/>
      <c r="AD252" s="115"/>
      <c r="AE252" s="115"/>
      <c r="AF252" s="115"/>
      <c r="AG252" s="115"/>
      <c r="AH252" s="115"/>
      <c r="AI252" s="115"/>
      <c r="AJ252" s="115"/>
      <c r="AK252" s="115"/>
      <c r="AL252" s="127"/>
      <c r="AM252" s="29"/>
      <c r="AW252" s="25"/>
      <c r="AX252" s="13"/>
      <c r="BC252" s="116"/>
      <c r="BD252" s="123"/>
      <c r="BE252" s="123"/>
      <c r="BF252" s="123"/>
      <c r="BK252" s="115"/>
      <c r="BL252" s="115"/>
      <c r="BM252" s="115"/>
      <c r="BN252" s="115"/>
      <c r="BO252" s="115"/>
      <c r="BP252" s="115"/>
      <c r="BQ252" s="115"/>
      <c r="BR252" s="115"/>
      <c r="BS252" s="115"/>
      <c r="BT252" s="115"/>
      <c r="BU252" s="25"/>
      <c r="BV252" s="13"/>
      <c r="BY252" s="114"/>
    </row>
    <row r="253" spans="1:77" ht="20.100000000000001" customHeight="1" x14ac:dyDescent="0.4">
      <c r="A253" s="117"/>
      <c r="B253" s="123"/>
      <c r="C253" s="123"/>
      <c r="D253" s="123"/>
      <c r="V253" s="26"/>
      <c r="W253" s="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15"/>
      <c r="AL253" s="127"/>
      <c r="AM253" s="29"/>
      <c r="AW253" s="25"/>
      <c r="AX253" s="13"/>
      <c r="BC253" s="116"/>
      <c r="BD253" s="123"/>
      <c r="BE253" s="123"/>
      <c r="BF253" s="123"/>
      <c r="BK253" s="115"/>
      <c r="BL253" s="115"/>
      <c r="BM253" s="115"/>
      <c r="BN253" s="115"/>
      <c r="BO253" s="115"/>
      <c r="BP253" s="115"/>
      <c r="BQ253" s="115"/>
      <c r="BR253" s="115"/>
      <c r="BS253" s="115"/>
      <c r="BT253" s="115"/>
      <c r="BU253" s="25"/>
      <c r="BV253" s="13"/>
      <c r="BY253" s="114"/>
    </row>
    <row r="254" spans="1:77" ht="20.100000000000001" customHeight="1" x14ac:dyDescent="0.4">
      <c r="A254" s="117"/>
      <c r="B254" s="123"/>
      <c r="C254" s="123"/>
      <c r="D254" s="123"/>
      <c r="Q254" s="115"/>
      <c r="R254" s="115"/>
      <c r="S254" s="115"/>
      <c r="T254" s="115"/>
      <c r="U254" s="115"/>
      <c r="V254" s="17"/>
      <c r="W254" s="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15"/>
      <c r="AL254" s="127"/>
      <c r="AM254" s="29"/>
      <c r="AW254" s="25"/>
      <c r="AX254" s="13"/>
      <c r="BC254" s="116"/>
      <c r="BD254" s="123"/>
      <c r="BE254" s="123"/>
      <c r="BF254" s="123"/>
      <c r="BK254" s="115"/>
      <c r="BL254" s="115"/>
      <c r="BM254" s="115"/>
      <c r="BN254" s="115"/>
      <c r="BO254" s="115"/>
      <c r="BP254" s="115"/>
      <c r="BQ254" s="115"/>
      <c r="BR254" s="115"/>
      <c r="BS254" s="115"/>
      <c r="BT254" s="115"/>
      <c r="BU254" s="25"/>
      <c r="BV254" s="13"/>
      <c r="BY254" s="114"/>
    </row>
    <row r="255" spans="1:77" ht="20.100000000000001" customHeight="1" x14ac:dyDescent="0.4">
      <c r="A255" s="117"/>
      <c r="B255" s="123"/>
      <c r="C255" s="123"/>
      <c r="D255" s="123"/>
      <c r="V255" s="26"/>
      <c r="W255" s="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127"/>
      <c r="AM255" s="29"/>
      <c r="AW255" s="25"/>
      <c r="AX255" s="13"/>
      <c r="BC255" s="116"/>
      <c r="BD255" s="123"/>
      <c r="BE255" s="123"/>
      <c r="BF255" s="123"/>
      <c r="BK255" s="115"/>
      <c r="BL255" s="115"/>
      <c r="BM255" s="115"/>
      <c r="BN255" s="115"/>
      <c r="BO255" s="115"/>
      <c r="BP255" s="115"/>
      <c r="BQ255" s="115"/>
      <c r="BR255" s="115"/>
      <c r="BS255" s="115"/>
      <c r="BT255" s="115"/>
      <c r="BU255" s="25"/>
      <c r="BV255" s="13"/>
      <c r="BY255" s="114"/>
    </row>
    <row r="256" spans="1:77" ht="20.100000000000001" customHeight="1" x14ac:dyDescent="0.4">
      <c r="A256" s="117"/>
      <c r="B256" s="123"/>
      <c r="C256" s="123"/>
      <c r="D256" s="123"/>
      <c r="O256" s="115"/>
      <c r="P256" s="115"/>
      <c r="Q256" s="115"/>
      <c r="R256" s="115"/>
      <c r="S256" s="115"/>
      <c r="T256" s="115"/>
      <c r="U256" s="115"/>
      <c r="V256" s="26"/>
      <c r="W256" s="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15"/>
      <c r="AL256" s="127"/>
      <c r="AM256" s="29"/>
      <c r="AW256" s="25"/>
      <c r="AX256" s="13"/>
      <c r="BC256" s="116"/>
      <c r="BD256" s="123"/>
      <c r="BE256" s="123"/>
      <c r="BF256" s="123"/>
      <c r="BK256" s="115"/>
      <c r="BL256" s="115"/>
      <c r="BM256" s="115"/>
      <c r="BN256" s="115"/>
      <c r="BO256" s="115"/>
      <c r="BP256" s="115"/>
      <c r="BQ256" s="115"/>
      <c r="BR256" s="115"/>
      <c r="BS256" s="115"/>
      <c r="BT256" s="115"/>
      <c r="BU256" s="25"/>
      <c r="BV256" s="13"/>
      <c r="BY256" s="114"/>
    </row>
    <row r="257" spans="1:77" ht="20.100000000000001" customHeight="1" x14ac:dyDescent="0.4">
      <c r="A257" s="117"/>
      <c r="B257" s="123"/>
      <c r="C257" s="123"/>
      <c r="D257" s="123"/>
      <c r="O257" s="115"/>
      <c r="P257" s="115"/>
      <c r="Q257" s="115"/>
      <c r="R257" s="115"/>
      <c r="S257" s="115"/>
      <c r="T257" s="115"/>
      <c r="U257" s="115"/>
      <c r="V257" s="20"/>
      <c r="W257" s="13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127"/>
      <c r="AM257" s="29"/>
      <c r="AW257" s="25"/>
      <c r="AX257" s="13"/>
      <c r="BC257" s="116"/>
      <c r="BD257" s="123"/>
      <c r="BE257" s="123"/>
      <c r="BF257" s="123"/>
      <c r="BK257" s="115"/>
      <c r="BL257" s="115"/>
      <c r="BM257" s="115"/>
      <c r="BN257" s="115"/>
      <c r="BO257" s="115"/>
      <c r="BP257" s="115"/>
      <c r="BQ257" s="115"/>
      <c r="BR257" s="115"/>
      <c r="BS257" s="115"/>
      <c r="BT257" s="115"/>
      <c r="BU257" s="25"/>
      <c r="BV257" s="13"/>
      <c r="BY257" s="114"/>
    </row>
    <row r="258" spans="1:77" ht="20.100000000000001" customHeight="1" x14ac:dyDescent="0.4">
      <c r="A258" s="117"/>
      <c r="B258" s="123"/>
      <c r="C258" s="123"/>
      <c r="D258" s="123"/>
      <c r="O258" s="115"/>
      <c r="P258" s="115"/>
      <c r="Q258" s="115"/>
      <c r="R258" s="115"/>
      <c r="S258" s="115"/>
      <c r="T258" s="115"/>
      <c r="U258" s="115"/>
      <c r="V258" s="20"/>
      <c r="W258" s="13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15"/>
      <c r="AL258" s="127"/>
      <c r="AM258" s="29"/>
      <c r="AW258" s="25"/>
      <c r="AX258" s="13"/>
      <c r="BC258" s="116"/>
      <c r="BD258" s="123"/>
      <c r="BE258" s="123"/>
      <c r="BF258" s="123"/>
      <c r="BK258" s="115"/>
      <c r="BL258" s="115"/>
      <c r="BM258" s="115"/>
      <c r="BN258" s="115"/>
      <c r="BO258" s="115"/>
      <c r="BP258" s="115"/>
      <c r="BQ258" s="115"/>
      <c r="BR258" s="115"/>
      <c r="BS258" s="115"/>
      <c r="BT258" s="115"/>
      <c r="BU258" s="25"/>
      <c r="BV258" s="13"/>
      <c r="BY258" s="114"/>
    </row>
    <row r="259" spans="1:77" ht="20.100000000000001" customHeight="1" x14ac:dyDescent="0.4">
      <c r="A259" s="117"/>
      <c r="B259" s="123"/>
      <c r="C259" s="123"/>
      <c r="D259" s="123"/>
      <c r="O259" s="115"/>
      <c r="P259" s="115"/>
      <c r="Q259" s="115"/>
      <c r="R259" s="115"/>
      <c r="S259" s="115"/>
      <c r="T259" s="115"/>
      <c r="U259" s="115"/>
      <c r="V259" s="13"/>
      <c r="W259" s="13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115"/>
      <c r="AL259" s="127"/>
      <c r="AM259" s="29"/>
      <c r="AW259" s="25"/>
      <c r="AX259" s="13"/>
      <c r="BC259" s="116"/>
      <c r="BD259" s="123"/>
      <c r="BE259" s="123"/>
      <c r="BF259" s="123"/>
      <c r="BK259" s="115"/>
      <c r="BL259" s="115"/>
      <c r="BM259" s="115"/>
      <c r="BN259" s="115"/>
      <c r="BO259" s="115"/>
      <c r="BP259" s="115"/>
      <c r="BQ259" s="115"/>
      <c r="BR259" s="115"/>
      <c r="BS259" s="115"/>
      <c r="BT259" s="115"/>
      <c r="BU259" s="25"/>
      <c r="BV259" s="13"/>
      <c r="BY259" s="114"/>
    </row>
    <row r="260" spans="1:77" ht="20.100000000000001" customHeight="1" x14ac:dyDescent="0.4">
      <c r="A260" s="117"/>
      <c r="B260" s="123"/>
      <c r="C260" s="123"/>
      <c r="D260" s="123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25"/>
      <c r="W260" s="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15"/>
      <c r="AL260" s="127"/>
      <c r="AM260" s="29"/>
      <c r="AW260" s="25"/>
      <c r="AX260" s="13"/>
      <c r="BC260" s="116"/>
      <c r="BD260" s="123"/>
      <c r="BE260" s="123"/>
      <c r="BF260" s="123"/>
      <c r="BK260" s="115"/>
      <c r="BL260" s="115"/>
      <c r="BM260" s="115"/>
      <c r="BN260" s="115"/>
      <c r="BO260" s="115"/>
      <c r="BP260" s="115"/>
      <c r="BQ260" s="115"/>
      <c r="BR260" s="115"/>
      <c r="BS260" s="115"/>
      <c r="BT260" s="115"/>
      <c r="BU260" s="25"/>
      <c r="BV260" s="13"/>
      <c r="BY260" s="114"/>
    </row>
    <row r="261" spans="1:77" ht="20.100000000000001" customHeight="1" x14ac:dyDescent="0.4">
      <c r="A261" s="117"/>
      <c r="B261" s="123"/>
      <c r="C261" s="123"/>
      <c r="D261" s="123"/>
      <c r="V261" s="25"/>
      <c r="W261" s="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115"/>
      <c r="AL261" s="29"/>
      <c r="AM261" s="29"/>
      <c r="AW261" s="25"/>
      <c r="AX261" s="13"/>
      <c r="BC261" s="116"/>
      <c r="BD261" s="123"/>
      <c r="BE261" s="123"/>
      <c r="BF261" s="123"/>
      <c r="BK261" s="115"/>
      <c r="BL261" s="115"/>
      <c r="BM261" s="115"/>
      <c r="BN261" s="115"/>
      <c r="BO261" s="115"/>
      <c r="BP261" s="115"/>
      <c r="BQ261" s="115"/>
      <c r="BR261" s="115"/>
      <c r="BS261" s="115"/>
      <c r="BT261" s="115"/>
      <c r="BU261" s="25"/>
      <c r="BV261" s="13"/>
      <c r="BY261" s="114"/>
    </row>
    <row r="262" spans="1:77" ht="20.100000000000001" customHeight="1" x14ac:dyDescent="0.4">
      <c r="A262" s="117"/>
      <c r="B262" s="123"/>
      <c r="C262" s="123"/>
      <c r="D262" s="123"/>
      <c r="V262" s="25"/>
      <c r="W262" s="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27"/>
      <c r="AM262" s="29"/>
      <c r="AW262" s="25"/>
      <c r="AX262" s="13"/>
      <c r="BC262" s="116"/>
      <c r="BD262" s="123"/>
      <c r="BE262" s="123"/>
      <c r="BF262" s="123"/>
      <c r="BK262" s="115"/>
      <c r="BL262" s="115"/>
      <c r="BM262" s="115"/>
      <c r="BN262" s="115"/>
      <c r="BO262" s="115"/>
      <c r="BP262" s="115"/>
      <c r="BQ262" s="115"/>
      <c r="BR262" s="115"/>
      <c r="BS262" s="115"/>
      <c r="BT262" s="115"/>
      <c r="BU262" s="25"/>
      <c r="BV262" s="13"/>
      <c r="BY262" s="114"/>
    </row>
    <row r="263" spans="1:77" ht="20.100000000000001" customHeight="1" x14ac:dyDescent="0.4">
      <c r="A263" s="117"/>
      <c r="B263" s="123"/>
      <c r="C263" s="123"/>
      <c r="D263" s="123"/>
      <c r="V263" s="25"/>
      <c r="W263" s="13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115"/>
      <c r="AL263" s="127"/>
      <c r="AM263" s="29"/>
      <c r="AW263" s="25"/>
      <c r="AX263" s="13"/>
      <c r="BC263" s="116"/>
      <c r="BD263" s="123"/>
      <c r="BE263" s="123"/>
      <c r="BF263" s="123"/>
      <c r="BK263" s="115"/>
      <c r="BL263" s="115"/>
      <c r="BM263" s="115"/>
      <c r="BN263" s="115"/>
      <c r="BO263" s="115"/>
      <c r="BP263" s="115"/>
      <c r="BQ263" s="115"/>
      <c r="BR263" s="115"/>
      <c r="BS263" s="115"/>
      <c r="BT263" s="115"/>
      <c r="BU263" s="25"/>
      <c r="BV263" s="13"/>
      <c r="BY263" s="114"/>
    </row>
    <row r="264" spans="1:77" ht="20.100000000000001" customHeight="1" x14ac:dyDescent="0.4">
      <c r="A264" s="117"/>
      <c r="B264" s="123"/>
      <c r="C264" s="123"/>
      <c r="D264" s="123"/>
      <c r="N264" s="115"/>
      <c r="O264" s="115"/>
      <c r="P264" s="115"/>
      <c r="Q264" s="115"/>
      <c r="R264" s="115"/>
      <c r="S264" s="115"/>
      <c r="T264" s="115"/>
      <c r="U264" s="115"/>
      <c r="V264" s="13"/>
      <c r="W264" s="13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15"/>
      <c r="AL264" s="127"/>
      <c r="AM264" s="29"/>
      <c r="AW264" s="25"/>
      <c r="AX264" s="13"/>
      <c r="BC264" s="116"/>
      <c r="BD264" s="123"/>
      <c r="BE264" s="123"/>
      <c r="BF264" s="123"/>
      <c r="BK264" s="115"/>
      <c r="BL264" s="115"/>
      <c r="BM264" s="115"/>
      <c r="BN264" s="115"/>
      <c r="BO264" s="115"/>
      <c r="BP264" s="115"/>
      <c r="BQ264" s="115"/>
      <c r="BR264" s="115"/>
      <c r="BS264" s="115"/>
      <c r="BT264" s="115"/>
      <c r="BU264" s="25"/>
      <c r="BV264" s="13"/>
      <c r="BY264" s="114"/>
    </row>
    <row r="265" spans="1:77" ht="20.100000000000001" customHeight="1" x14ac:dyDescent="0.4">
      <c r="A265" s="117"/>
      <c r="B265" s="123"/>
      <c r="C265" s="123"/>
      <c r="D265" s="123"/>
      <c r="V265" s="25"/>
      <c r="W265" s="13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15"/>
      <c r="AL265" s="29"/>
      <c r="AM265" s="29"/>
      <c r="AW265" s="25"/>
      <c r="AX265" s="13"/>
      <c r="BC265" s="116"/>
      <c r="BD265" s="123"/>
      <c r="BE265" s="123"/>
      <c r="BF265" s="123"/>
      <c r="BK265" s="115"/>
      <c r="BL265" s="115"/>
      <c r="BM265" s="115"/>
      <c r="BN265" s="115"/>
      <c r="BO265" s="115"/>
      <c r="BP265" s="115"/>
      <c r="BQ265" s="115"/>
      <c r="BR265" s="115"/>
      <c r="BS265" s="115"/>
      <c r="BT265" s="115"/>
      <c r="BU265" s="25"/>
      <c r="BV265" s="13"/>
      <c r="BY265" s="114"/>
    </row>
    <row r="266" spans="1:77" ht="20.100000000000001" customHeight="1" x14ac:dyDescent="0.4">
      <c r="A266" s="117"/>
      <c r="B266" s="123"/>
      <c r="C266" s="123"/>
      <c r="D266" s="123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25"/>
      <c r="W266" s="13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29"/>
      <c r="AM266" s="29"/>
      <c r="AW266" s="25"/>
      <c r="AX266" s="13"/>
      <c r="BC266" s="116"/>
      <c r="BD266" s="123"/>
      <c r="BE266" s="123"/>
      <c r="BF266" s="123"/>
      <c r="BK266" s="115"/>
      <c r="BL266" s="115"/>
      <c r="BM266" s="115"/>
      <c r="BN266" s="115"/>
      <c r="BO266" s="115"/>
      <c r="BP266" s="115"/>
      <c r="BQ266" s="115"/>
      <c r="BR266" s="115"/>
      <c r="BS266" s="115"/>
      <c r="BT266" s="115"/>
      <c r="BU266" s="25"/>
      <c r="BV266" s="13"/>
      <c r="BY266" s="114"/>
    </row>
    <row r="267" spans="1:77" ht="20.100000000000001" customHeight="1" x14ac:dyDescent="0.4">
      <c r="A267" s="117"/>
      <c r="B267" s="123"/>
      <c r="C267" s="123"/>
      <c r="D267" s="123"/>
      <c r="V267" s="25"/>
      <c r="W267" s="13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15"/>
      <c r="AL267" s="127"/>
      <c r="AM267" s="29"/>
      <c r="AW267" s="25"/>
      <c r="AX267" s="13"/>
      <c r="BC267" s="116"/>
      <c r="BD267" s="123"/>
      <c r="BE267" s="123"/>
      <c r="BF267" s="123"/>
      <c r="BK267" s="115"/>
      <c r="BL267" s="115"/>
      <c r="BM267" s="115"/>
      <c r="BN267" s="115"/>
      <c r="BO267" s="115"/>
      <c r="BP267" s="115"/>
      <c r="BQ267" s="115"/>
      <c r="BR267" s="115"/>
      <c r="BS267" s="115"/>
      <c r="BT267" s="115"/>
      <c r="BU267" s="25"/>
      <c r="BV267" s="13"/>
      <c r="BY267" s="114"/>
    </row>
    <row r="268" spans="1:77" ht="20.100000000000001" customHeight="1" x14ac:dyDescent="0.4">
      <c r="A268" s="117"/>
      <c r="B268" s="123"/>
      <c r="C268" s="123"/>
      <c r="D268" s="123"/>
      <c r="V268" s="25"/>
      <c r="W268" s="13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15"/>
      <c r="AL268" s="127"/>
      <c r="AM268" s="29"/>
      <c r="AW268" s="25"/>
      <c r="AX268" s="13"/>
      <c r="BC268" s="116"/>
      <c r="BD268" s="123"/>
      <c r="BE268" s="123"/>
      <c r="BF268" s="123"/>
      <c r="BK268" s="115"/>
      <c r="BL268" s="115"/>
      <c r="BM268" s="115"/>
      <c r="BN268" s="115"/>
      <c r="BO268" s="115"/>
      <c r="BP268" s="115"/>
      <c r="BQ268" s="115"/>
      <c r="BR268" s="115"/>
      <c r="BS268" s="115"/>
      <c r="BT268" s="115"/>
      <c r="BU268" s="25"/>
      <c r="BV268" s="13"/>
      <c r="BY268" s="114"/>
    </row>
    <row r="269" spans="1:77" ht="20.100000000000001" customHeight="1" x14ac:dyDescent="0.4">
      <c r="A269" s="117"/>
      <c r="B269" s="123"/>
      <c r="C269" s="123"/>
      <c r="D269" s="123"/>
      <c r="N269" s="115"/>
      <c r="O269" s="115"/>
      <c r="P269" s="115"/>
      <c r="Q269" s="115"/>
      <c r="R269" s="115"/>
      <c r="S269" s="115"/>
      <c r="T269" s="115"/>
      <c r="U269" s="115"/>
      <c r="V269" s="13"/>
      <c r="W269" s="13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127"/>
      <c r="AM269" s="29"/>
      <c r="AW269" s="25"/>
      <c r="AX269" s="13"/>
      <c r="BC269" s="116"/>
      <c r="BD269" s="123"/>
      <c r="BE269" s="123"/>
      <c r="BF269" s="123"/>
      <c r="BK269" s="115"/>
      <c r="BL269" s="115"/>
      <c r="BM269" s="115"/>
      <c r="BN269" s="115"/>
      <c r="BO269" s="115"/>
      <c r="BP269" s="115"/>
      <c r="BQ269" s="115"/>
      <c r="BR269" s="115"/>
      <c r="BS269" s="115"/>
      <c r="BT269" s="115"/>
      <c r="BU269" s="25"/>
      <c r="BV269" s="13"/>
      <c r="BY269" s="114"/>
    </row>
    <row r="270" spans="1:77" ht="20.100000000000001" customHeight="1" x14ac:dyDescent="0.4">
      <c r="A270" s="117"/>
      <c r="B270" s="123"/>
      <c r="C270" s="123"/>
      <c r="D270" s="123"/>
      <c r="F270" s="117"/>
      <c r="G270" s="135"/>
      <c r="H270" s="135"/>
      <c r="I270" s="135"/>
      <c r="J270" s="135"/>
      <c r="K270" s="135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25"/>
      <c r="W270" s="13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127"/>
      <c r="AM270" s="29"/>
      <c r="AW270" s="25"/>
      <c r="AX270" s="13"/>
      <c r="BC270" s="116"/>
      <c r="BD270" s="123"/>
      <c r="BE270" s="123"/>
      <c r="BF270" s="123"/>
      <c r="BK270" s="115"/>
      <c r="BL270" s="115"/>
      <c r="BM270" s="115"/>
      <c r="BN270" s="115"/>
      <c r="BO270" s="115"/>
      <c r="BP270" s="115"/>
      <c r="BQ270" s="115"/>
      <c r="BR270" s="115"/>
      <c r="BS270" s="115"/>
      <c r="BT270" s="115"/>
      <c r="BU270" s="25"/>
      <c r="BV270" s="13"/>
      <c r="BY270" s="114"/>
    </row>
    <row r="271" spans="1:77" ht="20.100000000000001" customHeight="1" x14ac:dyDescent="0.4">
      <c r="A271" s="117"/>
      <c r="B271" s="123"/>
      <c r="C271" s="123"/>
      <c r="D271" s="123"/>
      <c r="F271" s="117"/>
      <c r="G271" s="135"/>
      <c r="H271" s="135"/>
      <c r="I271" s="135"/>
      <c r="J271" s="135"/>
      <c r="K271" s="135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25"/>
      <c r="W271" s="13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115"/>
      <c r="AL271" s="127"/>
      <c r="AM271" s="29"/>
      <c r="AW271" s="25"/>
      <c r="AX271" s="13"/>
      <c r="BC271" s="116"/>
      <c r="BD271" s="123"/>
      <c r="BE271" s="123"/>
      <c r="BF271" s="123"/>
      <c r="BK271" s="115"/>
      <c r="BL271" s="115"/>
      <c r="BM271" s="115"/>
      <c r="BN271" s="115"/>
      <c r="BO271" s="115"/>
      <c r="BP271" s="115"/>
      <c r="BQ271" s="115"/>
      <c r="BR271" s="115"/>
      <c r="BS271" s="115"/>
      <c r="BT271" s="115"/>
      <c r="BU271" s="25"/>
      <c r="BV271" s="13"/>
      <c r="BY271" s="114"/>
    </row>
    <row r="272" spans="1:77" ht="20.100000000000001" customHeight="1" x14ac:dyDescent="0.4">
      <c r="A272" s="117"/>
      <c r="B272" s="123"/>
      <c r="C272" s="123"/>
      <c r="D272" s="123"/>
      <c r="F272" s="117"/>
      <c r="G272" s="135"/>
      <c r="H272" s="135"/>
      <c r="I272" s="135"/>
      <c r="J272" s="135"/>
      <c r="K272" s="135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20"/>
      <c r="W272" s="13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15"/>
      <c r="AL272" s="127"/>
      <c r="AM272" s="29"/>
      <c r="AW272" s="25"/>
      <c r="AX272" s="13"/>
      <c r="BC272" s="116"/>
      <c r="BD272" s="123"/>
      <c r="BE272" s="123"/>
      <c r="BF272" s="123"/>
      <c r="BK272" s="115"/>
      <c r="BL272" s="115"/>
      <c r="BM272" s="115"/>
      <c r="BN272" s="115"/>
      <c r="BO272" s="115"/>
      <c r="BP272" s="115"/>
      <c r="BQ272" s="115"/>
      <c r="BR272" s="115"/>
      <c r="BS272" s="115"/>
      <c r="BT272" s="115"/>
      <c r="BU272" s="25"/>
      <c r="BV272" s="13"/>
      <c r="BY272" s="114"/>
    </row>
    <row r="273" spans="1:77" ht="20.100000000000001" customHeight="1" x14ac:dyDescent="0.4">
      <c r="A273" s="117"/>
      <c r="B273" s="123"/>
      <c r="C273" s="123"/>
      <c r="D273" s="123"/>
      <c r="F273" s="117"/>
      <c r="G273" s="135"/>
      <c r="H273" s="135"/>
      <c r="I273" s="135"/>
      <c r="J273" s="135"/>
      <c r="K273" s="135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26"/>
      <c r="W273" s="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15"/>
      <c r="AL273" s="29"/>
      <c r="AM273" s="29"/>
      <c r="AW273" s="25"/>
      <c r="AX273" s="13"/>
      <c r="BC273" s="116"/>
      <c r="BD273" s="123"/>
      <c r="BE273" s="123"/>
      <c r="BF273" s="123"/>
      <c r="BK273" s="115"/>
      <c r="BL273" s="115"/>
      <c r="BM273" s="115"/>
      <c r="BN273" s="115"/>
      <c r="BO273" s="115"/>
      <c r="BP273" s="115"/>
      <c r="BQ273" s="115"/>
      <c r="BR273" s="115"/>
      <c r="BS273" s="115"/>
      <c r="BT273" s="115"/>
      <c r="BU273" s="25"/>
      <c r="BV273" s="13"/>
      <c r="BY273" s="114"/>
    </row>
    <row r="274" spans="1:77" ht="20.100000000000001" customHeight="1" x14ac:dyDescent="0.4">
      <c r="A274" s="117"/>
      <c r="B274" s="123"/>
      <c r="C274" s="123"/>
      <c r="D274" s="123"/>
      <c r="F274" s="117"/>
      <c r="G274" s="135"/>
      <c r="H274" s="135"/>
      <c r="I274" s="135"/>
      <c r="J274" s="135"/>
      <c r="K274" s="135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26"/>
      <c r="W274" s="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15"/>
      <c r="AL274" s="127"/>
      <c r="AM274" s="29"/>
      <c r="AW274" s="25"/>
      <c r="AX274" s="13"/>
      <c r="BC274" s="116"/>
      <c r="BD274" s="123"/>
      <c r="BE274" s="123"/>
      <c r="BF274" s="123"/>
      <c r="BK274" s="115"/>
      <c r="BL274" s="115"/>
      <c r="BM274" s="115"/>
      <c r="BN274" s="115"/>
      <c r="BO274" s="115"/>
      <c r="BP274" s="115"/>
      <c r="BQ274" s="115"/>
      <c r="BR274" s="115"/>
      <c r="BS274" s="115"/>
      <c r="BT274" s="115"/>
      <c r="BU274" s="25"/>
      <c r="BV274" s="13"/>
      <c r="BY274" s="114"/>
    </row>
    <row r="275" spans="1:77" ht="20.100000000000001" customHeight="1" x14ac:dyDescent="0.4">
      <c r="A275" s="117"/>
      <c r="B275" s="123"/>
      <c r="C275" s="123"/>
      <c r="D275" s="123"/>
      <c r="F275" s="117"/>
      <c r="G275" s="135"/>
      <c r="H275" s="135"/>
      <c r="I275" s="135"/>
      <c r="J275" s="135"/>
      <c r="K275" s="135"/>
      <c r="L275" s="136"/>
      <c r="M275" s="136"/>
      <c r="N275" s="140"/>
      <c r="O275" s="140"/>
      <c r="P275" s="140"/>
      <c r="Q275" s="140"/>
      <c r="R275" s="140"/>
      <c r="S275" s="140"/>
      <c r="T275" s="140"/>
      <c r="U275" s="140"/>
      <c r="V275" s="30"/>
      <c r="W275" s="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15"/>
      <c r="AL275" s="127"/>
      <c r="AM275" s="29"/>
      <c r="AW275" s="25"/>
      <c r="AX275" s="13"/>
      <c r="BC275" s="116"/>
      <c r="BD275" s="123"/>
      <c r="BE275" s="123"/>
      <c r="BF275" s="123"/>
      <c r="BK275" s="115"/>
      <c r="BL275" s="115"/>
      <c r="BM275" s="115"/>
      <c r="BN275" s="115"/>
      <c r="BO275" s="115"/>
      <c r="BP275" s="115"/>
      <c r="BQ275" s="115"/>
      <c r="BR275" s="115"/>
      <c r="BS275" s="115"/>
      <c r="BT275" s="115"/>
      <c r="BU275" s="25"/>
      <c r="BV275" s="13"/>
      <c r="BY275" s="114"/>
    </row>
    <row r="276" spans="1:77" ht="20.100000000000001" customHeight="1" x14ac:dyDescent="0.4">
      <c r="A276" s="117"/>
      <c r="B276" s="123"/>
      <c r="C276" s="123"/>
      <c r="D276" s="123"/>
      <c r="F276" s="117"/>
      <c r="G276" s="135"/>
      <c r="H276" s="135"/>
      <c r="I276" s="135"/>
      <c r="J276" s="135"/>
      <c r="K276" s="135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25"/>
      <c r="W276" s="13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15"/>
      <c r="AL276" s="127"/>
      <c r="AM276" s="29"/>
      <c r="AW276" s="25"/>
      <c r="AX276" s="13"/>
      <c r="BC276" s="116"/>
      <c r="BD276" s="123"/>
      <c r="BE276" s="123"/>
      <c r="BF276" s="123"/>
      <c r="BK276" s="115"/>
      <c r="BL276" s="115"/>
      <c r="BM276" s="115"/>
      <c r="BN276" s="115"/>
      <c r="BO276" s="115"/>
      <c r="BP276" s="115"/>
      <c r="BQ276" s="115"/>
      <c r="BR276" s="115"/>
      <c r="BS276" s="115"/>
      <c r="BT276" s="115"/>
      <c r="BU276" s="25"/>
      <c r="BV276" s="13"/>
      <c r="BY276" s="114"/>
    </row>
    <row r="277" spans="1:77" ht="20.100000000000001" customHeight="1" x14ac:dyDescent="0.4">
      <c r="A277" s="117"/>
      <c r="B277" s="123"/>
      <c r="C277" s="123"/>
      <c r="D277" s="123"/>
      <c r="F277" s="117"/>
      <c r="G277" s="135"/>
      <c r="H277" s="135"/>
      <c r="I277" s="135"/>
      <c r="J277" s="135"/>
      <c r="K277" s="135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25"/>
      <c r="W277" s="13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115"/>
      <c r="AL277" s="29"/>
      <c r="AM277" s="29"/>
      <c r="AW277" s="25"/>
      <c r="AX277" s="13"/>
      <c r="BC277" s="116"/>
      <c r="BD277" s="123"/>
      <c r="BE277" s="123"/>
      <c r="BF277" s="123"/>
      <c r="BK277" s="115"/>
      <c r="BL277" s="115"/>
      <c r="BM277" s="115"/>
      <c r="BN277" s="115"/>
      <c r="BO277" s="115"/>
      <c r="BP277" s="115"/>
      <c r="BQ277" s="115"/>
      <c r="BR277" s="115"/>
      <c r="BS277" s="115"/>
      <c r="BT277" s="115"/>
      <c r="BU277" s="25"/>
      <c r="BV277" s="13"/>
      <c r="BY277" s="114"/>
    </row>
    <row r="278" spans="1:77" ht="20.100000000000001" customHeight="1" x14ac:dyDescent="0.4">
      <c r="A278" s="117"/>
      <c r="B278" s="123"/>
      <c r="C278" s="123"/>
      <c r="D278" s="123"/>
      <c r="F278" s="117"/>
      <c r="G278" s="135"/>
      <c r="H278" s="135"/>
      <c r="I278" s="135"/>
      <c r="J278" s="135"/>
      <c r="K278" s="135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25"/>
      <c r="W278" s="13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15"/>
      <c r="AL278" s="29"/>
      <c r="AM278" s="29"/>
      <c r="AW278" s="25"/>
      <c r="AX278" s="13"/>
      <c r="BC278" s="116"/>
      <c r="BD278" s="123"/>
      <c r="BE278" s="123"/>
      <c r="BF278" s="123"/>
      <c r="BK278" s="115"/>
      <c r="BL278" s="115"/>
      <c r="BM278" s="115"/>
      <c r="BN278" s="115"/>
      <c r="BO278" s="115"/>
      <c r="BP278" s="115"/>
      <c r="BQ278" s="115"/>
      <c r="BR278" s="115"/>
      <c r="BS278" s="115"/>
      <c r="BT278" s="115"/>
      <c r="BU278" s="25"/>
      <c r="BV278" s="13"/>
      <c r="BY278" s="114"/>
    </row>
    <row r="279" spans="1:77" ht="20.100000000000001" customHeight="1" x14ac:dyDescent="0.4">
      <c r="A279" s="117"/>
      <c r="B279" s="123"/>
      <c r="C279" s="123"/>
      <c r="D279" s="123"/>
      <c r="F279" s="117"/>
      <c r="G279" s="135"/>
      <c r="H279" s="135"/>
      <c r="I279" s="135"/>
      <c r="J279" s="135"/>
      <c r="K279" s="135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25"/>
      <c r="W279" s="13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29"/>
      <c r="AM279" s="29"/>
      <c r="AW279" s="25"/>
      <c r="AX279" s="13"/>
      <c r="BC279" s="116"/>
      <c r="BD279" s="123"/>
      <c r="BE279" s="123"/>
      <c r="BF279" s="123"/>
      <c r="BK279" s="115"/>
      <c r="BL279" s="115"/>
      <c r="BM279" s="115"/>
      <c r="BN279" s="115"/>
      <c r="BO279" s="115"/>
      <c r="BP279" s="115"/>
      <c r="BQ279" s="115"/>
      <c r="BR279" s="115"/>
      <c r="BS279" s="115"/>
      <c r="BT279" s="115"/>
      <c r="BU279" s="25"/>
      <c r="BV279" s="13"/>
      <c r="BY279" s="114"/>
    </row>
    <row r="280" spans="1:77" ht="20.100000000000001" customHeight="1" x14ac:dyDescent="0.4">
      <c r="A280" s="117"/>
      <c r="B280" s="123"/>
      <c r="C280" s="123"/>
      <c r="D280" s="123"/>
      <c r="F280" s="117"/>
      <c r="G280" s="135"/>
      <c r="H280" s="135"/>
      <c r="I280" s="135"/>
      <c r="J280" s="135"/>
      <c r="K280" s="135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25"/>
      <c r="W280" s="13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15"/>
      <c r="AL280" s="127"/>
      <c r="AM280" s="29"/>
      <c r="AW280" s="25"/>
      <c r="AX280" s="13"/>
      <c r="BC280" s="116"/>
      <c r="BD280" s="123"/>
      <c r="BE280" s="123"/>
      <c r="BF280" s="123"/>
      <c r="BK280" s="115"/>
      <c r="BL280" s="115"/>
      <c r="BM280" s="115"/>
      <c r="BN280" s="115"/>
      <c r="BO280" s="115"/>
      <c r="BP280" s="115"/>
      <c r="BQ280" s="115"/>
      <c r="BR280" s="115"/>
      <c r="BS280" s="115"/>
      <c r="BT280" s="115"/>
      <c r="BU280" s="25"/>
      <c r="BV280" s="13"/>
      <c r="BY280" s="114"/>
    </row>
    <row r="281" spans="1:77" ht="20.100000000000001" customHeight="1" x14ac:dyDescent="0.4">
      <c r="A281" s="117"/>
      <c r="B281" s="123"/>
      <c r="C281" s="123"/>
      <c r="D281" s="123"/>
      <c r="F281" s="117"/>
      <c r="G281" s="135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25"/>
      <c r="W281" s="13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/>
      <c r="AL281" s="127"/>
      <c r="AM281" s="29"/>
      <c r="AW281" s="25"/>
      <c r="AX281" s="13"/>
      <c r="BC281" s="116"/>
      <c r="BD281" s="123"/>
      <c r="BE281" s="123"/>
      <c r="BF281" s="123"/>
      <c r="BK281" s="115"/>
      <c r="BL281" s="115"/>
      <c r="BM281" s="115"/>
      <c r="BN281" s="115"/>
      <c r="BO281" s="115"/>
      <c r="BP281" s="115"/>
      <c r="BQ281" s="115"/>
      <c r="BR281" s="115"/>
      <c r="BS281" s="115"/>
      <c r="BT281" s="115"/>
      <c r="BU281" s="25"/>
      <c r="BV281" s="13"/>
      <c r="BY281" s="114"/>
    </row>
    <row r="282" spans="1:77" ht="20.100000000000001" customHeight="1" x14ac:dyDescent="0.4">
      <c r="A282" s="117"/>
      <c r="B282" s="123"/>
      <c r="C282" s="123"/>
      <c r="D282" s="123"/>
      <c r="F282" s="117"/>
      <c r="G282" s="135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25"/>
      <c r="W282" s="13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  <c r="AL282" s="127"/>
      <c r="AM282" s="29"/>
      <c r="AW282" s="25"/>
      <c r="AX282" s="13"/>
      <c r="BC282" s="116"/>
      <c r="BD282" s="123"/>
      <c r="BE282" s="123"/>
      <c r="BF282" s="123"/>
      <c r="BK282" s="115"/>
      <c r="BL282" s="115"/>
      <c r="BM282" s="115"/>
      <c r="BN282" s="115"/>
      <c r="BO282" s="115"/>
      <c r="BP282" s="115"/>
      <c r="BQ282" s="115"/>
      <c r="BR282" s="115"/>
      <c r="BS282" s="115"/>
      <c r="BT282" s="115"/>
      <c r="BU282" s="25"/>
      <c r="BV282" s="13"/>
      <c r="BY282" s="114"/>
    </row>
    <row r="283" spans="1:77" ht="20.100000000000001" customHeight="1" x14ac:dyDescent="0.4">
      <c r="A283" s="117"/>
      <c r="B283" s="123"/>
      <c r="C283" s="123"/>
      <c r="D283" s="123"/>
      <c r="F283" s="117"/>
      <c r="G283" s="135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"/>
      <c r="W283" s="13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5"/>
      <c r="AL283" s="127"/>
      <c r="AM283" s="29"/>
      <c r="AW283" s="25"/>
      <c r="AX283" s="13"/>
      <c r="BC283" s="116"/>
      <c r="BD283" s="123"/>
      <c r="BE283" s="123"/>
      <c r="BF283" s="123"/>
      <c r="BK283" s="115"/>
      <c r="BL283" s="115"/>
      <c r="BM283" s="115"/>
      <c r="BN283" s="115"/>
      <c r="BO283" s="115"/>
      <c r="BP283" s="115"/>
      <c r="BQ283" s="115"/>
      <c r="BR283" s="115"/>
      <c r="BS283" s="115"/>
      <c r="BT283" s="115"/>
      <c r="BU283" s="25"/>
      <c r="BV283" s="13"/>
      <c r="BY283" s="114"/>
    </row>
    <row r="284" spans="1:77" ht="20.100000000000001" customHeight="1" x14ac:dyDescent="0.4">
      <c r="A284" s="117"/>
      <c r="B284" s="123"/>
      <c r="C284" s="123"/>
      <c r="D284" s="123"/>
      <c r="F284" s="117"/>
      <c r="G284" s="135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25"/>
      <c r="W284" s="13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5"/>
      <c r="AL284" s="127"/>
      <c r="AM284" s="29"/>
      <c r="AW284" s="25"/>
      <c r="AX284" s="13"/>
      <c r="BC284" s="116"/>
      <c r="BD284" s="123"/>
      <c r="BE284" s="123"/>
      <c r="BF284" s="123"/>
      <c r="BK284" s="115"/>
      <c r="BL284" s="115"/>
      <c r="BM284" s="115"/>
      <c r="BN284" s="115"/>
      <c r="BO284" s="115"/>
      <c r="BP284" s="115"/>
      <c r="BQ284" s="115"/>
      <c r="BR284" s="115"/>
      <c r="BS284" s="115"/>
      <c r="BT284" s="115"/>
      <c r="BU284" s="25"/>
      <c r="BV284" s="13"/>
      <c r="BY284" s="114"/>
    </row>
    <row r="285" spans="1:77" ht="20.100000000000001" customHeight="1" x14ac:dyDescent="0.4">
      <c r="A285" s="117"/>
      <c r="B285" s="123"/>
      <c r="C285" s="123"/>
      <c r="D285" s="123"/>
      <c r="F285" s="117"/>
      <c r="G285" s="135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25"/>
      <c r="W285" s="13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127"/>
      <c r="AM285" s="29"/>
      <c r="AW285" s="25"/>
      <c r="AX285" s="13"/>
      <c r="BC285" s="116"/>
      <c r="BD285" s="123"/>
      <c r="BE285" s="123"/>
      <c r="BF285" s="123"/>
      <c r="BK285" s="115"/>
      <c r="BL285" s="115"/>
      <c r="BM285" s="115"/>
      <c r="BN285" s="115"/>
      <c r="BO285" s="115"/>
      <c r="BP285" s="115"/>
      <c r="BQ285" s="115"/>
      <c r="BR285" s="115"/>
      <c r="BS285" s="115"/>
      <c r="BT285" s="115"/>
      <c r="BU285" s="25"/>
      <c r="BV285" s="13"/>
      <c r="BY285" s="114"/>
    </row>
    <row r="286" spans="1:77" ht="20.100000000000001" customHeight="1" x14ac:dyDescent="0.4">
      <c r="A286" s="117"/>
      <c r="B286" s="123"/>
      <c r="C286" s="123"/>
      <c r="D286" s="123"/>
      <c r="F286" s="117"/>
      <c r="G286" s="135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25"/>
      <c r="W286" s="13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127"/>
      <c r="AM286" s="29"/>
      <c r="AW286" s="25"/>
      <c r="AX286" s="13"/>
      <c r="BC286" s="116"/>
      <c r="BD286" s="123"/>
      <c r="BE286" s="123"/>
      <c r="BF286" s="123"/>
      <c r="BK286" s="115"/>
      <c r="BL286" s="115"/>
      <c r="BM286" s="115"/>
      <c r="BN286" s="115"/>
      <c r="BO286" s="115"/>
      <c r="BP286" s="115"/>
      <c r="BQ286" s="115"/>
      <c r="BR286" s="115"/>
      <c r="BS286" s="115"/>
      <c r="BT286" s="115"/>
      <c r="BU286" s="25"/>
      <c r="BV286" s="13"/>
      <c r="BY286" s="114"/>
    </row>
    <row r="287" spans="1:77" ht="20.100000000000001" customHeight="1" x14ac:dyDescent="0.4">
      <c r="A287" s="117"/>
      <c r="B287" s="123"/>
      <c r="C287" s="123"/>
      <c r="D287" s="123"/>
      <c r="F287" s="117"/>
      <c r="G287" s="135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25"/>
      <c r="W287" s="13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127"/>
      <c r="AM287" s="29"/>
      <c r="AW287" s="25"/>
      <c r="AX287" s="13"/>
      <c r="BC287" s="116"/>
      <c r="BD287" s="123"/>
      <c r="BE287" s="123"/>
      <c r="BF287" s="123"/>
      <c r="BK287" s="115"/>
      <c r="BL287" s="115"/>
      <c r="BM287" s="115"/>
      <c r="BN287" s="115"/>
      <c r="BO287" s="115"/>
      <c r="BP287" s="115"/>
      <c r="BQ287" s="115"/>
      <c r="BR287" s="115"/>
      <c r="BS287" s="115"/>
      <c r="BT287" s="115"/>
      <c r="BU287" s="25"/>
      <c r="BV287" s="13"/>
      <c r="BY287" s="114"/>
    </row>
    <row r="288" spans="1:77" ht="20.100000000000001" customHeight="1" x14ac:dyDescent="0.4">
      <c r="A288" s="117"/>
      <c r="B288" s="123"/>
      <c r="C288" s="123"/>
      <c r="D288" s="123"/>
      <c r="F288" s="117"/>
      <c r="G288" s="135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"/>
      <c r="W288" s="13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127"/>
      <c r="AM288" s="29"/>
      <c r="AW288" s="25"/>
      <c r="AX288" s="13"/>
      <c r="BC288" s="116"/>
      <c r="BD288" s="123"/>
      <c r="BE288" s="123"/>
      <c r="BF288" s="123"/>
      <c r="BK288" s="115"/>
      <c r="BL288" s="115"/>
      <c r="BM288" s="115"/>
      <c r="BN288" s="115"/>
      <c r="BO288" s="115"/>
      <c r="BP288" s="115"/>
      <c r="BQ288" s="115"/>
      <c r="BR288" s="115"/>
      <c r="BS288" s="115"/>
      <c r="BT288" s="115"/>
      <c r="BU288" s="25"/>
      <c r="BV288" s="13"/>
      <c r="BY288" s="114"/>
    </row>
    <row r="289" spans="1:77" ht="20.100000000000001" customHeight="1" x14ac:dyDescent="0.4">
      <c r="A289" s="117"/>
      <c r="B289" s="123"/>
      <c r="C289" s="123"/>
      <c r="D289" s="123"/>
      <c r="F289" s="117"/>
      <c r="G289" s="135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25"/>
      <c r="W289" s="13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127"/>
      <c r="AM289" s="29"/>
      <c r="AW289" s="25"/>
      <c r="AX289" s="13"/>
      <c r="BC289" s="116"/>
      <c r="BD289" s="123"/>
      <c r="BE289" s="123"/>
      <c r="BF289" s="123"/>
      <c r="BK289" s="115"/>
      <c r="BL289" s="115"/>
      <c r="BM289" s="115"/>
      <c r="BN289" s="115"/>
      <c r="BO289" s="115"/>
      <c r="BP289" s="115"/>
      <c r="BQ289" s="115"/>
      <c r="BR289" s="115"/>
      <c r="BS289" s="115"/>
      <c r="BT289" s="115"/>
      <c r="BU289" s="25"/>
      <c r="BV289" s="13"/>
      <c r="BY289" s="114"/>
    </row>
    <row r="290" spans="1:77" ht="20.100000000000001" customHeight="1" x14ac:dyDescent="0.4">
      <c r="A290" s="117"/>
      <c r="B290" s="123"/>
      <c r="C290" s="123"/>
      <c r="D290" s="123"/>
      <c r="F290" s="117"/>
      <c r="G290" s="135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25"/>
      <c r="W290" s="13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27"/>
      <c r="AM290" s="29"/>
      <c r="AW290" s="25"/>
      <c r="AX290" s="13"/>
      <c r="BC290" s="116"/>
      <c r="BD290" s="123"/>
      <c r="BE290" s="123"/>
      <c r="BF290" s="123"/>
      <c r="BK290" s="115"/>
      <c r="BL290" s="115"/>
      <c r="BM290" s="115"/>
      <c r="BN290" s="115"/>
      <c r="BO290" s="115"/>
      <c r="BP290" s="115"/>
      <c r="BQ290" s="115"/>
      <c r="BR290" s="115"/>
      <c r="BS290" s="115"/>
      <c r="BT290" s="115"/>
      <c r="BU290" s="25"/>
      <c r="BV290" s="13"/>
      <c r="BY290" s="114"/>
    </row>
    <row r="291" spans="1:77" ht="20.100000000000001" customHeight="1" x14ac:dyDescent="0.4">
      <c r="A291" s="117"/>
      <c r="B291" s="123"/>
      <c r="C291" s="123"/>
      <c r="D291" s="123"/>
      <c r="F291" s="117"/>
      <c r="G291" s="135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"/>
      <c r="W291" s="13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27"/>
      <c r="AM291" s="29"/>
      <c r="AW291" s="25"/>
      <c r="AX291" s="13"/>
      <c r="BC291" s="116"/>
      <c r="BD291" s="123"/>
      <c r="BE291" s="123"/>
      <c r="BF291" s="123"/>
      <c r="BK291" s="115"/>
      <c r="BL291" s="115"/>
      <c r="BM291" s="115"/>
      <c r="BN291" s="115"/>
      <c r="BO291" s="115"/>
      <c r="BP291" s="115"/>
      <c r="BQ291" s="115"/>
      <c r="BR291" s="115"/>
      <c r="BS291" s="115"/>
      <c r="BT291" s="115"/>
      <c r="BU291" s="25"/>
      <c r="BV291" s="13"/>
      <c r="BY291" s="114"/>
    </row>
    <row r="292" spans="1:77" ht="20.100000000000001" customHeight="1" x14ac:dyDescent="0.4">
      <c r="A292" s="117"/>
      <c r="B292" s="123"/>
      <c r="C292" s="123"/>
      <c r="D292" s="123"/>
      <c r="F292" s="117"/>
      <c r="G292" s="135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25"/>
      <c r="W292" s="13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27"/>
      <c r="AM292" s="29"/>
      <c r="AW292" s="25"/>
      <c r="AX292" s="13"/>
      <c r="BC292" s="116"/>
      <c r="BD292" s="123"/>
      <c r="BE292" s="123"/>
      <c r="BF292" s="123"/>
      <c r="BK292" s="115"/>
      <c r="BL292" s="115"/>
      <c r="BM292" s="115"/>
      <c r="BN292" s="115"/>
      <c r="BO292" s="115"/>
      <c r="BP292" s="115"/>
      <c r="BQ292" s="115"/>
      <c r="BR292" s="115"/>
      <c r="BS292" s="115"/>
      <c r="BT292" s="115"/>
      <c r="BU292" s="25"/>
      <c r="BV292" s="13"/>
      <c r="BY292" s="114"/>
    </row>
    <row r="293" spans="1:77" ht="20.100000000000001" customHeight="1" x14ac:dyDescent="0.4">
      <c r="A293" s="117"/>
      <c r="B293" s="123"/>
      <c r="C293" s="123"/>
      <c r="D293" s="123"/>
      <c r="F293" s="117"/>
      <c r="G293" s="135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"/>
      <c r="W293" s="13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27"/>
      <c r="AM293" s="29"/>
      <c r="AW293" s="25"/>
      <c r="AX293" s="13"/>
      <c r="BC293" s="116"/>
      <c r="BD293" s="123"/>
      <c r="BE293" s="123"/>
      <c r="BF293" s="123"/>
      <c r="BK293" s="115"/>
      <c r="BL293" s="115"/>
      <c r="BM293" s="115"/>
      <c r="BN293" s="115"/>
      <c r="BO293" s="115"/>
      <c r="BP293" s="115"/>
      <c r="BQ293" s="115"/>
      <c r="BR293" s="115"/>
      <c r="BS293" s="115"/>
      <c r="BT293" s="115"/>
      <c r="BU293" s="25"/>
      <c r="BV293" s="13"/>
      <c r="BY293" s="114"/>
    </row>
    <row r="294" spans="1:77" ht="20.100000000000001" customHeight="1" x14ac:dyDescent="0.4">
      <c r="A294" s="117"/>
      <c r="B294" s="123"/>
      <c r="C294" s="123"/>
      <c r="D294" s="123"/>
      <c r="F294" s="117"/>
      <c r="G294" s="135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25"/>
      <c r="W294" s="13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127"/>
      <c r="AM294" s="29"/>
      <c r="AW294" s="25"/>
      <c r="AX294" s="13"/>
      <c r="BC294" s="116"/>
      <c r="BD294" s="123"/>
      <c r="BE294" s="123"/>
      <c r="BF294" s="123"/>
      <c r="BK294" s="115"/>
      <c r="BL294" s="115"/>
      <c r="BM294" s="115"/>
      <c r="BN294" s="115"/>
      <c r="BO294" s="115"/>
      <c r="BP294" s="115"/>
      <c r="BQ294" s="115"/>
      <c r="BR294" s="115"/>
      <c r="BS294" s="115"/>
      <c r="BT294" s="115"/>
      <c r="BU294" s="25"/>
      <c r="BV294" s="13"/>
      <c r="BY294" s="114"/>
    </row>
    <row r="295" spans="1:77" ht="20.100000000000001" customHeight="1" x14ac:dyDescent="0.4">
      <c r="A295" s="117"/>
      <c r="B295" s="123"/>
      <c r="C295" s="123"/>
      <c r="D295" s="123"/>
      <c r="F295" s="117"/>
      <c r="G295" s="135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"/>
      <c r="W295" s="13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27"/>
      <c r="AM295" s="29"/>
      <c r="AW295" s="25"/>
      <c r="AX295" s="13"/>
      <c r="BC295" s="116"/>
      <c r="BD295" s="123"/>
      <c r="BE295" s="123"/>
      <c r="BF295" s="123"/>
      <c r="BK295" s="115"/>
      <c r="BL295" s="115"/>
      <c r="BM295" s="115"/>
      <c r="BN295" s="115"/>
      <c r="BO295" s="115"/>
      <c r="BP295" s="115"/>
      <c r="BQ295" s="115"/>
      <c r="BR295" s="115"/>
      <c r="BS295" s="115"/>
      <c r="BT295" s="115"/>
      <c r="BU295" s="25"/>
      <c r="BV295" s="13"/>
      <c r="BY295" s="114"/>
    </row>
    <row r="296" spans="1:77" ht="20.100000000000001" customHeight="1" x14ac:dyDescent="0.4">
      <c r="A296" s="117"/>
      <c r="B296" s="123"/>
      <c r="C296" s="123"/>
      <c r="D296" s="123"/>
      <c r="F296" s="117"/>
      <c r="G296" s="135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25"/>
      <c r="W296" s="13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27"/>
      <c r="AM296" s="29"/>
      <c r="AW296" s="25"/>
      <c r="AX296" s="13"/>
      <c r="BC296" s="116"/>
      <c r="BD296" s="123"/>
      <c r="BE296" s="123"/>
      <c r="BF296" s="123"/>
      <c r="BK296" s="115"/>
      <c r="BL296" s="115"/>
      <c r="BM296" s="115"/>
      <c r="BN296" s="115"/>
      <c r="BO296" s="115"/>
      <c r="BP296" s="115"/>
      <c r="BQ296" s="115"/>
      <c r="BR296" s="115"/>
      <c r="BS296" s="115"/>
      <c r="BT296" s="115"/>
      <c r="BU296" s="25"/>
      <c r="BV296" s="13"/>
      <c r="BY296" s="114"/>
    </row>
    <row r="297" spans="1:77" ht="20.100000000000001" customHeight="1" x14ac:dyDescent="0.4">
      <c r="A297" s="117"/>
      <c r="B297" s="123"/>
      <c r="C297" s="123"/>
      <c r="D297" s="123"/>
      <c r="F297" s="117"/>
      <c r="G297" s="135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25"/>
      <c r="W297" s="13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27"/>
      <c r="AM297" s="29"/>
      <c r="AW297" s="25"/>
      <c r="AX297" s="13"/>
      <c r="BC297" s="116"/>
      <c r="BD297" s="123"/>
      <c r="BE297" s="123"/>
      <c r="BF297" s="123"/>
      <c r="BK297" s="115"/>
      <c r="BL297" s="115"/>
      <c r="BM297" s="115"/>
      <c r="BN297" s="115"/>
      <c r="BO297" s="115"/>
      <c r="BP297" s="115"/>
      <c r="BQ297" s="115"/>
      <c r="BR297" s="115"/>
      <c r="BS297" s="115"/>
      <c r="BT297" s="115"/>
      <c r="BU297" s="25"/>
      <c r="BV297" s="13"/>
      <c r="BY297" s="114"/>
    </row>
    <row r="298" spans="1:77" ht="20.100000000000001" customHeight="1" x14ac:dyDescent="0.4">
      <c r="A298" s="117"/>
      <c r="B298" s="123"/>
      <c r="C298" s="123"/>
      <c r="D298" s="123"/>
      <c r="F298" s="117"/>
      <c r="G298" s="135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26"/>
      <c r="W298" s="15"/>
      <c r="AL298" s="127"/>
      <c r="AM298" s="29"/>
      <c r="AW298" s="25"/>
      <c r="AX298" s="13"/>
      <c r="BC298" s="116"/>
      <c r="BD298" s="123"/>
      <c r="BE298" s="123"/>
      <c r="BF298" s="123"/>
      <c r="BK298" s="115"/>
      <c r="BL298" s="115"/>
      <c r="BM298" s="115"/>
      <c r="BN298" s="115"/>
      <c r="BO298" s="115"/>
      <c r="BP298" s="115"/>
      <c r="BQ298" s="115"/>
      <c r="BR298" s="115"/>
      <c r="BS298" s="115"/>
      <c r="BT298" s="115"/>
      <c r="BU298" s="25"/>
      <c r="BV298" s="13"/>
      <c r="BY298" s="114"/>
    </row>
    <row r="299" spans="1:77" ht="20.100000000000001" customHeight="1" x14ac:dyDescent="0.4">
      <c r="A299" s="117"/>
      <c r="B299" s="123"/>
      <c r="C299" s="123"/>
      <c r="D299" s="123"/>
      <c r="F299" s="117"/>
      <c r="G299" s="135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7"/>
      <c r="W299" s="15"/>
      <c r="AL299" s="127"/>
      <c r="AM299" s="29"/>
      <c r="AW299" s="25"/>
      <c r="AX299" s="13"/>
      <c r="BC299" s="116"/>
      <c r="BD299" s="123"/>
      <c r="BE299" s="123"/>
      <c r="BF299" s="123"/>
      <c r="BK299" s="115"/>
      <c r="BL299" s="115"/>
      <c r="BM299" s="115"/>
      <c r="BN299" s="115"/>
      <c r="BO299" s="115"/>
      <c r="BP299" s="115"/>
      <c r="BQ299" s="115"/>
      <c r="BR299" s="115"/>
      <c r="BS299" s="115"/>
      <c r="BT299" s="115"/>
      <c r="BU299" s="25"/>
      <c r="BV299" s="13"/>
      <c r="BY299" s="114"/>
    </row>
    <row r="300" spans="1:77" ht="20.100000000000001" customHeight="1" x14ac:dyDescent="0.4">
      <c r="A300" s="117"/>
      <c r="B300" s="123"/>
      <c r="C300" s="123"/>
      <c r="D300" s="123"/>
      <c r="F300" s="117"/>
      <c r="G300" s="135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26"/>
      <c r="W300" s="15"/>
      <c r="AH300" s="115"/>
      <c r="AI300" s="115"/>
      <c r="AJ300" s="115"/>
      <c r="AK300" s="115"/>
      <c r="AL300" s="127"/>
      <c r="AM300" s="29"/>
      <c r="AW300" s="25"/>
      <c r="AX300" s="13"/>
      <c r="BC300" s="116"/>
      <c r="BD300" s="123"/>
      <c r="BE300" s="123"/>
      <c r="BF300" s="123"/>
      <c r="BK300" s="115"/>
      <c r="BL300" s="115"/>
      <c r="BM300" s="115"/>
      <c r="BN300" s="115"/>
      <c r="BO300" s="115"/>
      <c r="BP300" s="115"/>
      <c r="BQ300" s="115"/>
      <c r="BR300" s="115"/>
      <c r="BS300" s="115"/>
      <c r="BT300" s="115"/>
      <c r="BU300" s="25"/>
      <c r="BV300" s="13"/>
      <c r="BY300" s="114"/>
    </row>
    <row r="301" spans="1:77" ht="20.100000000000001" customHeight="1" x14ac:dyDescent="0.4">
      <c r="A301" s="117"/>
      <c r="B301" s="123"/>
      <c r="C301" s="123"/>
      <c r="D301" s="123"/>
      <c r="F301" s="117"/>
      <c r="G301" s="135"/>
      <c r="H301" s="136"/>
      <c r="I301" s="136"/>
      <c r="J301" s="136"/>
      <c r="K301" s="136"/>
      <c r="L301" s="136"/>
      <c r="M301" s="136"/>
      <c r="N301" s="140"/>
      <c r="O301" s="140"/>
      <c r="P301" s="140"/>
      <c r="Q301" s="140"/>
      <c r="R301" s="140"/>
      <c r="S301" s="140"/>
      <c r="T301" s="140"/>
      <c r="U301" s="140"/>
      <c r="V301" s="30"/>
      <c r="W301" s="15"/>
      <c r="AH301" s="115"/>
      <c r="AI301" s="115"/>
      <c r="AJ301" s="115"/>
      <c r="AK301" s="115"/>
      <c r="AL301" s="127"/>
      <c r="AM301" s="29"/>
      <c r="AW301" s="25"/>
      <c r="AX301" s="13"/>
      <c r="BC301" s="116"/>
      <c r="BD301" s="123"/>
      <c r="BE301" s="123"/>
      <c r="BF301" s="123"/>
      <c r="BK301" s="115"/>
      <c r="BL301" s="115"/>
      <c r="BM301" s="115"/>
      <c r="BN301" s="115"/>
      <c r="BO301" s="115"/>
      <c r="BP301" s="115"/>
      <c r="BQ301" s="115"/>
      <c r="BR301" s="115"/>
      <c r="BS301" s="115"/>
      <c r="BT301" s="115"/>
      <c r="BU301" s="25"/>
      <c r="BV301" s="13"/>
      <c r="BY301" s="114"/>
    </row>
    <row r="302" spans="1:77" ht="20.100000000000001" customHeight="1" x14ac:dyDescent="0.4">
      <c r="A302" s="117"/>
      <c r="B302" s="123"/>
      <c r="C302" s="123"/>
      <c r="D302" s="123"/>
      <c r="F302" s="117"/>
      <c r="G302" s="135"/>
      <c r="H302" s="136"/>
      <c r="I302" s="136"/>
      <c r="J302" s="136"/>
      <c r="K302" s="136"/>
      <c r="L302" s="136"/>
      <c r="M302" s="136"/>
      <c r="N302" s="140"/>
      <c r="O302" s="140"/>
      <c r="P302" s="140"/>
      <c r="Q302" s="140"/>
      <c r="R302" s="140"/>
      <c r="S302" s="140"/>
      <c r="T302" s="140"/>
      <c r="U302" s="140"/>
      <c r="V302" s="141"/>
      <c r="W302" s="13"/>
      <c r="AH302" s="115"/>
      <c r="AI302" s="115"/>
      <c r="AJ302" s="115"/>
      <c r="AK302" s="115"/>
      <c r="AL302" s="127"/>
      <c r="AM302" s="29"/>
      <c r="AW302" s="25"/>
      <c r="AX302" s="13"/>
      <c r="BC302" s="116"/>
      <c r="BD302" s="123"/>
      <c r="BE302" s="123"/>
      <c r="BF302" s="123"/>
      <c r="BK302" s="115"/>
      <c r="BL302" s="115"/>
      <c r="BM302" s="115"/>
      <c r="BN302" s="115"/>
      <c r="BO302" s="115"/>
      <c r="BP302" s="115"/>
      <c r="BQ302" s="115"/>
      <c r="BR302" s="115"/>
      <c r="BS302" s="115"/>
      <c r="BT302" s="115"/>
      <c r="BU302" s="25"/>
      <c r="BV302" s="13"/>
      <c r="BY302" s="114"/>
    </row>
    <row r="303" spans="1:77" ht="20.100000000000001" customHeight="1" x14ac:dyDescent="0.4">
      <c r="A303" s="117"/>
      <c r="B303" s="123"/>
      <c r="C303" s="123"/>
      <c r="D303" s="123"/>
      <c r="F303" s="117"/>
      <c r="G303" s="135"/>
      <c r="H303" s="136"/>
      <c r="I303" s="136"/>
      <c r="J303" s="136"/>
      <c r="K303" s="136"/>
      <c r="L303" s="136"/>
      <c r="M303" s="136"/>
      <c r="N303" s="140"/>
      <c r="O303" s="140"/>
      <c r="P303" s="140"/>
      <c r="Q303" s="140"/>
      <c r="R303" s="140"/>
      <c r="S303" s="140"/>
      <c r="T303" s="140"/>
      <c r="U303" s="140"/>
      <c r="V303" s="141"/>
      <c r="W303" s="13"/>
      <c r="AH303" s="115"/>
      <c r="AI303" s="115"/>
      <c r="AJ303" s="115"/>
      <c r="AK303" s="115"/>
      <c r="AL303" s="127"/>
      <c r="AM303" s="29"/>
      <c r="AW303" s="25"/>
      <c r="AX303" s="13"/>
      <c r="BC303" s="116"/>
      <c r="BD303" s="123"/>
      <c r="BE303" s="123"/>
      <c r="BF303" s="123"/>
      <c r="BK303" s="115"/>
      <c r="BL303" s="115"/>
      <c r="BM303" s="115"/>
      <c r="BN303" s="115"/>
      <c r="BO303" s="115"/>
      <c r="BP303" s="115"/>
      <c r="BQ303" s="115"/>
      <c r="BR303" s="115"/>
      <c r="BS303" s="115"/>
      <c r="BT303" s="115"/>
      <c r="BU303" s="25"/>
      <c r="BV303" s="13"/>
      <c r="BY303" s="114"/>
    </row>
    <row r="304" spans="1:77" ht="20.100000000000001" customHeight="1" x14ac:dyDescent="0.4">
      <c r="A304" s="117"/>
      <c r="B304" s="123"/>
      <c r="C304" s="123"/>
      <c r="D304" s="123"/>
      <c r="F304" s="117"/>
      <c r="G304" s="135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25"/>
      <c r="W304" s="13"/>
      <c r="AH304" s="115"/>
      <c r="AI304" s="115"/>
      <c r="AJ304" s="115"/>
      <c r="AK304" s="115"/>
      <c r="AL304" s="127"/>
      <c r="AM304" s="29"/>
      <c r="AW304" s="25"/>
      <c r="AX304" s="13"/>
      <c r="BC304" s="116"/>
      <c r="BD304" s="123"/>
      <c r="BE304" s="123"/>
      <c r="BF304" s="123"/>
      <c r="BK304" s="115"/>
      <c r="BL304" s="115"/>
      <c r="BM304" s="115"/>
      <c r="BN304" s="115"/>
      <c r="BO304" s="115"/>
      <c r="BP304" s="115"/>
      <c r="BQ304" s="115"/>
      <c r="BR304" s="115"/>
      <c r="BS304" s="115"/>
      <c r="BT304" s="115"/>
      <c r="BU304" s="25"/>
      <c r="BV304" s="13"/>
      <c r="BY304" s="114"/>
    </row>
    <row r="305" spans="1:77" ht="20.100000000000001" customHeight="1" x14ac:dyDescent="0.4">
      <c r="A305" s="117"/>
      <c r="B305" s="123"/>
      <c r="C305" s="123"/>
      <c r="D305" s="123"/>
      <c r="F305" s="117"/>
      <c r="G305" s="135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25"/>
      <c r="W305" s="13"/>
      <c r="AH305" s="115"/>
      <c r="AI305" s="115"/>
      <c r="AJ305" s="115"/>
      <c r="AK305" s="115"/>
      <c r="AL305" s="127"/>
      <c r="AM305" s="29"/>
      <c r="AW305" s="25"/>
      <c r="AX305" s="13"/>
      <c r="BC305" s="116"/>
      <c r="BD305" s="123"/>
      <c r="BE305" s="123"/>
      <c r="BF305" s="123"/>
      <c r="BK305" s="115"/>
      <c r="BL305" s="115"/>
      <c r="BM305" s="115"/>
      <c r="BN305" s="115"/>
      <c r="BO305" s="115"/>
      <c r="BP305" s="115"/>
      <c r="BQ305" s="115"/>
      <c r="BR305" s="115"/>
      <c r="BS305" s="115"/>
      <c r="BT305" s="115"/>
      <c r="BU305" s="25"/>
      <c r="BV305" s="13"/>
      <c r="BY305" s="114"/>
    </row>
    <row r="306" spans="1:77" ht="20.100000000000001" customHeight="1" x14ac:dyDescent="0.4">
      <c r="A306" s="117"/>
      <c r="B306" s="123"/>
      <c r="C306" s="123"/>
      <c r="D306" s="123"/>
      <c r="F306" s="117"/>
      <c r="G306" s="135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25"/>
      <c r="W306" s="13"/>
      <c r="AD306" s="115"/>
      <c r="AE306" s="115"/>
      <c r="AF306" s="115"/>
      <c r="AG306" s="115"/>
      <c r="AH306" s="115"/>
      <c r="AI306" s="115"/>
      <c r="AJ306" s="115"/>
      <c r="AK306" s="115"/>
      <c r="AL306" s="127"/>
      <c r="AM306" s="29"/>
      <c r="AW306" s="25"/>
      <c r="AX306" s="13"/>
      <c r="BC306" s="116"/>
      <c r="BD306" s="123"/>
      <c r="BE306" s="123"/>
      <c r="BF306" s="123"/>
      <c r="BK306" s="115"/>
      <c r="BL306" s="115"/>
      <c r="BM306" s="115"/>
      <c r="BN306" s="115"/>
      <c r="BO306" s="115"/>
      <c r="BP306" s="115"/>
      <c r="BQ306" s="115"/>
      <c r="BR306" s="115"/>
      <c r="BS306" s="115"/>
      <c r="BT306" s="115"/>
      <c r="BU306" s="25"/>
      <c r="BV306" s="13"/>
      <c r="BY306" s="114"/>
    </row>
    <row r="307" spans="1:77" ht="20.100000000000001" customHeight="1" x14ac:dyDescent="0.4">
      <c r="A307" s="117"/>
      <c r="B307" s="123"/>
      <c r="C307" s="123"/>
      <c r="D307" s="123"/>
      <c r="F307" s="117"/>
      <c r="G307" s="135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25"/>
      <c r="W307" s="13"/>
      <c r="AD307" s="115"/>
      <c r="AE307" s="115"/>
      <c r="AF307" s="115"/>
      <c r="AG307" s="115"/>
      <c r="AH307" s="115"/>
      <c r="AI307" s="115"/>
      <c r="AJ307" s="115"/>
      <c r="AK307" s="115"/>
      <c r="AL307" s="29"/>
      <c r="AM307" s="29"/>
      <c r="AW307" s="25"/>
      <c r="AX307" s="13"/>
      <c r="BC307" s="116"/>
      <c r="BD307" s="123"/>
      <c r="BE307" s="123"/>
      <c r="BF307" s="123"/>
      <c r="BK307" s="115"/>
      <c r="BL307" s="115"/>
      <c r="BM307" s="115"/>
      <c r="BN307" s="115"/>
      <c r="BO307" s="115"/>
      <c r="BP307" s="115"/>
      <c r="BQ307" s="115"/>
      <c r="BR307" s="115"/>
      <c r="BS307" s="115"/>
      <c r="BT307" s="115"/>
      <c r="BU307" s="25"/>
      <c r="BV307" s="13"/>
      <c r="BY307" s="114"/>
    </row>
    <row r="308" spans="1:77" ht="20.100000000000001" customHeight="1" x14ac:dyDescent="0.4">
      <c r="A308" s="117"/>
      <c r="B308" s="123"/>
      <c r="C308" s="123"/>
      <c r="D308" s="123"/>
      <c r="F308" s="117"/>
      <c r="G308" s="135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"/>
      <c r="W308" s="13"/>
      <c r="AD308" s="115"/>
      <c r="AE308" s="115"/>
      <c r="AF308" s="115"/>
      <c r="AG308" s="115"/>
      <c r="AH308" s="115"/>
      <c r="AI308" s="115"/>
      <c r="AJ308" s="115"/>
      <c r="AK308" s="115"/>
      <c r="AL308" s="29"/>
      <c r="AM308" s="29"/>
      <c r="AW308" s="25"/>
      <c r="AX308" s="13"/>
      <c r="BC308" s="116"/>
      <c r="BD308" s="123"/>
      <c r="BE308" s="123"/>
      <c r="BF308" s="123"/>
      <c r="BK308" s="115"/>
      <c r="BL308" s="115"/>
      <c r="BM308" s="115"/>
      <c r="BN308" s="115"/>
      <c r="BO308" s="115"/>
      <c r="BP308" s="115"/>
      <c r="BQ308" s="115"/>
      <c r="BR308" s="115"/>
      <c r="BS308" s="115"/>
      <c r="BT308" s="115"/>
      <c r="BU308" s="25"/>
      <c r="BV308" s="13"/>
      <c r="BY308" s="114"/>
    </row>
    <row r="309" spans="1:77" ht="20.100000000000001" customHeight="1" x14ac:dyDescent="0.4">
      <c r="A309" s="117"/>
      <c r="B309" s="123"/>
      <c r="C309" s="123"/>
      <c r="D309" s="123"/>
      <c r="F309" s="117"/>
      <c r="G309" s="135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25"/>
      <c r="W309" s="13"/>
      <c r="AD309" s="115"/>
      <c r="AE309" s="115"/>
      <c r="AF309" s="115"/>
      <c r="AG309" s="115"/>
      <c r="AH309" s="115"/>
      <c r="AI309" s="115"/>
      <c r="AJ309" s="115"/>
      <c r="AK309" s="115"/>
      <c r="AL309" s="127"/>
      <c r="AM309" s="29"/>
      <c r="AW309" s="25"/>
      <c r="AX309" s="13"/>
      <c r="BC309" s="116"/>
      <c r="BD309" s="123"/>
      <c r="BE309" s="123"/>
      <c r="BF309" s="123"/>
      <c r="BK309" s="115"/>
      <c r="BL309" s="115"/>
      <c r="BM309" s="115"/>
      <c r="BN309" s="115"/>
      <c r="BO309" s="115"/>
      <c r="BP309" s="115"/>
      <c r="BQ309" s="115"/>
      <c r="BR309" s="115"/>
      <c r="BS309" s="115"/>
      <c r="BT309" s="115"/>
      <c r="BU309" s="25"/>
      <c r="BV309" s="13"/>
      <c r="BY309" s="114"/>
    </row>
    <row r="310" spans="1:77" ht="20.100000000000001" customHeight="1" x14ac:dyDescent="0.4">
      <c r="A310" s="117"/>
      <c r="B310" s="123"/>
      <c r="C310" s="123"/>
      <c r="D310" s="123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26"/>
      <c r="W310" s="13"/>
      <c r="AD310" s="115"/>
      <c r="AE310" s="115"/>
      <c r="AF310" s="115"/>
      <c r="AG310" s="115"/>
      <c r="AH310" s="115"/>
      <c r="AI310" s="115"/>
      <c r="AJ310" s="115"/>
      <c r="AK310" s="115"/>
      <c r="AL310" s="127"/>
      <c r="AM310" s="29"/>
      <c r="AW310" s="25"/>
      <c r="AX310" s="13"/>
      <c r="BC310" s="116"/>
      <c r="BD310" s="123"/>
      <c r="BE310" s="123"/>
      <c r="BF310" s="123"/>
      <c r="BK310" s="115"/>
      <c r="BL310" s="115"/>
      <c r="BM310" s="115"/>
      <c r="BN310" s="115"/>
      <c r="BO310" s="115"/>
      <c r="BP310" s="115"/>
      <c r="BQ310" s="115"/>
      <c r="BR310" s="115"/>
      <c r="BS310" s="115"/>
      <c r="BT310" s="115"/>
      <c r="BU310" s="25"/>
      <c r="BV310" s="13"/>
      <c r="BY310" s="114"/>
    </row>
    <row r="311" spans="1:77" ht="20.100000000000001" customHeight="1" x14ac:dyDescent="0.4">
      <c r="A311" s="117"/>
      <c r="B311" s="123"/>
      <c r="C311" s="123"/>
      <c r="D311" s="123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26"/>
      <c r="W311" s="13"/>
      <c r="AD311" s="115"/>
      <c r="AE311" s="115"/>
      <c r="AF311" s="115"/>
      <c r="AG311" s="115"/>
      <c r="AH311" s="115"/>
      <c r="AI311" s="115"/>
      <c r="AJ311" s="115"/>
      <c r="AK311" s="115"/>
      <c r="AL311" s="127"/>
      <c r="AM311" s="29"/>
      <c r="AW311" s="25"/>
      <c r="AX311" s="13"/>
      <c r="BC311" s="116"/>
      <c r="BD311" s="123"/>
      <c r="BE311" s="123"/>
      <c r="BF311" s="123"/>
      <c r="BK311" s="115"/>
      <c r="BL311" s="115"/>
      <c r="BM311" s="115"/>
      <c r="BN311" s="115"/>
      <c r="BO311" s="115"/>
      <c r="BP311" s="115"/>
      <c r="BQ311" s="115"/>
      <c r="BR311" s="115"/>
      <c r="BS311" s="115"/>
      <c r="BT311" s="115"/>
      <c r="BU311" s="25"/>
      <c r="BV311" s="13"/>
      <c r="BY311" s="114"/>
    </row>
    <row r="312" spans="1:77" ht="20.100000000000001" customHeight="1" x14ac:dyDescent="0.4">
      <c r="A312" s="117"/>
      <c r="B312" s="123"/>
      <c r="C312" s="123"/>
      <c r="D312" s="123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26"/>
      <c r="W312" s="13"/>
      <c r="AD312" s="115"/>
      <c r="AE312" s="115"/>
      <c r="AF312" s="115"/>
      <c r="AG312" s="115"/>
      <c r="AH312" s="115"/>
      <c r="AI312" s="115"/>
      <c r="AJ312" s="115"/>
      <c r="AK312" s="115"/>
      <c r="AL312" s="127"/>
      <c r="AM312" s="29"/>
      <c r="AW312" s="25"/>
      <c r="AX312" s="13"/>
      <c r="BC312" s="116"/>
      <c r="BD312" s="123"/>
      <c r="BE312" s="123"/>
      <c r="BF312" s="123"/>
      <c r="BK312" s="115"/>
      <c r="BL312" s="115"/>
      <c r="BM312" s="115"/>
      <c r="BN312" s="115"/>
      <c r="BO312" s="115"/>
      <c r="BP312" s="115"/>
      <c r="BQ312" s="115"/>
      <c r="BR312" s="115"/>
      <c r="BS312" s="115"/>
      <c r="BT312" s="115"/>
      <c r="BU312" s="25"/>
      <c r="BV312" s="13"/>
      <c r="BY312" s="114"/>
    </row>
    <row r="313" spans="1:77" ht="20.100000000000001" customHeight="1" x14ac:dyDescent="0.4">
      <c r="A313" s="117"/>
      <c r="B313" s="123"/>
      <c r="C313" s="123"/>
      <c r="D313" s="123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26"/>
      <c r="W313" s="13"/>
      <c r="AD313" s="115"/>
      <c r="AE313" s="115"/>
      <c r="AF313" s="115"/>
      <c r="AG313" s="115"/>
      <c r="AH313" s="115"/>
      <c r="AI313" s="115"/>
      <c r="AJ313" s="115"/>
      <c r="AK313" s="115"/>
      <c r="AL313" s="127"/>
      <c r="AM313" s="29"/>
      <c r="AW313" s="25"/>
      <c r="AX313" s="13"/>
      <c r="BC313" s="116"/>
      <c r="BD313" s="123"/>
      <c r="BE313" s="123"/>
      <c r="BF313" s="123"/>
      <c r="BK313" s="115"/>
      <c r="BL313" s="115"/>
      <c r="BM313" s="115"/>
      <c r="BN313" s="115"/>
      <c r="BO313" s="115"/>
      <c r="BP313" s="115"/>
      <c r="BQ313" s="115"/>
      <c r="BR313" s="115"/>
      <c r="BS313" s="115"/>
      <c r="BT313" s="115"/>
      <c r="BU313" s="25"/>
      <c r="BV313" s="13"/>
      <c r="BY313" s="114"/>
    </row>
    <row r="314" spans="1:77" ht="20.100000000000001" customHeight="1" x14ac:dyDescent="0.4">
      <c r="A314" s="117"/>
      <c r="B314" s="123"/>
      <c r="C314" s="123"/>
      <c r="D314" s="123"/>
      <c r="V314" s="26"/>
      <c r="W314" s="13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27"/>
      <c r="AM314" s="29"/>
      <c r="AW314" s="25"/>
      <c r="AX314" s="13"/>
      <c r="BC314" s="116"/>
      <c r="BD314" s="123"/>
      <c r="BE314" s="123"/>
      <c r="BF314" s="123"/>
      <c r="BK314" s="115"/>
      <c r="BL314" s="115"/>
      <c r="BM314" s="115"/>
      <c r="BN314" s="115"/>
      <c r="BO314" s="115"/>
      <c r="BP314" s="115"/>
      <c r="BQ314" s="115"/>
      <c r="BR314" s="115"/>
      <c r="BS314" s="115"/>
      <c r="BT314" s="115"/>
      <c r="BU314" s="25"/>
      <c r="BV314" s="13"/>
      <c r="BY314" s="114"/>
    </row>
    <row r="315" spans="1:77" ht="20.100000000000001" customHeight="1" x14ac:dyDescent="0.4">
      <c r="A315" s="117"/>
      <c r="B315" s="123"/>
      <c r="C315" s="123"/>
      <c r="D315" s="123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26"/>
      <c r="W315" s="13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27"/>
      <c r="AM315" s="29"/>
      <c r="AW315" s="25"/>
      <c r="AX315" s="13"/>
      <c r="BC315" s="116"/>
      <c r="BD315" s="123"/>
      <c r="BE315" s="123"/>
      <c r="BF315" s="123"/>
      <c r="BK315" s="115"/>
      <c r="BL315" s="115"/>
      <c r="BM315" s="115"/>
      <c r="BN315" s="115"/>
      <c r="BO315" s="115"/>
      <c r="BP315" s="115"/>
      <c r="BQ315" s="115"/>
      <c r="BR315" s="115"/>
      <c r="BS315" s="115"/>
      <c r="BT315" s="115"/>
      <c r="BU315" s="25"/>
      <c r="BV315" s="13"/>
      <c r="BY315" s="114"/>
    </row>
    <row r="316" spans="1:77" ht="20.100000000000001" customHeight="1" x14ac:dyDescent="0.4">
      <c r="A316" s="117"/>
      <c r="B316" s="123"/>
      <c r="C316" s="123"/>
      <c r="D316" s="123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26"/>
      <c r="W316" s="13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27"/>
      <c r="AM316" s="29"/>
      <c r="AW316" s="25"/>
      <c r="AX316" s="13"/>
      <c r="BC316" s="116"/>
      <c r="BD316" s="123"/>
      <c r="BE316" s="123"/>
      <c r="BF316" s="123"/>
      <c r="BK316" s="115"/>
      <c r="BL316" s="115"/>
      <c r="BM316" s="115"/>
      <c r="BN316" s="115"/>
      <c r="BO316" s="115"/>
      <c r="BP316" s="115"/>
      <c r="BQ316" s="115"/>
      <c r="BR316" s="115"/>
      <c r="BS316" s="115"/>
      <c r="BT316" s="115"/>
      <c r="BU316" s="25"/>
      <c r="BV316" s="13"/>
      <c r="BY316" s="114"/>
    </row>
    <row r="317" spans="1:77" ht="20.100000000000001" customHeight="1" x14ac:dyDescent="0.4">
      <c r="A317" s="117"/>
      <c r="B317" s="123"/>
      <c r="C317" s="123"/>
      <c r="D317" s="123"/>
      <c r="V317" s="26"/>
      <c r="W317" s="13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27"/>
      <c r="AM317" s="29"/>
      <c r="AW317" s="25"/>
      <c r="AX317" s="13"/>
      <c r="BC317" s="116"/>
      <c r="BD317" s="123"/>
      <c r="BE317" s="123"/>
      <c r="BF317" s="123"/>
      <c r="BK317" s="115"/>
      <c r="BL317" s="115"/>
      <c r="BM317" s="115"/>
      <c r="BN317" s="115"/>
      <c r="BO317" s="115"/>
      <c r="BP317" s="115"/>
      <c r="BQ317" s="115"/>
      <c r="BR317" s="115"/>
      <c r="BS317" s="115"/>
      <c r="BT317" s="115"/>
      <c r="BU317" s="25"/>
      <c r="BV317" s="13"/>
      <c r="BY317" s="114"/>
    </row>
    <row r="318" spans="1:77" ht="20.100000000000001" customHeight="1" x14ac:dyDescent="0.4">
      <c r="A318" s="117"/>
      <c r="B318" s="123"/>
      <c r="C318" s="123"/>
      <c r="D318" s="123"/>
      <c r="V318" s="26"/>
      <c r="W318" s="13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27"/>
      <c r="AM318" s="134"/>
      <c r="AW318" s="25"/>
      <c r="AX318" s="13"/>
      <c r="BC318" s="116"/>
      <c r="BD318" s="123"/>
      <c r="BE318" s="123"/>
      <c r="BF318" s="123"/>
      <c r="BK318" s="115"/>
      <c r="BL318" s="115"/>
      <c r="BM318" s="115"/>
      <c r="BN318" s="115"/>
      <c r="BO318" s="115"/>
      <c r="BP318" s="115"/>
      <c r="BQ318" s="115"/>
      <c r="BR318" s="115"/>
      <c r="BS318" s="115"/>
      <c r="BT318" s="115"/>
      <c r="BU318" s="25"/>
      <c r="BV318" s="13"/>
      <c r="BY318" s="114"/>
    </row>
    <row r="319" spans="1:77" ht="20.100000000000001" customHeight="1" x14ac:dyDescent="0.4">
      <c r="A319" s="117"/>
      <c r="B319" s="123"/>
      <c r="C319" s="123"/>
      <c r="D319" s="123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26"/>
      <c r="W319" s="13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27"/>
      <c r="AM319" s="134"/>
      <c r="AW319" s="25"/>
      <c r="AX319" s="13"/>
      <c r="BC319" s="116"/>
      <c r="BD319" s="123"/>
      <c r="BE319" s="123"/>
      <c r="BF319" s="123"/>
      <c r="BK319" s="115"/>
      <c r="BL319" s="115"/>
      <c r="BM319" s="115"/>
      <c r="BN319" s="115"/>
      <c r="BO319" s="115"/>
      <c r="BP319" s="115"/>
      <c r="BQ319" s="115"/>
      <c r="BR319" s="115"/>
      <c r="BS319" s="115"/>
      <c r="BT319" s="115"/>
      <c r="BU319" s="25"/>
      <c r="BV319" s="13"/>
      <c r="BY319" s="114"/>
    </row>
    <row r="320" spans="1:77" ht="20.100000000000001" customHeight="1" x14ac:dyDescent="0.4">
      <c r="A320" s="117"/>
      <c r="B320" s="123"/>
      <c r="C320" s="123"/>
      <c r="D320" s="123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7"/>
      <c r="W320" s="13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27"/>
      <c r="AM320" s="134"/>
      <c r="AW320" s="25"/>
      <c r="AX320" s="13"/>
      <c r="BC320" s="116"/>
      <c r="BD320" s="123"/>
      <c r="BE320" s="123"/>
      <c r="BF320" s="123"/>
      <c r="BK320" s="115"/>
      <c r="BL320" s="115"/>
      <c r="BM320" s="115"/>
      <c r="BN320" s="115"/>
      <c r="BO320" s="115"/>
      <c r="BP320" s="115"/>
      <c r="BQ320" s="115"/>
      <c r="BR320" s="115"/>
      <c r="BS320" s="115"/>
      <c r="BT320" s="115"/>
      <c r="BU320" s="25"/>
      <c r="BV320" s="13"/>
      <c r="BY320" s="114"/>
    </row>
    <row r="321" spans="1:77" ht="20.100000000000001" customHeight="1" x14ac:dyDescent="0.4">
      <c r="A321" s="117"/>
      <c r="B321" s="123"/>
      <c r="C321" s="123"/>
      <c r="D321" s="123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26"/>
      <c r="W321" s="13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27"/>
      <c r="AM321" s="134"/>
      <c r="AW321" s="25"/>
      <c r="AX321" s="13"/>
      <c r="BC321" s="116"/>
      <c r="BD321" s="123"/>
      <c r="BE321" s="123"/>
      <c r="BF321" s="123"/>
      <c r="BK321" s="115"/>
      <c r="BL321" s="115"/>
      <c r="BM321" s="115"/>
      <c r="BN321" s="115"/>
      <c r="BO321" s="115"/>
      <c r="BP321" s="115"/>
      <c r="BQ321" s="115"/>
      <c r="BR321" s="115"/>
      <c r="BS321" s="115"/>
      <c r="BT321" s="115"/>
      <c r="BU321" s="25"/>
      <c r="BV321" s="13"/>
      <c r="BY321" s="114"/>
    </row>
    <row r="322" spans="1:77" ht="20.100000000000001" customHeight="1" x14ac:dyDescent="0.4">
      <c r="A322" s="117"/>
      <c r="B322" s="123"/>
      <c r="C322" s="123"/>
      <c r="D322" s="123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26"/>
      <c r="W322" s="13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27"/>
      <c r="AM322" s="134"/>
      <c r="AW322" s="25"/>
      <c r="AX322" s="13"/>
      <c r="BC322" s="116"/>
      <c r="BD322" s="123"/>
      <c r="BE322" s="123"/>
      <c r="BF322" s="123"/>
      <c r="BK322" s="115"/>
      <c r="BL322" s="115"/>
      <c r="BM322" s="115"/>
      <c r="BN322" s="115"/>
      <c r="BO322" s="115"/>
      <c r="BP322" s="115"/>
      <c r="BQ322" s="115"/>
      <c r="BR322" s="115"/>
      <c r="BS322" s="115"/>
      <c r="BT322" s="115"/>
      <c r="BU322" s="25"/>
      <c r="BV322" s="13"/>
      <c r="BY322" s="114"/>
    </row>
    <row r="323" spans="1:77" ht="20.100000000000001" customHeight="1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26"/>
      <c r="W323" s="13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27"/>
      <c r="AM323" s="134"/>
      <c r="AW323" s="25"/>
      <c r="AX323" s="13"/>
      <c r="BC323" s="116"/>
      <c r="BD323" s="123"/>
      <c r="BE323" s="123"/>
      <c r="BF323" s="123"/>
      <c r="BK323" s="115"/>
      <c r="BL323" s="115"/>
      <c r="BM323" s="115"/>
      <c r="BN323" s="115"/>
      <c r="BO323" s="115"/>
      <c r="BP323" s="115"/>
      <c r="BQ323" s="115"/>
      <c r="BR323" s="115"/>
      <c r="BS323" s="115"/>
      <c r="BT323" s="115"/>
      <c r="BU323" s="25"/>
      <c r="BV323" s="13"/>
      <c r="BY323" s="114"/>
    </row>
    <row r="324" spans="1:77" ht="20.100000000000001" customHeight="1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26"/>
      <c r="W324" s="13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27"/>
      <c r="AM324" s="134"/>
      <c r="AW324" s="25"/>
      <c r="AX324" s="13"/>
      <c r="BC324" s="116"/>
      <c r="BD324" s="123"/>
      <c r="BE324" s="123"/>
      <c r="BF324" s="123"/>
      <c r="BK324" s="115"/>
      <c r="BL324" s="115"/>
      <c r="BM324" s="115"/>
      <c r="BN324" s="115"/>
      <c r="BO324" s="115"/>
      <c r="BP324" s="115"/>
      <c r="BQ324" s="115"/>
      <c r="BR324" s="115"/>
      <c r="BS324" s="115"/>
      <c r="BT324" s="115"/>
      <c r="BU324" s="25"/>
      <c r="BV324" s="13"/>
      <c r="BY324" s="114"/>
    </row>
    <row r="325" spans="1:77" ht="20.100000000000001" customHeight="1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26"/>
      <c r="W325" s="13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27"/>
      <c r="AM325" s="134"/>
      <c r="AW325" s="25"/>
      <c r="AX325" s="13"/>
      <c r="BC325" s="116"/>
      <c r="BD325" s="123"/>
      <c r="BE325" s="123"/>
      <c r="BF325" s="123"/>
      <c r="BK325" s="115"/>
      <c r="BL325" s="115"/>
      <c r="BM325" s="115"/>
      <c r="BN325" s="115"/>
      <c r="BO325" s="115"/>
      <c r="BP325" s="115"/>
      <c r="BQ325" s="115"/>
      <c r="BR325" s="115"/>
      <c r="BS325" s="115"/>
      <c r="BT325" s="115"/>
      <c r="BU325" s="25"/>
      <c r="BV325" s="13"/>
      <c r="BY325" s="114"/>
    </row>
    <row r="326" spans="1:77" ht="20.100000000000001" customHeight="1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7"/>
      <c r="W326" s="13"/>
      <c r="AC326" s="115"/>
      <c r="AD326" s="115"/>
      <c r="AE326" s="115"/>
      <c r="AF326" s="115"/>
      <c r="AG326" s="115"/>
      <c r="AH326" s="115"/>
      <c r="AI326" s="115"/>
      <c r="AJ326" s="115"/>
      <c r="AK326" s="115"/>
      <c r="AL326" s="127"/>
      <c r="AM326" s="134"/>
      <c r="AW326" s="25"/>
      <c r="AX326" s="13"/>
      <c r="BC326" s="116"/>
      <c r="BD326" s="123"/>
      <c r="BE326" s="123"/>
      <c r="BF326" s="123"/>
      <c r="BK326" s="115"/>
      <c r="BL326" s="115"/>
      <c r="BM326" s="115"/>
      <c r="BN326" s="115"/>
      <c r="BO326" s="115"/>
      <c r="BP326" s="115"/>
      <c r="BQ326" s="115"/>
      <c r="BR326" s="115"/>
      <c r="BS326" s="115"/>
      <c r="BT326" s="115"/>
      <c r="BU326" s="25"/>
      <c r="BV326" s="13"/>
      <c r="BY326" s="114"/>
    </row>
    <row r="327" spans="1:77" ht="20.100000000000001" customHeight="1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26"/>
      <c r="W327" s="13"/>
      <c r="AC327" s="115"/>
      <c r="AD327" s="115"/>
      <c r="AE327" s="115"/>
      <c r="AF327" s="115"/>
      <c r="AG327" s="115"/>
      <c r="AH327" s="115"/>
      <c r="AI327" s="115"/>
      <c r="AJ327" s="115"/>
      <c r="AK327" s="115"/>
      <c r="AL327" s="127"/>
      <c r="AM327" s="134"/>
      <c r="AW327" s="25"/>
      <c r="AX327" s="13"/>
      <c r="BC327" s="116"/>
      <c r="BD327" s="123"/>
      <c r="BE327" s="123"/>
      <c r="BF327" s="123"/>
      <c r="BK327" s="115"/>
      <c r="BL327" s="115"/>
      <c r="BM327" s="115"/>
      <c r="BN327" s="115"/>
      <c r="BO327" s="115"/>
      <c r="BP327" s="115"/>
      <c r="BQ327" s="115"/>
      <c r="BR327" s="115"/>
      <c r="BS327" s="115"/>
      <c r="BT327" s="115"/>
      <c r="BU327" s="25"/>
      <c r="BV327" s="13"/>
      <c r="BY327" s="114"/>
    </row>
    <row r="328" spans="1:77" ht="20.100000000000001" customHeight="1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26"/>
      <c r="W328" s="13"/>
      <c r="AC328" s="115"/>
      <c r="AD328" s="115"/>
      <c r="AE328" s="115"/>
      <c r="AF328" s="115"/>
      <c r="AG328" s="115"/>
      <c r="AH328" s="115"/>
      <c r="AI328" s="115"/>
      <c r="AJ328" s="115"/>
      <c r="AK328" s="115"/>
      <c r="AL328" s="127"/>
      <c r="AM328" s="134"/>
      <c r="AW328" s="25"/>
      <c r="AX328" s="13"/>
      <c r="BC328" s="116"/>
      <c r="BD328" s="123"/>
      <c r="BE328" s="123"/>
      <c r="BF328" s="123"/>
      <c r="BK328" s="115"/>
      <c r="BL328" s="115"/>
      <c r="BM328" s="115"/>
      <c r="BN328" s="115"/>
      <c r="BO328" s="115"/>
      <c r="BP328" s="115"/>
      <c r="BQ328" s="115"/>
      <c r="BR328" s="115"/>
      <c r="BS328" s="115"/>
      <c r="BT328" s="115"/>
      <c r="BU328" s="25"/>
      <c r="BV328" s="13"/>
      <c r="BY328" s="114"/>
    </row>
    <row r="329" spans="1:77" ht="20.100000000000001" customHeight="1" x14ac:dyDescent="0.4">
      <c r="A329" s="117"/>
      <c r="B329" s="123"/>
      <c r="C329" s="123"/>
      <c r="D329" s="123"/>
      <c r="V329" s="26"/>
      <c r="W329" s="13"/>
      <c r="AC329" s="115"/>
      <c r="AD329" s="115"/>
      <c r="AE329" s="115"/>
      <c r="AF329" s="115"/>
      <c r="AG329" s="115"/>
      <c r="AH329" s="115"/>
      <c r="AI329" s="115"/>
      <c r="AJ329" s="115"/>
      <c r="AK329" s="115"/>
      <c r="AL329" s="127"/>
      <c r="AM329" s="29"/>
      <c r="AW329" s="25"/>
      <c r="AX329" s="13"/>
      <c r="BC329" s="116"/>
      <c r="BD329" s="123"/>
      <c r="BE329" s="123"/>
      <c r="BF329" s="123"/>
      <c r="BK329" s="115"/>
      <c r="BL329" s="115"/>
      <c r="BM329" s="115"/>
      <c r="BN329" s="115"/>
      <c r="BO329" s="115"/>
      <c r="BP329" s="115"/>
      <c r="BQ329" s="115"/>
      <c r="BR329" s="115"/>
      <c r="BS329" s="115"/>
      <c r="BT329" s="115"/>
      <c r="BU329" s="25"/>
      <c r="BV329" s="13"/>
      <c r="BY329" s="114"/>
    </row>
    <row r="330" spans="1:77" ht="20.100000000000001" customHeight="1" x14ac:dyDescent="0.4">
      <c r="A330" s="117"/>
      <c r="B330" s="123"/>
      <c r="C330" s="123"/>
      <c r="D330" s="123"/>
      <c r="V330" s="26"/>
      <c r="W330" s="13"/>
      <c r="AC330" s="115"/>
      <c r="AD330" s="115"/>
      <c r="AE330" s="115"/>
      <c r="AF330" s="115"/>
      <c r="AG330" s="115"/>
      <c r="AH330" s="115"/>
      <c r="AI330" s="115"/>
      <c r="AJ330" s="115"/>
      <c r="AK330" s="115"/>
      <c r="AL330" s="29"/>
      <c r="AM330" s="29"/>
      <c r="AW330" s="25"/>
      <c r="AX330" s="13"/>
      <c r="BC330" s="116"/>
      <c r="BD330" s="123"/>
      <c r="BE330" s="123"/>
      <c r="BF330" s="123"/>
      <c r="BK330" s="115"/>
      <c r="BL330" s="115"/>
      <c r="BM330" s="115"/>
      <c r="BN330" s="115"/>
      <c r="BO330" s="115"/>
      <c r="BP330" s="115"/>
      <c r="BQ330" s="115"/>
      <c r="BR330" s="115"/>
      <c r="BS330" s="115"/>
      <c r="BT330" s="115"/>
      <c r="BU330" s="25"/>
      <c r="BV330" s="13"/>
      <c r="BY330" s="114"/>
    </row>
    <row r="331" spans="1:77" ht="20.100000000000001" customHeight="1" x14ac:dyDescent="0.4">
      <c r="A331" s="117"/>
      <c r="B331" s="123"/>
      <c r="C331" s="123"/>
      <c r="D331" s="123"/>
      <c r="V331" s="26"/>
      <c r="W331" s="13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15"/>
      <c r="AL331" s="127"/>
      <c r="AM331" s="29"/>
      <c r="AW331" s="25"/>
      <c r="AX331" s="13"/>
      <c r="BC331" s="116"/>
      <c r="BD331" s="123"/>
      <c r="BE331" s="123"/>
      <c r="BF331" s="123"/>
      <c r="BK331" s="115"/>
      <c r="BL331" s="115"/>
      <c r="BM331" s="115"/>
      <c r="BN331" s="115"/>
      <c r="BO331" s="115"/>
      <c r="BP331" s="115"/>
      <c r="BQ331" s="115"/>
      <c r="BR331" s="115"/>
      <c r="BS331" s="115"/>
      <c r="BT331" s="115"/>
      <c r="BU331" s="25"/>
      <c r="BV331" s="13"/>
      <c r="BY331" s="114"/>
    </row>
    <row r="332" spans="1:77" ht="20.100000000000001" customHeight="1" x14ac:dyDescent="0.4">
      <c r="A332" s="117"/>
      <c r="B332" s="123"/>
      <c r="C332" s="123"/>
      <c r="D332" s="123"/>
      <c r="V332" s="26"/>
      <c r="W332" s="13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15"/>
      <c r="AL332" s="127"/>
      <c r="AM332" s="29"/>
      <c r="AW332" s="25"/>
      <c r="AX332" s="13"/>
      <c r="BC332" s="116"/>
      <c r="BD332" s="123"/>
      <c r="BE332" s="123"/>
      <c r="BF332" s="123"/>
      <c r="BK332" s="115"/>
      <c r="BL332" s="115"/>
      <c r="BM332" s="115"/>
      <c r="BN332" s="115"/>
      <c r="BO332" s="115"/>
      <c r="BP332" s="115"/>
      <c r="BQ332" s="115"/>
      <c r="BR332" s="115"/>
      <c r="BS332" s="115"/>
      <c r="BT332" s="115"/>
      <c r="BU332" s="25"/>
      <c r="BV332" s="13"/>
      <c r="BY332" s="114"/>
    </row>
    <row r="333" spans="1:77" ht="20.100000000000001" customHeight="1" x14ac:dyDescent="0.4">
      <c r="A333" s="117"/>
      <c r="B333" s="123"/>
      <c r="C333" s="123"/>
      <c r="D333" s="123"/>
      <c r="M333" s="115"/>
      <c r="N333" s="115"/>
      <c r="O333" s="115"/>
      <c r="P333" s="115"/>
      <c r="Q333" s="115"/>
      <c r="R333" s="115"/>
      <c r="S333" s="115"/>
      <c r="T333" s="115"/>
      <c r="U333" s="115"/>
      <c r="V333" s="17"/>
      <c r="W333" s="13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15"/>
      <c r="AL333" s="127"/>
      <c r="AM333" s="29"/>
      <c r="AW333" s="25"/>
      <c r="AX333" s="13"/>
      <c r="BC333" s="116"/>
      <c r="BD333" s="123"/>
      <c r="BE333" s="123"/>
      <c r="BF333" s="123"/>
      <c r="BK333" s="115"/>
      <c r="BL333" s="115"/>
      <c r="BM333" s="115"/>
      <c r="BN333" s="115"/>
      <c r="BO333" s="115"/>
      <c r="BP333" s="115"/>
      <c r="BQ333" s="115"/>
      <c r="BR333" s="115"/>
      <c r="BS333" s="115"/>
      <c r="BT333" s="115"/>
      <c r="BU333" s="25"/>
      <c r="BV333" s="13"/>
      <c r="BY333" s="114"/>
    </row>
    <row r="334" spans="1:77" ht="20.100000000000001" customHeight="1" x14ac:dyDescent="0.4">
      <c r="A334" s="117"/>
      <c r="B334" s="123"/>
      <c r="C334" s="123"/>
      <c r="D334" s="123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26"/>
      <c r="W334" s="13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15"/>
      <c r="AL334" s="127"/>
      <c r="AM334" s="29"/>
      <c r="AW334" s="25"/>
      <c r="AX334" s="13"/>
      <c r="BC334" s="116"/>
      <c r="BD334" s="123"/>
      <c r="BE334" s="123"/>
      <c r="BF334" s="123"/>
      <c r="BK334" s="115"/>
      <c r="BL334" s="115"/>
      <c r="BM334" s="115"/>
      <c r="BN334" s="115"/>
      <c r="BO334" s="115"/>
      <c r="BP334" s="115"/>
      <c r="BQ334" s="115"/>
      <c r="BR334" s="115"/>
      <c r="BS334" s="115"/>
      <c r="BT334" s="115"/>
      <c r="BU334" s="25"/>
      <c r="BV334" s="13"/>
      <c r="BY334" s="114"/>
    </row>
    <row r="335" spans="1:77" ht="20.100000000000001" customHeight="1" x14ac:dyDescent="0.4">
      <c r="A335" s="117"/>
      <c r="B335" s="123"/>
      <c r="C335" s="123"/>
      <c r="D335" s="123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26"/>
      <c r="W335" s="13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15"/>
      <c r="AL335" s="127"/>
      <c r="AM335" s="29"/>
      <c r="AW335" s="25"/>
      <c r="AX335" s="13"/>
      <c r="BC335" s="116"/>
      <c r="BD335" s="123"/>
      <c r="BE335" s="123"/>
      <c r="BF335" s="123"/>
      <c r="BK335" s="115"/>
      <c r="BL335" s="115"/>
      <c r="BM335" s="115"/>
      <c r="BN335" s="115"/>
      <c r="BO335" s="115"/>
      <c r="BP335" s="115"/>
      <c r="BQ335" s="115"/>
      <c r="BR335" s="115"/>
      <c r="BS335" s="115"/>
      <c r="BT335" s="115"/>
      <c r="BU335" s="25"/>
      <c r="BV335" s="13"/>
      <c r="BY335" s="114"/>
    </row>
    <row r="336" spans="1:77" ht="20.100000000000001" customHeight="1" x14ac:dyDescent="0.4">
      <c r="A336" s="117"/>
      <c r="B336" s="123"/>
      <c r="C336" s="123"/>
      <c r="D336" s="123"/>
      <c r="V336" s="26"/>
      <c r="W336" s="133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15"/>
      <c r="AL336" s="127"/>
      <c r="AM336" s="29"/>
      <c r="AW336" s="25"/>
      <c r="AX336" s="13"/>
      <c r="BC336" s="116"/>
      <c r="BD336" s="123"/>
      <c r="BE336" s="123"/>
      <c r="BF336" s="123"/>
      <c r="BK336" s="115"/>
      <c r="BL336" s="115"/>
      <c r="BM336" s="115"/>
      <c r="BN336" s="115"/>
      <c r="BO336" s="115"/>
      <c r="BP336" s="115"/>
      <c r="BQ336" s="115"/>
      <c r="BR336" s="115"/>
      <c r="BS336" s="115"/>
      <c r="BT336" s="115"/>
      <c r="BU336" s="25"/>
      <c r="BV336" s="13"/>
      <c r="BY336" s="114"/>
    </row>
    <row r="337" spans="1:77" ht="20.100000000000001" customHeight="1" x14ac:dyDescent="0.4">
      <c r="A337" s="117"/>
      <c r="B337" s="123"/>
      <c r="C337" s="123"/>
      <c r="D337" s="123"/>
      <c r="V337" s="26"/>
      <c r="W337" s="13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15"/>
      <c r="AL337" s="127"/>
      <c r="AM337" s="29"/>
      <c r="AW337" s="25"/>
      <c r="AX337" s="13"/>
      <c r="BC337" s="116"/>
      <c r="BD337" s="123"/>
      <c r="BE337" s="123"/>
      <c r="BF337" s="123"/>
      <c r="BK337" s="115"/>
      <c r="BL337" s="115"/>
      <c r="BM337" s="115"/>
      <c r="BN337" s="115"/>
      <c r="BO337" s="115"/>
      <c r="BP337" s="115"/>
      <c r="BQ337" s="115"/>
      <c r="BR337" s="115"/>
      <c r="BS337" s="115"/>
      <c r="BT337" s="115"/>
      <c r="BU337" s="25"/>
      <c r="BV337" s="13"/>
      <c r="BY337" s="114"/>
    </row>
    <row r="338" spans="1:77" ht="20.100000000000001" customHeight="1" x14ac:dyDescent="0.4">
      <c r="A338" s="117"/>
      <c r="B338" s="123"/>
      <c r="C338" s="123"/>
      <c r="D338" s="123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26"/>
      <c r="W338" s="13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15"/>
      <c r="AL338" s="127"/>
      <c r="AM338" s="29"/>
      <c r="AW338" s="25"/>
      <c r="AX338" s="13"/>
      <c r="BC338" s="116"/>
      <c r="BD338" s="123"/>
      <c r="BE338" s="123"/>
      <c r="BF338" s="123"/>
      <c r="BK338" s="115"/>
      <c r="BL338" s="115"/>
      <c r="BM338" s="115"/>
      <c r="BN338" s="115"/>
      <c r="BO338" s="115"/>
      <c r="BP338" s="115"/>
      <c r="BQ338" s="115"/>
      <c r="BR338" s="115"/>
      <c r="BS338" s="115"/>
      <c r="BT338" s="115"/>
      <c r="BU338" s="25"/>
      <c r="BV338" s="13"/>
      <c r="BY338" s="114"/>
    </row>
    <row r="339" spans="1:77" ht="20.100000000000001" customHeight="1" x14ac:dyDescent="0.4">
      <c r="A339" s="117"/>
      <c r="B339" s="123"/>
      <c r="C339" s="123"/>
      <c r="D339" s="123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7"/>
      <c r="W339" s="13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15"/>
      <c r="AL339" s="127"/>
      <c r="AM339" s="29"/>
      <c r="AW339" s="25"/>
      <c r="AX339" s="13"/>
      <c r="BC339" s="116"/>
      <c r="BD339" s="123"/>
      <c r="BE339" s="123"/>
      <c r="BF339" s="123"/>
      <c r="BK339" s="115"/>
      <c r="BL339" s="115"/>
      <c r="BM339" s="115"/>
      <c r="BN339" s="115"/>
      <c r="BO339" s="115"/>
      <c r="BP339" s="115"/>
      <c r="BQ339" s="115"/>
      <c r="BR339" s="115"/>
      <c r="BS339" s="115"/>
      <c r="BT339" s="115"/>
      <c r="BU339" s="25"/>
      <c r="BV339" s="13"/>
      <c r="BY339" s="114"/>
    </row>
    <row r="340" spans="1:77" ht="20.100000000000001" customHeight="1" x14ac:dyDescent="0.4">
      <c r="A340" s="117"/>
      <c r="B340" s="123"/>
      <c r="C340" s="123"/>
      <c r="D340" s="123"/>
      <c r="V340" s="26"/>
      <c r="W340" s="13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15"/>
      <c r="AL340" s="127"/>
      <c r="AM340" s="29"/>
      <c r="AW340" s="25"/>
      <c r="AX340" s="13"/>
      <c r="BC340" s="116"/>
      <c r="BD340" s="123"/>
      <c r="BE340" s="123"/>
      <c r="BF340" s="123"/>
      <c r="BK340" s="115"/>
      <c r="BL340" s="115"/>
      <c r="BM340" s="115"/>
      <c r="BN340" s="115"/>
      <c r="BO340" s="115"/>
      <c r="BP340" s="115"/>
      <c r="BQ340" s="115"/>
      <c r="BR340" s="115"/>
      <c r="BS340" s="115"/>
      <c r="BT340" s="115"/>
      <c r="BU340" s="25"/>
      <c r="BV340" s="13"/>
      <c r="BY340" s="114"/>
    </row>
    <row r="341" spans="1:77" ht="20.100000000000001" customHeight="1" x14ac:dyDescent="0.4">
      <c r="A341" s="117"/>
      <c r="B341" s="123"/>
      <c r="C341" s="123"/>
      <c r="D341" s="123"/>
      <c r="M341" s="115"/>
      <c r="N341" s="115"/>
      <c r="O341" s="115"/>
      <c r="P341" s="115"/>
      <c r="Q341" s="115"/>
      <c r="R341" s="115"/>
      <c r="S341" s="115"/>
      <c r="T341" s="115"/>
      <c r="U341" s="115"/>
      <c r="V341" s="17"/>
      <c r="W341" s="13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15"/>
      <c r="AL341" s="127"/>
      <c r="AM341" s="29"/>
      <c r="AW341" s="25"/>
      <c r="AX341" s="13"/>
      <c r="BC341" s="116"/>
      <c r="BD341" s="123"/>
      <c r="BE341" s="123"/>
      <c r="BF341" s="123"/>
      <c r="BK341" s="115"/>
      <c r="BL341" s="115"/>
      <c r="BM341" s="115"/>
      <c r="BN341" s="115"/>
      <c r="BO341" s="115"/>
      <c r="BP341" s="115"/>
      <c r="BQ341" s="115"/>
      <c r="BR341" s="115"/>
      <c r="BS341" s="115"/>
      <c r="BT341" s="115"/>
      <c r="BU341" s="25"/>
      <c r="BV341" s="13"/>
      <c r="BY341" s="114"/>
    </row>
    <row r="342" spans="1:77" ht="20.100000000000001" customHeight="1" x14ac:dyDescent="0.4">
      <c r="A342" s="117"/>
      <c r="B342" s="123"/>
      <c r="C342" s="123"/>
      <c r="D342" s="123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26"/>
      <c r="W342" s="13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15"/>
      <c r="AL342" s="127"/>
      <c r="AM342" s="29"/>
      <c r="AW342" s="25"/>
      <c r="AX342" s="13"/>
      <c r="BC342" s="116"/>
      <c r="BD342" s="123"/>
      <c r="BE342" s="123"/>
      <c r="BF342" s="123"/>
      <c r="BK342" s="115"/>
      <c r="BL342" s="115"/>
      <c r="BM342" s="115"/>
      <c r="BN342" s="115"/>
      <c r="BO342" s="115"/>
      <c r="BP342" s="115"/>
      <c r="BQ342" s="115"/>
      <c r="BR342" s="115"/>
      <c r="BS342" s="115"/>
      <c r="BT342" s="115"/>
      <c r="BU342" s="25"/>
      <c r="BV342" s="13"/>
      <c r="BY342" s="114"/>
    </row>
    <row r="343" spans="1:77" ht="20.100000000000001" customHeight="1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26"/>
      <c r="W343" s="13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15"/>
      <c r="AL343" s="127"/>
      <c r="AM343" s="29"/>
      <c r="AW343" s="25"/>
      <c r="AX343" s="13"/>
      <c r="BC343" s="116"/>
      <c r="BD343" s="123"/>
      <c r="BE343" s="123"/>
      <c r="BF343" s="123"/>
      <c r="BK343" s="115"/>
      <c r="BL343" s="115"/>
      <c r="BM343" s="115"/>
      <c r="BN343" s="115"/>
      <c r="BO343" s="115"/>
      <c r="BP343" s="115"/>
      <c r="BQ343" s="115"/>
      <c r="BR343" s="115"/>
      <c r="BS343" s="115"/>
      <c r="BT343" s="115"/>
      <c r="BU343" s="25"/>
      <c r="BV343" s="13"/>
      <c r="BY343" s="114"/>
    </row>
    <row r="344" spans="1:77" ht="20.100000000000001" customHeight="1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7"/>
      <c r="W344" s="13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15"/>
      <c r="AL344" s="127"/>
      <c r="AM344" s="29"/>
      <c r="AW344" s="25"/>
      <c r="AX344" s="13"/>
      <c r="BC344" s="116"/>
      <c r="BD344" s="123"/>
      <c r="BE344" s="123"/>
      <c r="BF344" s="123"/>
      <c r="BK344" s="115"/>
      <c r="BL344" s="115"/>
      <c r="BM344" s="115"/>
      <c r="BN344" s="115"/>
      <c r="BO344" s="115"/>
      <c r="BP344" s="115"/>
      <c r="BQ344" s="115"/>
      <c r="BR344" s="115"/>
      <c r="BS344" s="115"/>
      <c r="BT344" s="115"/>
      <c r="BU344" s="25"/>
      <c r="BV344" s="13"/>
      <c r="BY344" s="114"/>
    </row>
    <row r="345" spans="1:77" ht="20.100000000000001" customHeight="1" x14ac:dyDescent="0.4">
      <c r="A345" s="117"/>
      <c r="B345" s="123"/>
      <c r="C345" s="123"/>
      <c r="D345" s="123"/>
      <c r="V345" s="26"/>
      <c r="W345" s="133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15"/>
      <c r="AL345" s="29"/>
      <c r="AM345" s="29"/>
      <c r="AW345" s="25"/>
      <c r="AX345" s="13"/>
      <c r="BC345" s="116"/>
      <c r="BD345" s="123"/>
      <c r="BE345" s="123"/>
      <c r="BF345" s="123"/>
      <c r="BK345" s="115"/>
      <c r="BL345" s="115"/>
      <c r="BM345" s="115"/>
      <c r="BN345" s="115"/>
      <c r="BO345" s="115"/>
      <c r="BP345" s="115"/>
      <c r="BQ345" s="115"/>
      <c r="BR345" s="115"/>
      <c r="BS345" s="115"/>
      <c r="BT345" s="115"/>
      <c r="BU345" s="25"/>
      <c r="BV345" s="13"/>
      <c r="BY345" s="114"/>
    </row>
    <row r="346" spans="1:77" ht="20.100000000000001" customHeight="1" x14ac:dyDescent="0.4">
      <c r="A346" s="117"/>
      <c r="B346" s="123"/>
      <c r="C346" s="123"/>
      <c r="D346" s="123"/>
      <c r="M346" s="115"/>
      <c r="N346" s="115"/>
      <c r="O346" s="115"/>
      <c r="P346" s="115"/>
      <c r="Q346" s="115"/>
      <c r="R346" s="115"/>
      <c r="S346" s="115"/>
      <c r="T346" s="115"/>
      <c r="U346" s="115"/>
      <c r="V346" s="17"/>
      <c r="W346" s="13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15"/>
      <c r="AL346" s="29"/>
      <c r="AM346" s="29"/>
      <c r="AW346" s="25"/>
      <c r="AX346" s="13"/>
      <c r="BC346" s="116"/>
      <c r="BD346" s="123"/>
      <c r="BE346" s="123"/>
      <c r="BF346" s="123"/>
      <c r="BK346" s="115"/>
      <c r="BL346" s="115"/>
      <c r="BM346" s="115"/>
      <c r="BN346" s="115"/>
      <c r="BO346" s="115"/>
      <c r="BP346" s="115"/>
      <c r="BQ346" s="115"/>
      <c r="BR346" s="115"/>
      <c r="BS346" s="115"/>
      <c r="BT346" s="115"/>
      <c r="BU346" s="25"/>
      <c r="BV346" s="13"/>
      <c r="BY346" s="114"/>
    </row>
    <row r="347" spans="1:77" ht="20.100000000000001" customHeight="1" x14ac:dyDescent="0.4">
      <c r="A347" s="117"/>
      <c r="B347" s="123"/>
      <c r="C347" s="123"/>
      <c r="D347" s="123"/>
      <c r="V347" s="26"/>
      <c r="W347" s="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15"/>
      <c r="AL347" s="127"/>
      <c r="AM347" s="29"/>
      <c r="AW347" s="25"/>
      <c r="AX347" s="13"/>
      <c r="BC347" s="116"/>
      <c r="BD347" s="123"/>
      <c r="BE347" s="123"/>
      <c r="BF347" s="123"/>
      <c r="BK347" s="115"/>
      <c r="BL347" s="115"/>
      <c r="BM347" s="115"/>
      <c r="BN347" s="115"/>
      <c r="BO347" s="115"/>
      <c r="BP347" s="115"/>
      <c r="BQ347" s="115"/>
      <c r="BR347" s="115"/>
      <c r="BS347" s="115"/>
      <c r="BT347" s="115"/>
      <c r="BU347" s="25"/>
      <c r="BV347" s="13"/>
      <c r="BY347" s="114"/>
    </row>
    <row r="348" spans="1:77" ht="20.100000000000001" customHeight="1" x14ac:dyDescent="0.4">
      <c r="A348" s="117"/>
      <c r="B348" s="123"/>
      <c r="C348" s="123"/>
      <c r="D348" s="123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26"/>
      <c r="W348" s="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15"/>
      <c r="AL348" s="127"/>
      <c r="AM348" s="29"/>
      <c r="AW348" s="25"/>
      <c r="AX348" s="13"/>
      <c r="BC348" s="116"/>
      <c r="BD348" s="123"/>
      <c r="BE348" s="123"/>
      <c r="BF348" s="123"/>
      <c r="BK348" s="115"/>
      <c r="BL348" s="115"/>
      <c r="BM348" s="115"/>
      <c r="BN348" s="115"/>
      <c r="BO348" s="115"/>
      <c r="BP348" s="115"/>
      <c r="BQ348" s="115"/>
      <c r="BR348" s="115"/>
      <c r="BS348" s="115"/>
      <c r="BT348" s="115"/>
      <c r="BU348" s="25"/>
      <c r="BV348" s="13"/>
      <c r="BY348" s="114"/>
    </row>
    <row r="349" spans="1:77" ht="20.100000000000001" customHeight="1" x14ac:dyDescent="0.4">
      <c r="A349" s="117"/>
      <c r="B349" s="123"/>
      <c r="C349" s="123"/>
      <c r="D349" s="123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7"/>
      <c r="W349" s="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15"/>
      <c r="AL349" s="127"/>
      <c r="AM349" s="29"/>
      <c r="AW349" s="25"/>
      <c r="AX349" s="13"/>
      <c r="BC349" s="116"/>
      <c r="BD349" s="123"/>
      <c r="BE349" s="123"/>
      <c r="BF349" s="123"/>
      <c r="BK349" s="115"/>
      <c r="BL349" s="115"/>
      <c r="BM349" s="115"/>
      <c r="BN349" s="115"/>
      <c r="BO349" s="115"/>
      <c r="BP349" s="115"/>
      <c r="BQ349" s="115"/>
      <c r="BR349" s="115"/>
      <c r="BS349" s="115"/>
      <c r="BT349" s="115"/>
      <c r="BU349" s="25"/>
      <c r="BV349" s="13"/>
      <c r="BY349" s="114"/>
    </row>
    <row r="350" spans="1:77" ht="20.100000000000001" customHeight="1" x14ac:dyDescent="0.4">
      <c r="A350" s="117"/>
      <c r="B350" s="123"/>
      <c r="C350" s="123"/>
      <c r="D350" s="123"/>
      <c r="V350" s="26"/>
      <c r="W350" s="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15"/>
      <c r="AL350" s="127"/>
      <c r="AM350" s="29"/>
      <c r="AW350" s="25"/>
      <c r="AX350" s="13"/>
      <c r="BC350" s="116"/>
      <c r="BD350" s="123"/>
      <c r="BE350" s="123"/>
      <c r="BF350" s="123"/>
      <c r="BK350" s="115"/>
      <c r="BL350" s="115"/>
      <c r="BM350" s="115"/>
      <c r="BN350" s="115"/>
      <c r="BO350" s="115"/>
      <c r="BP350" s="115"/>
      <c r="BQ350" s="115"/>
      <c r="BR350" s="115"/>
      <c r="BS350" s="115"/>
      <c r="BT350" s="115"/>
      <c r="BU350" s="25"/>
      <c r="BV350" s="13"/>
      <c r="BY350" s="114"/>
    </row>
    <row r="351" spans="1:77" ht="20.100000000000001" customHeight="1" x14ac:dyDescent="0.4">
      <c r="A351" s="117"/>
      <c r="B351" s="123"/>
      <c r="C351" s="123"/>
      <c r="D351" s="123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26"/>
      <c r="W351" s="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15"/>
      <c r="AL351" s="127"/>
      <c r="AM351" s="29"/>
      <c r="AW351" s="25"/>
      <c r="AX351" s="13"/>
      <c r="BC351" s="116"/>
      <c r="BD351" s="123"/>
      <c r="BE351" s="123"/>
      <c r="BF351" s="123"/>
      <c r="BK351" s="115"/>
      <c r="BL351" s="115"/>
      <c r="BM351" s="115"/>
      <c r="BN351" s="115"/>
      <c r="BO351" s="115"/>
      <c r="BP351" s="115"/>
      <c r="BQ351" s="115"/>
      <c r="BR351" s="115"/>
      <c r="BS351" s="115"/>
      <c r="BT351" s="115"/>
      <c r="BU351" s="25"/>
      <c r="BV351" s="13"/>
      <c r="BY351" s="114"/>
    </row>
    <row r="352" spans="1:77" ht="20.100000000000001" customHeight="1" x14ac:dyDescent="0.4">
      <c r="A352" s="117"/>
      <c r="B352" s="123"/>
      <c r="C352" s="123"/>
      <c r="D352" s="123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20"/>
      <c r="W352" s="13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15"/>
      <c r="AL352" s="127"/>
      <c r="AM352" s="29"/>
      <c r="AW352" s="25"/>
      <c r="AX352" s="13"/>
      <c r="BC352" s="116"/>
      <c r="BD352" s="123"/>
      <c r="BE352" s="123"/>
      <c r="BF352" s="123"/>
      <c r="BK352" s="115"/>
      <c r="BL352" s="115"/>
      <c r="BM352" s="115"/>
      <c r="BN352" s="115"/>
      <c r="BO352" s="115"/>
      <c r="BP352" s="115"/>
      <c r="BQ352" s="115"/>
      <c r="BR352" s="115"/>
      <c r="BS352" s="115"/>
      <c r="BT352" s="115"/>
      <c r="BU352" s="25"/>
      <c r="BV352" s="13"/>
      <c r="BY352" s="114"/>
    </row>
    <row r="353" spans="1:77" ht="20.100000000000001" customHeight="1" x14ac:dyDescent="0.4">
      <c r="A353" s="117"/>
      <c r="B353" s="123"/>
      <c r="C353" s="123"/>
      <c r="D353" s="123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20"/>
      <c r="W353" s="13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15"/>
      <c r="AL353" s="127"/>
      <c r="AM353" s="29"/>
      <c r="AW353" s="25"/>
      <c r="AX353" s="13"/>
      <c r="BC353" s="116"/>
      <c r="BD353" s="123"/>
      <c r="BE353" s="123"/>
      <c r="BF353" s="123"/>
      <c r="BK353" s="115"/>
      <c r="BL353" s="115"/>
      <c r="BM353" s="115"/>
      <c r="BN353" s="115"/>
      <c r="BO353" s="115"/>
      <c r="BP353" s="115"/>
      <c r="BQ353" s="115"/>
      <c r="BR353" s="115"/>
      <c r="BS353" s="115"/>
      <c r="BT353" s="115"/>
      <c r="BU353" s="25"/>
      <c r="BV353" s="13"/>
      <c r="BY353" s="114"/>
    </row>
    <row r="354" spans="1:77" ht="20.100000000000001" customHeight="1" x14ac:dyDescent="0.4">
      <c r="A354" s="117"/>
      <c r="B354" s="123"/>
      <c r="C354" s="123"/>
      <c r="D354" s="123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25"/>
      <c r="W354" s="13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15"/>
      <c r="AL354" s="127"/>
      <c r="AM354" s="29"/>
      <c r="AW354" s="25"/>
      <c r="AX354" s="13"/>
      <c r="BC354" s="116"/>
      <c r="BD354" s="123"/>
      <c r="BE354" s="123"/>
      <c r="BF354" s="123"/>
      <c r="BK354" s="115"/>
      <c r="BL354" s="115"/>
      <c r="BM354" s="115"/>
      <c r="BN354" s="115"/>
      <c r="BO354" s="115"/>
      <c r="BP354" s="115"/>
      <c r="BQ354" s="115"/>
      <c r="BR354" s="115"/>
      <c r="BS354" s="115"/>
      <c r="BT354" s="115"/>
      <c r="BU354" s="25"/>
      <c r="BV354" s="13"/>
      <c r="BY354" s="114"/>
    </row>
    <row r="355" spans="1:77" ht="20.100000000000001" customHeight="1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25"/>
      <c r="W355" s="13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15"/>
      <c r="AL355" s="127"/>
      <c r="AM355" s="29"/>
      <c r="AW355" s="25"/>
      <c r="AX355" s="13"/>
      <c r="BC355" s="116"/>
      <c r="BD355" s="123"/>
      <c r="BE355" s="123"/>
      <c r="BF355" s="123"/>
      <c r="BK355" s="115"/>
      <c r="BL355" s="115"/>
      <c r="BM355" s="115"/>
      <c r="BN355" s="115"/>
      <c r="BO355" s="115"/>
      <c r="BP355" s="115"/>
      <c r="BQ355" s="115"/>
      <c r="BR355" s="115"/>
      <c r="BS355" s="115"/>
      <c r="BT355" s="115"/>
      <c r="BU355" s="25"/>
      <c r="BV355" s="13"/>
      <c r="BY355" s="114"/>
    </row>
    <row r="356" spans="1:77" ht="20.100000000000001" customHeight="1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3"/>
      <c r="W356" s="13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15"/>
      <c r="AL356" s="127"/>
      <c r="AM356" s="29"/>
      <c r="AW356" s="25"/>
      <c r="AX356" s="13"/>
      <c r="BC356" s="116"/>
      <c r="BD356" s="123"/>
      <c r="BE356" s="123"/>
      <c r="BF356" s="123"/>
      <c r="BK356" s="115"/>
      <c r="BL356" s="115"/>
      <c r="BM356" s="115"/>
      <c r="BN356" s="115"/>
      <c r="BO356" s="115"/>
      <c r="BP356" s="115"/>
      <c r="BQ356" s="115"/>
      <c r="BR356" s="115"/>
      <c r="BS356" s="115"/>
      <c r="BT356" s="115"/>
      <c r="BU356" s="25"/>
      <c r="BV356" s="13"/>
      <c r="BY356" s="114"/>
    </row>
    <row r="357" spans="1:77" ht="20.100000000000001" customHeight="1" x14ac:dyDescent="0.4">
      <c r="A357" s="117"/>
      <c r="B357" s="123"/>
      <c r="C357" s="123"/>
      <c r="D357" s="123"/>
      <c r="V357" s="25"/>
      <c r="W357" s="13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115"/>
      <c r="AL357" s="127"/>
      <c r="AM357" s="29"/>
      <c r="AW357" s="25"/>
      <c r="AX357" s="13"/>
      <c r="BC357" s="116"/>
      <c r="BD357" s="123"/>
      <c r="BE357" s="123"/>
      <c r="BF357" s="123"/>
      <c r="BK357" s="115"/>
      <c r="BL357" s="115"/>
      <c r="BM357" s="115"/>
      <c r="BN357" s="115"/>
      <c r="BO357" s="115"/>
      <c r="BP357" s="115"/>
      <c r="BQ357" s="115"/>
      <c r="BR357" s="115"/>
      <c r="BS357" s="115"/>
      <c r="BT357" s="115"/>
      <c r="BU357" s="25"/>
      <c r="BV357" s="13"/>
      <c r="BY357" s="114"/>
    </row>
    <row r="358" spans="1:77" ht="20.100000000000001" customHeight="1" x14ac:dyDescent="0.4">
      <c r="A358" s="117"/>
      <c r="B358" s="123"/>
      <c r="C358" s="123"/>
      <c r="D358" s="123"/>
      <c r="V358" s="25"/>
      <c r="W358" s="13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15"/>
      <c r="AL358" s="127"/>
      <c r="AM358" s="29"/>
      <c r="AW358" s="25"/>
      <c r="AX358" s="13"/>
      <c r="BC358" s="116"/>
      <c r="BD358" s="123"/>
      <c r="BE358" s="123"/>
      <c r="BF358" s="123"/>
      <c r="BK358" s="115"/>
      <c r="BL358" s="115"/>
      <c r="BM358" s="115"/>
      <c r="BN358" s="115"/>
      <c r="BO358" s="115"/>
      <c r="BP358" s="115"/>
      <c r="BQ358" s="115"/>
      <c r="BR358" s="115"/>
      <c r="BS358" s="115"/>
      <c r="BT358" s="115"/>
      <c r="BU358" s="25"/>
      <c r="BV358" s="13"/>
      <c r="BY358" s="114"/>
    </row>
    <row r="359" spans="1:77" ht="20.100000000000001" customHeight="1" x14ac:dyDescent="0.4">
      <c r="A359" s="117"/>
      <c r="B359" s="123"/>
      <c r="C359" s="123"/>
      <c r="D359" s="123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25"/>
      <c r="W359" s="13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27"/>
      <c r="AM359" s="29"/>
      <c r="AW359" s="25"/>
      <c r="AX359" s="13"/>
      <c r="BC359" s="116"/>
      <c r="BD359" s="123"/>
      <c r="BE359" s="123"/>
      <c r="BF359" s="123"/>
      <c r="BK359" s="115"/>
      <c r="BL359" s="115"/>
      <c r="BM359" s="115"/>
      <c r="BN359" s="115"/>
      <c r="BO359" s="115"/>
      <c r="BP359" s="115"/>
      <c r="BQ359" s="115"/>
      <c r="BR359" s="115"/>
      <c r="BS359" s="115"/>
      <c r="BT359" s="115"/>
      <c r="BU359" s="25"/>
      <c r="BV359" s="13"/>
      <c r="BY359" s="114"/>
    </row>
    <row r="360" spans="1:77" ht="20.100000000000001" customHeight="1" x14ac:dyDescent="0.4">
      <c r="A360" s="117"/>
      <c r="B360" s="123"/>
      <c r="C360" s="123"/>
      <c r="D360" s="123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3"/>
      <c r="W360" s="13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27"/>
      <c r="AM360" s="29"/>
      <c r="AW360" s="25"/>
      <c r="AX360" s="13"/>
      <c r="BC360" s="116"/>
      <c r="BD360" s="123"/>
      <c r="BE360" s="123"/>
      <c r="BF360" s="123"/>
      <c r="BK360" s="115"/>
      <c r="BL360" s="115"/>
      <c r="BM360" s="115"/>
      <c r="BN360" s="115"/>
      <c r="BO360" s="115"/>
      <c r="BP360" s="115"/>
      <c r="BQ360" s="115"/>
      <c r="BR360" s="115"/>
      <c r="BS360" s="115"/>
      <c r="BT360" s="115"/>
      <c r="BU360" s="25"/>
      <c r="BV360" s="13"/>
      <c r="BY360" s="114"/>
    </row>
    <row r="361" spans="1:77" ht="20.100000000000001" customHeight="1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25"/>
      <c r="W361" s="13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27"/>
      <c r="AM361" s="29"/>
      <c r="AW361" s="25"/>
      <c r="AX361" s="13"/>
      <c r="BC361" s="116"/>
      <c r="BD361" s="123"/>
      <c r="BE361" s="123"/>
      <c r="BF361" s="123"/>
      <c r="BK361" s="115"/>
      <c r="BL361" s="115"/>
      <c r="BM361" s="115"/>
      <c r="BN361" s="115"/>
      <c r="BO361" s="115"/>
      <c r="BP361" s="115"/>
      <c r="BQ361" s="115"/>
      <c r="BR361" s="115"/>
      <c r="BS361" s="115"/>
      <c r="BT361" s="115"/>
      <c r="BU361" s="25"/>
      <c r="BV361" s="13"/>
      <c r="BY361" s="114"/>
    </row>
    <row r="362" spans="1:77" ht="20.100000000000001" customHeight="1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3"/>
      <c r="W362" s="13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27"/>
      <c r="AM362" s="29"/>
      <c r="AW362" s="25"/>
      <c r="AX362" s="13"/>
      <c r="BC362" s="116"/>
      <c r="BD362" s="123"/>
      <c r="BE362" s="123"/>
      <c r="BF362" s="123"/>
      <c r="BK362" s="115"/>
      <c r="BL362" s="115"/>
      <c r="BM362" s="115"/>
      <c r="BN362" s="115"/>
      <c r="BO362" s="115"/>
      <c r="BP362" s="115"/>
      <c r="BQ362" s="115"/>
      <c r="BR362" s="115"/>
      <c r="BS362" s="115"/>
      <c r="BT362" s="115"/>
      <c r="BU362" s="25"/>
      <c r="BV362" s="13"/>
      <c r="BY362" s="114"/>
    </row>
    <row r="363" spans="1:77" ht="20.100000000000001" customHeight="1" x14ac:dyDescent="0.4">
      <c r="A363" s="117"/>
      <c r="B363" s="123"/>
      <c r="C363" s="123"/>
      <c r="D363" s="123"/>
      <c r="V363" s="25"/>
      <c r="W363" s="13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27"/>
      <c r="AM363" s="29"/>
      <c r="AW363" s="25"/>
      <c r="AX363" s="13"/>
      <c r="BC363" s="116"/>
      <c r="BD363" s="123"/>
      <c r="BE363" s="123"/>
      <c r="BF363" s="123"/>
      <c r="BK363" s="115"/>
      <c r="BL363" s="115"/>
      <c r="BM363" s="115"/>
      <c r="BN363" s="115"/>
      <c r="BO363" s="115"/>
      <c r="BP363" s="115"/>
      <c r="BQ363" s="115"/>
      <c r="BR363" s="115"/>
      <c r="BS363" s="115"/>
      <c r="BT363" s="115"/>
      <c r="BU363" s="25"/>
      <c r="BV363" s="13"/>
      <c r="BY363" s="114"/>
    </row>
    <row r="364" spans="1:77" ht="20.100000000000001" customHeight="1" x14ac:dyDescent="0.4">
      <c r="A364" s="117"/>
      <c r="B364" s="123"/>
      <c r="C364" s="123"/>
      <c r="D364" s="123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3"/>
      <c r="W364" s="13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27"/>
      <c r="AM364" s="29"/>
      <c r="AW364" s="25"/>
      <c r="AX364" s="13"/>
      <c r="BC364" s="116"/>
      <c r="BD364" s="123"/>
      <c r="BE364" s="123"/>
      <c r="BF364" s="123"/>
      <c r="BK364" s="115"/>
      <c r="BL364" s="115"/>
      <c r="BM364" s="115"/>
      <c r="BN364" s="115"/>
      <c r="BO364" s="115"/>
      <c r="BP364" s="115"/>
      <c r="BQ364" s="115"/>
      <c r="BR364" s="115"/>
      <c r="BS364" s="115"/>
      <c r="BT364" s="115"/>
      <c r="BU364" s="25"/>
      <c r="BV364" s="13"/>
      <c r="BY364" s="114"/>
    </row>
    <row r="365" spans="1:77" ht="20.100000000000001" customHeight="1" x14ac:dyDescent="0.4">
      <c r="A365" s="117"/>
      <c r="B365" s="123"/>
      <c r="C365" s="123"/>
      <c r="D365" s="123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3"/>
      <c r="W365" s="13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27"/>
      <c r="AM365" s="29"/>
      <c r="AW365" s="25"/>
      <c r="AX365" s="13"/>
      <c r="BC365" s="116"/>
      <c r="BD365" s="123"/>
      <c r="BE365" s="123"/>
      <c r="BF365" s="123"/>
      <c r="BK365" s="115"/>
      <c r="BL365" s="115"/>
      <c r="BM365" s="115"/>
      <c r="BN365" s="115"/>
      <c r="BO365" s="115"/>
      <c r="BP365" s="115"/>
      <c r="BQ365" s="115"/>
      <c r="BR365" s="115"/>
      <c r="BS365" s="115"/>
      <c r="BT365" s="115"/>
      <c r="BU365" s="25"/>
      <c r="BV365" s="13"/>
      <c r="BY365" s="114"/>
    </row>
    <row r="366" spans="1:77" ht="20.100000000000001" customHeight="1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25"/>
      <c r="W366" s="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27"/>
      <c r="AM366" s="29"/>
      <c r="AW366" s="25"/>
      <c r="AX366" s="13"/>
      <c r="BC366" s="116"/>
      <c r="BD366" s="123"/>
      <c r="BE366" s="123"/>
      <c r="BF366" s="123"/>
      <c r="BK366" s="115"/>
      <c r="BL366" s="115"/>
      <c r="BM366" s="115"/>
      <c r="BN366" s="115"/>
      <c r="BO366" s="115"/>
      <c r="BP366" s="115"/>
      <c r="BQ366" s="115"/>
      <c r="BR366" s="115"/>
      <c r="BS366" s="115"/>
      <c r="BT366" s="115"/>
      <c r="BU366" s="25"/>
      <c r="BV366" s="13"/>
      <c r="BY366" s="114"/>
    </row>
    <row r="367" spans="1:77" ht="20.100000000000001" customHeight="1" x14ac:dyDescent="0.4">
      <c r="A367" s="117"/>
      <c r="B367" s="123"/>
      <c r="C367" s="123"/>
      <c r="D367" s="123"/>
      <c r="V367" s="25"/>
      <c r="W367" s="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27"/>
      <c r="AM367" s="29"/>
      <c r="AW367" s="25"/>
      <c r="AX367" s="13"/>
      <c r="BC367" s="116"/>
      <c r="BD367" s="123"/>
      <c r="BE367" s="123"/>
      <c r="BF367" s="123"/>
      <c r="BK367" s="115"/>
      <c r="BL367" s="115"/>
      <c r="BM367" s="115"/>
      <c r="BN367" s="115"/>
      <c r="BO367" s="115"/>
      <c r="BP367" s="115"/>
      <c r="BQ367" s="115"/>
      <c r="BR367" s="115"/>
      <c r="BS367" s="115"/>
      <c r="BT367" s="115"/>
      <c r="BU367" s="25"/>
      <c r="BV367" s="13"/>
      <c r="BY367" s="114"/>
    </row>
    <row r="368" spans="1:77" ht="20.100000000000001" customHeight="1" x14ac:dyDescent="0.4">
      <c r="A368" s="117"/>
      <c r="B368" s="123"/>
      <c r="C368" s="123"/>
      <c r="D368" s="123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25"/>
      <c r="W368" s="13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27"/>
      <c r="AM368" s="29"/>
      <c r="AW368" s="25"/>
      <c r="AX368" s="13"/>
      <c r="BC368" s="116"/>
      <c r="BD368" s="123"/>
      <c r="BE368" s="123"/>
      <c r="BF368" s="123"/>
      <c r="BK368" s="115"/>
      <c r="BL368" s="115"/>
      <c r="BM368" s="115"/>
      <c r="BN368" s="115"/>
      <c r="BO368" s="115"/>
      <c r="BP368" s="115"/>
      <c r="BQ368" s="115"/>
      <c r="BR368" s="115"/>
      <c r="BS368" s="115"/>
      <c r="BT368" s="115"/>
      <c r="BU368" s="25"/>
      <c r="BV368" s="13"/>
      <c r="BY368" s="114"/>
    </row>
    <row r="369" spans="1:77" ht="20.100000000000001" customHeight="1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25"/>
      <c r="W369" s="13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27"/>
      <c r="AM369" s="29"/>
      <c r="AW369" s="25"/>
      <c r="AX369" s="13"/>
      <c r="BC369" s="116"/>
      <c r="BD369" s="123"/>
      <c r="BE369" s="123"/>
      <c r="BF369" s="123"/>
      <c r="BK369" s="115"/>
      <c r="BL369" s="115"/>
      <c r="BM369" s="115"/>
      <c r="BN369" s="115"/>
      <c r="BO369" s="115"/>
      <c r="BP369" s="115"/>
      <c r="BQ369" s="115"/>
      <c r="BR369" s="115"/>
      <c r="BS369" s="115"/>
      <c r="BT369" s="115"/>
      <c r="BU369" s="25"/>
      <c r="BV369" s="13"/>
      <c r="BY369" s="114"/>
    </row>
    <row r="370" spans="1:77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25"/>
      <c r="W370" s="13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27"/>
      <c r="AM370" s="29"/>
      <c r="AW370" s="25"/>
      <c r="AX370" s="13"/>
      <c r="BC370" s="116"/>
      <c r="BD370" s="123"/>
      <c r="BE370" s="123"/>
      <c r="BF370" s="123"/>
      <c r="BK370" s="115"/>
      <c r="BL370" s="115"/>
      <c r="BM370" s="115"/>
      <c r="BN370" s="115"/>
      <c r="BO370" s="115"/>
      <c r="BP370" s="115"/>
      <c r="BQ370" s="115"/>
      <c r="BR370" s="115"/>
      <c r="BS370" s="115"/>
      <c r="BT370" s="115"/>
      <c r="BU370" s="25"/>
      <c r="BV370" s="13"/>
      <c r="BY370" s="114"/>
    </row>
    <row r="371" spans="1:77" ht="20.100000000000001" customHeight="1" x14ac:dyDescent="0.4">
      <c r="A371" s="117"/>
      <c r="B371" s="123"/>
      <c r="C371" s="123"/>
      <c r="D371" s="123"/>
      <c r="V371" s="25"/>
      <c r="W371" s="13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27"/>
      <c r="AM371" s="29"/>
      <c r="AW371" s="25"/>
      <c r="AX371" s="13"/>
      <c r="BC371" s="116"/>
      <c r="BD371" s="123"/>
      <c r="BE371" s="123"/>
      <c r="BF371" s="123"/>
      <c r="BK371" s="115"/>
      <c r="BL371" s="115"/>
      <c r="BM371" s="115"/>
      <c r="BN371" s="115"/>
      <c r="BO371" s="115"/>
      <c r="BP371" s="115"/>
      <c r="BQ371" s="115"/>
      <c r="BR371" s="115"/>
      <c r="BS371" s="115"/>
      <c r="BT371" s="115"/>
      <c r="BU371" s="25"/>
      <c r="BV371" s="13"/>
      <c r="BY371" s="114"/>
    </row>
    <row r="372" spans="1:77" ht="20.100000000000001" customHeight="1" x14ac:dyDescent="0.4">
      <c r="A372" s="117"/>
      <c r="B372" s="123"/>
      <c r="C372" s="123"/>
      <c r="D372" s="123"/>
      <c r="V372" s="25"/>
      <c r="W372" s="13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29"/>
      <c r="AM372" s="29"/>
      <c r="AW372" s="25"/>
      <c r="AX372" s="13"/>
      <c r="BC372" s="116"/>
      <c r="BD372" s="123"/>
      <c r="BE372" s="123"/>
      <c r="BF372" s="123"/>
      <c r="BK372" s="115"/>
      <c r="BL372" s="115"/>
      <c r="BM372" s="115"/>
      <c r="BN372" s="115"/>
      <c r="BO372" s="115"/>
      <c r="BP372" s="115"/>
      <c r="BQ372" s="115"/>
      <c r="BR372" s="115"/>
      <c r="BS372" s="115"/>
      <c r="BT372" s="115"/>
      <c r="BU372" s="25"/>
      <c r="BV372" s="13"/>
      <c r="BY372" s="114"/>
    </row>
    <row r="373" spans="1:77" ht="20.100000000000001" customHeight="1" x14ac:dyDescent="0.4">
      <c r="A373" s="117"/>
      <c r="B373" s="123"/>
      <c r="C373" s="123"/>
      <c r="D373" s="123"/>
      <c r="V373" s="25"/>
      <c r="W373" s="13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27"/>
      <c r="AM373" s="29"/>
      <c r="AW373" s="25"/>
      <c r="AX373" s="13"/>
      <c r="BC373" s="116"/>
      <c r="BD373" s="123"/>
      <c r="BE373" s="123"/>
      <c r="BF373" s="123"/>
      <c r="BK373" s="115"/>
      <c r="BL373" s="115"/>
      <c r="BM373" s="115"/>
      <c r="BN373" s="115"/>
      <c r="BO373" s="115"/>
      <c r="BP373" s="115"/>
      <c r="BQ373" s="115"/>
      <c r="BR373" s="115"/>
      <c r="BS373" s="115"/>
      <c r="BT373" s="115"/>
      <c r="BU373" s="25"/>
      <c r="BV373" s="13"/>
      <c r="BY373" s="114"/>
    </row>
    <row r="374" spans="1:77" ht="20.100000000000001" customHeight="1" x14ac:dyDescent="0.4">
      <c r="A374" s="117"/>
      <c r="B374" s="123"/>
      <c r="C374" s="123"/>
      <c r="D374" s="123"/>
      <c r="V374" s="25"/>
      <c r="W374" s="13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27"/>
      <c r="AM374" s="29"/>
      <c r="AW374" s="25"/>
      <c r="AX374" s="13"/>
      <c r="BC374" s="116"/>
      <c r="BD374" s="123"/>
      <c r="BE374" s="123"/>
      <c r="BF374" s="123"/>
      <c r="BK374" s="115"/>
      <c r="BL374" s="115"/>
      <c r="BM374" s="115"/>
      <c r="BN374" s="115"/>
      <c r="BO374" s="115"/>
      <c r="BP374" s="115"/>
      <c r="BQ374" s="115"/>
      <c r="BR374" s="115"/>
      <c r="BS374" s="115"/>
      <c r="BT374" s="115"/>
      <c r="BU374" s="25"/>
      <c r="BV374" s="13"/>
      <c r="BY374" s="114"/>
    </row>
    <row r="375" spans="1:77" ht="20.100000000000001" customHeight="1" x14ac:dyDescent="0.4">
      <c r="A375" s="117"/>
      <c r="B375" s="123"/>
      <c r="C375" s="123"/>
      <c r="D375" s="123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25"/>
      <c r="W375" s="13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27"/>
      <c r="AM375" s="29"/>
      <c r="AW375" s="25"/>
      <c r="AX375" s="13"/>
      <c r="BC375" s="116"/>
      <c r="BD375" s="123"/>
      <c r="BE375" s="123"/>
      <c r="BF375" s="123"/>
      <c r="BK375" s="115"/>
      <c r="BL375" s="115"/>
      <c r="BM375" s="115"/>
      <c r="BN375" s="115"/>
      <c r="BO375" s="115"/>
      <c r="BP375" s="115"/>
      <c r="BQ375" s="115"/>
      <c r="BR375" s="115"/>
      <c r="BS375" s="115"/>
      <c r="BT375" s="115"/>
      <c r="BU375" s="25"/>
      <c r="BV375" s="13"/>
      <c r="BY375" s="114"/>
    </row>
    <row r="376" spans="1:77" ht="20.100000000000001" customHeight="1" x14ac:dyDescent="0.4">
      <c r="A376" s="117"/>
      <c r="B376" s="123"/>
      <c r="C376" s="123"/>
      <c r="D376" s="123"/>
      <c r="V376" s="25"/>
      <c r="W376" s="13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27"/>
      <c r="AM376" s="29"/>
      <c r="AW376" s="25"/>
      <c r="AX376" s="13"/>
      <c r="BC376" s="116"/>
      <c r="BD376" s="123"/>
      <c r="BE376" s="123"/>
      <c r="BF376" s="123"/>
      <c r="BK376" s="115"/>
      <c r="BL376" s="115"/>
      <c r="BM376" s="115"/>
      <c r="BN376" s="115"/>
      <c r="BO376" s="115"/>
      <c r="BP376" s="115"/>
      <c r="BQ376" s="115"/>
      <c r="BR376" s="115"/>
      <c r="BS376" s="115"/>
      <c r="BT376" s="115"/>
      <c r="BU376" s="25"/>
      <c r="BV376" s="13"/>
      <c r="BY376" s="114"/>
    </row>
    <row r="377" spans="1:77" ht="20.100000000000001" customHeight="1" x14ac:dyDescent="0.4">
      <c r="A377" s="117"/>
      <c r="B377" s="123"/>
      <c r="C377" s="123"/>
      <c r="D377" s="123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3"/>
      <c r="W377" s="13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27"/>
      <c r="AM377" s="29"/>
      <c r="AW377" s="25"/>
      <c r="AX377" s="13"/>
      <c r="BC377" s="116"/>
      <c r="BD377" s="123"/>
      <c r="BE377" s="123"/>
      <c r="BF377" s="123"/>
      <c r="BK377" s="115"/>
      <c r="BL377" s="115"/>
      <c r="BM377" s="115"/>
      <c r="BN377" s="115"/>
      <c r="BO377" s="115"/>
      <c r="BP377" s="115"/>
      <c r="BQ377" s="115"/>
      <c r="BR377" s="115"/>
      <c r="BS377" s="115"/>
      <c r="BT377" s="115"/>
      <c r="BU377" s="25"/>
      <c r="BV377" s="13"/>
      <c r="BY377" s="114"/>
    </row>
    <row r="378" spans="1:77" ht="20.100000000000001" customHeight="1" x14ac:dyDescent="0.4">
      <c r="A378" s="117"/>
      <c r="B378" s="123"/>
      <c r="C378" s="123"/>
      <c r="D378" s="123"/>
      <c r="V378" s="25"/>
      <c r="W378" s="13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27"/>
      <c r="AM378" s="29"/>
      <c r="AW378" s="25"/>
      <c r="AX378" s="13"/>
      <c r="BC378" s="116"/>
      <c r="BD378" s="123"/>
      <c r="BE378" s="123"/>
      <c r="BF378" s="123"/>
      <c r="BK378" s="115"/>
      <c r="BL378" s="115"/>
      <c r="BM378" s="115"/>
      <c r="BN378" s="115"/>
      <c r="BO378" s="115"/>
      <c r="BP378" s="115"/>
      <c r="BQ378" s="115"/>
      <c r="BR378" s="115"/>
      <c r="BS378" s="115"/>
      <c r="BT378" s="115"/>
      <c r="BU378" s="25"/>
      <c r="BV378" s="13"/>
      <c r="BY378" s="114"/>
    </row>
    <row r="379" spans="1:77" ht="20.100000000000001" customHeight="1" x14ac:dyDescent="0.4">
      <c r="A379" s="117"/>
      <c r="B379" s="123"/>
      <c r="C379" s="123"/>
      <c r="D379" s="123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25"/>
      <c r="W379" s="13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27"/>
      <c r="AM379" s="29"/>
      <c r="AW379" s="25"/>
      <c r="AX379" s="13"/>
      <c r="BC379" s="116"/>
      <c r="BD379" s="123"/>
      <c r="BE379" s="123"/>
      <c r="BF379" s="123"/>
      <c r="BK379" s="115"/>
      <c r="BL379" s="115"/>
      <c r="BM379" s="115"/>
      <c r="BN379" s="115"/>
      <c r="BO379" s="115"/>
      <c r="BP379" s="115"/>
      <c r="BQ379" s="115"/>
      <c r="BR379" s="115"/>
      <c r="BS379" s="115"/>
      <c r="BT379" s="115"/>
      <c r="BU379" s="25"/>
      <c r="BV379" s="13"/>
      <c r="BY379" s="114"/>
    </row>
    <row r="380" spans="1:77" ht="20.100000000000001" customHeight="1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25"/>
      <c r="W380" s="13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27"/>
      <c r="AM380" s="29"/>
      <c r="AW380" s="25"/>
      <c r="AX380" s="13"/>
      <c r="BC380" s="116"/>
      <c r="BD380" s="123"/>
      <c r="BE380" s="123"/>
      <c r="BF380" s="123"/>
      <c r="BK380" s="115"/>
      <c r="BL380" s="115"/>
      <c r="BM380" s="115"/>
      <c r="BN380" s="115"/>
      <c r="BO380" s="115"/>
      <c r="BP380" s="115"/>
      <c r="BQ380" s="115"/>
      <c r="BR380" s="115"/>
      <c r="BS380" s="115"/>
      <c r="BT380" s="115"/>
      <c r="BU380" s="25"/>
      <c r="BV380" s="13"/>
      <c r="BY380" s="114"/>
    </row>
    <row r="381" spans="1:77" ht="20.100000000000001" customHeight="1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3"/>
      <c r="W381" s="13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27"/>
      <c r="AM381" s="29"/>
      <c r="AW381" s="25"/>
      <c r="AX381" s="13"/>
      <c r="BC381" s="116"/>
      <c r="BD381" s="123"/>
      <c r="BE381" s="123"/>
      <c r="BF381" s="123"/>
      <c r="BK381" s="115"/>
      <c r="BL381" s="115"/>
      <c r="BM381" s="115"/>
      <c r="BN381" s="115"/>
      <c r="BO381" s="115"/>
      <c r="BP381" s="115"/>
      <c r="BQ381" s="115"/>
      <c r="BR381" s="115"/>
      <c r="BS381" s="115"/>
      <c r="BT381" s="115"/>
      <c r="BU381" s="25"/>
      <c r="BV381" s="13"/>
      <c r="BY381" s="114"/>
    </row>
    <row r="382" spans="1:77" ht="20.100000000000001" customHeight="1" x14ac:dyDescent="0.4">
      <c r="A382" s="117"/>
      <c r="B382" s="123"/>
      <c r="C382" s="123"/>
      <c r="D382" s="123"/>
      <c r="V382" s="25"/>
      <c r="W382" s="13"/>
      <c r="AL382" s="127"/>
      <c r="AM382" s="29"/>
      <c r="AW382" s="25"/>
      <c r="AX382" s="13"/>
      <c r="BC382" s="116"/>
      <c r="BD382" s="123"/>
      <c r="BE382" s="123"/>
      <c r="BF382" s="123"/>
      <c r="BK382" s="115"/>
      <c r="BL382" s="115"/>
      <c r="BM382" s="115"/>
      <c r="BN382" s="115"/>
      <c r="BO382" s="115"/>
      <c r="BP382" s="115"/>
      <c r="BQ382" s="115"/>
      <c r="BR382" s="115"/>
      <c r="BS382" s="115"/>
      <c r="BT382" s="115"/>
      <c r="BU382" s="25"/>
      <c r="BV382" s="13"/>
      <c r="BY382" s="114"/>
    </row>
    <row r="383" spans="1:77" ht="20.100000000000001" customHeight="1" x14ac:dyDescent="0.4">
      <c r="A383" s="117"/>
      <c r="B383" s="123"/>
      <c r="C383" s="123"/>
      <c r="D383" s="123"/>
      <c r="V383" s="25"/>
      <c r="W383" s="13"/>
      <c r="AJ383" s="115"/>
      <c r="AK383" s="115"/>
      <c r="AL383" s="127"/>
      <c r="AM383" s="29"/>
      <c r="AW383" s="25"/>
      <c r="AX383" s="13"/>
      <c r="BC383" s="116"/>
      <c r="BD383" s="123"/>
      <c r="BE383" s="123"/>
      <c r="BF383" s="123"/>
      <c r="BK383" s="115"/>
      <c r="BL383" s="115"/>
      <c r="BM383" s="115"/>
      <c r="BN383" s="115"/>
      <c r="BO383" s="115"/>
      <c r="BP383" s="115"/>
      <c r="BQ383" s="115"/>
      <c r="BR383" s="115"/>
      <c r="BS383" s="115"/>
      <c r="BT383" s="115"/>
      <c r="BU383" s="25"/>
      <c r="BV383" s="13"/>
      <c r="BY383" s="114"/>
    </row>
    <row r="384" spans="1:77" ht="20.100000000000001" customHeight="1" x14ac:dyDescent="0.4">
      <c r="A384" s="117"/>
      <c r="B384" s="123"/>
      <c r="C384" s="123"/>
      <c r="D384" s="123"/>
      <c r="V384" s="25"/>
      <c r="W384" s="13"/>
      <c r="AE384" s="115"/>
      <c r="AF384" s="115"/>
      <c r="AG384" s="115"/>
      <c r="AH384" s="115"/>
      <c r="AI384" s="115"/>
      <c r="AJ384" s="115"/>
      <c r="AK384" s="115"/>
      <c r="AL384" s="127"/>
      <c r="AM384" s="29"/>
      <c r="AW384" s="25"/>
      <c r="AX384" s="13"/>
      <c r="BC384" s="116"/>
      <c r="BD384" s="123"/>
      <c r="BE384" s="123"/>
      <c r="BF384" s="123"/>
      <c r="BK384" s="115"/>
      <c r="BL384" s="115"/>
      <c r="BM384" s="115"/>
      <c r="BN384" s="115"/>
      <c r="BO384" s="115"/>
      <c r="BP384" s="115"/>
      <c r="BQ384" s="115"/>
      <c r="BR384" s="115"/>
      <c r="BS384" s="115"/>
      <c r="BT384" s="115"/>
      <c r="BU384" s="25"/>
      <c r="BV384" s="13"/>
      <c r="BY384" s="114"/>
    </row>
    <row r="385" spans="1:77" ht="20.100000000000001" customHeight="1" x14ac:dyDescent="0.4">
      <c r="A385" s="117"/>
      <c r="B385" s="123"/>
      <c r="C385" s="123"/>
      <c r="D385" s="123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3"/>
      <c r="W385" s="13"/>
      <c r="AE385" s="115"/>
      <c r="AF385" s="115"/>
      <c r="AG385" s="115"/>
      <c r="AH385" s="115"/>
      <c r="AI385" s="115"/>
      <c r="AJ385" s="115"/>
      <c r="AK385" s="115"/>
      <c r="AL385" s="127"/>
      <c r="AM385" s="29"/>
      <c r="AW385" s="25"/>
      <c r="AX385" s="13"/>
      <c r="BC385" s="116"/>
      <c r="BD385" s="123"/>
      <c r="BE385" s="123"/>
      <c r="BF385" s="123"/>
      <c r="BK385" s="115"/>
      <c r="BL385" s="115"/>
      <c r="BM385" s="115"/>
      <c r="BN385" s="115"/>
      <c r="BO385" s="115"/>
      <c r="BP385" s="115"/>
      <c r="BQ385" s="115"/>
      <c r="BR385" s="115"/>
      <c r="BS385" s="115"/>
      <c r="BT385" s="115"/>
      <c r="BU385" s="25"/>
      <c r="BV385" s="13"/>
      <c r="BY385" s="114"/>
    </row>
    <row r="386" spans="1:77" ht="20.100000000000001" customHeight="1" x14ac:dyDescent="0.4">
      <c r="A386" s="117"/>
      <c r="B386" s="123"/>
      <c r="C386" s="123"/>
      <c r="D386" s="123"/>
      <c r="V386" s="25"/>
      <c r="W386" s="13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27"/>
      <c r="AM386" s="29"/>
      <c r="AW386" s="25"/>
      <c r="AX386" s="13"/>
      <c r="BC386" s="116"/>
      <c r="BD386" s="123"/>
      <c r="BE386" s="123"/>
      <c r="BF386" s="123"/>
      <c r="BK386" s="115"/>
      <c r="BL386" s="115"/>
      <c r="BM386" s="115"/>
      <c r="BN386" s="115"/>
      <c r="BO386" s="115"/>
      <c r="BP386" s="115"/>
      <c r="BQ386" s="115"/>
      <c r="BR386" s="115"/>
      <c r="BS386" s="115"/>
      <c r="BT386" s="115"/>
      <c r="BU386" s="25"/>
      <c r="BV386" s="13"/>
      <c r="BY386" s="114"/>
    </row>
    <row r="387" spans="1:77" ht="20.100000000000001" customHeight="1" x14ac:dyDescent="0.4">
      <c r="A387" s="117"/>
      <c r="B387" s="123"/>
      <c r="C387" s="123"/>
      <c r="D387" s="123"/>
      <c r="V387" s="25"/>
      <c r="W387" s="13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27"/>
      <c r="AM387" s="29"/>
      <c r="AW387" s="25"/>
      <c r="AX387" s="13"/>
      <c r="BC387" s="116"/>
      <c r="BD387" s="123"/>
      <c r="BE387" s="123"/>
      <c r="BF387" s="123"/>
      <c r="BK387" s="115"/>
      <c r="BL387" s="115"/>
      <c r="BM387" s="115"/>
      <c r="BN387" s="115"/>
      <c r="BO387" s="115"/>
      <c r="BP387" s="115"/>
      <c r="BQ387" s="115"/>
      <c r="BR387" s="115"/>
      <c r="BS387" s="115"/>
      <c r="BT387" s="115"/>
      <c r="BU387" s="25"/>
      <c r="BV387" s="13"/>
      <c r="BY387" s="114"/>
    </row>
    <row r="388" spans="1:77" ht="20.100000000000001" customHeight="1" x14ac:dyDescent="0.4">
      <c r="A388" s="117"/>
      <c r="B388" s="123"/>
      <c r="C388" s="123"/>
      <c r="D388" s="123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3"/>
      <c r="W388" s="13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27"/>
      <c r="AM388" s="29"/>
      <c r="AW388" s="25"/>
      <c r="AX388" s="13"/>
      <c r="BC388" s="116"/>
      <c r="BD388" s="123"/>
      <c r="BE388" s="123"/>
      <c r="BF388" s="123"/>
      <c r="BK388" s="115"/>
      <c r="BL388" s="115"/>
      <c r="BM388" s="115"/>
      <c r="BN388" s="115"/>
      <c r="BO388" s="115"/>
      <c r="BP388" s="115"/>
      <c r="BQ388" s="115"/>
      <c r="BR388" s="115"/>
      <c r="BS388" s="115"/>
      <c r="BT388" s="115"/>
      <c r="BU388" s="25"/>
      <c r="BV388" s="13"/>
      <c r="BY388" s="114"/>
    </row>
    <row r="389" spans="1:77" ht="20.100000000000001" customHeight="1" x14ac:dyDescent="0.4">
      <c r="A389" s="117"/>
      <c r="B389" s="123"/>
      <c r="C389" s="123"/>
      <c r="D389" s="123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3"/>
      <c r="W389" s="13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27"/>
      <c r="AM389" s="29"/>
      <c r="AW389" s="25"/>
      <c r="AX389" s="13"/>
      <c r="BC389" s="116"/>
      <c r="BD389" s="123"/>
      <c r="BE389" s="123"/>
      <c r="BF389" s="123"/>
      <c r="BK389" s="115"/>
      <c r="BL389" s="115"/>
      <c r="BM389" s="115"/>
      <c r="BN389" s="115"/>
      <c r="BO389" s="115"/>
      <c r="BP389" s="115"/>
      <c r="BQ389" s="115"/>
      <c r="BR389" s="115"/>
      <c r="BS389" s="115"/>
      <c r="BT389" s="115"/>
      <c r="BU389" s="25"/>
      <c r="BV389" s="13"/>
      <c r="BY389" s="114"/>
    </row>
    <row r="390" spans="1:77" ht="20.100000000000001" customHeight="1" x14ac:dyDescent="0.4">
      <c r="A390" s="117"/>
      <c r="B390" s="123"/>
      <c r="C390" s="123"/>
      <c r="D390" s="123"/>
      <c r="V390" s="25"/>
      <c r="W390" s="13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27"/>
      <c r="AM390" s="29"/>
      <c r="AW390" s="25"/>
      <c r="AX390" s="13"/>
      <c r="BC390" s="116"/>
      <c r="BD390" s="123"/>
      <c r="BE390" s="123"/>
      <c r="BF390" s="123"/>
      <c r="BK390" s="115"/>
      <c r="BL390" s="115"/>
      <c r="BM390" s="115"/>
      <c r="BN390" s="115"/>
      <c r="BO390" s="115"/>
      <c r="BP390" s="115"/>
      <c r="BQ390" s="115"/>
      <c r="BR390" s="115"/>
      <c r="BS390" s="115"/>
      <c r="BT390" s="115"/>
      <c r="BU390" s="25"/>
      <c r="BV390" s="13"/>
      <c r="BY390" s="114"/>
    </row>
    <row r="391" spans="1:77" ht="20.100000000000001" customHeight="1" x14ac:dyDescent="0.4">
      <c r="A391" s="117"/>
      <c r="B391" s="123"/>
      <c r="C391" s="123"/>
      <c r="D391" s="123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3"/>
      <c r="W391" s="13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27"/>
      <c r="AM391" s="29"/>
      <c r="AW391" s="25"/>
      <c r="AX391" s="13"/>
      <c r="BC391" s="116"/>
      <c r="BD391" s="123"/>
      <c r="BE391" s="123"/>
      <c r="BF391" s="123"/>
      <c r="BK391" s="115"/>
      <c r="BL391" s="115"/>
      <c r="BM391" s="115"/>
      <c r="BN391" s="115"/>
      <c r="BO391" s="115"/>
      <c r="BP391" s="115"/>
      <c r="BQ391" s="115"/>
      <c r="BR391" s="115"/>
      <c r="BS391" s="115"/>
      <c r="BT391" s="115"/>
      <c r="BU391" s="25"/>
      <c r="BV391" s="13"/>
      <c r="BY391" s="114"/>
    </row>
    <row r="392" spans="1:77" ht="20.100000000000001" customHeight="1" x14ac:dyDescent="0.4">
      <c r="A392" s="117"/>
      <c r="B392" s="123"/>
      <c r="C392" s="123"/>
      <c r="D392" s="123"/>
      <c r="V392" s="25"/>
      <c r="W392" s="13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27"/>
      <c r="AM392" s="29"/>
      <c r="AW392" s="25"/>
      <c r="AX392" s="13"/>
      <c r="BC392" s="116"/>
      <c r="BD392" s="123"/>
      <c r="BE392" s="123"/>
      <c r="BF392" s="123"/>
      <c r="BK392" s="115"/>
      <c r="BL392" s="115"/>
      <c r="BM392" s="115"/>
      <c r="BN392" s="115"/>
      <c r="BO392" s="115"/>
      <c r="BP392" s="115"/>
      <c r="BQ392" s="115"/>
      <c r="BR392" s="115"/>
      <c r="BS392" s="115"/>
      <c r="BT392" s="115"/>
      <c r="BU392" s="25"/>
      <c r="BV392" s="13"/>
      <c r="BY392" s="114"/>
    </row>
    <row r="393" spans="1:77" ht="20.100000000000001" customHeight="1" x14ac:dyDescent="0.4">
      <c r="A393" s="117"/>
      <c r="B393" s="123"/>
      <c r="C393" s="123"/>
      <c r="D393" s="123"/>
      <c r="V393" s="25"/>
      <c r="W393" s="13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27"/>
      <c r="AM393" s="29"/>
      <c r="AW393" s="25"/>
      <c r="AX393" s="13"/>
      <c r="BC393" s="116"/>
      <c r="BD393" s="123"/>
      <c r="BE393" s="123"/>
      <c r="BF393" s="123"/>
      <c r="BK393" s="115"/>
      <c r="BL393" s="115"/>
      <c r="BM393" s="115"/>
      <c r="BN393" s="115"/>
      <c r="BO393" s="115"/>
      <c r="BP393" s="115"/>
      <c r="BQ393" s="115"/>
      <c r="BR393" s="115"/>
      <c r="BS393" s="115"/>
      <c r="BT393" s="115"/>
      <c r="BU393" s="25"/>
      <c r="BV393" s="13"/>
      <c r="BY393" s="114"/>
    </row>
    <row r="394" spans="1:77" ht="20.100000000000001" customHeight="1" x14ac:dyDescent="0.4">
      <c r="A394" s="117"/>
      <c r="B394" s="123"/>
      <c r="C394" s="123"/>
      <c r="D394" s="123"/>
      <c r="V394" s="25"/>
      <c r="W394" s="13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29"/>
      <c r="AM394" s="29"/>
      <c r="AW394" s="25"/>
      <c r="AX394" s="13"/>
      <c r="BC394" s="116"/>
      <c r="BD394" s="123"/>
      <c r="BE394" s="123"/>
      <c r="BF394" s="123"/>
      <c r="BK394" s="115"/>
      <c r="BL394" s="115"/>
      <c r="BM394" s="115"/>
      <c r="BN394" s="115"/>
      <c r="BO394" s="115"/>
      <c r="BP394" s="115"/>
      <c r="BQ394" s="115"/>
      <c r="BR394" s="115"/>
      <c r="BS394" s="115"/>
      <c r="BT394" s="115"/>
      <c r="BU394" s="25"/>
      <c r="BV394" s="13"/>
      <c r="BY394" s="114"/>
    </row>
    <row r="395" spans="1:77" ht="20.100000000000001" customHeight="1" x14ac:dyDescent="0.4">
      <c r="A395" s="117"/>
      <c r="B395" s="123"/>
      <c r="C395" s="123"/>
      <c r="D395" s="123"/>
      <c r="V395" s="25"/>
      <c r="W395" s="13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27"/>
      <c r="AM395" s="29"/>
      <c r="AW395" s="25"/>
      <c r="AX395" s="13"/>
      <c r="BC395" s="116"/>
      <c r="BD395" s="123"/>
      <c r="BE395" s="123"/>
      <c r="BF395" s="123"/>
      <c r="BK395" s="115"/>
      <c r="BL395" s="115"/>
      <c r="BM395" s="115"/>
      <c r="BN395" s="115"/>
      <c r="BO395" s="115"/>
      <c r="BP395" s="115"/>
      <c r="BQ395" s="115"/>
      <c r="BR395" s="115"/>
      <c r="BS395" s="115"/>
      <c r="BT395" s="115"/>
      <c r="BU395" s="25"/>
      <c r="BV395" s="13"/>
      <c r="BY395" s="114"/>
    </row>
    <row r="396" spans="1:77" ht="20.100000000000001" customHeight="1" x14ac:dyDescent="0.4">
      <c r="A396" s="117"/>
      <c r="B396" s="123"/>
      <c r="C396" s="123"/>
      <c r="D396" s="123"/>
      <c r="V396" s="25"/>
      <c r="W396" s="13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29"/>
      <c r="AM396" s="29"/>
      <c r="AW396" s="25"/>
      <c r="AX396" s="13"/>
      <c r="BC396" s="116"/>
      <c r="BD396" s="123"/>
      <c r="BE396" s="123"/>
      <c r="BF396" s="123"/>
      <c r="BK396" s="115"/>
      <c r="BL396" s="115"/>
      <c r="BM396" s="115"/>
      <c r="BN396" s="115"/>
      <c r="BO396" s="115"/>
      <c r="BP396" s="115"/>
      <c r="BQ396" s="115"/>
      <c r="BR396" s="115"/>
      <c r="BS396" s="115"/>
      <c r="BT396" s="115"/>
      <c r="BU396" s="25"/>
      <c r="BV396" s="13"/>
      <c r="BY396" s="114"/>
    </row>
    <row r="397" spans="1:77" ht="20.100000000000001" customHeight="1" x14ac:dyDescent="0.4">
      <c r="A397" s="117"/>
      <c r="B397" s="123"/>
      <c r="C397" s="123"/>
      <c r="D397" s="123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3"/>
      <c r="W397" s="13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29"/>
      <c r="AM397" s="29"/>
      <c r="AW397" s="25"/>
      <c r="AX397" s="13"/>
      <c r="BC397" s="116"/>
      <c r="BD397" s="123"/>
      <c r="BE397" s="123"/>
      <c r="BF397" s="123"/>
      <c r="BK397" s="115"/>
      <c r="BL397" s="115"/>
      <c r="BM397" s="115"/>
      <c r="BN397" s="115"/>
      <c r="BO397" s="115"/>
      <c r="BP397" s="115"/>
      <c r="BQ397" s="115"/>
      <c r="BR397" s="115"/>
      <c r="BS397" s="115"/>
      <c r="BT397" s="115"/>
      <c r="BU397" s="25"/>
      <c r="BV397" s="13"/>
      <c r="BY397" s="114"/>
    </row>
    <row r="398" spans="1:77" ht="20.100000000000001" customHeight="1" x14ac:dyDescent="0.4">
      <c r="A398" s="117"/>
      <c r="B398" s="123"/>
      <c r="C398" s="123"/>
      <c r="D398" s="123"/>
      <c r="V398" s="25"/>
      <c r="W398" s="13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27"/>
      <c r="AM398" s="29"/>
      <c r="AW398" s="25"/>
      <c r="AX398" s="13"/>
      <c r="BC398" s="116"/>
      <c r="BD398" s="123"/>
      <c r="BE398" s="123"/>
      <c r="BF398" s="123"/>
      <c r="BK398" s="115"/>
      <c r="BL398" s="115"/>
      <c r="BM398" s="115"/>
      <c r="BN398" s="115"/>
      <c r="BO398" s="115"/>
      <c r="BP398" s="115"/>
      <c r="BQ398" s="115"/>
      <c r="BR398" s="115"/>
      <c r="BS398" s="115"/>
      <c r="BT398" s="115"/>
      <c r="BU398" s="25"/>
      <c r="BV398" s="13"/>
      <c r="BY398" s="114"/>
    </row>
    <row r="399" spans="1:77" ht="20.100000000000001" customHeight="1" x14ac:dyDescent="0.4">
      <c r="A399" s="117"/>
      <c r="B399" s="123"/>
      <c r="C399" s="123"/>
      <c r="D399" s="123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3"/>
      <c r="W399" s="13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27"/>
      <c r="AM399" s="29"/>
      <c r="AW399" s="25"/>
      <c r="AX399" s="13"/>
      <c r="BC399" s="116"/>
      <c r="BD399" s="123"/>
      <c r="BE399" s="123"/>
      <c r="BF399" s="123"/>
      <c r="BK399" s="115"/>
      <c r="BL399" s="115"/>
      <c r="BM399" s="115"/>
      <c r="BN399" s="115"/>
      <c r="BO399" s="115"/>
      <c r="BP399" s="115"/>
      <c r="BQ399" s="115"/>
      <c r="BR399" s="115"/>
      <c r="BS399" s="115"/>
      <c r="BT399" s="115"/>
      <c r="BU399" s="25"/>
      <c r="BV399" s="13"/>
      <c r="BY399" s="114"/>
    </row>
    <row r="400" spans="1:77" ht="20.100000000000001" customHeight="1" x14ac:dyDescent="0.4">
      <c r="A400" s="117"/>
      <c r="B400" s="123"/>
      <c r="C400" s="123"/>
      <c r="D400" s="123"/>
      <c r="V400" s="25"/>
      <c r="W400" s="13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29"/>
      <c r="AM400" s="29"/>
      <c r="AW400" s="25"/>
      <c r="AX400" s="13"/>
      <c r="BC400" s="116"/>
      <c r="BD400" s="123"/>
      <c r="BE400" s="123"/>
      <c r="BF400" s="123"/>
      <c r="BK400" s="115"/>
      <c r="BL400" s="115"/>
      <c r="BM400" s="115"/>
      <c r="BN400" s="115"/>
      <c r="BO400" s="115"/>
      <c r="BP400" s="115"/>
      <c r="BQ400" s="115"/>
      <c r="BR400" s="115"/>
      <c r="BS400" s="115"/>
      <c r="BT400" s="115"/>
      <c r="BU400" s="25"/>
      <c r="BV400" s="13"/>
      <c r="BY400" s="114"/>
    </row>
    <row r="401" spans="1:77" ht="20.100000000000001" customHeight="1" x14ac:dyDescent="0.4">
      <c r="A401" s="117"/>
      <c r="B401" s="123"/>
      <c r="C401" s="123"/>
      <c r="D401" s="123"/>
      <c r="V401" s="25"/>
      <c r="W401" s="13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27"/>
      <c r="AM401" s="29"/>
      <c r="AW401" s="25"/>
      <c r="AX401" s="13"/>
      <c r="BC401" s="116"/>
      <c r="BD401" s="123"/>
      <c r="BE401" s="123"/>
      <c r="BF401" s="123"/>
      <c r="BK401" s="115"/>
      <c r="BL401" s="115"/>
      <c r="BM401" s="115"/>
      <c r="BN401" s="115"/>
      <c r="BO401" s="115"/>
      <c r="BP401" s="115"/>
      <c r="BQ401" s="115"/>
      <c r="BR401" s="115"/>
      <c r="BS401" s="115"/>
      <c r="BT401" s="115"/>
      <c r="BU401" s="25"/>
      <c r="BV401" s="13"/>
      <c r="BY401" s="114"/>
    </row>
    <row r="402" spans="1:77" ht="20.100000000000001" customHeight="1" x14ac:dyDescent="0.4">
      <c r="A402" s="117"/>
      <c r="B402" s="123"/>
      <c r="C402" s="123"/>
      <c r="D402" s="123"/>
      <c r="V402" s="25"/>
      <c r="W402" s="13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15"/>
      <c r="AL402" s="29"/>
      <c r="AM402" s="29"/>
      <c r="AW402" s="25"/>
      <c r="AX402" s="13"/>
      <c r="BC402" s="116"/>
      <c r="BD402" s="123"/>
      <c r="BE402" s="123"/>
      <c r="BF402" s="123"/>
      <c r="BK402" s="115"/>
      <c r="BL402" s="115"/>
      <c r="BM402" s="115"/>
      <c r="BN402" s="115"/>
      <c r="BO402" s="115"/>
      <c r="BP402" s="115"/>
      <c r="BQ402" s="115"/>
      <c r="BR402" s="115"/>
      <c r="BS402" s="115"/>
      <c r="BT402" s="115"/>
      <c r="BU402" s="25"/>
      <c r="BV402" s="13"/>
      <c r="BY402" s="114"/>
    </row>
    <row r="403" spans="1:77" ht="20.100000000000001" customHeight="1" x14ac:dyDescent="0.4">
      <c r="A403" s="117"/>
      <c r="B403" s="123"/>
      <c r="C403" s="123"/>
      <c r="D403" s="123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3"/>
      <c r="W403" s="13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29"/>
      <c r="AM403" s="29"/>
      <c r="AW403" s="25"/>
      <c r="AX403" s="13"/>
      <c r="BC403" s="116"/>
      <c r="BD403" s="123"/>
      <c r="BE403" s="123"/>
      <c r="BF403" s="123"/>
      <c r="BK403" s="115"/>
      <c r="BL403" s="115"/>
      <c r="BM403" s="115"/>
      <c r="BN403" s="115"/>
      <c r="BO403" s="115"/>
      <c r="BP403" s="115"/>
      <c r="BQ403" s="115"/>
      <c r="BR403" s="115"/>
      <c r="BS403" s="115"/>
      <c r="BT403" s="115"/>
      <c r="BU403" s="25"/>
      <c r="BV403" s="13"/>
      <c r="BY403" s="114"/>
    </row>
    <row r="404" spans="1:77" ht="20.100000000000001" customHeight="1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25"/>
      <c r="W404" s="13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29"/>
      <c r="AM404" s="29"/>
      <c r="AW404" s="25"/>
      <c r="AX404" s="13"/>
      <c r="BC404" s="116"/>
      <c r="BD404" s="123"/>
      <c r="BE404" s="123"/>
      <c r="BF404" s="123"/>
      <c r="BK404" s="115"/>
      <c r="BL404" s="115"/>
      <c r="BM404" s="115"/>
      <c r="BN404" s="115"/>
      <c r="BO404" s="115"/>
      <c r="BP404" s="115"/>
      <c r="BQ404" s="115"/>
      <c r="BR404" s="115"/>
      <c r="BS404" s="115"/>
      <c r="BT404" s="115"/>
      <c r="BU404" s="25"/>
      <c r="BV404" s="13"/>
      <c r="BY404" s="114"/>
    </row>
    <row r="405" spans="1:77" ht="20.100000000000001" customHeight="1" x14ac:dyDescent="0.4">
      <c r="A405" s="117"/>
      <c r="B405" s="123"/>
      <c r="C405" s="123"/>
      <c r="D405" s="123"/>
      <c r="V405" s="25"/>
      <c r="W405" s="133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27"/>
      <c r="AM405" s="29"/>
      <c r="AW405" s="25"/>
      <c r="AX405" s="13"/>
      <c r="BC405" s="116"/>
      <c r="BD405" s="123"/>
      <c r="BE405" s="123"/>
      <c r="BF405" s="123"/>
      <c r="BK405" s="115"/>
      <c r="BL405" s="115"/>
      <c r="BM405" s="115"/>
      <c r="BN405" s="115"/>
      <c r="BO405" s="115"/>
      <c r="BP405" s="115"/>
      <c r="BQ405" s="115"/>
      <c r="BR405" s="115"/>
      <c r="BS405" s="115"/>
      <c r="BT405" s="115"/>
      <c r="BU405" s="25"/>
      <c r="BV405" s="13"/>
      <c r="BY405" s="114"/>
    </row>
    <row r="406" spans="1:77" ht="20.100000000000001" customHeight="1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25"/>
      <c r="W406" s="13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27"/>
      <c r="AM406" s="29"/>
      <c r="AW406" s="25"/>
      <c r="AX406" s="13"/>
      <c r="BC406" s="116"/>
      <c r="BD406" s="123"/>
      <c r="BE406" s="123"/>
      <c r="BF406" s="123"/>
      <c r="BK406" s="115"/>
      <c r="BL406" s="115"/>
      <c r="BM406" s="115"/>
      <c r="BN406" s="115"/>
      <c r="BO406" s="115"/>
      <c r="BP406" s="115"/>
      <c r="BQ406" s="115"/>
      <c r="BR406" s="115"/>
      <c r="BS406" s="115"/>
      <c r="BT406" s="115"/>
      <c r="BU406" s="25"/>
      <c r="BV406" s="13"/>
      <c r="BY406" s="114"/>
    </row>
    <row r="407" spans="1:77" ht="20.100000000000001" customHeight="1" x14ac:dyDescent="0.4">
      <c r="A407" s="117"/>
      <c r="B407" s="123"/>
      <c r="C407" s="123"/>
      <c r="D407" s="123"/>
      <c r="V407" s="25"/>
      <c r="W407" s="13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27"/>
      <c r="AM407" s="29"/>
      <c r="AW407" s="25"/>
      <c r="AX407" s="13"/>
      <c r="BC407" s="116"/>
      <c r="BD407" s="123"/>
      <c r="BE407" s="123"/>
      <c r="BF407" s="123"/>
      <c r="BK407" s="115"/>
      <c r="BL407" s="115"/>
      <c r="BM407" s="115"/>
      <c r="BN407" s="115"/>
      <c r="BO407" s="115"/>
      <c r="BP407" s="115"/>
      <c r="BQ407" s="115"/>
      <c r="BR407" s="115"/>
      <c r="BS407" s="115"/>
      <c r="BT407" s="115"/>
      <c r="BU407" s="25"/>
      <c r="BV407" s="13"/>
      <c r="BY407" s="114"/>
    </row>
    <row r="408" spans="1:77" ht="20.100000000000001" customHeight="1" x14ac:dyDescent="0.4">
      <c r="A408" s="117"/>
      <c r="B408" s="123"/>
      <c r="C408" s="123"/>
      <c r="D408" s="123"/>
      <c r="V408" s="25"/>
      <c r="W408" s="13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29"/>
      <c r="AM408" s="29"/>
      <c r="AW408" s="25"/>
      <c r="AX408" s="13"/>
      <c r="BC408" s="116"/>
      <c r="BD408" s="123"/>
      <c r="BE408" s="123"/>
      <c r="BF408" s="123"/>
      <c r="BK408" s="115"/>
      <c r="BL408" s="115"/>
      <c r="BM408" s="115"/>
      <c r="BN408" s="115"/>
      <c r="BO408" s="115"/>
      <c r="BP408" s="115"/>
      <c r="BQ408" s="115"/>
      <c r="BR408" s="115"/>
      <c r="BS408" s="115"/>
      <c r="BT408" s="115"/>
      <c r="BU408" s="25"/>
      <c r="BV408" s="13"/>
      <c r="BY408" s="114"/>
    </row>
    <row r="409" spans="1:77" ht="20.100000000000001" customHeight="1" x14ac:dyDescent="0.4">
      <c r="A409" s="117"/>
      <c r="B409" s="123"/>
      <c r="C409" s="123"/>
      <c r="D409" s="123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3"/>
      <c r="W409" s="13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29"/>
      <c r="AM409" s="29"/>
      <c r="AW409" s="25"/>
      <c r="AX409" s="13"/>
      <c r="BC409" s="116"/>
      <c r="BD409" s="123"/>
      <c r="BE409" s="123"/>
      <c r="BF409" s="123"/>
      <c r="BK409" s="115"/>
      <c r="BL409" s="115"/>
      <c r="BM409" s="115"/>
      <c r="BN409" s="115"/>
      <c r="BO409" s="115"/>
      <c r="BP409" s="115"/>
      <c r="BQ409" s="115"/>
      <c r="BR409" s="115"/>
      <c r="BS409" s="115"/>
      <c r="BT409" s="115"/>
      <c r="BU409" s="25"/>
      <c r="BV409" s="13"/>
      <c r="BY409" s="114"/>
    </row>
    <row r="410" spans="1:77" ht="20.100000000000001" customHeight="1" x14ac:dyDescent="0.4">
      <c r="A410" s="117"/>
      <c r="B410" s="123"/>
      <c r="C410" s="123"/>
      <c r="D410" s="123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3"/>
      <c r="W410" s="13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15"/>
      <c r="AL410" s="29"/>
      <c r="AM410" s="29"/>
      <c r="AW410" s="25"/>
      <c r="AX410" s="13"/>
      <c r="BC410" s="116"/>
      <c r="BD410" s="123"/>
      <c r="BE410" s="123"/>
      <c r="BF410" s="123"/>
      <c r="BK410" s="115"/>
      <c r="BL410" s="115"/>
      <c r="BM410" s="115"/>
      <c r="BN410" s="115"/>
      <c r="BO410" s="115"/>
      <c r="BP410" s="115"/>
      <c r="BQ410" s="115"/>
      <c r="BR410" s="115"/>
      <c r="BS410" s="115"/>
      <c r="BT410" s="115"/>
      <c r="BU410" s="25"/>
      <c r="BV410" s="13"/>
      <c r="BY410" s="114"/>
    </row>
    <row r="411" spans="1:77" ht="20.100000000000001" customHeight="1" x14ac:dyDescent="0.4">
      <c r="A411" s="117"/>
      <c r="B411" s="123"/>
      <c r="C411" s="123"/>
      <c r="D411" s="123"/>
      <c r="V411" s="25"/>
      <c r="W411" s="13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15"/>
      <c r="AL411" s="127"/>
      <c r="AM411" s="29"/>
      <c r="AW411" s="25"/>
      <c r="AX411" s="13"/>
      <c r="BC411" s="116"/>
      <c r="BD411" s="123"/>
      <c r="BE411" s="123"/>
      <c r="BF411" s="123"/>
      <c r="BK411" s="115"/>
      <c r="BL411" s="115"/>
      <c r="BM411" s="115"/>
      <c r="BN411" s="115"/>
      <c r="BO411" s="115"/>
      <c r="BP411" s="115"/>
      <c r="BQ411" s="115"/>
      <c r="BR411" s="115"/>
      <c r="BS411" s="115"/>
      <c r="BT411" s="115"/>
      <c r="BU411" s="25"/>
      <c r="BV411" s="13"/>
      <c r="BY411" s="114"/>
    </row>
    <row r="412" spans="1:77" ht="20.100000000000001" customHeight="1" x14ac:dyDescent="0.4">
      <c r="A412" s="117"/>
      <c r="B412" s="123"/>
      <c r="C412" s="123"/>
      <c r="D412" s="123"/>
      <c r="V412" s="25"/>
      <c r="W412" s="13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15"/>
      <c r="AL412" s="127"/>
      <c r="AM412" s="29"/>
      <c r="AW412" s="25"/>
      <c r="AX412" s="13"/>
      <c r="BC412" s="116"/>
      <c r="BD412" s="123"/>
      <c r="BE412" s="123"/>
      <c r="BF412" s="123"/>
      <c r="BK412" s="115"/>
      <c r="BL412" s="115"/>
      <c r="BM412" s="115"/>
      <c r="BN412" s="115"/>
      <c r="BO412" s="115"/>
      <c r="BP412" s="115"/>
      <c r="BQ412" s="115"/>
      <c r="BR412" s="115"/>
      <c r="BS412" s="115"/>
      <c r="BT412" s="115"/>
      <c r="BU412" s="25"/>
      <c r="BV412" s="13"/>
      <c r="BY412" s="114"/>
    </row>
    <row r="413" spans="1:77" ht="20.100000000000001" customHeight="1" x14ac:dyDescent="0.4">
      <c r="A413" s="117"/>
      <c r="B413" s="123"/>
      <c r="C413" s="123"/>
      <c r="D413" s="123"/>
      <c r="V413" s="25"/>
      <c r="W413" s="13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15"/>
      <c r="AL413" s="29"/>
      <c r="AM413" s="29"/>
      <c r="AW413" s="25"/>
      <c r="AX413" s="13"/>
      <c r="BC413" s="116"/>
      <c r="BD413" s="123"/>
      <c r="BE413" s="123"/>
      <c r="BF413" s="123"/>
      <c r="BK413" s="115"/>
      <c r="BL413" s="115"/>
      <c r="BM413" s="115"/>
      <c r="BN413" s="115"/>
      <c r="BO413" s="115"/>
      <c r="BP413" s="115"/>
      <c r="BQ413" s="115"/>
      <c r="BR413" s="115"/>
      <c r="BS413" s="115"/>
      <c r="BT413" s="115"/>
      <c r="BU413" s="25"/>
      <c r="BV413" s="13"/>
      <c r="BY413" s="114"/>
    </row>
    <row r="414" spans="1:77" ht="20.100000000000001" customHeight="1" x14ac:dyDescent="0.4">
      <c r="A414" s="117"/>
      <c r="B414" s="123"/>
      <c r="C414" s="123"/>
      <c r="D414" s="123"/>
      <c r="V414" s="25"/>
      <c r="W414" s="13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15"/>
      <c r="AL414" s="127"/>
      <c r="AM414" s="29"/>
      <c r="AW414" s="25"/>
      <c r="AX414" s="13"/>
      <c r="BC414" s="116"/>
      <c r="BD414" s="123"/>
      <c r="BE414" s="123"/>
      <c r="BF414" s="123"/>
      <c r="BK414" s="115"/>
      <c r="BL414" s="115"/>
      <c r="BM414" s="115"/>
      <c r="BN414" s="115"/>
      <c r="BO414" s="115"/>
      <c r="BP414" s="115"/>
      <c r="BQ414" s="115"/>
      <c r="BR414" s="115"/>
      <c r="BS414" s="115"/>
      <c r="BT414" s="115"/>
      <c r="BU414" s="25"/>
      <c r="BV414" s="13"/>
      <c r="BY414" s="114"/>
    </row>
    <row r="415" spans="1:77" ht="20.100000000000001" customHeight="1" x14ac:dyDescent="0.4">
      <c r="A415" s="117"/>
      <c r="B415" s="123"/>
      <c r="C415" s="123"/>
      <c r="D415" s="123"/>
      <c r="V415" s="25"/>
      <c r="W415" s="13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15"/>
      <c r="AL415" s="127"/>
      <c r="AM415" s="29"/>
      <c r="AW415" s="25"/>
      <c r="AX415" s="13"/>
      <c r="BC415" s="116"/>
      <c r="BD415" s="123"/>
      <c r="BE415" s="123"/>
      <c r="BF415" s="123"/>
      <c r="BK415" s="115"/>
      <c r="BL415" s="115"/>
      <c r="BM415" s="115"/>
      <c r="BN415" s="115"/>
      <c r="BO415" s="115"/>
      <c r="BP415" s="115"/>
      <c r="BQ415" s="115"/>
      <c r="BR415" s="115"/>
      <c r="BS415" s="115"/>
      <c r="BT415" s="115"/>
      <c r="BU415" s="25"/>
      <c r="BV415" s="13"/>
      <c r="BY415" s="114"/>
    </row>
    <row r="416" spans="1:77" ht="20.100000000000001" customHeight="1" x14ac:dyDescent="0.4">
      <c r="A416" s="117"/>
      <c r="B416" s="123"/>
      <c r="C416" s="123"/>
      <c r="D416" s="123"/>
      <c r="V416" s="25"/>
      <c r="W416" s="13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15"/>
      <c r="AL416" s="127"/>
      <c r="AM416" s="29"/>
      <c r="AW416" s="25"/>
      <c r="AX416" s="13"/>
      <c r="BC416" s="116"/>
      <c r="BD416" s="123"/>
      <c r="BE416" s="123"/>
      <c r="BF416" s="123"/>
      <c r="BK416" s="115"/>
      <c r="BL416" s="115"/>
      <c r="BM416" s="115"/>
      <c r="BN416" s="115"/>
      <c r="BO416" s="115"/>
      <c r="BP416" s="115"/>
      <c r="BQ416" s="115"/>
      <c r="BR416" s="115"/>
      <c r="BS416" s="115"/>
      <c r="BT416" s="115"/>
      <c r="BU416" s="25"/>
      <c r="BV416" s="13"/>
      <c r="BY416" s="114"/>
    </row>
    <row r="417" spans="1:77" ht="20.100000000000001" customHeight="1" x14ac:dyDescent="0.4">
      <c r="A417" s="117"/>
      <c r="B417" s="123"/>
      <c r="C417" s="123"/>
      <c r="D417" s="123"/>
      <c r="V417" s="25"/>
      <c r="W417" s="133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15"/>
      <c r="AL417" s="29"/>
      <c r="AM417" s="29"/>
      <c r="AW417" s="25"/>
      <c r="AX417" s="13"/>
      <c r="BC417" s="116"/>
      <c r="BD417" s="123"/>
      <c r="BE417" s="123"/>
      <c r="BF417" s="123"/>
      <c r="BK417" s="115"/>
      <c r="BL417" s="115"/>
      <c r="BM417" s="115"/>
      <c r="BN417" s="115"/>
      <c r="BO417" s="115"/>
      <c r="BP417" s="115"/>
      <c r="BQ417" s="115"/>
      <c r="BR417" s="115"/>
      <c r="BS417" s="115"/>
      <c r="BT417" s="115"/>
      <c r="BU417" s="25"/>
      <c r="BV417" s="13"/>
      <c r="BY417" s="114"/>
    </row>
    <row r="418" spans="1:77" ht="20.100000000000001" customHeight="1" x14ac:dyDescent="0.4">
      <c r="A418" s="117"/>
      <c r="B418" s="123"/>
      <c r="C418" s="123"/>
      <c r="D418" s="123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26"/>
      <c r="W418" s="13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15"/>
      <c r="AL418" s="29"/>
      <c r="AM418" s="29"/>
      <c r="AW418" s="25"/>
      <c r="AX418" s="13"/>
      <c r="BC418" s="116"/>
      <c r="BD418" s="123"/>
      <c r="BE418" s="123"/>
      <c r="BF418" s="123"/>
      <c r="BK418" s="115"/>
      <c r="BL418" s="115"/>
      <c r="BM418" s="115"/>
      <c r="BN418" s="115"/>
      <c r="BO418" s="115"/>
      <c r="BP418" s="115"/>
      <c r="BQ418" s="115"/>
      <c r="BR418" s="115"/>
      <c r="BS418" s="115"/>
      <c r="BT418" s="115"/>
      <c r="BU418" s="25"/>
      <c r="BV418" s="13"/>
      <c r="BY418" s="114"/>
    </row>
    <row r="419" spans="1:77" ht="20.100000000000001" customHeight="1" x14ac:dyDescent="0.4">
      <c r="A419" s="117"/>
      <c r="B419" s="123"/>
      <c r="C419" s="123"/>
      <c r="D419" s="123"/>
      <c r="V419" s="26"/>
      <c r="W419" s="13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15"/>
      <c r="AL419" s="127"/>
      <c r="AM419" s="29"/>
      <c r="AW419" s="25"/>
      <c r="AX419" s="13"/>
      <c r="BC419" s="116"/>
      <c r="BD419" s="123"/>
      <c r="BE419" s="123"/>
      <c r="BF419" s="123"/>
      <c r="BK419" s="115"/>
      <c r="BL419" s="115"/>
      <c r="BM419" s="115"/>
      <c r="BN419" s="115"/>
      <c r="BO419" s="115"/>
      <c r="BP419" s="115"/>
      <c r="BQ419" s="115"/>
      <c r="BR419" s="115"/>
      <c r="BS419" s="115"/>
      <c r="BT419" s="115"/>
      <c r="BU419" s="25"/>
      <c r="BV419" s="13"/>
      <c r="BY419" s="114"/>
    </row>
    <row r="420" spans="1:77" ht="20.100000000000001" customHeight="1" x14ac:dyDescent="0.4">
      <c r="A420" s="117"/>
      <c r="B420" s="123"/>
      <c r="C420" s="123"/>
      <c r="D420" s="123"/>
      <c r="V420" s="26"/>
      <c r="W420" s="13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15"/>
      <c r="AL420" s="29"/>
      <c r="AM420" s="29"/>
      <c r="AW420" s="25"/>
      <c r="AX420" s="13"/>
      <c r="BC420" s="116"/>
      <c r="BD420" s="123"/>
      <c r="BE420" s="123"/>
      <c r="BF420" s="123"/>
      <c r="BK420" s="115"/>
      <c r="BL420" s="115"/>
      <c r="BM420" s="115"/>
      <c r="BN420" s="115"/>
      <c r="BO420" s="115"/>
      <c r="BP420" s="115"/>
      <c r="BQ420" s="115"/>
      <c r="BR420" s="115"/>
      <c r="BS420" s="115"/>
      <c r="BT420" s="115"/>
      <c r="BU420" s="25"/>
      <c r="BV420" s="13"/>
      <c r="BY420" s="114"/>
    </row>
    <row r="421" spans="1:77" ht="20.100000000000001" customHeight="1" x14ac:dyDescent="0.4">
      <c r="A421" s="117"/>
      <c r="B421" s="123"/>
      <c r="C421" s="123"/>
      <c r="D421" s="123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26"/>
      <c r="W421" s="13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29"/>
      <c r="AM421" s="29"/>
      <c r="AW421" s="25"/>
      <c r="AX421" s="13"/>
      <c r="BC421" s="116"/>
      <c r="BD421" s="123"/>
      <c r="BE421" s="123"/>
      <c r="BF421" s="123"/>
      <c r="BK421" s="115"/>
      <c r="BL421" s="115"/>
      <c r="BM421" s="115"/>
      <c r="BN421" s="115"/>
      <c r="BO421" s="115"/>
      <c r="BP421" s="115"/>
      <c r="BQ421" s="115"/>
      <c r="BR421" s="115"/>
      <c r="BS421" s="115"/>
      <c r="BT421" s="115"/>
      <c r="BU421" s="25"/>
      <c r="BV421" s="13"/>
      <c r="BY421" s="114"/>
    </row>
    <row r="422" spans="1:77" ht="20.100000000000001" customHeight="1" x14ac:dyDescent="0.4">
      <c r="A422" s="117"/>
      <c r="B422" s="123"/>
      <c r="C422" s="123"/>
      <c r="D422" s="123"/>
      <c r="V422" s="26"/>
      <c r="W422" s="13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27"/>
      <c r="AM422" s="29"/>
      <c r="AW422" s="25"/>
      <c r="AX422" s="13"/>
      <c r="BC422" s="116"/>
      <c r="BD422" s="123"/>
      <c r="BE422" s="123"/>
      <c r="BF422" s="123"/>
      <c r="BK422" s="115"/>
      <c r="BL422" s="115"/>
      <c r="BM422" s="115"/>
      <c r="BN422" s="115"/>
      <c r="BO422" s="115"/>
      <c r="BP422" s="115"/>
      <c r="BQ422" s="115"/>
      <c r="BR422" s="115"/>
      <c r="BS422" s="115"/>
      <c r="BT422" s="115"/>
      <c r="BU422" s="25"/>
      <c r="BV422" s="13"/>
      <c r="BY422" s="114"/>
    </row>
    <row r="423" spans="1:77" ht="20.100000000000001" customHeight="1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7"/>
      <c r="W423" s="13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27"/>
      <c r="AM423" s="29"/>
      <c r="AW423" s="25"/>
      <c r="AX423" s="13"/>
      <c r="BC423" s="116"/>
      <c r="BD423" s="123"/>
      <c r="BE423" s="123"/>
      <c r="BF423" s="123"/>
      <c r="BK423" s="115"/>
      <c r="BL423" s="115"/>
      <c r="BM423" s="115"/>
      <c r="BN423" s="115"/>
      <c r="BO423" s="115"/>
      <c r="BP423" s="115"/>
      <c r="BQ423" s="115"/>
      <c r="BR423" s="115"/>
      <c r="BS423" s="115"/>
      <c r="BT423" s="115"/>
      <c r="BU423" s="25"/>
      <c r="BV423" s="13"/>
      <c r="BY423" s="114"/>
    </row>
    <row r="424" spans="1:77" ht="20.100000000000001" customHeight="1" x14ac:dyDescent="0.4">
      <c r="A424" s="117"/>
      <c r="B424" s="123"/>
      <c r="C424" s="123"/>
      <c r="D424" s="123"/>
      <c r="V424" s="26"/>
      <c r="W424" s="13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29"/>
      <c r="AM424" s="29"/>
      <c r="AW424" s="25"/>
      <c r="AX424" s="13"/>
      <c r="BC424" s="116"/>
      <c r="BD424" s="123"/>
      <c r="BE424" s="123"/>
      <c r="BF424" s="123"/>
      <c r="BK424" s="115"/>
      <c r="BL424" s="115"/>
      <c r="BM424" s="115"/>
      <c r="BN424" s="115"/>
      <c r="BO424" s="115"/>
      <c r="BP424" s="115"/>
      <c r="BQ424" s="115"/>
      <c r="BR424" s="115"/>
      <c r="BS424" s="115"/>
      <c r="BT424" s="115"/>
      <c r="BU424" s="25"/>
      <c r="BV424" s="13"/>
      <c r="BY424" s="114"/>
    </row>
    <row r="425" spans="1:77" ht="20.100000000000001" customHeight="1" x14ac:dyDescent="0.4">
      <c r="A425" s="117"/>
      <c r="B425" s="123"/>
      <c r="C425" s="123"/>
      <c r="D425" s="123"/>
      <c r="V425" s="26"/>
      <c r="W425" s="13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27"/>
      <c r="AM425" s="29"/>
      <c r="AW425" s="25"/>
      <c r="AX425" s="13"/>
      <c r="BC425" s="116"/>
      <c r="BD425" s="123"/>
      <c r="BE425" s="123"/>
      <c r="BF425" s="123"/>
      <c r="BK425" s="115"/>
      <c r="BL425" s="115"/>
      <c r="BM425" s="115"/>
      <c r="BN425" s="115"/>
      <c r="BO425" s="115"/>
      <c r="BP425" s="115"/>
      <c r="BQ425" s="115"/>
      <c r="BR425" s="115"/>
      <c r="BS425" s="115"/>
      <c r="BT425" s="115"/>
      <c r="BU425" s="25"/>
      <c r="BV425" s="13"/>
      <c r="BY425" s="114"/>
    </row>
    <row r="426" spans="1:77" ht="20.100000000000001" customHeight="1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7"/>
      <c r="W426" s="13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27"/>
      <c r="AM426" s="29"/>
      <c r="AW426" s="25"/>
      <c r="AX426" s="13"/>
      <c r="BC426" s="116"/>
      <c r="BD426" s="123"/>
      <c r="BE426" s="123"/>
      <c r="BF426" s="123"/>
      <c r="BK426" s="115"/>
      <c r="BL426" s="115"/>
      <c r="BM426" s="115"/>
      <c r="BN426" s="115"/>
      <c r="BO426" s="115"/>
      <c r="BP426" s="115"/>
      <c r="BQ426" s="115"/>
      <c r="BR426" s="115"/>
      <c r="BS426" s="115"/>
      <c r="BT426" s="115"/>
      <c r="BU426" s="25"/>
      <c r="BV426" s="13"/>
      <c r="BY426" s="114"/>
    </row>
    <row r="427" spans="1:77" ht="20.100000000000001" customHeight="1" x14ac:dyDescent="0.4">
      <c r="A427" s="117"/>
      <c r="B427" s="123"/>
      <c r="C427" s="123"/>
      <c r="D427" s="123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26"/>
      <c r="W427" s="13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27"/>
      <c r="AM427" s="29"/>
      <c r="AW427" s="25"/>
      <c r="AX427" s="13"/>
      <c r="BC427" s="116"/>
      <c r="BD427" s="123"/>
      <c r="BE427" s="123"/>
      <c r="BF427" s="123"/>
      <c r="BK427" s="115"/>
      <c r="BL427" s="115"/>
      <c r="BM427" s="115"/>
      <c r="BN427" s="115"/>
      <c r="BO427" s="115"/>
      <c r="BP427" s="115"/>
      <c r="BQ427" s="115"/>
      <c r="BR427" s="115"/>
      <c r="BS427" s="115"/>
      <c r="BT427" s="115"/>
      <c r="BU427" s="25"/>
      <c r="BV427" s="13"/>
      <c r="BY427" s="114"/>
    </row>
    <row r="428" spans="1:77" ht="20.100000000000001" customHeight="1" x14ac:dyDescent="0.4">
      <c r="A428" s="117"/>
      <c r="B428" s="123"/>
      <c r="C428" s="123"/>
      <c r="D428" s="123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7"/>
      <c r="W428" s="13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27"/>
      <c r="AM428" s="29"/>
      <c r="AW428" s="25"/>
      <c r="AX428" s="13"/>
      <c r="BC428" s="116"/>
      <c r="BD428" s="123"/>
      <c r="BE428" s="123"/>
      <c r="BF428" s="123"/>
      <c r="BK428" s="115"/>
      <c r="BL428" s="115"/>
      <c r="BM428" s="115"/>
      <c r="BN428" s="115"/>
      <c r="BO428" s="115"/>
      <c r="BP428" s="115"/>
      <c r="BQ428" s="115"/>
      <c r="BR428" s="115"/>
      <c r="BS428" s="115"/>
      <c r="BT428" s="115"/>
      <c r="BU428" s="25"/>
      <c r="BV428" s="13"/>
      <c r="BY428" s="114"/>
    </row>
    <row r="429" spans="1:77" ht="20.100000000000001" customHeight="1" x14ac:dyDescent="0.4">
      <c r="A429" s="117"/>
      <c r="B429" s="123"/>
      <c r="C429" s="123"/>
      <c r="D429" s="123"/>
      <c r="V429" s="26"/>
      <c r="W429" s="13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29"/>
      <c r="AM429" s="29"/>
      <c r="AW429" s="25"/>
      <c r="AX429" s="13"/>
      <c r="BC429" s="116"/>
      <c r="BD429" s="123"/>
      <c r="BE429" s="123"/>
      <c r="BF429" s="123"/>
      <c r="BK429" s="115"/>
      <c r="BL429" s="115"/>
      <c r="BM429" s="115"/>
      <c r="BN429" s="115"/>
      <c r="BO429" s="115"/>
      <c r="BP429" s="115"/>
      <c r="BQ429" s="115"/>
      <c r="BR429" s="115"/>
      <c r="BS429" s="115"/>
      <c r="BT429" s="115"/>
      <c r="BU429" s="25"/>
      <c r="BV429" s="13"/>
      <c r="BY429" s="114"/>
    </row>
    <row r="430" spans="1:77" ht="20.100000000000001" customHeight="1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7"/>
      <c r="W430" s="13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29"/>
      <c r="AM430" s="29"/>
      <c r="AW430" s="25"/>
      <c r="AX430" s="13"/>
      <c r="BC430" s="116"/>
      <c r="BD430" s="123"/>
      <c r="BE430" s="123"/>
      <c r="BF430" s="123"/>
      <c r="BK430" s="115"/>
      <c r="BL430" s="115"/>
      <c r="BM430" s="115"/>
      <c r="BN430" s="115"/>
      <c r="BO430" s="115"/>
      <c r="BP430" s="115"/>
      <c r="BQ430" s="115"/>
      <c r="BR430" s="115"/>
      <c r="BS430" s="115"/>
      <c r="BT430" s="115"/>
      <c r="BU430" s="25"/>
      <c r="BV430" s="13"/>
      <c r="BY430" s="114"/>
    </row>
    <row r="431" spans="1:77" ht="20.100000000000001" customHeight="1" x14ac:dyDescent="0.4">
      <c r="A431" s="117"/>
      <c r="B431" s="123"/>
      <c r="C431" s="123"/>
      <c r="D431" s="123"/>
      <c r="V431" s="26"/>
      <c r="W431" s="13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29"/>
      <c r="AM431" s="29"/>
      <c r="AW431" s="25"/>
      <c r="AX431" s="13"/>
      <c r="BC431" s="116"/>
      <c r="BD431" s="123"/>
      <c r="BE431" s="123"/>
      <c r="BF431" s="123"/>
      <c r="BK431" s="115"/>
      <c r="BL431" s="115"/>
      <c r="BM431" s="115"/>
      <c r="BN431" s="115"/>
      <c r="BO431" s="115"/>
      <c r="BP431" s="115"/>
      <c r="BQ431" s="115"/>
      <c r="BR431" s="115"/>
      <c r="BS431" s="115"/>
      <c r="BT431" s="115"/>
      <c r="BU431" s="25"/>
      <c r="BV431" s="13"/>
      <c r="BY431" s="114"/>
    </row>
    <row r="432" spans="1:77" ht="20.100000000000001" customHeight="1" x14ac:dyDescent="0.4">
      <c r="A432" s="117"/>
      <c r="B432" s="123"/>
      <c r="C432" s="123"/>
      <c r="D432" s="123"/>
      <c r="V432" s="26"/>
      <c r="W432" s="13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27"/>
      <c r="AM432" s="29"/>
      <c r="AW432" s="25"/>
      <c r="AX432" s="13"/>
      <c r="BC432" s="116"/>
      <c r="BD432" s="123"/>
      <c r="BE432" s="123"/>
      <c r="BF432" s="123"/>
      <c r="BK432" s="115"/>
      <c r="BL432" s="115"/>
      <c r="BM432" s="115"/>
      <c r="BN432" s="115"/>
      <c r="BO432" s="115"/>
      <c r="BP432" s="115"/>
      <c r="BQ432" s="115"/>
      <c r="BR432" s="115"/>
      <c r="BS432" s="115"/>
      <c r="BT432" s="115"/>
      <c r="BU432" s="25"/>
      <c r="BV432" s="13"/>
      <c r="BY432" s="114"/>
    </row>
    <row r="433" spans="1:77" ht="20.100000000000001" customHeight="1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20"/>
      <c r="W433" s="13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27"/>
      <c r="AM433" s="29"/>
      <c r="AW433" s="25"/>
      <c r="AX433" s="13"/>
      <c r="BC433" s="116"/>
      <c r="BD433" s="123"/>
      <c r="BE433" s="123"/>
      <c r="BF433" s="123"/>
      <c r="BK433" s="115"/>
      <c r="BL433" s="115"/>
      <c r="BM433" s="115"/>
      <c r="BN433" s="115"/>
      <c r="BO433" s="115"/>
      <c r="BP433" s="115"/>
      <c r="BQ433" s="115"/>
      <c r="BR433" s="115"/>
      <c r="BS433" s="115"/>
      <c r="BT433" s="115"/>
      <c r="BU433" s="25"/>
      <c r="BV433" s="13"/>
      <c r="BY433" s="114"/>
    </row>
    <row r="434" spans="1:77" ht="20.100000000000001" customHeight="1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20"/>
      <c r="W434" s="13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127"/>
      <c r="AM434" s="29"/>
      <c r="AW434" s="25"/>
      <c r="AX434" s="13"/>
      <c r="BC434" s="116"/>
      <c r="BD434" s="123"/>
      <c r="BE434" s="123"/>
      <c r="BF434" s="123"/>
      <c r="BK434" s="115"/>
      <c r="BL434" s="115"/>
      <c r="BM434" s="115"/>
      <c r="BN434" s="115"/>
      <c r="BO434" s="115"/>
      <c r="BP434" s="115"/>
      <c r="BQ434" s="115"/>
      <c r="BR434" s="115"/>
      <c r="BS434" s="115"/>
      <c r="BT434" s="115"/>
      <c r="BU434" s="25"/>
      <c r="BV434" s="13"/>
      <c r="BY434" s="114"/>
    </row>
    <row r="435" spans="1:77" ht="20.100000000000001" customHeight="1" x14ac:dyDescent="0.4">
      <c r="A435" s="117"/>
      <c r="B435" s="123"/>
      <c r="C435" s="123"/>
      <c r="D435" s="123"/>
      <c r="V435" s="25"/>
      <c r="W435" s="13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27"/>
      <c r="AM435" s="29"/>
      <c r="AW435" s="25"/>
      <c r="AX435" s="13"/>
      <c r="BC435" s="116"/>
      <c r="BD435" s="123"/>
      <c r="BE435" s="123"/>
      <c r="BF435" s="123"/>
      <c r="BK435" s="115"/>
      <c r="BL435" s="115"/>
      <c r="BM435" s="115"/>
      <c r="BN435" s="115"/>
      <c r="BO435" s="115"/>
      <c r="BP435" s="115"/>
      <c r="BQ435" s="115"/>
      <c r="BR435" s="115"/>
      <c r="BS435" s="115"/>
      <c r="BT435" s="115"/>
      <c r="BU435" s="25"/>
      <c r="BV435" s="13"/>
      <c r="BY435" s="114"/>
    </row>
    <row r="436" spans="1:77" ht="20.100000000000001" customHeight="1" x14ac:dyDescent="0.4">
      <c r="A436" s="117"/>
      <c r="B436" s="123"/>
      <c r="C436" s="123"/>
      <c r="D436" s="123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3"/>
      <c r="W436" s="13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27"/>
      <c r="AM436" s="29"/>
      <c r="AW436" s="25"/>
      <c r="AX436" s="13"/>
      <c r="BC436" s="116"/>
      <c r="BD436" s="123"/>
      <c r="BE436" s="123"/>
      <c r="BF436" s="123"/>
      <c r="BK436" s="115"/>
      <c r="BL436" s="115"/>
      <c r="BM436" s="115"/>
      <c r="BN436" s="115"/>
      <c r="BO436" s="115"/>
      <c r="BP436" s="115"/>
      <c r="BQ436" s="115"/>
      <c r="BR436" s="115"/>
      <c r="BS436" s="115"/>
      <c r="BT436" s="115"/>
      <c r="BU436" s="25"/>
      <c r="BV436" s="13"/>
      <c r="BY436" s="114"/>
    </row>
    <row r="437" spans="1:77" ht="20.100000000000001" customHeight="1" x14ac:dyDescent="0.4">
      <c r="A437" s="117"/>
      <c r="B437" s="123"/>
      <c r="C437" s="123"/>
      <c r="D437" s="123"/>
      <c r="V437" s="25"/>
      <c r="W437" s="13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27"/>
      <c r="AM437" s="29"/>
      <c r="AW437" s="25"/>
      <c r="AX437" s="13"/>
      <c r="BC437" s="116"/>
      <c r="BD437" s="123"/>
      <c r="BE437" s="123"/>
      <c r="BF437" s="123"/>
      <c r="BK437" s="115"/>
      <c r="BL437" s="115"/>
      <c r="BM437" s="115"/>
      <c r="BN437" s="115"/>
      <c r="BO437" s="115"/>
      <c r="BP437" s="115"/>
      <c r="BQ437" s="115"/>
      <c r="BR437" s="115"/>
      <c r="BS437" s="115"/>
      <c r="BT437" s="115"/>
      <c r="BU437" s="25"/>
      <c r="BV437" s="13"/>
      <c r="BY437" s="114"/>
    </row>
    <row r="438" spans="1:77" ht="20.100000000000001" customHeight="1" x14ac:dyDescent="0.4">
      <c r="A438" s="117"/>
      <c r="B438" s="123"/>
      <c r="C438" s="123"/>
      <c r="D438" s="123"/>
      <c r="V438" s="26"/>
      <c r="W438" s="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27"/>
      <c r="AM438" s="29"/>
      <c r="AW438" s="25"/>
      <c r="AX438" s="13"/>
      <c r="BC438" s="116"/>
      <c r="BD438" s="123"/>
      <c r="BE438" s="123"/>
      <c r="BF438" s="123"/>
      <c r="BK438" s="115"/>
      <c r="BL438" s="115"/>
      <c r="BM438" s="115"/>
      <c r="BN438" s="115"/>
      <c r="BO438" s="115"/>
      <c r="BP438" s="115"/>
      <c r="BQ438" s="115"/>
      <c r="BR438" s="115"/>
      <c r="BS438" s="115"/>
      <c r="BT438" s="115"/>
      <c r="BU438" s="25"/>
      <c r="BV438" s="13"/>
      <c r="BY438" s="114"/>
    </row>
    <row r="439" spans="1:77" ht="20.100000000000001" customHeight="1" x14ac:dyDescent="0.4">
      <c r="A439" s="117"/>
      <c r="B439" s="123"/>
      <c r="C439" s="123"/>
      <c r="D439" s="123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25"/>
      <c r="W439" s="13"/>
      <c r="AL439" s="127"/>
      <c r="AM439" s="29"/>
      <c r="AW439" s="25"/>
      <c r="AX439" s="13"/>
      <c r="BC439" s="116"/>
      <c r="BD439" s="123"/>
      <c r="BE439" s="123"/>
      <c r="BF439" s="123"/>
      <c r="BK439" s="115"/>
      <c r="BL439" s="115"/>
      <c r="BM439" s="115"/>
      <c r="BN439" s="115"/>
      <c r="BO439" s="115"/>
      <c r="BP439" s="115"/>
      <c r="BQ439" s="115"/>
      <c r="BR439" s="115"/>
      <c r="BS439" s="115"/>
      <c r="BT439" s="115"/>
      <c r="BU439" s="25"/>
      <c r="BV439" s="13"/>
      <c r="BY439" s="114"/>
    </row>
    <row r="440" spans="1:77" ht="20.100000000000001" customHeight="1" x14ac:dyDescent="0.4">
      <c r="A440" s="117"/>
      <c r="B440" s="123"/>
      <c r="C440" s="123"/>
      <c r="D440" s="123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25"/>
      <c r="W440" s="13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27"/>
      <c r="AM440" s="29"/>
      <c r="AW440" s="25"/>
      <c r="AX440" s="13"/>
      <c r="BC440" s="116"/>
      <c r="BD440" s="123"/>
      <c r="BE440" s="123"/>
      <c r="BF440" s="123"/>
      <c r="BK440" s="115"/>
      <c r="BL440" s="115"/>
      <c r="BM440" s="115"/>
      <c r="BN440" s="115"/>
      <c r="BO440" s="115"/>
      <c r="BP440" s="115"/>
      <c r="BQ440" s="115"/>
      <c r="BR440" s="115"/>
      <c r="BS440" s="115"/>
      <c r="BT440" s="115"/>
      <c r="BU440" s="25"/>
      <c r="BV440" s="13"/>
      <c r="BY440" s="114"/>
    </row>
    <row r="441" spans="1:77" ht="20.100000000000001" customHeight="1" x14ac:dyDescent="0.4">
      <c r="A441" s="117"/>
      <c r="B441" s="123"/>
      <c r="C441" s="123"/>
      <c r="D441" s="123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25"/>
      <c r="W441" s="13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29"/>
      <c r="AM441" s="29"/>
      <c r="AW441" s="25"/>
      <c r="AX441" s="13"/>
      <c r="BC441" s="116"/>
      <c r="BD441" s="123"/>
      <c r="BE441" s="123"/>
      <c r="BF441" s="123"/>
      <c r="BK441" s="115"/>
      <c r="BL441" s="115"/>
      <c r="BM441" s="115"/>
      <c r="BN441" s="115"/>
      <c r="BO441" s="115"/>
      <c r="BP441" s="115"/>
      <c r="BQ441" s="115"/>
      <c r="BR441" s="115"/>
      <c r="BS441" s="115"/>
      <c r="BT441" s="115"/>
      <c r="BU441" s="25"/>
      <c r="BV441" s="13"/>
      <c r="BY441" s="114"/>
    </row>
    <row r="442" spans="1:77" ht="20.100000000000001" customHeight="1" x14ac:dyDescent="0.4">
      <c r="A442" s="117"/>
      <c r="B442" s="123"/>
      <c r="C442" s="123"/>
      <c r="D442" s="123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25"/>
      <c r="W442" s="13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27"/>
      <c r="AM442" s="29"/>
      <c r="AW442" s="25"/>
      <c r="AX442" s="13"/>
      <c r="BC442" s="116"/>
      <c r="BD442" s="123"/>
      <c r="BE442" s="123"/>
      <c r="BF442" s="123"/>
      <c r="BK442" s="115"/>
      <c r="BL442" s="115"/>
      <c r="BM442" s="115"/>
      <c r="BN442" s="115"/>
      <c r="BO442" s="115"/>
      <c r="BP442" s="115"/>
      <c r="BQ442" s="115"/>
      <c r="BR442" s="115"/>
      <c r="BS442" s="115"/>
      <c r="BT442" s="115"/>
      <c r="BU442" s="25"/>
      <c r="BV442" s="13"/>
      <c r="BY442" s="114"/>
    </row>
    <row r="443" spans="1:77" ht="20.100000000000001" customHeight="1" x14ac:dyDescent="0.4">
      <c r="A443" s="117"/>
      <c r="B443" s="123"/>
      <c r="C443" s="123"/>
      <c r="D443" s="123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26"/>
      <c r="W443" s="13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27"/>
      <c r="AM443" s="29"/>
      <c r="AW443" s="25"/>
      <c r="AX443" s="13"/>
      <c r="BC443" s="116"/>
      <c r="BD443" s="123"/>
      <c r="BE443" s="123"/>
      <c r="BF443" s="123"/>
      <c r="BK443" s="115"/>
      <c r="BL443" s="115"/>
      <c r="BM443" s="115"/>
      <c r="BN443" s="115"/>
      <c r="BO443" s="115"/>
      <c r="BP443" s="115"/>
      <c r="BQ443" s="115"/>
      <c r="BR443" s="115"/>
      <c r="BS443" s="115"/>
      <c r="BT443" s="115"/>
      <c r="BU443" s="25"/>
      <c r="BV443" s="13"/>
      <c r="BY443" s="114"/>
    </row>
    <row r="444" spans="1:77" ht="20.100000000000001" customHeight="1" x14ac:dyDescent="0.4">
      <c r="A444" s="117"/>
      <c r="B444" s="123"/>
      <c r="C444" s="123"/>
      <c r="D444" s="123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26"/>
      <c r="W444" s="13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27"/>
      <c r="AM444" s="29"/>
      <c r="AW444" s="25"/>
      <c r="AX444" s="13"/>
      <c r="BC444" s="116"/>
      <c r="BD444" s="123"/>
      <c r="BE444" s="123"/>
      <c r="BF444" s="123"/>
      <c r="BK444" s="115"/>
      <c r="BL444" s="115"/>
      <c r="BM444" s="115"/>
      <c r="BN444" s="115"/>
      <c r="BO444" s="115"/>
      <c r="BP444" s="115"/>
      <c r="BQ444" s="115"/>
      <c r="BR444" s="115"/>
      <c r="BS444" s="115"/>
      <c r="BT444" s="115"/>
      <c r="BU444" s="25"/>
      <c r="BV444" s="13"/>
      <c r="BY444" s="114"/>
    </row>
    <row r="445" spans="1:77" ht="20.100000000000001" customHeight="1" x14ac:dyDescent="0.4">
      <c r="A445" s="117"/>
      <c r="B445" s="123"/>
      <c r="C445" s="123"/>
      <c r="D445" s="123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7"/>
      <c r="W445" s="13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27"/>
      <c r="AM445" s="29"/>
      <c r="AW445" s="25"/>
      <c r="AX445" s="13"/>
      <c r="BC445" s="116"/>
      <c r="BD445" s="123"/>
      <c r="BE445" s="123"/>
      <c r="BF445" s="123"/>
      <c r="BK445" s="115"/>
      <c r="BL445" s="115"/>
      <c r="BM445" s="115"/>
      <c r="BN445" s="115"/>
      <c r="BO445" s="115"/>
      <c r="BP445" s="115"/>
      <c r="BQ445" s="115"/>
      <c r="BR445" s="115"/>
      <c r="BS445" s="115"/>
      <c r="BT445" s="115"/>
      <c r="BU445" s="25"/>
      <c r="BV445" s="13"/>
      <c r="BY445" s="114"/>
    </row>
    <row r="446" spans="1:77" ht="20.100000000000001" customHeight="1" x14ac:dyDescent="0.4">
      <c r="A446" s="117"/>
      <c r="B446" s="123"/>
      <c r="C446" s="123"/>
      <c r="D446" s="123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26"/>
      <c r="W446" s="13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27"/>
      <c r="AM446" s="29"/>
      <c r="AW446" s="25"/>
      <c r="AX446" s="13"/>
      <c r="BC446" s="116"/>
      <c r="BD446" s="123"/>
      <c r="BE446" s="123"/>
      <c r="BF446" s="123"/>
      <c r="BK446" s="115"/>
      <c r="BL446" s="115"/>
      <c r="BM446" s="115"/>
      <c r="BN446" s="115"/>
      <c r="BO446" s="115"/>
      <c r="BP446" s="115"/>
      <c r="BQ446" s="115"/>
      <c r="BR446" s="115"/>
      <c r="BS446" s="115"/>
      <c r="BT446" s="115"/>
      <c r="BU446" s="25"/>
      <c r="BV446" s="13"/>
      <c r="BY446" s="114"/>
    </row>
    <row r="447" spans="1:77" ht="20.100000000000001" customHeight="1" x14ac:dyDescent="0.4">
      <c r="A447" s="117"/>
      <c r="B447" s="123"/>
      <c r="C447" s="123"/>
      <c r="D447" s="123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26"/>
      <c r="W447" s="13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27"/>
      <c r="AM447" s="29"/>
      <c r="AW447" s="25"/>
      <c r="AX447" s="13"/>
      <c r="BC447" s="116"/>
      <c r="BD447" s="123"/>
      <c r="BE447" s="123"/>
      <c r="BF447" s="123"/>
      <c r="BK447" s="115"/>
      <c r="BL447" s="115"/>
      <c r="BM447" s="115"/>
      <c r="BN447" s="115"/>
      <c r="BO447" s="115"/>
      <c r="BP447" s="115"/>
      <c r="BQ447" s="115"/>
      <c r="BR447" s="115"/>
      <c r="BS447" s="115"/>
      <c r="BT447" s="115"/>
      <c r="BU447" s="25"/>
      <c r="BV447" s="13"/>
      <c r="BY447" s="114"/>
    </row>
    <row r="448" spans="1:77" ht="20.100000000000001" customHeight="1" x14ac:dyDescent="0.4">
      <c r="A448" s="117"/>
      <c r="B448" s="123"/>
      <c r="C448" s="123"/>
      <c r="D448" s="123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7"/>
      <c r="W448" s="13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27"/>
      <c r="AM448" s="29"/>
      <c r="AW448" s="25"/>
      <c r="AX448" s="13"/>
      <c r="BC448" s="116"/>
      <c r="BD448" s="123"/>
      <c r="BE448" s="123"/>
      <c r="BF448" s="123"/>
      <c r="BK448" s="115"/>
      <c r="BL448" s="115"/>
      <c r="BM448" s="115"/>
      <c r="BN448" s="115"/>
      <c r="BO448" s="115"/>
      <c r="BP448" s="115"/>
      <c r="BQ448" s="115"/>
      <c r="BR448" s="115"/>
      <c r="BS448" s="115"/>
      <c r="BT448" s="115"/>
      <c r="BU448" s="25"/>
      <c r="BV448" s="13"/>
      <c r="BY448" s="114"/>
    </row>
    <row r="449" spans="1:77" ht="20.100000000000001" customHeight="1" x14ac:dyDescent="0.4">
      <c r="A449" s="117"/>
      <c r="B449" s="123"/>
      <c r="C449" s="123"/>
      <c r="D449" s="123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26"/>
      <c r="W449" s="13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27"/>
      <c r="AM449" s="134"/>
      <c r="AW449" s="25"/>
      <c r="AX449" s="13"/>
      <c r="BC449" s="116"/>
      <c r="BD449" s="123"/>
      <c r="BE449" s="123"/>
      <c r="BF449" s="123"/>
      <c r="BK449" s="115"/>
      <c r="BL449" s="115"/>
      <c r="BM449" s="115"/>
      <c r="BN449" s="115"/>
      <c r="BO449" s="115"/>
      <c r="BP449" s="115"/>
      <c r="BQ449" s="115"/>
      <c r="BR449" s="115"/>
      <c r="BS449" s="115"/>
      <c r="BT449" s="115"/>
      <c r="BU449" s="25"/>
      <c r="BV449" s="13"/>
      <c r="BY449" s="114"/>
    </row>
    <row r="450" spans="1:77" ht="20.100000000000001" customHeight="1" x14ac:dyDescent="0.4">
      <c r="A450" s="117"/>
      <c r="B450" s="123"/>
      <c r="C450" s="123"/>
      <c r="D450" s="123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26"/>
      <c r="W450" s="13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27"/>
      <c r="AM450" s="29"/>
      <c r="AW450" s="25"/>
      <c r="AX450" s="13"/>
      <c r="BC450" s="116"/>
      <c r="BD450" s="123"/>
      <c r="BE450" s="123"/>
      <c r="BF450" s="123"/>
      <c r="BK450" s="115"/>
      <c r="BL450" s="115"/>
      <c r="BM450" s="115"/>
      <c r="BN450" s="115"/>
      <c r="BO450" s="115"/>
      <c r="BP450" s="115"/>
      <c r="BQ450" s="115"/>
      <c r="BR450" s="115"/>
      <c r="BS450" s="115"/>
      <c r="BT450" s="115"/>
      <c r="BU450" s="25"/>
      <c r="BV450" s="13"/>
      <c r="BY450" s="114"/>
    </row>
    <row r="451" spans="1:77" ht="20.100000000000001" customHeight="1" x14ac:dyDescent="0.4">
      <c r="A451" s="117"/>
      <c r="B451" s="123"/>
      <c r="C451" s="123"/>
      <c r="D451" s="123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26"/>
      <c r="W451" s="13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27"/>
      <c r="AM451" s="29"/>
      <c r="AW451" s="25"/>
      <c r="AX451" s="13"/>
      <c r="BC451" s="116"/>
      <c r="BD451" s="123"/>
      <c r="BE451" s="123"/>
      <c r="BF451" s="123"/>
      <c r="BK451" s="115"/>
      <c r="BL451" s="115"/>
      <c r="BM451" s="115"/>
      <c r="BN451" s="115"/>
      <c r="BO451" s="115"/>
      <c r="BP451" s="115"/>
      <c r="BQ451" s="115"/>
      <c r="BR451" s="115"/>
      <c r="BS451" s="115"/>
      <c r="BT451" s="115"/>
      <c r="BU451" s="25"/>
      <c r="BV451" s="13"/>
      <c r="BY451" s="114"/>
    </row>
    <row r="452" spans="1:77" ht="20.100000000000001" customHeight="1" x14ac:dyDescent="0.4">
      <c r="A452" s="117"/>
      <c r="B452" s="123"/>
      <c r="C452" s="123"/>
      <c r="D452" s="123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26"/>
      <c r="W452" s="13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27"/>
      <c r="AM452" s="29"/>
      <c r="AW452" s="25"/>
      <c r="AX452" s="13"/>
      <c r="BC452" s="116"/>
      <c r="BD452" s="123"/>
      <c r="BE452" s="123"/>
      <c r="BF452" s="123"/>
      <c r="BK452" s="115"/>
      <c r="BL452" s="115"/>
      <c r="BM452" s="115"/>
      <c r="BN452" s="115"/>
      <c r="BO452" s="115"/>
      <c r="BP452" s="115"/>
      <c r="BQ452" s="115"/>
      <c r="BR452" s="115"/>
      <c r="BS452" s="115"/>
      <c r="BT452" s="115"/>
      <c r="BU452" s="25"/>
      <c r="BV452" s="13"/>
      <c r="BY452" s="114"/>
    </row>
    <row r="453" spans="1:77" ht="20.100000000000001" customHeight="1" x14ac:dyDescent="0.4">
      <c r="A453" s="117"/>
      <c r="B453" s="123"/>
      <c r="C453" s="123"/>
      <c r="D453" s="123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26"/>
      <c r="W453" s="13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27"/>
      <c r="AM453" s="29"/>
      <c r="AW453" s="25"/>
      <c r="AX453" s="13"/>
      <c r="BC453" s="116"/>
      <c r="BD453" s="123"/>
      <c r="BE453" s="123"/>
      <c r="BF453" s="123"/>
      <c r="BK453" s="115"/>
      <c r="BL453" s="115"/>
      <c r="BM453" s="115"/>
      <c r="BN453" s="115"/>
      <c r="BO453" s="115"/>
      <c r="BP453" s="115"/>
      <c r="BQ453" s="115"/>
      <c r="BR453" s="115"/>
      <c r="BS453" s="115"/>
      <c r="BT453" s="115"/>
      <c r="BU453" s="25"/>
      <c r="BV453" s="13"/>
      <c r="BY453" s="114"/>
    </row>
    <row r="454" spans="1:77" ht="20.100000000000001" customHeight="1" x14ac:dyDescent="0.4">
      <c r="A454" s="117"/>
      <c r="B454" s="123"/>
      <c r="C454" s="123"/>
      <c r="D454" s="123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26"/>
      <c r="W454" s="13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27"/>
      <c r="AM454" s="29"/>
      <c r="AW454" s="25"/>
      <c r="AX454" s="13"/>
      <c r="BC454" s="116"/>
      <c r="BD454" s="123"/>
      <c r="BE454" s="123"/>
      <c r="BF454" s="123"/>
      <c r="BK454" s="115"/>
      <c r="BL454" s="115"/>
      <c r="BM454" s="115"/>
      <c r="BN454" s="115"/>
      <c r="BO454" s="115"/>
      <c r="BP454" s="115"/>
      <c r="BQ454" s="115"/>
      <c r="BR454" s="115"/>
      <c r="BS454" s="115"/>
      <c r="BT454" s="115"/>
      <c r="BU454" s="25"/>
      <c r="BV454" s="13"/>
      <c r="BY454" s="114"/>
    </row>
    <row r="455" spans="1:77" ht="20.100000000000001" customHeight="1" x14ac:dyDescent="0.4">
      <c r="A455" s="117"/>
      <c r="B455" s="123"/>
      <c r="C455" s="123"/>
      <c r="D455" s="123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26"/>
      <c r="W455" s="13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27"/>
      <c r="AM455" s="29"/>
      <c r="AW455" s="25"/>
      <c r="AX455" s="13"/>
      <c r="BC455" s="116"/>
      <c r="BD455" s="123"/>
      <c r="BE455" s="123"/>
      <c r="BF455" s="123"/>
      <c r="BK455" s="115"/>
      <c r="BL455" s="115"/>
      <c r="BM455" s="115"/>
      <c r="BN455" s="115"/>
      <c r="BO455" s="115"/>
      <c r="BP455" s="115"/>
      <c r="BQ455" s="115"/>
      <c r="BR455" s="115"/>
      <c r="BS455" s="115"/>
      <c r="BT455" s="115"/>
      <c r="BU455" s="25"/>
      <c r="BV455" s="13"/>
      <c r="BY455" s="114"/>
    </row>
    <row r="456" spans="1:77" ht="20.100000000000001" customHeight="1" x14ac:dyDescent="0.4">
      <c r="A456" s="117"/>
      <c r="B456" s="123"/>
      <c r="C456" s="123"/>
      <c r="D456" s="123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7"/>
      <c r="W456" s="13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27"/>
      <c r="AM456" s="29"/>
      <c r="AW456" s="25"/>
      <c r="AX456" s="13"/>
      <c r="BC456" s="116"/>
      <c r="BD456" s="123"/>
      <c r="BE456" s="123"/>
      <c r="BF456" s="123"/>
      <c r="BK456" s="115"/>
      <c r="BL456" s="115"/>
      <c r="BM456" s="115"/>
      <c r="BN456" s="115"/>
      <c r="BO456" s="115"/>
      <c r="BP456" s="115"/>
      <c r="BQ456" s="115"/>
      <c r="BR456" s="115"/>
      <c r="BS456" s="115"/>
      <c r="BT456" s="115"/>
      <c r="BU456" s="25"/>
      <c r="BV456" s="13"/>
      <c r="BY456" s="114"/>
    </row>
    <row r="457" spans="1:77" ht="20.100000000000001" customHeight="1" x14ac:dyDescent="0.4">
      <c r="A457" s="117"/>
      <c r="B457" s="123"/>
      <c r="C457" s="123"/>
      <c r="D457" s="123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26"/>
      <c r="W457" s="13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27"/>
      <c r="AM457" s="29"/>
      <c r="AW457" s="25"/>
      <c r="AX457" s="13"/>
      <c r="BC457" s="116"/>
      <c r="BD457" s="123"/>
      <c r="BE457" s="123"/>
      <c r="BF457" s="123"/>
      <c r="BK457" s="115"/>
      <c r="BL457" s="115"/>
      <c r="BM457" s="115"/>
      <c r="BN457" s="115"/>
      <c r="BO457" s="115"/>
      <c r="BP457" s="115"/>
      <c r="BQ457" s="115"/>
      <c r="BR457" s="115"/>
      <c r="BS457" s="115"/>
      <c r="BT457" s="115"/>
      <c r="BU457" s="25"/>
      <c r="BV457" s="13"/>
      <c r="BY457" s="114"/>
    </row>
    <row r="458" spans="1:77" ht="20.100000000000001" customHeight="1" x14ac:dyDescent="0.4">
      <c r="A458" s="117"/>
      <c r="B458" s="123"/>
      <c r="C458" s="123"/>
      <c r="D458" s="123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26"/>
      <c r="W458" s="13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27"/>
      <c r="AM458" s="29"/>
      <c r="AW458" s="25"/>
      <c r="AX458" s="13"/>
      <c r="BC458" s="116"/>
      <c r="BD458" s="123"/>
      <c r="BE458" s="123"/>
      <c r="BF458" s="123"/>
      <c r="BK458" s="115"/>
      <c r="BL458" s="115"/>
      <c r="BM458" s="115"/>
      <c r="BN458" s="115"/>
      <c r="BO458" s="115"/>
      <c r="BP458" s="115"/>
      <c r="BQ458" s="115"/>
      <c r="BR458" s="115"/>
      <c r="BS458" s="115"/>
      <c r="BT458" s="115"/>
      <c r="BU458" s="25"/>
      <c r="BV458" s="13"/>
      <c r="BY458" s="114"/>
    </row>
    <row r="459" spans="1:77" ht="20.100000000000001" customHeight="1" x14ac:dyDescent="0.4">
      <c r="A459" s="117"/>
      <c r="B459" s="123"/>
      <c r="C459" s="123"/>
      <c r="D459" s="123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7"/>
      <c r="W459" s="13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27"/>
      <c r="AM459" s="29"/>
      <c r="AW459" s="25"/>
      <c r="AX459" s="13"/>
      <c r="BC459" s="116"/>
      <c r="BD459" s="123"/>
      <c r="BE459" s="123"/>
      <c r="BF459" s="123"/>
      <c r="BK459" s="115"/>
      <c r="BL459" s="115"/>
      <c r="BM459" s="115"/>
      <c r="BN459" s="115"/>
      <c r="BO459" s="115"/>
      <c r="BP459" s="115"/>
      <c r="BQ459" s="115"/>
      <c r="BR459" s="115"/>
      <c r="BS459" s="115"/>
      <c r="BT459" s="115"/>
      <c r="BU459" s="25"/>
      <c r="BV459" s="13"/>
      <c r="BY459" s="114"/>
    </row>
    <row r="460" spans="1:77" ht="20.100000000000001" customHeight="1" x14ac:dyDescent="0.4">
      <c r="A460" s="117"/>
      <c r="B460" s="123"/>
      <c r="C460" s="123"/>
      <c r="D460" s="123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26"/>
      <c r="W460" s="13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27"/>
      <c r="AM460" s="134"/>
      <c r="AW460" s="25"/>
      <c r="AX460" s="13"/>
      <c r="BC460" s="116"/>
      <c r="BD460" s="123"/>
      <c r="BE460" s="123"/>
      <c r="BF460" s="123"/>
      <c r="BK460" s="115"/>
      <c r="BL460" s="115"/>
      <c r="BM460" s="115"/>
      <c r="BN460" s="115"/>
      <c r="BO460" s="115"/>
      <c r="BP460" s="115"/>
      <c r="BQ460" s="115"/>
      <c r="BR460" s="115"/>
      <c r="BS460" s="115"/>
      <c r="BT460" s="115"/>
      <c r="BU460" s="25"/>
      <c r="BV460" s="13"/>
      <c r="BY460" s="114"/>
    </row>
    <row r="461" spans="1:77" ht="20.100000000000001" customHeight="1" x14ac:dyDescent="0.4">
      <c r="A461" s="117"/>
      <c r="B461" s="123"/>
      <c r="C461" s="123"/>
      <c r="D461" s="123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26"/>
      <c r="W461" s="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27"/>
      <c r="AM461" s="29"/>
      <c r="AW461" s="25"/>
      <c r="AX461" s="13"/>
      <c r="BC461" s="116"/>
      <c r="BD461" s="123"/>
      <c r="BE461" s="123"/>
      <c r="BF461" s="123"/>
      <c r="BK461" s="115"/>
      <c r="BL461" s="115"/>
      <c r="BM461" s="115"/>
      <c r="BN461" s="115"/>
      <c r="BO461" s="115"/>
      <c r="BP461" s="115"/>
      <c r="BQ461" s="115"/>
      <c r="BR461" s="115"/>
      <c r="BS461" s="115"/>
      <c r="BT461" s="115"/>
      <c r="BU461" s="25"/>
      <c r="BV461" s="13"/>
      <c r="BY461" s="114"/>
    </row>
    <row r="462" spans="1:77" ht="20.100000000000001" customHeight="1" x14ac:dyDescent="0.4">
      <c r="A462" s="117"/>
      <c r="B462" s="123"/>
      <c r="C462" s="123"/>
      <c r="D462" s="123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26"/>
      <c r="W462" s="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27"/>
      <c r="AM462" s="29"/>
      <c r="AW462" s="25"/>
      <c r="AX462" s="13"/>
      <c r="BC462" s="116"/>
      <c r="BD462" s="123"/>
      <c r="BE462" s="123"/>
      <c r="BF462" s="123"/>
      <c r="BK462" s="115"/>
      <c r="BL462" s="115"/>
      <c r="BM462" s="115"/>
      <c r="BN462" s="115"/>
      <c r="BO462" s="115"/>
      <c r="BP462" s="115"/>
      <c r="BQ462" s="115"/>
      <c r="BR462" s="115"/>
      <c r="BS462" s="115"/>
      <c r="BT462" s="115"/>
      <c r="BU462" s="25"/>
      <c r="BV462" s="13"/>
      <c r="BY462" s="114"/>
    </row>
    <row r="463" spans="1:77" ht="20.100000000000001" customHeight="1" x14ac:dyDescent="0.4">
      <c r="A463" s="117"/>
      <c r="B463" s="123"/>
      <c r="C463" s="123"/>
      <c r="D463" s="123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26"/>
      <c r="W463" s="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27"/>
      <c r="AM463" s="29"/>
      <c r="AW463" s="25"/>
      <c r="AX463" s="13"/>
      <c r="BC463" s="116"/>
      <c r="BD463" s="123"/>
      <c r="BE463" s="123"/>
      <c r="BF463" s="123"/>
      <c r="BK463" s="115"/>
      <c r="BL463" s="115"/>
      <c r="BM463" s="115"/>
      <c r="BN463" s="115"/>
      <c r="BO463" s="115"/>
      <c r="BP463" s="115"/>
      <c r="BQ463" s="115"/>
      <c r="BR463" s="115"/>
      <c r="BS463" s="115"/>
      <c r="BT463" s="115"/>
      <c r="BU463" s="25"/>
      <c r="BV463" s="13"/>
      <c r="BY463" s="114"/>
    </row>
    <row r="464" spans="1:77" ht="20.100000000000001" customHeight="1" x14ac:dyDescent="0.4">
      <c r="A464" s="117"/>
      <c r="B464" s="123"/>
      <c r="C464" s="123"/>
      <c r="D464" s="123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26"/>
      <c r="W464" s="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29"/>
      <c r="AM464" s="29"/>
      <c r="AW464" s="25"/>
      <c r="AX464" s="13"/>
      <c r="BC464" s="116"/>
      <c r="BD464" s="123"/>
      <c r="BE464" s="123"/>
      <c r="BF464" s="123"/>
      <c r="BK464" s="115"/>
      <c r="BL464" s="115"/>
      <c r="BM464" s="115"/>
      <c r="BN464" s="115"/>
      <c r="BO464" s="115"/>
      <c r="BP464" s="115"/>
      <c r="BQ464" s="115"/>
      <c r="BR464" s="115"/>
      <c r="BS464" s="115"/>
      <c r="BT464" s="115"/>
      <c r="BU464" s="25"/>
      <c r="BV464" s="13"/>
      <c r="BY464" s="114"/>
    </row>
    <row r="465" spans="1:77" ht="20.100000000000001" customHeight="1" x14ac:dyDescent="0.4">
      <c r="A465" s="117"/>
      <c r="B465" s="123"/>
      <c r="C465" s="123"/>
      <c r="D465" s="123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26"/>
      <c r="W465" s="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27"/>
      <c r="AM465" s="29"/>
      <c r="AW465" s="25"/>
      <c r="AX465" s="13"/>
      <c r="BC465" s="116"/>
      <c r="BD465" s="123"/>
      <c r="BE465" s="123"/>
      <c r="BF465" s="123"/>
      <c r="BK465" s="115"/>
      <c r="BL465" s="115"/>
      <c r="BM465" s="115"/>
      <c r="BN465" s="115"/>
      <c r="BO465" s="115"/>
      <c r="BP465" s="115"/>
      <c r="BQ465" s="115"/>
      <c r="BR465" s="115"/>
      <c r="BS465" s="115"/>
      <c r="BT465" s="115"/>
      <c r="BU465" s="25"/>
      <c r="BV465" s="13"/>
      <c r="BY465" s="114"/>
    </row>
    <row r="466" spans="1:77" ht="20.100000000000001" customHeight="1" x14ac:dyDescent="0.4">
      <c r="A466" s="117"/>
      <c r="B466" s="123"/>
      <c r="C466" s="123"/>
      <c r="D466" s="123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26"/>
      <c r="W466" s="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27"/>
      <c r="AM466" s="29"/>
      <c r="AW466" s="25"/>
      <c r="AX466" s="13"/>
      <c r="BC466" s="116"/>
      <c r="BD466" s="123"/>
      <c r="BE466" s="123"/>
      <c r="BF466" s="123"/>
      <c r="BK466" s="115"/>
      <c r="BL466" s="115"/>
      <c r="BM466" s="115"/>
      <c r="BN466" s="115"/>
      <c r="BO466" s="115"/>
      <c r="BP466" s="115"/>
      <c r="BQ466" s="115"/>
      <c r="BR466" s="115"/>
      <c r="BS466" s="115"/>
      <c r="BT466" s="115"/>
      <c r="BU466" s="25"/>
      <c r="BV466" s="13"/>
      <c r="BY466" s="114"/>
    </row>
    <row r="467" spans="1:77" ht="20.100000000000001" customHeight="1" x14ac:dyDescent="0.4">
      <c r="A467" s="117"/>
      <c r="B467" s="123"/>
      <c r="C467" s="123"/>
      <c r="D467" s="123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26"/>
      <c r="W467" s="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15"/>
      <c r="AL467" s="127"/>
      <c r="AM467" s="29"/>
      <c r="AW467" s="25"/>
      <c r="AX467" s="13"/>
      <c r="BC467" s="116"/>
      <c r="BD467" s="123"/>
      <c r="BE467" s="123"/>
      <c r="BF467" s="123"/>
      <c r="BK467" s="115"/>
      <c r="BL467" s="115"/>
      <c r="BM467" s="115"/>
      <c r="BN467" s="115"/>
      <c r="BO467" s="115"/>
      <c r="BP467" s="115"/>
      <c r="BQ467" s="115"/>
      <c r="BR467" s="115"/>
      <c r="BS467" s="115"/>
      <c r="BT467" s="115"/>
      <c r="BU467" s="25"/>
      <c r="BV467" s="13"/>
      <c r="BY467" s="114"/>
    </row>
    <row r="468" spans="1:77" ht="20.100000000000001" customHeight="1" x14ac:dyDescent="0.4">
      <c r="A468" s="117"/>
      <c r="B468" s="123"/>
      <c r="C468" s="123"/>
      <c r="D468" s="123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26"/>
      <c r="W468" s="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27"/>
      <c r="AM468" s="29"/>
      <c r="AW468" s="25"/>
      <c r="AX468" s="13"/>
      <c r="BC468" s="116"/>
      <c r="BD468" s="123"/>
      <c r="BE468" s="123"/>
      <c r="BF468" s="123"/>
      <c r="BK468" s="115"/>
      <c r="BL468" s="115"/>
      <c r="BM468" s="115"/>
      <c r="BN468" s="115"/>
      <c r="BO468" s="115"/>
      <c r="BP468" s="115"/>
      <c r="BQ468" s="115"/>
      <c r="BR468" s="115"/>
      <c r="BS468" s="115"/>
      <c r="BT468" s="115"/>
      <c r="BU468" s="25"/>
      <c r="BV468" s="13"/>
      <c r="BY468" s="114"/>
    </row>
    <row r="469" spans="1:77" ht="20.100000000000001" customHeight="1" x14ac:dyDescent="0.4">
      <c r="A469" s="117"/>
      <c r="B469" s="123"/>
      <c r="C469" s="123"/>
      <c r="D469" s="123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26"/>
      <c r="W469" s="13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29"/>
      <c r="AM469" s="29"/>
      <c r="AW469" s="25"/>
      <c r="AX469" s="13"/>
      <c r="BC469" s="116"/>
      <c r="BD469" s="123"/>
      <c r="BE469" s="123"/>
      <c r="BF469" s="123"/>
      <c r="BK469" s="115"/>
      <c r="BL469" s="115"/>
      <c r="BM469" s="115"/>
      <c r="BN469" s="115"/>
      <c r="BO469" s="115"/>
      <c r="BP469" s="115"/>
      <c r="BQ469" s="115"/>
      <c r="BR469" s="115"/>
      <c r="BS469" s="115"/>
      <c r="BT469" s="115"/>
      <c r="BU469" s="25"/>
      <c r="BV469" s="13"/>
      <c r="BY469" s="114"/>
    </row>
    <row r="470" spans="1:77" ht="20.100000000000001" customHeight="1" x14ac:dyDescent="0.4">
      <c r="A470" s="117"/>
      <c r="B470" s="123"/>
      <c r="C470" s="123"/>
      <c r="D470" s="123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26"/>
      <c r="W470" s="13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27"/>
      <c r="AM470" s="29"/>
      <c r="AW470" s="25"/>
      <c r="AX470" s="13"/>
      <c r="BC470" s="116"/>
      <c r="BD470" s="123"/>
      <c r="BE470" s="123"/>
      <c r="BF470" s="123"/>
      <c r="BK470" s="115"/>
      <c r="BL470" s="115"/>
      <c r="BM470" s="115"/>
      <c r="BN470" s="115"/>
      <c r="BO470" s="115"/>
      <c r="BP470" s="115"/>
      <c r="BQ470" s="115"/>
      <c r="BR470" s="115"/>
      <c r="BS470" s="115"/>
      <c r="BT470" s="115"/>
      <c r="BU470" s="25"/>
      <c r="BV470" s="13"/>
      <c r="BY470" s="114"/>
    </row>
    <row r="471" spans="1:77" ht="20.100000000000001" customHeight="1" x14ac:dyDescent="0.4">
      <c r="A471" s="117"/>
      <c r="B471" s="123"/>
      <c r="C471" s="123"/>
      <c r="D471" s="123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26"/>
      <c r="W471" s="13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27"/>
      <c r="AM471" s="29"/>
      <c r="AW471" s="25"/>
      <c r="AX471" s="13"/>
      <c r="BC471" s="116"/>
      <c r="BD471" s="123"/>
      <c r="BE471" s="123"/>
      <c r="BF471" s="123"/>
      <c r="BK471" s="115"/>
      <c r="BL471" s="115"/>
      <c r="BM471" s="115"/>
      <c r="BN471" s="115"/>
      <c r="BO471" s="115"/>
      <c r="BP471" s="115"/>
      <c r="BQ471" s="115"/>
      <c r="BR471" s="115"/>
      <c r="BS471" s="115"/>
      <c r="BT471" s="115"/>
      <c r="BU471" s="25"/>
      <c r="BV471" s="13"/>
      <c r="BY471" s="114"/>
    </row>
    <row r="472" spans="1:77" ht="20.100000000000001" customHeight="1" x14ac:dyDescent="0.4">
      <c r="A472" s="117"/>
      <c r="B472" s="123"/>
      <c r="C472" s="123"/>
      <c r="D472" s="123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26"/>
      <c r="W472" s="13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27"/>
      <c r="AM472" s="29"/>
      <c r="AW472" s="25"/>
      <c r="AX472" s="13"/>
      <c r="BC472" s="116"/>
      <c r="BD472" s="123"/>
      <c r="BE472" s="123"/>
      <c r="BF472" s="123"/>
      <c r="BK472" s="115"/>
      <c r="BL472" s="115"/>
      <c r="BM472" s="115"/>
      <c r="BN472" s="115"/>
      <c r="BO472" s="115"/>
      <c r="BP472" s="115"/>
      <c r="BQ472" s="115"/>
      <c r="BR472" s="115"/>
      <c r="BS472" s="115"/>
      <c r="BT472" s="115"/>
      <c r="BU472" s="25"/>
      <c r="BV472" s="13"/>
      <c r="BY472" s="114"/>
    </row>
    <row r="473" spans="1:77" ht="20.100000000000001" customHeight="1" x14ac:dyDescent="0.4">
      <c r="A473" s="117"/>
      <c r="B473" s="123"/>
      <c r="C473" s="123"/>
      <c r="D473" s="123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26"/>
      <c r="W473" s="13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27"/>
      <c r="AM473" s="29"/>
      <c r="AW473" s="25"/>
      <c r="AX473" s="13"/>
      <c r="BC473" s="116"/>
      <c r="BD473" s="123"/>
      <c r="BE473" s="123"/>
      <c r="BF473" s="123"/>
      <c r="BK473" s="115"/>
      <c r="BL473" s="115"/>
      <c r="BM473" s="115"/>
      <c r="BN473" s="115"/>
      <c r="BO473" s="115"/>
      <c r="BP473" s="115"/>
      <c r="BQ473" s="115"/>
      <c r="BR473" s="115"/>
      <c r="BS473" s="115"/>
      <c r="BT473" s="115"/>
      <c r="BU473" s="25"/>
      <c r="BV473" s="13"/>
      <c r="BY473" s="114"/>
    </row>
    <row r="474" spans="1:77" ht="20.100000000000001" customHeight="1" x14ac:dyDescent="0.4">
      <c r="A474" s="117"/>
      <c r="B474" s="123"/>
      <c r="C474" s="123"/>
      <c r="D474" s="123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7"/>
      <c r="W474" s="13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27"/>
      <c r="AM474" s="29"/>
      <c r="AW474" s="25"/>
      <c r="AX474" s="13"/>
      <c r="BC474" s="116"/>
      <c r="BD474" s="123"/>
      <c r="BE474" s="123"/>
      <c r="BF474" s="123"/>
      <c r="BK474" s="115"/>
      <c r="BL474" s="115"/>
      <c r="BM474" s="115"/>
      <c r="BN474" s="115"/>
      <c r="BO474" s="115"/>
      <c r="BP474" s="115"/>
      <c r="BQ474" s="115"/>
      <c r="BR474" s="115"/>
      <c r="BS474" s="115"/>
      <c r="BT474" s="115"/>
      <c r="BU474" s="25"/>
      <c r="BV474" s="13"/>
      <c r="BY474" s="114"/>
    </row>
    <row r="475" spans="1:77" ht="20.100000000000001" customHeight="1" x14ac:dyDescent="0.4">
      <c r="A475" s="117"/>
      <c r="B475" s="123"/>
      <c r="C475" s="123"/>
      <c r="D475" s="123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26"/>
      <c r="W475" s="13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27"/>
      <c r="AM475" s="29"/>
      <c r="AW475" s="25"/>
      <c r="AX475" s="13"/>
      <c r="BC475" s="116"/>
      <c r="BD475" s="123"/>
      <c r="BE475" s="123"/>
      <c r="BF475" s="123"/>
      <c r="BK475" s="115"/>
      <c r="BL475" s="115"/>
      <c r="BM475" s="115"/>
      <c r="BN475" s="115"/>
      <c r="BO475" s="115"/>
      <c r="BP475" s="115"/>
      <c r="BQ475" s="115"/>
      <c r="BR475" s="115"/>
      <c r="BS475" s="115"/>
      <c r="BT475" s="115"/>
      <c r="BU475" s="25"/>
      <c r="BV475" s="13"/>
      <c r="BY475" s="114"/>
    </row>
    <row r="476" spans="1:77" ht="20.100000000000001" customHeight="1" x14ac:dyDescent="0.4">
      <c r="A476" s="117"/>
      <c r="B476" s="123"/>
      <c r="C476" s="123"/>
      <c r="D476" s="123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26"/>
      <c r="W476" s="13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27"/>
      <c r="AM476" s="29"/>
      <c r="AW476" s="25"/>
      <c r="AX476" s="13"/>
      <c r="BC476" s="116"/>
      <c r="BD476" s="123"/>
      <c r="BE476" s="123"/>
      <c r="BF476" s="123"/>
      <c r="BK476" s="115"/>
      <c r="BL476" s="115"/>
      <c r="BM476" s="115"/>
      <c r="BN476" s="115"/>
      <c r="BO476" s="115"/>
      <c r="BP476" s="115"/>
      <c r="BQ476" s="115"/>
      <c r="BR476" s="115"/>
      <c r="BS476" s="115"/>
      <c r="BT476" s="115"/>
      <c r="BU476" s="25"/>
      <c r="BV476" s="13"/>
      <c r="BY476" s="114"/>
    </row>
    <row r="477" spans="1:77" ht="20.100000000000001" customHeight="1" x14ac:dyDescent="0.4">
      <c r="A477" s="117"/>
      <c r="B477" s="123"/>
      <c r="C477" s="123"/>
      <c r="D477" s="123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26"/>
      <c r="W477" s="13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29"/>
      <c r="AM477" s="29"/>
      <c r="AW477" s="25"/>
      <c r="AX477" s="13"/>
      <c r="BC477" s="116"/>
      <c r="BD477" s="123"/>
      <c r="BE477" s="123"/>
      <c r="BF477" s="123"/>
      <c r="BK477" s="115"/>
      <c r="BL477" s="115"/>
      <c r="BM477" s="115"/>
      <c r="BN477" s="115"/>
      <c r="BO477" s="115"/>
      <c r="BP477" s="115"/>
      <c r="BQ477" s="115"/>
      <c r="BR477" s="115"/>
      <c r="BS477" s="115"/>
      <c r="BT477" s="115"/>
      <c r="BU477" s="25"/>
      <c r="BV477" s="13"/>
      <c r="BY477" s="114"/>
    </row>
    <row r="478" spans="1:77" ht="20.100000000000001" customHeight="1" x14ac:dyDescent="0.4">
      <c r="A478" s="117"/>
      <c r="B478" s="123"/>
      <c r="C478" s="123"/>
      <c r="D478" s="123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26"/>
      <c r="W478" s="13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27"/>
      <c r="AM478" s="29"/>
      <c r="AW478" s="25"/>
      <c r="AX478" s="13"/>
      <c r="BC478" s="116"/>
      <c r="BD478" s="123"/>
      <c r="BE478" s="123"/>
      <c r="BF478" s="123"/>
      <c r="BK478" s="115"/>
      <c r="BL478" s="115"/>
      <c r="BM478" s="115"/>
      <c r="BN478" s="115"/>
      <c r="BO478" s="115"/>
      <c r="BP478" s="115"/>
      <c r="BQ478" s="115"/>
      <c r="BR478" s="115"/>
      <c r="BS478" s="115"/>
      <c r="BT478" s="115"/>
      <c r="BU478" s="25"/>
      <c r="BV478" s="13"/>
      <c r="BY478" s="114"/>
    </row>
    <row r="479" spans="1:77" ht="20.100000000000001" customHeight="1" x14ac:dyDescent="0.4">
      <c r="A479" s="117"/>
      <c r="B479" s="123"/>
      <c r="C479" s="123"/>
      <c r="D479" s="123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26"/>
      <c r="W479" s="13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27"/>
      <c r="AM479" s="29"/>
      <c r="AW479" s="25"/>
      <c r="AX479" s="13"/>
      <c r="BC479" s="116"/>
      <c r="BD479" s="123"/>
      <c r="BE479" s="123"/>
      <c r="BF479" s="123"/>
      <c r="BK479" s="115"/>
      <c r="BL479" s="115"/>
      <c r="BM479" s="115"/>
      <c r="BN479" s="115"/>
      <c r="BO479" s="115"/>
      <c r="BP479" s="115"/>
      <c r="BQ479" s="115"/>
      <c r="BR479" s="115"/>
      <c r="BS479" s="115"/>
      <c r="BT479" s="115"/>
      <c r="BU479" s="25"/>
      <c r="BV479" s="13"/>
      <c r="BY479" s="114"/>
    </row>
    <row r="480" spans="1:77" ht="20.100000000000001" customHeight="1" x14ac:dyDescent="0.4">
      <c r="A480" s="117"/>
      <c r="B480" s="123"/>
      <c r="C480" s="123"/>
      <c r="D480" s="123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26"/>
      <c r="W480" s="13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27"/>
      <c r="AM480" s="29"/>
      <c r="AW480" s="25"/>
      <c r="AX480" s="13"/>
      <c r="BC480" s="116"/>
      <c r="BD480" s="123"/>
      <c r="BE480" s="123"/>
      <c r="BF480" s="123"/>
      <c r="BK480" s="115"/>
      <c r="BL480" s="115"/>
      <c r="BM480" s="115"/>
      <c r="BN480" s="115"/>
      <c r="BO480" s="115"/>
      <c r="BP480" s="115"/>
      <c r="BQ480" s="115"/>
      <c r="BR480" s="115"/>
      <c r="BS480" s="115"/>
      <c r="BT480" s="115"/>
      <c r="BU480" s="25"/>
      <c r="BV480" s="13"/>
      <c r="BY480" s="114"/>
    </row>
    <row r="481" spans="1:77" ht="20.100000000000001" customHeight="1" x14ac:dyDescent="0.4">
      <c r="A481" s="117"/>
      <c r="B481" s="123"/>
      <c r="C481" s="123"/>
      <c r="D481" s="123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7"/>
      <c r="W481" s="13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27"/>
      <c r="AM481" s="29"/>
      <c r="AW481" s="25"/>
      <c r="AX481" s="13"/>
      <c r="BC481" s="116"/>
      <c r="BD481" s="123"/>
      <c r="BE481" s="123"/>
      <c r="BF481" s="123"/>
      <c r="BK481" s="115"/>
      <c r="BL481" s="115"/>
      <c r="BM481" s="115"/>
      <c r="BN481" s="115"/>
      <c r="BO481" s="115"/>
      <c r="BP481" s="115"/>
      <c r="BQ481" s="115"/>
      <c r="BR481" s="115"/>
      <c r="BS481" s="115"/>
      <c r="BT481" s="115"/>
      <c r="BU481" s="25"/>
      <c r="BV481" s="13"/>
      <c r="BY481" s="114"/>
    </row>
    <row r="482" spans="1:77" ht="20.100000000000001" customHeight="1" x14ac:dyDescent="0.4">
      <c r="A482" s="117"/>
      <c r="B482" s="123"/>
      <c r="C482" s="123"/>
      <c r="D482" s="123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26"/>
      <c r="W482" s="13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29"/>
      <c r="AM482" s="29"/>
      <c r="AW482" s="25"/>
      <c r="AX482" s="13"/>
      <c r="BC482" s="116"/>
      <c r="BD482" s="123"/>
      <c r="BE482" s="123"/>
      <c r="BF482" s="123"/>
      <c r="BK482" s="115"/>
      <c r="BL482" s="115"/>
      <c r="BM482" s="115"/>
      <c r="BN482" s="115"/>
      <c r="BO482" s="115"/>
      <c r="BP482" s="115"/>
      <c r="BQ482" s="115"/>
      <c r="BR482" s="115"/>
      <c r="BS482" s="115"/>
      <c r="BT482" s="115"/>
      <c r="BU482" s="25"/>
      <c r="BV482" s="13"/>
      <c r="BY482" s="114"/>
    </row>
    <row r="483" spans="1:77" ht="20.100000000000001" customHeight="1" x14ac:dyDescent="0.4">
      <c r="A483" s="117"/>
      <c r="B483" s="123"/>
      <c r="C483" s="123"/>
      <c r="D483" s="123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7"/>
      <c r="W483" s="13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29"/>
      <c r="AM483" s="29"/>
      <c r="AW483" s="25"/>
      <c r="AX483" s="13"/>
      <c r="BC483" s="116"/>
      <c r="BD483" s="123"/>
      <c r="BE483" s="123"/>
      <c r="BF483" s="123"/>
      <c r="BK483" s="115"/>
      <c r="BL483" s="115"/>
      <c r="BM483" s="115"/>
      <c r="BN483" s="115"/>
      <c r="BO483" s="115"/>
      <c r="BP483" s="115"/>
      <c r="BQ483" s="115"/>
      <c r="BR483" s="115"/>
      <c r="BS483" s="115"/>
      <c r="BT483" s="115"/>
      <c r="BU483" s="25"/>
      <c r="BV483" s="13"/>
      <c r="BY483" s="114"/>
    </row>
    <row r="484" spans="1:77" ht="20.100000000000001" customHeight="1" x14ac:dyDescent="0.4">
      <c r="A484" s="117"/>
      <c r="B484" s="123"/>
      <c r="C484" s="123"/>
      <c r="D484" s="123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26"/>
      <c r="W484" s="13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27"/>
      <c r="AM484" s="29"/>
      <c r="AW484" s="25"/>
      <c r="AX484" s="13"/>
      <c r="BC484" s="116"/>
      <c r="BD484" s="123"/>
      <c r="BE484" s="123"/>
      <c r="BF484" s="123"/>
      <c r="BK484" s="115"/>
      <c r="BL484" s="115"/>
      <c r="BM484" s="115"/>
      <c r="BN484" s="115"/>
      <c r="BO484" s="115"/>
      <c r="BP484" s="115"/>
      <c r="BQ484" s="115"/>
      <c r="BR484" s="115"/>
      <c r="BS484" s="115"/>
      <c r="BT484" s="115"/>
      <c r="BU484" s="25"/>
      <c r="BV484" s="13"/>
      <c r="BY484" s="114"/>
    </row>
    <row r="485" spans="1:77" ht="20.100000000000001" customHeight="1" x14ac:dyDescent="0.4">
      <c r="A485" s="117"/>
      <c r="B485" s="123"/>
      <c r="C485" s="123"/>
      <c r="D485" s="123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7"/>
      <c r="W485" s="13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27"/>
      <c r="AM485" s="29"/>
      <c r="AW485" s="25"/>
      <c r="AX485" s="13"/>
      <c r="BC485" s="116"/>
      <c r="BD485" s="123"/>
      <c r="BE485" s="123"/>
      <c r="BF485" s="123"/>
      <c r="BK485" s="115"/>
      <c r="BL485" s="115"/>
      <c r="BM485" s="115"/>
      <c r="BN485" s="115"/>
      <c r="BO485" s="115"/>
      <c r="BP485" s="115"/>
      <c r="BQ485" s="115"/>
      <c r="BR485" s="115"/>
      <c r="BS485" s="115"/>
      <c r="BT485" s="115"/>
      <c r="BU485" s="25"/>
      <c r="BV485" s="13"/>
      <c r="BY485" s="114"/>
    </row>
    <row r="486" spans="1:77" ht="20.100000000000001" customHeight="1" x14ac:dyDescent="0.4">
      <c r="A486" s="117"/>
      <c r="B486" s="123"/>
      <c r="C486" s="123"/>
      <c r="D486" s="123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26"/>
      <c r="W486" s="13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27"/>
      <c r="AM486" s="29"/>
      <c r="AW486" s="25"/>
      <c r="AX486" s="13"/>
      <c r="BC486" s="116"/>
      <c r="BD486" s="123"/>
      <c r="BE486" s="123"/>
      <c r="BF486" s="123"/>
      <c r="BK486" s="115"/>
      <c r="BL486" s="115"/>
      <c r="BM486" s="115"/>
      <c r="BN486" s="115"/>
      <c r="BO486" s="115"/>
      <c r="BP486" s="115"/>
      <c r="BQ486" s="115"/>
      <c r="BR486" s="115"/>
      <c r="BS486" s="115"/>
      <c r="BT486" s="115"/>
      <c r="BU486" s="25"/>
      <c r="BV486" s="13"/>
      <c r="BY486" s="114"/>
    </row>
    <row r="487" spans="1:77" ht="20.100000000000001" customHeight="1" x14ac:dyDescent="0.4">
      <c r="A487" s="117"/>
      <c r="B487" s="123"/>
      <c r="C487" s="123"/>
      <c r="D487" s="123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7"/>
      <c r="W487" s="13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27"/>
      <c r="AM487" s="29"/>
      <c r="AW487" s="25"/>
      <c r="AX487" s="13"/>
      <c r="BC487" s="116"/>
      <c r="BD487" s="123"/>
      <c r="BE487" s="123"/>
      <c r="BF487" s="123"/>
      <c r="BK487" s="115"/>
      <c r="BL487" s="115"/>
      <c r="BM487" s="115"/>
      <c r="BN487" s="115"/>
      <c r="BO487" s="115"/>
      <c r="BP487" s="115"/>
      <c r="BQ487" s="115"/>
      <c r="BR487" s="115"/>
      <c r="BS487" s="115"/>
      <c r="BT487" s="115"/>
      <c r="BU487" s="25"/>
      <c r="BV487" s="13"/>
      <c r="BY487" s="114"/>
    </row>
    <row r="488" spans="1:77" ht="20.100000000000001" customHeight="1" x14ac:dyDescent="0.4">
      <c r="A488" s="117"/>
      <c r="B488" s="123"/>
      <c r="C488" s="123"/>
      <c r="D488" s="123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26"/>
      <c r="W488" s="13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27"/>
      <c r="AM488" s="29"/>
      <c r="AW488" s="25"/>
      <c r="AX488" s="13"/>
      <c r="BC488" s="116"/>
      <c r="BD488" s="123"/>
      <c r="BE488" s="123"/>
      <c r="BF488" s="123"/>
      <c r="BK488" s="115"/>
      <c r="BL488" s="115"/>
      <c r="BM488" s="115"/>
      <c r="BN488" s="115"/>
      <c r="BO488" s="115"/>
      <c r="BP488" s="115"/>
      <c r="BQ488" s="115"/>
      <c r="BR488" s="115"/>
      <c r="BS488" s="115"/>
      <c r="BT488" s="115"/>
      <c r="BU488" s="25"/>
      <c r="BV488" s="13"/>
      <c r="BY488" s="114"/>
    </row>
    <row r="489" spans="1:77" ht="20.100000000000001" customHeight="1" x14ac:dyDescent="0.4">
      <c r="A489" s="117"/>
      <c r="B489" s="123"/>
      <c r="C489" s="123"/>
      <c r="D489" s="123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26"/>
      <c r="W489" s="133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29"/>
      <c r="AM489" s="29"/>
      <c r="AW489" s="25"/>
      <c r="AX489" s="13"/>
      <c r="BC489" s="116"/>
      <c r="BD489" s="123"/>
      <c r="BE489" s="123"/>
      <c r="BF489" s="123"/>
      <c r="BK489" s="115"/>
      <c r="BL489" s="115"/>
      <c r="BM489" s="115"/>
      <c r="BN489" s="115"/>
      <c r="BO489" s="115"/>
      <c r="BP489" s="115"/>
      <c r="BQ489" s="115"/>
      <c r="BR489" s="115"/>
      <c r="BS489" s="115"/>
      <c r="BT489" s="115"/>
      <c r="BU489" s="25"/>
      <c r="BV489" s="13"/>
      <c r="BY489" s="114"/>
    </row>
    <row r="490" spans="1:77" ht="20.100000000000001" customHeight="1" x14ac:dyDescent="0.4">
      <c r="A490" s="117"/>
      <c r="B490" s="123"/>
      <c r="C490" s="123"/>
      <c r="D490" s="123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7"/>
      <c r="W490" s="13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29"/>
      <c r="AM490" s="29"/>
      <c r="AW490" s="25"/>
      <c r="AX490" s="13"/>
      <c r="BC490" s="116"/>
      <c r="BD490" s="123"/>
      <c r="BE490" s="123"/>
      <c r="BF490" s="123"/>
      <c r="BK490" s="115"/>
      <c r="BL490" s="115"/>
      <c r="BM490" s="115"/>
      <c r="BN490" s="115"/>
      <c r="BO490" s="115"/>
      <c r="BP490" s="115"/>
      <c r="BQ490" s="115"/>
      <c r="BR490" s="115"/>
      <c r="BS490" s="115"/>
      <c r="BT490" s="115"/>
      <c r="BU490" s="25"/>
      <c r="BV490" s="13"/>
      <c r="BY490" s="114"/>
    </row>
    <row r="491" spans="1:77" ht="20.100000000000001" customHeight="1" x14ac:dyDescent="0.4">
      <c r="A491" s="117"/>
      <c r="B491" s="123"/>
      <c r="C491" s="123"/>
      <c r="D491" s="123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26"/>
      <c r="W491" s="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27"/>
      <c r="AM491" s="29"/>
      <c r="AW491" s="25"/>
      <c r="AX491" s="13"/>
      <c r="BC491" s="116"/>
      <c r="BD491" s="123"/>
      <c r="BE491" s="123"/>
      <c r="BF491" s="123"/>
      <c r="BK491" s="115"/>
      <c r="BL491" s="115"/>
      <c r="BM491" s="115"/>
      <c r="BN491" s="115"/>
      <c r="BO491" s="115"/>
      <c r="BP491" s="115"/>
      <c r="BQ491" s="115"/>
      <c r="BR491" s="115"/>
      <c r="BS491" s="115"/>
      <c r="BT491" s="115"/>
      <c r="BU491" s="25"/>
      <c r="BV491" s="13"/>
      <c r="BY491" s="114"/>
    </row>
    <row r="492" spans="1:77" ht="20.100000000000001" customHeight="1" x14ac:dyDescent="0.4">
      <c r="A492" s="117"/>
      <c r="B492" s="123"/>
      <c r="C492" s="123"/>
      <c r="D492" s="123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19"/>
      <c r="W492" s="119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27"/>
      <c r="AM492" s="29"/>
      <c r="AW492" s="25"/>
      <c r="AX492" s="13"/>
      <c r="BC492" s="116"/>
      <c r="BD492" s="123"/>
      <c r="BE492" s="123"/>
      <c r="BF492" s="123"/>
      <c r="BK492" s="115"/>
      <c r="BL492" s="115"/>
      <c r="BM492" s="115"/>
      <c r="BN492" s="115"/>
      <c r="BO492" s="115"/>
      <c r="BP492" s="115"/>
      <c r="BQ492" s="115"/>
      <c r="BR492" s="115"/>
      <c r="BS492" s="115"/>
      <c r="BT492" s="115"/>
      <c r="BU492" s="25"/>
      <c r="BV492" s="13"/>
      <c r="BY492" s="114"/>
    </row>
    <row r="493" spans="1:77" ht="20.100000000000001" customHeight="1" x14ac:dyDescent="0.4">
      <c r="A493" s="117"/>
      <c r="B493" s="123"/>
      <c r="C493" s="123"/>
      <c r="D493" s="123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19"/>
      <c r="W493" s="119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27"/>
      <c r="AM493" s="29"/>
      <c r="AW493" s="25"/>
      <c r="AX493" s="13"/>
      <c r="BC493" s="116"/>
      <c r="BD493" s="123"/>
      <c r="BE493" s="123"/>
      <c r="BF493" s="123"/>
      <c r="BK493" s="115"/>
      <c r="BL493" s="115"/>
      <c r="BM493" s="115"/>
      <c r="BN493" s="115"/>
      <c r="BO493" s="115"/>
      <c r="BP493" s="115"/>
      <c r="BQ493" s="115"/>
      <c r="BR493" s="115"/>
      <c r="BS493" s="115"/>
      <c r="BT493" s="115"/>
      <c r="BU493" s="25"/>
      <c r="BV493" s="13"/>
      <c r="BY493" s="114"/>
    </row>
    <row r="494" spans="1:77" ht="20.100000000000001" customHeight="1" x14ac:dyDescent="0.4">
      <c r="A494" s="117"/>
      <c r="B494" s="123"/>
      <c r="C494" s="123"/>
      <c r="D494" s="123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27"/>
      <c r="AM494" s="29"/>
      <c r="AW494" s="25"/>
      <c r="AX494" s="13"/>
      <c r="BC494" s="116"/>
      <c r="BD494" s="123"/>
      <c r="BE494" s="123"/>
      <c r="BF494" s="123"/>
      <c r="BK494" s="115"/>
      <c r="BL494" s="115"/>
      <c r="BM494" s="115"/>
      <c r="BN494" s="115"/>
      <c r="BO494" s="115"/>
      <c r="BP494" s="115"/>
      <c r="BQ494" s="115"/>
      <c r="BR494" s="115"/>
      <c r="BS494" s="115"/>
      <c r="BT494" s="115"/>
      <c r="BU494" s="25"/>
      <c r="BV494" s="13"/>
      <c r="BY494" s="114"/>
    </row>
    <row r="495" spans="1:77" ht="20.100000000000001" customHeight="1" x14ac:dyDescent="0.4">
      <c r="A495" s="117"/>
      <c r="B495" s="123"/>
      <c r="C495" s="123"/>
      <c r="D495" s="123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27"/>
      <c r="AM495" s="29"/>
      <c r="AW495" s="25"/>
      <c r="AX495" s="13"/>
      <c r="BC495" s="116"/>
      <c r="BD495" s="123"/>
      <c r="BE495" s="123"/>
      <c r="BF495" s="123"/>
      <c r="BK495" s="115"/>
      <c r="BL495" s="115"/>
      <c r="BM495" s="115"/>
      <c r="BN495" s="115"/>
      <c r="BO495" s="115"/>
      <c r="BP495" s="115"/>
      <c r="BQ495" s="115"/>
      <c r="BR495" s="115"/>
      <c r="BS495" s="115"/>
      <c r="BT495" s="115"/>
      <c r="BU495" s="25"/>
      <c r="BV495" s="13"/>
      <c r="BY495" s="114"/>
    </row>
    <row r="496" spans="1:77" ht="20.100000000000001" customHeight="1" x14ac:dyDescent="0.4">
      <c r="A496" s="117"/>
      <c r="B496" s="123"/>
      <c r="C496" s="123"/>
      <c r="D496" s="123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27"/>
      <c r="AM496" s="29"/>
      <c r="AW496" s="25"/>
      <c r="AX496" s="13"/>
      <c r="BC496" s="116"/>
      <c r="BD496" s="123"/>
      <c r="BE496" s="123"/>
      <c r="BF496" s="123"/>
      <c r="BK496" s="115"/>
      <c r="BL496" s="115"/>
      <c r="BM496" s="115"/>
      <c r="BN496" s="115"/>
      <c r="BO496" s="115"/>
      <c r="BP496" s="115"/>
      <c r="BQ496" s="115"/>
      <c r="BR496" s="115"/>
      <c r="BS496" s="115"/>
      <c r="BT496" s="115"/>
      <c r="BU496" s="25"/>
      <c r="BV496" s="13"/>
      <c r="BY496" s="114"/>
    </row>
    <row r="497" spans="1:77" ht="20.100000000000001" customHeight="1" x14ac:dyDescent="0.4">
      <c r="A497" s="117"/>
      <c r="B497" s="123"/>
      <c r="C497" s="123"/>
      <c r="D497" s="123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29"/>
      <c r="AM497" s="29"/>
      <c r="AW497" s="25"/>
      <c r="AX497" s="13"/>
      <c r="BC497" s="116"/>
      <c r="BD497" s="123"/>
      <c r="BE497" s="123"/>
      <c r="BF497" s="123"/>
      <c r="BK497" s="115"/>
      <c r="BL497" s="115"/>
      <c r="BM497" s="115"/>
      <c r="BN497" s="115"/>
      <c r="BO497" s="115"/>
      <c r="BP497" s="115"/>
      <c r="BQ497" s="115"/>
      <c r="BR497" s="115"/>
      <c r="BS497" s="115"/>
      <c r="BT497" s="115"/>
      <c r="BU497" s="25"/>
      <c r="BV497" s="13"/>
      <c r="BY497" s="114"/>
    </row>
    <row r="498" spans="1:77" ht="20.100000000000001" customHeight="1" x14ac:dyDescent="0.4">
      <c r="A498" s="117"/>
      <c r="B498" s="123"/>
      <c r="C498" s="123"/>
      <c r="D498" s="123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AL498" s="127"/>
      <c r="AM498" s="29"/>
      <c r="AS498" s="115"/>
      <c r="AT498" s="115"/>
      <c r="AU498" s="115"/>
      <c r="AV498" s="115"/>
      <c r="AW498" s="25">
        <v>45669</v>
      </c>
      <c r="AX498" s="13" t="s">
        <v>147</v>
      </c>
      <c r="BC498" s="116"/>
      <c r="BD498" s="123"/>
      <c r="BE498" s="123"/>
      <c r="BF498" s="123"/>
      <c r="BK498" s="115"/>
      <c r="BL498" s="115"/>
      <c r="BM498" s="115"/>
      <c r="BN498" s="115"/>
      <c r="BO498" s="115"/>
      <c r="BP498" s="115"/>
      <c r="BQ498" s="115"/>
      <c r="BR498" s="115"/>
      <c r="BS498" s="115"/>
      <c r="BT498" s="115"/>
      <c r="BU498" s="25"/>
      <c r="BV498" s="13"/>
      <c r="BY498" s="114"/>
    </row>
    <row r="499" spans="1:77" ht="20.100000000000001" customHeight="1" x14ac:dyDescent="0.4">
      <c r="A499" s="117"/>
      <c r="B499" s="123"/>
      <c r="C499" s="123"/>
      <c r="D499" s="123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AJ499" s="115"/>
      <c r="AK499" s="115"/>
      <c r="AL499" s="29"/>
      <c r="AM499" s="29"/>
      <c r="AS499" s="115"/>
      <c r="AT499" s="115"/>
      <c r="AU499" s="115"/>
      <c r="AV499" s="115"/>
      <c r="AW499" s="25"/>
      <c r="AX499" s="13"/>
      <c r="BC499" s="116"/>
      <c r="BD499" s="123"/>
      <c r="BE499" s="123"/>
      <c r="BF499" s="123"/>
      <c r="BK499" s="115"/>
      <c r="BL499" s="115"/>
      <c r="BM499" s="115"/>
      <c r="BN499" s="115"/>
      <c r="BO499" s="115"/>
      <c r="BP499" s="115"/>
      <c r="BQ499" s="115"/>
      <c r="BR499" s="115"/>
      <c r="BS499" s="115"/>
      <c r="BT499" s="115"/>
      <c r="BU499" s="25"/>
      <c r="BV499" s="13"/>
      <c r="BY499" s="114"/>
    </row>
    <row r="500" spans="1:77" ht="20.100000000000001" customHeight="1" x14ac:dyDescent="0.4">
      <c r="A500" s="117"/>
      <c r="B500" s="123"/>
      <c r="C500" s="123"/>
      <c r="D500" s="123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27"/>
      <c r="AM500" s="29"/>
      <c r="AS500" s="115"/>
      <c r="AT500" s="115"/>
      <c r="AU500" s="115"/>
      <c r="AV500" s="115"/>
      <c r="AW500" s="25"/>
      <c r="AX500" s="13"/>
      <c r="BC500" s="116"/>
      <c r="BD500" s="123"/>
      <c r="BE500" s="123"/>
      <c r="BF500" s="123"/>
      <c r="BK500" s="115"/>
      <c r="BL500" s="115"/>
      <c r="BM500" s="115"/>
      <c r="BN500" s="115"/>
      <c r="BO500" s="115"/>
      <c r="BP500" s="115"/>
      <c r="BQ500" s="115"/>
      <c r="BR500" s="115"/>
      <c r="BS500" s="115"/>
      <c r="BT500" s="115"/>
      <c r="BU500" s="25"/>
      <c r="BV500" s="13"/>
      <c r="BY500" s="114"/>
    </row>
    <row r="501" spans="1:77" ht="20.100000000000001" customHeight="1" x14ac:dyDescent="0.4">
      <c r="A501" s="117"/>
      <c r="B501" s="123"/>
      <c r="C501" s="123"/>
      <c r="D501" s="123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AL501" s="127"/>
      <c r="AM501" s="29"/>
      <c r="AS501" s="115"/>
      <c r="AT501" s="115"/>
      <c r="AU501" s="115"/>
      <c r="AV501" s="115"/>
      <c r="AW501" s="25"/>
      <c r="AX501" s="13"/>
      <c r="BC501" s="116"/>
      <c r="BD501" s="123"/>
      <c r="BE501" s="123"/>
      <c r="BF501" s="123"/>
      <c r="BK501" s="115"/>
      <c r="BL501" s="115"/>
      <c r="BM501" s="115"/>
      <c r="BN501" s="115"/>
      <c r="BO501" s="115"/>
      <c r="BP501" s="115"/>
      <c r="BQ501" s="115"/>
      <c r="BR501" s="115"/>
      <c r="BS501" s="115"/>
      <c r="BT501" s="115"/>
      <c r="BU501" s="25"/>
      <c r="BV501" s="13"/>
      <c r="BY501" s="114"/>
    </row>
    <row r="502" spans="1:77" ht="20.100000000000001" customHeight="1" x14ac:dyDescent="0.4">
      <c r="A502" s="117"/>
      <c r="B502" s="123"/>
      <c r="C502" s="123"/>
      <c r="D502" s="123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AJ502" s="115"/>
      <c r="AK502" s="115"/>
      <c r="AL502" s="29"/>
      <c r="AM502" s="29"/>
      <c r="AS502" s="115"/>
      <c r="AT502" s="115"/>
      <c r="AU502" s="115"/>
      <c r="AV502" s="115"/>
      <c r="AW502" s="25"/>
      <c r="AX502" s="13"/>
      <c r="BC502" s="116"/>
      <c r="BD502" s="123"/>
      <c r="BE502" s="123"/>
      <c r="BF502" s="123"/>
      <c r="BK502" s="115"/>
      <c r="BL502" s="115"/>
      <c r="BM502" s="115"/>
      <c r="BN502" s="115"/>
      <c r="BO502" s="115"/>
      <c r="BP502" s="115"/>
      <c r="BQ502" s="115"/>
      <c r="BR502" s="115"/>
      <c r="BS502" s="115"/>
      <c r="BT502" s="115"/>
      <c r="BU502" s="25"/>
      <c r="BV502" s="13"/>
      <c r="BY502" s="114"/>
    </row>
    <row r="503" spans="1:77" ht="20.100000000000001" customHeight="1" x14ac:dyDescent="0.4">
      <c r="A503" s="117"/>
      <c r="B503" s="123"/>
      <c r="C503" s="123"/>
      <c r="D503" s="123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27"/>
      <c r="AM503" s="29"/>
      <c r="AS503" s="115"/>
      <c r="AT503" s="115"/>
      <c r="AU503" s="115"/>
      <c r="AV503" s="115"/>
      <c r="AW503" s="25"/>
      <c r="AX503" s="13"/>
      <c r="BC503" s="116"/>
      <c r="BD503" s="123"/>
      <c r="BE503" s="123"/>
      <c r="BF503" s="123"/>
      <c r="BK503" s="115"/>
      <c r="BL503" s="115"/>
      <c r="BM503" s="115"/>
      <c r="BN503" s="115"/>
      <c r="BO503" s="115"/>
      <c r="BP503" s="115"/>
      <c r="BQ503" s="115"/>
      <c r="BR503" s="115"/>
      <c r="BS503" s="115"/>
      <c r="BT503" s="115"/>
      <c r="BU503" s="25"/>
      <c r="BV503" s="13"/>
      <c r="BY503" s="114"/>
    </row>
    <row r="504" spans="1:77" ht="20.100000000000001" customHeight="1" x14ac:dyDescent="0.4">
      <c r="A504" s="117"/>
      <c r="B504" s="123"/>
      <c r="C504" s="123"/>
      <c r="D504" s="123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27"/>
      <c r="AM504" s="29"/>
      <c r="AS504" s="115"/>
      <c r="AT504" s="115"/>
      <c r="AU504" s="115"/>
      <c r="AV504" s="115"/>
      <c r="AW504" s="25"/>
      <c r="AX504" s="13"/>
      <c r="BC504" s="116"/>
      <c r="BD504" s="123"/>
      <c r="BE504" s="123"/>
      <c r="BF504" s="123"/>
      <c r="BK504" s="115"/>
      <c r="BL504" s="115"/>
      <c r="BM504" s="115"/>
      <c r="BN504" s="115"/>
      <c r="BO504" s="115"/>
      <c r="BP504" s="115"/>
      <c r="BQ504" s="115"/>
      <c r="BR504" s="115"/>
      <c r="BS504" s="115"/>
      <c r="BT504" s="115"/>
      <c r="BU504" s="25"/>
      <c r="BV504" s="13"/>
      <c r="BY504" s="114"/>
    </row>
    <row r="505" spans="1:77" ht="20.100000000000001" customHeight="1" x14ac:dyDescent="0.4">
      <c r="A505" s="117"/>
      <c r="B505" s="123"/>
      <c r="C505" s="123"/>
      <c r="D505" s="123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27"/>
      <c r="AM505" s="29"/>
      <c r="AS505" s="115"/>
      <c r="AT505" s="115"/>
      <c r="AU505" s="115"/>
      <c r="AV505" s="115"/>
      <c r="AW505" s="25"/>
      <c r="AX505" s="13"/>
      <c r="BC505" s="116"/>
      <c r="BD505" s="123"/>
      <c r="BE505" s="123"/>
      <c r="BF505" s="123"/>
      <c r="BK505" s="115"/>
      <c r="BL505" s="115"/>
      <c r="BM505" s="115"/>
      <c r="BN505" s="115"/>
      <c r="BO505" s="115"/>
      <c r="BP505" s="115"/>
      <c r="BQ505" s="115"/>
      <c r="BR505" s="115"/>
      <c r="BS505" s="115"/>
      <c r="BT505" s="115"/>
      <c r="BU505" s="25"/>
      <c r="BV505" s="13"/>
      <c r="BY505" s="114"/>
    </row>
    <row r="506" spans="1:77" ht="20.100000000000001" customHeight="1" x14ac:dyDescent="0.4">
      <c r="A506" s="117"/>
      <c r="B506" s="123"/>
      <c r="C506" s="123"/>
      <c r="D506" s="123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27"/>
      <c r="AM506" s="29"/>
      <c r="AS506" s="115"/>
      <c r="AT506" s="115"/>
      <c r="AU506" s="115"/>
      <c r="AV506" s="115"/>
      <c r="AW506" s="25"/>
      <c r="AX506" s="13"/>
      <c r="BC506" s="116"/>
      <c r="BD506" s="123"/>
      <c r="BE506" s="123"/>
      <c r="BF506" s="123"/>
      <c r="BK506" s="115"/>
      <c r="BL506" s="115"/>
      <c r="BM506" s="115"/>
      <c r="BN506" s="115"/>
      <c r="BO506" s="115"/>
      <c r="BP506" s="115"/>
      <c r="BQ506" s="115"/>
      <c r="BR506" s="115"/>
      <c r="BS506" s="115"/>
      <c r="BT506" s="115"/>
      <c r="BU506" s="25"/>
      <c r="BV506" s="13"/>
      <c r="BY506" s="114"/>
    </row>
    <row r="507" spans="1:77" ht="20.100000000000001" customHeight="1" x14ac:dyDescent="0.4">
      <c r="A507" s="117"/>
      <c r="B507" s="123"/>
      <c r="C507" s="123"/>
      <c r="D507" s="123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27"/>
      <c r="AM507" s="29"/>
      <c r="AS507" s="115"/>
      <c r="AT507" s="115"/>
      <c r="AU507" s="115"/>
      <c r="AV507" s="115"/>
      <c r="AW507" s="25"/>
      <c r="AX507" s="13"/>
      <c r="BC507" s="116"/>
      <c r="BD507" s="123"/>
      <c r="BE507" s="123"/>
      <c r="BF507" s="123"/>
      <c r="BK507" s="115"/>
      <c r="BL507" s="115"/>
      <c r="BM507" s="115"/>
      <c r="BN507" s="115"/>
      <c r="BO507" s="115"/>
      <c r="BP507" s="115"/>
      <c r="BQ507" s="115"/>
      <c r="BR507" s="115"/>
      <c r="BS507" s="115"/>
      <c r="BT507" s="115"/>
      <c r="BU507" s="25"/>
      <c r="BV507" s="13"/>
      <c r="BY507" s="114"/>
    </row>
    <row r="508" spans="1:77" ht="20.100000000000001" customHeight="1" x14ac:dyDescent="0.4">
      <c r="A508" s="117"/>
      <c r="B508" s="123"/>
      <c r="C508" s="123"/>
      <c r="D508" s="123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29"/>
      <c r="AM508" s="29"/>
      <c r="AS508" s="115"/>
      <c r="AT508" s="115"/>
      <c r="AU508" s="115"/>
      <c r="AV508" s="115"/>
      <c r="AW508" s="25"/>
      <c r="AX508" s="13"/>
      <c r="BC508" s="116"/>
      <c r="BD508" s="123"/>
      <c r="BE508" s="123"/>
      <c r="BF508" s="123"/>
      <c r="BK508" s="115"/>
      <c r="BL508" s="115"/>
      <c r="BM508" s="115"/>
      <c r="BN508" s="115"/>
      <c r="BO508" s="115"/>
      <c r="BP508" s="115"/>
      <c r="BQ508" s="115"/>
      <c r="BR508" s="115"/>
      <c r="BS508" s="115"/>
      <c r="BT508" s="115"/>
      <c r="BU508" s="25"/>
      <c r="BV508" s="13"/>
      <c r="BY508" s="114"/>
    </row>
    <row r="509" spans="1:77" ht="20.100000000000001" customHeight="1" x14ac:dyDescent="0.4">
      <c r="A509" s="117"/>
      <c r="B509" s="123"/>
      <c r="C509" s="123"/>
      <c r="D509" s="123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27"/>
      <c r="AM509" s="29"/>
      <c r="AS509" s="115"/>
      <c r="AT509" s="115"/>
      <c r="AU509" s="115"/>
      <c r="AV509" s="115"/>
      <c r="AW509" s="25"/>
      <c r="AX509" s="13"/>
      <c r="BC509" s="116"/>
      <c r="BD509" s="123"/>
      <c r="BE509" s="123"/>
      <c r="BF509" s="123"/>
      <c r="BK509" s="115"/>
      <c r="BL509" s="115"/>
      <c r="BM509" s="115"/>
      <c r="BN509" s="115"/>
      <c r="BO509" s="115"/>
      <c r="BP509" s="115"/>
      <c r="BQ509" s="115"/>
      <c r="BR509" s="115"/>
      <c r="BS509" s="115"/>
      <c r="BT509" s="115"/>
      <c r="BU509" s="25"/>
      <c r="BV509" s="13"/>
      <c r="BY509" s="114"/>
    </row>
    <row r="510" spans="1:77" ht="20.100000000000001" customHeight="1" x14ac:dyDescent="0.4">
      <c r="A510" s="117"/>
      <c r="B510" s="123"/>
      <c r="C510" s="123"/>
      <c r="D510" s="123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27"/>
      <c r="AM510" s="29"/>
      <c r="AS510" s="115"/>
      <c r="AT510" s="115"/>
      <c r="AU510" s="115"/>
      <c r="AV510" s="115"/>
      <c r="AW510" s="25"/>
      <c r="AX510" s="13"/>
      <c r="BC510" s="116"/>
      <c r="BD510" s="123"/>
      <c r="BE510" s="123"/>
      <c r="BF510" s="123"/>
      <c r="BK510" s="115"/>
      <c r="BL510" s="115"/>
      <c r="BM510" s="115"/>
      <c r="BN510" s="115"/>
      <c r="BO510" s="115"/>
      <c r="BP510" s="115"/>
      <c r="BQ510" s="115"/>
      <c r="BR510" s="115"/>
      <c r="BS510" s="115"/>
      <c r="BT510" s="115"/>
      <c r="BU510" s="25"/>
      <c r="BV510" s="13"/>
      <c r="BY510" s="114"/>
    </row>
    <row r="511" spans="1:77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27"/>
      <c r="AM511" s="29"/>
      <c r="AS511" s="115"/>
      <c r="AT511" s="115"/>
      <c r="AU511" s="115"/>
      <c r="AV511" s="115"/>
      <c r="AW511" s="25"/>
      <c r="AX511" s="13"/>
      <c r="BC511" s="116"/>
      <c r="BD511" s="123"/>
      <c r="BE511" s="123"/>
      <c r="BF511" s="123"/>
      <c r="BK511" s="115"/>
      <c r="BL511" s="115"/>
      <c r="BM511" s="115"/>
      <c r="BN511" s="115"/>
      <c r="BO511" s="115"/>
      <c r="BP511" s="115"/>
      <c r="BQ511" s="115"/>
      <c r="BR511" s="115"/>
      <c r="BS511" s="115"/>
      <c r="BT511" s="115"/>
      <c r="BU511" s="25"/>
      <c r="BV511" s="13"/>
      <c r="BY511" s="114"/>
    </row>
    <row r="512" spans="1:77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27"/>
      <c r="AM512" s="29"/>
      <c r="AS512" s="115"/>
      <c r="AT512" s="115"/>
      <c r="AU512" s="115"/>
      <c r="AV512" s="115"/>
      <c r="AW512" s="25"/>
      <c r="AX512" s="13"/>
      <c r="BC512" s="116"/>
      <c r="BD512" s="123"/>
      <c r="BE512" s="123"/>
      <c r="BF512" s="123"/>
      <c r="BK512" s="115"/>
      <c r="BL512" s="115"/>
      <c r="BM512" s="115"/>
      <c r="BN512" s="115"/>
      <c r="BO512" s="115"/>
      <c r="BP512" s="115"/>
      <c r="BQ512" s="115"/>
      <c r="BR512" s="115"/>
      <c r="BS512" s="115"/>
      <c r="BT512" s="115"/>
      <c r="BU512" s="25"/>
      <c r="BV512" s="13"/>
      <c r="BY512" s="114"/>
    </row>
    <row r="513" spans="1:77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27"/>
      <c r="AM513" s="29"/>
      <c r="AS513" s="115"/>
      <c r="AT513" s="115"/>
      <c r="AU513" s="115"/>
      <c r="AV513" s="115"/>
      <c r="AW513" s="25"/>
      <c r="AX513" s="13"/>
      <c r="BC513" s="116"/>
      <c r="BD513" s="123"/>
      <c r="BE513" s="123"/>
      <c r="BF513" s="123"/>
      <c r="BK513" s="115"/>
      <c r="BL513" s="115"/>
      <c r="BM513" s="115"/>
      <c r="BN513" s="115"/>
      <c r="BO513" s="115"/>
      <c r="BP513" s="115"/>
      <c r="BQ513" s="115"/>
      <c r="BR513" s="115"/>
      <c r="BS513" s="115"/>
      <c r="BT513" s="115"/>
      <c r="BU513" s="25"/>
      <c r="BV513" s="13"/>
      <c r="BY513" s="114"/>
    </row>
    <row r="514" spans="1:77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27"/>
      <c r="AM514" s="29"/>
      <c r="AS514" s="115"/>
      <c r="AT514" s="115"/>
      <c r="AU514" s="115"/>
      <c r="AV514" s="115"/>
      <c r="AW514" s="25"/>
      <c r="AX514" s="13"/>
      <c r="BC514" s="116"/>
      <c r="BD514" s="123"/>
      <c r="BE514" s="123"/>
      <c r="BF514" s="123"/>
      <c r="BK514" s="115"/>
      <c r="BL514" s="115"/>
      <c r="BM514" s="115"/>
      <c r="BN514" s="115"/>
      <c r="BO514" s="115"/>
      <c r="BP514" s="115"/>
      <c r="BQ514" s="115"/>
      <c r="BR514" s="115"/>
      <c r="BS514" s="115"/>
      <c r="BT514" s="115"/>
      <c r="BU514" s="25"/>
      <c r="BV514" s="13"/>
      <c r="BY514" s="114"/>
    </row>
    <row r="515" spans="1:77" ht="20.100000000000001" customHeight="1" x14ac:dyDescent="0.4">
      <c r="A515" s="117"/>
      <c r="B515" s="123"/>
      <c r="C515" s="123"/>
      <c r="D515" s="123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27"/>
      <c r="AM515" s="29"/>
      <c r="AS515" s="115"/>
      <c r="AT515" s="115"/>
      <c r="AU515" s="115"/>
      <c r="AV515" s="115"/>
      <c r="AW515" s="25"/>
      <c r="AX515" s="13"/>
      <c r="BC515" s="116"/>
      <c r="BD515" s="123"/>
      <c r="BE515" s="123"/>
      <c r="BF515" s="123"/>
      <c r="BK515" s="115"/>
      <c r="BL515" s="115"/>
      <c r="BM515" s="115"/>
      <c r="BN515" s="115"/>
      <c r="BO515" s="115"/>
      <c r="BP515" s="115"/>
      <c r="BQ515" s="115"/>
      <c r="BR515" s="115"/>
      <c r="BS515" s="115"/>
      <c r="BT515" s="115"/>
      <c r="BU515" s="25"/>
      <c r="BV515" s="13"/>
      <c r="BY515" s="114"/>
    </row>
    <row r="516" spans="1:77" ht="20.100000000000001" customHeight="1" x14ac:dyDescent="0.4">
      <c r="A516" s="117"/>
      <c r="B516" s="123"/>
      <c r="C516" s="123"/>
      <c r="D516" s="123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27"/>
      <c r="AM516" s="29"/>
      <c r="AS516" s="115"/>
      <c r="AT516" s="115"/>
      <c r="AU516" s="115"/>
      <c r="AV516" s="115"/>
      <c r="AW516" s="25"/>
      <c r="AX516" s="13"/>
      <c r="BC516" s="116"/>
      <c r="BD516" s="123"/>
      <c r="BE516" s="123"/>
      <c r="BF516" s="123"/>
      <c r="BK516" s="115"/>
      <c r="BL516" s="115"/>
      <c r="BM516" s="115"/>
      <c r="BN516" s="115"/>
      <c r="BO516" s="115"/>
      <c r="BP516" s="115"/>
      <c r="BQ516" s="115"/>
      <c r="BR516" s="115"/>
      <c r="BS516" s="115"/>
      <c r="BT516" s="115"/>
      <c r="BU516" s="25"/>
      <c r="BV516" s="13"/>
      <c r="BY516" s="114"/>
    </row>
    <row r="517" spans="1:77" ht="20.100000000000001" customHeight="1" x14ac:dyDescent="0.4">
      <c r="A517" s="117"/>
      <c r="B517" s="123"/>
      <c r="C517" s="123"/>
      <c r="D517" s="123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27"/>
      <c r="AM517" s="29"/>
      <c r="AS517" s="115"/>
      <c r="AT517" s="115"/>
      <c r="AU517" s="115"/>
      <c r="AV517" s="115"/>
      <c r="AW517" s="25"/>
      <c r="AX517" s="13"/>
      <c r="BC517" s="116"/>
      <c r="BD517" s="123"/>
      <c r="BE517" s="123"/>
      <c r="BF517" s="123"/>
      <c r="BK517" s="115"/>
      <c r="BL517" s="115"/>
      <c r="BM517" s="115"/>
      <c r="BN517" s="115"/>
      <c r="BO517" s="115"/>
      <c r="BP517" s="115"/>
      <c r="BQ517" s="115"/>
      <c r="BR517" s="115"/>
      <c r="BS517" s="115"/>
      <c r="BT517" s="115"/>
      <c r="BU517" s="25"/>
      <c r="BV517" s="13"/>
      <c r="BY517" s="114"/>
    </row>
    <row r="518" spans="1:77" ht="20.100000000000001" customHeight="1" x14ac:dyDescent="0.4">
      <c r="A518" s="117"/>
      <c r="B518" s="123"/>
      <c r="C518" s="123"/>
      <c r="D518" s="123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27"/>
      <c r="AM518" s="29"/>
      <c r="AS518" s="115"/>
      <c r="AT518" s="115"/>
      <c r="AU518" s="115"/>
      <c r="AV518" s="115"/>
      <c r="AW518" s="25"/>
      <c r="AX518" s="13"/>
      <c r="BC518" s="116"/>
      <c r="BD518" s="123"/>
      <c r="BE518" s="123"/>
      <c r="BF518" s="123"/>
      <c r="BK518" s="115"/>
      <c r="BL518" s="115"/>
      <c r="BM518" s="115"/>
      <c r="BN518" s="115"/>
      <c r="BO518" s="115"/>
      <c r="BP518" s="115"/>
      <c r="BQ518" s="115"/>
      <c r="BR518" s="115"/>
      <c r="BS518" s="115"/>
      <c r="BT518" s="115"/>
      <c r="BU518" s="25"/>
      <c r="BV518" s="13"/>
      <c r="BY518" s="114"/>
    </row>
    <row r="519" spans="1:77" ht="20.100000000000001" customHeight="1" x14ac:dyDescent="0.4">
      <c r="A519" s="117"/>
      <c r="B519" s="123"/>
      <c r="C519" s="123"/>
      <c r="D519" s="123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27"/>
      <c r="AM519" s="29"/>
      <c r="AS519" s="115"/>
      <c r="AT519" s="115"/>
      <c r="AU519" s="115"/>
      <c r="AV519" s="115"/>
      <c r="AW519" s="25"/>
      <c r="AX519" s="13"/>
      <c r="BC519" s="116"/>
      <c r="BD519" s="123"/>
      <c r="BE519" s="123"/>
      <c r="BF519" s="123"/>
      <c r="BK519" s="115"/>
      <c r="BL519" s="115"/>
      <c r="BM519" s="115"/>
      <c r="BN519" s="115"/>
      <c r="BO519" s="115"/>
      <c r="BP519" s="115"/>
      <c r="BQ519" s="115"/>
      <c r="BR519" s="115"/>
      <c r="BS519" s="115"/>
      <c r="BT519" s="115"/>
      <c r="BU519" s="25"/>
      <c r="BV519" s="13"/>
      <c r="BY519" s="114"/>
    </row>
    <row r="520" spans="1:77" ht="20.100000000000001" customHeight="1" x14ac:dyDescent="0.4">
      <c r="A520" s="117"/>
      <c r="B520" s="123"/>
      <c r="C520" s="123"/>
      <c r="D520" s="123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29"/>
      <c r="AM520" s="29"/>
      <c r="AS520" s="115"/>
      <c r="AT520" s="115"/>
      <c r="AU520" s="115"/>
      <c r="AV520" s="115"/>
      <c r="AW520" s="25"/>
      <c r="AX520" s="13"/>
      <c r="BC520" s="116"/>
      <c r="BD520" s="123"/>
      <c r="BE520" s="123"/>
      <c r="BF520" s="123"/>
      <c r="BK520" s="115"/>
      <c r="BL520" s="115"/>
      <c r="BM520" s="115"/>
      <c r="BN520" s="115"/>
      <c r="BO520" s="115"/>
      <c r="BP520" s="115"/>
      <c r="BQ520" s="115"/>
      <c r="BR520" s="115"/>
      <c r="BS520" s="115"/>
      <c r="BT520" s="115"/>
      <c r="BU520" s="25"/>
      <c r="BV520" s="13"/>
      <c r="BY520" s="114"/>
    </row>
    <row r="521" spans="1:77" ht="20.100000000000001" customHeight="1" x14ac:dyDescent="0.4">
      <c r="A521" s="117"/>
      <c r="B521" s="123"/>
      <c r="C521" s="123"/>
      <c r="D521" s="123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27"/>
      <c r="AM521" s="29"/>
      <c r="AS521" s="115"/>
      <c r="AT521" s="115"/>
      <c r="AU521" s="115"/>
      <c r="AV521" s="115"/>
      <c r="AW521" s="25"/>
      <c r="AX521" s="13"/>
      <c r="BC521" s="116"/>
      <c r="BD521" s="123"/>
      <c r="BE521" s="123"/>
      <c r="BF521" s="123"/>
      <c r="BK521" s="115"/>
      <c r="BL521" s="115"/>
      <c r="BM521" s="115"/>
      <c r="BN521" s="115"/>
      <c r="BO521" s="115"/>
      <c r="BP521" s="115"/>
      <c r="BQ521" s="115"/>
      <c r="BR521" s="115"/>
      <c r="BS521" s="115"/>
      <c r="BT521" s="115"/>
      <c r="BU521" s="25"/>
      <c r="BV521" s="13"/>
      <c r="BY521" s="114"/>
    </row>
    <row r="522" spans="1:77" ht="20.100000000000001" customHeight="1" x14ac:dyDescent="0.4">
      <c r="A522" s="117"/>
      <c r="B522" s="123"/>
      <c r="C522" s="123"/>
      <c r="D522" s="123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27"/>
      <c r="AM522" s="29"/>
      <c r="AS522" s="115"/>
      <c r="AT522" s="115"/>
      <c r="AU522" s="115"/>
      <c r="AV522" s="115"/>
      <c r="AW522" s="25"/>
      <c r="AX522" s="13"/>
      <c r="BC522" s="116"/>
      <c r="BD522" s="123"/>
      <c r="BE522" s="123"/>
      <c r="BF522" s="123"/>
      <c r="BK522" s="115"/>
      <c r="BL522" s="115"/>
      <c r="BM522" s="115"/>
      <c r="BN522" s="115"/>
      <c r="BO522" s="115"/>
      <c r="BP522" s="115"/>
      <c r="BQ522" s="115"/>
      <c r="BR522" s="115"/>
      <c r="BS522" s="115"/>
      <c r="BT522" s="115"/>
      <c r="BU522" s="25"/>
      <c r="BV522" s="13"/>
      <c r="BY522" s="114"/>
    </row>
    <row r="523" spans="1:77" ht="20.100000000000001" customHeight="1" x14ac:dyDescent="0.4">
      <c r="A523" s="117"/>
      <c r="B523" s="123"/>
      <c r="C523" s="123"/>
      <c r="D523" s="123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29"/>
      <c r="AM523" s="29"/>
      <c r="AS523" s="115"/>
      <c r="AT523" s="115"/>
      <c r="AU523" s="115"/>
      <c r="AV523" s="115"/>
      <c r="AW523" s="25"/>
      <c r="AX523" s="13"/>
      <c r="BC523" s="116"/>
      <c r="BD523" s="123"/>
      <c r="BE523" s="123"/>
      <c r="BF523" s="123"/>
      <c r="BK523" s="115"/>
      <c r="BL523" s="115"/>
      <c r="BM523" s="115"/>
      <c r="BN523" s="115"/>
      <c r="BO523" s="115"/>
      <c r="BP523" s="115"/>
      <c r="BQ523" s="115"/>
      <c r="BR523" s="115"/>
      <c r="BS523" s="115"/>
      <c r="BT523" s="115"/>
      <c r="BU523" s="25"/>
      <c r="BV523" s="13"/>
      <c r="BY523" s="114"/>
    </row>
    <row r="524" spans="1:77" ht="20.100000000000001" customHeight="1" x14ac:dyDescent="0.4">
      <c r="A524" s="117"/>
      <c r="B524" s="123"/>
      <c r="C524" s="123"/>
      <c r="D524" s="123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27"/>
      <c r="AM524" s="29"/>
      <c r="AS524" s="115"/>
      <c r="AT524" s="115"/>
      <c r="AU524" s="115"/>
      <c r="AV524" s="115"/>
      <c r="AW524" s="25"/>
      <c r="AX524" s="13"/>
      <c r="BC524" s="116"/>
      <c r="BD524" s="123"/>
      <c r="BE524" s="123"/>
      <c r="BF524" s="123"/>
      <c r="BK524" s="115"/>
      <c r="BL524" s="115"/>
      <c r="BM524" s="115"/>
      <c r="BN524" s="115"/>
      <c r="BO524" s="115"/>
      <c r="BP524" s="115"/>
      <c r="BQ524" s="115"/>
      <c r="BR524" s="115"/>
      <c r="BS524" s="115"/>
      <c r="BT524" s="115"/>
      <c r="BU524" s="25"/>
      <c r="BV524" s="13"/>
      <c r="BY524" s="114"/>
    </row>
    <row r="525" spans="1:77" ht="20.100000000000001" customHeight="1" x14ac:dyDescent="0.4">
      <c r="A525" s="117"/>
      <c r="B525" s="123"/>
      <c r="C525" s="123"/>
      <c r="D525" s="123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27"/>
      <c r="AM525" s="29"/>
      <c r="AS525" s="115"/>
      <c r="AT525" s="115"/>
      <c r="AU525" s="115"/>
      <c r="AV525" s="115"/>
      <c r="AW525" s="25"/>
      <c r="AX525" s="13"/>
      <c r="BC525" s="116"/>
      <c r="BD525" s="123"/>
      <c r="BE525" s="123"/>
      <c r="BF525" s="123"/>
      <c r="BK525" s="115"/>
      <c r="BL525" s="115"/>
      <c r="BM525" s="115"/>
      <c r="BN525" s="115"/>
      <c r="BO525" s="115"/>
      <c r="BP525" s="115"/>
      <c r="BQ525" s="115"/>
      <c r="BR525" s="115"/>
      <c r="BS525" s="115"/>
      <c r="BT525" s="115"/>
      <c r="BU525" s="25"/>
      <c r="BV525" s="13"/>
      <c r="BY525" s="114"/>
    </row>
    <row r="526" spans="1:77" ht="20.100000000000001" customHeight="1" x14ac:dyDescent="0.4">
      <c r="A526" s="117"/>
      <c r="B526" s="123"/>
      <c r="C526" s="123"/>
      <c r="D526" s="123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AL526" s="127"/>
      <c r="AM526" s="29"/>
      <c r="AS526" s="115"/>
      <c r="AT526" s="115"/>
      <c r="AU526" s="115"/>
      <c r="AV526" s="115"/>
      <c r="AW526" s="25">
        <v>45671</v>
      </c>
      <c r="AX526" s="13" t="s">
        <v>146</v>
      </c>
      <c r="BC526" s="116"/>
      <c r="BD526" s="123"/>
      <c r="BE526" s="123"/>
      <c r="BF526" s="123"/>
      <c r="BK526" s="115"/>
      <c r="BL526" s="115"/>
      <c r="BM526" s="115"/>
      <c r="BN526" s="115"/>
      <c r="BO526" s="115"/>
      <c r="BP526" s="115"/>
      <c r="BQ526" s="115"/>
      <c r="BR526" s="115"/>
      <c r="BS526" s="115"/>
      <c r="BT526" s="115"/>
      <c r="BU526" s="25"/>
      <c r="BV526" s="13"/>
      <c r="BY526" s="114"/>
    </row>
    <row r="527" spans="1:77" ht="20.100000000000001" customHeight="1" x14ac:dyDescent="0.4">
      <c r="A527" s="117"/>
      <c r="B527" s="123"/>
      <c r="C527" s="123"/>
      <c r="D527" s="123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27"/>
      <c r="AM527" s="29"/>
      <c r="AS527" s="115"/>
      <c r="AT527" s="115"/>
      <c r="AU527" s="115"/>
      <c r="AV527" s="115"/>
      <c r="AW527" s="25"/>
      <c r="AX527" s="13"/>
      <c r="BC527" s="116"/>
      <c r="BD527" s="123"/>
      <c r="BE527" s="123"/>
      <c r="BF527" s="123"/>
      <c r="BK527" s="115"/>
      <c r="BL527" s="115"/>
      <c r="BM527" s="115"/>
      <c r="BN527" s="115"/>
      <c r="BO527" s="115"/>
      <c r="BP527" s="115"/>
      <c r="BQ527" s="115"/>
      <c r="BR527" s="115"/>
      <c r="BS527" s="115"/>
      <c r="BT527" s="115"/>
      <c r="BU527" s="25"/>
      <c r="BV527" s="13"/>
      <c r="BY527" s="114"/>
    </row>
    <row r="528" spans="1:77" ht="20.100000000000001" customHeight="1" x14ac:dyDescent="0.4">
      <c r="A528" s="117"/>
      <c r="B528" s="123"/>
      <c r="C528" s="123"/>
      <c r="D528" s="123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29"/>
      <c r="AM528" s="29"/>
      <c r="AS528" s="115"/>
      <c r="AT528" s="115"/>
      <c r="AU528" s="115"/>
      <c r="AV528" s="115"/>
      <c r="AW528" s="25"/>
      <c r="AX528" s="13"/>
      <c r="BC528" s="116"/>
      <c r="BD528" s="123"/>
      <c r="BE528" s="123"/>
      <c r="BF528" s="123"/>
      <c r="BK528" s="115"/>
      <c r="BL528" s="115"/>
      <c r="BM528" s="115"/>
      <c r="BN528" s="115"/>
      <c r="BO528" s="115"/>
      <c r="BP528" s="115"/>
      <c r="BQ528" s="115"/>
      <c r="BR528" s="115"/>
      <c r="BS528" s="115"/>
      <c r="BT528" s="115"/>
      <c r="BU528" s="25"/>
      <c r="BV528" s="13"/>
      <c r="BY528" s="114"/>
    </row>
    <row r="529" spans="1:77" ht="20.100000000000001" customHeight="1" x14ac:dyDescent="0.4">
      <c r="A529" s="117"/>
      <c r="B529" s="123"/>
      <c r="C529" s="123"/>
      <c r="D529" s="123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27"/>
      <c r="AM529" s="29"/>
      <c r="AS529" s="115"/>
      <c r="AT529" s="115"/>
      <c r="AU529" s="115"/>
      <c r="AV529" s="115"/>
      <c r="AW529" s="25"/>
      <c r="AX529" s="13"/>
      <c r="BC529" s="116"/>
      <c r="BD529" s="123"/>
      <c r="BE529" s="123"/>
      <c r="BF529" s="123"/>
      <c r="BK529" s="115"/>
      <c r="BL529" s="115"/>
      <c r="BM529" s="115"/>
      <c r="BN529" s="115"/>
      <c r="BO529" s="115"/>
      <c r="BP529" s="115"/>
      <c r="BQ529" s="115"/>
      <c r="BR529" s="115"/>
      <c r="BS529" s="115"/>
      <c r="BT529" s="115"/>
      <c r="BU529" s="25"/>
      <c r="BV529" s="13"/>
      <c r="BY529" s="114"/>
    </row>
    <row r="530" spans="1:77" ht="20.100000000000001" customHeight="1" x14ac:dyDescent="0.4">
      <c r="A530" s="117"/>
      <c r="B530" s="123"/>
      <c r="C530" s="123"/>
      <c r="D530" s="123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29"/>
      <c r="AM530" s="29"/>
      <c r="AS530" s="115"/>
      <c r="AT530" s="115"/>
      <c r="AU530" s="115"/>
      <c r="AV530" s="115"/>
      <c r="AW530" s="25"/>
      <c r="AX530" s="13"/>
      <c r="BC530" s="116"/>
      <c r="BD530" s="123"/>
      <c r="BE530" s="123"/>
      <c r="BF530" s="123"/>
      <c r="BK530" s="115"/>
      <c r="BL530" s="115"/>
      <c r="BM530" s="115"/>
      <c r="BN530" s="115"/>
      <c r="BO530" s="115"/>
      <c r="BP530" s="115"/>
      <c r="BQ530" s="115"/>
      <c r="BR530" s="115"/>
      <c r="BS530" s="115"/>
      <c r="BT530" s="115"/>
      <c r="BU530" s="25"/>
      <c r="BV530" s="13"/>
      <c r="BY530" s="114"/>
    </row>
    <row r="531" spans="1:77" ht="20.100000000000001" customHeight="1" x14ac:dyDescent="0.4">
      <c r="A531" s="117"/>
      <c r="B531" s="123"/>
      <c r="C531" s="123"/>
      <c r="D531" s="123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AL531" s="127"/>
      <c r="AM531" s="29"/>
      <c r="AQ531" s="115"/>
      <c r="AR531" s="115"/>
      <c r="AS531" s="115"/>
      <c r="AT531" s="115"/>
      <c r="AU531" s="115"/>
      <c r="AV531" s="115"/>
      <c r="AW531" s="25">
        <v>45671</v>
      </c>
      <c r="AX531" s="13" t="s">
        <v>148</v>
      </c>
      <c r="BC531" s="116"/>
      <c r="BD531" s="123"/>
      <c r="BE531" s="123"/>
      <c r="BF531" s="123"/>
      <c r="BK531" s="115"/>
      <c r="BL531" s="115"/>
      <c r="BM531" s="115"/>
      <c r="BN531" s="115"/>
      <c r="BO531" s="115"/>
      <c r="BP531" s="115"/>
      <c r="BQ531" s="115"/>
      <c r="BR531" s="115"/>
      <c r="BS531" s="115"/>
      <c r="BT531" s="115"/>
      <c r="BU531" s="25"/>
      <c r="BV531" s="13"/>
      <c r="BY531" s="114"/>
    </row>
    <row r="532" spans="1:77" ht="20.100000000000001" customHeight="1" x14ac:dyDescent="0.4">
      <c r="A532" s="117"/>
      <c r="B532" s="123"/>
      <c r="C532" s="123"/>
      <c r="D532" s="123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AJ532" s="115"/>
      <c r="AK532" s="115"/>
      <c r="AL532" s="29"/>
      <c r="AM532" s="29"/>
      <c r="AQ532" s="115"/>
      <c r="AR532" s="115"/>
      <c r="AS532" s="115"/>
      <c r="AT532" s="115"/>
      <c r="AU532" s="115"/>
      <c r="AV532" s="115"/>
      <c r="AW532" s="25"/>
      <c r="AX532" s="13"/>
      <c r="BC532" s="116"/>
      <c r="BD532" s="123"/>
      <c r="BE532" s="123"/>
      <c r="BF532" s="123"/>
      <c r="BK532" s="115"/>
      <c r="BL532" s="115"/>
      <c r="BM532" s="115"/>
      <c r="BN532" s="115"/>
      <c r="BO532" s="115"/>
      <c r="BP532" s="115"/>
      <c r="BQ532" s="115"/>
      <c r="BR532" s="115"/>
      <c r="BS532" s="115"/>
      <c r="BT532" s="115"/>
      <c r="BU532" s="25"/>
      <c r="BV532" s="13"/>
      <c r="BY532" s="114"/>
    </row>
    <row r="533" spans="1:77" ht="20.100000000000001" customHeight="1" x14ac:dyDescent="0.4">
      <c r="A533" s="117"/>
      <c r="B533" s="123"/>
      <c r="C533" s="123"/>
      <c r="D533" s="123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AF533" s="115"/>
      <c r="AG533" s="115"/>
      <c r="AH533" s="115"/>
      <c r="AI533" s="115"/>
      <c r="AJ533" s="115"/>
      <c r="AK533" s="115"/>
      <c r="AL533" s="127"/>
      <c r="AM533" s="29"/>
      <c r="AQ533" s="115"/>
      <c r="AR533" s="115"/>
      <c r="AS533" s="115"/>
      <c r="AT533" s="115"/>
      <c r="AU533" s="115"/>
      <c r="AV533" s="115"/>
      <c r="AW533" s="25"/>
      <c r="AX533" s="13"/>
      <c r="BC533" s="116"/>
      <c r="BD533" s="123"/>
      <c r="BE533" s="123"/>
      <c r="BF533" s="123"/>
      <c r="BK533" s="115"/>
      <c r="BL533" s="115"/>
      <c r="BM533" s="115"/>
      <c r="BN533" s="115"/>
      <c r="BO533" s="115"/>
      <c r="BP533" s="115"/>
      <c r="BQ533" s="115"/>
      <c r="BR533" s="115"/>
      <c r="BS533" s="115"/>
      <c r="BT533" s="115"/>
      <c r="BU533" s="25"/>
      <c r="BV533" s="13"/>
      <c r="BY533" s="114"/>
    </row>
    <row r="534" spans="1:77" ht="20.100000000000001" customHeight="1" x14ac:dyDescent="0.4">
      <c r="A534" s="117"/>
      <c r="B534" s="123"/>
      <c r="C534" s="123"/>
      <c r="D534" s="123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AF534" s="115"/>
      <c r="AG534" s="115"/>
      <c r="AH534" s="115"/>
      <c r="AI534" s="115"/>
      <c r="AJ534" s="115"/>
      <c r="AK534" s="115"/>
      <c r="AL534" s="29"/>
      <c r="AM534" s="29"/>
      <c r="AQ534" s="115"/>
      <c r="AR534" s="115"/>
      <c r="AS534" s="115"/>
      <c r="AT534" s="115"/>
      <c r="AU534" s="115"/>
      <c r="AV534" s="115"/>
      <c r="AW534" s="25"/>
      <c r="AX534" s="13"/>
      <c r="BC534" s="116"/>
      <c r="BD534" s="123"/>
      <c r="BE534" s="123"/>
      <c r="BF534" s="123"/>
      <c r="BK534" s="115"/>
      <c r="BL534" s="115"/>
      <c r="BM534" s="115"/>
      <c r="BN534" s="115"/>
      <c r="BO534" s="115"/>
      <c r="BP534" s="115"/>
      <c r="BQ534" s="115"/>
      <c r="BR534" s="115"/>
      <c r="BS534" s="115"/>
      <c r="BT534" s="115"/>
      <c r="BU534" s="25"/>
      <c r="BV534" s="13"/>
      <c r="BY534" s="114"/>
    </row>
    <row r="535" spans="1:77" ht="20.100000000000001" customHeight="1" x14ac:dyDescent="0.4">
      <c r="A535" s="117"/>
      <c r="B535" s="123"/>
      <c r="C535" s="123"/>
      <c r="D535" s="123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AF535" s="115"/>
      <c r="AG535" s="115"/>
      <c r="AH535" s="115"/>
      <c r="AI535" s="115"/>
      <c r="AJ535" s="115"/>
      <c r="AK535" s="115"/>
      <c r="AL535" s="29"/>
      <c r="AM535" s="29"/>
      <c r="AQ535" s="115"/>
      <c r="AR535" s="115"/>
      <c r="AS535" s="115"/>
      <c r="AT535" s="115"/>
      <c r="AU535" s="115"/>
      <c r="AV535" s="115"/>
      <c r="AW535" s="25"/>
      <c r="AX535" s="13"/>
      <c r="BC535" s="116"/>
      <c r="BD535" s="123"/>
      <c r="BE535" s="123"/>
      <c r="BF535" s="123"/>
      <c r="BK535" s="115"/>
      <c r="BL535" s="115"/>
      <c r="BM535" s="115"/>
      <c r="BN535" s="115"/>
      <c r="BO535" s="115"/>
      <c r="BP535" s="115"/>
      <c r="BQ535" s="115"/>
      <c r="BR535" s="115"/>
      <c r="BS535" s="115"/>
      <c r="BT535" s="115"/>
      <c r="BU535" s="25"/>
      <c r="BV535" s="13"/>
      <c r="BY535" s="114"/>
    </row>
    <row r="536" spans="1:77" ht="20.100000000000001" customHeight="1" x14ac:dyDescent="0.4">
      <c r="A536" s="117"/>
      <c r="B536" s="123"/>
      <c r="C536" s="123"/>
      <c r="D536" s="123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AE536" s="115"/>
      <c r="AF536" s="115"/>
      <c r="AG536" s="115"/>
      <c r="AH536" s="115"/>
      <c r="AI536" s="115"/>
      <c r="AJ536" s="115"/>
      <c r="AK536" s="115"/>
      <c r="AL536" s="127"/>
      <c r="AM536" s="29"/>
      <c r="AQ536" s="115"/>
      <c r="AR536" s="115"/>
      <c r="AS536" s="115"/>
      <c r="AT536" s="115"/>
      <c r="AU536" s="115"/>
      <c r="AV536" s="115"/>
      <c r="AW536" s="25"/>
      <c r="AX536" s="13"/>
      <c r="BC536" s="116"/>
      <c r="BD536" s="123"/>
      <c r="BE536" s="123"/>
      <c r="BF536" s="123"/>
      <c r="BK536" s="115"/>
      <c r="BL536" s="115"/>
      <c r="BM536" s="115"/>
      <c r="BN536" s="115"/>
      <c r="BO536" s="115"/>
      <c r="BP536" s="115"/>
      <c r="BQ536" s="115"/>
      <c r="BR536" s="115"/>
      <c r="BS536" s="115"/>
      <c r="BT536" s="115"/>
      <c r="BU536" s="25"/>
      <c r="BV536" s="13"/>
      <c r="BY536" s="114"/>
    </row>
    <row r="537" spans="1:77" ht="20.100000000000001" customHeight="1" x14ac:dyDescent="0.4">
      <c r="A537" s="117"/>
      <c r="B537" s="123"/>
      <c r="C537" s="123"/>
      <c r="D537" s="123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AE537" s="115"/>
      <c r="AF537" s="115"/>
      <c r="AG537" s="115"/>
      <c r="AH537" s="115"/>
      <c r="AI537" s="115"/>
      <c r="AJ537" s="115"/>
      <c r="AK537" s="115"/>
      <c r="AL537" s="127"/>
      <c r="AM537" s="29"/>
      <c r="AQ537" s="115"/>
      <c r="AR537" s="115"/>
      <c r="AS537" s="115"/>
      <c r="AT537" s="115"/>
      <c r="AU537" s="115"/>
      <c r="AV537" s="115"/>
      <c r="AW537" s="25"/>
      <c r="AX537" s="13"/>
      <c r="BC537" s="116"/>
      <c r="BD537" s="123"/>
      <c r="BE537" s="123"/>
      <c r="BF537" s="123"/>
      <c r="BK537" s="115"/>
      <c r="BL537" s="115"/>
      <c r="BM537" s="115"/>
      <c r="BN537" s="115"/>
      <c r="BO537" s="115"/>
      <c r="BP537" s="115"/>
      <c r="BQ537" s="115"/>
      <c r="BR537" s="115"/>
      <c r="BS537" s="115"/>
      <c r="BT537" s="115"/>
      <c r="BU537" s="25"/>
      <c r="BV537" s="13"/>
      <c r="BY537" s="114"/>
    </row>
    <row r="538" spans="1:77" ht="20.100000000000001" customHeight="1" x14ac:dyDescent="0.4">
      <c r="A538" s="117"/>
      <c r="B538" s="123"/>
      <c r="C538" s="123"/>
      <c r="D538" s="123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AE538" s="115"/>
      <c r="AF538" s="115"/>
      <c r="AG538" s="115"/>
      <c r="AH538" s="115"/>
      <c r="AI538" s="115"/>
      <c r="AJ538" s="115"/>
      <c r="AK538" s="115"/>
      <c r="AL538" s="127"/>
      <c r="AM538" s="29"/>
      <c r="AQ538" s="115"/>
      <c r="AR538" s="115"/>
      <c r="AS538" s="115"/>
      <c r="AT538" s="115"/>
      <c r="AU538" s="115"/>
      <c r="AV538" s="115"/>
      <c r="AW538" s="25"/>
      <c r="AX538" s="13"/>
      <c r="BC538" s="116"/>
      <c r="BD538" s="123"/>
      <c r="BE538" s="123"/>
      <c r="BF538" s="123"/>
      <c r="BK538" s="115"/>
      <c r="BL538" s="115"/>
      <c r="BM538" s="115"/>
      <c r="BN538" s="115"/>
      <c r="BO538" s="115"/>
      <c r="BP538" s="115"/>
      <c r="BQ538" s="115"/>
      <c r="BR538" s="115"/>
      <c r="BS538" s="115"/>
      <c r="BT538" s="115"/>
      <c r="BU538" s="25"/>
      <c r="BV538" s="13"/>
      <c r="BY538" s="114"/>
    </row>
    <row r="539" spans="1:77" ht="20.100000000000001" customHeight="1" x14ac:dyDescent="0.4">
      <c r="A539" s="117"/>
      <c r="B539" s="123"/>
      <c r="C539" s="123"/>
      <c r="D539" s="123"/>
      <c r="AL539" s="127"/>
      <c r="AM539" s="29"/>
      <c r="AQ539" s="115"/>
      <c r="AR539" s="115"/>
      <c r="AS539" s="115"/>
      <c r="AT539" s="115"/>
      <c r="AU539" s="115"/>
      <c r="AV539" s="115"/>
      <c r="AW539" s="25"/>
      <c r="AX539" s="13"/>
      <c r="BC539" s="116"/>
      <c r="BD539" s="123"/>
      <c r="BE539" s="123"/>
      <c r="BF539" s="123"/>
      <c r="BK539" s="115"/>
      <c r="BL539" s="115"/>
      <c r="BM539" s="115"/>
      <c r="BN539" s="115"/>
      <c r="BO539" s="115"/>
      <c r="BP539" s="115"/>
      <c r="BQ539" s="115"/>
      <c r="BR539" s="115"/>
      <c r="BS539" s="115"/>
      <c r="BT539" s="115"/>
      <c r="BU539" s="25"/>
      <c r="BV539" s="13"/>
      <c r="BY539" s="114"/>
    </row>
    <row r="540" spans="1:77" ht="20.100000000000001" customHeight="1" x14ac:dyDescent="0.4">
      <c r="A540" s="117"/>
      <c r="B540" s="123"/>
      <c r="C540" s="123"/>
      <c r="D540" s="123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27"/>
      <c r="AM540" s="29"/>
      <c r="AQ540" s="115"/>
      <c r="AR540" s="115"/>
      <c r="AS540" s="115"/>
      <c r="AT540" s="115"/>
      <c r="AU540" s="115"/>
      <c r="AV540" s="115"/>
      <c r="AW540" s="25"/>
      <c r="AX540" s="13"/>
      <c r="BC540" s="116"/>
      <c r="BD540" s="123"/>
      <c r="BE540" s="123"/>
      <c r="BF540" s="123"/>
      <c r="BK540" s="115"/>
      <c r="BL540" s="115"/>
      <c r="BM540" s="115"/>
      <c r="BN540" s="115"/>
      <c r="BO540" s="115"/>
      <c r="BP540" s="115"/>
      <c r="BQ540" s="115"/>
      <c r="BR540" s="115"/>
      <c r="BS540" s="115"/>
      <c r="BT540" s="115"/>
      <c r="BU540" s="25"/>
      <c r="BV540" s="13"/>
      <c r="BY540" s="114"/>
    </row>
    <row r="541" spans="1:77" ht="20.100000000000001" customHeight="1" x14ac:dyDescent="0.4">
      <c r="A541" s="117"/>
      <c r="B541" s="123"/>
      <c r="C541" s="123"/>
      <c r="D541" s="123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27"/>
      <c r="AM541" s="29"/>
      <c r="AQ541" s="115"/>
      <c r="AR541" s="115"/>
      <c r="AS541" s="115"/>
      <c r="AT541" s="115"/>
      <c r="AU541" s="115"/>
      <c r="AV541" s="115"/>
      <c r="AW541" s="25"/>
      <c r="AX541" s="13"/>
      <c r="BC541" s="116"/>
      <c r="BD541" s="123"/>
      <c r="BE541" s="123"/>
      <c r="BF541" s="123"/>
      <c r="BK541" s="115"/>
      <c r="BL541" s="115"/>
      <c r="BM541" s="115"/>
      <c r="BN541" s="115"/>
      <c r="BO541" s="115"/>
      <c r="BP541" s="115"/>
      <c r="BQ541" s="115"/>
      <c r="BR541" s="115"/>
      <c r="BS541" s="115"/>
      <c r="BT541" s="115"/>
      <c r="BU541" s="25"/>
      <c r="BV541" s="13"/>
      <c r="BY541" s="114"/>
    </row>
    <row r="542" spans="1:77" ht="20.100000000000001" customHeight="1" x14ac:dyDescent="0.4">
      <c r="A542" s="117"/>
      <c r="B542" s="123"/>
      <c r="C542" s="123"/>
      <c r="D542" s="123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27"/>
      <c r="AM542" s="29"/>
      <c r="AQ542" s="115"/>
      <c r="AR542" s="115"/>
      <c r="AS542" s="115"/>
      <c r="AT542" s="115"/>
      <c r="AU542" s="115"/>
      <c r="AV542" s="115"/>
      <c r="AW542" s="25"/>
      <c r="AX542" s="13"/>
      <c r="BC542" s="116"/>
      <c r="BD542" s="123"/>
      <c r="BE542" s="123"/>
      <c r="BF542" s="123"/>
      <c r="BK542" s="115"/>
      <c r="BL542" s="115"/>
      <c r="BM542" s="115"/>
      <c r="BN542" s="115"/>
      <c r="BO542" s="115"/>
      <c r="BP542" s="115"/>
      <c r="BQ542" s="115"/>
      <c r="BR542" s="115"/>
      <c r="BS542" s="115"/>
      <c r="BT542" s="115"/>
      <c r="BU542" s="25"/>
      <c r="BV542" s="13"/>
      <c r="BY542" s="114"/>
    </row>
    <row r="543" spans="1:77" ht="20.100000000000001" customHeight="1" x14ac:dyDescent="0.4">
      <c r="A543" s="117"/>
      <c r="B543" s="123"/>
      <c r="C543" s="123"/>
      <c r="D543" s="123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29"/>
      <c r="AM543" s="29"/>
      <c r="AQ543" s="115"/>
      <c r="AR543" s="115"/>
      <c r="AS543" s="115"/>
      <c r="AT543" s="115"/>
      <c r="AU543" s="115"/>
      <c r="AV543" s="115"/>
      <c r="AW543" s="25"/>
      <c r="AX543" s="13"/>
      <c r="BC543" s="116"/>
      <c r="BD543" s="123"/>
      <c r="BE543" s="123"/>
      <c r="BF543" s="123"/>
      <c r="BK543" s="115"/>
      <c r="BL543" s="115"/>
      <c r="BM543" s="115"/>
      <c r="BN543" s="115"/>
      <c r="BO543" s="115"/>
      <c r="BP543" s="115"/>
      <c r="BQ543" s="115"/>
      <c r="BR543" s="115"/>
      <c r="BS543" s="115"/>
      <c r="BT543" s="115"/>
      <c r="BU543" s="25"/>
      <c r="BV543" s="13"/>
      <c r="BY543" s="114"/>
    </row>
    <row r="544" spans="1:77" ht="20.100000000000001" customHeight="1" x14ac:dyDescent="0.4">
      <c r="A544" s="117"/>
      <c r="B544" s="123"/>
      <c r="C544" s="123"/>
      <c r="D544" s="123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27"/>
      <c r="AM544" s="29"/>
      <c r="AQ544" s="115"/>
      <c r="AR544" s="115"/>
      <c r="AS544" s="115"/>
      <c r="AT544" s="115"/>
      <c r="AU544" s="115"/>
      <c r="AV544" s="115"/>
      <c r="AW544" s="25"/>
      <c r="AX544" s="13"/>
      <c r="BC544" s="116"/>
      <c r="BD544" s="123"/>
      <c r="BE544" s="123"/>
      <c r="BF544" s="123"/>
      <c r="BK544" s="115"/>
      <c r="BL544" s="115"/>
      <c r="BM544" s="115"/>
      <c r="BN544" s="115"/>
      <c r="BO544" s="115"/>
      <c r="BP544" s="115"/>
      <c r="BQ544" s="115"/>
      <c r="BR544" s="115"/>
      <c r="BS544" s="115"/>
      <c r="BT544" s="115"/>
      <c r="BU544" s="25"/>
      <c r="BV544" s="13"/>
      <c r="BY544" s="114"/>
    </row>
    <row r="545" spans="1:77" ht="20.100000000000001" customHeight="1" x14ac:dyDescent="0.4">
      <c r="A545" s="117"/>
      <c r="B545" s="123"/>
      <c r="C545" s="123"/>
      <c r="D545" s="123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27"/>
      <c r="AM545" s="29"/>
      <c r="AQ545" s="115"/>
      <c r="AR545" s="115"/>
      <c r="AS545" s="115"/>
      <c r="AT545" s="115"/>
      <c r="AU545" s="115"/>
      <c r="AV545" s="115"/>
      <c r="AW545" s="25"/>
      <c r="AX545" s="13"/>
      <c r="BC545" s="116"/>
      <c r="BD545" s="123"/>
      <c r="BE545" s="123"/>
      <c r="BF545" s="123"/>
      <c r="BK545" s="115"/>
      <c r="BL545" s="115"/>
      <c r="BM545" s="115"/>
      <c r="BN545" s="115"/>
      <c r="BO545" s="115"/>
      <c r="BP545" s="115"/>
      <c r="BQ545" s="115"/>
      <c r="BR545" s="115"/>
      <c r="BS545" s="115"/>
      <c r="BT545" s="115"/>
      <c r="BU545" s="25"/>
      <c r="BV545" s="13"/>
      <c r="BY545" s="114"/>
    </row>
    <row r="546" spans="1:77" ht="20.100000000000001" customHeight="1" x14ac:dyDescent="0.4">
      <c r="A546" s="117"/>
      <c r="B546" s="123"/>
      <c r="C546" s="123"/>
      <c r="D546" s="123"/>
      <c r="AL546" s="127"/>
      <c r="AM546" s="29"/>
      <c r="AQ546" s="115"/>
      <c r="AR546" s="115"/>
      <c r="AS546" s="115"/>
      <c r="AT546" s="115"/>
      <c r="AU546" s="115"/>
      <c r="AV546" s="115"/>
      <c r="AW546" s="25"/>
      <c r="AX546" s="13"/>
      <c r="BC546" s="116"/>
      <c r="BD546" s="123"/>
      <c r="BE546" s="123"/>
      <c r="BF546" s="123"/>
      <c r="BK546" s="115"/>
      <c r="BL546" s="115"/>
      <c r="BM546" s="115"/>
      <c r="BN546" s="115"/>
      <c r="BO546" s="115"/>
      <c r="BP546" s="115"/>
      <c r="BQ546" s="115"/>
      <c r="BR546" s="115"/>
      <c r="BS546" s="115"/>
      <c r="BT546" s="115"/>
      <c r="BU546" s="25"/>
      <c r="BV546" s="13"/>
      <c r="BY546" s="114"/>
    </row>
    <row r="547" spans="1:77" ht="20.100000000000001" customHeight="1" x14ac:dyDescent="0.4">
      <c r="A547" s="117"/>
      <c r="B547" s="123"/>
      <c r="C547" s="123"/>
      <c r="D547" s="123"/>
      <c r="AH547" s="115"/>
      <c r="AI547" s="115"/>
      <c r="AJ547" s="115"/>
      <c r="AK547" s="115"/>
      <c r="AL547" s="127"/>
      <c r="AM547" s="29"/>
      <c r="AQ547" s="115"/>
      <c r="AR547" s="115"/>
      <c r="AS547" s="115"/>
      <c r="AT547" s="115"/>
      <c r="AU547" s="115"/>
      <c r="AV547" s="115"/>
      <c r="AW547" s="25"/>
      <c r="AX547" s="13"/>
      <c r="BC547" s="116"/>
      <c r="BD547" s="123"/>
      <c r="BE547" s="123"/>
      <c r="BF547" s="123"/>
      <c r="BK547" s="115"/>
      <c r="BL547" s="115"/>
      <c r="BM547" s="115"/>
      <c r="BN547" s="115"/>
      <c r="BO547" s="115"/>
      <c r="BP547" s="115"/>
      <c r="BQ547" s="115"/>
      <c r="BR547" s="115"/>
      <c r="BS547" s="115"/>
      <c r="BT547" s="115"/>
      <c r="BU547" s="25"/>
      <c r="BV547" s="13"/>
      <c r="BY547" s="114"/>
    </row>
    <row r="548" spans="1:77" ht="20.100000000000001" customHeight="1" x14ac:dyDescent="0.4">
      <c r="A548" s="117"/>
      <c r="B548" s="123"/>
      <c r="C548" s="123"/>
      <c r="D548" s="123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27"/>
      <c r="AM548" s="29"/>
      <c r="AQ548" s="115"/>
      <c r="AR548" s="115"/>
      <c r="AS548" s="115"/>
      <c r="AT548" s="115"/>
      <c r="AU548" s="115"/>
      <c r="AV548" s="115"/>
      <c r="AW548" s="25"/>
      <c r="AX548" s="13"/>
      <c r="BC548" s="116"/>
      <c r="BD548" s="123"/>
      <c r="BE548" s="123"/>
      <c r="BF548" s="123"/>
      <c r="BK548" s="115"/>
      <c r="BL548" s="115"/>
      <c r="BM548" s="115"/>
      <c r="BN548" s="115"/>
      <c r="BO548" s="115"/>
      <c r="BP548" s="115"/>
      <c r="BQ548" s="115"/>
      <c r="BR548" s="115"/>
      <c r="BS548" s="115"/>
      <c r="BT548" s="115"/>
      <c r="BU548" s="25"/>
      <c r="BV548" s="13"/>
      <c r="BY548" s="114"/>
    </row>
    <row r="549" spans="1:77" ht="20.100000000000001" customHeight="1" x14ac:dyDescent="0.4">
      <c r="A549" s="117"/>
      <c r="B549" s="123"/>
      <c r="C549" s="123"/>
      <c r="D549" s="123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27"/>
      <c r="AM549" s="29"/>
      <c r="AQ549" s="115"/>
      <c r="AR549" s="115"/>
      <c r="AS549" s="115"/>
      <c r="AT549" s="115"/>
      <c r="AU549" s="115"/>
      <c r="AV549" s="115"/>
      <c r="AW549" s="25"/>
      <c r="AX549" s="13"/>
      <c r="BC549" s="116"/>
      <c r="BD549" s="123"/>
      <c r="BE549" s="123"/>
      <c r="BF549" s="123"/>
      <c r="BK549" s="115"/>
      <c r="BL549" s="115"/>
      <c r="BM549" s="115"/>
      <c r="BN549" s="115"/>
      <c r="BO549" s="115"/>
      <c r="BP549" s="115"/>
      <c r="BQ549" s="115"/>
      <c r="BR549" s="115"/>
      <c r="BS549" s="115"/>
      <c r="BT549" s="115"/>
      <c r="BU549" s="25"/>
      <c r="BV549" s="13"/>
      <c r="BY549" s="114"/>
    </row>
    <row r="550" spans="1:77" ht="20.100000000000001" customHeight="1" x14ac:dyDescent="0.4">
      <c r="A550" s="117"/>
      <c r="B550" s="123"/>
      <c r="C550" s="123"/>
      <c r="D550" s="123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27"/>
      <c r="AM550" s="29"/>
      <c r="AQ550" s="115"/>
      <c r="AR550" s="115"/>
      <c r="AS550" s="115"/>
      <c r="AT550" s="115"/>
      <c r="AU550" s="115"/>
      <c r="AV550" s="115"/>
      <c r="AW550" s="25"/>
      <c r="AX550" s="13"/>
      <c r="BC550" s="116"/>
      <c r="BD550" s="123"/>
      <c r="BE550" s="123"/>
      <c r="BF550" s="123"/>
      <c r="BK550" s="115"/>
      <c r="BL550" s="115"/>
      <c r="BM550" s="115"/>
      <c r="BN550" s="115"/>
      <c r="BO550" s="115"/>
      <c r="BP550" s="115"/>
      <c r="BQ550" s="115"/>
      <c r="BR550" s="115"/>
      <c r="BS550" s="115"/>
      <c r="BT550" s="115"/>
      <c r="BU550" s="25"/>
      <c r="BV550" s="13"/>
      <c r="BY550" s="114"/>
    </row>
    <row r="551" spans="1:77" ht="20.100000000000001" customHeight="1" x14ac:dyDescent="0.4">
      <c r="A551" s="117"/>
      <c r="B551" s="123"/>
      <c r="C551" s="123"/>
      <c r="D551" s="123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27"/>
      <c r="AM551" s="29"/>
      <c r="AQ551" s="115"/>
      <c r="AR551" s="115"/>
      <c r="AS551" s="115"/>
      <c r="AT551" s="115"/>
      <c r="AU551" s="115"/>
      <c r="AV551" s="115"/>
      <c r="AW551" s="25"/>
      <c r="AX551" s="13"/>
      <c r="BC551" s="116"/>
      <c r="BD551" s="123"/>
      <c r="BE551" s="123"/>
      <c r="BF551" s="123"/>
      <c r="BK551" s="115"/>
      <c r="BL551" s="115"/>
      <c r="BM551" s="115"/>
      <c r="BN551" s="115"/>
      <c r="BO551" s="115"/>
      <c r="BP551" s="115"/>
      <c r="BQ551" s="115"/>
      <c r="BR551" s="115"/>
      <c r="BS551" s="115"/>
      <c r="BT551" s="115"/>
      <c r="BU551" s="25"/>
      <c r="BV551" s="13"/>
      <c r="BY551" s="114"/>
    </row>
    <row r="552" spans="1:77" ht="20.100000000000001" customHeight="1" x14ac:dyDescent="0.4">
      <c r="A552" s="117"/>
      <c r="B552" s="123"/>
      <c r="C552" s="123"/>
      <c r="D552" s="123"/>
      <c r="AL552" s="127"/>
      <c r="AM552" s="29"/>
      <c r="AQ552" s="115"/>
      <c r="AR552" s="115"/>
      <c r="AS552" s="115"/>
      <c r="AT552" s="115"/>
      <c r="AU552" s="115"/>
      <c r="AV552" s="115"/>
      <c r="AW552" s="25"/>
      <c r="AX552" s="13"/>
      <c r="BC552" s="116"/>
      <c r="BD552" s="123"/>
      <c r="BE552" s="123"/>
      <c r="BF552" s="123"/>
      <c r="BK552" s="115"/>
      <c r="BL552" s="115"/>
      <c r="BM552" s="115"/>
      <c r="BN552" s="115"/>
      <c r="BO552" s="115"/>
      <c r="BP552" s="115"/>
      <c r="BQ552" s="115"/>
      <c r="BR552" s="115"/>
      <c r="BS552" s="115"/>
      <c r="BT552" s="115"/>
      <c r="BU552" s="25"/>
      <c r="BV552" s="13"/>
      <c r="BY552" s="114"/>
    </row>
    <row r="553" spans="1:77" ht="20.100000000000001" customHeight="1" x14ac:dyDescent="0.4">
      <c r="A553" s="117"/>
      <c r="B553" s="123"/>
      <c r="C553" s="123"/>
      <c r="D553" s="123"/>
      <c r="AH553" s="115"/>
      <c r="AI553" s="115"/>
      <c r="AJ553" s="115"/>
      <c r="AK553" s="115"/>
      <c r="AL553" s="127"/>
      <c r="AM553" s="29"/>
      <c r="AQ553" s="115"/>
      <c r="AR553" s="115"/>
      <c r="AS553" s="115"/>
      <c r="AT553" s="115"/>
      <c r="AU553" s="115"/>
      <c r="AV553" s="115"/>
      <c r="AW553" s="25"/>
      <c r="AX553" s="13"/>
      <c r="BC553" s="116"/>
      <c r="BD553" s="123"/>
      <c r="BE553" s="123"/>
      <c r="BF553" s="123"/>
      <c r="BK553" s="115"/>
      <c r="BL553" s="115"/>
      <c r="BM553" s="115"/>
      <c r="BN553" s="115"/>
      <c r="BO553" s="115"/>
      <c r="BP553" s="115"/>
      <c r="BQ553" s="115"/>
      <c r="BR553" s="115"/>
      <c r="BS553" s="115"/>
      <c r="BT553" s="115"/>
      <c r="BU553" s="25"/>
      <c r="BV553" s="13"/>
      <c r="BY553" s="114"/>
    </row>
    <row r="554" spans="1:77" ht="20.100000000000001" customHeight="1" x14ac:dyDescent="0.4">
      <c r="A554" s="117"/>
      <c r="B554" s="123"/>
      <c r="C554" s="123"/>
      <c r="D554" s="123"/>
      <c r="AH554" s="115"/>
      <c r="AI554" s="115"/>
      <c r="AJ554" s="115"/>
      <c r="AK554" s="115"/>
      <c r="AL554" s="29"/>
      <c r="AM554" s="29"/>
      <c r="AQ554" s="115"/>
      <c r="AR554" s="115"/>
      <c r="AS554" s="115"/>
      <c r="AT554" s="115"/>
      <c r="AU554" s="115"/>
      <c r="AV554" s="115"/>
      <c r="AW554" s="25"/>
      <c r="AX554" s="13"/>
      <c r="BC554" s="116"/>
      <c r="BD554" s="123"/>
      <c r="BE554" s="123"/>
      <c r="BF554" s="123"/>
      <c r="BK554" s="115"/>
      <c r="BL554" s="115"/>
      <c r="BM554" s="115"/>
      <c r="BN554" s="115"/>
      <c r="BO554" s="115"/>
      <c r="BP554" s="115"/>
      <c r="BQ554" s="115"/>
      <c r="BR554" s="115"/>
      <c r="BS554" s="115"/>
      <c r="BT554" s="115"/>
      <c r="BU554" s="25"/>
      <c r="BV554" s="13"/>
      <c r="BY554" s="114"/>
    </row>
    <row r="555" spans="1:77" ht="20.100000000000001" customHeight="1" x14ac:dyDescent="0.4">
      <c r="A555" s="117"/>
      <c r="B555" s="123"/>
      <c r="C555" s="123"/>
      <c r="D555" s="123"/>
      <c r="AH555" s="115"/>
      <c r="AI555" s="115"/>
      <c r="AJ555" s="115"/>
      <c r="AK555" s="115"/>
      <c r="AL555" s="127"/>
      <c r="AM555" s="29"/>
      <c r="AQ555" s="115"/>
      <c r="AR555" s="115"/>
      <c r="AS555" s="115"/>
      <c r="AT555" s="115"/>
      <c r="AU555" s="115"/>
      <c r="AV555" s="115"/>
      <c r="AW555" s="25"/>
      <c r="AX555" s="13"/>
      <c r="BC555" s="116"/>
      <c r="BD555" s="123"/>
      <c r="BE555" s="123"/>
      <c r="BF555" s="123"/>
      <c r="BK555" s="115"/>
      <c r="BL555" s="115"/>
      <c r="BM555" s="115"/>
      <c r="BN555" s="115"/>
      <c r="BO555" s="115"/>
      <c r="BP555" s="115"/>
      <c r="BQ555" s="115"/>
      <c r="BR555" s="115"/>
      <c r="BS555" s="115"/>
      <c r="BT555" s="115"/>
      <c r="BU555" s="25"/>
      <c r="BV555" s="13"/>
      <c r="BY555" s="114"/>
    </row>
    <row r="556" spans="1:77" ht="20.100000000000001" customHeight="1" x14ac:dyDescent="0.4">
      <c r="A556" s="117"/>
      <c r="B556" s="123"/>
      <c r="C556" s="123"/>
      <c r="D556" s="123"/>
      <c r="AH556" s="115"/>
      <c r="AI556" s="115"/>
      <c r="AJ556" s="115"/>
      <c r="AK556" s="115"/>
      <c r="AL556" s="29"/>
      <c r="AM556" s="29"/>
      <c r="AQ556" s="115"/>
      <c r="AR556" s="115"/>
      <c r="AS556" s="115"/>
      <c r="AT556" s="115"/>
      <c r="AU556" s="115"/>
      <c r="AV556" s="115"/>
      <c r="AW556" s="25"/>
      <c r="AX556" s="13"/>
      <c r="BC556" s="116"/>
      <c r="BD556" s="123"/>
      <c r="BE556" s="123"/>
      <c r="BF556" s="123"/>
      <c r="BK556" s="115"/>
      <c r="BL556" s="115"/>
      <c r="BM556" s="115"/>
      <c r="BN556" s="115"/>
      <c r="BO556" s="115"/>
      <c r="BP556" s="115"/>
      <c r="BQ556" s="115"/>
      <c r="BR556" s="115"/>
      <c r="BS556" s="115"/>
      <c r="BT556" s="115"/>
      <c r="BU556" s="25"/>
      <c r="BV556" s="13"/>
      <c r="BY556" s="114"/>
    </row>
    <row r="557" spans="1:77" ht="20.100000000000001" customHeight="1" x14ac:dyDescent="0.4">
      <c r="A557" s="117"/>
      <c r="B557" s="123"/>
      <c r="C557" s="123"/>
      <c r="D557" s="123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27"/>
      <c r="AM557" s="29"/>
      <c r="AQ557" s="115"/>
      <c r="AR557" s="115"/>
      <c r="AS557" s="115"/>
      <c r="AT557" s="115"/>
      <c r="AU557" s="115"/>
      <c r="AV557" s="115"/>
      <c r="AW557" s="25"/>
      <c r="AX557" s="13"/>
      <c r="BC557" s="116"/>
      <c r="BD557" s="123"/>
      <c r="BE557" s="123"/>
      <c r="BF557" s="123"/>
      <c r="BK557" s="115"/>
      <c r="BL557" s="115"/>
      <c r="BM557" s="115"/>
      <c r="BN557" s="115"/>
      <c r="BO557" s="115"/>
      <c r="BP557" s="115"/>
      <c r="BQ557" s="115"/>
      <c r="BR557" s="115"/>
      <c r="BS557" s="115"/>
      <c r="BT557" s="115"/>
      <c r="BU557" s="25"/>
      <c r="BV557" s="13"/>
      <c r="BY557" s="114"/>
    </row>
    <row r="558" spans="1:77" ht="20.100000000000001" customHeight="1" x14ac:dyDescent="0.4">
      <c r="A558" s="117"/>
      <c r="B558" s="123"/>
      <c r="C558" s="123"/>
      <c r="D558" s="123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27"/>
      <c r="AM558" s="29"/>
      <c r="AQ558" s="115"/>
      <c r="AR558" s="115"/>
      <c r="AS558" s="115"/>
      <c r="AT558" s="115"/>
      <c r="AU558" s="115"/>
      <c r="AV558" s="115"/>
      <c r="AW558" s="25"/>
      <c r="AX558" s="13"/>
      <c r="BC558" s="116"/>
      <c r="BD558" s="123"/>
      <c r="BE558" s="123"/>
      <c r="BF558" s="123"/>
      <c r="BK558" s="115"/>
      <c r="BL558" s="115"/>
      <c r="BM558" s="115"/>
      <c r="BN558" s="115"/>
      <c r="BO558" s="115"/>
      <c r="BP558" s="115"/>
      <c r="BQ558" s="115"/>
      <c r="BR558" s="115"/>
      <c r="BS558" s="115"/>
      <c r="BT558" s="115"/>
      <c r="BU558" s="25"/>
      <c r="BV558" s="13"/>
      <c r="BY558" s="114"/>
    </row>
    <row r="559" spans="1:77" ht="20.100000000000001" customHeight="1" x14ac:dyDescent="0.4">
      <c r="A559" s="117"/>
      <c r="B559" s="123"/>
      <c r="C559" s="123"/>
      <c r="D559" s="123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27"/>
      <c r="AM559" s="29"/>
      <c r="AQ559" s="115"/>
      <c r="AR559" s="115"/>
      <c r="AS559" s="115"/>
      <c r="AT559" s="115"/>
      <c r="AU559" s="115"/>
      <c r="AV559" s="115"/>
      <c r="AW559" s="25"/>
      <c r="AX559" s="13"/>
      <c r="BC559" s="116"/>
      <c r="BD559" s="123"/>
      <c r="BE559" s="123"/>
      <c r="BF559" s="123"/>
      <c r="BK559" s="115"/>
      <c r="BL559" s="115"/>
      <c r="BM559" s="115"/>
      <c r="BN559" s="115"/>
      <c r="BO559" s="115"/>
      <c r="BP559" s="115"/>
      <c r="BQ559" s="115"/>
      <c r="BR559" s="115"/>
      <c r="BS559" s="115"/>
      <c r="BT559" s="115"/>
      <c r="BU559" s="25"/>
      <c r="BV559" s="13"/>
      <c r="BY559" s="114"/>
    </row>
    <row r="560" spans="1:77" ht="20.100000000000001" customHeight="1" x14ac:dyDescent="0.4">
      <c r="A560" s="117"/>
      <c r="B560" s="123"/>
      <c r="C560" s="123"/>
      <c r="D560" s="123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27"/>
      <c r="AM560" s="29"/>
      <c r="AQ560" s="115"/>
      <c r="AR560" s="115"/>
      <c r="AS560" s="115"/>
      <c r="AT560" s="115"/>
      <c r="AU560" s="115"/>
      <c r="AV560" s="115"/>
      <c r="AW560" s="25"/>
      <c r="AX560" s="13"/>
      <c r="BC560" s="116"/>
      <c r="BD560" s="123"/>
      <c r="BE560" s="123"/>
      <c r="BF560" s="123"/>
      <c r="BK560" s="115"/>
      <c r="BL560" s="115"/>
      <c r="BM560" s="115"/>
      <c r="BN560" s="115"/>
      <c r="BO560" s="115"/>
      <c r="BP560" s="115"/>
      <c r="BQ560" s="115"/>
      <c r="BR560" s="115"/>
      <c r="BS560" s="115"/>
      <c r="BT560" s="115"/>
      <c r="BU560" s="25"/>
      <c r="BV560" s="13"/>
      <c r="BY560" s="114"/>
    </row>
    <row r="561" spans="1:77" ht="20.100000000000001" customHeight="1" x14ac:dyDescent="0.4">
      <c r="A561" s="117"/>
      <c r="B561" s="123"/>
      <c r="C561" s="123"/>
      <c r="D561" s="123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29"/>
      <c r="AM561" s="29"/>
      <c r="AQ561" s="115"/>
      <c r="AR561" s="115"/>
      <c r="AS561" s="115"/>
      <c r="AT561" s="115"/>
      <c r="AU561" s="115"/>
      <c r="AV561" s="115"/>
      <c r="AW561" s="25"/>
      <c r="AX561" s="13"/>
      <c r="BC561" s="116"/>
      <c r="BD561" s="123"/>
      <c r="BE561" s="123"/>
      <c r="BF561" s="123"/>
      <c r="BK561" s="115"/>
      <c r="BL561" s="115"/>
      <c r="BM561" s="115"/>
      <c r="BN561" s="115"/>
      <c r="BO561" s="115"/>
      <c r="BP561" s="115"/>
      <c r="BQ561" s="115"/>
      <c r="BR561" s="115"/>
      <c r="BS561" s="115"/>
      <c r="BT561" s="115"/>
      <c r="BU561" s="25"/>
      <c r="BV561" s="13"/>
      <c r="BY561" s="114"/>
    </row>
    <row r="562" spans="1:77" ht="20.100000000000001" customHeight="1" x14ac:dyDescent="0.4">
      <c r="A562" s="117"/>
      <c r="B562" s="123"/>
      <c r="C562" s="123"/>
      <c r="D562" s="123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27"/>
      <c r="AM562" s="29"/>
      <c r="AQ562" s="115"/>
      <c r="AR562" s="115"/>
      <c r="AS562" s="115"/>
      <c r="AT562" s="115"/>
      <c r="AU562" s="115"/>
      <c r="AV562" s="115"/>
      <c r="AW562" s="25"/>
      <c r="AX562" s="13"/>
      <c r="BC562" s="116"/>
      <c r="BD562" s="123"/>
      <c r="BE562" s="123"/>
      <c r="BF562" s="123"/>
      <c r="BK562" s="115"/>
      <c r="BL562" s="115"/>
      <c r="BM562" s="115"/>
      <c r="BN562" s="115"/>
      <c r="BO562" s="115"/>
      <c r="BP562" s="115"/>
      <c r="BQ562" s="115"/>
      <c r="BR562" s="115"/>
      <c r="BS562" s="115"/>
      <c r="BT562" s="115"/>
      <c r="BU562" s="25"/>
      <c r="BV562" s="13"/>
      <c r="BY562" s="114"/>
    </row>
    <row r="563" spans="1:77" ht="20.100000000000001" customHeight="1" x14ac:dyDescent="0.4">
      <c r="A563" s="117"/>
      <c r="B563" s="123"/>
      <c r="C563" s="123"/>
      <c r="D563" s="123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27"/>
      <c r="AM563" s="29"/>
      <c r="AQ563" s="115"/>
      <c r="AR563" s="115"/>
      <c r="AS563" s="115"/>
      <c r="AT563" s="115"/>
      <c r="AU563" s="115"/>
      <c r="AV563" s="115"/>
      <c r="AW563" s="25"/>
      <c r="AX563" s="13"/>
      <c r="BC563" s="116"/>
      <c r="BD563" s="123"/>
      <c r="BE563" s="123"/>
      <c r="BF563" s="123"/>
      <c r="BK563" s="115"/>
      <c r="BL563" s="115"/>
      <c r="BM563" s="115"/>
      <c r="BN563" s="115"/>
      <c r="BO563" s="115"/>
      <c r="BP563" s="115"/>
      <c r="BQ563" s="115"/>
      <c r="BR563" s="115"/>
      <c r="BS563" s="115"/>
      <c r="BT563" s="115"/>
      <c r="BU563" s="25"/>
      <c r="BV563" s="13"/>
      <c r="BY563" s="114"/>
    </row>
    <row r="564" spans="1:77" ht="20.100000000000001" customHeight="1" x14ac:dyDescent="0.4">
      <c r="A564" s="117"/>
      <c r="B564" s="123"/>
      <c r="C564" s="123"/>
      <c r="D564" s="123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29"/>
      <c r="AM564" s="29"/>
      <c r="AQ564" s="115"/>
      <c r="AR564" s="115"/>
      <c r="AS564" s="115"/>
      <c r="AT564" s="115"/>
      <c r="AU564" s="115"/>
      <c r="AV564" s="115"/>
      <c r="AW564" s="25"/>
      <c r="AX564" s="13"/>
      <c r="BC564" s="116"/>
      <c r="BD564" s="123"/>
      <c r="BE564" s="123"/>
      <c r="BF564" s="123"/>
      <c r="BK564" s="115"/>
      <c r="BL564" s="115"/>
      <c r="BM564" s="115"/>
      <c r="BN564" s="115"/>
      <c r="BO564" s="115"/>
      <c r="BP564" s="115"/>
      <c r="BQ564" s="115"/>
      <c r="BR564" s="115"/>
      <c r="BS564" s="115"/>
      <c r="BT564" s="115"/>
      <c r="BU564" s="25"/>
      <c r="BV564" s="13"/>
      <c r="BY564" s="114"/>
    </row>
    <row r="565" spans="1:77" ht="20.100000000000001" customHeight="1" x14ac:dyDescent="0.4">
      <c r="A565" s="117"/>
      <c r="B565" s="123"/>
      <c r="C565" s="123"/>
      <c r="D565" s="123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27"/>
      <c r="AM565" s="29"/>
      <c r="AQ565" s="115"/>
      <c r="AR565" s="115"/>
      <c r="AS565" s="115"/>
      <c r="AT565" s="115"/>
      <c r="AU565" s="115"/>
      <c r="AV565" s="115"/>
      <c r="AW565" s="25"/>
      <c r="AX565" s="13"/>
      <c r="BC565" s="116"/>
      <c r="BD565" s="123"/>
      <c r="BE565" s="123"/>
      <c r="BF565" s="123"/>
      <c r="BK565" s="115"/>
      <c r="BL565" s="115"/>
      <c r="BM565" s="115"/>
      <c r="BN565" s="115"/>
      <c r="BO565" s="115"/>
      <c r="BP565" s="115"/>
      <c r="BQ565" s="115"/>
      <c r="BR565" s="115"/>
      <c r="BS565" s="115"/>
      <c r="BT565" s="115"/>
      <c r="BU565" s="25"/>
      <c r="BV565" s="13"/>
      <c r="BY565" s="114"/>
    </row>
    <row r="566" spans="1:77" ht="20.100000000000001" customHeight="1" x14ac:dyDescent="0.4">
      <c r="A566" s="117"/>
      <c r="B566" s="123"/>
      <c r="C566" s="123"/>
      <c r="D566" s="123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15"/>
      <c r="AL566" s="29"/>
      <c r="AM566" s="29"/>
      <c r="AQ566" s="115"/>
      <c r="AR566" s="115"/>
      <c r="AS566" s="115"/>
      <c r="AT566" s="115"/>
      <c r="AU566" s="115"/>
      <c r="AV566" s="115"/>
      <c r="AW566" s="25"/>
      <c r="AX566" s="13"/>
      <c r="BC566" s="116"/>
      <c r="BD566" s="123"/>
      <c r="BE566" s="123"/>
      <c r="BF566" s="123"/>
      <c r="BK566" s="115"/>
      <c r="BL566" s="115"/>
      <c r="BM566" s="115"/>
      <c r="BN566" s="115"/>
      <c r="BO566" s="115"/>
      <c r="BP566" s="115"/>
      <c r="BQ566" s="115"/>
      <c r="BR566" s="115"/>
      <c r="BS566" s="115"/>
      <c r="BT566" s="115"/>
      <c r="BU566" s="25"/>
      <c r="BV566" s="13"/>
      <c r="BY566" s="114"/>
    </row>
    <row r="567" spans="1:77" ht="20.100000000000001" customHeight="1" x14ac:dyDescent="0.4">
      <c r="A567" s="117"/>
      <c r="B567" s="123"/>
      <c r="C567" s="123"/>
      <c r="D567" s="123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15"/>
      <c r="AL567" s="29"/>
      <c r="AM567" s="29"/>
      <c r="AQ567" s="115"/>
      <c r="AR567" s="115"/>
      <c r="AS567" s="115"/>
      <c r="AT567" s="115"/>
      <c r="AU567" s="115"/>
      <c r="AV567" s="115"/>
      <c r="AW567" s="25"/>
      <c r="AX567" s="13"/>
      <c r="BC567" s="116"/>
      <c r="BD567" s="123"/>
      <c r="BE567" s="123"/>
      <c r="BF567" s="123"/>
      <c r="BK567" s="115"/>
      <c r="BL567" s="115"/>
      <c r="BM567" s="115"/>
      <c r="BN567" s="115"/>
      <c r="BO567" s="115"/>
      <c r="BP567" s="115"/>
      <c r="BQ567" s="115"/>
      <c r="BR567" s="115"/>
      <c r="BS567" s="115"/>
      <c r="BT567" s="115"/>
      <c r="BU567" s="25"/>
      <c r="BV567" s="13"/>
      <c r="BY567" s="114"/>
    </row>
    <row r="568" spans="1:77" ht="20.100000000000001" customHeight="1" x14ac:dyDescent="0.4">
      <c r="A568" s="117"/>
      <c r="B568" s="123"/>
      <c r="C568" s="123"/>
      <c r="D568" s="123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15"/>
      <c r="AL568" s="127"/>
      <c r="AM568" s="29"/>
      <c r="AQ568" s="115"/>
      <c r="AR568" s="115"/>
      <c r="AS568" s="115"/>
      <c r="AT568" s="115"/>
      <c r="AU568" s="115"/>
      <c r="AV568" s="115"/>
      <c r="AW568" s="25"/>
      <c r="AX568" s="13"/>
      <c r="BC568" s="116"/>
      <c r="BD568" s="123"/>
      <c r="BE568" s="123"/>
      <c r="BF568" s="123"/>
      <c r="BK568" s="115"/>
      <c r="BL568" s="115"/>
      <c r="BM568" s="115"/>
      <c r="BN568" s="115"/>
      <c r="BO568" s="115"/>
      <c r="BP568" s="115"/>
      <c r="BQ568" s="115"/>
      <c r="BR568" s="115"/>
      <c r="BS568" s="115"/>
      <c r="BT568" s="115"/>
      <c r="BU568" s="25"/>
      <c r="BV568" s="13"/>
      <c r="BY568" s="114"/>
    </row>
    <row r="569" spans="1:77" ht="20.100000000000001" customHeight="1" x14ac:dyDescent="0.4">
      <c r="A569" s="117"/>
      <c r="B569" s="123"/>
      <c r="C569" s="123"/>
      <c r="D569" s="123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15"/>
      <c r="AL569" s="29"/>
      <c r="AM569" s="29"/>
      <c r="AQ569" s="115"/>
      <c r="AR569" s="115"/>
      <c r="AS569" s="115"/>
      <c r="AT569" s="115"/>
      <c r="AU569" s="115"/>
      <c r="AV569" s="115"/>
      <c r="AW569" s="25"/>
      <c r="AX569" s="13"/>
      <c r="BC569" s="116"/>
      <c r="BD569" s="123"/>
      <c r="BE569" s="123"/>
      <c r="BF569" s="123"/>
      <c r="BK569" s="115"/>
      <c r="BL569" s="115"/>
      <c r="BM569" s="115"/>
      <c r="BN569" s="115"/>
      <c r="BO569" s="115"/>
      <c r="BP569" s="115"/>
      <c r="BQ569" s="115"/>
      <c r="BR569" s="115"/>
      <c r="BS569" s="115"/>
      <c r="BT569" s="115"/>
      <c r="BU569" s="25"/>
      <c r="BV569" s="13"/>
      <c r="BY569" s="114"/>
    </row>
    <row r="570" spans="1:77" ht="20.100000000000001" customHeight="1" x14ac:dyDescent="0.4">
      <c r="A570" s="117"/>
      <c r="B570" s="123"/>
      <c r="C570" s="123"/>
      <c r="D570" s="123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15"/>
      <c r="AL570" s="127"/>
      <c r="AM570" s="29"/>
      <c r="AQ570" s="115"/>
      <c r="AR570" s="115"/>
      <c r="AS570" s="115"/>
      <c r="AT570" s="115"/>
      <c r="AU570" s="115"/>
      <c r="AV570" s="115"/>
      <c r="AW570" s="25"/>
      <c r="AX570" s="13"/>
      <c r="BC570" s="116"/>
      <c r="BD570" s="123"/>
      <c r="BE570" s="123"/>
      <c r="BF570" s="123"/>
      <c r="BK570" s="115"/>
      <c r="BL570" s="115"/>
      <c r="BM570" s="115"/>
      <c r="BN570" s="115"/>
      <c r="BO570" s="115"/>
      <c r="BP570" s="115"/>
      <c r="BQ570" s="115"/>
      <c r="BR570" s="115"/>
      <c r="BS570" s="115"/>
      <c r="BT570" s="115"/>
      <c r="BU570" s="25"/>
      <c r="BV570" s="13"/>
      <c r="BY570" s="114"/>
    </row>
    <row r="571" spans="1:77" ht="20.100000000000001" customHeight="1" x14ac:dyDescent="0.4">
      <c r="A571" s="117"/>
      <c r="B571" s="123"/>
      <c r="C571" s="123"/>
      <c r="D571" s="123"/>
      <c r="AL571" s="127"/>
      <c r="AM571" s="127"/>
      <c r="AQ571" s="115"/>
      <c r="AR571" s="115"/>
      <c r="AS571" s="115"/>
      <c r="AT571" s="115"/>
      <c r="AU571" s="115"/>
      <c r="AV571" s="115"/>
      <c r="AW571" s="25">
        <v>45672</v>
      </c>
      <c r="AX571" s="13" t="s">
        <v>146</v>
      </c>
      <c r="BC571" s="116"/>
      <c r="BD571" s="123"/>
      <c r="BE571" s="123"/>
      <c r="BF571" s="123"/>
      <c r="BK571" s="115"/>
      <c r="BL571" s="115"/>
      <c r="BM571" s="115"/>
      <c r="BN571" s="115"/>
      <c r="BO571" s="115"/>
      <c r="BP571" s="115"/>
      <c r="BQ571" s="115"/>
      <c r="BR571" s="115"/>
      <c r="BS571" s="115"/>
      <c r="BT571" s="115"/>
      <c r="BU571" s="25"/>
      <c r="BV571" s="13"/>
      <c r="BY571" s="114"/>
    </row>
    <row r="572" spans="1:77" ht="20.100000000000001" customHeight="1" x14ac:dyDescent="0.4">
      <c r="A572" s="117"/>
      <c r="B572" s="123"/>
      <c r="C572" s="123"/>
      <c r="D572" s="123"/>
      <c r="AG572" s="115"/>
      <c r="AH572" s="115"/>
      <c r="AI572" s="115"/>
      <c r="AJ572" s="115"/>
      <c r="AK572" s="115"/>
      <c r="AL572" s="29"/>
      <c r="AM572" s="29"/>
      <c r="AQ572" s="115"/>
      <c r="AR572" s="115"/>
      <c r="AS572" s="115"/>
      <c r="AT572" s="115"/>
      <c r="AU572" s="115"/>
      <c r="AV572" s="115"/>
      <c r="AW572" s="25"/>
      <c r="AX572" s="13"/>
      <c r="BC572" s="116"/>
      <c r="BD572" s="123"/>
      <c r="BE572" s="123"/>
      <c r="BF572" s="123"/>
      <c r="BK572" s="115"/>
      <c r="BL572" s="115"/>
      <c r="BM572" s="115"/>
      <c r="BN572" s="115"/>
      <c r="BO572" s="115"/>
      <c r="BP572" s="115"/>
      <c r="BQ572" s="115"/>
      <c r="BR572" s="115"/>
      <c r="BS572" s="115"/>
      <c r="BT572" s="115"/>
      <c r="BU572" s="25"/>
      <c r="BV572" s="13"/>
      <c r="BY572" s="114"/>
    </row>
    <row r="573" spans="1:77" ht="20.100000000000001" customHeight="1" x14ac:dyDescent="0.4">
      <c r="A573" s="117"/>
      <c r="B573" s="123"/>
      <c r="C573" s="123"/>
      <c r="D573" s="123"/>
      <c r="AD573" s="115"/>
      <c r="AE573" s="115"/>
      <c r="AF573" s="115"/>
      <c r="AG573" s="115"/>
      <c r="AH573" s="115"/>
      <c r="AI573" s="115"/>
      <c r="AJ573" s="115"/>
      <c r="AK573" s="115"/>
      <c r="AL573" s="127"/>
      <c r="AM573" s="29"/>
      <c r="AQ573" s="115"/>
      <c r="AR573" s="115"/>
      <c r="AS573" s="115"/>
      <c r="AT573" s="115"/>
      <c r="AU573" s="115"/>
      <c r="AV573" s="115"/>
      <c r="AW573" s="25"/>
      <c r="AX573" s="13"/>
      <c r="BC573" s="116"/>
      <c r="BD573" s="123"/>
      <c r="BE573" s="123"/>
      <c r="BF573" s="123"/>
      <c r="BK573" s="115"/>
      <c r="BL573" s="115"/>
      <c r="BM573" s="115"/>
      <c r="BN573" s="115"/>
      <c r="BO573" s="115"/>
      <c r="BP573" s="115"/>
      <c r="BQ573" s="115"/>
      <c r="BR573" s="115"/>
      <c r="BS573" s="115"/>
      <c r="BT573" s="115"/>
      <c r="BU573" s="25"/>
      <c r="BV573" s="13"/>
      <c r="BY573" s="114"/>
    </row>
    <row r="574" spans="1:77" ht="20.100000000000001" customHeight="1" x14ac:dyDescent="0.4">
      <c r="A574" s="117"/>
      <c r="B574" s="123"/>
      <c r="C574" s="123"/>
      <c r="D574" s="123"/>
      <c r="AD574" s="115"/>
      <c r="AE574" s="115"/>
      <c r="AF574" s="115"/>
      <c r="AG574" s="115"/>
      <c r="AH574" s="115"/>
      <c r="AI574" s="115"/>
      <c r="AJ574" s="115"/>
      <c r="AK574" s="115"/>
      <c r="AL574" s="29"/>
      <c r="AM574" s="29"/>
      <c r="AQ574" s="115"/>
      <c r="AR574" s="115"/>
      <c r="AS574" s="115"/>
      <c r="AT574" s="115"/>
      <c r="AU574" s="115"/>
      <c r="AV574" s="115"/>
      <c r="AW574" s="25"/>
      <c r="AX574" s="13"/>
      <c r="BC574" s="116"/>
      <c r="BD574" s="123"/>
      <c r="BE574" s="123"/>
      <c r="BF574" s="123"/>
      <c r="BK574" s="115"/>
      <c r="BL574" s="115"/>
      <c r="BM574" s="115"/>
      <c r="BN574" s="115"/>
      <c r="BO574" s="115"/>
      <c r="BP574" s="115"/>
      <c r="BQ574" s="115"/>
      <c r="BR574" s="115"/>
      <c r="BS574" s="115"/>
      <c r="BT574" s="115"/>
      <c r="BU574" s="25"/>
      <c r="BV574" s="13"/>
      <c r="BY574" s="114"/>
    </row>
    <row r="575" spans="1:77" ht="20.100000000000001" customHeight="1" x14ac:dyDescent="0.4">
      <c r="A575" s="117"/>
      <c r="B575" s="123"/>
      <c r="C575" s="123"/>
      <c r="D575" s="123"/>
      <c r="AC575" s="115"/>
      <c r="AD575" s="115"/>
      <c r="AE575" s="115"/>
      <c r="AF575" s="115"/>
      <c r="AG575" s="115"/>
      <c r="AH575" s="115"/>
      <c r="AI575" s="115"/>
      <c r="AJ575" s="115"/>
      <c r="AK575" s="115"/>
      <c r="AL575" s="127"/>
      <c r="AM575" s="29"/>
      <c r="AQ575" s="115"/>
      <c r="AR575" s="115"/>
      <c r="AS575" s="115"/>
      <c r="AT575" s="115"/>
      <c r="AU575" s="115"/>
      <c r="AV575" s="115"/>
      <c r="AW575" s="25"/>
      <c r="AX575" s="13"/>
      <c r="BC575" s="116"/>
      <c r="BD575" s="123"/>
      <c r="BE575" s="123"/>
      <c r="BF575" s="123"/>
      <c r="BK575" s="115"/>
      <c r="BL575" s="115"/>
      <c r="BM575" s="115"/>
      <c r="BN575" s="115"/>
      <c r="BO575" s="115"/>
      <c r="BP575" s="115"/>
      <c r="BQ575" s="115"/>
      <c r="BR575" s="115"/>
      <c r="BS575" s="115"/>
      <c r="BT575" s="115"/>
      <c r="BU575" s="25"/>
      <c r="BV575" s="13"/>
      <c r="BY575" s="114"/>
    </row>
    <row r="576" spans="1:77" ht="20.100000000000001" customHeight="1" x14ac:dyDescent="0.4">
      <c r="A576" s="117"/>
      <c r="B576" s="123"/>
      <c r="C576" s="123"/>
      <c r="D576" s="123"/>
      <c r="AL576" s="127"/>
      <c r="AM576" s="29"/>
      <c r="AQ576" s="115"/>
      <c r="AR576" s="115"/>
      <c r="AS576" s="115"/>
      <c r="AT576" s="115"/>
      <c r="AU576" s="115"/>
      <c r="AV576" s="115"/>
      <c r="AW576" s="25">
        <v>45672</v>
      </c>
      <c r="AX576" s="13" t="s">
        <v>146</v>
      </c>
      <c r="BC576" s="116"/>
      <c r="BD576" s="123"/>
      <c r="BE576" s="123"/>
      <c r="BF576" s="123"/>
      <c r="BK576" s="115"/>
      <c r="BL576" s="115"/>
      <c r="BM576" s="115"/>
      <c r="BN576" s="115"/>
      <c r="BO576" s="115"/>
      <c r="BP576" s="115"/>
      <c r="BQ576" s="115"/>
      <c r="BR576" s="115"/>
      <c r="BS576" s="115"/>
      <c r="BT576" s="115"/>
      <c r="BU576" s="25"/>
      <c r="BV576" s="13"/>
      <c r="BY576" s="114"/>
    </row>
    <row r="577" spans="1:77" ht="20.100000000000001" customHeight="1" x14ac:dyDescent="0.4">
      <c r="A577" s="117"/>
      <c r="B577" s="123"/>
      <c r="C577" s="123"/>
      <c r="D577" s="123"/>
      <c r="AL577" s="127"/>
      <c r="AM577" s="29"/>
      <c r="AQ577" s="115"/>
      <c r="AR577" s="115"/>
      <c r="AS577" s="115"/>
      <c r="AT577" s="115"/>
      <c r="AU577" s="115"/>
      <c r="AV577" s="115"/>
      <c r="AW577" s="25"/>
      <c r="AX577" s="13"/>
      <c r="BC577" s="116"/>
      <c r="BD577" s="123"/>
      <c r="BE577" s="123"/>
      <c r="BF577" s="123"/>
      <c r="BK577" s="115"/>
      <c r="BL577" s="115"/>
      <c r="BM577" s="115"/>
      <c r="BN577" s="115"/>
      <c r="BO577" s="115"/>
      <c r="BP577" s="115"/>
      <c r="BQ577" s="115"/>
      <c r="BR577" s="115"/>
      <c r="BS577" s="115"/>
      <c r="BT577" s="115"/>
      <c r="BU577" s="25"/>
      <c r="BV577" s="13"/>
      <c r="BY577" s="114"/>
    </row>
    <row r="578" spans="1:77" ht="20.100000000000001" customHeight="1" x14ac:dyDescent="0.4">
      <c r="A578" s="117"/>
      <c r="B578" s="123"/>
      <c r="C578" s="123"/>
      <c r="D578" s="123"/>
      <c r="AG578" s="115"/>
      <c r="AH578" s="115"/>
      <c r="AI578" s="115"/>
      <c r="AJ578" s="115"/>
      <c r="AK578" s="115"/>
      <c r="AL578" s="29"/>
      <c r="AM578" s="29"/>
      <c r="AQ578" s="115"/>
      <c r="AR578" s="115"/>
      <c r="AS578" s="115"/>
      <c r="AT578" s="115"/>
      <c r="AU578" s="115"/>
      <c r="AV578" s="115"/>
      <c r="AW578" s="25"/>
      <c r="AX578" s="13"/>
      <c r="BC578" s="116"/>
      <c r="BD578" s="123"/>
      <c r="BE578" s="123"/>
      <c r="BF578" s="123"/>
      <c r="BK578" s="115"/>
      <c r="BL578" s="115"/>
      <c r="BM578" s="115"/>
      <c r="BN578" s="115"/>
      <c r="BO578" s="115"/>
      <c r="BP578" s="115"/>
      <c r="BQ578" s="115"/>
      <c r="BR578" s="115"/>
      <c r="BS578" s="115"/>
      <c r="BT578" s="115"/>
      <c r="BU578" s="25"/>
      <c r="BV578" s="13"/>
      <c r="BY578" s="114"/>
    </row>
    <row r="579" spans="1:77" ht="20.100000000000001" customHeight="1" x14ac:dyDescent="0.4">
      <c r="A579" s="117"/>
      <c r="B579" s="123"/>
      <c r="C579" s="123"/>
      <c r="D579" s="123"/>
      <c r="AL579" s="127"/>
      <c r="AM579" s="29"/>
      <c r="AQ579" s="115"/>
      <c r="AR579" s="115"/>
      <c r="AS579" s="115"/>
      <c r="AT579" s="115"/>
      <c r="AU579" s="115"/>
      <c r="AV579" s="115"/>
      <c r="AW579" s="25">
        <v>45672</v>
      </c>
      <c r="AX579" s="25" t="s">
        <v>147</v>
      </c>
      <c r="BC579" s="116"/>
      <c r="BD579" s="123"/>
      <c r="BE579" s="123"/>
      <c r="BF579" s="123"/>
      <c r="BK579" s="115"/>
      <c r="BL579" s="115"/>
      <c r="BM579" s="115"/>
      <c r="BN579" s="115"/>
      <c r="BO579" s="115"/>
      <c r="BP579" s="115"/>
      <c r="BQ579" s="115"/>
      <c r="BR579" s="115"/>
      <c r="BS579" s="115"/>
      <c r="BT579" s="115"/>
      <c r="BU579" s="25"/>
      <c r="BV579" s="13"/>
      <c r="BY579" s="114"/>
    </row>
    <row r="580" spans="1:77" ht="20.100000000000001" customHeight="1" x14ac:dyDescent="0.4">
      <c r="A580" s="117"/>
      <c r="B580" s="123"/>
      <c r="C580" s="123"/>
      <c r="D580" s="123"/>
      <c r="AL580" s="127"/>
      <c r="AM580" s="29"/>
      <c r="AQ580" s="115"/>
      <c r="AR580" s="115"/>
      <c r="AS580" s="115"/>
      <c r="AT580" s="115"/>
      <c r="AU580" s="115"/>
      <c r="AV580" s="115"/>
      <c r="AW580" s="25"/>
      <c r="AX580" s="25"/>
      <c r="BC580" s="116"/>
      <c r="BD580" s="123"/>
      <c r="BE580" s="123"/>
      <c r="BF580" s="123"/>
      <c r="BK580" s="115"/>
      <c r="BL580" s="115"/>
      <c r="BM580" s="115"/>
      <c r="BN580" s="115"/>
      <c r="BO580" s="115"/>
      <c r="BP580" s="115"/>
      <c r="BQ580" s="115"/>
      <c r="BR580" s="115"/>
      <c r="BS580" s="115"/>
      <c r="BT580" s="115"/>
      <c r="BU580" s="25"/>
      <c r="BV580" s="13"/>
      <c r="BY580" s="114"/>
    </row>
    <row r="581" spans="1:77" ht="20.100000000000001" customHeight="1" x14ac:dyDescent="0.4">
      <c r="A581" s="117"/>
      <c r="B581" s="123"/>
      <c r="C581" s="123"/>
      <c r="D581" s="123"/>
      <c r="AG581" s="115"/>
      <c r="AH581" s="115"/>
      <c r="AI581" s="115"/>
      <c r="AJ581" s="115"/>
      <c r="AK581" s="115"/>
      <c r="AL581" s="29"/>
      <c r="AM581" s="29"/>
      <c r="AQ581" s="115"/>
      <c r="AR581" s="115"/>
      <c r="AS581" s="115"/>
      <c r="AT581" s="115"/>
      <c r="AU581" s="115"/>
      <c r="AV581" s="115"/>
      <c r="AW581" s="25"/>
      <c r="AX581" s="25"/>
      <c r="BC581" s="116"/>
      <c r="BD581" s="123"/>
      <c r="BE581" s="123"/>
      <c r="BF581" s="123"/>
      <c r="BK581" s="115"/>
      <c r="BL581" s="115"/>
      <c r="BM581" s="115"/>
      <c r="BN581" s="115"/>
      <c r="BO581" s="115"/>
      <c r="BP581" s="115"/>
      <c r="BQ581" s="115"/>
      <c r="BR581" s="115"/>
      <c r="BS581" s="115"/>
      <c r="BT581" s="115"/>
      <c r="BU581" s="25"/>
      <c r="BV581" s="13"/>
      <c r="BY581" s="114"/>
    </row>
    <row r="582" spans="1:77" ht="20.100000000000001" customHeight="1" x14ac:dyDescent="0.4">
      <c r="A582" s="117"/>
      <c r="B582" s="123"/>
      <c r="C582" s="123"/>
      <c r="D582" s="123"/>
      <c r="AG582" s="115"/>
      <c r="AH582" s="115"/>
      <c r="AI582" s="115"/>
      <c r="AJ582" s="115"/>
      <c r="AK582" s="115"/>
      <c r="AL582" s="29"/>
      <c r="AM582" s="29"/>
      <c r="AQ582" s="115"/>
      <c r="AR582" s="115"/>
      <c r="AS582" s="115"/>
      <c r="AT582" s="115"/>
      <c r="AU582" s="115"/>
      <c r="AV582" s="115"/>
      <c r="AW582" s="25"/>
      <c r="AX582" s="25"/>
      <c r="BC582" s="116"/>
      <c r="BD582" s="123"/>
      <c r="BE582" s="123"/>
      <c r="BF582" s="123"/>
      <c r="BK582" s="115"/>
      <c r="BL582" s="115"/>
      <c r="BM582" s="115"/>
      <c r="BN582" s="115"/>
      <c r="BO582" s="115"/>
      <c r="BP582" s="115"/>
      <c r="BQ582" s="115"/>
      <c r="BR582" s="115"/>
      <c r="BS582" s="115"/>
      <c r="BT582" s="115"/>
      <c r="BU582" s="25"/>
      <c r="BV582" s="13"/>
      <c r="BY582" s="114"/>
    </row>
    <row r="583" spans="1:77" ht="20.100000000000001" customHeight="1" x14ac:dyDescent="0.4">
      <c r="A583" s="117"/>
      <c r="B583" s="123"/>
      <c r="C583" s="123"/>
      <c r="D583" s="123"/>
      <c r="AD583" s="115"/>
      <c r="AE583" s="115"/>
      <c r="AF583" s="115"/>
      <c r="AG583" s="115"/>
      <c r="AH583" s="115"/>
      <c r="AI583" s="115"/>
      <c r="AJ583" s="115"/>
      <c r="AK583" s="115"/>
      <c r="AL583" s="127"/>
      <c r="AM583" s="29"/>
      <c r="AQ583" s="115"/>
      <c r="AR583" s="115"/>
      <c r="AS583" s="115"/>
      <c r="AT583" s="115"/>
      <c r="AU583" s="115"/>
      <c r="AV583" s="115"/>
      <c r="AW583" s="25"/>
      <c r="AX583" s="25"/>
      <c r="BC583" s="116"/>
      <c r="BD583" s="123"/>
      <c r="BE583" s="123"/>
      <c r="BF583" s="123"/>
      <c r="BK583" s="115"/>
      <c r="BL583" s="115"/>
      <c r="BM583" s="115"/>
      <c r="BN583" s="115"/>
      <c r="BO583" s="115"/>
      <c r="BP583" s="115"/>
      <c r="BQ583" s="115"/>
      <c r="BR583" s="115"/>
      <c r="BS583" s="115"/>
      <c r="BT583" s="115"/>
      <c r="BU583" s="25"/>
      <c r="BV583" s="13"/>
      <c r="BY583" s="114"/>
    </row>
    <row r="584" spans="1:77" ht="20.100000000000001" customHeight="1" x14ac:dyDescent="0.4">
      <c r="A584" s="117"/>
      <c r="B584" s="123"/>
      <c r="C584" s="123"/>
      <c r="D584" s="123"/>
      <c r="AD584" s="115"/>
      <c r="AE584" s="115"/>
      <c r="AF584" s="115"/>
      <c r="AG584" s="115"/>
      <c r="AH584" s="115"/>
      <c r="AI584" s="115"/>
      <c r="AJ584" s="115"/>
      <c r="AK584" s="115"/>
      <c r="AL584" s="29"/>
      <c r="AM584" s="29"/>
      <c r="AQ584" s="115"/>
      <c r="AR584" s="115"/>
      <c r="AS584" s="115"/>
      <c r="AT584" s="115"/>
      <c r="AU584" s="115"/>
      <c r="AV584" s="115"/>
      <c r="AW584" s="25"/>
      <c r="AX584" s="25"/>
      <c r="BC584" s="116"/>
      <c r="BD584" s="123"/>
      <c r="BE584" s="123"/>
      <c r="BF584" s="123"/>
      <c r="BK584" s="115"/>
      <c r="BL584" s="115"/>
      <c r="BM584" s="115"/>
      <c r="BN584" s="115"/>
      <c r="BO584" s="115"/>
      <c r="BP584" s="115"/>
      <c r="BQ584" s="115"/>
      <c r="BR584" s="115"/>
      <c r="BS584" s="115"/>
      <c r="BT584" s="115"/>
      <c r="BU584" s="25"/>
      <c r="BV584" s="13"/>
      <c r="BY584" s="114"/>
    </row>
    <row r="585" spans="1:77" ht="20.100000000000001" customHeight="1" x14ac:dyDescent="0.4">
      <c r="A585" s="117"/>
      <c r="B585" s="123"/>
      <c r="C585" s="123"/>
      <c r="D585" s="123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27"/>
      <c r="AM585" s="29"/>
      <c r="AQ585" s="115"/>
      <c r="AR585" s="115"/>
      <c r="AS585" s="115"/>
      <c r="AT585" s="115"/>
      <c r="AU585" s="115"/>
      <c r="AV585" s="115"/>
      <c r="AW585" s="25"/>
      <c r="AX585" s="25"/>
      <c r="BC585" s="116"/>
      <c r="BD585" s="123"/>
      <c r="BE585" s="123"/>
      <c r="BF585" s="123"/>
      <c r="BK585" s="115"/>
      <c r="BL585" s="115"/>
      <c r="BM585" s="115"/>
      <c r="BN585" s="115"/>
      <c r="BO585" s="115"/>
      <c r="BP585" s="115"/>
      <c r="BQ585" s="115"/>
      <c r="BR585" s="115"/>
      <c r="BS585" s="115"/>
      <c r="BT585" s="115"/>
      <c r="BU585" s="25"/>
      <c r="BV585" s="13"/>
      <c r="BY585" s="114"/>
    </row>
    <row r="586" spans="1:77" ht="20.100000000000001" customHeight="1" x14ac:dyDescent="0.4">
      <c r="A586" s="117"/>
      <c r="B586" s="123"/>
      <c r="C586" s="123"/>
      <c r="D586" s="123"/>
      <c r="AL586" s="127"/>
      <c r="AM586" s="29"/>
      <c r="AQ586" s="115"/>
      <c r="AR586" s="115"/>
      <c r="AS586" s="115"/>
      <c r="AT586" s="115"/>
      <c r="AU586" s="115"/>
      <c r="AV586" s="115"/>
      <c r="AW586" s="25">
        <v>45673</v>
      </c>
      <c r="AX586" s="13" t="s">
        <v>147</v>
      </c>
      <c r="BC586" s="116"/>
      <c r="BD586" s="123"/>
      <c r="BE586" s="123"/>
      <c r="BF586" s="123"/>
      <c r="BK586" s="115"/>
      <c r="BL586" s="115"/>
      <c r="BM586" s="115"/>
      <c r="BN586" s="115"/>
      <c r="BO586" s="115"/>
      <c r="BP586" s="115"/>
      <c r="BQ586" s="115"/>
      <c r="BR586" s="115"/>
      <c r="BS586" s="115"/>
      <c r="BT586" s="115"/>
      <c r="BU586" s="25"/>
      <c r="BV586" s="13"/>
      <c r="BY586" s="114"/>
    </row>
    <row r="587" spans="1:77" ht="20.100000000000001" customHeight="1" x14ac:dyDescent="0.4">
      <c r="A587" s="117"/>
      <c r="B587" s="123"/>
      <c r="C587" s="123"/>
      <c r="D587" s="123"/>
      <c r="AE587" s="115"/>
      <c r="AF587" s="115"/>
      <c r="AG587" s="115"/>
      <c r="AH587" s="115"/>
      <c r="AI587" s="115"/>
      <c r="AJ587" s="115"/>
      <c r="AK587" s="115"/>
      <c r="AL587" s="127"/>
      <c r="AM587" s="29"/>
      <c r="AQ587" s="115"/>
      <c r="AR587" s="115"/>
      <c r="AS587" s="115"/>
      <c r="AT587" s="115"/>
      <c r="AU587" s="115"/>
      <c r="AV587" s="115"/>
      <c r="AW587" s="25"/>
      <c r="AX587" s="13"/>
      <c r="BC587" s="116"/>
      <c r="BD587" s="123"/>
      <c r="BE587" s="123"/>
      <c r="BF587" s="123"/>
      <c r="BK587" s="115"/>
      <c r="BL587" s="115"/>
      <c r="BM587" s="115"/>
      <c r="BN587" s="115"/>
      <c r="BO587" s="115"/>
      <c r="BP587" s="115"/>
      <c r="BQ587" s="115"/>
      <c r="BR587" s="115"/>
      <c r="BS587" s="115"/>
      <c r="BT587" s="115"/>
      <c r="BU587" s="25"/>
      <c r="BV587" s="13"/>
      <c r="BY587" s="114"/>
    </row>
    <row r="588" spans="1:77" ht="20.100000000000001" customHeight="1" x14ac:dyDescent="0.4">
      <c r="A588" s="117"/>
      <c r="B588" s="123"/>
      <c r="C588" s="123"/>
      <c r="D588" s="123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27"/>
      <c r="AM588" s="29"/>
      <c r="AQ588" s="115"/>
      <c r="AR588" s="115"/>
      <c r="AS588" s="115"/>
      <c r="AT588" s="115"/>
      <c r="AU588" s="115"/>
      <c r="AV588" s="115"/>
      <c r="AW588" s="25"/>
      <c r="AX588" s="13"/>
      <c r="BC588" s="116"/>
      <c r="BD588" s="123"/>
      <c r="BE588" s="123"/>
      <c r="BF588" s="123"/>
      <c r="BK588" s="115"/>
      <c r="BL588" s="115"/>
      <c r="BM588" s="115"/>
      <c r="BN588" s="115"/>
      <c r="BO588" s="115"/>
      <c r="BP588" s="115"/>
      <c r="BQ588" s="115"/>
      <c r="BR588" s="115"/>
      <c r="BS588" s="115"/>
      <c r="BT588" s="115"/>
      <c r="BU588" s="25"/>
      <c r="BV588" s="13"/>
      <c r="BY588" s="114"/>
    </row>
    <row r="589" spans="1:77" ht="20.100000000000001" customHeight="1" x14ac:dyDescent="0.4">
      <c r="A589" s="117"/>
      <c r="B589" s="123"/>
      <c r="C589" s="123"/>
      <c r="D589" s="123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29"/>
      <c r="AM589" s="29"/>
      <c r="AQ589" s="115"/>
      <c r="AR589" s="115"/>
      <c r="AS589" s="115"/>
      <c r="AT589" s="115"/>
      <c r="AU589" s="115"/>
      <c r="AV589" s="115"/>
      <c r="AW589" s="25"/>
      <c r="AX589" s="13"/>
      <c r="BC589" s="116"/>
      <c r="BD589" s="123"/>
      <c r="BE589" s="123"/>
      <c r="BF589" s="123"/>
      <c r="BK589" s="115"/>
      <c r="BL589" s="115"/>
      <c r="BM589" s="115"/>
      <c r="BN589" s="115"/>
      <c r="BO589" s="115"/>
      <c r="BP589" s="115"/>
      <c r="BQ589" s="115"/>
      <c r="BR589" s="115"/>
      <c r="BS589" s="115"/>
      <c r="BT589" s="115"/>
      <c r="BU589" s="25"/>
      <c r="BV589" s="13"/>
      <c r="BY589" s="114"/>
    </row>
    <row r="590" spans="1:77" ht="20.100000000000001" customHeight="1" x14ac:dyDescent="0.4">
      <c r="A590" s="117"/>
      <c r="B590" s="123"/>
      <c r="C590" s="123"/>
      <c r="D590" s="123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27"/>
      <c r="AM590" s="29"/>
      <c r="AQ590" s="115"/>
      <c r="AR590" s="115"/>
      <c r="AS590" s="115"/>
      <c r="AT590" s="115"/>
      <c r="AU590" s="115"/>
      <c r="AV590" s="115"/>
      <c r="AW590" s="25"/>
      <c r="AX590" s="13"/>
      <c r="BC590" s="116"/>
      <c r="BD590" s="123"/>
      <c r="BE590" s="123"/>
      <c r="BF590" s="123"/>
      <c r="BK590" s="115"/>
      <c r="BL590" s="115"/>
      <c r="BM590" s="115"/>
      <c r="BN590" s="115"/>
      <c r="BO590" s="115"/>
      <c r="BP590" s="115"/>
      <c r="BQ590" s="115"/>
      <c r="BR590" s="115"/>
      <c r="BS590" s="115"/>
      <c r="BT590" s="115"/>
      <c r="BU590" s="25"/>
      <c r="BV590" s="13"/>
      <c r="BY590" s="114"/>
    </row>
    <row r="591" spans="1:77" ht="20.100000000000001" customHeight="1" x14ac:dyDescent="0.4">
      <c r="A591" s="117"/>
      <c r="B591" s="123"/>
      <c r="C591" s="123"/>
      <c r="D591" s="123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29"/>
      <c r="AM591" s="29"/>
      <c r="AQ591" s="115"/>
      <c r="AR591" s="115"/>
      <c r="AS591" s="115"/>
      <c r="AT591" s="115"/>
      <c r="AU591" s="115"/>
      <c r="AV591" s="115"/>
      <c r="AW591" s="25"/>
      <c r="AX591" s="13"/>
      <c r="BC591" s="116"/>
      <c r="BD591" s="123"/>
      <c r="BE591" s="123"/>
      <c r="BF591" s="123"/>
      <c r="BK591" s="115"/>
      <c r="BL591" s="115"/>
      <c r="BM591" s="115"/>
      <c r="BN591" s="115"/>
      <c r="BO591" s="115"/>
      <c r="BP591" s="115"/>
      <c r="BQ591" s="115"/>
      <c r="BR591" s="115"/>
      <c r="BS591" s="115"/>
      <c r="BT591" s="115"/>
      <c r="BU591" s="25"/>
      <c r="BV591" s="13"/>
      <c r="BY591" s="114"/>
    </row>
    <row r="592" spans="1:77" ht="20.100000000000001" customHeight="1" x14ac:dyDescent="0.4">
      <c r="A592" s="117"/>
      <c r="B592" s="123"/>
      <c r="C592" s="123"/>
      <c r="D592" s="123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27"/>
      <c r="AM592" s="29"/>
      <c r="AQ592" s="115"/>
      <c r="AR592" s="115"/>
      <c r="AS592" s="115"/>
      <c r="AT592" s="115"/>
      <c r="AU592" s="115"/>
      <c r="AV592" s="115"/>
      <c r="AW592" s="25"/>
      <c r="AX592" s="13"/>
      <c r="BC592" s="116"/>
      <c r="BD592" s="123"/>
      <c r="BE592" s="123"/>
      <c r="BF592" s="123"/>
      <c r="BK592" s="115"/>
      <c r="BL592" s="115"/>
      <c r="BM592" s="115"/>
      <c r="BN592" s="115"/>
      <c r="BO592" s="115"/>
      <c r="BP592" s="115"/>
      <c r="BQ592" s="115"/>
      <c r="BR592" s="115"/>
      <c r="BS592" s="115"/>
      <c r="BT592" s="115"/>
      <c r="BU592" s="25"/>
      <c r="BV592" s="13"/>
      <c r="BY592" s="114"/>
    </row>
    <row r="593" spans="1:77" ht="20.100000000000001" customHeight="1" x14ac:dyDescent="0.4">
      <c r="A593" s="117"/>
      <c r="B593" s="123"/>
      <c r="C593" s="123"/>
      <c r="D593" s="123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29"/>
      <c r="AM593" s="29"/>
      <c r="AQ593" s="115"/>
      <c r="AR593" s="115"/>
      <c r="AS593" s="115"/>
      <c r="AT593" s="115"/>
      <c r="AU593" s="115"/>
      <c r="AV593" s="115"/>
      <c r="AW593" s="25"/>
      <c r="AX593" s="13"/>
      <c r="BC593" s="116"/>
      <c r="BD593" s="123"/>
      <c r="BE593" s="123"/>
      <c r="BF593" s="123"/>
      <c r="BK593" s="115"/>
      <c r="BL593" s="115"/>
      <c r="BM593" s="115"/>
      <c r="BN593" s="115"/>
      <c r="BO593" s="115"/>
      <c r="BP593" s="115"/>
      <c r="BQ593" s="115"/>
      <c r="BR593" s="115"/>
      <c r="BS593" s="115"/>
      <c r="BT593" s="115"/>
      <c r="BU593" s="25"/>
      <c r="BV593" s="13"/>
      <c r="BY593" s="114"/>
    </row>
    <row r="594" spans="1:77" ht="20.100000000000001" customHeight="1" x14ac:dyDescent="0.4">
      <c r="A594" s="117"/>
      <c r="B594" s="123"/>
      <c r="C594" s="123"/>
      <c r="D594" s="123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27"/>
      <c r="AM594" s="127"/>
      <c r="AQ594" s="115"/>
      <c r="AR594" s="115"/>
      <c r="AS594" s="115"/>
      <c r="AT594" s="115"/>
      <c r="AU594" s="115"/>
      <c r="AV594" s="115"/>
      <c r="AW594" s="25"/>
      <c r="AX594" s="13"/>
      <c r="BC594" s="116"/>
      <c r="BD594" s="123"/>
      <c r="BE594" s="123"/>
      <c r="BF594" s="123"/>
      <c r="BK594" s="115"/>
      <c r="BL594" s="115"/>
      <c r="BM594" s="115"/>
      <c r="BN594" s="115"/>
      <c r="BO594" s="115"/>
      <c r="BP594" s="115"/>
      <c r="BQ594" s="115"/>
      <c r="BR594" s="115"/>
      <c r="BS594" s="115"/>
      <c r="BT594" s="115"/>
      <c r="BU594" s="25"/>
      <c r="BV594" s="13"/>
      <c r="BY594" s="114"/>
    </row>
    <row r="595" spans="1:77" ht="20.100000000000001" customHeight="1" x14ac:dyDescent="0.4">
      <c r="A595" s="117"/>
      <c r="B595" s="123"/>
      <c r="C595" s="123"/>
      <c r="D595" s="123"/>
      <c r="AL595" s="127"/>
      <c r="AM595" s="127"/>
      <c r="AQ595" s="115"/>
      <c r="AR595" s="115"/>
      <c r="AS595" s="115"/>
      <c r="AT595" s="115"/>
      <c r="AU595" s="115"/>
      <c r="AV595" s="115"/>
      <c r="AW595" s="25">
        <v>45673</v>
      </c>
      <c r="AX595" s="13" t="s">
        <v>147</v>
      </c>
      <c r="BC595" s="116"/>
      <c r="BD595" s="123"/>
      <c r="BE595" s="123"/>
      <c r="BF595" s="123"/>
      <c r="BK595" s="115"/>
      <c r="BL595" s="115"/>
      <c r="BM595" s="115"/>
      <c r="BN595" s="115"/>
      <c r="BO595" s="115"/>
      <c r="BP595" s="115"/>
      <c r="BQ595" s="115"/>
      <c r="BR595" s="115"/>
      <c r="BS595" s="115"/>
      <c r="BT595" s="115"/>
      <c r="BU595" s="25"/>
      <c r="BV595" s="13"/>
      <c r="BY595" s="114"/>
    </row>
    <row r="596" spans="1:77" ht="20.100000000000001" customHeight="1" x14ac:dyDescent="0.4">
      <c r="A596" s="117"/>
      <c r="B596" s="123"/>
      <c r="C596" s="123"/>
      <c r="D596" s="123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27"/>
      <c r="AM596" s="29"/>
      <c r="AQ596" s="115"/>
      <c r="AR596" s="115"/>
      <c r="AS596" s="115"/>
      <c r="AT596" s="115"/>
      <c r="AU596" s="115"/>
      <c r="AV596" s="115"/>
      <c r="AW596" s="25"/>
      <c r="AX596" s="13"/>
      <c r="BC596" s="116"/>
      <c r="BD596" s="123"/>
      <c r="BE596" s="123"/>
      <c r="BF596" s="123"/>
      <c r="BK596" s="115"/>
      <c r="BL596" s="115"/>
      <c r="BM596" s="115"/>
      <c r="BN596" s="115"/>
      <c r="BO596" s="115"/>
      <c r="BP596" s="115"/>
      <c r="BQ596" s="115"/>
      <c r="BR596" s="115"/>
      <c r="BS596" s="115"/>
      <c r="BT596" s="115"/>
      <c r="BU596" s="25"/>
      <c r="BV596" s="13"/>
      <c r="BY596" s="114"/>
    </row>
    <row r="597" spans="1:77" ht="20.100000000000001" customHeight="1" x14ac:dyDescent="0.4">
      <c r="A597" s="117"/>
      <c r="B597" s="123"/>
      <c r="C597" s="123"/>
      <c r="D597" s="123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27"/>
      <c r="AM597" s="29"/>
      <c r="AQ597" s="115"/>
      <c r="AR597" s="115"/>
      <c r="AS597" s="115"/>
      <c r="AT597" s="115"/>
      <c r="AU597" s="115"/>
      <c r="AV597" s="115"/>
      <c r="AW597" s="25"/>
      <c r="AX597" s="13"/>
      <c r="BC597" s="116"/>
      <c r="BD597" s="123"/>
      <c r="BE597" s="123"/>
      <c r="BF597" s="123"/>
      <c r="BK597" s="115"/>
      <c r="BL597" s="115"/>
      <c r="BM597" s="115"/>
      <c r="BN597" s="115"/>
      <c r="BO597" s="115"/>
      <c r="BP597" s="115"/>
      <c r="BQ597" s="115"/>
      <c r="BR597" s="115"/>
      <c r="BS597" s="115"/>
      <c r="BT597" s="115"/>
      <c r="BU597" s="25"/>
      <c r="BV597" s="13"/>
      <c r="BY597" s="114"/>
    </row>
    <row r="598" spans="1:77" ht="20.100000000000001" customHeight="1" x14ac:dyDescent="0.4">
      <c r="A598" s="117"/>
      <c r="B598" s="123"/>
      <c r="C598" s="123"/>
      <c r="D598" s="123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27"/>
      <c r="AM598" s="29"/>
      <c r="AQ598" s="115"/>
      <c r="AR598" s="115"/>
      <c r="AS598" s="115"/>
      <c r="AT598" s="115"/>
      <c r="AU598" s="115"/>
      <c r="AV598" s="115"/>
      <c r="AW598" s="25"/>
      <c r="AX598" s="13"/>
      <c r="BC598" s="116"/>
      <c r="BD598" s="123"/>
      <c r="BE598" s="123"/>
      <c r="BF598" s="123"/>
      <c r="BK598" s="115"/>
      <c r="BL598" s="115"/>
      <c r="BM598" s="115"/>
      <c r="BN598" s="115"/>
      <c r="BO598" s="115"/>
      <c r="BP598" s="115"/>
      <c r="BQ598" s="115"/>
      <c r="BR598" s="115"/>
      <c r="BS598" s="115"/>
      <c r="BT598" s="115"/>
      <c r="BU598" s="25"/>
      <c r="BV598" s="13"/>
      <c r="BY598" s="114"/>
    </row>
    <row r="599" spans="1:77" ht="20.100000000000001" customHeight="1" x14ac:dyDescent="0.4">
      <c r="A599" s="117"/>
      <c r="B599" s="123"/>
      <c r="C599" s="123"/>
      <c r="D599" s="123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15"/>
      <c r="AL599" s="127"/>
      <c r="AM599" s="29"/>
      <c r="AQ599" s="115"/>
      <c r="AR599" s="115"/>
      <c r="AS599" s="115"/>
      <c r="AT599" s="115"/>
      <c r="AU599" s="115"/>
      <c r="AV599" s="115"/>
      <c r="AW599" s="25"/>
      <c r="AX599" s="13"/>
      <c r="BC599" s="116"/>
      <c r="BD599" s="123"/>
      <c r="BE599" s="123"/>
      <c r="BF599" s="123"/>
      <c r="BK599" s="115"/>
      <c r="BL599" s="115"/>
      <c r="BM599" s="115"/>
      <c r="BN599" s="115"/>
      <c r="BO599" s="115"/>
      <c r="BP599" s="115"/>
      <c r="BQ599" s="115"/>
      <c r="BR599" s="115"/>
      <c r="BS599" s="115"/>
      <c r="BT599" s="115"/>
      <c r="BU599" s="25"/>
      <c r="BV599" s="13"/>
      <c r="BY599" s="114"/>
    </row>
    <row r="600" spans="1:77" ht="20.100000000000001" customHeight="1" x14ac:dyDescent="0.4">
      <c r="A600" s="117"/>
      <c r="B600" s="123"/>
      <c r="C600" s="123"/>
      <c r="D600" s="123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15"/>
      <c r="AL600" s="29"/>
      <c r="AM600" s="29"/>
      <c r="AQ600" s="115"/>
      <c r="AR600" s="115"/>
      <c r="AS600" s="115"/>
      <c r="AT600" s="115"/>
      <c r="AU600" s="115"/>
      <c r="AV600" s="115"/>
      <c r="AW600" s="25"/>
      <c r="AX600" s="13"/>
      <c r="BC600" s="116"/>
      <c r="BD600" s="123"/>
      <c r="BE600" s="123"/>
      <c r="BF600" s="123"/>
      <c r="BK600" s="115"/>
      <c r="BL600" s="115"/>
      <c r="BM600" s="115"/>
      <c r="BN600" s="115"/>
      <c r="BO600" s="115"/>
      <c r="BP600" s="115"/>
      <c r="BQ600" s="115"/>
      <c r="BR600" s="115"/>
      <c r="BS600" s="115"/>
      <c r="BT600" s="115"/>
      <c r="BU600" s="25"/>
      <c r="BV600" s="13"/>
      <c r="BY600" s="114"/>
    </row>
    <row r="601" spans="1:77" ht="20.100000000000001" customHeight="1" x14ac:dyDescent="0.4">
      <c r="A601" s="117"/>
      <c r="B601" s="123"/>
      <c r="C601" s="123"/>
      <c r="D601" s="123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15"/>
      <c r="AL601" s="29"/>
      <c r="AM601" s="29"/>
      <c r="AQ601" s="115"/>
      <c r="AR601" s="115"/>
      <c r="AS601" s="115"/>
      <c r="AT601" s="115"/>
      <c r="AU601" s="115"/>
      <c r="AV601" s="115"/>
      <c r="AW601" s="25"/>
      <c r="AX601" s="13"/>
      <c r="BC601" s="116"/>
      <c r="BD601" s="123"/>
      <c r="BE601" s="123"/>
      <c r="BF601" s="123"/>
      <c r="BK601" s="115"/>
      <c r="BL601" s="115"/>
      <c r="BM601" s="115"/>
      <c r="BN601" s="115"/>
      <c r="BO601" s="115"/>
      <c r="BP601" s="115"/>
      <c r="BQ601" s="115"/>
      <c r="BR601" s="115"/>
      <c r="BS601" s="115"/>
      <c r="BT601" s="115"/>
      <c r="BU601" s="25"/>
      <c r="BV601" s="13"/>
      <c r="BY601" s="114"/>
    </row>
    <row r="602" spans="1:77" ht="20.100000000000001" customHeight="1" x14ac:dyDescent="0.4">
      <c r="A602" s="117"/>
      <c r="B602" s="123"/>
      <c r="C602" s="123"/>
      <c r="D602" s="123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15"/>
      <c r="AL602" s="127"/>
      <c r="AM602" s="29"/>
      <c r="AQ602" s="115"/>
      <c r="AR602" s="115"/>
      <c r="AS602" s="115"/>
      <c r="AT602" s="115"/>
      <c r="AU602" s="115"/>
      <c r="AV602" s="115"/>
      <c r="AW602" s="25"/>
      <c r="AX602" s="13"/>
      <c r="BC602" s="116"/>
      <c r="BD602" s="123"/>
      <c r="BE602" s="123"/>
      <c r="BF602" s="123"/>
      <c r="BK602" s="115"/>
      <c r="BL602" s="115"/>
      <c r="BM602" s="115"/>
      <c r="BN602" s="115"/>
      <c r="BO602" s="115"/>
      <c r="BP602" s="115"/>
      <c r="BQ602" s="115"/>
      <c r="BR602" s="115"/>
      <c r="BS602" s="115"/>
      <c r="BT602" s="115"/>
      <c r="BU602" s="25"/>
      <c r="BV602" s="13"/>
      <c r="BY602" s="114"/>
    </row>
    <row r="603" spans="1:77" ht="20.100000000000001" customHeight="1" x14ac:dyDescent="0.4">
      <c r="A603" s="117"/>
      <c r="B603" s="123"/>
      <c r="C603" s="123"/>
      <c r="D603" s="123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15"/>
      <c r="AL603" s="127"/>
      <c r="AM603" s="29"/>
      <c r="AQ603" s="115"/>
      <c r="AR603" s="115"/>
      <c r="AS603" s="115"/>
      <c r="AT603" s="115"/>
      <c r="AU603" s="115"/>
      <c r="AV603" s="115"/>
      <c r="AW603" s="25"/>
      <c r="AX603" s="13"/>
      <c r="BC603" s="116"/>
      <c r="BD603" s="123"/>
      <c r="BE603" s="123"/>
      <c r="BF603" s="123"/>
      <c r="BK603" s="115"/>
      <c r="BL603" s="115"/>
      <c r="BM603" s="115"/>
      <c r="BN603" s="115"/>
      <c r="BO603" s="115"/>
      <c r="BP603" s="115"/>
      <c r="BQ603" s="115"/>
      <c r="BR603" s="115"/>
      <c r="BS603" s="115"/>
      <c r="BT603" s="115"/>
      <c r="BU603" s="25"/>
      <c r="BV603" s="13"/>
      <c r="BY603" s="114"/>
    </row>
    <row r="604" spans="1:77" ht="20.100000000000001" customHeight="1" x14ac:dyDescent="0.4">
      <c r="A604" s="117"/>
      <c r="B604" s="123"/>
      <c r="C604" s="123"/>
      <c r="D604" s="123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15"/>
      <c r="AL604" s="127"/>
      <c r="AM604" s="29"/>
      <c r="AQ604" s="115"/>
      <c r="AR604" s="115"/>
      <c r="AS604" s="115"/>
      <c r="AT604" s="115"/>
      <c r="AU604" s="115"/>
      <c r="AV604" s="115"/>
      <c r="AW604" s="25"/>
      <c r="AX604" s="13"/>
      <c r="BC604" s="116"/>
      <c r="BD604" s="123"/>
      <c r="BE604" s="123"/>
      <c r="BF604" s="123"/>
      <c r="BK604" s="115"/>
      <c r="BL604" s="115"/>
      <c r="BM604" s="115"/>
      <c r="BN604" s="115"/>
      <c r="BO604" s="115"/>
      <c r="BP604" s="115"/>
      <c r="BQ604" s="115"/>
      <c r="BR604" s="115"/>
      <c r="BS604" s="115"/>
      <c r="BT604" s="115"/>
      <c r="BU604" s="25"/>
      <c r="BV604" s="13"/>
      <c r="BY604" s="114"/>
    </row>
    <row r="605" spans="1:77" ht="20.100000000000001" customHeight="1" x14ac:dyDescent="0.4">
      <c r="A605" s="117"/>
      <c r="B605" s="123"/>
      <c r="C605" s="123"/>
      <c r="D605" s="123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15"/>
      <c r="AL605" s="127"/>
      <c r="AM605" s="29"/>
      <c r="AQ605" s="115"/>
      <c r="AR605" s="115"/>
      <c r="AS605" s="115"/>
      <c r="AT605" s="115"/>
      <c r="AU605" s="115"/>
      <c r="AV605" s="115"/>
      <c r="AW605" s="25"/>
      <c r="AX605" s="13"/>
      <c r="BC605" s="116"/>
      <c r="BD605" s="123"/>
      <c r="BE605" s="123"/>
      <c r="BF605" s="123"/>
      <c r="BK605" s="115"/>
      <c r="BL605" s="115"/>
      <c r="BM605" s="115"/>
      <c r="BN605" s="115"/>
      <c r="BO605" s="115"/>
      <c r="BP605" s="115"/>
      <c r="BQ605" s="115"/>
      <c r="BR605" s="115"/>
      <c r="BS605" s="115"/>
      <c r="BT605" s="115"/>
      <c r="BU605" s="25"/>
      <c r="BV605" s="13"/>
      <c r="BY605" s="114"/>
    </row>
    <row r="606" spans="1:77" ht="20.100000000000001" customHeight="1" x14ac:dyDescent="0.4">
      <c r="A606" s="117"/>
      <c r="B606" s="123"/>
      <c r="C606" s="123"/>
      <c r="D606" s="123"/>
      <c r="AL606" s="127"/>
      <c r="AM606" s="29"/>
      <c r="AO606" s="115"/>
      <c r="AP606" s="115"/>
      <c r="AQ606" s="115"/>
      <c r="AR606" s="115"/>
      <c r="AS606" s="115"/>
      <c r="AT606" s="115"/>
      <c r="AU606" s="115"/>
      <c r="AV606" s="115"/>
      <c r="AW606" s="25">
        <v>45673</v>
      </c>
      <c r="AX606" s="13" t="s">
        <v>148</v>
      </c>
      <c r="BC606" s="116"/>
      <c r="BD606" s="123"/>
      <c r="BE606" s="123"/>
      <c r="BF606" s="123"/>
      <c r="BK606" s="115"/>
      <c r="BL606" s="115"/>
      <c r="BM606" s="115"/>
      <c r="BN606" s="115"/>
      <c r="BO606" s="115"/>
      <c r="BP606" s="115"/>
      <c r="BQ606" s="115"/>
      <c r="BR606" s="115"/>
      <c r="BS606" s="115"/>
      <c r="BT606" s="115"/>
      <c r="BU606" s="25"/>
      <c r="BV606" s="13"/>
      <c r="BY606" s="114"/>
    </row>
    <row r="607" spans="1:77" ht="20.100000000000001" customHeight="1" x14ac:dyDescent="0.4">
      <c r="A607" s="117"/>
      <c r="B607" s="123"/>
      <c r="C607" s="123"/>
      <c r="D607" s="123"/>
      <c r="AE607" s="115"/>
      <c r="AF607" s="115"/>
      <c r="AG607" s="115"/>
      <c r="AH607" s="115"/>
      <c r="AI607" s="115"/>
      <c r="AJ607" s="115"/>
      <c r="AK607" s="115"/>
      <c r="AL607" s="29"/>
      <c r="AM607" s="29"/>
      <c r="AO607" s="115"/>
      <c r="AP607" s="115"/>
      <c r="AQ607" s="115"/>
      <c r="AR607" s="115"/>
      <c r="AS607" s="115"/>
      <c r="AT607" s="115"/>
      <c r="AU607" s="115"/>
      <c r="AV607" s="115"/>
      <c r="AW607" s="25"/>
      <c r="AX607" s="13"/>
      <c r="BC607" s="116"/>
      <c r="BD607" s="123"/>
      <c r="BE607" s="123"/>
      <c r="BF607" s="123"/>
      <c r="BK607" s="115"/>
      <c r="BL607" s="115"/>
      <c r="BM607" s="115"/>
      <c r="BN607" s="115"/>
      <c r="BO607" s="115"/>
      <c r="BP607" s="115"/>
      <c r="BQ607" s="115"/>
      <c r="BR607" s="115"/>
      <c r="BS607" s="115"/>
      <c r="BT607" s="115"/>
      <c r="BU607" s="25"/>
      <c r="BV607" s="13"/>
      <c r="BY607" s="114"/>
    </row>
    <row r="608" spans="1:77" ht="20.100000000000001" customHeight="1" x14ac:dyDescent="0.4">
      <c r="A608" s="117"/>
      <c r="B608" s="123"/>
      <c r="C608" s="123"/>
      <c r="D608" s="123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15"/>
      <c r="AL608" s="127"/>
      <c r="AM608" s="29"/>
      <c r="AO608" s="115"/>
      <c r="AP608" s="115"/>
      <c r="AQ608" s="115"/>
      <c r="AR608" s="115"/>
      <c r="AS608" s="115"/>
      <c r="AT608" s="115"/>
      <c r="AU608" s="115"/>
      <c r="AV608" s="115"/>
      <c r="AW608" s="25"/>
      <c r="AX608" s="13"/>
      <c r="BC608" s="116"/>
      <c r="BD608" s="123"/>
      <c r="BE608" s="123"/>
      <c r="BF608" s="123"/>
      <c r="BK608" s="115"/>
      <c r="BL608" s="115"/>
      <c r="BM608" s="115"/>
      <c r="BN608" s="115"/>
      <c r="BO608" s="115"/>
      <c r="BP608" s="115"/>
      <c r="BQ608" s="115"/>
      <c r="BR608" s="115"/>
      <c r="BS608" s="115"/>
      <c r="BT608" s="115"/>
      <c r="BU608" s="25"/>
      <c r="BV608" s="13"/>
      <c r="BY608" s="114"/>
    </row>
    <row r="609" spans="1:77" ht="20.100000000000001" customHeight="1" x14ac:dyDescent="0.4">
      <c r="A609" s="117"/>
      <c r="B609" s="123"/>
      <c r="C609" s="123"/>
      <c r="D609" s="123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  <c r="AK609" s="115"/>
      <c r="AL609" s="127"/>
      <c r="AM609" s="29"/>
      <c r="AO609" s="115"/>
      <c r="AP609" s="115"/>
      <c r="AQ609" s="115"/>
      <c r="AR609" s="115"/>
      <c r="AS609" s="115"/>
      <c r="AT609" s="115"/>
      <c r="AU609" s="115"/>
      <c r="AV609" s="115"/>
      <c r="AW609" s="25"/>
      <c r="AX609" s="13"/>
      <c r="BC609" s="116"/>
      <c r="BD609" s="123"/>
      <c r="BE609" s="123"/>
      <c r="BF609" s="123"/>
      <c r="BK609" s="115"/>
      <c r="BL609" s="115"/>
      <c r="BM609" s="115"/>
      <c r="BN609" s="115"/>
      <c r="BO609" s="115"/>
      <c r="BP609" s="115"/>
      <c r="BQ609" s="115"/>
      <c r="BR609" s="115"/>
      <c r="BS609" s="115"/>
      <c r="BT609" s="115"/>
      <c r="BU609" s="25"/>
      <c r="BV609" s="13"/>
      <c r="BY609" s="114"/>
    </row>
    <row r="610" spans="1:77" ht="20.100000000000001" customHeight="1" x14ac:dyDescent="0.4">
      <c r="A610" s="117"/>
      <c r="B610" s="123"/>
      <c r="C610" s="123"/>
      <c r="D610" s="123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  <c r="AK610" s="115"/>
      <c r="AL610" s="127"/>
      <c r="AM610" s="29"/>
      <c r="AO610" s="115"/>
      <c r="AP610" s="115"/>
      <c r="AQ610" s="115"/>
      <c r="AR610" s="115"/>
      <c r="AS610" s="115"/>
      <c r="AT610" s="115"/>
      <c r="AU610" s="115"/>
      <c r="AV610" s="115"/>
      <c r="AW610" s="25"/>
      <c r="AX610" s="13"/>
      <c r="BC610" s="116"/>
      <c r="BD610" s="123"/>
      <c r="BE610" s="123"/>
      <c r="BF610" s="123"/>
      <c r="BK610" s="115"/>
      <c r="BL610" s="115"/>
      <c r="BM610" s="115"/>
      <c r="BN610" s="115"/>
      <c r="BO610" s="115"/>
      <c r="BP610" s="115"/>
      <c r="BQ610" s="115"/>
      <c r="BR610" s="115"/>
      <c r="BS610" s="115"/>
      <c r="BT610" s="115"/>
      <c r="BU610" s="25"/>
      <c r="BV610" s="13"/>
      <c r="BY610" s="114"/>
    </row>
    <row r="611" spans="1:77" ht="20.100000000000001" customHeight="1" x14ac:dyDescent="0.4">
      <c r="A611" s="117"/>
      <c r="B611" s="123"/>
      <c r="C611" s="123"/>
      <c r="D611" s="123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  <c r="AK611" s="115"/>
      <c r="AL611" s="127"/>
      <c r="AM611" s="29"/>
      <c r="AO611" s="115"/>
      <c r="AP611" s="115"/>
      <c r="AQ611" s="115"/>
      <c r="AR611" s="115"/>
      <c r="AS611" s="115"/>
      <c r="AT611" s="115"/>
      <c r="AU611" s="115"/>
      <c r="AV611" s="115"/>
      <c r="AW611" s="25"/>
      <c r="AX611" s="13"/>
      <c r="BC611" s="116"/>
      <c r="BD611" s="123"/>
      <c r="BE611" s="123"/>
      <c r="BF611" s="123"/>
      <c r="BK611" s="115"/>
      <c r="BL611" s="115"/>
      <c r="BM611" s="115"/>
      <c r="BN611" s="115"/>
      <c r="BO611" s="115"/>
      <c r="BP611" s="115"/>
      <c r="BQ611" s="115"/>
      <c r="BR611" s="115"/>
      <c r="BS611" s="115"/>
      <c r="BT611" s="115"/>
      <c r="BU611" s="25"/>
      <c r="BV611" s="13"/>
      <c r="BY611" s="114"/>
    </row>
    <row r="612" spans="1:77" ht="20.100000000000001" customHeight="1" x14ac:dyDescent="0.4">
      <c r="A612" s="117"/>
      <c r="B612" s="123"/>
      <c r="C612" s="123"/>
      <c r="D612" s="123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15"/>
      <c r="AL612" s="29"/>
      <c r="AM612" s="29"/>
      <c r="AO612" s="115"/>
      <c r="AP612" s="115"/>
      <c r="AQ612" s="115"/>
      <c r="AR612" s="115"/>
      <c r="AS612" s="115"/>
      <c r="AT612" s="115"/>
      <c r="AU612" s="115"/>
      <c r="AV612" s="115"/>
      <c r="AW612" s="25"/>
      <c r="AX612" s="13"/>
      <c r="BC612" s="116"/>
      <c r="BD612" s="123"/>
      <c r="BE612" s="123"/>
      <c r="BF612" s="123"/>
      <c r="BK612" s="115"/>
      <c r="BL612" s="115"/>
      <c r="BM612" s="115"/>
      <c r="BN612" s="115"/>
      <c r="BO612" s="115"/>
      <c r="BP612" s="115"/>
      <c r="BQ612" s="115"/>
      <c r="BR612" s="115"/>
      <c r="BS612" s="115"/>
      <c r="BT612" s="115"/>
      <c r="BU612" s="25"/>
      <c r="BV612" s="13"/>
      <c r="BY612" s="114"/>
    </row>
    <row r="613" spans="1:77" ht="20.100000000000001" customHeight="1" x14ac:dyDescent="0.4">
      <c r="A613" s="117"/>
      <c r="B613" s="123"/>
      <c r="C613" s="123"/>
      <c r="D613" s="123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15"/>
      <c r="AL613" s="127"/>
      <c r="AM613" s="29"/>
      <c r="AO613" s="115"/>
      <c r="AP613" s="115"/>
      <c r="AQ613" s="115"/>
      <c r="AR613" s="115"/>
      <c r="AS613" s="115"/>
      <c r="AT613" s="115"/>
      <c r="AU613" s="115"/>
      <c r="AV613" s="115"/>
      <c r="AW613" s="25"/>
      <c r="AX613" s="13"/>
      <c r="BC613" s="116"/>
      <c r="BD613" s="123"/>
      <c r="BE613" s="123"/>
      <c r="BF613" s="123"/>
      <c r="BK613" s="115"/>
      <c r="BL613" s="115"/>
      <c r="BM613" s="115"/>
      <c r="BN613" s="115"/>
      <c r="BO613" s="115"/>
      <c r="BP613" s="115"/>
      <c r="BQ613" s="115"/>
      <c r="BR613" s="115"/>
      <c r="BS613" s="115"/>
      <c r="BT613" s="115"/>
      <c r="BU613" s="25"/>
      <c r="BV613" s="13"/>
      <c r="BY613" s="114"/>
    </row>
    <row r="614" spans="1:77" ht="20.100000000000001" customHeight="1" x14ac:dyDescent="0.4">
      <c r="A614" s="117"/>
      <c r="B614" s="123"/>
      <c r="C614" s="123"/>
      <c r="D614" s="123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15"/>
      <c r="AL614" s="127"/>
      <c r="AM614" s="29"/>
      <c r="AO614" s="115"/>
      <c r="AP614" s="115"/>
      <c r="AQ614" s="115"/>
      <c r="AR614" s="115"/>
      <c r="AS614" s="115"/>
      <c r="AT614" s="115"/>
      <c r="AU614" s="115"/>
      <c r="AV614" s="115"/>
      <c r="AW614" s="25"/>
      <c r="AX614" s="13"/>
      <c r="BC614" s="116"/>
      <c r="BD614" s="123"/>
      <c r="BE614" s="123"/>
      <c r="BF614" s="123"/>
      <c r="BK614" s="115"/>
      <c r="BL614" s="115"/>
      <c r="BM614" s="115"/>
      <c r="BN614" s="115"/>
      <c r="BO614" s="115"/>
      <c r="BP614" s="115"/>
      <c r="BQ614" s="115"/>
      <c r="BR614" s="115"/>
      <c r="BS614" s="115"/>
      <c r="BT614" s="115"/>
      <c r="BU614" s="25"/>
      <c r="BV614" s="13"/>
      <c r="BY614" s="114"/>
    </row>
    <row r="615" spans="1:77" ht="20.100000000000001" customHeight="1" x14ac:dyDescent="0.4">
      <c r="A615" s="117"/>
      <c r="B615" s="123"/>
      <c r="C615" s="123"/>
      <c r="D615" s="123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15"/>
      <c r="AL615" s="127"/>
      <c r="AM615" s="29"/>
      <c r="AO615" s="115"/>
      <c r="AP615" s="115"/>
      <c r="AQ615" s="115"/>
      <c r="AR615" s="115"/>
      <c r="AS615" s="115"/>
      <c r="AT615" s="115"/>
      <c r="AU615" s="115"/>
      <c r="AV615" s="115"/>
      <c r="AW615" s="25"/>
      <c r="AX615" s="13"/>
      <c r="BC615" s="116"/>
      <c r="BD615" s="123"/>
      <c r="BE615" s="123"/>
      <c r="BF615" s="123"/>
      <c r="BK615" s="115"/>
      <c r="BL615" s="115"/>
      <c r="BM615" s="115"/>
      <c r="BN615" s="115"/>
      <c r="BO615" s="115"/>
      <c r="BP615" s="115"/>
      <c r="BQ615" s="115"/>
      <c r="BR615" s="115"/>
      <c r="BS615" s="115"/>
      <c r="BT615" s="115"/>
      <c r="BU615" s="25"/>
      <c r="BV615" s="13"/>
      <c r="BY615" s="114"/>
    </row>
    <row r="616" spans="1:77" ht="20.100000000000001" customHeight="1" x14ac:dyDescent="0.4">
      <c r="A616" s="117"/>
      <c r="B616" s="123"/>
      <c r="C616" s="123"/>
      <c r="D616" s="123"/>
      <c r="AL616" s="127"/>
      <c r="AM616" s="29"/>
      <c r="AO616" s="115"/>
      <c r="AP616" s="115"/>
      <c r="AQ616" s="115"/>
      <c r="AR616" s="115"/>
      <c r="AS616" s="115"/>
      <c r="AT616" s="115"/>
      <c r="AU616" s="115"/>
      <c r="AV616" s="115"/>
      <c r="AW616" s="25">
        <v>45673</v>
      </c>
      <c r="AX616" s="13" t="s">
        <v>147</v>
      </c>
      <c r="BC616" s="116"/>
      <c r="BD616" s="123"/>
      <c r="BE616" s="123"/>
      <c r="BF616" s="123"/>
      <c r="BK616" s="115"/>
      <c r="BL616" s="115"/>
      <c r="BM616" s="115"/>
      <c r="BN616" s="115"/>
      <c r="BO616" s="115"/>
      <c r="BP616" s="115"/>
      <c r="BQ616" s="115"/>
      <c r="BR616" s="115"/>
      <c r="BS616" s="115"/>
      <c r="BT616" s="115"/>
      <c r="BU616" s="25"/>
      <c r="BV616" s="13"/>
      <c r="BY616" s="114"/>
    </row>
    <row r="617" spans="1:77" ht="20.100000000000001" customHeight="1" x14ac:dyDescent="0.4">
      <c r="A617" s="117"/>
      <c r="B617" s="123"/>
      <c r="C617" s="123"/>
      <c r="D617" s="123"/>
      <c r="AE617" s="115"/>
      <c r="AF617" s="115"/>
      <c r="AG617" s="115"/>
      <c r="AH617" s="115"/>
      <c r="AI617" s="115"/>
      <c r="AJ617" s="115"/>
      <c r="AK617" s="115"/>
      <c r="AL617" s="29"/>
      <c r="AM617" s="29"/>
      <c r="AO617" s="115"/>
      <c r="AP617" s="115"/>
      <c r="AQ617" s="115"/>
      <c r="AR617" s="115"/>
      <c r="AS617" s="115"/>
      <c r="AT617" s="115"/>
      <c r="AU617" s="115"/>
      <c r="AV617" s="115"/>
      <c r="AW617" s="25"/>
      <c r="AX617" s="13"/>
      <c r="BC617" s="116"/>
      <c r="BD617" s="123"/>
      <c r="BE617" s="123"/>
      <c r="BF617" s="123"/>
      <c r="BK617" s="115"/>
      <c r="BL617" s="115"/>
      <c r="BM617" s="115"/>
      <c r="BN617" s="115"/>
      <c r="BO617" s="115"/>
      <c r="BP617" s="115"/>
      <c r="BQ617" s="115"/>
      <c r="BR617" s="115"/>
      <c r="BS617" s="115"/>
      <c r="BT617" s="115"/>
      <c r="BU617" s="25"/>
      <c r="BV617" s="13"/>
      <c r="BY617" s="114"/>
    </row>
    <row r="618" spans="1:77" ht="20.100000000000001" customHeight="1" x14ac:dyDescent="0.4">
      <c r="A618" s="117"/>
      <c r="B618" s="123"/>
      <c r="C618" s="123"/>
      <c r="D618" s="123"/>
      <c r="AL618" s="127"/>
      <c r="AM618" s="29"/>
      <c r="AO618" s="115"/>
      <c r="AP618" s="115"/>
      <c r="AQ618" s="115"/>
      <c r="AR618" s="115"/>
      <c r="AS618" s="115"/>
      <c r="AT618" s="115"/>
      <c r="AU618" s="115"/>
      <c r="AV618" s="115"/>
      <c r="AW618" s="25"/>
      <c r="AX618" s="13"/>
      <c r="BC618" s="116"/>
      <c r="BD618" s="123"/>
      <c r="BE618" s="123"/>
      <c r="BF618" s="123"/>
      <c r="BK618" s="115"/>
      <c r="BL618" s="115"/>
      <c r="BM618" s="115"/>
      <c r="BN618" s="115"/>
      <c r="BO618" s="115"/>
      <c r="BP618" s="115"/>
      <c r="BQ618" s="115"/>
      <c r="BR618" s="115"/>
      <c r="BS618" s="115"/>
      <c r="BT618" s="115"/>
      <c r="BU618" s="25"/>
      <c r="BV618" s="13"/>
      <c r="BY618" s="114"/>
    </row>
    <row r="619" spans="1:77" ht="20.100000000000001" customHeight="1" x14ac:dyDescent="0.4">
      <c r="A619" s="117"/>
      <c r="B619" s="123"/>
      <c r="C619" s="123"/>
      <c r="D619" s="123"/>
      <c r="AE619" s="115"/>
      <c r="AF619" s="115"/>
      <c r="AG619" s="115"/>
      <c r="AH619" s="115"/>
      <c r="AI619" s="115"/>
      <c r="AJ619" s="115"/>
      <c r="AK619" s="115"/>
      <c r="AL619" s="29"/>
      <c r="AM619" s="29"/>
      <c r="AO619" s="115"/>
      <c r="AP619" s="115"/>
      <c r="AQ619" s="115"/>
      <c r="AR619" s="115"/>
      <c r="AS619" s="115"/>
      <c r="AT619" s="115"/>
      <c r="AU619" s="115"/>
      <c r="AV619" s="115"/>
      <c r="AW619" s="25"/>
      <c r="AX619" s="13"/>
      <c r="BC619" s="116"/>
      <c r="BD619" s="123"/>
      <c r="BE619" s="123"/>
      <c r="BF619" s="123"/>
      <c r="BK619" s="115"/>
      <c r="BL619" s="115"/>
      <c r="BM619" s="115"/>
      <c r="BN619" s="115"/>
      <c r="BO619" s="115"/>
      <c r="BP619" s="115"/>
      <c r="BQ619" s="115"/>
      <c r="BR619" s="115"/>
      <c r="BS619" s="115"/>
      <c r="BT619" s="115"/>
      <c r="BU619" s="25"/>
      <c r="BV619" s="13"/>
      <c r="BY619" s="114"/>
    </row>
    <row r="620" spans="1:77" ht="20.100000000000001" customHeight="1" x14ac:dyDescent="0.4">
      <c r="A620" s="117"/>
      <c r="B620" s="123"/>
      <c r="C620" s="123"/>
      <c r="D620" s="123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27"/>
      <c r="AM620" s="29"/>
      <c r="AO620" s="115"/>
      <c r="AP620" s="115"/>
      <c r="AQ620" s="115"/>
      <c r="AR620" s="115"/>
      <c r="AS620" s="115"/>
      <c r="AT620" s="115"/>
      <c r="AU620" s="115"/>
      <c r="AV620" s="115"/>
      <c r="AW620" s="25"/>
      <c r="AX620" s="13"/>
      <c r="BC620" s="116"/>
      <c r="BD620" s="123"/>
      <c r="BE620" s="123"/>
      <c r="BF620" s="123"/>
      <c r="BK620" s="115"/>
      <c r="BL620" s="115"/>
      <c r="BM620" s="115"/>
      <c r="BN620" s="115"/>
      <c r="BO620" s="115"/>
      <c r="BP620" s="115"/>
      <c r="BQ620" s="115"/>
      <c r="BR620" s="115"/>
      <c r="BS620" s="115"/>
      <c r="BT620" s="115"/>
      <c r="BU620" s="25"/>
      <c r="BV620" s="13"/>
      <c r="BY620" s="114"/>
    </row>
    <row r="621" spans="1:77" ht="20.100000000000001" customHeight="1" x14ac:dyDescent="0.4">
      <c r="A621" s="117"/>
      <c r="B621" s="123"/>
      <c r="C621" s="123"/>
      <c r="D621" s="123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29"/>
      <c r="AM621" s="29"/>
      <c r="AO621" s="115"/>
      <c r="AP621" s="115"/>
      <c r="AQ621" s="115"/>
      <c r="AR621" s="115"/>
      <c r="AS621" s="115"/>
      <c r="AT621" s="115"/>
      <c r="AU621" s="115"/>
      <c r="AV621" s="115"/>
      <c r="AW621" s="25"/>
      <c r="AX621" s="13"/>
      <c r="BC621" s="116"/>
      <c r="BD621" s="123"/>
      <c r="BE621" s="123"/>
      <c r="BF621" s="123"/>
      <c r="BK621" s="115"/>
      <c r="BL621" s="115"/>
      <c r="BM621" s="115"/>
      <c r="BN621" s="115"/>
      <c r="BO621" s="115"/>
      <c r="BP621" s="115"/>
      <c r="BQ621" s="115"/>
      <c r="BR621" s="115"/>
      <c r="BS621" s="115"/>
      <c r="BT621" s="115"/>
      <c r="BU621" s="25"/>
      <c r="BV621" s="13"/>
      <c r="BY621" s="114"/>
    </row>
    <row r="622" spans="1:77" ht="20.100000000000001" customHeight="1" x14ac:dyDescent="0.4">
      <c r="A622" s="117"/>
      <c r="B622" s="123"/>
      <c r="C622" s="123"/>
      <c r="D622" s="123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29"/>
      <c r="AM622" s="29"/>
      <c r="AO622" s="115"/>
      <c r="AP622" s="115"/>
      <c r="AQ622" s="115"/>
      <c r="AR622" s="115"/>
      <c r="AS622" s="115"/>
      <c r="AT622" s="115"/>
      <c r="AU622" s="115"/>
      <c r="AV622" s="115"/>
      <c r="AW622" s="25"/>
      <c r="AX622" s="13"/>
      <c r="BC622" s="116"/>
      <c r="BD622" s="123"/>
      <c r="BE622" s="123"/>
      <c r="BF622" s="123"/>
      <c r="BK622" s="115"/>
      <c r="BL622" s="115"/>
      <c r="BM622" s="115"/>
      <c r="BN622" s="115"/>
      <c r="BO622" s="115"/>
      <c r="BP622" s="115"/>
      <c r="BQ622" s="115"/>
      <c r="BR622" s="115"/>
      <c r="BS622" s="115"/>
      <c r="BT622" s="115"/>
      <c r="BU622" s="25"/>
      <c r="BV622" s="13"/>
      <c r="BY622" s="114"/>
    </row>
    <row r="623" spans="1:77" ht="20.100000000000001" customHeight="1" x14ac:dyDescent="0.4">
      <c r="A623" s="117"/>
      <c r="B623" s="123"/>
      <c r="C623" s="123"/>
      <c r="D623" s="123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  <c r="AK623" s="115"/>
      <c r="AL623" s="29"/>
      <c r="AM623" s="29"/>
      <c r="AO623" s="115"/>
      <c r="AP623" s="115"/>
      <c r="AQ623" s="115"/>
      <c r="AR623" s="115"/>
      <c r="AS623" s="115"/>
      <c r="AT623" s="115"/>
      <c r="AU623" s="115"/>
      <c r="AV623" s="115"/>
      <c r="AW623" s="25"/>
      <c r="AX623" s="13"/>
      <c r="BC623" s="116"/>
      <c r="BD623" s="123"/>
      <c r="BE623" s="123"/>
      <c r="BF623" s="123"/>
      <c r="BK623" s="115"/>
      <c r="BL623" s="115"/>
      <c r="BM623" s="115"/>
      <c r="BN623" s="115"/>
      <c r="BO623" s="115"/>
      <c r="BP623" s="115"/>
      <c r="BQ623" s="115"/>
      <c r="BR623" s="115"/>
      <c r="BS623" s="115"/>
      <c r="BT623" s="115"/>
      <c r="BU623" s="25"/>
      <c r="BV623" s="13"/>
      <c r="BY623" s="114"/>
    </row>
    <row r="624" spans="1:77" ht="20.100000000000001" customHeight="1" x14ac:dyDescent="0.4">
      <c r="A624" s="117"/>
      <c r="B624" s="123"/>
      <c r="C624" s="123"/>
      <c r="D624" s="123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27"/>
      <c r="AM624" s="29"/>
      <c r="AO624" s="115"/>
      <c r="AP624" s="115"/>
      <c r="AQ624" s="115"/>
      <c r="AR624" s="115"/>
      <c r="AS624" s="115"/>
      <c r="AT624" s="115"/>
      <c r="AU624" s="115"/>
      <c r="AV624" s="115"/>
      <c r="AW624" s="25"/>
      <c r="AX624" s="13"/>
      <c r="BC624" s="116"/>
      <c r="BD624" s="123"/>
      <c r="BE624" s="123"/>
      <c r="BF624" s="123"/>
      <c r="BK624" s="115"/>
      <c r="BL624" s="115"/>
      <c r="BM624" s="115"/>
      <c r="BN624" s="115"/>
      <c r="BO624" s="115"/>
      <c r="BP624" s="115"/>
      <c r="BQ624" s="115"/>
      <c r="BR624" s="115"/>
      <c r="BS624" s="115"/>
      <c r="BT624" s="115"/>
      <c r="BU624" s="25"/>
      <c r="BV624" s="13"/>
      <c r="BY624" s="114"/>
    </row>
    <row r="625" spans="1:77" ht="20.100000000000001" customHeight="1" x14ac:dyDescent="0.4">
      <c r="A625" s="117"/>
      <c r="B625" s="123"/>
      <c r="C625" s="123"/>
      <c r="D625" s="123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29"/>
      <c r="AM625" s="29"/>
      <c r="AO625" s="115"/>
      <c r="AP625" s="115"/>
      <c r="AQ625" s="115"/>
      <c r="AR625" s="115"/>
      <c r="AS625" s="115"/>
      <c r="AT625" s="115"/>
      <c r="AU625" s="115"/>
      <c r="AV625" s="115"/>
      <c r="AW625" s="25"/>
      <c r="AX625" s="13"/>
      <c r="BC625" s="116"/>
      <c r="BD625" s="123"/>
      <c r="BE625" s="123"/>
      <c r="BF625" s="123"/>
      <c r="BK625" s="115"/>
      <c r="BL625" s="115"/>
      <c r="BM625" s="115"/>
      <c r="BN625" s="115"/>
      <c r="BO625" s="115"/>
      <c r="BP625" s="115"/>
      <c r="BQ625" s="115"/>
      <c r="BR625" s="115"/>
      <c r="BS625" s="115"/>
      <c r="BT625" s="115"/>
      <c r="BU625" s="25"/>
      <c r="BV625" s="13"/>
      <c r="BY625" s="114"/>
    </row>
    <row r="626" spans="1:77" ht="20.100000000000001" customHeight="1" x14ac:dyDescent="0.4">
      <c r="A626" s="117"/>
      <c r="B626" s="123"/>
      <c r="C626" s="123"/>
      <c r="D626" s="123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27"/>
      <c r="AM626" s="29"/>
      <c r="AO626" s="115"/>
      <c r="AP626" s="115"/>
      <c r="AQ626" s="115"/>
      <c r="AR626" s="115"/>
      <c r="AS626" s="115"/>
      <c r="AT626" s="115"/>
      <c r="AU626" s="115"/>
      <c r="AV626" s="115"/>
      <c r="AW626" s="25"/>
      <c r="AX626" s="13"/>
      <c r="BC626" s="116"/>
      <c r="BD626" s="123"/>
      <c r="BE626" s="123"/>
      <c r="BF626" s="123"/>
      <c r="BK626" s="115"/>
      <c r="BL626" s="115"/>
      <c r="BM626" s="115"/>
      <c r="BN626" s="115"/>
      <c r="BO626" s="115"/>
      <c r="BP626" s="115"/>
      <c r="BQ626" s="115"/>
      <c r="BR626" s="115"/>
      <c r="BS626" s="115"/>
      <c r="BT626" s="115"/>
      <c r="BU626" s="25"/>
      <c r="BV626" s="13"/>
      <c r="BY626" s="114"/>
    </row>
    <row r="627" spans="1:77" ht="20.100000000000001" customHeight="1" x14ac:dyDescent="0.4">
      <c r="A627" s="117"/>
      <c r="B627" s="123"/>
      <c r="C627" s="123"/>
      <c r="D627" s="123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27"/>
      <c r="AM627" s="29"/>
      <c r="AO627" s="115"/>
      <c r="AP627" s="115"/>
      <c r="AQ627" s="115"/>
      <c r="AR627" s="115"/>
      <c r="AS627" s="115"/>
      <c r="AT627" s="115"/>
      <c r="AU627" s="115"/>
      <c r="AV627" s="115"/>
      <c r="AW627" s="25"/>
      <c r="AX627" s="13"/>
      <c r="BC627" s="116"/>
      <c r="BD627" s="123"/>
      <c r="BE627" s="123"/>
      <c r="BF627" s="123"/>
      <c r="BK627" s="115"/>
      <c r="BL627" s="115"/>
      <c r="BM627" s="115"/>
      <c r="BN627" s="115"/>
      <c r="BO627" s="115"/>
      <c r="BP627" s="115"/>
      <c r="BQ627" s="115"/>
      <c r="BR627" s="115"/>
      <c r="BS627" s="115"/>
      <c r="BT627" s="115"/>
      <c r="BU627" s="25"/>
      <c r="BV627" s="13"/>
      <c r="BY627" s="114"/>
    </row>
    <row r="628" spans="1:77" ht="20.100000000000001" customHeight="1" x14ac:dyDescent="0.4">
      <c r="A628" s="117"/>
      <c r="B628" s="123"/>
      <c r="C628" s="123"/>
      <c r="D628" s="123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27"/>
      <c r="AM628" s="29"/>
      <c r="AO628" s="115"/>
      <c r="AP628" s="115"/>
      <c r="AQ628" s="115"/>
      <c r="AR628" s="115"/>
      <c r="AS628" s="115"/>
      <c r="AT628" s="115"/>
      <c r="AU628" s="115"/>
      <c r="AV628" s="115"/>
      <c r="AW628" s="25"/>
      <c r="AX628" s="13"/>
      <c r="BC628" s="116"/>
      <c r="BD628" s="123"/>
      <c r="BE628" s="123"/>
      <c r="BF628" s="123"/>
      <c r="BK628" s="115"/>
      <c r="BL628" s="115"/>
      <c r="BM628" s="115"/>
      <c r="BN628" s="115"/>
      <c r="BO628" s="115"/>
      <c r="BP628" s="115"/>
      <c r="BQ628" s="115"/>
      <c r="BR628" s="115"/>
      <c r="BS628" s="115"/>
      <c r="BT628" s="115"/>
      <c r="BU628" s="25"/>
      <c r="BV628" s="13"/>
      <c r="BY628" s="114"/>
    </row>
    <row r="629" spans="1:77" ht="20.100000000000001" customHeight="1" x14ac:dyDescent="0.4">
      <c r="A629" s="117"/>
      <c r="B629" s="123"/>
      <c r="C629" s="123"/>
      <c r="D629" s="123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27"/>
      <c r="AM629" s="29"/>
      <c r="AO629" s="115"/>
      <c r="AP629" s="115"/>
      <c r="AQ629" s="115"/>
      <c r="AR629" s="115"/>
      <c r="AS629" s="115"/>
      <c r="AT629" s="115"/>
      <c r="AU629" s="115"/>
      <c r="AV629" s="115"/>
      <c r="AW629" s="25"/>
      <c r="AX629" s="13"/>
      <c r="BC629" s="116"/>
      <c r="BD629" s="123"/>
      <c r="BE629" s="123"/>
      <c r="BF629" s="123"/>
      <c r="BK629" s="115"/>
      <c r="BL629" s="115"/>
      <c r="BM629" s="115"/>
      <c r="BN629" s="115"/>
      <c r="BO629" s="115"/>
      <c r="BP629" s="115"/>
      <c r="BQ629" s="115"/>
      <c r="BR629" s="115"/>
      <c r="BS629" s="115"/>
      <c r="BT629" s="115"/>
      <c r="BU629" s="25"/>
      <c r="BV629" s="13"/>
      <c r="BY629" s="114"/>
    </row>
    <row r="630" spans="1:77" ht="20.100000000000001" customHeight="1" x14ac:dyDescent="0.4">
      <c r="A630" s="117"/>
      <c r="B630" s="123"/>
      <c r="C630" s="123"/>
      <c r="D630" s="123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27"/>
      <c r="AM630" s="29"/>
      <c r="AO630" s="115"/>
      <c r="AP630" s="115"/>
      <c r="AQ630" s="115"/>
      <c r="AR630" s="115"/>
      <c r="AS630" s="115"/>
      <c r="AT630" s="115"/>
      <c r="AU630" s="115"/>
      <c r="AV630" s="115"/>
      <c r="AW630" s="25"/>
      <c r="AX630" s="13"/>
      <c r="BC630" s="116"/>
      <c r="BD630" s="123"/>
      <c r="BE630" s="123"/>
      <c r="BF630" s="123"/>
      <c r="BK630" s="115"/>
      <c r="BL630" s="115"/>
      <c r="BM630" s="115"/>
      <c r="BN630" s="115"/>
      <c r="BO630" s="115"/>
      <c r="BP630" s="115"/>
      <c r="BQ630" s="115"/>
      <c r="BR630" s="115"/>
      <c r="BS630" s="115"/>
      <c r="BT630" s="115"/>
      <c r="BU630" s="25"/>
      <c r="BV630" s="13"/>
      <c r="BY630" s="114"/>
    </row>
    <row r="631" spans="1:77" ht="20.100000000000001" customHeight="1" x14ac:dyDescent="0.4">
      <c r="A631" s="117"/>
      <c r="B631" s="123"/>
      <c r="C631" s="123"/>
      <c r="D631" s="123"/>
      <c r="AL631" s="127"/>
      <c r="AM631" s="29"/>
      <c r="AO631" s="115"/>
      <c r="AP631" s="115"/>
      <c r="AQ631" s="115"/>
      <c r="AR631" s="115"/>
      <c r="AS631" s="115"/>
      <c r="AT631" s="115"/>
      <c r="AU631" s="115"/>
      <c r="AV631" s="115"/>
      <c r="AW631" s="25">
        <v>45673</v>
      </c>
      <c r="AX631" s="13" t="s">
        <v>147</v>
      </c>
      <c r="BC631" s="116"/>
      <c r="BD631" s="123"/>
      <c r="BE631" s="123"/>
      <c r="BF631" s="123"/>
      <c r="BK631" s="115"/>
      <c r="BL631" s="115"/>
      <c r="BM631" s="115"/>
      <c r="BN631" s="115"/>
      <c r="BO631" s="115"/>
      <c r="BP631" s="115"/>
      <c r="BQ631" s="115"/>
      <c r="BR631" s="115"/>
      <c r="BS631" s="115"/>
      <c r="BT631" s="115"/>
      <c r="BU631" s="25"/>
      <c r="BV631" s="13"/>
      <c r="BY631" s="114"/>
    </row>
    <row r="632" spans="1:77" ht="20.100000000000001" customHeight="1" x14ac:dyDescent="0.4">
      <c r="A632" s="117"/>
      <c r="B632" s="123"/>
      <c r="C632" s="123"/>
      <c r="D632" s="123"/>
      <c r="AL632" s="127"/>
      <c r="AM632" s="29"/>
      <c r="AO632" s="115"/>
      <c r="AP632" s="115"/>
      <c r="AQ632" s="115"/>
      <c r="AR632" s="115"/>
      <c r="AS632" s="115"/>
      <c r="AT632" s="115"/>
      <c r="AU632" s="115"/>
      <c r="AV632" s="115"/>
      <c r="AW632" s="25">
        <v>45673</v>
      </c>
      <c r="AX632" s="13" t="s">
        <v>147</v>
      </c>
      <c r="BC632" s="116"/>
      <c r="BD632" s="123"/>
      <c r="BE632" s="123"/>
      <c r="BF632" s="123"/>
      <c r="BK632" s="115"/>
      <c r="BL632" s="115"/>
      <c r="BM632" s="115"/>
      <c r="BN632" s="115"/>
      <c r="BO632" s="115"/>
      <c r="BP632" s="115"/>
      <c r="BQ632" s="115"/>
      <c r="BR632" s="115"/>
      <c r="BS632" s="115"/>
      <c r="BT632" s="115"/>
      <c r="BU632" s="25"/>
      <c r="BV632" s="13"/>
      <c r="BY632" s="114"/>
    </row>
    <row r="633" spans="1:77" ht="20.100000000000001" customHeight="1" x14ac:dyDescent="0.4">
      <c r="A633" s="117"/>
      <c r="B633" s="123"/>
      <c r="C633" s="123"/>
      <c r="D633" s="123"/>
      <c r="AL633" s="127"/>
      <c r="AM633" s="29"/>
      <c r="AO633" s="115"/>
      <c r="AP633" s="115"/>
      <c r="AQ633" s="115"/>
      <c r="AR633" s="115"/>
      <c r="AS633" s="115"/>
      <c r="AT633" s="115"/>
      <c r="AU633" s="115"/>
      <c r="AV633" s="115"/>
      <c r="AW633" s="25">
        <v>45675</v>
      </c>
      <c r="AX633" s="13" t="s">
        <v>147</v>
      </c>
      <c r="BC633" s="116"/>
      <c r="BD633" s="123"/>
      <c r="BE633" s="123"/>
      <c r="BF633" s="123"/>
      <c r="BK633" s="115"/>
      <c r="BL633" s="115"/>
      <c r="BM633" s="115"/>
      <c r="BN633" s="115"/>
      <c r="BO633" s="115"/>
      <c r="BP633" s="115"/>
      <c r="BQ633" s="115"/>
      <c r="BR633" s="115"/>
      <c r="BS633" s="115"/>
      <c r="BT633" s="115"/>
      <c r="BU633" s="25"/>
      <c r="BV633" s="13"/>
      <c r="BY633" s="114"/>
    </row>
    <row r="634" spans="1:77" ht="20.100000000000001" customHeight="1" x14ac:dyDescent="0.4">
      <c r="A634" s="117"/>
      <c r="B634" s="123"/>
      <c r="C634" s="123"/>
      <c r="D634" s="123"/>
      <c r="AL634" s="127"/>
      <c r="AM634" s="29"/>
      <c r="AO634" s="115"/>
      <c r="AP634" s="115"/>
      <c r="AQ634" s="115"/>
      <c r="AR634" s="115"/>
      <c r="AS634" s="115"/>
      <c r="AT634" s="115"/>
      <c r="AU634" s="115"/>
      <c r="AV634" s="115"/>
      <c r="AW634" s="25"/>
      <c r="AX634" s="13"/>
      <c r="BC634" s="116"/>
      <c r="BD634" s="123"/>
      <c r="BE634" s="123"/>
      <c r="BF634" s="123"/>
      <c r="BK634" s="115"/>
      <c r="BL634" s="115"/>
      <c r="BM634" s="115"/>
      <c r="BN634" s="115"/>
      <c r="BO634" s="115"/>
      <c r="BP634" s="115"/>
      <c r="BQ634" s="115"/>
      <c r="BR634" s="115"/>
      <c r="BS634" s="115"/>
      <c r="BT634" s="115"/>
      <c r="BU634" s="25"/>
      <c r="BV634" s="13"/>
      <c r="BY634" s="114"/>
    </row>
    <row r="635" spans="1:77" ht="20.100000000000001" customHeight="1" x14ac:dyDescent="0.4">
      <c r="A635" s="117"/>
      <c r="B635" s="123"/>
      <c r="C635" s="123"/>
      <c r="D635" s="123"/>
      <c r="AC635" s="115"/>
      <c r="AD635" s="115"/>
      <c r="AE635" s="115"/>
      <c r="AF635" s="115"/>
      <c r="AG635" s="115"/>
      <c r="AH635" s="115"/>
      <c r="AI635" s="115"/>
      <c r="AJ635" s="115"/>
      <c r="AK635" s="115"/>
      <c r="AL635" s="127"/>
      <c r="AM635" s="29"/>
      <c r="AO635" s="115"/>
      <c r="AP635" s="115"/>
      <c r="AQ635" s="115"/>
      <c r="AR635" s="115"/>
      <c r="AS635" s="115"/>
      <c r="AT635" s="115"/>
      <c r="AU635" s="115"/>
      <c r="AV635" s="115"/>
      <c r="AW635" s="25"/>
      <c r="AX635" s="13"/>
      <c r="BC635" s="116"/>
      <c r="BD635" s="123"/>
      <c r="BE635" s="123"/>
      <c r="BF635" s="123"/>
      <c r="BK635" s="115"/>
      <c r="BL635" s="115"/>
      <c r="BM635" s="115"/>
      <c r="BN635" s="115"/>
      <c r="BO635" s="115"/>
      <c r="BP635" s="115"/>
      <c r="BQ635" s="115"/>
      <c r="BR635" s="115"/>
      <c r="BS635" s="115"/>
      <c r="BT635" s="115"/>
      <c r="BU635" s="25"/>
      <c r="BV635" s="13"/>
      <c r="BY635" s="114"/>
    </row>
    <row r="636" spans="1:77" ht="20.100000000000001" customHeight="1" x14ac:dyDescent="0.4">
      <c r="A636" s="117"/>
      <c r="B636" s="123"/>
      <c r="C636" s="123"/>
      <c r="D636" s="123"/>
      <c r="AL636" s="127"/>
      <c r="AM636" s="29"/>
      <c r="AO636" s="115"/>
      <c r="AP636" s="115"/>
      <c r="AQ636" s="115"/>
      <c r="AR636" s="115"/>
      <c r="AS636" s="115"/>
      <c r="AT636" s="115"/>
      <c r="AU636" s="115"/>
      <c r="AV636" s="115"/>
      <c r="AW636" s="25">
        <v>45675</v>
      </c>
      <c r="AX636" s="15" t="s">
        <v>147</v>
      </c>
      <c r="BC636" s="116"/>
      <c r="BD636" s="123"/>
      <c r="BE636" s="123"/>
      <c r="BF636" s="123"/>
      <c r="BK636" s="115"/>
      <c r="BL636" s="115"/>
      <c r="BM636" s="115"/>
      <c r="BN636" s="115"/>
      <c r="BO636" s="115"/>
      <c r="BP636" s="115"/>
      <c r="BQ636" s="115"/>
      <c r="BR636" s="115"/>
      <c r="BS636" s="115"/>
      <c r="BT636" s="115"/>
      <c r="BU636" s="25"/>
      <c r="BV636" s="13"/>
      <c r="BY636" s="114"/>
    </row>
    <row r="637" spans="1:77" ht="20.100000000000001" customHeight="1" x14ac:dyDescent="0.4">
      <c r="A637" s="117"/>
      <c r="B637" s="123"/>
      <c r="C637" s="123"/>
      <c r="D637" s="123"/>
      <c r="AL637" s="127"/>
      <c r="AM637" s="29"/>
      <c r="AO637" s="115"/>
      <c r="AP637" s="115"/>
      <c r="AQ637" s="115"/>
      <c r="AR637" s="115"/>
      <c r="AS637" s="115"/>
      <c r="AT637" s="115"/>
      <c r="AU637" s="115"/>
      <c r="AV637" s="115"/>
      <c r="AW637" s="25"/>
      <c r="AX637" s="13"/>
      <c r="BC637" s="116"/>
      <c r="BD637" s="123"/>
      <c r="BE637" s="123"/>
      <c r="BF637" s="123"/>
      <c r="BK637" s="115"/>
      <c r="BL637" s="115"/>
      <c r="BM637" s="115"/>
      <c r="BN637" s="115"/>
      <c r="BO637" s="115"/>
      <c r="BP637" s="115"/>
      <c r="BQ637" s="115"/>
      <c r="BR637" s="115"/>
      <c r="BS637" s="115"/>
      <c r="BT637" s="115"/>
      <c r="BU637" s="25"/>
      <c r="BV637" s="13"/>
      <c r="BY637" s="114"/>
    </row>
    <row r="638" spans="1:77" ht="20.100000000000001" customHeight="1" x14ac:dyDescent="0.4">
      <c r="A638" s="117"/>
      <c r="B638" s="123"/>
      <c r="C638" s="123"/>
      <c r="D638" s="123"/>
      <c r="AL638" s="127"/>
      <c r="AM638" s="29"/>
      <c r="AO638" s="115"/>
      <c r="AP638" s="115"/>
      <c r="AQ638" s="115"/>
      <c r="AR638" s="115"/>
      <c r="AS638" s="115"/>
      <c r="AT638" s="115"/>
      <c r="AU638" s="115"/>
      <c r="AV638" s="115"/>
      <c r="AW638" s="25">
        <v>45675</v>
      </c>
      <c r="AX638" s="13" t="s">
        <v>147</v>
      </c>
      <c r="BC638" s="116"/>
      <c r="BD638" s="123"/>
      <c r="BE638" s="123"/>
      <c r="BF638" s="123"/>
      <c r="BK638" s="115"/>
      <c r="BL638" s="115"/>
      <c r="BM638" s="115"/>
      <c r="BN638" s="115"/>
      <c r="BO638" s="115"/>
      <c r="BP638" s="115"/>
      <c r="BQ638" s="115"/>
      <c r="BR638" s="115"/>
      <c r="BS638" s="115"/>
      <c r="BT638" s="115"/>
      <c r="BU638" s="25"/>
      <c r="BV638" s="13"/>
      <c r="BY638" s="114"/>
    </row>
    <row r="639" spans="1:77" ht="20.100000000000001" customHeight="1" x14ac:dyDescent="0.4">
      <c r="A639" s="117"/>
      <c r="B639" s="123"/>
      <c r="C639" s="123"/>
      <c r="D639" s="123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27"/>
      <c r="AM639" s="29"/>
      <c r="AO639" s="115"/>
      <c r="AP639" s="115"/>
      <c r="AQ639" s="115"/>
      <c r="AR639" s="115"/>
      <c r="AS639" s="115"/>
      <c r="AT639" s="115"/>
      <c r="AU639" s="115"/>
      <c r="AV639" s="115"/>
      <c r="AW639" s="25"/>
      <c r="AX639" s="13"/>
      <c r="BC639" s="116"/>
      <c r="BD639" s="123"/>
      <c r="BE639" s="123"/>
      <c r="BF639" s="123"/>
      <c r="BK639" s="115"/>
      <c r="BL639" s="115"/>
      <c r="BM639" s="115"/>
      <c r="BN639" s="115"/>
      <c r="BO639" s="115"/>
      <c r="BP639" s="115"/>
      <c r="BQ639" s="115"/>
      <c r="BR639" s="115"/>
      <c r="BS639" s="115"/>
      <c r="BT639" s="115"/>
      <c r="BU639" s="25"/>
      <c r="BV639" s="13"/>
      <c r="BY639" s="114"/>
    </row>
    <row r="640" spans="1:77" ht="20.100000000000001" customHeight="1" x14ac:dyDescent="0.4">
      <c r="A640" s="117"/>
      <c r="B640" s="123"/>
      <c r="C640" s="123"/>
      <c r="D640" s="123"/>
      <c r="AL640" s="127"/>
      <c r="AM640" s="29"/>
      <c r="AO640" s="115"/>
      <c r="AP640" s="115"/>
      <c r="AQ640" s="115"/>
      <c r="AR640" s="115"/>
      <c r="AS640" s="115"/>
      <c r="AT640" s="115"/>
      <c r="AU640" s="115"/>
      <c r="AV640" s="115"/>
      <c r="AW640" s="25"/>
      <c r="AX640" s="13"/>
      <c r="BC640" s="116"/>
      <c r="BD640" s="123"/>
      <c r="BE640" s="123"/>
      <c r="BF640" s="123"/>
      <c r="BK640" s="115"/>
      <c r="BL640" s="115"/>
      <c r="BM640" s="115"/>
      <c r="BN640" s="115"/>
      <c r="BO640" s="115"/>
      <c r="BP640" s="115"/>
      <c r="BQ640" s="115"/>
      <c r="BR640" s="115"/>
      <c r="BS640" s="115"/>
      <c r="BT640" s="115"/>
      <c r="BU640" s="25"/>
      <c r="BV640" s="13"/>
      <c r="BY640" s="114"/>
    </row>
    <row r="641" spans="1:77" ht="20.100000000000001" customHeight="1" x14ac:dyDescent="0.4">
      <c r="A641" s="117"/>
      <c r="B641" s="123"/>
      <c r="C641" s="123"/>
      <c r="D641" s="123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27"/>
      <c r="AM641" s="29"/>
      <c r="AO641" s="115"/>
      <c r="AP641" s="115"/>
      <c r="AQ641" s="115"/>
      <c r="AR641" s="115"/>
      <c r="AS641" s="115"/>
      <c r="AT641" s="115"/>
      <c r="AU641" s="115"/>
      <c r="AV641" s="115"/>
      <c r="AW641" s="25"/>
      <c r="AX641" s="13"/>
      <c r="BC641" s="116"/>
      <c r="BD641" s="123"/>
      <c r="BE641" s="123"/>
      <c r="BF641" s="123"/>
      <c r="BK641" s="115"/>
      <c r="BL641" s="115"/>
      <c r="BM641" s="115"/>
      <c r="BN641" s="115"/>
      <c r="BO641" s="115"/>
      <c r="BP641" s="115"/>
      <c r="BQ641" s="115"/>
      <c r="BR641" s="115"/>
      <c r="BS641" s="115"/>
      <c r="BT641" s="115"/>
      <c r="BU641" s="25"/>
      <c r="BV641" s="13"/>
      <c r="BY641" s="114"/>
    </row>
    <row r="642" spans="1:77" ht="20.100000000000001" customHeight="1" x14ac:dyDescent="0.4">
      <c r="A642" s="117"/>
      <c r="B642" s="123"/>
      <c r="C642" s="123"/>
      <c r="D642" s="123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29"/>
      <c r="AM642" s="29"/>
      <c r="AO642" s="115"/>
      <c r="AP642" s="115"/>
      <c r="AQ642" s="115"/>
      <c r="AR642" s="115"/>
      <c r="AS642" s="115"/>
      <c r="AT642" s="115"/>
      <c r="AU642" s="115"/>
      <c r="AV642" s="115"/>
      <c r="AW642" s="25"/>
      <c r="AX642" s="13"/>
      <c r="BC642" s="116"/>
      <c r="BD642" s="123"/>
      <c r="BE642" s="123"/>
      <c r="BF642" s="123"/>
      <c r="BK642" s="115"/>
      <c r="BL642" s="115"/>
      <c r="BM642" s="115"/>
      <c r="BN642" s="115"/>
      <c r="BO642" s="115"/>
      <c r="BP642" s="115"/>
      <c r="BQ642" s="115"/>
      <c r="BR642" s="115"/>
      <c r="BS642" s="115"/>
      <c r="BT642" s="115"/>
      <c r="BU642" s="25"/>
      <c r="BV642" s="13"/>
      <c r="BY642" s="114"/>
    </row>
    <row r="643" spans="1:77" ht="20.100000000000001" customHeight="1" x14ac:dyDescent="0.4">
      <c r="A643" s="117"/>
      <c r="B643" s="123"/>
      <c r="C643" s="123"/>
      <c r="D643" s="123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27"/>
      <c r="AM643" s="127"/>
      <c r="AO643" s="115"/>
      <c r="AP643" s="115"/>
      <c r="AQ643" s="115"/>
      <c r="AR643" s="115"/>
      <c r="AS643" s="115"/>
      <c r="AT643" s="115"/>
      <c r="AU643" s="115"/>
      <c r="AV643" s="115"/>
      <c r="AW643" s="25"/>
      <c r="AX643" s="13"/>
      <c r="BC643" s="116"/>
      <c r="BD643" s="123"/>
      <c r="BE643" s="123"/>
      <c r="BF643" s="123"/>
      <c r="BK643" s="115"/>
      <c r="BL643" s="115"/>
      <c r="BM643" s="115"/>
      <c r="BN643" s="115"/>
      <c r="BO643" s="115"/>
      <c r="BP643" s="115"/>
      <c r="BQ643" s="115"/>
      <c r="BR643" s="115"/>
      <c r="BS643" s="115"/>
      <c r="BT643" s="115"/>
      <c r="BU643" s="25"/>
      <c r="BV643" s="13"/>
      <c r="BY643" s="114"/>
    </row>
    <row r="644" spans="1:77" ht="20.100000000000001" customHeight="1" x14ac:dyDescent="0.4">
      <c r="A644" s="117"/>
      <c r="B644" s="123"/>
      <c r="C644" s="123"/>
      <c r="D644" s="123"/>
      <c r="AL644" s="127"/>
      <c r="AM644" s="127"/>
      <c r="AO644" s="115"/>
      <c r="AP644" s="115"/>
      <c r="AQ644" s="115"/>
      <c r="AR644" s="115"/>
      <c r="AS644" s="115"/>
      <c r="AT644" s="115"/>
      <c r="AU644" s="115"/>
      <c r="AV644" s="115"/>
      <c r="AW644" s="25"/>
      <c r="AX644" s="13"/>
      <c r="BC644" s="116"/>
      <c r="BD644" s="123"/>
      <c r="BE644" s="123"/>
      <c r="BF644" s="123"/>
      <c r="BK644" s="115"/>
      <c r="BL644" s="115"/>
      <c r="BM644" s="115"/>
      <c r="BN644" s="115"/>
      <c r="BO644" s="115"/>
      <c r="BP644" s="115"/>
      <c r="BQ644" s="115"/>
      <c r="BR644" s="115"/>
      <c r="BS644" s="115"/>
      <c r="BT644" s="115"/>
      <c r="BU644" s="25"/>
      <c r="BV644" s="13"/>
      <c r="BY644" s="114"/>
    </row>
    <row r="645" spans="1:77" ht="20.100000000000001" customHeight="1" x14ac:dyDescent="0.4">
      <c r="A645" s="117"/>
      <c r="B645" s="123"/>
      <c r="C645" s="123"/>
      <c r="D645" s="123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15"/>
      <c r="AL645" s="127"/>
      <c r="AM645" s="127"/>
      <c r="AO645" s="115"/>
      <c r="AP645" s="115"/>
      <c r="AQ645" s="115"/>
      <c r="AR645" s="115"/>
      <c r="AS645" s="115"/>
      <c r="AT645" s="115"/>
      <c r="AU645" s="115"/>
      <c r="AV645" s="115"/>
      <c r="AW645" s="25"/>
      <c r="AX645" s="13"/>
      <c r="BC645" s="116"/>
      <c r="BD645" s="123"/>
      <c r="BE645" s="123"/>
      <c r="BF645" s="123"/>
      <c r="BK645" s="115"/>
      <c r="BL645" s="115"/>
      <c r="BM645" s="115"/>
      <c r="BN645" s="115"/>
      <c r="BO645" s="115"/>
      <c r="BP645" s="115"/>
      <c r="BQ645" s="115"/>
      <c r="BR645" s="115"/>
      <c r="BS645" s="115"/>
      <c r="BT645" s="115"/>
      <c r="BU645" s="25"/>
      <c r="BV645" s="13"/>
      <c r="BY645" s="114"/>
    </row>
    <row r="646" spans="1:77" ht="20.100000000000001" customHeight="1" x14ac:dyDescent="0.4">
      <c r="A646" s="117"/>
      <c r="B646" s="123"/>
      <c r="C646" s="123"/>
      <c r="D646" s="123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15"/>
      <c r="AL646" s="127"/>
      <c r="AM646" s="29"/>
      <c r="AO646" s="115"/>
      <c r="AP646" s="115"/>
      <c r="AQ646" s="115"/>
      <c r="AR646" s="115"/>
      <c r="AS646" s="115"/>
      <c r="AT646" s="115"/>
      <c r="AU646" s="115"/>
      <c r="AV646" s="115"/>
      <c r="AW646" s="25"/>
      <c r="AX646" s="13"/>
      <c r="BC646" s="116"/>
      <c r="BD646" s="123"/>
      <c r="BE646" s="123"/>
      <c r="BF646" s="123"/>
      <c r="BK646" s="115"/>
      <c r="BL646" s="115"/>
      <c r="BM646" s="115"/>
      <c r="BN646" s="115"/>
      <c r="BO646" s="115"/>
      <c r="BP646" s="115"/>
      <c r="BQ646" s="115"/>
      <c r="BR646" s="115"/>
      <c r="BS646" s="115"/>
      <c r="BT646" s="115"/>
      <c r="BU646" s="25"/>
      <c r="BV646" s="13"/>
      <c r="BY646" s="114"/>
    </row>
    <row r="647" spans="1:77" ht="20.100000000000001" customHeight="1" x14ac:dyDescent="0.4">
      <c r="A647" s="117"/>
      <c r="B647" s="123"/>
      <c r="C647" s="123"/>
      <c r="D647" s="123"/>
      <c r="AL647" s="127"/>
      <c r="AM647" s="29"/>
      <c r="AN647" s="115"/>
      <c r="AO647" s="115"/>
      <c r="AP647" s="115"/>
      <c r="AQ647" s="115"/>
      <c r="AR647" s="115"/>
      <c r="AS647" s="115"/>
      <c r="AT647" s="115"/>
      <c r="AU647" s="115"/>
      <c r="AV647" s="115"/>
      <c r="AW647" s="25">
        <v>45675</v>
      </c>
      <c r="AX647" s="13" t="s">
        <v>146</v>
      </c>
      <c r="BC647" s="116"/>
      <c r="BD647" s="123"/>
      <c r="BE647" s="123"/>
      <c r="BF647" s="123"/>
      <c r="BK647" s="115"/>
      <c r="BL647" s="115"/>
      <c r="BM647" s="115"/>
      <c r="BN647" s="115"/>
      <c r="BO647" s="115"/>
      <c r="BP647" s="115"/>
      <c r="BQ647" s="115"/>
      <c r="BR647" s="115"/>
      <c r="BS647" s="115"/>
      <c r="BT647" s="115"/>
      <c r="BU647" s="25"/>
      <c r="BV647" s="13"/>
      <c r="BY647" s="114"/>
    </row>
    <row r="648" spans="1:77" ht="20.100000000000001" customHeight="1" x14ac:dyDescent="0.4">
      <c r="A648" s="117"/>
      <c r="B648" s="123"/>
      <c r="C648" s="123"/>
      <c r="D648" s="123"/>
      <c r="AD648" s="115"/>
      <c r="AE648" s="115"/>
      <c r="AF648" s="115"/>
      <c r="AG648" s="115"/>
      <c r="AH648" s="115"/>
      <c r="AI648" s="115"/>
      <c r="AJ648" s="115"/>
      <c r="AK648" s="115"/>
      <c r="AL648" s="29"/>
      <c r="AM648" s="29"/>
      <c r="AN648" s="115"/>
      <c r="AO648" s="115"/>
      <c r="AP648" s="115"/>
      <c r="AQ648" s="115"/>
      <c r="AR648" s="115"/>
      <c r="AS648" s="115"/>
      <c r="AT648" s="115"/>
      <c r="AU648" s="115"/>
      <c r="AV648" s="115"/>
      <c r="AW648" s="25"/>
      <c r="AX648" s="13"/>
      <c r="BC648" s="116"/>
      <c r="BD648" s="123"/>
      <c r="BE648" s="123"/>
      <c r="BF648" s="123"/>
      <c r="BK648" s="115"/>
      <c r="BL648" s="115"/>
      <c r="BM648" s="115"/>
      <c r="BN648" s="115"/>
      <c r="BO648" s="115"/>
      <c r="BP648" s="115"/>
      <c r="BQ648" s="115"/>
      <c r="BR648" s="115"/>
      <c r="BS648" s="115"/>
      <c r="BT648" s="115"/>
      <c r="BU648" s="25"/>
      <c r="BV648" s="13"/>
      <c r="BY648" s="114"/>
    </row>
    <row r="649" spans="1:77" ht="20.100000000000001" customHeight="1" x14ac:dyDescent="0.4">
      <c r="A649" s="117"/>
      <c r="B649" s="123"/>
      <c r="C649" s="123"/>
      <c r="D649" s="123"/>
      <c r="AL649" s="127"/>
      <c r="AM649" s="29"/>
      <c r="AN649" s="115"/>
      <c r="AO649" s="115"/>
      <c r="AP649" s="115"/>
      <c r="AQ649" s="115"/>
      <c r="AR649" s="115"/>
      <c r="AS649" s="115"/>
      <c r="AT649" s="115"/>
      <c r="AU649" s="115"/>
      <c r="AV649" s="115"/>
      <c r="AW649" s="25">
        <v>45676</v>
      </c>
      <c r="AX649" s="13" t="s">
        <v>148</v>
      </c>
      <c r="BC649" s="116"/>
      <c r="BD649" s="123"/>
      <c r="BE649" s="123"/>
      <c r="BF649" s="123"/>
      <c r="BK649" s="115"/>
      <c r="BL649" s="115"/>
      <c r="BM649" s="115"/>
      <c r="BN649" s="115"/>
      <c r="BO649" s="115"/>
      <c r="BP649" s="115"/>
      <c r="BQ649" s="115"/>
      <c r="BR649" s="115"/>
      <c r="BS649" s="115"/>
      <c r="BT649" s="115"/>
      <c r="BU649" s="25"/>
      <c r="BV649" s="13"/>
      <c r="BY649" s="114"/>
    </row>
    <row r="650" spans="1:77" ht="20.100000000000001" customHeight="1" x14ac:dyDescent="0.4">
      <c r="A650" s="117"/>
      <c r="B650" s="123"/>
      <c r="C650" s="123"/>
      <c r="D650" s="123"/>
      <c r="AD650" s="115"/>
      <c r="AE650" s="115"/>
      <c r="AF650" s="115"/>
      <c r="AG650" s="115"/>
      <c r="AH650" s="115"/>
      <c r="AI650" s="115"/>
      <c r="AJ650" s="115"/>
      <c r="AK650" s="115"/>
      <c r="AL650" s="29"/>
      <c r="AM650" s="29"/>
      <c r="AN650" s="115"/>
      <c r="AO650" s="115"/>
      <c r="AP650" s="115"/>
      <c r="AQ650" s="115"/>
      <c r="AR650" s="115"/>
      <c r="AS650" s="115"/>
      <c r="AT650" s="115"/>
      <c r="AU650" s="115"/>
      <c r="AV650" s="115"/>
      <c r="AW650" s="25"/>
      <c r="AX650" s="13"/>
      <c r="BC650" s="116"/>
      <c r="BD650" s="123"/>
      <c r="BE650" s="123"/>
      <c r="BF650" s="123"/>
      <c r="BK650" s="115"/>
      <c r="BL650" s="115"/>
      <c r="BM650" s="115"/>
      <c r="BN650" s="115"/>
      <c r="BO650" s="115"/>
      <c r="BP650" s="115"/>
      <c r="BQ650" s="115"/>
      <c r="BR650" s="115"/>
      <c r="BS650" s="115"/>
      <c r="BT650" s="115"/>
      <c r="BU650" s="25"/>
      <c r="BV650" s="13"/>
      <c r="BY650" s="114"/>
    </row>
    <row r="651" spans="1:77" ht="20.100000000000001" customHeight="1" x14ac:dyDescent="0.4">
      <c r="A651" s="117"/>
      <c r="B651" s="123"/>
      <c r="C651" s="123"/>
      <c r="D651" s="123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27"/>
      <c r="AM651" s="29"/>
      <c r="AN651" s="115"/>
      <c r="AO651" s="115"/>
      <c r="AP651" s="115"/>
      <c r="AQ651" s="115"/>
      <c r="AR651" s="115"/>
      <c r="AS651" s="115"/>
      <c r="AT651" s="115"/>
      <c r="AU651" s="115"/>
      <c r="AV651" s="115"/>
      <c r="AW651" s="25"/>
      <c r="AX651" s="13"/>
      <c r="BC651" s="116"/>
      <c r="BD651" s="123"/>
      <c r="BE651" s="123"/>
      <c r="BF651" s="123"/>
      <c r="BK651" s="115"/>
      <c r="BL651" s="115"/>
      <c r="BM651" s="115"/>
      <c r="BN651" s="115"/>
      <c r="BO651" s="115"/>
      <c r="BP651" s="115"/>
      <c r="BQ651" s="115"/>
      <c r="BR651" s="115"/>
      <c r="BS651" s="115"/>
      <c r="BT651" s="115"/>
      <c r="BU651" s="25"/>
      <c r="BV651" s="13"/>
      <c r="BY651" s="114"/>
    </row>
    <row r="652" spans="1:77" ht="20.100000000000001" customHeight="1" x14ac:dyDescent="0.4">
      <c r="A652" s="117"/>
      <c r="B652" s="123"/>
      <c r="C652" s="123"/>
      <c r="D652" s="123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29"/>
      <c r="AM652" s="29"/>
      <c r="AN652" s="115"/>
      <c r="AO652" s="115"/>
      <c r="AP652" s="115"/>
      <c r="AQ652" s="115"/>
      <c r="AR652" s="115"/>
      <c r="AS652" s="115"/>
      <c r="AT652" s="115"/>
      <c r="AU652" s="115"/>
      <c r="AV652" s="115"/>
      <c r="AW652" s="25"/>
      <c r="AX652" s="13"/>
      <c r="BC652" s="116"/>
      <c r="BD652" s="123"/>
      <c r="BE652" s="123"/>
      <c r="BF652" s="123"/>
      <c r="BK652" s="115"/>
      <c r="BL652" s="115"/>
      <c r="BM652" s="115"/>
      <c r="BN652" s="115"/>
      <c r="BO652" s="115"/>
      <c r="BP652" s="115"/>
      <c r="BQ652" s="115"/>
      <c r="BR652" s="115"/>
      <c r="BS652" s="115"/>
      <c r="BT652" s="115"/>
      <c r="BU652" s="25"/>
      <c r="BV652" s="13"/>
      <c r="BY652" s="114"/>
    </row>
    <row r="653" spans="1:77" ht="20.100000000000001" customHeight="1" x14ac:dyDescent="0.4">
      <c r="A653" s="117"/>
      <c r="B653" s="123"/>
      <c r="C653" s="123"/>
      <c r="D653" s="123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27"/>
      <c r="AM653" s="29"/>
      <c r="AN653" s="115"/>
      <c r="AO653" s="115"/>
      <c r="AP653" s="115"/>
      <c r="AQ653" s="115"/>
      <c r="AR653" s="115"/>
      <c r="AS653" s="115"/>
      <c r="AT653" s="115"/>
      <c r="AU653" s="115"/>
      <c r="AV653" s="115"/>
      <c r="AW653" s="25"/>
      <c r="AX653" s="13"/>
      <c r="BC653" s="116"/>
      <c r="BD653" s="123"/>
      <c r="BE653" s="123"/>
      <c r="BF653" s="123"/>
      <c r="BK653" s="115"/>
      <c r="BL653" s="115"/>
      <c r="BM653" s="115"/>
      <c r="BN653" s="115"/>
      <c r="BO653" s="115"/>
      <c r="BP653" s="115"/>
      <c r="BQ653" s="115"/>
      <c r="BR653" s="115"/>
      <c r="BS653" s="115"/>
      <c r="BT653" s="115"/>
      <c r="BU653" s="25"/>
      <c r="BV653" s="13"/>
      <c r="BY653" s="114"/>
    </row>
    <row r="654" spans="1:77" ht="20.100000000000001" customHeight="1" x14ac:dyDescent="0.4">
      <c r="A654" s="117"/>
      <c r="B654" s="123"/>
      <c r="C654" s="123"/>
      <c r="D654" s="123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27"/>
      <c r="AM654" s="29"/>
      <c r="AN654" s="115"/>
      <c r="AO654" s="115"/>
      <c r="AP654" s="115"/>
      <c r="AQ654" s="115"/>
      <c r="AR654" s="115"/>
      <c r="AS654" s="115"/>
      <c r="AT654" s="115"/>
      <c r="AU654" s="115"/>
      <c r="AV654" s="115"/>
      <c r="AW654" s="25"/>
      <c r="AX654" s="13"/>
      <c r="BC654" s="116"/>
      <c r="BD654" s="123"/>
      <c r="BE654" s="123"/>
      <c r="BF654" s="123"/>
      <c r="BK654" s="115"/>
      <c r="BL654" s="115"/>
      <c r="BM654" s="115"/>
      <c r="BN654" s="115"/>
      <c r="BO654" s="115"/>
      <c r="BP654" s="115"/>
      <c r="BQ654" s="115"/>
      <c r="BR654" s="115"/>
      <c r="BS654" s="115"/>
      <c r="BT654" s="115"/>
      <c r="BU654" s="25"/>
      <c r="BV654" s="13"/>
      <c r="BY654" s="114"/>
    </row>
    <row r="655" spans="1:77" ht="20.100000000000001" customHeight="1" x14ac:dyDescent="0.4">
      <c r="A655" s="117"/>
      <c r="B655" s="123"/>
      <c r="C655" s="123"/>
      <c r="D655" s="123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27"/>
      <c r="AM655" s="29"/>
      <c r="AN655" s="115"/>
      <c r="AO655" s="115"/>
      <c r="AP655" s="115"/>
      <c r="AQ655" s="115"/>
      <c r="AR655" s="115"/>
      <c r="AS655" s="115"/>
      <c r="AT655" s="115"/>
      <c r="AU655" s="115"/>
      <c r="AV655" s="115"/>
      <c r="AW655" s="25"/>
      <c r="AX655" s="13"/>
      <c r="BC655" s="116"/>
      <c r="BD655" s="123"/>
      <c r="BE655" s="123"/>
      <c r="BF655" s="123"/>
      <c r="BK655" s="115"/>
      <c r="BL655" s="115"/>
      <c r="BM655" s="115"/>
      <c r="BN655" s="115"/>
      <c r="BO655" s="115"/>
      <c r="BP655" s="115"/>
      <c r="BQ655" s="115"/>
      <c r="BR655" s="115"/>
      <c r="BS655" s="115"/>
      <c r="BT655" s="115"/>
      <c r="BU655" s="25"/>
      <c r="BV655" s="13"/>
      <c r="BY655" s="114"/>
    </row>
    <row r="656" spans="1:77" ht="20.100000000000001" customHeight="1" x14ac:dyDescent="0.4">
      <c r="A656" s="117"/>
      <c r="B656" s="123"/>
      <c r="C656" s="123"/>
      <c r="D656" s="123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27"/>
      <c r="AM656" s="29"/>
      <c r="AN656" s="115"/>
      <c r="AO656" s="115"/>
      <c r="AP656" s="115"/>
      <c r="AQ656" s="115"/>
      <c r="AR656" s="115"/>
      <c r="AS656" s="115"/>
      <c r="AT656" s="115"/>
      <c r="AU656" s="115"/>
      <c r="AV656" s="115"/>
      <c r="AW656" s="25"/>
      <c r="AX656" s="13"/>
      <c r="BC656" s="116"/>
      <c r="BD656" s="123"/>
      <c r="BE656" s="123"/>
      <c r="BF656" s="123"/>
      <c r="BK656" s="115"/>
      <c r="BL656" s="115"/>
      <c r="BM656" s="115"/>
      <c r="BN656" s="115"/>
      <c r="BO656" s="115"/>
      <c r="BP656" s="115"/>
      <c r="BQ656" s="115"/>
      <c r="BR656" s="115"/>
      <c r="BS656" s="115"/>
      <c r="BT656" s="115"/>
      <c r="BU656" s="25"/>
      <c r="BV656" s="13"/>
      <c r="BY656" s="114"/>
    </row>
    <row r="657" spans="1:77" ht="20.100000000000001" customHeight="1" x14ac:dyDescent="0.4">
      <c r="A657" s="117"/>
      <c r="B657" s="123"/>
      <c r="C657" s="123"/>
      <c r="D657" s="123"/>
      <c r="AL657" s="127"/>
      <c r="AM657" s="29"/>
      <c r="AN657" s="115"/>
      <c r="AO657" s="115"/>
      <c r="AP657" s="115"/>
      <c r="AQ657" s="115"/>
      <c r="AR657" s="115"/>
      <c r="AS657" s="115"/>
      <c r="AT657" s="115"/>
      <c r="AU657" s="115"/>
      <c r="AV657" s="115"/>
      <c r="AW657" s="25">
        <v>45677</v>
      </c>
      <c r="AX657" s="13" t="s">
        <v>146</v>
      </c>
      <c r="BC657" s="116"/>
      <c r="BD657" s="123"/>
      <c r="BE657" s="123"/>
      <c r="BF657" s="123"/>
      <c r="BK657" s="115"/>
      <c r="BL657" s="115"/>
      <c r="BM657" s="115"/>
      <c r="BN657" s="115"/>
      <c r="BO657" s="115"/>
      <c r="BP657" s="115"/>
      <c r="BQ657" s="115"/>
      <c r="BR657" s="115"/>
      <c r="BS657" s="115"/>
      <c r="BT657" s="115"/>
      <c r="BU657" s="25"/>
      <c r="BV657" s="13"/>
      <c r="BY657" s="114"/>
    </row>
    <row r="658" spans="1:77" ht="20.100000000000001" customHeight="1" x14ac:dyDescent="0.4">
      <c r="A658" s="117"/>
      <c r="B658" s="123"/>
      <c r="C658" s="123"/>
      <c r="D658" s="123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27"/>
      <c r="AM658" s="29"/>
      <c r="AN658" s="115"/>
      <c r="AO658" s="115"/>
      <c r="AP658" s="115"/>
      <c r="AQ658" s="115"/>
      <c r="AR658" s="115"/>
      <c r="AS658" s="115"/>
      <c r="AT658" s="115"/>
      <c r="AU658" s="115"/>
      <c r="AV658" s="115"/>
      <c r="AW658" s="25"/>
      <c r="AX658" s="13"/>
      <c r="BC658" s="116"/>
      <c r="BD658" s="123"/>
      <c r="BE658" s="123"/>
      <c r="BF658" s="123"/>
      <c r="BK658" s="115"/>
      <c r="BL658" s="115"/>
      <c r="BM658" s="115"/>
      <c r="BN658" s="115"/>
      <c r="BO658" s="115"/>
      <c r="BP658" s="115"/>
      <c r="BQ658" s="115"/>
      <c r="BR658" s="115"/>
      <c r="BS658" s="115"/>
      <c r="BT658" s="115"/>
      <c r="BU658" s="25"/>
      <c r="BV658" s="13"/>
      <c r="BY658" s="114"/>
    </row>
    <row r="659" spans="1:77" ht="20.100000000000001" customHeight="1" x14ac:dyDescent="0.4">
      <c r="A659" s="117"/>
      <c r="B659" s="123"/>
      <c r="C659" s="123"/>
      <c r="D659" s="123"/>
      <c r="AL659" s="127"/>
      <c r="AM659" s="29"/>
      <c r="AN659" s="115"/>
      <c r="AO659" s="115"/>
      <c r="AP659" s="115"/>
      <c r="AQ659" s="115"/>
      <c r="AR659" s="115"/>
      <c r="AS659" s="115"/>
      <c r="AT659" s="115"/>
      <c r="AU659" s="115"/>
      <c r="AV659" s="115"/>
      <c r="AW659" s="25"/>
      <c r="AX659" s="13"/>
      <c r="BC659" s="116"/>
      <c r="BD659" s="123"/>
      <c r="BE659" s="123"/>
      <c r="BF659" s="123"/>
      <c r="BK659" s="115"/>
      <c r="BL659" s="115"/>
      <c r="BM659" s="115"/>
      <c r="BN659" s="115"/>
      <c r="BO659" s="115"/>
      <c r="BP659" s="115"/>
      <c r="BQ659" s="115"/>
      <c r="BR659" s="115"/>
      <c r="BS659" s="115"/>
      <c r="BT659" s="115"/>
      <c r="BU659" s="25"/>
      <c r="BV659" s="13"/>
      <c r="BY659" s="114"/>
    </row>
    <row r="660" spans="1:77" ht="20.100000000000001" customHeight="1" x14ac:dyDescent="0.4">
      <c r="A660" s="117"/>
      <c r="B660" s="123"/>
      <c r="C660" s="123"/>
      <c r="D660" s="123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15"/>
      <c r="AL660" s="127"/>
      <c r="AM660" s="29"/>
      <c r="AN660" s="115"/>
      <c r="AO660" s="115"/>
      <c r="AP660" s="115"/>
      <c r="AQ660" s="115"/>
      <c r="AR660" s="115"/>
      <c r="AS660" s="115"/>
      <c r="AT660" s="115"/>
      <c r="AU660" s="115"/>
      <c r="AV660" s="115"/>
      <c r="AW660" s="25"/>
      <c r="AX660" s="13"/>
      <c r="BC660" s="116"/>
      <c r="BD660" s="123"/>
      <c r="BE660" s="123"/>
      <c r="BF660" s="123"/>
      <c r="BK660" s="115"/>
      <c r="BL660" s="115"/>
      <c r="BM660" s="115"/>
      <c r="BN660" s="115"/>
      <c r="BO660" s="115"/>
      <c r="BP660" s="115"/>
      <c r="BQ660" s="115"/>
      <c r="BR660" s="115"/>
      <c r="BS660" s="115"/>
      <c r="BT660" s="115"/>
      <c r="BU660" s="25"/>
      <c r="BV660" s="13"/>
      <c r="BY660" s="114"/>
    </row>
    <row r="661" spans="1:77" ht="20.100000000000001" customHeight="1" x14ac:dyDescent="0.4">
      <c r="A661" s="117"/>
      <c r="B661" s="123"/>
      <c r="C661" s="123"/>
      <c r="D661" s="123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15"/>
      <c r="AL661" s="127"/>
      <c r="AM661" s="29"/>
      <c r="AN661" s="115"/>
      <c r="AO661" s="115"/>
      <c r="AP661" s="115"/>
      <c r="AQ661" s="115"/>
      <c r="AR661" s="115"/>
      <c r="AS661" s="115"/>
      <c r="AT661" s="115"/>
      <c r="AU661" s="115"/>
      <c r="AV661" s="115"/>
      <c r="AW661" s="25"/>
      <c r="AX661" s="13"/>
      <c r="BC661" s="116"/>
      <c r="BD661" s="123"/>
      <c r="BE661" s="123"/>
      <c r="BF661" s="123"/>
      <c r="BK661" s="115"/>
      <c r="BL661" s="115"/>
      <c r="BM661" s="115"/>
      <c r="BN661" s="115"/>
      <c r="BO661" s="115"/>
      <c r="BP661" s="115"/>
      <c r="BQ661" s="115"/>
      <c r="BR661" s="115"/>
      <c r="BS661" s="115"/>
      <c r="BT661" s="115"/>
      <c r="BU661" s="25"/>
      <c r="BV661" s="13"/>
      <c r="BY661" s="114"/>
    </row>
    <row r="662" spans="1:77" ht="20.100000000000001" customHeight="1" x14ac:dyDescent="0.4">
      <c r="A662" s="117"/>
      <c r="B662" s="123"/>
      <c r="C662" s="123"/>
      <c r="D662" s="123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15"/>
      <c r="AL662" s="127"/>
      <c r="AM662" s="29"/>
      <c r="AN662" s="115"/>
      <c r="AO662" s="115"/>
      <c r="AP662" s="115"/>
      <c r="AQ662" s="115"/>
      <c r="AR662" s="115"/>
      <c r="AS662" s="115"/>
      <c r="AT662" s="115"/>
      <c r="AU662" s="115"/>
      <c r="AV662" s="115"/>
      <c r="AW662" s="25"/>
      <c r="AX662" s="13"/>
      <c r="BC662" s="116"/>
      <c r="BD662" s="123"/>
      <c r="BE662" s="123"/>
      <c r="BF662" s="123"/>
      <c r="BK662" s="115"/>
      <c r="BL662" s="115"/>
      <c r="BM662" s="115"/>
      <c r="BN662" s="115"/>
      <c r="BO662" s="115"/>
      <c r="BP662" s="115"/>
      <c r="BQ662" s="115"/>
      <c r="BR662" s="115"/>
      <c r="BS662" s="115"/>
      <c r="BT662" s="115"/>
      <c r="BU662" s="25"/>
      <c r="BV662" s="13"/>
      <c r="BY662" s="114"/>
    </row>
    <row r="663" spans="1:77" ht="20.100000000000001" customHeight="1" x14ac:dyDescent="0.4">
      <c r="A663" s="117"/>
      <c r="B663" s="123"/>
      <c r="C663" s="123"/>
      <c r="D663" s="123"/>
      <c r="AL663" s="127"/>
      <c r="AM663" s="29"/>
      <c r="AN663" s="115"/>
      <c r="AO663" s="115"/>
      <c r="AP663" s="115"/>
      <c r="AQ663" s="115"/>
      <c r="AR663" s="115"/>
      <c r="AS663" s="115"/>
      <c r="AT663" s="115"/>
      <c r="AU663" s="115"/>
      <c r="AV663" s="115"/>
      <c r="AW663" s="25">
        <v>45677</v>
      </c>
      <c r="AX663" s="13" t="s">
        <v>146</v>
      </c>
      <c r="BC663" s="116"/>
      <c r="BD663" s="123"/>
      <c r="BE663" s="123"/>
      <c r="BF663" s="123"/>
      <c r="BK663" s="115"/>
      <c r="BL663" s="115"/>
      <c r="BM663" s="115"/>
      <c r="BN663" s="115"/>
      <c r="BO663" s="115"/>
      <c r="BP663" s="115"/>
      <c r="BQ663" s="115"/>
      <c r="BR663" s="115"/>
      <c r="BS663" s="115"/>
      <c r="BT663" s="115"/>
      <c r="BU663" s="25"/>
      <c r="BV663" s="13"/>
      <c r="BY663" s="114"/>
    </row>
    <row r="664" spans="1:77" ht="20.100000000000001" customHeight="1" x14ac:dyDescent="0.4">
      <c r="A664" s="117"/>
      <c r="B664" s="123"/>
      <c r="C664" s="123"/>
      <c r="D664" s="123"/>
      <c r="AC664" s="115"/>
      <c r="AD664" s="115"/>
      <c r="AE664" s="115"/>
      <c r="AF664" s="115"/>
      <c r="AG664" s="115"/>
      <c r="AH664" s="115"/>
      <c r="AI664" s="115"/>
      <c r="AJ664" s="115"/>
      <c r="AK664" s="115"/>
      <c r="AL664" s="127"/>
      <c r="AM664" s="29"/>
      <c r="AN664" s="115"/>
      <c r="AO664" s="115"/>
      <c r="AP664" s="115"/>
      <c r="AQ664" s="115"/>
      <c r="AR664" s="115"/>
      <c r="AS664" s="115"/>
      <c r="AT664" s="115"/>
      <c r="AU664" s="115"/>
      <c r="AV664" s="115"/>
      <c r="AW664" s="25"/>
      <c r="AX664" s="13"/>
      <c r="BC664" s="116"/>
      <c r="BD664" s="123"/>
      <c r="BE664" s="123"/>
      <c r="BF664" s="123"/>
      <c r="BK664" s="115"/>
      <c r="BL664" s="115"/>
      <c r="BM664" s="115"/>
      <c r="BN664" s="115"/>
      <c r="BO664" s="115"/>
      <c r="BP664" s="115"/>
      <c r="BQ664" s="115"/>
      <c r="BR664" s="115"/>
      <c r="BS664" s="115"/>
      <c r="BT664" s="115"/>
      <c r="BU664" s="25"/>
      <c r="BV664" s="13"/>
      <c r="BY664" s="114"/>
    </row>
    <row r="665" spans="1:77" ht="20.100000000000001" customHeight="1" x14ac:dyDescent="0.4">
      <c r="A665" s="117"/>
      <c r="B665" s="123"/>
      <c r="C665" s="123"/>
      <c r="D665" s="123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15"/>
      <c r="AL665" s="127"/>
      <c r="AM665" s="29"/>
      <c r="AN665" s="115"/>
      <c r="AO665" s="115"/>
      <c r="AP665" s="115"/>
      <c r="AQ665" s="115"/>
      <c r="AR665" s="115"/>
      <c r="AS665" s="115"/>
      <c r="AT665" s="115"/>
      <c r="AU665" s="115"/>
      <c r="AV665" s="115"/>
      <c r="AW665" s="25"/>
      <c r="AX665" s="13"/>
      <c r="BC665" s="116"/>
      <c r="BD665" s="123"/>
      <c r="BE665" s="123"/>
      <c r="BF665" s="123"/>
      <c r="BK665" s="115"/>
      <c r="BL665" s="115"/>
      <c r="BM665" s="115"/>
      <c r="BN665" s="115"/>
      <c r="BO665" s="115"/>
      <c r="BP665" s="115"/>
      <c r="BQ665" s="115"/>
      <c r="BR665" s="115"/>
      <c r="BS665" s="115"/>
      <c r="BT665" s="115"/>
      <c r="BU665" s="25"/>
      <c r="BV665" s="13"/>
      <c r="BY665" s="114"/>
    </row>
    <row r="666" spans="1:77" ht="20.100000000000001" customHeight="1" x14ac:dyDescent="0.4">
      <c r="A666" s="117"/>
      <c r="B666" s="123"/>
      <c r="C666" s="123"/>
      <c r="D666" s="123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15"/>
      <c r="AL666" s="29"/>
      <c r="AM666" s="29"/>
      <c r="AN666" s="115"/>
      <c r="AO666" s="115"/>
      <c r="AP666" s="115"/>
      <c r="AQ666" s="115"/>
      <c r="AR666" s="115"/>
      <c r="AS666" s="115"/>
      <c r="AT666" s="115"/>
      <c r="AU666" s="115"/>
      <c r="AV666" s="115"/>
      <c r="AW666" s="25"/>
      <c r="AX666" s="13"/>
      <c r="BC666" s="116"/>
      <c r="BD666" s="123"/>
      <c r="BE666" s="123"/>
      <c r="BF666" s="123"/>
      <c r="BK666" s="115"/>
      <c r="BL666" s="115"/>
      <c r="BM666" s="115"/>
      <c r="BN666" s="115"/>
      <c r="BO666" s="115"/>
      <c r="BP666" s="115"/>
      <c r="BQ666" s="115"/>
      <c r="BR666" s="115"/>
      <c r="BS666" s="115"/>
      <c r="BT666" s="115"/>
      <c r="BU666" s="25"/>
      <c r="BV666" s="13"/>
      <c r="BY666" s="114"/>
    </row>
    <row r="667" spans="1:77" ht="20.100000000000001" customHeight="1" x14ac:dyDescent="0.4">
      <c r="A667" s="117"/>
      <c r="B667" s="123"/>
      <c r="C667" s="123"/>
      <c r="D667" s="123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27"/>
      <c r="AM667" s="29"/>
      <c r="AN667" s="115"/>
      <c r="AO667" s="115"/>
      <c r="AP667" s="115"/>
      <c r="AQ667" s="115"/>
      <c r="AR667" s="115"/>
      <c r="AS667" s="115"/>
      <c r="AT667" s="115"/>
      <c r="AU667" s="115"/>
      <c r="AV667" s="115"/>
      <c r="AW667" s="25"/>
      <c r="AX667" s="13"/>
      <c r="BC667" s="116"/>
      <c r="BD667" s="123"/>
      <c r="BE667" s="123"/>
      <c r="BF667" s="123"/>
      <c r="BK667" s="115"/>
      <c r="BL667" s="115"/>
      <c r="BM667" s="115"/>
      <c r="BN667" s="115"/>
      <c r="BO667" s="115"/>
      <c r="BP667" s="115"/>
      <c r="BQ667" s="115"/>
      <c r="BR667" s="115"/>
      <c r="BS667" s="115"/>
      <c r="BT667" s="115"/>
      <c r="BU667" s="25"/>
      <c r="BV667" s="13"/>
      <c r="BY667" s="114"/>
    </row>
    <row r="668" spans="1:77" ht="20.100000000000001" customHeight="1" x14ac:dyDescent="0.4">
      <c r="A668" s="117"/>
      <c r="B668" s="123"/>
      <c r="C668" s="123"/>
      <c r="D668" s="123"/>
      <c r="AL668" s="127"/>
      <c r="AM668" s="29"/>
      <c r="AN668" s="115"/>
      <c r="AO668" s="115"/>
      <c r="AP668" s="115"/>
      <c r="AQ668" s="115"/>
      <c r="AR668" s="115"/>
      <c r="AS668" s="115"/>
      <c r="AT668" s="115"/>
      <c r="AU668" s="115"/>
      <c r="AV668" s="115"/>
      <c r="AW668" s="25">
        <v>45677</v>
      </c>
      <c r="AX668" s="13" t="s">
        <v>148</v>
      </c>
      <c r="BC668" s="116"/>
      <c r="BD668" s="123"/>
      <c r="BE668" s="123"/>
      <c r="BF668" s="123"/>
      <c r="BK668" s="115"/>
      <c r="BL668" s="115"/>
      <c r="BM668" s="115"/>
      <c r="BN668" s="115"/>
      <c r="BO668" s="115"/>
      <c r="BP668" s="115"/>
      <c r="BQ668" s="115"/>
      <c r="BR668" s="115"/>
      <c r="BS668" s="115"/>
      <c r="BT668" s="115"/>
      <c r="BU668" s="25"/>
      <c r="BV668" s="13"/>
      <c r="BY668" s="114"/>
    </row>
    <row r="669" spans="1:77" ht="19.5" x14ac:dyDescent="0.4">
      <c r="A669" s="117"/>
      <c r="B669" s="123"/>
      <c r="C669" s="123"/>
      <c r="D669" s="123"/>
      <c r="AL669" s="127"/>
      <c r="AM669" s="29"/>
      <c r="AN669" s="115"/>
      <c r="AO669" s="115"/>
      <c r="AP669" s="115"/>
      <c r="AQ669" s="115"/>
      <c r="AR669" s="115"/>
      <c r="AS669" s="115"/>
      <c r="AT669" s="115"/>
      <c r="AU669" s="115"/>
      <c r="AV669" s="115"/>
      <c r="AW669" s="25"/>
      <c r="AX669" s="13"/>
      <c r="BC669" s="116"/>
      <c r="BD669" s="123"/>
      <c r="BE669" s="123"/>
      <c r="BF669" s="123"/>
      <c r="BK669" s="115"/>
      <c r="BL669" s="115"/>
      <c r="BM669" s="115"/>
      <c r="BN669" s="115"/>
      <c r="BO669" s="115"/>
      <c r="BP669" s="115"/>
      <c r="BQ669" s="115"/>
      <c r="BR669" s="115"/>
      <c r="BS669" s="115"/>
      <c r="BT669" s="115"/>
      <c r="BU669" s="25"/>
      <c r="BV669" s="13"/>
      <c r="BY669" s="114"/>
    </row>
    <row r="670" spans="1:77" ht="19.5" x14ac:dyDescent="0.4">
      <c r="A670" s="117"/>
      <c r="B670" s="123"/>
      <c r="C670" s="123"/>
      <c r="D670" s="123"/>
      <c r="AD670" s="115"/>
      <c r="AE670" s="115"/>
      <c r="AF670" s="115"/>
      <c r="AG670" s="115"/>
      <c r="AH670" s="115"/>
      <c r="AI670" s="115"/>
      <c r="AJ670" s="115"/>
      <c r="AK670" s="115"/>
      <c r="AL670" s="29"/>
      <c r="AM670" s="29"/>
      <c r="AN670" s="115"/>
      <c r="AO670" s="115"/>
      <c r="AP670" s="115"/>
      <c r="AQ670" s="115"/>
      <c r="AR670" s="115"/>
      <c r="AS670" s="115"/>
      <c r="AT670" s="115"/>
      <c r="AU670" s="115"/>
      <c r="AV670" s="115"/>
      <c r="AW670" s="25"/>
      <c r="AX670" s="13"/>
      <c r="BC670" s="116"/>
      <c r="BD670" s="123"/>
      <c r="BE670" s="123"/>
      <c r="BF670" s="123"/>
      <c r="BK670" s="115"/>
      <c r="BL670" s="115"/>
      <c r="BM670" s="115"/>
      <c r="BN670" s="115"/>
      <c r="BO670" s="115"/>
      <c r="BP670" s="115"/>
      <c r="BQ670" s="115"/>
      <c r="BR670" s="115"/>
      <c r="BS670" s="115"/>
      <c r="BT670" s="115"/>
      <c r="BU670" s="25"/>
      <c r="BV670" s="13"/>
      <c r="BY670" s="114"/>
    </row>
    <row r="671" spans="1:77" ht="19.5" x14ac:dyDescent="0.4">
      <c r="A671" s="117"/>
      <c r="B671" s="123"/>
      <c r="C671" s="123"/>
      <c r="D671" s="123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27"/>
      <c r="AM671" s="29"/>
      <c r="AN671" s="115"/>
      <c r="AO671" s="115"/>
      <c r="AP671" s="115"/>
      <c r="AQ671" s="115"/>
      <c r="AR671" s="115"/>
      <c r="AS671" s="115"/>
      <c r="AT671" s="115"/>
      <c r="AU671" s="115"/>
      <c r="AV671" s="115"/>
      <c r="AW671" s="25"/>
      <c r="AX671" s="13"/>
      <c r="BC671" s="116"/>
      <c r="BD671" s="123"/>
      <c r="BE671" s="123"/>
      <c r="BF671" s="123"/>
      <c r="BK671" s="115"/>
      <c r="BL671" s="115"/>
      <c r="BM671" s="115"/>
      <c r="BN671" s="115"/>
      <c r="BO671" s="115"/>
      <c r="BP671" s="115"/>
      <c r="BQ671" s="115"/>
      <c r="BR671" s="115"/>
      <c r="BS671" s="115"/>
      <c r="BT671" s="115"/>
      <c r="BU671" s="25"/>
      <c r="BV671" s="13"/>
      <c r="BY671" s="114"/>
    </row>
    <row r="672" spans="1:77" ht="19.5" x14ac:dyDescent="0.4">
      <c r="A672" s="117"/>
      <c r="B672" s="123"/>
      <c r="C672" s="123"/>
      <c r="D672" s="123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15"/>
      <c r="AL672" s="29"/>
      <c r="AM672" s="29"/>
      <c r="AN672" s="115"/>
      <c r="AO672" s="115"/>
      <c r="AP672" s="115"/>
      <c r="AQ672" s="115"/>
      <c r="AR672" s="115"/>
      <c r="AS672" s="115"/>
      <c r="AT672" s="115"/>
      <c r="AU672" s="115"/>
      <c r="AV672" s="115"/>
      <c r="AW672" s="25"/>
      <c r="AX672" s="13"/>
      <c r="BC672" s="116"/>
      <c r="BD672" s="123"/>
      <c r="BE672" s="123"/>
      <c r="BF672" s="123"/>
      <c r="BK672" s="115"/>
      <c r="BL672" s="115"/>
      <c r="BM672" s="115"/>
      <c r="BN672" s="115"/>
      <c r="BO672" s="115"/>
      <c r="BP672" s="115"/>
      <c r="BQ672" s="115"/>
      <c r="BR672" s="115"/>
      <c r="BS672" s="115"/>
      <c r="BT672" s="115"/>
      <c r="BU672" s="25"/>
      <c r="BV672" s="13"/>
      <c r="BY672" s="114"/>
    </row>
    <row r="673" spans="1:77" ht="19.5" x14ac:dyDescent="0.4">
      <c r="A673" s="117"/>
      <c r="B673" s="123"/>
      <c r="C673" s="123"/>
      <c r="D673" s="123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27"/>
      <c r="AM673" s="29"/>
      <c r="AN673" s="115"/>
      <c r="AO673" s="115"/>
      <c r="AP673" s="115"/>
      <c r="AQ673" s="115"/>
      <c r="AR673" s="115"/>
      <c r="AS673" s="115"/>
      <c r="AT673" s="115"/>
      <c r="AU673" s="115"/>
      <c r="AV673" s="115"/>
      <c r="AW673" s="25"/>
      <c r="AX673" s="13"/>
      <c r="BC673" s="116"/>
      <c r="BD673" s="123"/>
      <c r="BE673" s="123"/>
      <c r="BF673" s="123"/>
      <c r="BK673" s="115"/>
      <c r="BL673" s="115"/>
      <c r="BM673" s="115"/>
      <c r="BN673" s="115"/>
      <c r="BO673" s="115"/>
      <c r="BP673" s="115"/>
      <c r="BQ673" s="115"/>
      <c r="BR673" s="115"/>
      <c r="BS673" s="115"/>
      <c r="BT673" s="115"/>
      <c r="BU673" s="25"/>
      <c r="BV673" s="13"/>
      <c r="BY673" s="114"/>
    </row>
    <row r="674" spans="1:77" ht="19.5" x14ac:dyDescent="0.4">
      <c r="A674" s="117"/>
      <c r="B674" s="123"/>
      <c r="C674" s="123"/>
      <c r="D674" s="123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29"/>
      <c r="AM674" s="29"/>
      <c r="AN674" s="115"/>
      <c r="AO674" s="115"/>
      <c r="AP674" s="115"/>
      <c r="AQ674" s="115"/>
      <c r="AR674" s="115"/>
      <c r="AS674" s="115"/>
      <c r="AT674" s="115"/>
      <c r="AU674" s="115"/>
      <c r="AV674" s="115"/>
      <c r="AW674" s="25"/>
      <c r="AX674" s="13"/>
      <c r="BC674" s="116"/>
      <c r="BD674" s="123"/>
      <c r="BE674" s="123"/>
      <c r="BF674" s="123"/>
      <c r="BK674" s="115"/>
      <c r="BL674" s="115"/>
      <c r="BM674" s="115"/>
      <c r="BN674" s="115"/>
      <c r="BO674" s="115"/>
      <c r="BP674" s="115"/>
      <c r="BQ674" s="115"/>
      <c r="BR674" s="115"/>
      <c r="BS674" s="115"/>
      <c r="BT674" s="115"/>
      <c r="BU674" s="25"/>
      <c r="BV674" s="13"/>
      <c r="BY674" s="114"/>
    </row>
    <row r="675" spans="1:77" ht="19.5" x14ac:dyDescent="0.4">
      <c r="A675" s="117"/>
      <c r="B675" s="123"/>
      <c r="C675" s="123"/>
      <c r="D675" s="123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  <c r="AK675" s="115"/>
      <c r="AL675" s="127"/>
      <c r="AM675" s="29"/>
      <c r="AN675" s="115"/>
      <c r="AO675" s="115"/>
      <c r="AP675" s="115"/>
      <c r="AQ675" s="115"/>
      <c r="AR675" s="115"/>
      <c r="AS675" s="115"/>
      <c r="AT675" s="115"/>
      <c r="AU675" s="115"/>
      <c r="AV675" s="115"/>
      <c r="AW675" s="25"/>
      <c r="AX675" s="13"/>
      <c r="BC675" s="116"/>
      <c r="BD675" s="123"/>
      <c r="BE675" s="123"/>
      <c r="BF675" s="123"/>
      <c r="BK675" s="115"/>
      <c r="BL675" s="115"/>
      <c r="BM675" s="115"/>
      <c r="BN675" s="115"/>
      <c r="BO675" s="115"/>
      <c r="BP675" s="115"/>
      <c r="BQ675" s="115"/>
      <c r="BR675" s="115"/>
      <c r="BS675" s="115"/>
      <c r="BT675" s="115"/>
      <c r="BU675" s="25"/>
      <c r="BV675" s="13"/>
      <c r="BY675" s="114"/>
    </row>
    <row r="676" spans="1:77" ht="19.5" x14ac:dyDescent="0.4">
      <c r="A676" s="117"/>
      <c r="B676" s="123"/>
      <c r="C676" s="123"/>
      <c r="D676" s="123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15"/>
      <c r="AL676" s="127"/>
      <c r="AM676" s="29"/>
      <c r="AN676" s="115"/>
      <c r="AO676" s="115"/>
      <c r="AP676" s="115"/>
      <c r="AQ676" s="115"/>
      <c r="AR676" s="115"/>
      <c r="AS676" s="115"/>
      <c r="AT676" s="115"/>
      <c r="AU676" s="115"/>
      <c r="AV676" s="115"/>
      <c r="AW676" s="25"/>
      <c r="AX676" s="13"/>
      <c r="BC676" s="116"/>
      <c r="BD676" s="123"/>
      <c r="BE676" s="123"/>
      <c r="BF676" s="123"/>
      <c r="BK676" s="115"/>
      <c r="BL676" s="115"/>
      <c r="BM676" s="115"/>
      <c r="BN676" s="115"/>
      <c r="BO676" s="115"/>
      <c r="BP676" s="115"/>
      <c r="BQ676" s="115"/>
      <c r="BR676" s="115"/>
      <c r="BS676" s="115"/>
      <c r="BT676" s="115"/>
      <c r="BU676" s="25"/>
      <c r="BV676" s="13"/>
      <c r="BY676" s="114"/>
    </row>
    <row r="677" spans="1:77" ht="19.5" x14ac:dyDescent="0.4">
      <c r="A677" s="117"/>
      <c r="B677" s="123"/>
      <c r="C677" s="123"/>
      <c r="D677" s="123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  <c r="AK677" s="115"/>
      <c r="AL677" s="127"/>
      <c r="AM677" s="29"/>
      <c r="AN677" s="115"/>
      <c r="AO677" s="115"/>
      <c r="AP677" s="115"/>
      <c r="AQ677" s="115"/>
      <c r="AR677" s="115"/>
      <c r="AS677" s="115"/>
      <c r="AT677" s="115"/>
      <c r="AU677" s="115"/>
      <c r="AV677" s="115"/>
      <c r="AW677" s="25"/>
      <c r="AX677" s="13"/>
      <c r="BC677" s="116"/>
      <c r="BD677" s="123"/>
      <c r="BE677" s="123"/>
      <c r="BF677" s="123"/>
      <c r="BK677" s="115"/>
      <c r="BL677" s="115"/>
      <c r="BM677" s="115"/>
      <c r="BN677" s="115"/>
      <c r="BO677" s="115"/>
      <c r="BP677" s="115"/>
      <c r="BQ677" s="115"/>
      <c r="BR677" s="115"/>
      <c r="BS677" s="115"/>
      <c r="BT677" s="115"/>
      <c r="BU677" s="25"/>
      <c r="BV677" s="13"/>
      <c r="BY677" s="114"/>
    </row>
    <row r="678" spans="1:77" ht="19.5" x14ac:dyDescent="0.4">
      <c r="A678" s="117"/>
      <c r="B678" s="123"/>
      <c r="C678" s="123"/>
      <c r="D678" s="123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15"/>
      <c r="AL678" s="29"/>
      <c r="AM678" s="29"/>
      <c r="AN678" s="115"/>
      <c r="AO678" s="115"/>
      <c r="AP678" s="115"/>
      <c r="AQ678" s="115"/>
      <c r="AR678" s="115"/>
      <c r="AS678" s="115"/>
      <c r="AT678" s="115"/>
      <c r="AU678" s="115"/>
      <c r="AV678" s="115"/>
      <c r="AW678" s="25"/>
      <c r="AX678" s="13"/>
      <c r="BC678" s="116"/>
      <c r="BD678" s="123"/>
      <c r="BE678" s="123"/>
      <c r="BF678" s="123"/>
      <c r="BK678" s="115"/>
      <c r="BL678" s="115"/>
      <c r="BM678" s="115"/>
      <c r="BN678" s="115"/>
      <c r="BO678" s="115"/>
      <c r="BP678" s="115"/>
      <c r="BQ678" s="115"/>
      <c r="BR678" s="115"/>
      <c r="BS678" s="115"/>
      <c r="BT678" s="115"/>
      <c r="BU678" s="25"/>
      <c r="BV678" s="13"/>
      <c r="BY678" s="114"/>
    </row>
    <row r="679" spans="1:77" ht="19.5" x14ac:dyDescent="0.4">
      <c r="A679" s="117"/>
      <c r="B679" s="123"/>
      <c r="C679" s="123"/>
      <c r="D679" s="123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15"/>
      <c r="AL679" s="127"/>
      <c r="AM679" s="29"/>
      <c r="AN679" s="115"/>
      <c r="AO679" s="115"/>
      <c r="AP679" s="115"/>
      <c r="AQ679" s="115"/>
      <c r="AR679" s="115"/>
      <c r="AS679" s="115"/>
      <c r="AT679" s="115"/>
      <c r="AU679" s="115"/>
      <c r="AV679" s="115"/>
      <c r="AW679" s="25"/>
      <c r="AX679" s="13"/>
      <c r="BC679" s="116"/>
      <c r="BD679" s="123"/>
      <c r="BE679" s="123"/>
      <c r="BF679" s="123"/>
      <c r="BK679" s="115"/>
      <c r="BL679" s="115"/>
      <c r="BM679" s="115"/>
      <c r="BN679" s="115"/>
      <c r="BO679" s="115"/>
      <c r="BP679" s="115"/>
      <c r="BQ679" s="115"/>
      <c r="BR679" s="115"/>
      <c r="BS679" s="115"/>
      <c r="BT679" s="115"/>
      <c r="BU679" s="25"/>
      <c r="BV679" s="13"/>
      <c r="BY679" s="114"/>
    </row>
    <row r="680" spans="1:77" ht="19.5" x14ac:dyDescent="0.4">
      <c r="A680" s="117"/>
      <c r="B680" s="123"/>
      <c r="C680" s="123"/>
      <c r="D680" s="123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15"/>
      <c r="AL680" s="29"/>
      <c r="AM680" s="29"/>
      <c r="AN680" s="115"/>
      <c r="AO680" s="115"/>
      <c r="AP680" s="115"/>
      <c r="AQ680" s="115"/>
      <c r="AR680" s="115"/>
      <c r="AS680" s="115"/>
      <c r="AT680" s="115"/>
      <c r="AU680" s="115"/>
      <c r="AV680" s="115"/>
      <c r="AW680" s="25"/>
      <c r="AX680" s="13"/>
      <c r="BC680" s="116"/>
      <c r="BD680" s="123"/>
      <c r="BE680" s="123"/>
      <c r="BF680" s="123"/>
      <c r="BK680" s="115"/>
      <c r="BL680" s="115"/>
      <c r="BM680" s="115"/>
      <c r="BN680" s="115"/>
      <c r="BO680" s="115"/>
      <c r="BP680" s="115"/>
      <c r="BQ680" s="115"/>
      <c r="BR680" s="115"/>
      <c r="BS680" s="115"/>
      <c r="BT680" s="115"/>
      <c r="BU680" s="25"/>
      <c r="BV680" s="13"/>
      <c r="BY680" s="114"/>
    </row>
    <row r="681" spans="1:77" ht="19.5" x14ac:dyDescent="0.4">
      <c r="A681" s="117"/>
      <c r="B681" s="123"/>
      <c r="C681" s="123"/>
      <c r="D681" s="123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27"/>
      <c r="AM681" s="29"/>
      <c r="AN681" s="115"/>
      <c r="AO681" s="115"/>
      <c r="AP681" s="115"/>
      <c r="AQ681" s="115"/>
      <c r="AR681" s="115"/>
      <c r="AS681" s="115"/>
      <c r="AT681" s="115"/>
      <c r="AU681" s="115"/>
      <c r="AV681" s="115"/>
      <c r="AW681" s="25"/>
      <c r="AX681" s="13"/>
      <c r="BC681" s="116"/>
      <c r="BD681" s="123"/>
      <c r="BE681" s="123"/>
      <c r="BF681" s="123"/>
      <c r="BK681" s="115"/>
      <c r="BL681" s="115"/>
      <c r="BM681" s="115"/>
      <c r="BN681" s="115"/>
      <c r="BO681" s="115"/>
      <c r="BP681" s="115"/>
      <c r="BQ681" s="115"/>
      <c r="BR681" s="115"/>
      <c r="BS681" s="115"/>
      <c r="BT681" s="115"/>
      <c r="BU681" s="25"/>
      <c r="BV681" s="13"/>
      <c r="BY681" s="114"/>
    </row>
    <row r="682" spans="1:77" ht="19.5" x14ac:dyDescent="0.4">
      <c r="A682" s="117"/>
      <c r="B682" s="123"/>
      <c r="C682" s="123"/>
      <c r="D682" s="123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29"/>
      <c r="AM682" s="29"/>
      <c r="AN682" s="115"/>
      <c r="AO682" s="115"/>
      <c r="AP682" s="115"/>
      <c r="AQ682" s="115"/>
      <c r="AR682" s="115"/>
      <c r="AS682" s="115"/>
      <c r="AT682" s="115"/>
      <c r="AU682" s="115"/>
      <c r="AV682" s="115"/>
      <c r="AW682" s="25"/>
      <c r="AX682" s="13"/>
      <c r="BC682" s="116"/>
      <c r="BD682" s="123"/>
      <c r="BE682" s="123"/>
      <c r="BF682" s="123"/>
      <c r="BK682" s="115"/>
      <c r="BL682" s="115"/>
      <c r="BM682" s="115"/>
      <c r="BN682" s="115"/>
      <c r="BO682" s="115"/>
      <c r="BP682" s="115"/>
      <c r="BQ682" s="115"/>
      <c r="BR682" s="115"/>
      <c r="BS682" s="115"/>
      <c r="BT682" s="115"/>
      <c r="BU682" s="25"/>
      <c r="BV682" s="13"/>
      <c r="BY682" s="114"/>
    </row>
    <row r="683" spans="1:77" ht="19.5" x14ac:dyDescent="0.4">
      <c r="A683" s="117"/>
      <c r="B683" s="123"/>
      <c r="C683" s="123"/>
      <c r="D683" s="123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29"/>
      <c r="AM683" s="29"/>
      <c r="AN683" s="115"/>
      <c r="AO683" s="115"/>
      <c r="AP683" s="115"/>
      <c r="AQ683" s="115"/>
      <c r="AR683" s="115"/>
      <c r="AS683" s="115"/>
      <c r="AT683" s="115"/>
      <c r="AU683" s="115"/>
      <c r="AV683" s="115"/>
      <c r="AW683" s="25"/>
      <c r="AX683" s="13"/>
      <c r="BC683" s="116"/>
      <c r="BD683" s="123"/>
      <c r="BE683" s="123"/>
      <c r="BF683" s="123"/>
      <c r="BK683" s="115"/>
      <c r="BL683" s="115"/>
      <c r="BM683" s="115"/>
      <c r="BN683" s="115"/>
      <c r="BO683" s="115"/>
      <c r="BP683" s="115"/>
      <c r="BQ683" s="115"/>
      <c r="BR683" s="115"/>
      <c r="BS683" s="115"/>
      <c r="BT683" s="115"/>
      <c r="BU683" s="25"/>
      <c r="BV683" s="13"/>
      <c r="BY683" s="114"/>
    </row>
    <row r="684" spans="1:77" ht="19.5" x14ac:dyDescent="0.4">
      <c r="A684" s="117"/>
      <c r="B684" s="123"/>
      <c r="C684" s="123"/>
      <c r="D684" s="123"/>
      <c r="AL684" s="127"/>
      <c r="AM684" s="29"/>
      <c r="AN684" s="115"/>
      <c r="AO684" s="115"/>
      <c r="AP684" s="115"/>
      <c r="AQ684" s="115"/>
      <c r="AR684" s="115"/>
      <c r="AS684" s="115"/>
      <c r="AT684" s="115"/>
      <c r="AU684" s="115"/>
      <c r="AV684" s="115"/>
      <c r="AW684" s="25">
        <v>45677</v>
      </c>
      <c r="AX684" s="13" t="s">
        <v>146</v>
      </c>
      <c r="BC684" s="116"/>
      <c r="BD684" s="123"/>
      <c r="BE684" s="123"/>
      <c r="BF684" s="123"/>
      <c r="BK684" s="115"/>
      <c r="BL684" s="115"/>
      <c r="BM684" s="115"/>
      <c r="BN684" s="115"/>
      <c r="BO684" s="115"/>
      <c r="BP684" s="115"/>
      <c r="BQ684" s="115"/>
      <c r="BR684" s="115"/>
      <c r="BS684" s="115"/>
      <c r="BT684" s="115"/>
      <c r="BU684" s="25"/>
      <c r="BV684" s="13"/>
      <c r="BY684" s="114"/>
    </row>
    <row r="685" spans="1:77" ht="19.5" x14ac:dyDescent="0.4">
      <c r="A685" s="117"/>
      <c r="B685" s="123"/>
      <c r="C685" s="123"/>
      <c r="D685" s="123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15"/>
      <c r="AL685" s="127"/>
      <c r="AM685" s="29"/>
      <c r="AN685" s="115"/>
      <c r="AO685" s="115"/>
      <c r="AP685" s="115"/>
      <c r="AQ685" s="115"/>
      <c r="AR685" s="115"/>
      <c r="AS685" s="115"/>
      <c r="AT685" s="115"/>
      <c r="AU685" s="115"/>
      <c r="AV685" s="115"/>
      <c r="AW685" s="25"/>
      <c r="AX685" s="13"/>
      <c r="BC685" s="116"/>
      <c r="BD685" s="123"/>
      <c r="BE685" s="123"/>
      <c r="BF685" s="123"/>
      <c r="BK685" s="115"/>
      <c r="BL685" s="115"/>
      <c r="BM685" s="115"/>
      <c r="BN685" s="115"/>
      <c r="BO685" s="115"/>
      <c r="BP685" s="115"/>
      <c r="BQ685" s="115"/>
      <c r="BR685" s="115"/>
      <c r="BS685" s="115"/>
      <c r="BT685" s="115"/>
      <c r="BU685" s="25"/>
      <c r="BV685" s="13"/>
      <c r="BY685" s="114"/>
    </row>
    <row r="686" spans="1:77" ht="19.5" x14ac:dyDescent="0.4">
      <c r="A686" s="117"/>
      <c r="B686" s="123"/>
      <c r="C686" s="123"/>
      <c r="D686" s="123"/>
      <c r="AL686" s="127"/>
      <c r="AM686" s="29"/>
      <c r="AN686" s="115"/>
      <c r="AO686" s="115"/>
      <c r="AP686" s="115"/>
      <c r="AQ686" s="115"/>
      <c r="AR686" s="115"/>
      <c r="AS686" s="115"/>
      <c r="AT686" s="115"/>
      <c r="AU686" s="115"/>
      <c r="AV686" s="115"/>
      <c r="AW686" s="25"/>
      <c r="AX686" s="13"/>
      <c r="BC686" s="116"/>
      <c r="BD686" s="123"/>
      <c r="BE686" s="123"/>
      <c r="BF686" s="123"/>
      <c r="BK686" s="115"/>
      <c r="BL686" s="115"/>
      <c r="BM686" s="115"/>
      <c r="BN686" s="115"/>
      <c r="BO686" s="115"/>
      <c r="BP686" s="115"/>
      <c r="BQ686" s="115"/>
      <c r="BR686" s="115"/>
      <c r="BS686" s="115"/>
      <c r="BT686" s="115"/>
      <c r="BU686" s="25"/>
      <c r="BV686" s="13"/>
      <c r="BY686" s="114"/>
    </row>
    <row r="687" spans="1:77" ht="19.5" x14ac:dyDescent="0.4">
      <c r="A687" s="117"/>
      <c r="B687" s="123"/>
      <c r="C687" s="123"/>
      <c r="D687" s="123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15"/>
      <c r="AL687" s="127"/>
      <c r="AM687" s="29"/>
      <c r="AN687" s="115"/>
      <c r="AO687" s="115"/>
      <c r="AP687" s="115"/>
      <c r="AQ687" s="115"/>
      <c r="AR687" s="115"/>
      <c r="AS687" s="115"/>
      <c r="AT687" s="115"/>
      <c r="AU687" s="115"/>
      <c r="AV687" s="115"/>
      <c r="AW687" s="25"/>
      <c r="AX687" s="13"/>
      <c r="BC687" s="116"/>
      <c r="BD687" s="123"/>
      <c r="BE687" s="123"/>
      <c r="BF687" s="123"/>
      <c r="BK687" s="115"/>
      <c r="BL687" s="115"/>
      <c r="BM687" s="115"/>
      <c r="BN687" s="115"/>
      <c r="BO687" s="115"/>
      <c r="BP687" s="115"/>
      <c r="BQ687" s="115"/>
      <c r="BR687" s="115"/>
      <c r="BS687" s="115"/>
      <c r="BT687" s="115"/>
      <c r="BU687" s="25"/>
      <c r="BV687" s="13"/>
      <c r="BY687" s="114"/>
    </row>
    <row r="688" spans="1:77" ht="19.5" x14ac:dyDescent="0.4">
      <c r="A688" s="117"/>
      <c r="B688" s="123"/>
      <c r="C688" s="123"/>
      <c r="D688" s="123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27"/>
      <c r="AM688" s="29"/>
      <c r="AN688" s="115"/>
      <c r="AO688" s="115"/>
      <c r="AP688" s="115"/>
      <c r="AQ688" s="115"/>
      <c r="AR688" s="115"/>
      <c r="AS688" s="115"/>
      <c r="AT688" s="115"/>
      <c r="AU688" s="115"/>
      <c r="AV688" s="115"/>
      <c r="AW688" s="25"/>
      <c r="AX688" s="13"/>
      <c r="BC688" s="116"/>
      <c r="BD688" s="123"/>
      <c r="BE688" s="123"/>
      <c r="BF688" s="123"/>
      <c r="BK688" s="115"/>
      <c r="BL688" s="115"/>
      <c r="BM688" s="115"/>
      <c r="BN688" s="115"/>
      <c r="BO688" s="115"/>
      <c r="BP688" s="115"/>
      <c r="BQ688" s="115"/>
      <c r="BR688" s="115"/>
      <c r="BS688" s="115"/>
      <c r="BT688" s="115"/>
      <c r="BU688" s="25"/>
      <c r="BV688" s="13"/>
      <c r="BY688" s="114"/>
    </row>
    <row r="689" spans="1:77" ht="19.5" x14ac:dyDescent="0.4">
      <c r="A689" s="117"/>
      <c r="B689" s="123"/>
      <c r="C689" s="123"/>
      <c r="D689" s="123"/>
      <c r="AL689" s="127"/>
      <c r="AM689" s="29"/>
      <c r="AN689" s="115"/>
      <c r="AO689" s="115"/>
      <c r="AP689" s="115"/>
      <c r="AQ689" s="115"/>
      <c r="AR689" s="115"/>
      <c r="AS689" s="115"/>
      <c r="AT689" s="115"/>
      <c r="AU689" s="115"/>
      <c r="AV689" s="115"/>
      <c r="AW689" s="25"/>
      <c r="AX689" s="13"/>
      <c r="BC689" s="116"/>
      <c r="BD689" s="123"/>
      <c r="BE689" s="123"/>
      <c r="BF689" s="123"/>
      <c r="BK689" s="115"/>
      <c r="BL689" s="115"/>
      <c r="BM689" s="115"/>
      <c r="BN689" s="115"/>
      <c r="BO689" s="115"/>
      <c r="BP689" s="115"/>
      <c r="BQ689" s="115"/>
      <c r="BR689" s="115"/>
      <c r="BS689" s="115"/>
      <c r="BT689" s="115"/>
      <c r="BU689" s="25"/>
      <c r="BV689" s="13"/>
      <c r="BY689" s="114"/>
    </row>
    <row r="690" spans="1:77" ht="19.5" x14ac:dyDescent="0.4">
      <c r="A690" s="117"/>
      <c r="B690" s="123"/>
      <c r="C690" s="123"/>
      <c r="D690" s="123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27"/>
      <c r="AM690" s="29"/>
      <c r="AN690" s="115"/>
      <c r="AO690" s="115"/>
      <c r="AP690" s="115"/>
      <c r="AQ690" s="115"/>
      <c r="AR690" s="115"/>
      <c r="AS690" s="115"/>
      <c r="AT690" s="115"/>
      <c r="AU690" s="115"/>
      <c r="AV690" s="115"/>
      <c r="AW690" s="25"/>
      <c r="AX690" s="13"/>
      <c r="BC690" s="116"/>
      <c r="BD690" s="123"/>
      <c r="BE690" s="123"/>
      <c r="BF690" s="123"/>
      <c r="BK690" s="115"/>
      <c r="BL690" s="115"/>
      <c r="BM690" s="115"/>
      <c r="BN690" s="115"/>
      <c r="BO690" s="115"/>
      <c r="BP690" s="115"/>
      <c r="BQ690" s="115"/>
      <c r="BR690" s="115"/>
      <c r="BS690" s="115"/>
      <c r="BT690" s="115"/>
      <c r="BU690" s="25"/>
      <c r="BV690" s="13"/>
      <c r="BY690" s="114"/>
    </row>
    <row r="691" spans="1:77" ht="19.5" x14ac:dyDescent="0.4">
      <c r="A691" s="117"/>
      <c r="B691" s="123"/>
      <c r="C691" s="123"/>
      <c r="D691" s="123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15"/>
      <c r="AL691" s="127"/>
      <c r="AM691" s="29"/>
      <c r="AN691" s="115"/>
      <c r="AO691" s="115"/>
      <c r="AP691" s="115"/>
      <c r="AQ691" s="115"/>
      <c r="AR691" s="115"/>
      <c r="AS691" s="115"/>
      <c r="AT691" s="115"/>
      <c r="AU691" s="115"/>
      <c r="AV691" s="115"/>
      <c r="AW691" s="25"/>
      <c r="AX691" s="13"/>
      <c r="BC691" s="116"/>
      <c r="BD691" s="123"/>
      <c r="BE691" s="123"/>
      <c r="BF691" s="123"/>
      <c r="BK691" s="115"/>
      <c r="BL691" s="115"/>
      <c r="BM691" s="115"/>
      <c r="BN691" s="115"/>
      <c r="BO691" s="115"/>
      <c r="BP691" s="115"/>
      <c r="BQ691" s="115"/>
      <c r="BR691" s="115"/>
      <c r="BS691" s="115"/>
      <c r="BT691" s="115"/>
      <c r="BU691" s="25"/>
      <c r="BV691" s="13"/>
      <c r="BY691" s="114"/>
    </row>
    <row r="692" spans="1:77" ht="19.5" x14ac:dyDescent="0.4">
      <c r="A692" s="117"/>
      <c r="B692" s="123"/>
      <c r="C692" s="123"/>
      <c r="D692" s="123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15"/>
      <c r="AL692" s="127"/>
      <c r="AM692" s="29"/>
      <c r="AN692" s="115"/>
      <c r="AO692" s="115"/>
      <c r="AP692" s="115"/>
      <c r="AQ692" s="115"/>
      <c r="AR692" s="115"/>
      <c r="AS692" s="115"/>
      <c r="AT692" s="115"/>
      <c r="AU692" s="115"/>
      <c r="AV692" s="115"/>
      <c r="AW692" s="25"/>
      <c r="AX692" s="13"/>
      <c r="BC692" s="116"/>
      <c r="BD692" s="123"/>
      <c r="BE692" s="123"/>
      <c r="BF692" s="123"/>
      <c r="BK692" s="115"/>
      <c r="BL692" s="115"/>
      <c r="BM692" s="115"/>
      <c r="BN692" s="115"/>
      <c r="BO692" s="115"/>
      <c r="BP692" s="115"/>
      <c r="BQ692" s="115"/>
      <c r="BR692" s="115"/>
      <c r="BS692" s="115"/>
      <c r="BT692" s="115"/>
      <c r="BU692" s="25"/>
      <c r="BV692" s="13"/>
      <c r="BY692" s="114"/>
    </row>
    <row r="693" spans="1:77" ht="19.5" x14ac:dyDescent="0.4">
      <c r="A693" s="117"/>
      <c r="B693" s="123"/>
      <c r="C693" s="123"/>
      <c r="D693" s="123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29"/>
      <c r="AM693" s="29"/>
      <c r="AN693" s="115"/>
      <c r="AO693" s="115"/>
      <c r="AP693" s="115"/>
      <c r="AQ693" s="115"/>
      <c r="AR693" s="115"/>
      <c r="AS693" s="115"/>
      <c r="AT693" s="115"/>
      <c r="AU693" s="115"/>
      <c r="AV693" s="115"/>
      <c r="AW693" s="25"/>
      <c r="AX693" s="13"/>
      <c r="BC693" s="116"/>
      <c r="BD693" s="123"/>
      <c r="BE693" s="123"/>
      <c r="BF693" s="123"/>
      <c r="BK693" s="115"/>
      <c r="BL693" s="115"/>
      <c r="BM693" s="115"/>
      <c r="BN693" s="115"/>
      <c r="BO693" s="115"/>
      <c r="BP693" s="115"/>
      <c r="BQ693" s="115"/>
      <c r="BR693" s="115"/>
      <c r="BS693" s="115"/>
      <c r="BT693" s="115"/>
      <c r="BU693" s="25"/>
      <c r="BV693" s="13"/>
      <c r="BY693" s="114"/>
    </row>
    <row r="694" spans="1:77" ht="19.5" x14ac:dyDescent="0.4">
      <c r="A694" s="117"/>
      <c r="B694" s="123"/>
      <c r="C694" s="123"/>
      <c r="D694" s="123"/>
      <c r="AL694" s="127"/>
      <c r="AM694" s="29"/>
      <c r="AN694" s="115"/>
      <c r="AO694" s="115"/>
      <c r="AP694" s="115"/>
      <c r="AQ694" s="115"/>
      <c r="AR694" s="115"/>
      <c r="AS694" s="115"/>
      <c r="AT694" s="115"/>
      <c r="AU694" s="115"/>
      <c r="AV694" s="115"/>
      <c r="AW694" s="25">
        <v>45677</v>
      </c>
      <c r="AX694" s="13" t="s">
        <v>147</v>
      </c>
      <c r="BC694" s="116"/>
      <c r="BD694" s="123"/>
      <c r="BE694" s="123"/>
      <c r="BF694" s="123"/>
      <c r="BK694" s="115"/>
      <c r="BL694" s="115"/>
      <c r="BM694" s="115"/>
      <c r="BN694" s="115"/>
      <c r="BO694" s="115"/>
      <c r="BP694" s="115"/>
      <c r="BQ694" s="115"/>
      <c r="BR694" s="115"/>
      <c r="BS694" s="115"/>
      <c r="BT694" s="115"/>
      <c r="BU694" s="25"/>
      <c r="BV694" s="13"/>
      <c r="BY694" s="114"/>
    </row>
    <row r="695" spans="1:77" ht="19.5" x14ac:dyDescent="0.4">
      <c r="A695" s="117"/>
      <c r="B695" s="123"/>
      <c r="C695" s="123"/>
      <c r="D695" s="123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27"/>
      <c r="AM695" s="29"/>
      <c r="AN695" s="115"/>
      <c r="AO695" s="115"/>
      <c r="AP695" s="115"/>
      <c r="AQ695" s="115"/>
      <c r="AR695" s="115"/>
      <c r="AS695" s="115"/>
      <c r="AT695" s="115"/>
      <c r="AU695" s="115"/>
      <c r="AV695" s="115"/>
      <c r="AW695" s="25"/>
      <c r="AX695" s="13"/>
      <c r="BC695" s="116"/>
      <c r="BD695" s="123"/>
      <c r="BE695" s="123"/>
      <c r="BF695" s="123"/>
      <c r="BK695" s="115"/>
      <c r="BL695" s="115"/>
      <c r="BM695" s="115"/>
      <c r="BN695" s="115"/>
      <c r="BO695" s="115"/>
      <c r="BP695" s="115"/>
      <c r="BQ695" s="115"/>
      <c r="BR695" s="115"/>
      <c r="BS695" s="115"/>
      <c r="BT695" s="115"/>
      <c r="BU695" s="25"/>
      <c r="BV695" s="13"/>
      <c r="BY695" s="114"/>
    </row>
    <row r="696" spans="1:77" ht="19.5" x14ac:dyDescent="0.4">
      <c r="A696" s="117"/>
      <c r="B696" s="123"/>
      <c r="C696" s="123"/>
      <c r="D696" s="123"/>
      <c r="AL696" s="127"/>
      <c r="AM696" s="29"/>
      <c r="AN696" s="115"/>
      <c r="AO696" s="115"/>
      <c r="AP696" s="115"/>
      <c r="AQ696" s="115"/>
      <c r="AR696" s="115"/>
      <c r="AS696" s="115"/>
      <c r="AT696" s="115"/>
      <c r="AU696" s="115"/>
      <c r="AV696" s="115"/>
      <c r="AW696" s="25">
        <v>45677</v>
      </c>
      <c r="AX696" s="25" t="s">
        <v>147</v>
      </c>
      <c r="BC696" s="116"/>
      <c r="BD696" s="123"/>
      <c r="BE696" s="123"/>
      <c r="BF696" s="123"/>
      <c r="BK696" s="115"/>
      <c r="BL696" s="115"/>
      <c r="BM696" s="115"/>
      <c r="BN696" s="115"/>
      <c r="BO696" s="115"/>
      <c r="BP696" s="115"/>
      <c r="BQ696" s="115"/>
      <c r="BR696" s="115"/>
      <c r="BS696" s="115"/>
      <c r="BT696" s="115"/>
      <c r="BU696" s="25"/>
      <c r="BV696" s="13"/>
      <c r="BY696" s="114"/>
    </row>
    <row r="697" spans="1:77" ht="19.5" x14ac:dyDescent="0.4">
      <c r="A697" s="117"/>
      <c r="B697" s="123"/>
      <c r="C697" s="123"/>
      <c r="D697" s="123"/>
      <c r="AL697" s="127"/>
      <c r="AM697" s="29"/>
      <c r="AN697" s="115"/>
      <c r="AO697" s="115"/>
      <c r="AP697" s="115"/>
      <c r="AQ697" s="115"/>
      <c r="AR697" s="115"/>
      <c r="AS697" s="115"/>
      <c r="AT697" s="115"/>
      <c r="AU697" s="115"/>
      <c r="AV697" s="115"/>
      <c r="AW697" s="25"/>
      <c r="AX697" s="25"/>
      <c r="BC697" s="116"/>
      <c r="BD697" s="123"/>
      <c r="BE697" s="123"/>
      <c r="BF697" s="123"/>
      <c r="BK697" s="115"/>
      <c r="BL697" s="115"/>
      <c r="BM697" s="115"/>
      <c r="BN697" s="115"/>
      <c r="BO697" s="115"/>
      <c r="BP697" s="115"/>
      <c r="BQ697" s="115"/>
      <c r="BR697" s="115"/>
      <c r="BS697" s="115"/>
      <c r="BT697" s="115"/>
      <c r="BU697" s="25"/>
      <c r="BV697" s="13"/>
      <c r="BY697" s="114"/>
    </row>
    <row r="698" spans="1:77" ht="19.5" x14ac:dyDescent="0.4">
      <c r="A698" s="117"/>
      <c r="B698" s="123"/>
      <c r="C698" s="123"/>
      <c r="D698" s="123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15"/>
      <c r="AL698" s="127"/>
      <c r="AM698" s="29"/>
      <c r="AN698" s="115"/>
      <c r="AO698" s="115"/>
      <c r="AP698" s="115"/>
      <c r="AQ698" s="115"/>
      <c r="AR698" s="115"/>
      <c r="AS698" s="115"/>
      <c r="AT698" s="115"/>
      <c r="AU698" s="115"/>
      <c r="AV698" s="115"/>
      <c r="AW698" s="25"/>
      <c r="AX698" s="25"/>
      <c r="BC698" s="116"/>
      <c r="BD698" s="123"/>
      <c r="BE698" s="123"/>
      <c r="BF698" s="123"/>
      <c r="BK698" s="115"/>
      <c r="BL698" s="115"/>
      <c r="BM698" s="115"/>
      <c r="BN698" s="115"/>
      <c r="BO698" s="115"/>
      <c r="BP698" s="115"/>
      <c r="BQ698" s="115"/>
      <c r="BR698" s="115"/>
      <c r="BS698" s="115"/>
      <c r="BT698" s="115"/>
      <c r="BU698" s="25"/>
      <c r="BV698" s="13"/>
      <c r="BY698" s="114"/>
    </row>
    <row r="699" spans="1:77" ht="19.5" x14ac:dyDescent="0.4">
      <c r="A699" s="117"/>
      <c r="B699" s="123"/>
      <c r="C699" s="123"/>
      <c r="D699" s="123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27"/>
      <c r="AM699" s="29"/>
      <c r="AN699" s="115"/>
      <c r="AO699" s="115"/>
      <c r="AP699" s="115"/>
      <c r="AQ699" s="115"/>
      <c r="AR699" s="115"/>
      <c r="AS699" s="115"/>
      <c r="AT699" s="115"/>
      <c r="AU699" s="115"/>
      <c r="AV699" s="115"/>
      <c r="AW699" s="25"/>
      <c r="AX699" s="25"/>
      <c r="BC699" s="116"/>
      <c r="BD699" s="123"/>
      <c r="BE699" s="123"/>
      <c r="BF699" s="123"/>
      <c r="BK699" s="115"/>
      <c r="BL699" s="115"/>
      <c r="BM699" s="115"/>
      <c r="BN699" s="115"/>
      <c r="BO699" s="115"/>
      <c r="BP699" s="115"/>
      <c r="BQ699" s="115"/>
      <c r="BR699" s="115"/>
      <c r="BS699" s="115"/>
      <c r="BT699" s="115"/>
      <c r="BU699" s="25"/>
      <c r="BV699" s="13"/>
      <c r="BY699" s="114"/>
    </row>
    <row r="700" spans="1:77" ht="19.5" x14ac:dyDescent="0.4">
      <c r="A700" s="117"/>
      <c r="B700" s="123"/>
      <c r="C700" s="123"/>
      <c r="D700" s="123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27"/>
      <c r="AM700" s="29"/>
      <c r="AN700" s="115"/>
      <c r="AO700" s="115"/>
      <c r="AP700" s="115"/>
      <c r="AQ700" s="115"/>
      <c r="AR700" s="115"/>
      <c r="AS700" s="115"/>
      <c r="AT700" s="115"/>
      <c r="AU700" s="115"/>
      <c r="AV700" s="115"/>
      <c r="AW700" s="25"/>
      <c r="AX700" s="25"/>
      <c r="BC700" s="116"/>
      <c r="BD700" s="123"/>
      <c r="BE700" s="123"/>
      <c r="BF700" s="123"/>
      <c r="BK700" s="115"/>
      <c r="BL700" s="115"/>
      <c r="BM700" s="115"/>
      <c r="BN700" s="115"/>
      <c r="BO700" s="115"/>
      <c r="BP700" s="115"/>
      <c r="BQ700" s="115"/>
      <c r="BR700" s="115"/>
      <c r="BS700" s="115"/>
      <c r="BT700" s="115"/>
      <c r="BU700" s="25"/>
      <c r="BV700" s="13"/>
      <c r="BY700" s="114"/>
    </row>
    <row r="701" spans="1:77" ht="19.5" x14ac:dyDescent="0.4">
      <c r="A701" s="117"/>
      <c r="B701" s="123"/>
      <c r="C701" s="123"/>
      <c r="D701" s="123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29"/>
      <c r="AM701" s="29"/>
      <c r="AN701" s="115"/>
      <c r="AO701" s="115"/>
      <c r="AP701" s="115"/>
      <c r="AQ701" s="115"/>
      <c r="AR701" s="115"/>
      <c r="AS701" s="115"/>
      <c r="AT701" s="115"/>
      <c r="AU701" s="115"/>
      <c r="AV701" s="115"/>
      <c r="AW701" s="25"/>
      <c r="AX701" s="25"/>
      <c r="BC701" s="116"/>
      <c r="BD701" s="123"/>
      <c r="BE701" s="123"/>
      <c r="BF701" s="123"/>
      <c r="BK701" s="115"/>
      <c r="BL701" s="115"/>
      <c r="BM701" s="115"/>
      <c r="BN701" s="115"/>
      <c r="BO701" s="115"/>
      <c r="BP701" s="115"/>
      <c r="BQ701" s="115"/>
      <c r="BR701" s="115"/>
      <c r="BS701" s="115"/>
      <c r="BT701" s="115"/>
      <c r="BU701" s="25"/>
      <c r="BV701" s="13"/>
      <c r="BY701" s="114"/>
    </row>
    <row r="702" spans="1:77" ht="19.5" x14ac:dyDescent="0.4">
      <c r="A702" s="117"/>
      <c r="B702" s="123"/>
      <c r="C702" s="123"/>
      <c r="D702" s="123"/>
      <c r="AL702" s="127"/>
      <c r="AM702" s="29"/>
      <c r="AN702" s="115"/>
      <c r="AO702" s="115"/>
      <c r="AP702" s="115"/>
      <c r="AQ702" s="115"/>
      <c r="AR702" s="115"/>
      <c r="AS702" s="115"/>
      <c r="AT702" s="115"/>
      <c r="AU702" s="115"/>
      <c r="AV702" s="115"/>
      <c r="AW702" s="25">
        <v>45678</v>
      </c>
      <c r="AX702" s="13" t="s">
        <v>147</v>
      </c>
      <c r="BC702" s="116"/>
      <c r="BD702" s="123"/>
      <c r="BE702" s="123"/>
      <c r="BF702" s="123"/>
      <c r="BK702" s="115"/>
      <c r="BL702" s="115"/>
      <c r="BM702" s="115"/>
      <c r="BN702" s="115"/>
      <c r="BO702" s="115"/>
      <c r="BP702" s="115"/>
      <c r="BQ702" s="115"/>
      <c r="BR702" s="115"/>
      <c r="BS702" s="115"/>
      <c r="BT702" s="115"/>
      <c r="BU702" s="25"/>
      <c r="BV702" s="13"/>
      <c r="BY702" s="114"/>
    </row>
    <row r="703" spans="1:77" ht="19.5" x14ac:dyDescent="0.4">
      <c r="A703" s="117"/>
      <c r="B703" s="123"/>
      <c r="C703" s="123"/>
      <c r="D703" s="123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27"/>
      <c r="AM703" s="29"/>
      <c r="AN703" s="115"/>
      <c r="AO703" s="115"/>
      <c r="AP703" s="115"/>
      <c r="AQ703" s="115"/>
      <c r="AR703" s="115"/>
      <c r="AS703" s="115"/>
      <c r="AT703" s="115"/>
      <c r="AU703" s="115"/>
      <c r="AV703" s="115"/>
      <c r="AW703" s="25"/>
      <c r="AX703" s="13"/>
      <c r="BC703" s="116"/>
      <c r="BD703" s="123"/>
      <c r="BE703" s="123"/>
      <c r="BF703" s="123"/>
      <c r="BK703" s="115"/>
      <c r="BL703" s="115"/>
      <c r="BM703" s="115"/>
      <c r="BN703" s="115"/>
      <c r="BO703" s="115"/>
      <c r="BP703" s="115"/>
      <c r="BQ703" s="115"/>
      <c r="BR703" s="115"/>
      <c r="BS703" s="115"/>
      <c r="BT703" s="115"/>
      <c r="BU703" s="25"/>
      <c r="BV703" s="13"/>
      <c r="BY703" s="114"/>
    </row>
    <row r="704" spans="1:77" ht="19.5" x14ac:dyDescent="0.4">
      <c r="A704" s="117"/>
      <c r="B704" s="123"/>
      <c r="C704" s="123"/>
      <c r="D704" s="123"/>
      <c r="AL704" s="127"/>
      <c r="AM704" s="29"/>
      <c r="AN704" s="115"/>
      <c r="AO704" s="115"/>
      <c r="AP704" s="115"/>
      <c r="AQ704" s="115"/>
      <c r="AR704" s="115"/>
      <c r="AS704" s="115"/>
      <c r="AT704" s="115"/>
      <c r="AU704" s="115"/>
      <c r="AV704" s="115"/>
      <c r="AW704" s="25">
        <v>45678</v>
      </c>
      <c r="AX704" s="13" t="s">
        <v>146</v>
      </c>
      <c r="BC704" s="116"/>
      <c r="BD704" s="123"/>
      <c r="BE704" s="123"/>
      <c r="BF704" s="123"/>
      <c r="BK704" s="115"/>
      <c r="BL704" s="115"/>
      <c r="BM704" s="115"/>
      <c r="BN704" s="115"/>
      <c r="BO704" s="115"/>
      <c r="BP704" s="115"/>
      <c r="BQ704" s="115"/>
      <c r="BR704" s="115"/>
      <c r="BS704" s="115"/>
      <c r="BT704" s="115"/>
      <c r="BU704" s="25"/>
      <c r="BV704" s="13"/>
      <c r="BY704" s="114"/>
    </row>
    <row r="705" spans="1:77" ht="19.5" x14ac:dyDescent="0.4">
      <c r="A705" s="117"/>
      <c r="B705" s="123"/>
      <c r="C705" s="123"/>
      <c r="D705" s="123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27"/>
      <c r="AM705" s="29"/>
      <c r="AN705" s="115"/>
      <c r="AO705" s="115"/>
      <c r="AP705" s="115"/>
      <c r="AQ705" s="115"/>
      <c r="AR705" s="115"/>
      <c r="AS705" s="115"/>
      <c r="AT705" s="115"/>
      <c r="AU705" s="115"/>
      <c r="AV705" s="115"/>
      <c r="AW705" s="25"/>
      <c r="AX705" s="13"/>
      <c r="BC705" s="116"/>
      <c r="BD705" s="123"/>
      <c r="BE705" s="123"/>
      <c r="BF705" s="123"/>
      <c r="BK705" s="115"/>
      <c r="BL705" s="115"/>
      <c r="BM705" s="115"/>
      <c r="BN705" s="115"/>
      <c r="BO705" s="115"/>
      <c r="BP705" s="115"/>
      <c r="BQ705" s="115"/>
      <c r="BR705" s="115"/>
      <c r="BS705" s="115"/>
      <c r="BT705" s="115"/>
      <c r="BU705" s="25"/>
      <c r="BV705" s="13"/>
      <c r="BY705" s="114"/>
    </row>
    <row r="706" spans="1:77" ht="19.5" x14ac:dyDescent="0.4">
      <c r="A706" s="117"/>
      <c r="B706" s="123"/>
      <c r="C706" s="123"/>
      <c r="D706" s="123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27"/>
      <c r="AM706" s="29"/>
      <c r="AN706" s="115"/>
      <c r="AO706" s="115"/>
      <c r="AP706" s="115"/>
      <c r="AQ706" s="115"/>
      <c r="AR706" s="115"/>
      <c r="AS706" s="115"/>
      <c r="AT706" s="115"/>
      <c r="AU706" s="115"/>
      <c r="AV706" s="115"/>
      <c r="AW706" s="25"/>
      <c r="AX706" s="13"/>
      <c r="BC706" s="116"/>
      <c r="BD706" s="123"/>
      <c r="BE706" s="123"/>
      <c r="BF706" s="123"/>
      <c r="BK706" s="115"/>
      <c r="BL706" s="115"/>
      <c r="BM706" s="115"/>
      <c r="BN706" s="115"/>
      <c r="BO706" s="115"/>
      <c r="BP706" s="115"/>
      <c r="BQ706" s="115"/>
      <c r="BR706" s="115"/>
      <c r="BS706" s="115"/>
      <c r="BT706" s="115"/>
      <c r="BU706" s="25"/>
      <c r="BV706" s="13"/>
      <c r="BY706" s="114"/>
    </row>
    <row r="707" spans="1:77" ht="19.5" x14ac:dyDescent="0.4">
      <c r="A707" s="117"/>
      <c r="B707" s="123"/>
      <c r="C707" s="123"/>
      <c r="D707" s="123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27"/>
      <c r="AM707" s="29"/>
      <c r="AN707" s="115"/>
      <c r="AO707" s="115"/>
      <c r="AP707" s="115"/>
      <c r="AQ707" s="115"/>
      <c r="AR707" s="115"/>
      <c r="AS707" s="115"/>
      <c r="AT707" s="115"/>
      <c r="AU707" s="115"/>
      <c r="AV707" s="115"/>
      <c r="AW707" s="25"/>
      <c r="AX707" s="13"/>
      <c r="BC707" s="116"/>
      <c r="BD707" s="123"/>
      <c r="BE707" s="123"/>
      <c r="BF707" s="123"/>
      <c r="BK707" s="115"/>
      <c r="BL707" s="115"/>
      <c r="BM707" s="115"/>
      <c r="BN707" s="115"/>
      <c r="BO707" s="115"/>
      <c r="BP707" s="115"/>
      <c r="BQ707" s="115"/>
      <c r="BR707" s="115"/>
      <c r="BS707" s="115"/>
      <c r="BT707" s="115"/>
      <c r="BU707" s="25"/>
      <c r="BV707" s="13"/>
      <c r="BY707" s="114"/>
    </row>
    <row r="708" spans="1:77" ht="19.5" x14ac:dyDescent="0.4">
      <c r="A708" s="117"/>
      <c r="B708" s="123"/>
      <c r="C708" s="123"/>
      <c r="D708" s="123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27"/>
      <c r="AM708" s="29"/>
      <c r="AN708" s="115"/>
      <c r="AO708" s="115"/>
      <c r="AP708" s="115"/>
      <c r="AQ708" s="115"/>
      <c r="AR708" s="115"/>
      <c r="AS708" s="115"/>
      <c r="AT708" s="115"/>
      <c r="AU708" s="115"/>
      <c r="AV708" s="115"/>
      <c r="AW708" s="25"/>
      <c r="AX708" s="13"/>
      <c r="BC708" s="116"/>
      <c r="BD708" s="123"/>
      <c r="BE708" s="123"/>
      <c r="BF708" s="123"/>
      <c r="BK708" s="115"/>
      <c r="BL708" s="115"/>
      <c r="BM708" s="115"/>
      <c r="BN708" s="115"/>
      <c r="BO708" s="115"/>
      <c r="BP708" s="115"/>
      <c r="BQ708" s="115"/>
      <c r="BR708" s="115"/>
      <c r="BS708" s="115"/>
      <c r="BT708" s="115"/>
      <c r="BU708" s="25"/>
      <c r="BV708" s="13"/>
      <c r="BY708" s="114"/>
    </row>
    <row r="709" spans="1:77" ht="19.5" x14ac:dyDescent="0.4">
      <c r="A709" s="117"/>
      <c r="B709" s="123"/>
      <c r="C709" s="123"/>
      <c r="D709" s="123"/>
      <c r="AL709" s="127"/>
      <c r="AM709" s="29"/>
      <c r="AN709" s="115"/>
      <c r="AO709" s="115"/>
      <c r="AP709" s="115"/>
      <c r="AQ709" s="115"/>
      <c r="AR709" s="115"/>
      <c r="AS709" s="115"/>
      <c r="AT709" s="115"/>
      <c r="AU709" s="115"/>
      <c r="AV709" s="115"/>
      <c r="AW709" s="25">
        <v>45678</v>
      </c>
      <c r="AX709" s="13" t="s">
        <v>148</v>
      </c>
      <c r="BC709" s="116"/>
      <c r="BD709" s="123"/>
      <c r="BE709" s="123"/>
      <c r="BF709" s="123"/>
      <c r="BK709" s="115"/>
      <c r="BL709" s="115"/>
      <c r="BM709" s="115"/>
      <c r="BN709" s="115"/>
      <c r="BO709" s="115"/>
      <c r="BP709" s="115"/>
      <c r="BQ709" s="115"/>
      <c r="BR709" s="115"/>
      <c r="BS709" s="115"/>
      <c r="BT709" s="115"/>
      <c r="BU709" s="25"/>
      <c r="BV709" s="13"/>
      <c r="BY709" s="114"/>
    </row>
    <row r="710" spans="1:77" ht="19.5" x14ac:dyDescent="0.4">
      <c r="A710" s="117"/>
      <c r="B710" s="123"/>
      <c r="C710" s="123"/>
      <c r="D710" s="123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27"/>
      <c r="AM710" s="29"/>
      <c r="AN710" s="115"/>
      <c r="AO710" s="115"/>
      <c r="AP710" s="115"/>
      <c r="AQ710" s="115"/>
      <c r="AR710" s="115"/>
      <c r="AS710" s="115"/>
      <c r="AT710" s="115"/>
      <c r="AU710" s="115"/>
      <c r="AV710" s="115"/>
      <c r="AW710" s="25"/>
      <c r="AX710" s="13"/>
      <c r="BC710" s="116"/>
      <c r="BD710" s="123"/>
      <c r="BE710" s="123"/>
      <c r="BF710" s="123"/>
      <c r="BK710" s="115"/>
      <c r="BL710" s="115"/>
      <c r="BM710" s="115"/>
      <c r="BN710" s="115"/>
      <c r="BO710" s="115"/>
      <c r="BP710" s="115"/>
      <c r="BQ710" s="115"/>
      <c r="BR710" s="115"/>
      <c r="BS710" s="115"/>
      <c r="BT710" s="115"/>
      <c r="BU710" s="25"/>
      <c r="BV710" s="13"/>
      <c r="BY710" s="114"/>
    </row>
    <row r="711" spans="1:77" ht="19.5" x14ac:dyDescent="0.4">
      <c r="A711" s="117"/>
      <c r="B711" s="123"/>
      <c r="C711" s="123"/>
      <c r="D711" s="123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29"/>
      <c r="AM711" s="29"/>
      <c r="AN711" s="115"/>
      <c r="AO711" s="115"/>
      <c r="AP711" s="115"/>
      <c r="AQ711" s="115"/>
      <c r="AR711" s="115"/>
      <c r="AS711" s="115"/>
      <c r="AT711" s="115"/>
      <c r="AU711" s="115"/>
      <c r="AV711" s="115"/>
      <c r="AW711" s="25"/>
      <c r="AX711" s="13"/>
      <c r="BC711" s="116"/>
      <c r="BD711" s="123"/>
      <c r="BE711" s="123"/>
      <c r="BF711" s="123"/>
      <c r="BK711" s="115"/>
      <c r="BL711" s="115"/>
      <c r="BM711" s="115"/>
      <c r="BN711" s="115"/>
      <c r="BO711" s="115"/>
      <c r="BP711" s="115"/>
      <c r="BQ711" s="115"/>
      <c r="BR711" s="115"/>
      <c r="BS711" s="115"/>
      <c r="BT711" s="115"/>
      <c r="BU711" s="25"/>
      <c r="BV711" s="13"/>
      <c r="BY711" s="114"/>
    </row>
    <row r="712" spans="1:77" ht="19.5" x14ac:dyDescent="0.4">
      <c r="A712" s="117"/>
      <c r="B712" s="123"/>
      <c r="C712" s="123"/>
      <c r="D712" s="123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15"/>
      <c r="AL712" s="127"/>
      <c r="AM712" s="134"/>
      <c r="AN712" s="115"/>
      <c r="AO712" s="115"/>
      <c r="AP712" s="115"/>
      <c r="AQ712" s="115"/>
      <c r="AR712" s="115"/>
      <c r="AS712" s="115"/>
      <c r="AT712" s="115"/>
      <c r="AU712" s="115"/>
      <c r="AV712" s="115"/>
      <c r="AW712" s="25"/>
      <c r="AX712" s="13"/>
      <c r="BC712" s="116"/>
      <c r="BD712" s="123"/>
      <c r="BE712" s="123"/>
      <c r="BF712" s="123"/>
      <c r="BK712" s="115"/>
      <c r="BL712" s="115"/>
      <c r="BM712" s="115"/>
      <c r="BN712" s="115"/>
      <c r="BO712" s="115"/>
      <c r="BP712" s="115"/>
      <c r="BQ712" s="115"/>
      <c r="BR712" s="115"/>
      <c r="BS712" s="115"/>
      <c r="BT712" s="115"/>
      <c r="BU712" s="25"/>
      <c r="BV712" s="13"/>
      <c r="BY712" s="114"/>
    </row>
    <row r="713" spans="1:77" ht="19.5" x14ac:dyDescent="0.4">
      <c r="A713" s="117"/>
      <c r="B713" s="123"/>
      <c r="C713" s="123"/>
      <c r="D713" s="123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27"/>
      <c r="AM713" s="29"/>
      <c r="AN713" s="115"/>
      <c r="AO713" s="115"/>
      <c r="AP713" s="115"/>
      <c r="AQ713" s="115"/>
      <c r="AR713" s="115"/>
      <c r="AS713" s="115"/>
      <c r="AT713" s="115"/>
      <c r="AU713" s="115"/>
      <c r="AV713" s="115"/>
      <c r="AW713" s="25"/>
      <c r="AX713" s="13"/>
      <c r="BC713" s="116"/>
      <c r="BD713" s="123"/>
      <c r="BE713" s="123"/>
      <c r="BF713" s="123"/>
      <c r="BK713" s="115"/>
      <c r="BL713" s="115"/>
      <c r="BM713" s="115"/>
      <c r="BN713" s="115"/>
      <c r="BO713" s="115"/>
      <c r="BP713" s="115"/>
      <c r="BQ713" s="115"/>
      <c r="BR713" s="115"/>
      <c r="BS713" s="115"/>
      <c r="BT713" s="115"/>
      <c r="BU713" s="25"/>
      <c r="BV713" s="13"/>
      <c r="BY713" s="114"/>
    </row>
    <row r="714" spans="1:77" ht="19.5" x14ac:dyDescent="0.4">
      <c r="A714" s="117"/>
      <c r="B714" s="123"/>
      <c r="C714" s="123"/>
      <c r="D714" s="123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115"/>
      <c r="AL714" s="127"/>
      <c r="AM714" s="29"/>
      <c r="AN714" s="115"/>
      <c r="AO714" s="115"/>
      <c r="AP714" s="115"/>
      <c r="AQ714" s="115"/>
      <c r="AR714" s="115"/>
      <c r="AS714" s="115"/>
      <c r="AT714" s="115"/>
      <c r="AU714" s="115"/>
      <c r="AV714" s="115"/>
      <c r="AW714" s="25"/>
      <c r="AX714" s="13"/>
      <c r="BC714" s="116"/>
      <c r="BD714" s="123"/>
      <c r="BE714" s="123"/>
      <c r="BF714" s="123"/>
      <c r="BK714" s="115"/>
      <c r="BL714" s="115"/>
      <c r="BM714" s="115"/>
      <c r="BN714" s="115"/>
      <c r="BO714" s="115"/>
      <c r="BP714" s="115"/>
      <c r="BQ714" s="115"/>
      <c r="BR714" s="115"/>
      <c r="BS714" s="115"/>
      <c r="BT714" s="115"/>
      <c r="BU714" s="25"/>
      <c r="BV714" s="13"/>
      <c r="BY714" s="114"/>
    </row>
    <row r="715" spans="1:77" ht="19.5" x14ac:dyDescent="0.4">
      <c r="A715" s="117"/>
      <c r="B715" s="123"/>
      <c r="C715" s="123"/>
      <c r="D715" s="123"/>
      <c r="AL715" s="127"/>
      <c r="AM715" s="29"/>
      <c r="AN715" s="115"/>
      <c r="AO715" s="115"/>
      <c r="AP715" s="115"/>
      <c r="AQ715" s="115"/>
      <c r="AR715" s="115"/>
      <c r="AS715" s="115"/>
      <c r="AT715" s="115"/>
      <c r="AU715" s="115"/>
      <c r="AV715" s="115"/>
      <c r="AW715" s="25">
        <v>45678</v>
      </c>
      <c r="AX715" s="13" t="s">
        <v>148</v>
      </c>
      <c r="BC715" s="116"/>
      <c r="BD715" s="123"/>
      <c r="BE715" s="123"/>
      <c r="BF715" s="123"/>
      <c r="BK715" s="115"/>
      <c r="BL715" s="115"/>
      <c r="BM715" s="115"/>
      <c r="BN715" s="115"/>
      <c r="BO715" s="115"/>
      <c r="BP715" s="115"/>
      <c r="BQ715" s="115"/>
      <c r="BR715" s="115"/>
      <c r="BS715" s="115"/>
      <c r="BT715" s="115"/>
      <c r="BU715" s="25"/>
      <c r="BV715" s="13"/>
      <c r="BY715" s="114"/>
    </row>
    <row r="716" spans="1:77" ht="19.5" x14ac:dyDescent="0.4">
      <c r="A716" s="117"/>
      <c r="B716" s="123"/>
      <c r="C716" s="123"/>
      <c r="D716" s="123"/>
      <c r="AL716" s="127"/>
      <c r="AM716" s="29"/>
      <c r="AN716" s="115"/>
      <c r="AO716" s="115"/>
      <c r="AP716" s="115"/>
      <c r="AQ716" s="115"/>
      <c r="AR716" s="115"/>
      <c r="AS716" s="115"/>
      <c r="AT716" s="115"/>
      <c r="AU716" s="115"/>
      <c r="AV716" s="115"/>
      <c r="AW716" s="25">
        <v>45678</v>
      </c>
      <c r="AX716" s="13" t="s">
        <v>148</v>
      </c>
      <c r="BC716" s="116"/>
      <c r="BD716" s="123"/>
      <c r="BE716" s="123"/>
      <c r="BF716" s="123"/>
      <c r="BK716" s="115"/>
      <c r="BL716" s="115"/>
      <c r="BM716" s="115"/>
      <c r="BN716" s="115"/>
      <c r="BO716" s="115"/>
      <c r="BP716" s="115"/>
      <c r="BQ716" s="115"/>
      <c r="BR716" s="115"/>
      <c r="BS716" s="115"/>
      <c r="BT716" s="115"/>
      <c r="BU716" s="25"/>
      <c r="BV716" s="13"/>
      <c r="BY716" s="114"/>
    </row>
    <row r="717" spans="1:77" ht="19.5" x14ac:dyDescent="0.4">
      <c r="A717" s="117"/>
      <c r="B717" s="123"/>
      <c r="C717" s="123"/>
      <c r="D717" s="123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15"/>
      <c r="AL717" s="127"/>
      <c r="AM717" s="29"/>
      <c r="AN717" s="115"/>
      <c r="AO717" s="115"/>
      <c r="AP717" s="115"/>
      <c r="AQ717" s="115"/>
      <c r="AR717" s="115"/>
      <c r="AS717" s="115"/>
      <c r="AT717" s="115"/>
      <c r="AU717" s="115"/>
      <c r="AV717" s="115"/>
      <c r="AW717" s="25"/>
      <c r="AX717" s="13"/>
      <c r="BC717" s="116"/>
      <c r="BD717" s="123"/>
      <c r="BE717" s="123"/>
      <c r="BF717" s="123"/>
      <c r="BK717" s="115"/>
      <c r="BL717" s="115"/>
      <c r="BM717" s="115"/>
      <c r="BN717" s="115"/>
      <c r="BO717" s="115"/>
      <c r="BP717" s="115"/>
      <c r="BQ717" s="115"/>
      <c r="BR717" s="115"/>
      <c r="BS717" s="115"/>
      <c r="BT717" s="115"/>
      <c r="BU717" s="25"/>
      <c r="BV717" s="13"/>
      <c r="BY717" s="114"/>
    </row>
    <row r="718" spans="1:77" ht="19.5" x14ac:dyDescent="0.4">
      <c r="A718" s="117"/>
      <c r="B718" s="123"/>
      <c r="C718" s="123"/>
      <c r="D718" s="123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27"/>
      <c r="AM718" s="29"/>
      <c r="AN718" s="115"/>
      <c r="AO718" s="115"/>
      <c r="AP718" s="115"/>
      <c r="AQ718" s="115"/>
      <c r="AR718" s="115"/>
      <c r="AS718" s="115"/>
      <c r="AT718" s="115"/>
      <c r="AU718" s="115"/>
      <c r="AV718" s="115"/>
      <c r="AW718" s="25"/>
      <c r="AX718" s="13"/>
      <c r="BC718" s="116"/>
      <c r="BD718" s="123"/>
      <c r="BE718" s="123"/>
      <c r="BF718" s="123"/>
      <c r="BK718" s="115"/>
      <c r="BL718" s="115"/>
      <c r="BM718" s="115"/>
      <c r="BN718" s="115"/>
      <c r="BO718" s="115"/>
      <c r="BP718" s="115"/>
      <c r="BQ718" s="115"/>
      <c r="BR718" s="115"/>
      <c r="BS718" s="115"/>
      <c r="BT718" s="115"/>
      <c r="BU718" s="25"/>
      <c r="BV718" s="13"/>
      <c r="BY718" s="114"/>
    </row>
    <row r="719" spans="1:77" ht="19.5" x14ac:dyDescent="0.4">
      <c r="A719" s="117"/>
      <c r="B719" s="123"/>
      <c r="C719" s="123"/>
      <c r="D719" s="123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15"/>
      <c r="AL719" s="127"/>
      <c r="AM719" s="29"/>
      <c r="AN719" s="115"/>
      <c r="AO719" s="115"/>
      <c r="AP719" s="115"/>
      <c r="AQ719" s="115"/>
      <c r="AR719" s="115"/>
      <c r="AS719" s="115"/>
      <c r="AT719" s="115"/>
      <c r="AU719" s="115"/>
      <c r="AV719" s="115"/>
      <c r="AW719" s="25"/>
      <c r="AX719" s="13"/>
      <c r="BC719" s="116"/>
      <c r="BD719" s="123"/>
      <c r="BE719" s="123"/>
      <c r="BF719" s="123"/>
      <c r="BK719" s="115"/>
      <c r="BL719" s="115"/>
      <c r="BM719" s="115"/>
      <c r="BN719" s="115"/>
      <c r="BO719" s="115"/>
      <c r="BP719" s="115"/>
      <c r="BQ719" s="115"/>
      <c r="BR719" s="115"/>
      <c r="BS719" s="115"/>
      <c r="BT719" s="115"/>
      <c r="BU719" s="25"/>
      <c r="BV719" s="13"/>
      <c r="BY719" s="114"/>
    </row>
    <row r="720" spans="1:77" ht="19.5" x14ac:dyDescent="0.4">
      <c r="A720" s="117"/>
      <c r="B720" s="123"/>
      <c r="C720" s="123"/>
      <c r="D720" s="123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127"/>
      <c r="AM720" s="29"/>
      <c r="AN720" s="115"/>
      <c r="AO720" s="115"/>
      <c r="AP720" s="115"/>
      <c r="AQ720" s="115"/>
      <c r="AR720" s="115"/>
      <c r="AS720" s="115"/>
      <c r="AT720" s="115"/>
      <c r="AU720" s="115"/>
      <c r="AV720" s="115"/>
      <c r="AW720" s="25"/>
      <c r="AX720" s="13"/>
      <c r="BC720" s="116"/>
      <c r="BD720" s="123"/>
      <c r="BE720" s="123"/>
      <c r="BF720" s="123"/>
      <c r="BK720" s="115"/>
      <c r="BL720" s="115"/>
      <c r="BM720" s="115"/>
      <c r="BN720" s="115"/>
      <c r="BO720" s="115"/>
      <c r="BP720" s="115"/>
      <c r="BQ720" s="115"/>
      <c r="BR720" s="115"/>
      <c r="BS720" s="115"/>
      <c r="BT720" s="115"/>
      <c r="BU720" s="25"/>
      <c r="BV720" s="13"/>
      <c r="BY720" s="114"/>
    </row>
    <row r="721" spans="1:77" ht="19.5" x14ac:dyDescent="0.4">
      <c r="A721" s="117"/>
      <c r="B721" s="123"/>
      <c r="C721" s="123"/>
      <c r="D721" s="123"/>
      <c r="AL721" s="127"/>
      <c r="AM721" s="29"/>
      <c r="AN721" s="115"/>
      <c r="AO721" s="115"/>
      <c r="AP721" s="115"/>
      <c r="AQ721" s="115"/>
      <c r="AR721" s="115"/>
      <c r="AS721" s="115"/>
      <c r="AT721" s="115"/>
      <c r="AU721" s="115"/>
      <c r="AV721" s="115"/>
      <c r="AW721" s="25">
        <v>45679</v>
      </c>
      <c r="AX721" s="15" t="s">
        <v>146</v>
      </c>
      <c r="BC721" s="116"/>
      <c r="BD721" s="123"/>
      <c r="BE721" s="123"/>
      <c r="BF721" s="123"/>
      <c r="BK721" s="115"/>
      <c r="BL721" s="115"/>
      <c r="BM721" s="115"/>
      <c r="BN721" s="115"/>
      <c r="BO721" s="115"/>
      <c r="BP721" s="115"/>
      <c r="BQ721" s="115"/>
      <c r="BR721" s="115"/>
      <c r="BS721" s="115"/>
      <c r="BT721" s="115"/>
      <c r="BU721" s="25"/>
      <c r="BV721" s="13"/>
      <c r="BY721" s="114"/>
    </row>
    <row r="722" spans="1:77" ht="19.5" x14ac:dyDescent="0.4">
      <c r="A722" s="117"/>
      <c r="B722" s="123"/>
      <c r="C722" s="123"/>
      <c r="D722" s="123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15"/>
      <c r="AL722" s="127"/>
      <c r="AM722" s="29"/>
      <c r="AN722" s="115"/>
      <c r="AO722" s="115"/>
      <c r="AP722" s="115"/>
      <c r="AQ722" s="115"/>
      <c r="AR722" s="115"/>
      <c r="AS722" s="115"/>
      <c r="AT722" s="115"/>
      <c r="AU722" s="115"/>
      <c r="AV722" s="115"/>
      <c r="AW722" s="25"/>
      <c r="AX722" s="15"/>
      <c r="BC722" s="116"/>
      <c r="BD722" s="123"/>
      <c r="BE722" s="123"/>
      <c r="BF722" s="123"/>
      <c r="BK722" s="115"/>
      <c r="BL722" s="115"/>
      <c r="BM722" s="115"/>
      <c r="BN722" s="115"/>
      <c r="BO722" s="115"/>
      <c r="BP722" s="115"/>
      <c r="BQ722" s="115"/>
      <c r="BR722" s="115"/>
      <c r="BS722" s="115"/>
      <c r="BT722" s="115"/>
      <c r="BU722" s="25"/>
      <c r="BV722" s="13"/>
      <c r="BY722" s="114"/>
    </row>
    <row r="723" spans="1:77" ht="19.5" x14ac:dyDescent="0.4">
      <c r="A723" s="117"/>
      <c r="B723" s="123"/>
      <c r="C723" s="123"/>
      <c r="D723" s="123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29"/>
      <c r="AM723" s="29"/>
      <c r="AN723" s="115"/>
      <c r="AO723" s="115"/>
      <c r="AP723" s="115"/>
      <c r="AQ723" s="115"/>
      <c r="AR723" s="115"/>
      <c r="AS723" s="115"/>
      <c r="AT723" s="115"/>
      <c r="AU723" s="115"/>
      <c r="AV723" s="115"/>
      <c r="AW723" s="25"/>
      <c r="AX723" s="15"/>
      <c r="BC723" s="116"/>
      <c r="BD723" s="123"/>
      <c r="BE723" s="123"/>
      <c r="BF723" s="123"/>
      <c r="BK723" s="115"/>
      <c r="BL723" s="115"/>
      <c r="BM723" s="115"/>
      <c r="BN723" s="115"/>
      <c r="BO723" s="115"/>
      <c r="BP723" s="115"/>
      <c r="BQ723" s="115"/>
      <c r="BR723" s="115"/>
      <c r="BS723" s="115"/>
      <c r="BT723" s="115"/>
      <c r="BU723" s="25"/>
      <c r="BV723" s="13"/>
      <c r="BY723" s="114"/>
    </row>
    <row r="724" spans="1:77" ht="19.5" x14ac:dyDescent="0.4">
      <c r="A724" s="117"/>
      <c r="B724" s="123"/>
      <c r="C724" s="123"/>
      <c r="D724" s="123"/>
      <c r="AL724" s="127"/>
      <c r="AM724" s="29"/>
      <c r="AN724" s="115"/>
      <c r="AO724" s="115"/>
      <c r="AP724" s="115"/>
      <c r="AQ724" s="115"/>
      <c r="AR724" s="115"/>
      <c r="AS724" s="115"/>
      <c r="AT724" s="115"/>
      <c r="AU724" s="115"/>
      <c r="AV724" s="115"/>
      <c r="AW724" s="25"/>
      <c r="AX724" s="15"/>
      <c r="BC724" s="116"/>
      <c r="BD724" s="123"/>
      <c r="BE724" s="123"/>
      <c r="BF724" s="123"/>
      <c r="BK724" s="115"/>
      <c r="BL724" s="115"/>
      <c r="BM724" s="115"/>
      <c r="BN724" s="115"/>
      <c r="BO724" s="115"/>
      <c r="BP724" s="115"/>
      <c r="BQ724" s="115"/>
      <c r="BR724" s="115"/>
      <c r="BS724" s="115"/>
      <c r="BT724" s="115"/>
      <c r="BU724" s="25"/>
      <c r="BV724" s="13"/>
      <c r="BY724" s="114"/>
    </row>
    <row r="725" spans="1:77" ht="19.5" x14ac:dyDescent="0.4">
      <c r="A725" s="117"/>
      <c r="B725" s="123"/>
      <c r="C725" s="123"/>
      <c r="D725" s="123"/>
      <c r="AB725" s="115"/>
      <c r="AC725" s="115"/>
      <c r="AD725" s="115"/>
      <c r="AE725" s="115"/>
      <c r="AF725" s="115"/>
      <c r="AG725" s="115"/>
      <c r="AH725" s="115"/>
      <c r="AI725" s="115"/>
      <c r="AJ725" s="115"/>
      <c r="AK725" s="115"/>
      <c r="AL725" s="127"/>
      <c r="AM725" s="29"/>
      <c r="AN725" s="115"/>
      <c r="AO725" s="115"/>
      <c r="AP725" s="115"/>
      <c r="AQ725" s="115"/>
      <c r="AR725" s="115"/>
      <c r="AS725" s="115"/>
      <c r="AT725" s="115"/>
      <c r="AU725" s="115"/>
      <c r="AV725" s="115"/>
      <c r="AW725" s="25"/>
      <c r="AX725" s="15"/>
      <c r="BC725" s="116"/>
      <c r="BD725" s="123"/>
      <c r="BE725" s="123"/>
      <c r="BF725" s="123"/>
      <c r="BK725" s="115"/>
      <c r="BL725" s="115"/>
      <c r="BM725" s="115"/>
      <c r="BN725" s="115"/>
      <c r="BO725" s="115"/>
      <c r="BP725" s="115"/>
      <c r="BQ725" s="115"/>
      <c r="BR725" s="115"/>
      <c r="BS725" s="115"/>
      <c r="BT725" s="115"/>
      <c r="BU725" s="25"/>
      <c r="BV725" s="13"/>
      <c r="BY725" s="114"/>
    </row>
    <row r="726" spans="1:77" ht="19.5" x14ac:dyDescent="0.4">
      <c r="A726" s="117"/>
      <c r="B726" s="123"/>
      <c r="C726" s="123"/>
      <c r="D726" s="123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29"/>
      <c r="AM726" s="29"/>
      <c r="AN726" s="115"/>
      <c r="AO726" s="115"/>
      <c r="AP726" s="115"/>
      <c r="AQ726" s="115"/>
      <c r="AR726" s="115"/>
      <c r="AS726" s="115"/>
      <c r="AT726" s="115"/>
      <c r="AU726" s="115"/>
      <c r="AV726" s="115"/>
      <c r="AW726" s="25"/>
      <c r="AX726" s="15"/>
      <c r="BC726" s="116"/>
      <c r="BD726" s="123"/>
      <c r="BE726" s="123"/>
      <c r="BF726" s="123"/>
      <c r="BK726" s="115"/>
      <c r="BL726" s="115"/>
      <c r="BM726" s="115"/>
      <c r="BN726" s="115"/>
      <c r="BO726" s="115"/>
      <c r="BP726" s="115"/>
      <c r="BQ726" s="115"/>
      <c r="BR726" s="115"/>
      <c r="BS726" s="115"/>
      <c r="BT726" s="115"/>
      <c r="BU726" s="25"/>
      <c r="BV726" s="13"/>
      <c r="BY726" s="114"/>
    </row>
    <row r="727" spans="1:77" ht="19.5" x14ac:dyDescent="0.4">
      <c r="A727" s="117"/>
      <c r="B727" s="123"/>
      <c r="C727" s="123"/>
      <c r="D727" s="123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27"/>
      <c r="AM727" s="29"/>
      <c r="AN727" s="115"/>
      <c r="AO727" s="115"/>
      <c r="AP727" s="115"/>
      <c r="AQ727" s="115"/>
      <c r="AR727" s="115"/>
      <c r="AS727" s="115"/>
      <c r="AT727" s="115"/>
      <c r="AU727" s="115"/>
      <c r="AV727" s="115"/>
      <c r="AW727" s="25"/>
      <c r="AX727" s="15"/>
      <c r="BC727" s="116"/>
      <c r="BD727" s="123"/>
      <c r="BE727" s="123"/>
      <c r="BF727" s="123"/>
      <c r="BK727" s="115"/>
      <c r="BL727" s="115"/>
      <c r="BM727" s="115"/>
      <c r="BN727" s="115"/>
      <c r="BO727" s="115"/>
      <c r="BP727" s="115"/>
      <c r="BQ727" s="115"/>
      <c r="BR727" s="115"/>
      <c r="BS727" s="115"/>
      <c r="BT727" s="115"/>
      <c r="BU727" s="25"/>
      <c r="BV727" s="13"/>
      <c r="BY727" s="114"/>
    </row>
    <row r="728" spans="1:77" ht="19.5" x14ac:dyDescent="0.4">
      <c r="A728" s="117"/>
      <c r="B728" s="123"/>
      <c r="C728" s="123"/>
      <c r="D728" s="123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27"/>
      <c r="AM728" s="29"/>
      <c r="AN728" s="115"/>
      <c r="AO728" s="115"/>
      <c r="AP728" s="115"/>
      <c r="AQ728" s="115"/>
      <c r="AR728" s="115"/>
      <c r="AS728" s="115"/>
      <c r="AT728" s="115"/>
      <c r="AU728" s="115"/>
      <c r="AV728" s="115"/>
      <c r="AW728" s="25"/>
      <c r="AX728" s="15"/>
      <c r="BC728" s="116"/>
      <c r="BD728" s="123"/>
      <c r="BE728" s="123"/>
      <c r="BF728" s="123"/>
      <c r="BK728" s="115"/>
      <c r="BL728" s="115"/>
      <c r="BM728" s="115"/>
      <c r="BN728" s="115"/>
      <c r="BO728" s="115"/>
      <c r="BP728" s="115"/>
      <c r="BQ728" s="115"/>
      <c r="BR728" s="115"/>
      <c r="BS728" s="115"/>
      <c r="BT728" s="115"/>
      <c r="BU728" s="25"/>
      <c r="BV728" s="13"/>
      <c r="BY728" s="114"/>
    </row>
    <row r="729" spans="1:77" ht="19.5" x14ac:dyDescent="0.4">
      <c r="A729" s="117"/>
      <c r="B729" s="123"/>
      <c r="C729" s="123"/>
      <c r="D729" s="123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27"/>
      <c r="AM729" s="29"/>
      <c r="AN729" s="115"/>
      <c r="AO729" s="115"/>
      <c r="AP729" s="115"/>
      <c r="AQ729" s="115"/>
      <c r="AR729" s="115"/>
      <c r="AS729" s="115"/>
      <c r="AT729" s="115"/>
      <c r="AU729" s="115"/>
      <c r="AV729" s="115"/>
      <c r="AW729" s="25"/>
      <c r="AX729" s="15"/>
      <c r="BC729" s="116"/>
      <c r="BD729" s="123"/>
      <c r="BE729" s="123"/>
      <c r="BF729" s="123"/>
      <c r="BK729" s="115"/>
      <c r="BL729" s="115"/>
      <c r="BM729" s="115"/>
      <c r="BN729" s="115"/>
      <c r="BO729" s="115"/>
      <c r="BP729" s="115"/>
      <c r="BQ729" s="115"/>
      <c r="BR729" s="115"/>
      <c r="BS729" s="115"/>
      <c r="BT729" s="115"/>
      <c r="BU729" s="25"/>
      <c r="BV729" s="13"/>
      <c r="BY729" s="114"/>
    </row>
    <row r="730" spans="1:77" ht="19.5" x14ac:dyDescent="0.4">
      <c r="A730" s="117"/>
      <c r="B730" s="123"/>
      <c r="C730" s="123"/>
      <c r="D730" s="123"/>
      <c r="AL730" s="127"/>
      <c r="AM730" s="29"/>
      <c r="AN730" s="115"/>
      <c r="AO730" s="115"/>
      <c r="AP730" s="115"/>
      <c r="AQ730" s="115"/>
      <c r="AR730" s="115"/>
      <c r="AS730" s="115"/>
      <c r="AT730" s="115"/>
      <c r="AU730" s="115"/>
      <c r="AV730" s="115"/>
      <c r="AW730" s="25">
        <v>45679</v>
      </c>
      <c r="AX730" s="15" t="s">
        <v>148</v>
      </c>
      <c r="BC730" s="116"/>
      <c r="BD730" s="123"/>
      <c r="BE730" s="123"/>
      <c r="BF730" s="123"/>
      <c r="BK730" s="115"/>
      <c r="BL730" s="115"/>
      <c r="BM730" s="115"/>
      <c r="BN730" s="115"/>
      <c r="BO730" s="115"/>
      <c r="BP730" s="115"/>
      <c r="BQ730" s="115"/>
      <c r="BR730" s="115"/>
      <c r="BS730" s="115"/>
      <c r="BT730" s="115"/>
      <c r="BU730" s="25"/>
      <c r="BV730" s="13"/>
      <c r="BY730" s="114"/>
    </row>
    <row r="731" spans="1:77" ht="19.5" x14ac:dyDescent="0.4">
      <c r="A731" s="117"/>
      <c r="B731" s="123"/>
      <c r="C731" s="123"/>
      <c r="D731" s="123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27"/>
      <c r="AM731" s="29"/>
      <c r="AN731" s="115"/>
      <c r="AO731" s="115"/>
      <c r="AP731" s="115"/>
      <c r="AQ731" s="115"/>
      <c r="AR731" s="115"/>
      <c r="AS731" s="115"/>
      <c r="AT731" s="115"/>
      <c r="AU731" s="115"/>
      <c r="AV731" s="115"/>
      <c r="AW731" s="25"/>
      <c r="AX731" s="13"/>
      <c r="BC731" s="116"/>
      <c r="BD731" s="123"/>
      <c r="BE731" s="123"/>
      <c r="BF731" s="123"/>
      <c r="BK731" s="115"/>
      <c r="BL731" s="115"/>
      <c r="BM731" s="115"/>
      <c r="BN731" s="115"/>
      <c r="BO731" s="115"/>
      <c r="BP731" s="115"/>
      <c r="BQ731" s="115"/>
      <c r="BR731" s="115"/>
      <c r="BS731" s="115"/>
      <c r="BT731" s="115"/>
      <c r="BU731" s="25"/>
      <c r="BV731" s="13"/>
      <c r="BY731" s="114"/>
    </row>
    <row r="732" spans="1:77" ht="19.5" x14ac:dyDescent="0.4">
      <c r="A732" s="117"/>
      <c r="B732" s="123"/>
      <c r="C732" s="123"/>
      <c r="D732" s="123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  <c r="AK732" s="115"/>
      <c r="AL732" s="127"/>
      <c r="AM732" s="29"/>
      <c r="AN732" s="115"/>
      <c r="AO732" s="115"/>
      <c r="AP732" s="115"/>
      <c r="AQ732" s="115"/>
      <c r="AR732" s="115"/>
      <c r="AS732" s="115"/>
      <c r="AT732" s="115"/>
      <c r="AU732" s="115"/>
      <c r="AV732" s="115"/>
      <c r="AW732" s="25"/>
      <c r="AX732" s="13"/>
      <c r="BC732" s="116"/>
      <c r="BD732" s="123"/>
      <c r="BE732" s="123"/>
      <c r="BF732" s="123"/>
      <c r="BK732" s="115"/>
      <c r="BL732" s="115"/>
      <c r="BM732" s="115"/>
      <c r="BN732" s="115"/>
      <c r="BO732" s="115"/>
      <c r="BP732" s="115"/>
      <c r="BQ732" s="115"/>
      <c r="BR732" s="115"/>
      <c r="BS732" s="115"/>
      <c r="BT732" s="115"/>
      <c r="BU732" s="25"/>
      <c r="BV732" s="13"/>
      <c r="BY732" s="114"/>
    </row>
    <row r="733" spans="1:77" ht="19.5" x14ac:dyDescent="0.4">
      <c r="A733" s="117"/>
      <c r="B733" s="123"/>
      <c r="C733" s="123"/>
      <c r="D733" s="123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27"/>
      <c r="AM733" s="29"/>
      <c r="AN733" s="115"/>
      <c r="AO733" s="115"/>
      <c r="AP733" s="115"/>
      <c r="AQ733" s="115"/>
      <c r="AR733" s="115"/>
      <c r="AS733" s="115"/>
      <c r="AT733" s="115"/>
      <c r="AU733" s="115"/>
      <c r="AV733" s="115"/>
      <c r="AW733" s="25"/>
      <c r="AX733" s="13"/>
      <c r="BC733" s="116"/>
      <c r="BD733" s="123"/>
      <c r="BE733" s="123"/>
      <c r="BF733" s="123"/>
      <c r="BK733" s="115"/>
      <c r="BL733" s="115"/>
      <c r="BM733" s="115"/>
      <c r="BN733" s="115"/>
      <c r="BO733" s="115"/>
      <c r="BP733" s="115"/>
      <c r="BQ733" s="115"/>
      <c r="BR733" s="115"/>
      <c r="BS733" s="115"/>
      <c r="BT733" s="115"/>
      <c r="BU733" s="25"/>
      <c r="BV733" s="13"/>
      <c r="BY733" s="114"/>
    </row>
    <row r="734" spans="1:77" ht="19.5" x14ac:dyDescent="0.4">
      <c r="A734" s="117"/>
      <c r="B734" s="123"/>
      <c r="C734" s="123"/>
      <c r="D734" s="123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29"/>
      <c r="AM734" s="29"/>
      <c r="AN734" s="115"/>
      <c r="AO734" s="115"/>
      <c r="AP734" s="115"/>
      <c r="AQ734" s="115"/>
      <c r="AR734" s="115"/>
      <c r="AS734" s="115"/>
      <c r="AT734" s="115"/>
      <c r="AU734" s="115"/>
      <c r="AV734" s="115"/>
      <c r="AW734" s="25"/>
      <c r="AX734" s="13"/>
      <c r="BC734" s="116"/>
      <c r="BD734" s="123"/>
      <c r="BE734" s="123"/>
      <c r="BF734" s="123"/>
      <c r="BK734" s="115"/>
      <c r="BL734" s="115"/>
      <c r="BM734" s="115"/>
      <c r="BN734" s="115"/>
      <c r="BO734" s="115"/>
      <c r="BP734" s="115"/>
      <c r="BQ734" s="115"/>
      <c r="BR734" s="115"/>
      <c r="BS734" s="115"/>
      <c r="BT734" s="115"/>
      <c r="BU734" s="25"/>
      <c r="BV734" s="13"/>
      <c r="BY734" s="114"/>
    </row>
    <row r="735" spans="1:77" ht="19.5" x14ac:dyDescent="0.4">
      <c r="A735" s="117"/>
      <c r="B735" s="123"/>
      <c r="C735" s="123"/>
      <c r="D735" s="123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27"/>
      <c r="AM735" s="29"/>
      <c r="AN735" s="115"/>
      <c r="AO735" s="115"/>
      <c r="AP735" s="115"/>
      <c r="AQ735" s="115"/>
      <c r="AR735" s="115"/>
      <c r="AS735" s="115"/>
      <c r="AT735" s="115"/>
      <c r="AU735" s="115"/>
      <c r="AV735" s="115"/>
      <c r="AW735" s="25"/>
      <c r="AX735" s="13"/>
      <c r="BC735" s="116"/>
      <c r="BD735" s="123"/>
      <c r="BE735" s="123"/>
      <c r="BF735" s="123"/>
      <c r="BK735" s="115"/>
      <c r="BL735" s="115"/>
      <c r="BM735" s="115"/>
      <c r="BN735" s="115"/>
      <c r="BO735" s="115"/>
      <c r="BP735" s="115"/>
      <c r="BQ735" s="115"/>
      <c r="BR735" s="115"/>
      <c r="BS735" s="115"/>
      <c r="BT735" s="115"/>
      <c r="BU735" s="25"/>
      <c r="BV735" s="13"/>
      <c r="BY735" s="114"/>
    </row>
    <row r="736" spans="1:77" ht="19.5" x14ac:dyDescent="0.4">
      <c r="A736" s="117"/>
      <c r="B736" s="123"/>
      <c r="C736" s="123"/>
      <c r="D736" s="123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29"/>
      <c r="AM736" s="29"/>
      <c r="AN736" s="115"/>
      <c r="AO736" s="115"/>
      <c r="AP736" s="115"/>
      <c r="AQ736" s="115"/>
      <c r="AR736" s="115"/>
      <c r="AS736" s="115"/>
      <c r="AT736" s="115"/>
      <c r="AU736" s="115"/>
      <c r="AV736" s="115"/>
      <c r="AW736" s="25"/>
      <c r="AX736" s="13"/>
      <c r="BC736" s="116"/>
      <c r="BD736" s="123"/>
      <c r="BE736" s="123"/>
      <c r="BF736" s="123"/>
      <c r="BK736" s="115"/>
      <c r="BL736" s="115"/>
      <c r="BM736" s="115"/>
      <c r="BN736" s="115"/>
      <c r="BO736" s="115"/>
      <c r="BP736" s="115"/>
      <c r="BQ736" s="115"/>
      <c r="BR736" s="115"/>
      <c r="BS736" s="115"/>
      <c r="BT736" s="115"/>
      <c r="BU736" s="25"/>
      <c r="BV736" s="13"/>
      <c r="BY736" s="114"/>
    </row>
    <row r="737" spans="1:77" ht="19.5" x14ac:dyDescent="0.4">
      <c r="A737" s="117"/>
      <c r="B737" s="123"/>
      <c r="C737" s="123"/>
      <c r="D737" s="123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115"/>
      <c r="AL737" s="127"/>
      <c r="AM737" s="29"/>
      <c r="AN737" s="115"/>
      <c r="AO737" s="115"/>
      <c r="AP737" s="115"/>
      <c r="AQ737" s="115"/>
      <c r="AR737" s="115"/>
      <c r="AS737" s="115"/>
      <c r="AT737" s="115"/>
      <c r="AU737" s="115"/>
      <c r="AV737" s="115"/>
      <c r="AW737" s="25"/>
      <c r="AX737" s="13"/>
      <c r="BC737" s="116"/>
      <c r="BD737" s="123"/>
      <c r="BE737" s="123"/>
      <c r="BF737" s="123"/>
      <c r="BK737" s="115"/>
      <c r="BL737" s="115"/>
      <c r="BM737" s="115"/>
      <c r="BN737" s="115"/>
      <c r="BO737" s="115"/>
      <c r="BP737" s="115"/>
      <c r="BQ737" s="115"/>
      <c r="BR737" s="115"/>
      <c r="BS737" s="115"/>
      <c r="BT737" s="115"/>
      <c r="BU737" s="25"/>
      <c r="BV737" s="13"/>
      <c r="BY737" s="114"/>
    </row>
    <row r="738" spans="1:77" ht="19.5" x14ac:dyDescent="0.4">
      <c r="A738" s="117"/>
      <c r="B738" s="123"/>
      <c r="C738" s="123"/>
      <c r="D738" s="123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29"/>
      <c r="AM738" s="29"/>
      <c r="AN738" s="115"/>
      <c r="AO738" s="115"/>
      <c r="AP738" s="115"/>
      <c r="AQ738" s="115"/>
      <c r="AR738" s="115"/>
      <c r="AS738" s="115"/>
      <c r="AT738" s="115"/>
      <c r="AU738" s="115"/>
      <c r="AV738" s="115"/>
      <c r="AW738" s="25"/>
      <c r="AX738" s="13"/>
      <c r="BC738" s="116"/>
      <c r="BD738" s="123"/>
      <c r="BE738" s="123"/>
      <c r="BF738" s="123"/>
      <c r="BK738" s="115"/>
      <c r="BL738" s="115"/>
      <c r="BM738" s="115"/>
      <c r="BN738" s="115"/>
      <c r="BO738" s="115"/>
      <c r="BP738" s="115"/>
      <c r="BQ738" s="115"/>
      <c r="BR738" s="115"/>
      <c r="BS738" s="115"/>
      <c r="BT738" s="115"/>
      <c r="BU738" s="25"/>
      <c r="BV738" s="13"/>
      <c r="BY738" s="114"/>
    </row>
    <row r="739" spans="1:77" ht="19.5" x14ac:dyDescent="0.4">
      <c r="A739" s="117"/>
      <c r="B739" s="123"/>
      <c r="C739" s="123"/>
      <c r="D739" s="123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27"/>
      <c r="AM739" s="29"/>
      <c r="AN739" s="115"/>
      <c r="AO739" s="115"/>
      <c r="AP739" s="115"/>
      <c r="AQ739" s="115"/>
      <c r="AR739" s="115"/>
      <c r="AS739" s="115"/>
      <c r="AT739" s="115"/>
      <c r="AU739" s="115"/>
      <c r="AV739" s="115"/>
      <c r="AW739" s="25"/>
      <c r="AX739" s="13"/>
      <c r="BC739" s="116"/>
      <c r="BD739" s="123"/>
      <c r="BE739" s="123"/>
      <c r="BF739" s="123"/>
      <c r="BK739" s="115"/>
      <c r="BL739" s="115"/>
      <c r="BM739" s="115"/>
      <c r="BN739" s="115"/>
      <c r="BO739" s="115"/>
      <c r="BP739" s="115"/>
      <c r="BQ739" s="115"/>
      <c r="BR739" s="115"/>
      <c r="BS739" s="115"/>
      <c r="BT739" s="115"/>
      <c r="BU739" s="25"/>
      <c r="BV739" s="13"/>
      <c r="BY739" s="114"/>
    </row>
    <row r="740" spans="1:77" ht="19.5" x14ac:dyDescent="0.4">
      <c r="A740" s="117"/>
      <c r="B740" s="123"/>
      <c r="C740" s="123"/>
      <c r="D740" s="123"/>
      <c r="AL740" s="127"/>
      <c r="AM740" s="29"/>
      <c r="AN740" s="115"/>
      <c r="AO740" s="115"/>
      <c r="AP740" s="115"/>
      <c r="AQ740" s="115"/>
      <c r="AR740" s="115"/>
      <c r="AS740" s="115"/>
      <c r="AT740" s="115"/>
      <c r="AU740" s="115"/>
      <c r="AV740" s="115"/>
      <c r="AW740" s="25">
        <v>45679</v>
      </c>
      <c r="AX740" s="13" t="s">
        <v>147</v>
      </c>
      <c r="BC740" s="116"/>
      <c r="BD740" s="123"/>
      <c r="BE740" s="123"/>
      <c r="BF740" s="123"/>
      <c r="BK740" s="115"/>
      <c r="BL740" s="115"/>
      <c r="BM740" s="115"/>
      <c r="BN740" s="115"/>
      <c r="BO740" s="115"/>
      <c r="BP740" s="115"/>
      <c r="BQ740" s="115"/>
      <c r="BR740" s="115"/>
      <c r="BS740" s="115"/>
      <c r="BT740" s="115"/>
      <c r="BU740" s="25"/>
      <c r="BV740" s="13"/>
      <c r="BY740" s="114"/>
    </row>
    <row r="741" spans="1:77" ht="19.5" x14ac:dyDescent="0.4">
      <c r="A741" s="117"/>
      <c r="B741" s="123"/>
      <c r="C741" s="123"/>
      <c r="D741" s="123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29"/>
      <c r="AM741" s="29"/>
      <c r="AN741" s="115"/>
      <c r="AO741" s="115"/>
      <c r="AP741" s="115"/>
      <c r="AQ741" s="115"/>
      <c r="AR741" s="115"/>
      <c r="AS741" s="115"/>
      <c r="AT741" s="115"/>
      <c r="AU741" s="115"/>
      <c r="AV741" s="115"/>
      <c r="AW741" s="25"/>
      <c r="AX741" s="13"/>
      <c r="BC741" s="116"/>
      <c r="BD741" s="123"/>
      <c r="BE741" s="123"/>
      <c r="BF741" s="123"/>
      <c r="BK741" s="115"/>
      <c r="BL741" s="115"/>
      <c r="BM741" s="115"/>
      <c r="BN741" s="115"/>
      <c r="BO741" s="115"/>
      <c r="BP741" s="115"/>
      <c r="BQ741" s="115"/>
      <c r="BR741" s="115"/>
      <c r="BS741" s="115"/>
      <c r="BT741" s="115"/>
      <c r="BU741" s="25"/>
      <c r="BV741" s="13"/>
      <c r="BY741" s="114"/>
    </row>
    <row r="742" spans="1:77" ht="19.5" x14ac:dyDescent="0.4">
      <c r="A742" s="117"/>
      <c r="B742" s="123"/>
      <c r="C742" s="123"/>
      <c r="D742" s="123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27"/>
      <c r="AM742" s="29"/>
      <c r="AN742" s="115"/>
      <c r="AO742" s="115"/>
      <c r="AP742" s="115"/>
      <c r="AQ742" s="115"/>
      <c r="AR742" s="115"/>
      <c r="AS742" s="115"/>
      <c r="AT742" s="115"/>
      <c r="AU742" s="115"/>
      <c r="AV742" s="115"/>
      <c r="AW742" s="25"/>
      <c r="AX742" s="13"/>
      <c r="BC742" s="116"/>
      <c r="BD742" s="123"/>
      <c r="BE742" s="123"/>
      <c r="BF742" s="123"/>
      <c r="BK742" s="115"/>
      <c r="BL742" s="115"/>
      <c r="BM742" s="115"/>
      <c r="BN742" s="115"/>
      <c r="BO742" s="115"/>
      <c r="BP742" s="115"/>
      <c r="BQ742" s="115"/>
      <c r="BR742" s="115"/>
      <c r="BS742" s="115"/>
      <c r="BT742" s="115"/>
      <c r="BU742" s="25"/>
      <c r="BV742" s="13"/>
      <c r="BY742" s="114"/>
    </row>
    <row r="743" spans="1:77" ht="19.5" x14ac:dyDescent="0.4">
      <c r="A743" s="117"/>
      <c r="B743" s="123"/>
      <c r="C743" s="123"/>
      <c r="D743" s="123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  <c r="AK743" s="115"/>
      <c r="AL743" s="127"/>
      <c r="AM743" s="29"/>
      <c r="AN743" s="115"/>
      <c r="AO743" s="115"/>
      <c r="AP743" s="115"/>
      <c r="AQ743" s="115"/>
      <c r="AR743" s="115"/>
      <c r="AS743" s="115"/>
      <c r="AT743" s="115"/>
      <c r="AU743" s="115"/>
      <c r="AV743" s="115"/>
      <c r="AW743" s="25"/>
      <c r="AX743" s="13"/>
      <c r="BC743" s="116"/>
      <c r="BD743" s="123"/>
      <c r="BE743" s="123"/>
      <c r="BF743" s="123"/>
      <c r="BK743" s="115"/>
      <c r="BL743" s="115"/>
      <c r="BM743" s="115"/>
      <c r="BN743" s="115"/>
      <c r="BO743" s="115"/>
      <c r="BP743" s="115"/>
      <c r="BQ743" s="115"/>
      <c r="BR743" s="115"/>
      <c r="BS743" s="115"/>
      <c r="BT743" s="115"/>
      <c r="BU743" s="25"/>
      <c r="BV743" s="13"/>
      <c r="BY743" s="114"/>
    </row>
    <row r="744" spans="1:77" ht="19.5" x14ac:dyDescent="0.4">
      <c r="A744" s="117"/>
      <c r="B744" s="123"/>
      <c r="C744" s="123"/>
      <c r="D744" s="123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15"/>
      <c r="AL744" s="29"/>
      <c r="AM744" s="29"/>
      <c r="AN744" s="115"/>
      <c r="AO744" s="115"/>
      <c r="AP744" s="115"/>
      <c r="AQ744" s="115"/>
      <c r="AR744" s="115"/>
      <c r="AS744" s="115"/>
      <c r="AT744" s="115"/>
      <c r="AU744" s="115"/>
      <c r="AV744" s="115"/>
      <c r="AW744" s="25"/>
      <c r="AX744" s="13"/>
      <c r="BC744" s="116"/>
      <c r="BD744" s="123"/>
      <c r="BE744" s="123"/>
      <c r="BF744" s="123"/>
      <c r="BK744" s="115"/>
      <c r="BL744" s="115"/>
      <c r="BM744" s="115"/>
      <c r="BN744" s="115"/>
      <c r="BO744" s="115"/>
      <c r="BP744" s="115"/>
      <c r="BQ744" s="115"/>
      <c r="BR744" s="115"/>
      <c r="BS744" s="115"/>
      <c r="BT744" s="115"/>
      <c r="BU744" s="25"/>
      <c r="BV744" s="13"/>
      <c r="BY744" s="114"/>
    </row>
    <row r="745" spans="1:77" ht="19.5" x14ac:dyDescent="0.4">
      <c r="A745" s="117"/>
      <c r="B745" s="123"/>
      <c r="C745" s="123"/>
      <c r="D745" s="123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29"/>
      <c r="AM745" s="29"/>
      <c r="AN745" s="115"/>
      <c r="AO745" s="115"/>
      <c r="AP745" s="115"/>
      <c r="AQ745" s="115"/>
      <c r="AR745" s="115"/>
      <c r="AS745" s="115"/>
      <c r="AT745" s="115"/>
      <c r="AU745" s="115"/>
      <c r="AV745" s="115"/>
      <c r="AW745" s="25"/>
      <c r="AX745" s="13"/>
      <c r="BC745" s="116"/>
      <c r="BD745" s="123"/>
      <c r="BE745" s="123"/>
      <c r="BF745" s="123"/>
      <c r="BK745" s="115"/>
      <c r="BL745" s="115"/>
      <c r="BM745" s="115"/>
      <c r="BN745" s="115"/>
      <c r="BO745" s="115"/>
      <c r="BP745" s="115"/>
      <c r="BQ745" s="115"/>
      <c r="BR745" s="115"/>
      <c r="BS745" s="115"/>
      <c r="BT745" s="115"/>
      <c r="BU745" s="25"/>
      <c r="BV745" s="13"/>
      <c r="BY745" s="114"/>
    </row>
    <row r="746" spans="1:77" ht="19.5" x14ac:dyDescent="0.4">
      <c r="A746" s="117"/>
      <c r="B746" s="123"/>
      <c r="C746" s="123"/>
      <c r="D746" s="123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27"/>
      <c r="AM746" s="29"/>
      <c r="AN746" s="115"/>
      <c r="AO746" s="115"/>
      <c r="AP746" s="115"/>
      <c r="AQ746" s="115"/>
      <c r="AR746" s="115"/>
      <c r="AS746" s="115"/>
      <c r="AT746" s="115"/>
      <c r="AU746" s="115"/>
      <c r="AV746" s="115"/>
      <c r="AW746" s="25"/>
      <c r="AX746" s="13"/>
      <c r="BC746" s="116"/>
      <c r="BD746" s="123"/>
      <c r="BE746" s="123"/>
      <c r="BF746" s="123"/>
      <c r="BK746" s="115"/>
      <c r="BL746" s="115"/>
      <c r="BM746" s="115"/>
      <c r="BN746" s="115"/>
      <c r="BO746" s="115"/>
      <c r="BP746" s="115"/>
      <c r="BQ746" s="115"/>
      <c r="BR746" s="115"/>
      <c r="BS746" s="115"/>
      <c r="BT746" s="115"/>
      <c r="BU746" s="25"/>
      <c r="BV746" s="13"/>
      <c r="BY746" s="114"/>
    </row>
    <row r="747" spans="1:77" ht="19.5" x14ac:dyDescent="0.4">
      <c r="A747" s="117"/>
      <c r="B747" s="123"/>
      <c r="C747" s="123"/>
      <c r="D747" s="123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29"/>
      <c r="AM747" s="29"/>
      <c r="AN747" s="115"/>
      <c r="AO747" s="115"/>
      <c r="AP747" s="115"/>
      <c r="AQ747" s="115"/>
      <c r="AR747" s="115"/>
      <c r="AS747" s="115"/>
      <c r="AT747" s="115"/>
      <c r="AU747" s="115"/>
      <c r="AV747" s="115"/>
      <c r="AW747" s="25"/>
      <c r="AX747" s="13"/>
      <c r="BC747" s="116"/>
      <c r="BD747" s="123"/>
      <c r="BE747" s="123"/>
      <c r="BF747" s="123"/>
      <c r="BK747" s="115"/>
      <c r="BL747" s="115"/>
      <c r="BM747" s="115"/>
      <c r="BN747" s="115"/>
      <c r="BO747" s="115"/>
      <c r="BP747" s="115"/>
      <c r="BQ747" s="115"/>
      <c r="BR747" s="115"/>
      <c r="BS747" s="115"/>
      <c r="BT747" s="115"/>
      <c r="BU747" s="25"/>
      <c r="BV747" s="13"/>
      <c r="BY747" s="114"/>
    </row>
    <row r="748" spans="1:77" ht="19.5" x14ac:dyDescent="0.4">
      <c r="A748" s="117"/>
      <c r="B748" s="123"/>
      <c r="C748" s="123"/>
      <c r="D748" s="123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27"/>
      <c r="AM748" s="29"/>
      <c r="AN748" s="115"/>
      <c r="AO748" s="115"/>
      <c r="AP748" s="115"/>
      <c r="AQ748" s="115"/>
      <c r="AR748" s="115"/>
      <c r="AS748" s="115"/>
      <c r="AT748" s="115"/>
      <c r="AU748" s="115"/>
      <c r="AV748" s="115"/>
      <c r="AW748" s="25"/>
      <c r="AX748" s="13"/>
      <c r="BC748" s="116"/>
      <c r="BD748" s="123"/>
      <c r="BE748" s="123"/>
      <c r="BF748" s="123"/>
      <c r="BK748" s="115"/>
      <c r="BL748" s="115"/>
      <c r="BM748" s="115"/>
      <c r="BN748" s="115"/>
      <c r="BO748" s="115"/>
      <c r="BP748" s="115"/>
      <c r="BQ748" s="115"/>
      <c r="BR748" s="115"/>
      <c r="BS748" s="115"/>
      <c r="BT748" s="115"/>
      <c r="BU748" s="25"/>
      <c r="BV748" s="13"/>
      <c r="BY748" s="114"/>
    </row>
    <row r="749" spans="1:77" ht="19.5" x14ac:dyDescent="0.4">
      <c r="A749" s="117"/>
      <c r="B749" s="123"/>
      <c r="C749" s="123"/>
      <c r="D749" s="123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15"/>
      <c r="AL749" s="127"/>
      <c r="AM749" s="29"/>
      <c r="AN749" s="115"/>
      <c r="AO749" s="115"/>
      <c r="AP749" s="115"/>
      <c r="AQ749" s="115"/>
      <c r="AR749" s="115"/>
      <c r="AS749" s="115"/>
      <c r="AT749" s="115"/>
      <c r="AU749" s="115"/>
      <c r="AV749" s="115"/>
      <c r="AW749" s="25"/>
      <c r="AX749" s="13"/>
      <c r="BC749" s="116"/>
      <c r="BD749" s="123"/>
      <c r="BE749" s="123"/>
      <c r="BF749" s="123"/>
      <c r="BK749" s="115"/>
      <c r="BL749" s="115"/>
      <c r="BM749" s="115"/>
      <c r="BN749" s="115"/>
      <c r="BO749" s="115"/>
      <c r="BP749" s="115"/>
      <c r="BQ749" s="115"/>
      <c r="BR749" s="115"/>
      <c r="BS749" s="115"/>
      <c r="BT749" s="115"/>
      <c r="BU749" s="25"/>
      <c r="BV749" s="13"/>
      <c r="BY749" s="114"/>
    </row>
    <row r="750" spans="1:77" ht="19.5" x14ac:dyDescent="0.4">
      <c r="A750" s="117"/>
      <c r="B750" s="123"/>
      <c r="C750" s="123"/>
      <c r="D750" s="123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27"/>
      <c r="AM750" s="29"/>
      <c r="AN750" s="115"/>
      <c r="AO750" s="115"/>
      <c r="AP750" s="115"/>
      <c r="AQ750" s="115"/>
      <c r="AR750" s="115"/>
      <c r="AS750" s="115"/>
      <c r="AT750" s="115"/>
      <c r="AU750" s="115"/>
      <c r="AV750" s="115"/>
      <c r="AW750" s="25"/>
      <c r="AX750" s="13"/>
      <c r="BC750" s="116"/>
      <c r="BD750" s="123"/>
      <c r="BE750" s="123"/>
      <c r="BF750" s="123"/>
      <c r="BK750" s="115"/>
      <c r="BL750" s="115"/>
      <c r="BM750" s="115"/>
      <c r="BN750" s="115"/>
      <c r="BO750" s="115"/>
      <c r="BP750" s="115"/>
      <c r="BQ750" s="115"/>
      <c r="BR750" s="115"/>
      <c r="BS750" s="115"/>
      <c r="BT750" s="115"/>
      <c r="BU750" s="25"/>
      <c r="BV750" s="13"/>
      <c r="BY750" s="114"/>
    </row>
    <row r="751" spans="1:77" ht="19.5" x14ac:dyDescent="0.4">
      <c r="A751" s="117"/>
      <c r="B751" s="123"/>
      <c r="C751" s="123"/>
      <c r="D751" s="123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127"/>
      <c r="AM751" s="29"/>
      <c r="AN751" s="115"/>
      <c r="AO751" s="115"/>
      <c r="AP751" s="115"/>
      <c r="AQ751" s="115"/>
      <c r="AR751" s="115"/>
      <c r="AS751" s="115"/>
      <c r="AT751" s="115"/>
      <c r="AU751" s="115"/>
      <c r="AV751" s="115"/>
      <c r="AW751" s="25"/>
      <c r="AX751" s="13"/>
      <c r="BC751" s="116"/>
      <c r="BD751" s="123"/>
      <c r="BE751" s="123"/>
      <c r="BF751" s="123"/>
      <c r="BK751" s="115"/>
      <c r="BL751" s="115"/>
      <c r="BM751" s="115"/>
      <c r="BN751" s="115"/>
      <c r="BO751" s="115"/>
      <c r="BP751" s="115"/>
      <c r="BQ751" s="115"/>
      <c r="BR751" s="115"/>
      <c r="BS751" s="115"/>
      <c r="BT751" s="115"/>
      <c r="BU751" s="25"/>
      <c r="BV751" s="13"/>
      <c r="BY751" s="114"/>
    </row>
    <row r="752" spans="1:77" ht="19.5" x14ac:dyDescent="0.4">
      <c r="A752" s="117"/>
      <c r="B752" s="123"/>
      <c r="C752" s="123"/>
      <c r="D752" s="123"/>
      <c r="AL752" s="127"/>
      <c r="AM752" s="29"/>
      <c r="AW752" s="25">
        <v>45679</v>
      </c>
      <c r="AX752" s="13" t="s">
        <v>147</v>
      </c>
      <c r="BC752" s="116"/>
      <c r="BD752" s="123"/>
      <c r="BE752" s="123"/>
      <c r="BF752" s="123"/>
      <c r="BK752" s="115"/>
      <c r="BL752" s="115"/>
      <c r="BM752" s="115"/>
      <c r="BN752" s="115"/>
      <c r="BO752" s="115"/>
      <c r="BP752" s="115"/>
      <c r="BQ752" s="115"/>
      <c r="BR752" s="115"/>
      <c r="BS752" s="115"/>
      <c r="BT752" s="115"/>
      <c r="BU752" s="25"/>
      <c r="BV752" s="13"/>
      <c r="BY752" s="114"/>
    </row>
    <row r="753" spans="1:77" ht="19.5" x14ac:dyDescent="0.4">
      <c r="A753" s="117"/>
      <c r="B753" s="123"/>
      <c r="C753" s="123"/>
      <c r="D753" s="123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27"/>
      <c r="AM753" s="29"/>
      <c r="AW753" s="25"/>
      <c r="AX753" s="13"/>
      <c r="BC753" s="116"/>
      <c r="BD753" s="123"/>
      <c r="BE753" s="123"/>
      <c r="BF753" s="123"/>
      <c r="BK753" s="115"/>
      <c r="BL753" s="115"/>
      <c r="BM753" s="115"/>
      <c r="BN753" s="115"/>
      <c r="BO753" s="115"/>
      <c r="BP753" s="115"/>
      <c r="BQ753" s="115"/>
      <c r="BR753" s="115"/>
      <c r="BS753" s="115"/>
      <c r="BT753" s="115"/>
      <c r="BU753" s="25"/>
      <c r="BV753" s="13"/>
      <c r="BY753" s="114"/>
    </row>
    <row r="754" spans="1:77" ht="19.5" x14ac:dyDescent="0.4">
      <c r="A754" s="117"/>
      <c r="B754" s="123"/>
      <c r="C754" s="123"/>
      <c r="D754" s="123"/>
      <c r="AL754" s="127"/>
      <c r="AM754" s="29"/>
      <c r="AW754" s="25"/>
      <c r="AX754" s="13"/>
      <c r="BC754" s="116"/>
      <c r="BD754" s="123"/>
      <c r="BE754" s="123"/>
      <c r="BF754" s="123"/>
      <c r="BK754" s="115"/>
      <c r="BL754" s="115"/>
      <c r="BM754" s="115"/>
      <c r="BN754" s="115"/>
      <c r="BO754" s="115"/>
      <c r="BP754" s="115"/>
      <c r="BQ754" s="115"/>
      <c r="BR754" s="115"/>
      <c r="BS754" s="115"/>
      <c r="BT754" s="115"/>
      <c r="BU754" s="25"/>
      <c r="BV754" s="13"/>
      <c r="BY754" s="114"/>
    </row>
    <row r="755" spans="1:77" ht="19.5" x14ac:dyDescent="0.4">
      <c r="A755" s="117"/>
      <c r="B755" s="123"/>
      <c r="C755" s="123"/>
      <c r="D755" s="123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27"/>
      <c r="AM755" s="29"/>
      <c r="AW755" s="25"/>
      <c r="AX755" s="13"/>
      <c r="BC755" s="116"/>
      <c r="BD755" s="123"/>
      <c r="BE755" s="123"/>
      <c r="BF755" s="123"/>
      <c r="BK755" s="115"/>
      <c r="BL755" s="115"/>
      <c r="BM755" s="115"/>
      <c r="BN755" s="115"/>
      <c r="BO755" s="115"/>
      <c r="BP755" s="115"/>
      <c r="BQ755" s="115"/>
      <c r="BR755" s="115"/>
      <c r="BS755" s="115"/>
      <c r="BT755" s="115"/>
      <c r="BU755" s="25"/>
      <c r="BV755" s="13"/>
      <c r="BY755" s="114"/>
    </row>
    <row r="756" spans="1:77" ht="19.5" x14ac:dyDescent="0.4">
      <c r="A756" s="117"/>
      <c r="B756" s="123"/>
      <c r="C756" s="123"/>
      <c r="D756" s="123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29"/>
      <c r="AM756" s="29"/>
      <c r="AW756" s="25"/>
      <c r="AX756" s="13"/>
      <c r="BC756" s="116"/>
      <c r="BD756" s="123"/>
      <c r="BE756" s="123"/>
      <c r="BF756" s="123"/>
      <c r="BK756" s="115"/>
      <c r="BL756" s="115"/>
      <c r="BM756" s="115"/>
      <c r="BN756" s="115"/>
      <c r="BO756" s="115"/>
      <c r="BP756" s="115"/>
      <c r="BQ756" s="115"/>
      <c r="BR756" s="115"/>
      <c r="BS756" s="115"/>
      <c r="BT756" s="115"/>
      <c r="BU756" s="25"/>
      <c r="BV756" s="13"/>
      <c r="BY756" s="114"/>
    </row>
    <row r="757" spans="1:77" ht="19.5" x14ac:dyDescent="0.4">
      <c r="A757" s="117"/>
      <c r="B757" s="123"/>
      <c r="C757" s="123"/>
      <c r="D757" s="123"/>
      <c r="AL757" s="127"/>
      <c r="AM757" s="29"/>
      <c r="AN757" s="115"/>
      <c r="AO757" s="115"/>
      <c r="AP757" s="115"/>
      <c r="AQ757" s="115"/>
      <c r="AR757" s="115"/>
      <c r="AS757" s="115"/>
      <c r="AT757" s="115"/>
      <c r="AU757" s="115"/>
      <c r="AV757" s="115"/>
      <c r="AW757" s="25">
        <v>45679</v>
      </c>
      <c r="AX757" s="13" t="s">
        <v>146</v>
      </c>
      <c r="BC757" s="116"/>
      <c r="BD757" s="123"/>
      <c r="BE757" s="123"/>
      <c r="BF757" s="123"/>
      <c r="BK757" s="115"/>
      <c r="BL757" s="115"/>
      <c r="BM757" s="115"/>
      <c r="BN757" s="115"/>
      <c r="BO757" s="115"/>
      <c r="BP757" s="115"/>
      <c r="BQ757" s="115"/>
      <c r="BR757" s="115"/>
      <c r="BS757" s="115"/>
      <c r="BT757" s="115"/>
      <c r="BU757" s="25"/>
      <c r="BV757" s="13"/>
      <c r="BY757" s="114"/>
    </row>
    <row r="758" spans="1:77" ht="19.5" x14ac:dyDescent="0.4">
      <c r="A758" s="117"/>
      <c r="B758" s="123"/>
      <c r="C758" s="123"/>
      <c r="D758" s="123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15"/>
      <c r="AL758" s="127"/>
      <c r="AM758" s="29"/>
      <c r="AN758" s="115"/>
      <c r="AO758" s="115"/>
      <c r="AP758" s="115"/>
      <c r="AQ758" s="115"/>
      <c r="AR758" s="115"/>
      <c r="AS758" s="115"/>
      <c r="AT758" s="115"/>
      <c r="AU758" s="115"/>
      <c r="AV758" s="115"/>
      <c r="AW758" s="25"/>
      <c r="AX758" s="13"/>
      <c r="BC758" s="116"/>
      <c r="BD758" s="123"/>
      <c r="BE758" s="123"/>
      <c r="BF758" s="123"/>
      <c r="BK758" s="115"/>
      <c r="BL758" s="115"/>
      <c r="BM758" s="115"/>
      <c r="BN758" s="115"/>
      <c r="BO758" s="115"/>
      <c r="BP758" s="115"/>
      <c r="BQ758" s="115"/>
      <c r="BR758" s="115"/>
      <c r="BS758" s="115"/>
      <c r="BT758" s="115"/>
      <c r="BU758" s="25"/>
      <c r="BV758" s="13"/>
      <c r="BY758" s="114"/>
    </row>
    <row r="759" spans="1:77" ht="19.5" x14ac:dyDescent="0.4">
      <c r="A759" s="117"/>
      <c r="B759" s="123"/>
      <c r="C759" s="123"/>
      <c r="D759" s="123"/>
      <c r="AL759" s="127"/>
      <c r="AM759" s="29"/>
      <c r="AN759" s="115"/>
      <c r="AO759" s="115"/>
      <c r="AP759" s="115"/>
      <c r="AQ759" s="115"/>
      <c r="AR759" s="115"/>
      <c r="AS759" s="115"/>
      <c r="AT759" s="115"/>
      <c r="AU759" s="115"/>
      <c r="AV759" s="115"/>
      <c r="AW759" s="25"/>
      <c r="AX759" s="13"/>
      <c r="BC759" s="116"/>
      <c r="BD759" s="123"/>
      <c r="BE759" s="123"/>
      <c r="BF759" s="123"/>
      <c r="BK759" s="115"/>
      <c r="BL759" s="115"/>
      <c r="BM759" s="115"/>
      <c r="BN759" s="115"/>
      <c r="BO759" s="115"/>
      <c r="BP759" s="115"/>
      <c r="BQ759" s="115"/>
      <c r="BR759" s="115"/>
      <c r="BS759" s="115"/>
      <c r="BT759" s="115"/>
      <c r="BU759" s="25"/>
      <c r="BV759" s="13"/>
      <c r="BY759" s="114"/>
    </row>
    <row r="760" spans="1:77" ht="19.5" x14ac:dyDescent="0.4">
      <c r="A760" s="117"/>
      <c r="B760" s="123"/>
      <c r="C760" s="123"/>
      <c r="D760" s="123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27"/>
      <c r="AM760" s="29"/>
      <c r="AN760" s="115"/>
      <c r="AO760" s="115"/>
      <c r="AP760" s="115"/>
      <c r="AQ760" s="115"/>
      <c r="AR760" s="115"/>
      <c r="AS760" s="115"/>
      <c r="AT760" s="115"/>
      <c r="AU760" s="115"/>
      <c r="AV760" s="115"/>
      <c r="AW760" s="25"/>
      <c r="AX760" s="13"/>
      <c r="BC760" s="116"/>
      <c r="BD760" s="123"/>
      <c r="BE760" s="123"/>
      <c r="BF760" s="123"/>
      <c r="BK760" s="115"/>
      <c r="BL760" s="115"/>
      <c r="BM760" s="115"/>
      <c r="BN760" s="115"/>
      <c r="BO760" s="115"/>
      <c r="BP760" s="115"/>
      <c r="BQ760" s="115"/>
      <c r="BR760" s="115"/>
      <c r="BS760" s="115"/>
      <c r="BT760" s="115"/>
      <c r="BU760" s="25"/>
      <c r="BV760" s="13"/>
      <c r="BY760" s="114"/>
    </row>
    <row r="761" spans="1:77" ht="19.5" x14ac:dyDescent="0.4">
      <c r="A761" s="117"/>
      <c r="B761" s="123"/>
      <c r="C761" s="123"/>
      <c r="D761" s="123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15"/>
      <c r="AL761" s="127"/>
      <c r="AM761" s="29"/>
      <c r="AN761" s="115"/>
      <c r="AO761" s="115"/>
      <c r="AP761" s="115"/>
      <c r="AQ761" s="115"/>
      <c r="AR761" s="115"/>
      <c r="AS761" s="115"/>
      <c r="AT761" s="115"/>
      <c r="AU761" s="115"/>
      <c r="AV761" s="115"/>
      <c r="AW761" s="25"/>
      <c r="AX761" s="13"/>
      <c r="BC761" s="116"/>
      <c r="BD761" s="123"/>
      <c r="BE761" s="123"/>
      <c r="BF761" s="123"/>
      <c r="BK761" s="115"/>
      <c r="BL761" s="115"/>
      <c r="BM761" s="115"/>
      <c r="BN761" s="115"/>
      <c r="BO761" s="115"/>
      <c r="BP761" s="115"/>
      <c r="BQ761" s="115"/>
      <c r="BR761" s="115"/>
      <c r="BS761" s="115"/>
      <c r="BT761" s="115"/>
      <c r="BU761" s="25"/>
      <c r="BV761" s="13"/>
      <c r="BY761" s="114"/>
    </row>
    <row r="762" spans="1:77" ht="19.5" x14ac:dyDescent="0.4">
      <c r="A762" s="117"/>
      <c r="B762" s="123"/>
      <c r="C762" s="123"/>
      <c r="D762" s="123"/>
      <c r="AL762" s="127"/>
      <c r="AM762" s="29"/>
      <c r="AN762" s="115"/>
      <c r="AO762" s="115"/>
      <c r="AP762" s="115"/>
      <c r="AQ762" s="115"/>
      <c r="AR762" s="115"/>
      <c r="AS762" s="115"/>
      <c r="AT762" s="115"/>
      <c r="AU762" s="115"/>
      <c r="AV762" s="115"/>
      <c r="AW762" s="25">
        <v>45679</v>
      </c>
      <c r="AX762" s="13" t="s">
        <v>147</v>
      </c>
      <c r="BC762" s="116"/>
      <c r="BD762" s="123"/>
      <c r="BE762" s="123"/>
      <c r="BF762" s="123"/>
      <c r="BK762" s="115"/>
      <c r="BL762" s="115"/>
      <c r="BM762" s="115"/>
      <c r="BN762" s="115"/>
      <c r="BO762" s="115"/>
      <c r="BP762" s="115"/>
      <c r="BQ762" s="115"/>
      <c r="BR762" s="115"/>
      <c r="BS762" s="115"/>
      <c r="BT762" s="115"/>
      <c r="BU762" s="25"/>
      <c r="BV762" s="13"/>
      <c r="BY762" s="114"/>
    </row>
    <row r="763" spans="1:77" ht="19.5" x14ac:dyDescent="0.4">
      <c r="A763" s="117"/>
      <c r="B763" s="123"/>
      <c r="C763" s="123"/>
      <c r="D763" s="123"/>
      <c r="AL763" s="127"/>
      <c r="AM763" s="29"/>
      <c r="AN763" s="115"/>
      <c r="AO763" s="115"/>
      <c r="AP763" s="115"/>
      <c r="AQ763" s="115"/>
      <c r="AR763" s="115"/>
      <c r="AS763" s="115"/>
      <c r="AT763" s="115"/>
      <c r="AU763" s="115"/>
      <c r="AV763" s="115"/>
      <c r="AW763" s="25">
        <v>45680</v>
      </c>
      <c r="AX763" s="13" t="s">
        <v>148</v>
      </c>
      <c r="BC763" s="116"/>
      <c r="BD763" s="123"/>
      <c r="BE763" s="123"/>
      <c r="BF763" s="123"/>
      <c r="BK763" s="115"/>
      <c r="BL763" s="115"/>
      <c r="BM763" s="115"/>
      <c r="BN763" s="115"/>
      <c r="BO763" s="115"/>
      <c r="BP763" s="115"/>
      <c r="BQ763" s="115"/>
      <c r="BR763" s="115"/>
      <c r="BS763" s="115"/>
      <c r="BT763" s="115"/>
      <c r="BU763" s="25"/>
      <c r="BV763" s="13"/>
      <c r="BY763" s="114"/>
    </row>
    <row r="764" spans="1:77" ht="19.5" x14ac:dyDescent="0.4">
      <c r="A764" s="117"/>
      <c r="B764" s="123"/>
      <c r="C764" s="123"/>
      <c r="D764" s="123"/>
      <c r="AB764" s="115"/>
      <c r="AC764" s="115"/>
      <c r="AD764" s="115"/>
      <c r="AE764" s="115"/>
      <c r="AF764" s="115"/>
      <c r="AG764" s="115"/>
      <c r="AH764" s="115"/>
      <c r="AI764" s="115"/>
      <c r="AJ764" s="115"/>
      <c r="AK764" s="115"/>
      <c r="AL764" s="29"/>
      <c r="AM764" s="29"/>
      <c r="AN764" s="115"/>
      <c r="AO764" s="115"/>
      <c r="AP764" s="115"/>
      <c r="AQ764" s="115"/>
      <c r="AR764" s="115"/>
      <c r="AS764" s="115"/>
      <c r="AT764" s="115"/>
      <c r="AU764" s="115"/>
      <c r="AV764" s="115"/>
      <c r="AW764" s="25"/>
      <c r="AX764" s="13"/>
      <c r="BC764" s="116"/>
      <c r="BD764" s="123"/>
      <c r="BE764" s="123"/>
      <c r="BF764" s="123"/>
      <c r="BK764" s="115"/>
      <c r="BL764" s="115"/>
      <c r="BM764" s="115"/>
      <c r="BN764" s="115"/>
      <c r="BO764" s="115"/>
      <c r="BP764" s="115"/>
      <c r="BQ764" s="115"/>
      <c r="BR764" s="115"/>
      <c r="BS764" s="115"/>
      <c r="BT764" s="115"/>
      <c r="BU764" s="25"/>
      <c r="BV764" s="13"/>
      <c r="BY764" s="114"/>
    </row>
    <row r="765" spans="1:77" ht="19.5" x14ac:dyDescent="0.4">
      <c r="A765" s="117"/>
      <c r="B765" s="123"/>
      <c r="C765" s="123"/>
      <c r="D765" s="123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127"/>
      <c r="AM765" s="29"/>
      <c r="AN765" s="115"/>
      <c r="AO765" s="115"/>
      <c r="AP765" s="115"/>
      <c r="AQ765" s="115"/>
      <c r="AR765" s="115"/>
      <c r="AS765" s="115"/>
      <c r="AT765" s="115"/>
      <c r="AU765" s="115"/>
      <c r="AV765" s="115"/>
      <c r="AW765" s="25"/>
      <c r="AX765" s="13"/>
      <c r="BC765" s="116"/>
      <c r="BD765" s="123"/>
      <c r="BE765" s="123"/>
      <c r="BF765" s="123"/>
      <c r="BK765" s="115"/>
      <c r="BL765" s="115"/>
      <c r="BM765" s="115"/>
      <c r="BN765" s="115"/>
      <c r="BO765" s="115"/>
      <c r="BP765" s="115"/>
      <c r="BQ765" s="115"/>
      <c r="BR765" s="115"/>
      <c r="BS765" s="115"/>
      <c r="BT765" s="115"/>
      <c r="BU765" s="25"/>
      <c r="BV765" s="13"/>
      <c r="BY765" s="114"/>
    </row>
    <row r="766" spans="1:77" ht="19.5" x14ac:dyDescent="0.4">
      <c r="A766" s="117"/>
      <c r="B766" s="123"/>
      <c r="C766" s="123"/>
      <c r="D766" s="123"/>
      <c r="AL766" s="127"/>
      <c r="AM766" s="29"/>
      <c r="AN766" s="115"/>
      <c r="AO766" s="115"/>
      <c r="AP766" s="115"/>
      <c r="AQ766" s="115"/>
      <c r="AR766" s="115"/>
      <c r="AS766" s="115"/>
      <c r="AT766" s="115"/>
      <c r="AU766" s="115"/>
      <c r="AV766" s="115"/>
      <c r="AW766" s="25">
        <v>45680</v>
      </c>
      <c r="AX766" s="13" t="s">
        <v>147</v>
      </c>
      <c r="BC766" s="116"/>
      <c r="BD766" s="123"/>
      <c r="BE766" s="123"/>
      <c r="BF766" s="123"/>
      <c r="BK766" s="115"/>
      <c r="BL766" s="115"/>
      <c r="BM766" s="115"/>
      <c r="BN766" s="115"/>
      <c r="BO766" s="115"/>
      <c r="BP766" s="115"/>
      <c r="BQ766" s="115"/>
      <c r="BR766" s="115"/>
      <c r="BS766" s="115"/>
      <c r="BT766" s="115"/>
      <c r="BU766" s="25"/>
      <c r="BV766" s="13"/>
      <c r="BY766" s="114"/>
    </row>
    <row r="767" spans="1:77" ht="19.5" x14ac:dyDescent="0.4">
      <c r="A767" s="117"/>
      <c r="B767" s="123"/>
      <c r="C767" s="123"/>
      <c r="D767" s="123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15"/>
      <c r="AL767" s="127"/>
      <c r="AM767" s="29"/>
      <c r="AN767" s="115"/>
      <c r="AO767" s="115"/>
      <c r="AP767" s="115"/>
      <c r="AQ767" s="115"/>
      <c r="AR767" s="115"/>
      <c r="AS767" s="115"/>
      <c r="AT767" s="115"/>
      <c r="AU767" s="115"/>
      <c r="AV767" s="115"/>
      <c r="AW767" s="25"/>
      <c r="AX767" s="13"/>
      <c r="BC767" s="116"/>
      <c r="BD767" s="123"/>
      <c r="BE767" s="123"/>
      <c r="BF767" s="123"/>
      <c r="BK767" s="115"/>
      <c r="BL767" s="115"/>
      <c r="BM767" s="115"/>
      <c r="BN767" s="115"/>
      <c r="BO767" s="115"/>
      <c r="BP767" s="115"/>
      <c r="BQ767" s="115"/>
      <c r="BR767" s="115"/>
      <c r="BS767" s="115"/>
      <c r="BT767" s="115"/>
      <c r="BU767" s="25"/>
      <c r="BV767" s="13"/>
      <c r="BY767" s="114"/>
    </row>
    <row r="768" spans="1:77" ht="19.5" x14ac:dyDescent="0.4">
      <c r="A768" s="117"/>
      <c r="B768" s="123"/>
      <c r="C768" s="123"/>
      <c r="D768" s="123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15"/>
      <c r="AL768" s="127"/>
      <c r="AM768" s="29"/>
      <c r="AN768" s="115"/>
      <c r="AO768" s="115"/>
      <c r="AP768" s="115"/>
      <c r="AQ768" s="115"/>
      <c r="AR768" s="115"/>
      <c r="AS768" s="115"/>
      <c r="AT768" s="115"/>
      <c r="AU768" s="115"/>
      <c r="AV768" s="115"/>
      <c r="AW768" s="25"/>
      <c r="AX768" s="13"/>
      <c r="BC768" s="116"/>
      <c r="BD768" s="123"/>
      <c r="BE768" s="123"/>
      <c r="BF768" s="123"/>
      <c r="BK768" s="115"/>
      <c r="BL768" s="115"/>
      <c r="BM768" s="115"/>
      <c r="BN768" s="115"/>
      <c r="BO768" s="115"/>
      <c r="BP768" s="115"/>
      <c r="BQ768" s="115"/>
      <c r="BR768" s="115"/>
      <c r="BS768" s="115"/>
      <c r="BT768" s="115"/>
      <c r="BU768" s="25"/>
      <c r="BV768" s="13"/>
      <c r="BY768" s="114"/>
    </row>
    <row r="769" spans="1:77" ht="19.5" x14ac:dyDescent="0.4">
      <c r="A769" s="117"/>
      <c r="B769" s="123"/>
      <c r="C769" s="123"/>
      <c r="D769" s="123"/>
      <c r="AL769" s="127"/>
      <c r="AM769" s="29"/>
      <c r="AN769" s="115"/>
      <c r="AO769" s="115"/>
      <c r="AP769" s="115"/>
      <c r="AQ769" s="115"/>
      <c r="AR769" s="115"/>
      <c r="AS769" s="115"/>
      <c r="AT769" s="115"/>
      <c r="AU769" s="115"/>
      <c r="AV769" s="115"/>
      <c r="AW769" s="25">
        <v>45680</v>
      </c>
      <c r="AX769" s="13" t="s">
        <v>147</v>
      </c>
      <c r="BC769" s="116"/>
      <c r="BD769" s="123"/>
      <c r="BE769" s="123"/>
      <c r="BF769" s="123"/>
      <c r="BK769" s="115"/>
      <c r="BL769" s="115"/>
      <c r="BM769" s="115"/>
      <c r="BN769" s="115"/>
      <c r="BO769" s="115"/>
      <c r="BP769" s="115"/>
      <c r="BQ769" s="115"/>
      <c r="BR769" s="115"/>
      <c r="BS769" s="115"/>
      <c r="BT769" s="115"/>
      <c r="BU769" s="25"/>
      <c r="BV769" s="13"/>
      <c r="BY769" s="114"/>
    </row>
    <row r="770" spans="1:77" ht="19.5" x14ac:dyDescent="0.4">
      <c r="A770" s="117"/>
      <c r="B770" s="123"/>
      <c r="C770" s="123"/>
      <c r="D770" s="123"/>
      <c r="AL770" s="127"/>
      <c r="AM770" s="29"/>
      <c r="AN770" s="115"/>
      <c r="AO770" s="115"/>
      <c r="AP770" s="115"/>
      <c r="AQ770" s="115"/>
      <c r="AR770" s="115"/>
      <c r="AS770" s="115"/>
      <c r="AT770" s="115"/>
      <c r="AU770" s="115"/>
      <c r="AV770" s="115"/>
      <c r="AW770" s="25"/>
      <c r="AX770" s="13"/>
      <c r="BC770" s="116"/>
      <c r="BD770" s="123"/>
      <c r="BE770" s="123"/>
      <c r="BF770" s="123"/>
      <c r="BK770" s="115"/>
      <c r="BL770" s="115"/>
      <c r="BM770" s="115"/>
      <c r="BN770" s="115"/>
      <c r="BO770" s="115"/>
      <c r="BP770" s="115"/>
      <c r="BQ770" s="115"/>
      <c r="BR770" s="115"/>
      <c r="BS770" s="115"/>
      <c r="BT770" s="115"/>
      <c r="BU770" s="25"/>
      <c r="BV770" s="13"/>
      <c r="BY770" s="114"/>
    </row>
    <row r="771" spans="1:77" ht="19.5" x14ac:dyDescent="0.4">
      <c r="A771" s="117"/>
      <c r="B771" s="123"/>
      <c r="C771" s="123"/>
      <c r="D771" s="123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27"/>
      <c r="AM771" s="29"/>
      <c r="AN771" s="115"/>
      <c r="AO771" s="115"/>
      <c r="AP771" s="115"/>
      <c r="AQ771" s="115"/>
      <c r="AR771" s="115"/>
      <c r="AS771" s="115"/>
      <c r="AT771" s="115"/>
      <c r="AU771" s="115"/>
      <c r="AV771" s="115"/>
      <c r="AW771" s="25"/>
      <c r="AX771" s="13"/>
      <c r="BC771" s="116"/>
      <c r="BD771" s="123"/>
      <c r="BE771" s="123"/>
      <c r="BF771" s="123"/>
      <c r="BK771" s="115"/>
      <c r="BL771" s="115"/>
      <c r="BM771" s="115"/>
      <c r="BN771" s="115"/>
      <c r="BO771" s="115"/>
      <c r="BP771" s="115"/>
      <c r="BQ771" s="115"/>
      <c r="BR771" s="115"/>
      <c r="BS771" s="115"/>
      <c r="BT771" s="115"/>
      <c r="BU771" s="25"/>
      <c r="BV771" s="13"/>
      <c r="BY771" s="114"/>
    </row>
    <row r="772" spans="1:77" ht="19.5" x14ac:dyDescent="0.4">
      <c r="A772" s="117"/>
      <c r="B772" s="123"/>
      <c r="C772" s="123"/>
      <c r="D772" s="123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27"/>
      <c r="AM772" s="29"/>
      <c r="AN772" s="115"/>
      <c r="AO772" s="115"/>
      <c r="AP772" s="115"/>
      <c r="AQ772" s="115"/>
      <c r="AR772" s="115"/>
      <c r="AS772" s="115"/>
      <c r="AT772" s="115"/>
      <c r="AU772" s="115"/>
      <c r="AV772" s="115"/>
      <c r="AW772" s="25"/>
      <c r="AX772" s="13"/>
      <c r="BC772" s="116"/>
      <c r="BD772" s="123"/>
      <c r="BE772" s="123"/>
      <c r="BF772" s="123"/>
      <c r="BK772" s="115"/>
      <c r="BL772" s="115"/>
      <c r="BM772" s="115"/>
      <c r="BN772" s="115"/>
      <c r="BO772" s="115"/>
      <c r="BP772" s="115"/>
      <c r="BQ772" s="115"/>
      <c r="BR772" s="115"/>
      <c r="BS772" s="115"/>
      <c r="BT772" s="115"/>
      <c r="BU772" s="25"/>
      <c r="BV772" s="13"/>
      <c r="BY772" s="114"/>
    </row>
    <row r="773" spans="1:77" ht="19.5" x14ac:dyDescent="0.4">
      <c r="A773" s="117"/>
      <c r="B773" s="123"/>
      <c r="C773" s="123"/>
      <c r="D773" s="123"/>
      <c r="AL773" s="127"/>
      <c r="AM773" s="29"/>
      <c r="AN773" s="115"/>
      <c r="AO773" s="115"/>
      <c r="AP773" s="115"/>
      <c r="AQ773" s="115"/>
      <c r="AR773" s="115"/>
      <c r="AS773" s="115"/>
      <c r="AT773" s="115"/>
      <c r="AU773" s="115"/>
      <c r="AV773" s="115"/>
      <c r="AW773" s="25">
        <v>45680</v>
      </c>
      <c r="AX773" s="13" t="s">
        <v>146</v>
      </c>
      <c r="BC773" s="116"/>
      <c r="BD773" s="123"/>
      <c r="BE773" s="123"/>
      <c r="BF773" s="123"/>
      <c r="BK773" s="115"/>
      <c r="BL773" s="115"/>
      <c r="BM773" s="115"/>
      <c r="BN773" s="115"/>
      <c r="BO773" s="115"/>
      <c r="BP773" s="115"/>
      <c r="BQ773" s="115"/>
      <c r="BR773" s="115"/>
      <c r="BS773" s="115"/>
      <c r="BT773" s="115"/>
      <c r="BU773" s="25"/>
      <c r="BV773" s="13"/>
      <c r="BY773" s="114"/>
    </row>
    <row r="774" spans="1:77" ht="19.5" x14ac:dyDescent="0.4">
      <c r="A774" s="117"/>
      <c r="B774" s="123"/>
      <c r="C774" s="123"/>
      <c r="D774" s="123"/>
      <c r="AL774" s="127"/>
      <c r="AM774" s="29"/>
      <c r="AN774" s="115"/>
      <c r="AO774" s="115"/>
      <c r="AP774" s="115"/>
      <c r="AQ774" s="115"/>
      <c r="AR774" s="115"/>
      <c r="AS774" s="115"/>
      <c r="AT774" s="115"/>
      <c r="AU774" s="115"/>
      <c r="AV774" s="115"/>
      <c r="AW774" s="25">
        <v>45680</v>
      </c>
      <c r="AX774" s="13" t="s">
        <v>146</v>
      </c>
      <c r="BC774" s="116"/>
      <c r="BD774" s="123"/>
      <c r="BE774" s="123"/>
      <c r="BF774" s="123"/>
      <c r="BK774" s="115"/>
      <c r="BL774" s="115"/>
      <c r="BM774" s="115"/>
      <c r="BN774" s="115"/>
      <c r="BO774" s="115"/>
      <c r="BP774" s="115"/>
      <c r="BQ774" s="115"/>
      <c r="BR774" s="115"/>
      <c r="BS774" s="115"/>
      <c r="BT774" s="115"/>
      <c r="BU774" s="25"/>
      <c r="BV774" s="13"/>
      <c r="BY774" s="114"/>
    </row>
    <row r="775" spans="1:77" ht="19.5" x14ac:dyDescent="0.4">
      <c r="A775" s="117"/>
      <c r="B775" s="123"/>
      <c r="C775" s="123"/>
      <c r="D775" s="123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27"/>
      <c r="AM775" s="29"/>
      <c r="AN775" s="115"/>
      <c r="AO775" s="115"/>
      <c r="AP775" s="115"/>
      <c r="AQ775" s="115"/>
      <c r="AR775" s="115"/>
      <c r="AS775" s="115"/>
      <c r="AT775" s="115"/>
      <c r="AU775" s="115"/>
      <c r="AV775" s="115"/>
      <c r="AW775" s="25">
        <v>45680</v>
      </c>
      <c r="AX775" s="13" t="s">
        <v>147</v>
      </c>
      <c r="BC775" s="116"/>
      <c r="BD775" s="123"/>
      <c r="BE775" s="123"/>
      <c r="BF775" s="123"/>
      <c r="BK775" s="115"/>
      <c r="BL775" s="115"/>
      <c r="BM775" s="115"/>
      <c r="BN775" s="115"/>
      <c r="BO775" s="115"/>
      <c r="BP775" s="115"/>
      <c r="BQ775" s="115"/>
      <c r="BR775" s="115"/>
      <c r="BS775" s="115"/>
      <c r="BT775" s="115"/>
      <c r="BU775" s="25"/>
      <c r="BV775" s="13"/>
      <c r="BY775" s="114"/>
    </row>
    <row r="776" spans="1:77" ht="19.5" x14ac:dyDescent="0.4">
      <c r="A776" s="117"/>
      <c r="B776" s="123"/>
      <c r="C776" s="123"/>
      <c r="D776" s="123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27"/>
      <c r="AM776" s="29"/>
      <c r="AN776" s="115"/>
      <c r="AO776" s="115"/>
      <c r="AP776" s="115"/>
      <c r="AQ776" s="115"/>
      <c r="AR776" s="115"/>
      <c r="AS776" s="115"/>
      <c r="AT776" s="115"/>
      <c r="AU776" s="115"/>
      <c r="AV776" s="115"/>
      <c r="AW776" s="25"/>
      <c r="AX776" s="13"/>
      <c r="BC776" s="116"/>
      <c r="BD776" s="123"/>
      <c r="BE776" s="123"/>
      <c r="BF776" s="123"/>
      <c r="BK776" s="115"/>
      <c r="BL776" s="115"/>
      <c r="BM776" s="115"/>
      <c r="BN776" s="115"/>
      <c r="BO776" s="115"/>
      <c r="BP776" s="115"/>
      <c r="BQ776" s="115"/>
      <c r="BR776" s="115"/>
      <c r="BS776" s="115"/>
      <c r="BT776" s="115"/>
      <c r="BU776" s="25"/>
      <c r="BV776" s="13"/>
      <c r="BY776" s="114"/>
    </row>
    <row r="777" spans="1:77" ht="19.5" x14ac:dyDescent="0.4">
      <c r="A777" s="117"/>
      <c r="B777" s="123"/>
      <c r="C777" s="123"/>
      <c r="D777" s="123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29"/>
      <c r="AM777" s="29"/>
      <c r="AN777" s="115"/>
      <c r="AO777" s="115"/>
      <c r="AP777" s="115"/>
      <c r="AQ777" s="115"/>
      <c r="AR777" s="115"/>
      <c r="AS777" s="115"/>
      <c r="AT777" s="115"/>
      <c r="AU777" s="115"/>
      <c r="AV777" s="115"/>
      <c r="AW777" s="25"/>
      <c r="AX777" s="13"/>
      <c r="BC777" s="116"/>
      <c r="BD777" s="123"/>
      <c r="BE777" s="123"/>
      <c r="BF777" s="123"/>
      <c r="BK777" s="115"/>
      <c r="BL777" s="115"/>
      <c r="BM777" s="115"/>
      <c r="BN777" s="115"/>
      <c r="BO777" s="115"/>
      <c r="BP777" s="115"/>
      <c r="BQ777" s="115"/>
      <c r="BR777" s="115"/>
      <c r="BS777" s="115"/>
      <c r="BT777" s="115"/>
      <c r="BU777" s="25"/>
      <c r="BV777" s="13"/>
      <c r="BY777" s="114"/>
    </row>
    <row r="778" spans="1:77" ht="19.5" x14ac:dyDescent="0.4">
      <c r="A778" s="117"/>
      <c r="B778" s="123"/>
      <c r="C778" s="123"/>
      <c r="D778" s="123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27"/>
      <c r="AM778" s="29"/>
      <c r="AN778" s="115"/>
      <c r="AO778" s="115"/>
      <c r="AP778" s="115"/>
      <c r="AQ778" s="115"/>
      <c r="AR778" s="115"/>
      <c r="AS778" s="115"/>
      <c r="AT778" s="115"/>
      <c r="AU778" s="115"/>
      <c r="AV778" s="115"/>
      <c r="AW778" s="25"/>
      <c r="AX778" s="13"/>
      <c r="BC778" s="116"/>
      <c r="BD778" s="123"/>
      <c r="BE778" s="123"/>
      <c r="BF778" s="123"/>
      <c r="BK778" s="115"/>
      <c r="BL778" s="115"/>
      <c r="BM778" s="115"/>
      <c r="BN778" s="115"/>
      <c r="BO778" s="115"/>
      <c r="BP778" s="115"/>
      <c r="BQ778" s="115"/>
      <c r="BR778" s="115"/>
      <c r="BS778" s="115"/>
      <c r="BT778" s="115"/>
      <c r="BU778" s="25"/>
      <c r="BV778" s="13"/>
      <c r="BY778" s="114"/>
    </row>
    <row r="779" spans="1:77" ht="19.5" x14ac:dyDescent="0.4">
      <c r="A779" s="117"/>
      <c r="B779" s="123"/>
      <c r="C779" s="123"/>
      <c r="D779" s="123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29"/>
      <c r="AM779" s="29"/>
      <c r="AN779" s="115"/>
      <c r="AO779" s="115"/>
      <c r="AP779" s="115"/>
      <c r="AQ779" s="115"/>
      <c r="AR779" s="115"/>
      <c r="AS779" s="115"/>
      <c r="AT779" s="115"/>
      <c r="AU779" s="115"/>
      <c r="AV779" s="115"/>
      <c r="AW779" s="25"/>
      <c r="AX779" s="13"/>
      <c r="BC779" s="116"/>
      <c r="BD779" s="123"/>
      <c r="BE779" s="123"/>
      <c r="BF779" s="123"/>
      <c r="BK779" s="115"/>
      <c r="BL779" s="115"/>
      <c r="BM779" s="115"/>
      <c r="BN779" s="115"/>
      <c r="BO779" s="115"/>
      <c r="BP779" s="115"/>
      <c r="BQ779" s="115"/>
      <c r="BR779" s="115"/>
      <c r="BS779" s="115"/>
      <c r="BT779" s="115"/>
      <c r="BU779" s="25"/>
      <c r="BV779" s="13"/>
      <c r="BY779" s="114"/>
    </row>
    <row r="780" spans="1:77" ht="19.5" x14ac:dyDescent="0.4">
      <c r="A780" s="117"/>
      <c r="B780" s="123"/>
      <c r="C780" s="123"/>
      <c r="D780" s="123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15"/>
      <c r="AL780" s="127"/>
      <c r="AM780" s="29"/>
      <c r="AN780" s="115"/>
      <c r="AO780" s="115"/>
      <c r="AP780" s="115"/>
      <c r="AQ780" s="115"/>
      <c r="AR780" s="115"/>
      <c r="AS780" s="115"/>
      <c r="AT780" s="115"/>
      <c r="AU780" s="115"/>
      <c r="AV780" s="115"/>
      <c r="AW780" s="25">
        <v>45680</v>
      </c>
      <c r="AX780" s="15" t="s">
        <v>142</v>
      </c>
      <c r="BC780" s="116"/>
      <c r="BD780" s="123"/>
      <c r="BE780" s="123"/>
      <c r="BF780" s="123"/>
      <c r="BK780" s="115"/>
      <c r="BL780" s="115"/>
      <c r="BM780" s="115"/>
      <c r="BN780" s="115"/>
      <c r="BO780" s="115"/>
      <c r="BP780" s="115"/>
      <c r="BQ780" s="115"/>
      <c r="BR780" s="115"/>
      <c r="BS780" s="115"/>
      <c r="BT780" s="115"/>
      <c r="BU780" s="25"/>
      <c r="BV780" s="13"/>
      <c r="BY780" s="114"/>
    </row>
    <row r="781" spans="1:77" ht="19.5" x14ac:dyDescent="0.4">
      <c r="A781" s="117"/>
      <c r="B781" s="123"/>
      <c r="C781" s="123"/>
      <c r="D781" s="123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29"/>
      <c r="AM781" s="29"/>
      <c r="AN781" s="115"/>
      <c r="AO781" s="115"/>
      <c r="AP781" s="115"/>
      <c r="AQ781" s="115"/>
      <c r="AR781" s="115"/>
      <c r="AS781" s="115"/>
      <c r="AT781" s="115"/>
      <c r="AU781" s="115"/>
      <c r="AV781" s="115"/>
      <c r="AW781" s="25"/>
      <c r="AX781" s="15"/>
      <c r="BC781" s="116"/>
      <c r="BD781" s="123"/>
      <c r="BE781" s="123"/>
      <c r="BF781" s="123"/>
      <c r="BK781" s="115"/>
      <c r="BL781" s="115"/>
      <c r="BM781" s="115"/>
      <c r="BN781" s="115"/>
      <c r="BO781" s="115"/>
      <c r="BP781" s="115"/>
      <c r="BQ781" s="115"/>
      <c r="BR781" s="115"/>
      <c r="BS781" s="115"/>
      <c r="BT781" s="115"/>
      <c r="BU781" s="25"/>
      <c r="BV781" s="13"/>
      <c r="BY781" s="114"/>
    </row>
    <row r="782" spans="1:77" ht="19.5" x14ac:dyDescent="0.4">
      <c r="A782" s="117"/>
      <c r="B782" s="123"/>
      <c r="C782" s="123"/>
      <c r="D782" s="123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  <c r="AK782" s="115"/>
      <c r="AL782" s="127"/>
      <c r="AM782" s="29"/>
      <c r="AN782" s="115"/>
      <c r="AO782" s="115"/>
      <c r="AP782" s="115"/>
      <c r="AQ782" s="115"/>
      <c r="AR782" s="115"/>
      <c r="AS782" s="115"/>
      <c r="AT782" s="115"/>
      <c r="AU782" s="115"/>
      <c r="AV782" s="115"/>
      <c r="AW782" s="25"/>
      <c r="AX782" s="15"/>
      <c r="BC782" s="116"/>
      <c r="BD782" s="123"/>
      <c r="BE782" s="123"/>
      <c r="BF782" s="123"/>
      <c r="BK782" s="115"/>
      <c r="BL782" s="115"/>
      <c r="BM782" s="115"/>
      <c r="BN782" s="115"/>
      <c r="BO782" s="115"/>
      <c r="BP782" s="115"/>
      <c r="BQ782" s="115"/>
      <c r="BR782" s="115"/>
      <c r="BS782" s="115"/>
      <c r="BT782" s="115"/>
      <c r="BU782" s="25"/>
      <c r="BV782" s="13"/>
      <c r="BY782" s="114"/>
    </row>
    <row r="783" spans="1:77" ht="19.5" x14ac:dyDescent="0.4">
      <c r="A783" s="117"/>
      <c r="B783" s="123"/>
      <c r="C783" s="123"/>
      <c r="D783" s="123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27"/>
      <c r="AM783" s="29"/>
      <c r="AN783" s="115"/>
      <c r="AO783" s="115"/>
      <c r="AP783" s="115"/>
      <c r="AQ783" s="115"/>
      <c r="AR783" s="115"/>
      <c r="AS783" s="115"/>
      <c r="AT783" s="115"/>
      <c r="AU783" s="115"/>
      <c r="AV783" s="115"/>
      <c r="AW783" s="25">
        <v>45680</v>
      </c>
      <c r="AX783" s="15" t="s">
        <v>146</v>
      </c>
      <c r="BC783" s="116"/>
      <c r="BD783" s="123"/>
      <c r="BE783" s="123"/>
      <c r="BF783" s="123"/>
      <c r="BK783" s="115"/>
      <c r="BL783" s="115"/>
      <c r="BM783" s="115"/>
      <c r="BN783" s="115"/>
      <c r="BO783" s="115"/>
      <c r="BP783" s="115"/>
      <c r="BQ783" s="115"/>
      <c r="BR783" s="115"/>
      <c r="BS783" s="115"/>
      <c r="BT783" s="115"/>
      <c r="BU783" s="25"/>
      <c r="BV783" s="13"/>
      <c r="BY783" s="114"/>
    </row>
    <row r="784" spans="1:77" ht="19.5" x14ac:dyDescent="0.4">
      <c r="A784" s="117"/>
      <c r="B784" s="123"/>
      <c r="C784" s="123"/>
      <c r="D784" s="123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27"/>
      <c r="AM784" s="29"/>
      <c r="AN784" s="115"/>
      <c r="AO784" s="115"/>
      <c r="AP784" s="115"/>
      <c r="AQ784" s="115"/>
      <c r="AR784" s="115"/>
      <c r="AS784" s="115"/>
      <c r="AT784" s="115"/>
      <c r="AU784" s="115"/>
      <c r="AV784" s="115"/>
      <c r="AW784" s="25"/>
      <c r="AX784" s="15"/>
      <c r="BC784" s="116"/>
      <c r="BD784" s="123"/>
      <c r="BE784" s="123"/>
      <c r="BF784" s="123"/>
      <c r="BK784" s="115"/>
      <c r="BL784" s="115"/>
      <c r="BM784" s="115"/>
      <c r="BN784" s="115"/>
      <c r="BO784" s="115"/>
      <c r="BP784" s="115"/>
      <c r="BQ784" s="115"/>
      <c r="BR784" s="115"/>
      <c r="BS784" s="115"/>
      <c r="BT784" s="115"/>
      <c r="BU784" s="25"/>
      <c r="BV784" s="13"/>
      <c r="BY784" s="114"/>
    </row>
    <row r="785" spans="1:77" ht="19.5" x14ac:dyDescent="0.4">
      <c r="A785" s="117"/>
      <c r="B785" s="123"/>
      <c r="C785" s="123"/>
      <c r="D785" s="123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  <c r="AK785" s="115"/>
      <c r="AL785" s="127"/>
      <c r="AM785" s="29"/>
      <c r="AN785" s="115"/>
      <c r="AO785" s="115"/>
      <c r="AP785" s="115"/>
      <c r="AQ785" s="115"/>
      <c r="AR785" s="115"/>
      <c r="AS785" s="115"/>
      <c r="AT785" s="115"/>
      <c r="AU785" s="115"/>
      <c r="AV785" s="115"/>
      <c r="AW785" s="25">
        <v>45680</v>
      </c>
      <c r="AX785" s="15" t="s">
        <v>146</v>
      </c>
      <c r="BC785" s="116"/>
      <c r="BD785" s="123"/>
      <c r="BE785" s="123"/>
      <c r="BF785" s="123"/>
      <c r="BK785" s="115"/>
      <c r="BL785" s="115"/>
      <c r="BM785" s="115"/>
      <c r="BN785" s="115"/>
      <c r="BO785" s="115"/>
      <c r="BP785" s="115"/>
      <c r="BQ785" s="115"/>
      <c r="BR785" s="115"/>
      <c r="BS785" s="115"/>
      <c r="BT785" s="115"/>
      <c r="BU785" s="25"/>
      <c r="BV785" s="13"/>
      <c r="BY785" s="114"/>
    </row>
    <row r="786" spans="1:77" ht="19.5" x14ac:dyDescent="0.4">
      <c r="A786" s="117"/>
      <c r="B786" s="123"/>
      <c r="C786" s="123"/>
      <c r="D786" s="123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27"/>
      <c r="AM786" s="29"/>
      <c r="AN786" s="115"/>
      <c r="AO786" s="115"/>
      <c r="AP786" s="115"/>
      <c r="AQ786" s="115"/>
      <c r="AR786" s="115"/>
      <c r="AS786" s="115"/>
      <c r="AT786" s="115"/>
      <c r="AU786" s="115"/>
      <c r="AV786" s="115"/>
      <c r="AW786" s="25"/>
      <c r="AX786" s="15"/>
      <c r="BC786" s="116"/>
      <c r="BD786" s="123"/>
      <c r="BE786" s="123"/>
      <c r="BF786" s="123"/>
      <c r="BK786" s="115"/>
      <c r="BL786" s="115"/>
      <c r="BM786" s="115"/>
      <c r="BN786" s="115"/>
      <c r="BO786" s="115"/>
      <c r="BP786" s="115"/>
      <c r="BQ786" s="115"/>
      <c r="BR786" s="115"/>
      <c r="BS786" s="115"/>
      <c r="BT786" s="115"/>
      <c r="BU786" s="25"/>
      <c r="BV786" s="13"/>
      <c r="BY786" s="114"/>
    </row>
    <row r="787" spans="1:77" ht="19.5" x14ac:dyDescent="0.4">
      <c r="A787" s="117"/>
      <c r="B787" s="123"/>
      <c r="C787" s="123"/>
      <c r="D787" s="123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  <c r="AK787" s="115"/>
      <c r="AL787" s="127"/>
      <c r="AM787" s="29"/>
      <c r="AN787" s="115"/>
      <c r="AO787" s="115"/>
      <c r="AP787" s="115"/>
      <c r="AQ787" s="115"/>
      <c r="AR787" s="115"/>
      <c r="AS787" s="115"/>
      <c r="AT787" s="115"/>
      <c r="AU787" s="115"/>
      <c r="AV787" s="115"/>
      <c r="AW787" s="25"/>
      <c r="AX787" s="15"/>
      <c r="BC787" s="116"/>
      <c r="BD787" s="123"/>
      <c r="BE787" s="123"/>
      <c r="BF787" s="123"/>
      <c r="BK787" s="115"/>
      <c r="BL787" s="115"/>
      <c r="BM787" s="115"/>
      <c r="BN787" s="115"/>
      <c r="BO787" s="115"/>
      <c r="BP787" s="115"/>
      <c r="BQ787" s="115"/>
      <c r="BR787" s="115"/>
      <c r="BS787" s="115"/>
      <c r="BT787" s="115"/>
      <c r="BU787" s="25"/>
      <c r="BV787" s="13"/>
      <c r="BY787" s="114"/>
    </row>
    <row r="788" spans="1:77" ht="19.5" x14ac:dyDescent="0.4">
      <c r="A788" s="117"/>
      <c r="B788" s="123"/>
      <c r="C788" s="123"/>
      <c r="D788" s="123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27"/>
      <c r="AM788" s="29"/>
      <c r="AN788" s="115"/>
      <c r="AO788" s="115"/>
      <c r="AP788" s="115"/>
      <c r="AQ788" s="115"/>
      <c r="AR788" s="115"/>
      <c r="AS788" s="115"/>
      <c r="AT788" s="115"/>
      <c r="AU788" s="115"/>
      <c r="AV788" s="115"/>
      <c r="AW788" s="25"/>
      <c r="AX788" s="15"/>
      <c r="BC788" s="116"/>
      <c r="BD788" s="123"/>
      <c r="BE788" s="123"/>
      <c r="BF788" s="123"/>
      <c r="BK788" s="115"/>
      <c r="BL788" s="115"/>
      <c r="BM788" s="115"/>
      <c r="BN788" s="115"/>
      <c r="BO788" s="115"/>
      <c r="BP788" s="115"/>
      <c r="BQ788" s="115"/>
      <c r="BR788" s="115"/>
      <c r="BS788" s="115"/>
      <c r="BT788" s="115"/>
      <c r="BU788" s="25"/>
      <c r="BV788" s="13"/>
      <c r="BY788" s="114"/>
    </row>
    <row r="789" spans="1:77" ht="19.5" x14ac:dyDescent="0.4">
      <c r="A789" s="117"/>
      <c r="B789" s="123"/>
      <c r="C789" s="123"/>
      <c r="D789" s="123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27"/>
      <c r="AM789" s="29"/>
      <c r="AN789" s="115"/>
      <c r="AO789" s="115"/>
      <c r="AP789" s="115"/>
      <c r="AQ789" s="115"/>
      <c r="AR789" s="115"/>
      <c r="AS789" s="115"/>
      <c r="AT789" s="115"/>
      <c r="AU789" s="115"/>
      <c r="AV789" s="115"/>
      <c r="AW789" s="25">
        <v>45680</v>
      </c>
      <c r="AX789" s="15" t="s">
        <v>146</v>
      </c>
      <c r="BC789" s="116"/>
      <c r="BD789" s="123"/>
      <c r="BE789" s="123"/>
      <c r="BF789" s="123"/>
      <c r="BK789" s="115"/>
      <c r="BL789" s="115"/>
      <c r="BM789" s="115"/>
      <c r="BN789" s="115"/>
      <c r="BO789" s="115"/>
      <c r="BP789" s="115"/>
      <c r="BQ789" s="115"/>
      <c r="BR789" s="115"/>
      <c r="BS789" s="115"/>
      <c r="BT789" s="115"/>
      <c r="BU789" s="25"/>
      <c r="BV789" s="13"/>
      <c r="BY789" s="114"/>
    </row>
    <row r="790" spans="1:77" ht="19.5" x14ac:dyDescent="0.4">
      <c r="A790" s="117"/>
      <c r="B790" s="123"/>
      <c r="C790" s="123"/>
      <c r="D790" s="123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15"/>
      <c r="AL790" s="127"/>
      <c r="AM790" s="29"/>
      <c r="AN790" s="115"/>
      <c r="AO790" s="115"/>
      <c r="AP790" s="115"/>
      <c r="AQ790" s="115"/>
      <c r="AR790" s="115"/>
      <c r="AS790" s="115"/>
      <c r="AT790" s="115"/>
      <c r="AU790" s="115"/>
      <c r="AV790" s="115"/>
      <c r="AW790" s="25"/>
      <c r="AX790" s="15"/>
      <c r="BC790" s="116"/>
      <c r="BD790" s="123"/>
      <c r="BE790" s="123"/>
      <c r="BF790" s="123"/>
      <c r="BK790" s="115"/>
      <c r="BL790" s="115"/>
      <c r="BM790" s="115"/>
      <c r="BN790" s="115"/>
      <c r="BO790" s="115"/>
      <c r="BP790" s="115"/>
      <c r="BQ790" s="115"/>
      <c r="BR790" s="115"/>
      <c r="BS790" s="115"/>
      <c r="BT790" s="115"/>
      <c r="BU790" s="25"/>
      <c r="BV790" s="13"/>
      <c r="BY790" s="114"/>
    </row>
    <row r="791" spans="1:77" ht="19.5" x14ac:dyDescent="0.4">
      <c r="A791" s="117"/>
      <c r="B791" s="123"/>
      <c r="C791" s="123"/>
      <c r="D791" s="123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115"/>
      <c r="AL791" s="29"/>
      <c r="AM791" s="29"/>
      <c r="AN791" s="115"/>
      <c r="AO791" s="115"/>
      <c r="AP791" s="115"/>
      <c r="AQ791" s="115"/>
      <c r="AR791" s="115"/>
      <c r="AS791" s="115"/>
      <c r="AT791" s="115"/>
      <c r="AU791" s="115"/>
      <c r="AV791" s="115"/>
      <c r="AW791" s="25"/>
      <c r="AX791" s="15"/>
      <c r="BC791" s="116"/>
      <c r="BD791" s="123"/>
      <c r="BE791" s="123"/>
      <c r="BF791" s="123"/>
      <c r="BK791" s="115"/>
      <c r="BL791" s="115"/>
      <c r="BM791" s="115"/>
      <c r="BN791" s="115"/>
      <c r="BO791" s="115"/>
      <c r="BP791" s="115"/>
      <c r="BQ791" s="115"/>
      <c r="BR791" s="115"/>
      <c r="BS791" s="115"/>
      <c r="BT791" s="115"/>
      <c r="BU791" s="25"/>
      <c r="BV791" s="13"/>
      <c r="BY791" s="114"/>
    </row>
    <row r="792" spans="1:77" ht="19.5" x14ac:dyDescent="0.4">
      <c r="A792" s="117"/>
      <c r="B792" s="123"/>
      <c r="C792" s="123"/>
      <c r="D792" s="123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27"/>
      <c r="AM792" s="29"/>
      <c r="AN792" s="115"/>
      <c r="AO792" s="115"/>
      <c r="AP792" s="115"/>
      <c r="AQ792" s="115"/>
      <c r="AR792" s="115"/>
      <c r="AS792" s="115"/>
      <c r="AT792" s="115"/>
      <c r="AU792" s="115"/>
      <c r="AV792" s="115"/>
      <c r="AW792" s="25">
        <v>45680</v>
      </c>
      <c r="AX792" s="15" t="s">
        <v>147</v>
      </c>
      <c r="BC792" s="116"/>
      <c r="BD792" s="123"/>
      <c r="BE792" s="123"/>
      <c r="BF792" s="123"/>
      <c r="BK792" s="115"/>
      <c r="BL792" s="115"/>
      <c r="BM792" s="115"/>
      <c r="BN792" s="115"/>
      <c r="BO792" s="115"/>
      <c r="BP792" s="115"/>
      <c r="BQ792" s="115"/>
      <c r="BR792" s="115"/>
      <c r="BS792" s="115"/>
      <c r="BT792" s="115"/>
      <c r="BU792" s="25"/>
      <c r="BV792" s="13"/>
      <c r="BY792" s="114"/>
    </row>
    <row r="793" spans="1:77" ht="19.5" x14ac:dyDescent="0.4">
      <c r="A793" s="117"/>
      <c r="B793" s="123"/>
      <c r="C793" s="123"/>
      <c r="D793" s="123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29"/>
      <c r="AM793" s="29"/>
      <c r="AN793" s="115"/>
      <c r="AO793" s="115"/>
      <c r="AP793" s="115"/>
      <c r="AQ793" s="115"/>
      <c r="AR793" s="115"/>
      <c r="AS793" s="115"/>
      <c r="AT793" s="115"/>
      <c r="AU793" s="115"/>
      <c r="AV793" s="115"/>
      <c r="AW793" s="25"/>
      <c r="AX793" s="13"/>
      <c r="BC793" s="116"/>
      <c r="BD793" s="123"/>
      <c r="BE793" s="123"/>
      <c r="BF793" s="123"/>
      <c r="BK793" s="115"/>
      <c r="BL793" s="115"/>
      <c r="BM793" s="115"/>
      <c r="BN793" s="115"/>
      <c r="BO793" s="115"/>
      <c r="BP793" s="115"/>
      <c r="BQ793" s="115"/>
      <c r="BR793" s="115"/>
      <c r="BS793" s="115"/>
      <c r="BT793" s="115"/>
      <c r="BU793" s="25"/>
      <c r="BV793" s="13"/>
      <c r="BY793" s="114"/>
    </row>
    <row r="794" spans="1:77" ht="19.5" x14ac:dyDescent="0.4">
      <c r="A794" s="117"/>
      <c r="B794" s="123"/>
      <c r="C794" s="123"/>
      <c r="D794" s="123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115"/>
      <c r="AL794" s="127"/>
      <c r="AM794" s="29"/>
      <c r="AN794" s="115"/>
      <c r="AO794" s="115"/>
      <c r="AP794" s="115"/>
      <c r="AQ794" s="115"/>
      <c r="AR794" s="115"/>
      <c r="AS794" s="115"/>
      <c r="AT794" s="115"/>
      <c r="AU794" s="115"/>
      <c r="AV794" s="115"/>
      <c r="AW794" s="25"/>
      <c r="AX794" s="13"/>
      <c r="BC794" s="116"/>
      <c r="BD794" s="123"/>
      <c r="BE794" s="123"/>
      <c r="BF794" s="123"/>
      <c r="BK794" s="115"/>
      <c r="BL794" s="115"/>
      <c r="BM794" s="115"/>
      <c r="BN794" s="115"/>
      <c r="BO794" s="115"/>
      <c r="BP794" s="115"/>
      <c r="BQ794" s="115"/>
      <c r="BR794" s="115"/>
      <c r="BS794" s="115"/>
      <c r="BT794" s="115"/>
      <c r="BU794" s="25"/>
      <c r="BV794" s="13"/>
      <c r="BY794" s="114"/>
    </row>
    <row r="795" spans="1:77" ht="19.5" x14ac:dyDescent="0.4">
      <c r="A795" s="117"/>
      <c r="B795" s="123"/>
      <c r="C795" s="123"/>
      <c r="D795" s="123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127"/>
      <c r="AM795" s="29"/>
      <c r="AN795" s="115"/>
      <c r="AO795" s="115"/>
      <c r="AP795" s="115"/>
      <c r="AQ795" s="115"/>
      <c r="AR795" s="115"/>
      <c r="AS795" s="115"/>
      <c r="AT795" s="115"/>
      <c r="AU795" s="115"/>
      <c r="AV795" s="115"/>
      <c r="AW795" s="25"/>
      <c r="AX795" s="13"/>
      <c r="BC795" s="116"/>
      <c r="BD795" s="123"/>
      <c r="BE795" s="123"/>
      <c r="BF795" s="123"/>
      <c r="BK795" s="115"/>
      <c r="BL795" s="115"/>
      <c r="BM795" s="115"/>
      <c r="BN795" s="115"/>
      <c r="BO795" s="115"/>
      <c r="BP795" s="115"/>
      <c r="BQ795" s="115"/>
      <c r="BR795" s="115"/>
      <c r="BS795" s="115"/>
      <c r="BT795" s="115"/>
      <c r="BU795" s="25"/>
      <c r="BV795" s="13"/>
      <c r="BY795" s="114"/>
    </row>
    <row r="796" spans="1:77" ht="19.5" x14ac:dyDescent="0.4">
      <c r="A796" s="117"/>
      <c r="B796" s="123"/>
      <c r="C796" s="123"/>
      <c r="D796" s="123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29"/>
      <c r="AM796" s="29"/>
      <c r="AN796" s="115"/>
      <c r="AO796" s="115"/>
      <c r="AP796" s="115"/>
      <c r="AQ796" s="115"/>
      <c r="AR796" s="115"/>
      <c r="AS796" s="115"/>
      <c r="AT796" s="115"/>
      <c r="AU796" s="115"/>
      <c r="AV796" s="115"/>
      <c r="AW796" s="25"/>
      <c r="AX796" s="13"/>
      <c r="BC796" s="116"/>
      <c r="BD796" s="123"/>
      <c r="BE796" s="123"/>
      <c r="BF796" s="123"/>
      <c r="BK796" s="115"/>
      <c r="BL796" s="115"/>
      <c r="BM796" s="115"/>
      <c r="BN796" s="115"/>
      <c r="BO796" s="115"/>
      <c r="BP796" s="115"/>
      <c r="BQ796" s="115"/>
      <c r="BR796" s="115"/>
      <c r="BS796" s="115"/>
      <c r="BT796" s="115"/>
      <c r="BU796" s="25"/>
      <c r="BV796" s="13"/>
      <c r="BY796" s="114"/>
    </row>
    <row r="797" spans="1:77" ht="19.5" x14ac:dyDescent="0.4">
      <c r="A797" s="117"/>
      <c r="B797" s="123"/>
      <c r="C797" s="123"/>
      <c r="D797" s="123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  <c r="AK797" s="115"/>
      <c r="AL797" s="29"/>
      <c r="AM797" s="29"/>
      <c r="AN797" s="115"/>
      <c r="AO797" s="115"/>
      <c r="AP797" s="115"/>
      <c r="AQ797" s="115"/>
      <c r="AR797" s="115"/>
      <c r="AS797" s="115"/>
      <c r="AT797" s="115"/>
      <c r="AU797" s="115"/>
      <c r="AV797" s="115"/>
      <c r="AW797" s="25"/>
      <c r="AX797" s="13"/>
      <c r="BC797" s="116"/>
      <c r="BD797" s="123"/>
      <c r="BE797" s="123"/>
      <c r="BF797" s="123"/>
      <c r="BK797" s="115"/>
      <c r="BL797" s="115"/>
      <c r="BM797" s="115"/>
      <c r="BN797" s="115"/>
      <c r="BO797" s="115"/>
      <c r="BP797" s="115"/>
      <c r="BQ797" s="115"/>
      <c r="BR797" s="115"/>
      <c r="BS797" s="115"/>
      <c r="BT797" s="115"/>
      <c r="BU797" s="25"/>
      <c r="BV797" s="13"/>
      <c r="BY797" s="114"/>
    </row>
    <row r="798" spans="1:77" ht="19.5" x14ac:dyDescent="0.4">
      <c r="A798" s="117"/>
      <c r="B798" s="123"/>
      <c r="C798" s="123"/>
      <c r="D798" s="123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  <c r="AK798" s="115"/>
      <c r="AL798" s="127"/>
      <c r="AM798" s="29"/>
      <c r="AN798" s="115"/>
      <c r="AO798" s="115"/>
      <c r="AP798" s="115"/>
      <c r="AQ798" s="115"/>
      <c r="AR798" s="115"/>
      <c r="AS798" s="115"/>
      <c r="AT798" s="115"/>
      <c r="AU798" s="115"/>
      <c r="AV798" s="115"/>
      <c r="AW798" s="25"/>
      <c r="AX798" s="13"/>
      <c r="BC798" s="116"/>
      <c r="BD798" s="123"/>
      <c r="BE798" s="123"/>
      <c r="BF798" s="123"/>
      <c r="BK798" s="115"/>
      <c r="BL798" s="115"/>
      <c r="BM798" s="115"/>
      <c r="BN798" s="115"/>
      <c r="BO798" s="115"/>
      <c r="BP798" s="115"/>
      <c r="BQ798" s="115"/>
      <c r="BR798" s="115"/>
      <c r="BS798" s="115"/>
      <c r="BT798" s="115"/>
      <c r="BU798" s="25"/>
      <c r="BV798" s="13"/>
      <c r="BY798" s="114"/>
    </row>
    <row r="799" spans="1:77" ht="19.5" x14ac:dyDescent="0.4">
      <c r="A799" s="117"/>
      <c r="B799" s="123"/>
      <c r="C799" s="123"/>
      <c r="D799" s="123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27"/>
      <c r="AM799" s="29"/>
      <c r="AN799" s="115"/>
      <c r="AO799" s="115"/>
      <c r="AP799" s="115"/>
      <c r="AQ799" s="115"/>
      <c r="AR799" s="115"/>
      <c r="AS799" s="115"/>
      <c r="AT799" s="115"/>
      <c r="AU799" s="115"/>
      <c r="AV799" s="115"/>
      <c r="AW799" s="25"/>
      <c r="AX799" s="13"/>
      <c r="BC799" s="116"/>
      <c r="BD799" s="123"/>
      <c r="BE799" s="123"/>
      <c r="BF799" s="123"/>
      <c r="BK799" s="115"/>
      <c r="BL799" s="115"/>
      <c r="BM799" s="115"/>
      <c r="BN799" s="115"/>
      <c r="BO799" s="115"/>
      <c r="BP799" s="115"/>
      <c r="BQ799" s="115"/>
      <c r="BR799" s="115"/>
      <c r="BS799" s="115"/>
      <c r="BT799" s="115"/>
      <c r="BU799" s="25"/>
      <c r="BV799" s="13"/>
      <c r="BY799" s="114"/>
    </row>
    <row r="800" spans="1:77" ht="19.5" x14ac:dyDescent="0.4">
      <c r="A800" s="117"/>
      <c r="B800" s="123"/>
      <c r="C800" s="123"/>
      <c r="D800" s="123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27"/>
      <c r="AM800" s="29"/>
      <c r="AN800" s="115"/>
      <c r="AO800" s="115"/>
      <c r="AP800" s="115"/>
      <c r="AQ800" s="115"/>
      <c r="AR800" s="115"/>
      <c r="AS800" s="115"/>
      <c r="AT800" s="115"/>
      <c r="AU800" s="115"/>
      <c r="AV800" s="115"/>
      <c r="AW800" s="25"/>
      <c r="AX800" s="13"/>
      <c r="BC800" s="116"/>
      <c r="BD800" s="123"/>
      <c r="BE800" s="123"/>
      <c r="BF800" s="123"/>
      <c r="BK800" s="115"/>
      <c r="BL800" s="115"/>
      <c r="BM800" s="115"/>
      <c r="BN800" s="115"/>
      <c r="BO800" s="115"/>
      <c r="BP800" s="115"/>
      <c r="BQ800" s="115"/>
      <c r="BR800" s="115"/>
      <c r="BS800" s="115"/>
      <c r="BT800" s="115"/>
      <c r="BU800" s="25"/>
      <c r="BV800" s="13"/>
      <c r="BY800" s="114"/>
    </row>
    <row r="801" spans="1:77" ht="19.5" x14ac:dyDescent="0.4">
      <c r="A801" s="117"/>
      <c r="B801" s="123"/>
      <c r="C801" s="123"/>
      <c r="D801" s="123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  <c r="AK801" s="115"/>
      <c r="AL801" s="127"/>
      <c r="AM801" s="29"/>
      <c r="AN801" s="115"/>
      <c r="AO801" s="115"/>
      <c r="AP801" s="115"/>
      <c r="AQ801" s="115"/>
      <c r="AR801" s="115"/>
      <c r="AS801" s="115"/>
      <c r="AT801" s="115"/>
      <c r="AU801" s="115"/>
      <c r="AV801" s="115"/>
      <c r="AW801" s="25"/>
      <c r="AX801" s="13"/>
      <c r="BC801" s="116"/>
      <c r="BD801" s="123"/>
      <c r="BE801" s="123"/>
      <c r="BF801" s="123"/>
      <c r="BK801" s="115"/>
      <c r="BL801" s="115"/>
      <c r="BM801" s="115"/>
      <c r="BN801" s="115"/>
      <c r="BO801" s="115"/>
      <c r="BP801" s="115"/>
      <c r="BQ801" s="115"/>
      <c r="BR801" s="115"/>
      <c r="BS801" s="115"/>
      <c r="BT801" s="115"/>
      <c r="BU801" s="25"/>
      <c r="BV801" s="13"/>
      <c r="BY801" s="114"/>
    </row>
    <row r="802" spans="1:77" ht="19.5" x14ac:dyDescent="0.4">
      <c r="A802" s="117"/>
      <c r="B802" s="123"/>
      <c r="C802" s="123"/>
      <c r="D802" s="123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  <c r="AK802" s="115"/>
      <c r="AL802" s="127"/>
      <c r="AM802" s="29"/>
      <c r="AN802" s="115"/>
      <c r="AO802" s="115"/>
      <c r="AP802" s="115"/>
      <c r="AQ802" s="115"/>
      <c r="AR802" s="115"/>
      <c r="AS802" s="115"/>
      <c r="AT802" s="115"/>
      <c r="AU802" s="115"/>
      <c r="AV802" s="115"/>
      <c r="AW802" s="25">
        <v>45680</v>
      </c>
      <c r="AX802" s="13" t="s">
        <v>146</v>
      </c>
      <c r="BC802" s="116"/>
      <c r="BD802" s="123"/>
      <c r="BE802" s="123"/>
      <c r="BF802" s="123"/>
      <c r="BK802" s="115"/>
      <c r="BL802" s="115"/>
      <c r="BM802" s="115"/>
      <c r="BN802" s="115"/>
      <c r="BO802" s="115"/>
      <c r="BP802" s="115"/>
      <c r="BQ802" s="115"/>
      <c r="BR802" s="115"/>
      <c r="BS802" s="115"/>
      <c r="BT802" s="115"/>
      <c r="BU802" s="25"/>
      <c r="BV802" s="13"/>
      <c r="BY802" s="114"/>
    </row>
    <row r="803" spans="1:77" ht="19.5" x14ac:dyDescent="0.4">
      <c r="A803" s="117"/>
      <c r="B803" s="123"/>
      <c r="C803" s="123"/>
      <c r="D803" s="123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29"/>
      <c r="AM803" s="29"/>
      <c r="AN803" s="115"/>
      <c r="AO803" s="115"/>
      <c r="AP803" s="115"/>
      <c r="AQ803" s="115"/>
      <c r="AR803" s="115"/>
      <c r="AS803" s="115"/>
      <c r="AT803" s="115"/>
      <c r="AU803" s="115"/>
      <c r="AV803" s="115"/>
      <c r="AW803" s="25"/>
      <c r="AX803" s="13"/>
      <c r="BC803" s="116"/>
      <c r="BD803" s="123"/>
      <c r="BE803" s="123"/>
      <c r="BF803" s="123"/>
      <c r="BK803" s="115"/>
      <c r="BL803" s="115"/>
      <c r="BM803" s="115"/>
      <c r="BN803" s="115"/>
      <c r="BO803" s="115"/>
      <c r="BP803" s="115"/>
      <c r="BQ803" s="115"/>
      <c r="BR803" s="115"/>
      <c r="BS803" s="115"/>
      <c r="BT803" s="115"/>
      <c r="BU803" s="25"/>
      <c r="BV803" s="13"/>
      <c r="BY803" s="114"/>
    </row>
    <row r="804" spans="1:77" ht="19.5" x14ac:dyDescent="0.4">
      <c r="A804" s="117"/>
      <c r="B804" s="123"/>
      <c r="C804" s="123"/>
      <c r="D804" s="123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  <c r="AK804" s="115"/>
      <c r="AL804" s="127"/>
      <c r="AM804" s="29"/>
      <c r="AN804" s="115"/>
      <c r="AO804" s="115"/>
      <c r="AP804" s="115"/>
      <c r="AQ804" s="115"/>
      <c r="AR804" s="115"/>
      <c r="AS804" s="115"/>
      <c r="AT804" s="115"/>
      <c r="AU804" s="115"/>
      <c r="AV804" s="115"/>
      <c r="AW804" s="25">
        <v>45680</v>
      </c>
      <c r="AX804" s="13" t="s">
        <v>147</v>
      </c>
      <c r="BC804" s="116"/>
      <c r="BD804" s="123"/>
      <c r="BE804" s="123"/>
      <c r="BF804" s="123"/>
      <c r="BK804" s="115"/>
      <c r="BL804" s="115"/>
      <c r="BM804" s="115"/>
      <c r="BN804" s="115"/>
      <c r="BO804" s="115"/>
      <c r="BP804" s="115"/>
      <c r="BQ804" s="115"/>
      <c r="BR804" s="115"/>
      <c r="BS804" s="115"/>
      <c r="BT804" s="115"/>
      <c r="BU804" s="25"/>
      <c r="BV804" s="13"/>
      <c r="BY804" s="114"/>
    </row>
    <row r="805" spans="1:77" ht="19.5" x14ac:dyDescent="0.4">
      <c r="A805" s="117"/>
      <c r="B805" s="123"/>
      <c r="C805" s="123"/>
      <c r="D805" s="123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27"/>
      <c r="AM805" s="29"/>
      <c r="AN805" s="115"/>
      <c r="AO805" s="115"/>
      <c r="AP805" s="115"/>
      <c r="AQ805" s="115"/>
      <c r="AR805" s="115"/>
      <c r="AS805" s="115"/>
      <c r="AT805" s="115"/>
      <c r="AU805" s="115"/>
      <c r="AV805" s="115"/>
      <c r="AW805" s="25">
        <v>45680</v>
      </c>
      <c r="AX805" s="13" t="s">
        <v>146</v>
      </c>
      <c r="BC805" s="116"/>
      <c r="BD805" s="123"/>
      <c r="BE805" s="123"/>
      <c r="BF805" s="123"/>
      <c r="BK805" s="115"/>
      <c r="BL805" s="115"/>
      <c r="BM805" s="115"/>
      <c r="BN805" s="115"/>
      <c r="BO805" s="115"/>
      <c r="BP805" s="115"/>
      <c r="BQ805" s="115"/>
      <c r="BR805" s="115"/>
      <c r="BS805" s="115"/>
      <c r="BT805" s="115"/>
      <c r="BU805" s="25"/>
      <c r="BV805" s="13"/>
      <c r="BY805" s="114"/>
    </row>
    <row r="806" spans="1:77" ht="19.5" x14ac:dyDescent="0.4">
      <c r="A806" s="117"/>
      <c r="B806" s="123"/>
      <c r="C806" s="123"/>
      <c r="D806" s="123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29"/>
      <c r="AM806" s="29"/>
      <c r="AN806" s="115"/>
      <c r="AO806" s="115"/>
      <c r="AP806" s="115"/>
      <c r="AQ806" s="115"/>
      <c r="AR806" s="115"/>
      <c r="AS806" s="115"/>
      <c r="AT806" s="115"/>
      <c r="AU806" s="115"/>
      <c r="AV806" s="115"/>
      <c r="AW806" s="25"/>
      <c r="AX806" s="13"/>
      <c r="BC806" s="116"/>
      <c r="BD806" s="123"/>
      <c r="BE806" s="123"/>
      <c r="BF806" s="123"/>
      <c r="BK806" s="115"/>
      <c r="BL806" s="115"/>
      <c r="BM806" s="115"/>
      <c r="BN806" s="115"/>
      <c r="BO806" s="115"/>
      <c r="BP806" s="115"/>
      <c r="BQ806" s="115"/>
      <c r="BR806" s="115"/>
      <c r="BS806" s="115"/>
      <c r="BT806" s="115"/>
      <c r="BU806" s="25"/>
      <c r="BV806" s="13"/>
      <c r="BY806" s="114"/>
    </row>
    <row r="807" spans="1:77" ht="19.5" x14ac:dyDescent="0.4">
      <c r="A807" s="117"/>
      <c r="B807" s="123"/>
      <c r="C807" s="123"/>
      <c r="D807" s="123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27"/>
      <c r="AM807" s="29"/>
      <c r="AN807" s="115"/>
      <c r="AO807" s="115"/>
      <c r="AP807" s="115"/>
      <c r="AQ807" s="115"/>
      <c r="AR807" s="115"/>
      <c r="AS807" s="115"/>
      <c r="AT807" s="115"/>
      <c r="AU807" s="115"/>
      <c r="AV807" s="115"/>
      <c r="AW807" s="25"/>
      <c r="AX807" s="13"/>
      <c r="BC807" s="116"/>
      <c r="BD807" s="123"/>
      <c r="BE807" s="123"/>
      <c r="BF807" s="123"/>
      <c r="BK807" s="115"/>
      <c r="BL807" s="115"/>
      <c r="BM807" s="115"/>
      <c r="BN807" s="115"/>
      <c r="BO807" s="115"/>
      <c r="BP807" s="115"/>
      <c r="BQ807" s="115"/>
      <c r="BR807" s="115"/>
      <c r="BS807" s="115"/>
      <c r="BT807" s="115"/>
      <c r="BU807" s="25"/>
      <c r="BV807" s="13"/>
      <c r="BY807" s="114"/>
    </row>
    <row r="808" spans="1:77" ht="19.5" x14ac:dyDescent="0.4">
      <c r="A808" s="117"/>
      <c r="B808" s="123"/>
      <c r="C808" s="123"/>
      <c r="D808" s="123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29"/>
      <c r="AM808" s="29"/>
      <c r="AN808" s="115"/>
      <c r="AO808" s="115"/>
      <c r="AP808" s="115"/>
      <c r="AQ808" s="115"/>
      <c r="AR808" s="115"/>
      <c r="AS808" s="115"/>
      <c r="AT808" s="115"/>
      <c r="AU808" s="115"/>
      <c r="AV808" s="115"/>
      <c r="AW808" s="25"/>
      <c r="AX808" s="13"/>
      <c r="BC808" s="116"/>
      <c r="BD808" s="123"/>
      <c r="BE808" s="123"/>
      <c r="BF808" s="123"/>
      <c r="BK808" s="115"/>
      <c r="BL808" s="115"/>
      <c r="BM808" s="115"/>
      <c r="BN808" s="115"/>
      <c r="BO808" s="115"/>
      <c r="BP808" s="115"/>
      <c r="BQ808" s="115"/>
      <c r="BR808" s="115"/>
      <c r="BS808" s="115"/>
      <c r="BT808" s="115"/>
      <c r="BU808" s="25"/>
      <c r="BV808" s="13"/>
      <c r="BY808" s="114"/>
    </row>
    <row r="809" spans="1:77" ht="19.5" x14ac:dyDescent="0.4">
      <c r="A809" s="117"/>
      <c r="B809" s="123"/>
      <c r="C809" s="123"/>
      <c r="D809" s="123"/>
      <c r="AL809" s="127"/>
      <c r="AM809" s="29"/>
      <c r="AW809" s="25">
        <v>45680</v>
      </c>
      <c r="AX809" s="13" t="s">
        <v>146</v>
      </c>
      <c r="BC809" s="117"/>
      <c r="BD809" s="123"/>
      <c r="BE809" s="123"/>
      <c r="BF809" s="123"/>
      <c r="BK809" s="115"/>
      <c r="BL809" s="115"/>
      <c r="BM809" s="115"/>
      <c r="BN809" s="115"/>
      <c r="BO809" s="115"/>
      <c r="BP809" s="115"/>
      <c r="BQ809" s="115"/>
      <c r="BR809" s="115"/>
      <c r="BS809" s="115"/>
      <c r="BT809" s="115" t="s">
        <v>149</v>
      </c>
      <c r="BU809" s="13">
        <f>SUBTOTAL(3,BU2:BU2)</f>
        <v>1</v>
      </c>
      <c r="BV809" s="13">
        <f>SUBTOTAL(3,BV2:BV2)</f>
        <v>1</v>
      </c>
      <c r="BY809" s="114"/>
    </row>
    <row r="810" spans="1:77" ht="19.5" x14ac:dyDescent="0.4">
      <c r="A810" s="117"/>
      <c r="B810" s="123"/>
      <c r="C810" s="123"/>
      <c r="D810" s="123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29"/>
      <c r="AM810" s="29"/>
      <c r="AW810" s="25"/>
      <c r="AX810" s="13"/>
      <c r="BC810" s="117"/>
      <c r="BD810" s="123"/>
      <c r="BE810" s="123"/>
      <c r="BF810" s="123"/>
      <c r="BK810" s="115"/>
      <c r="BL810" s="115"/>
      <c r="BM810" s="115"/>
      <c r="BN810" s="115"/>
      <c r="BO810" s="115"/>
      <c r="BP810" s="115"/>
      <c r="BQ810" s="115"/>
      <c r="BR810" s="115"/>
      <c r="BS810" s="115"/>
      <c r="BT810" s="115"/>
      <c r="BU810" s="13"/>
      <c r="BV810" s="13"/>
      <c r="BY810" s="114"/>
    </row>
    <row r="811" spans="1:77" ht="19.5" x14ac:dyDescent="0.4">
      <c r="A811" s="117"/>
      <c r="B811" s="123"/>
      <c r="C811" s="123"/>
      <c r="D811" s="123"/>
      <c r="AL811" s="127"/>
      <c r="AM811" s="29"/>
      <c r="AW811" s="25"/>
      <c r="AX811" s="13"/>
      <c r="BC811" s="117"/>
      <c r="BD811" s="123"/>
      <c r="BE811" s="123"/>
      <c r="BF811" s="123"/>
      <c r="BK811" s="115"/>
      <c r="BL811" s="115"/>
      <c r="BM811" s="115"/>
      <c r="BN811" s="115"/>
      <c r="BO811" s="115"/>
      <c r="BP811" s="115"/>
      <c r="BQ811" s="115"/>
      <c r="BR811" s="115"/>
      <c r="BS811" s="115"/>
      <c r="BT811" s="115"/>
      <c r="BU811" s="13"/>
      <c r="BV811" s="13"/>
      <c r="BY811" s="114"/>
    </row>
    <row r="812" spans="1:77" ht="19.5" x14ac:dyDescent="0.4">
      <c r="A812" s="117"/>
      <c r="B812" s="123"/>
      <c r="C812" s="123"/>
      <c r="D812" s="123"/>
      <c r="AL812" s="127"/>
      <c r="AM812" s="29"/>
      <c r="AN812" s="115"/>
      <c r="AO812" s="115"/>
      <c r="AP812" s="115"/>
      <c r="AQ812" s="115"/>
      <c r="AR812" s="115"/>
      <c r="AS812" s="115"/>
      <c r="AT812" s="115"/>
      <c r="AU812" s="115"/>
      <c r="AV812" s="115"/>
      <c r="AW812" s="25">
        <v>45682</v>
      </c>
      <c r="AX812" s="13" t="s">
        <v>147</v>
      </c>
      <c r="BC812" s="117"/>
      <c r="BD812" s="123"/>
      <c r="BE812" s="123"/>
      <c r="BF812" s="123"/>
      <c r="BK812" s="115"/>
      <c r="BL812" s="115"/>
      <c r="BM812" s="115"/>
      <c r="BN812" s="115"/>
      <c r="BO812" s="115"/>
      <c r="BP812" s="115"/>
      <c r="BQ812" s="115"/>
      <c r="BR812" s="115"/>
      <c r="BS812" s="115"/>
      <c r="BT812" s="115"/>
      <c r="BU812" s="13"/>
      <c r="BV812" s="13"/>
      <c r="BY812" s="114"/>
    </row>
    <row r="813" spans="1:77" ht="19.5" x14ac:dyDescent="0.4">
      <c r="A813" s="117"/>
      <c r="B813" s="123"/>
      <c r="C813" s="123"/>
      <c r="D813" s="123"/>
      <c r="AL813" s="127"/>
      <c r="AM813" s="29"/>
      <c r="AN813" s="115"/>
      <c r="AO813" s="115"/>
      <c r="AP813" s="115"/>
      <c r="AQ813" s="115"/>
      <c r="AR813" s="115"/>
      <c r="AS813" s="115"/>
      <c r="AT813" s="115"/>
      <c r="AU813" s="115"/>
      <c r="AV813" s="115"/>
      <c r="AW813" s="25">
        <v>45682</v>
      </c>
      <c r="AX813" s="13" t="s">
        <v>146</v>
      </c>
      <c r="BC813" s="117"/>
      <c r="BD813" s="123"/>
      <c r="BE813" s="123"/>
      <c r="BF813" s="123"/>
      <c r="BK813" s="115"/>
      <c r="BL813" s="115"/>
      <c r="BM813" s="115"/>
      <c r="BN813" s="115"/>
      <c r="BO813" s="115"/>
      <c r="BP813" s="115"/>
      <c r="BQ813" s="115"/>
      <c r="BR813" s="115"/>
      <c r="BS813" s="115"/>
      <c r="BT813" s="115"/>
      <c r="BU813" s="13"/>
      <c r="BV813" s="13"/>
      <c r="BY813" s="114"/>
    </row>
    <row r="814" spans="1:77" ht="19.5" x14ac:dyDescent="0.4">
      <c r="A814" s="117"/>
      <c r="B814" s="123"/>
      <c r="C814" s="123"/>
      <c r="D814" s="123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127"/>
      <c r="AM814" s="29"/>
      <c r="AN814" s="115"/>
      <c r="AO814" s="115"/>
      <c r="AP814" s="115"/>
      <c r="AQ814" s="115"/>
      <c r="AR814" s="115"/>
      <c r="AS814" s="115"/>
      <c r="AT814" s="115"/>
      <c r="AU814" s="115"/>
      <c r="AV814" s="115"/>
      <c r="AW814" s="25"/>
      <c r="AX814" s="13"/>
      <c r="BC814" s="117"/>
      <c r="BD814" s="123"/>
      <c r="BE814" s="123"/>
      <c r="BF814" s="123"/>
      <c r="BK814" s="115"/>
      <c r="BL814" s="115"/>
      <c r="BM814" s="115"/>
      <c r="BN814" s="115"/>
      <c r="BO814" s="115"/>
      <c r="BP814" s="115"/>
      <c r="BQ814" s="115"/>
      <c r="BR814" s="115"/>
      <c r="BS814" s="115"/>
      <c r="BT814" s="115"/>
      <c r="BU814" s="13"/>
      <c r="BV814" s="13"/>
      <c r="BY814" s="114"/>
    </row>
    <row r="815" spans="1:77" ht="19.5" x14ac:dyDescent="0.4">
      <c r="A815" s="117"/>
      <c r="B815" s="123"/>
      <c r="C815" s="123"/>
      <c r="D815" s="123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27"/>
      <c r="AM815" s="29"/>
      <c r="AN815" s="115"/>
      <c r="AO815" s="115"/>
      <c r="AP815" s="115"/>
      <c r="AQ815" s="115"/>
      <c r="AR815" s="115"/>
      <c r="AS815" s="115"/>
      <c r="AT815" s="115"/>
      <c r="AU815" s="115"/>
      <c r="AV815" s="115"/>
      <c r="AW815" s="25"/>
      <c r="AX815" s="13"/>
      <c r="BC815" s="117"/>
      <c r="BD815" s="123"/>
      <c r="BE815" s="123"/>
      <c r="BF815" s="123"/>
      <c r="BK815" s="115"/>
      <c r="BL815" s="115"/>
      <c r="BM815" s="115"/>
      <c r="BN815" s="115"/>
      <c r="BO815" s="115"/>
      <c r="BP815" s="115"/>
      <c r="BQ815" s="115"/>
      <c r="BR815" s="115"/>
      <c r="BS815" s="115"/>
      <c r="BT815" s="115"/>
      <c r="BU815" s="13"/>
      <c r="BV815" s="13"/>
      <c r="BY815" s="114"/>
    </row>
    <row r="816" spans="1:77" ht="19.5" x14ac:dyDescent="0.4">
      <c r="A816" s="117"/>
      <c r="B816" s="123"/>
      <c r="C816" s="123"/>
      <c r="D816" s="123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29"/>
      <c r="AM816" s="29"/>
      <c r="AN816" s="115"/>
      <c r="AO816" s="115"/>
      <c r="AP816" s="115"/>
      <c r="AQ816" s="115"/>
      <c r="AR816" s="115"/>
      <c r="AS816" s="115"/>
      <c r="AT816" s="115"/>
      <c r="AU816" s="115"/>
      <c r="AV816" s="115"/>
      <c r="AW816" s="25"/>
      <c r="AX816" s="13"/>
      <c r="BC816" s="117"/>
      <c r="BD816" s="123"/>
      <c r="BE816" s="123"/>
      <c r="BF816" s="123"/>
      <c r="BK816" s="115"/>
      <c r="BL816" s="115"/>
      <c r="BM816" s="115"/>
      <c r="BN816" s="115"/>
      <c r="BO816" s="115"/>
      <c r="BP816" s="115"/>
      <c r="BQ816" s="115"/>
      <c r="BR816" s="115"/>
      <c r="BS816" s="115"/>
      <c r="BT816" s="115"/>
      <c r="BU816" s="13"/>
      <c r="BV816" s="13"/>
      <c r="BY816" s="114"/>
    </row>
    <row r="817" spans="1:77" ht="19.5" x14ac:dyDescent="0.4">
      <c r="A817" s="117"/>
      <c r="B817" s="123"/>
      <c r="C817" s="123"/>
      <c r="D817" s="123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127"/>
      <c r="AM817" s="29"/>
      <c r="AN817" s="115"/>
      <c r="AO817" s="115"/>
      <c r="AP817" s="115"/>
      <c r="AQ817" s="115"/>
      <c r="AR817" s="115"/>
      <c r="AS817" s="115"/>
      <c r="AT817" s="115"/>
      <c r="AU817" s="115"/>
      <c r="AV817" s="115"/>
      <c r="AW817" s="25"/>
      <c r="AX817" s="13"/>
      <c r="BC817" s="117"/>
      <c r="BD817" s="123"/>
      <c r="BE817" s="123"/>
      <c r="BF817" s="123"/>
      <c r="BK817" s="115"/>
      <c r="BL817" s="115"/>
      <c r="BM817" s="115"/>
      <c r="BN817" s="115"/>
      <c r="BO817" s="115"/>
      <c r="BP817" s="115"/>
      <c r="BQ817" s="115"/>
      <c r="BR817" s="115"/>
      <c r="BS817" s="115"/>
      <c r="BT817" s="115"/>
      <c r="BU817" s="13"/>
      <c r="BV817" s="13"/>
      <c r="BY817" s="114"/>
    </row>
    <row r="818" spans="1:77" ht="19.5" x14ac:dyDescent="0.4">
      <c r="A818" s="117"/>
      <c r="B818" s="123"/>
      <c r="C818" s="123"/>
      <c r="D818" s="123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115"/>
      <c r="AL818" s="29"/>
      <c r="AM818" s="29"/>
      <c r="AN818" s="115"/>
      <c r="AO818" s="115"/>
      <c r="AP818" s="115"/>
      <c r="AQ818" s="115"/>
      <c r="AR818" s="115"/>
      <c r="AS818" s="115"/>
      <c r="AT818" s="115"/>
      <c r="AU818" s="115"/>
      <c r="AV818" s="115"/>
      <c r="AW818" s="25"/>
      <c r="AX818" s="13"/>
      <c r="BC818" s="117"/>
      <c r="BD818" s="123"/>
      <c r="BE818" s="123"/>
      <c r="BF818" s="123"/>
      <c r="BK818" s="115"/>
      <c r="BL818" s="115"/>
      <c r="BM818" s="115"/>
      <c r="BN818" s="115"/>
      <c r="BO818" s="115"/>
      <c r="BP818" s="115"/>
      <c r="BQ818" s="115"/>
      <c r="BR818" s="115"/>
      <c r="BS818" s="115"/>
      <c r="BT818" s="115"/>
      <c r="BU818" s="13"/>
      <c r="BV818" s="13"/>
      <c r="BY818" s="114"/>
    </row>
    <row r="819" spans="1:77" ht="19.5" x14ac:dyDescent="0.4">
      <c r="A819" s="117"/>
      <c r="B819" s="123"/>
      <c r="C819" s="123"/>
      <c r="D819" s="123"/>
      <c r="AL819" s="127"/>
      <c r="AM819" s="29"/>
      <c r="AN819" s="115"/>
      <c r="AO819" s="115"/>
      <c r="AP819" s="115"/>
      <c r="AQ819" s="115"/>
      <c r="AR819" s="115"/>
      <c r="AS819" s="115"/>
      <c r="AT819" s="115"/>
      <c r="AU819" s="115"/>
      <c r="AV819" s="115"/>
      <c r="AW819" s="25">
        <v>45682</v>
      </c>
      <c r="AX819" s="13" t="s">
        <v>147</v>
      </c>
      <c r="BC819" s="117"/>
      <c r="BD819" s="123"/>
      <c r="BE819" s="123"/>
      <c r="BF819" s="123"/>
      <c r="BK819" s="115"/>
      <c r="BL819" s="115"/>
      <c r="BM819" s="115"/>
      <c r="BN819" s="115"/>
      <c r="BO819" s="115"/>
      <c r="BP819" s="115"/>
      <c r="BQ819" s="115"/>
      <c r="BR819" s="115"/>
      <c r="BS819" s="115"/>
      <c r="BT819" s="115"/>
      <c r="BU819" s="13"/>
      <c r="BV819" s="13"/>
      <c r="BY819" s="114"/>
    </row>
    <row r="820" spans="1:77" ht="19.5" x14ac:dyDescent="0.4">
      <c r="A820" s="117"/>
      <c r="B820" s="123"/>
      <c r="C820" s="123"/>
      <c r="D820" s="123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29"/>
      <c r="AM820" s="29"/>
      <c r="AN820" s="115"/>
      <c r="AO820" s="115"/>
      <c r="AP820" s="115"/>
      <c r="AQ820" s="115"/>
      <c r="AR820" s="115"/>
      <c r="AS820" s="115"/>
      <c r="AT820" s="115"/>
      <c r="AU820" s="115"/>
      <c r="AV820" s="115"/>
      <c r="AW820" s="25"/>
      <c r="AX820" s="13"/>
      <c r="BC820" s="117"/>
      <c r="BD820" s="123"/>
      <c r="BE820" s="123"/>
      <c r="BF820" s="123"/>
      <c r="BK820" s="115"/>
      <c r="BL820" s="115"/>
      <c r="BM820" s="115"/>
      <c r="BN820" s="115"/>
      <c r="BO820" s="115"/>
      <c r="BP820" s="115"/>
      <c r="BQ820" s="115"/>
      <c r="BR820" s="115"/>
      <c r="BS820" s="115"/>
      <c r="BT820" s="115"/>
      <c r="BU820" s="13"/>
      <c r="BV820" s="13"/>
      <c r="BY820" s="114"/>
    </row>
    <row r="821" spans="1:77" ht="19.5" x14ac:dyDescent="0.4">
      <c r="A821" s="117"/>
      <c r="B821" s="123"/>
      <c r="C821" s="123"/>
      <c r="D821" s="123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29"/>
      <c r="AM821" s="29"/>
      <c r="AN821" s="115"/>
      <c r="AO821" s="115"/>
      <c r="AP821" s="115"/>
      <c r="AQ821" s="115"/>
      <c r="AR821" s="115"/>
      <c r="AS821" s="115"/>
      <c r="AT821" s="115"/>
      <c r="AU821" s="115"/>
      <c r="AV821" s="115"/>
      <c r="AW821" s="25"/>
      <c r="AX821" s="13"/>
      <c r="BC821" s="117"/>
      <c r="BD821" s="123"/>
      <c r="BE821" s="123"/>
      <c r="BF821" s="123"/>
      <c r="BK821" s="115"/>
      <c r="BL821" s="115"/>
      <c r="BM821" s="115"/>
      <c r="BN821" s="115"/>
      <c r="BO821" s="115"/>
      <c r="BP821" s="115"/>
      <c r="BQ821" s="115"/>
      <c r="BR821" s="115"/>
      <c r="BS821" s="115"/>
      <c r="BT821" s="115"/>
      <c r="BU821" s="13"/>
      <c r="BV821" s="13"/>
      <c r="BY821" s="114"/>
    </row>
    <row r="822" spans="1:77" ht="19.5" x14ac:dyDescent="0.4">
      <c r="A822" s="117"/>
      <c r="B822" s="123"/>
      <c r="C822" s="123"/>
      <c r="D822" s="123"/>
      <c r="AL822" s="128"/>
      <c r="AM822" s="29"/>
      <c r="AN822" s="115"/>
      <c r="AO822" s="115"/>
      <c r="AP822" s="115"/>
      <c r="AQ822" s="115"/>
      <c r="AR822" s="115"/>
      <c r="AS822" s="115"/>
      <c r="AT822" s="115"/>
      <c r="AU822" s="115"/>
      <c r="AV822" s="115"/>
      <c r="AW822" s="25"/>
      <c r="AX822" s="13"/>
      <c r="BC822" s="117"/>
      <c r="BD822" s="123"/>
      <c r="BE822" s="123"/>
      <c r="BF822" s="123"/>
      <c r="BK822" s="115"/>
      <c r="BL822" s="115"/>
      <c r="BM822" s="115"/>
      <c r="BN822" s="115"/>
      <c r="BO822" s="115"/>
      <c r="BP822" s="115"/>
      <c r="BQ822" s="115"/>
      <c r="BR822" s="115"/>
      <c r="BS822" s="115"/>
      <c r="BT822" s="115"/>
      <c r="BU822" s="13"/>
      <c r="BV822" s="13"/>
      <c r="BY822" s="114"/>
    </row>
    <row r="823" spans="1:77" ht="19.5" x14ac:dyDescent="0.4">
      <c r="A823" s="117"/>
      <c r="B823" s="123"/>
      <c r="C823" s="123"/>
      <c r="D823" s="123"/>
      <c r="AL823" s="127"/>
      <c r="AM823" s="29"/>
      <c r="AN823" s="115"/>
      <c r="AO823" s="115"/>
      <c r="AP823" s="115"/>
      <c r="AQ823" s="115"/>
      <c r="AR823" s="115"/>
      <c r="AS823" s="115"/>
      <c r="AT823" s="115"/>
      <c r="AU823" s="115"/>
      <c r="AV823" s="115"/>
      <c r="AW823" s="25"/>
      <c r="AX823" s="13"/>
      <c r="BC823" s="117"/>
      <c r="BD823" s="123"/>
      <c r="BE823" s="123"/>
      <c r="BF823" s="123"/>
      <c r="BK823" s="115"/>
      <c r="BL823" s="115"/>
      <c r="BM823" s="115"/>
      <c r="BN823" s="115"/>
      <c r="BO823" s="115"/>
      <c r="BP823" s="115"/>
      <c r="BQ823" s="115"/>
      <c r="BR823" s="115"/>
      <c r="BS823" s="115"/>
      <c r="BT823" s="115"/>
      <c r="BU823" s="13"/>
      <c r="BV823" s="13"/>
      <c r="BY823" s="114"/>
    </row>
    <row r="824" spans="1:77" ht="19.5" x14ac:dyDescent="0.4">
      <c r="A824" s="117"/>
      <c r="B824" s="123"/>
      <c r="C824" s="123"/>
      <c r="D824" s="123"/>
      <c r="AL824" s="127"/>
      <c r="AM824" s="29"/>
      <c r="AW824" s="25">
        <v>45682</v>
      </c>
      <c r="AX824" s="15" t="s">
        <v>146</v>
      </c>
      <c r="BC824" s="117"/>
      <c r="BD824" s="123"/>
      <c r="BE824" s="123"/>
      <c r="BF824" s="123"/>
      <c r="BK824" s="115"/>
      <c r="BL824" s="115"/>
      <c r="BM824" s="115"/>
      <c r="BN824" s="115"/>
      <c r="BO824" s="115"/>
      <c r="BP824" s="115"/>
      <c r="BQ824" s="115"/>
      <c r="BR824" s="115"/>
      <c r="BS824" s="115"/>
      <c r="BT824" s="115"/>
      <c r="BU824" s="13"/>
      <c r="BV824" s="13"/>
      <c r="BY824" s="114"/>
    </row>
    <row r="825" spans="1:77" ht="19.5" x14ac:dyDescent="0.4">
      <c r="A825" s="117"/>
      <c r="B825" s="123"/>
      <c r="C825" s="123"/>
      <c r="D825" s="123"/>
      <c r="AL825" s="128"/>
      <c r="AM825" s="29"/>
      <c r="AW825" s="25"/>
      <c r="AX825" s="15"/>
      <c r="BC825" s="117"/>
      <c r="BD825" s="123"/>
      <c r="BE825" s="123"/>
      <c r="BF825" s="123"/>
      <c r="BK825" s="115"/>
      <c r="BL825" s="115"/>
      <c r="BM825" s="115"/>
      <c r="BN825" s="115"/>
      <c r="BO825" s="115"/>
      <c r="BP825" s="115"/>
      <c r="BQ825" s="115"/>
      <c r="BR825" s="115"/>
      <c r="BS825" s="115"/>
      <c r="BT825" s="115"/>
      <c r="BU825" s="13"/>
      <c r="BV825" s="13"/>
      <c r="BY825" s="114"/>
    </row>
    <row r="826" spans="1:77" ht="19.5" x14ac:dyDescent="0.4">
      <c r="A826" s="117"/>
      <c r="B826" s="123"/>
      <c r="C826" s="123"/>
      <c r="D826" s="123"/>
      <c r="AL826" s="127"/>
      <c r="AM826" s="29"/>
      <c r="AW826" s="25"/>
      <c r="AX826" s="15"/>
      <c r="BC826" s="117"/>
      <c r="BD826" s="123"/>
      <c r="BE826" s="123"/>
      <c r="BF826" s="123"/>
      <c r="BK826" s="115"/>
      <c r="BL826" s="115"/>
      <c r="BM826" s="115"/>
      <c r="BN826" s="115"/>
      <c r="BO826" s="115"/>
      <c r="BP826" s="115"/>
      <c r="BQ826" s="115"/>
      <c r="BR826" s="115"/>
      <c r="BS826" s="115"/>
      <c r="BT826" s="115"/>
      <c r="BU826" s="13"/>
      <c r="BV826" s="13"/>
      <c r="BY826" s="114"/>
    </row>
    <row r="827" spans="1:77" ht="19.5" x14ac:dyDescent="0.4">
      <c r="A827" s="117"/>
      <c r="B827" s="123"/>
      <c r="C827" s="123"/>
      <c r="D827" s="123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27"/>
      <c r="AM827" s="29"/>
      <c r="AW827" s="25"/>
      <c r="AX827" s="15"/>
      <c r="BC827" s="117"/>
      <c r="BD827" s="123"/>
      <c r="BE827" s="123"/>
      <c r="BF827" s="123"/>
      <c r="BK827" s="115"/>
      <c r="BL827" s="115"/>
      <c r="BM827" s="115"/>
      <c r="BN827" s="115"/>
      <c r="BO827" s="115"/>
      <c r="BP827" s="115"/>
      <c r="BQ827" s="115"/>
      <c r="BR827" s="115"/>
      <c r="BS827" s="115"/>
      <c r="BT827" s="115"/>
      <c r="BU827" s="13"/>
      <c r="BV827" s="13"/>
      <c r="BY827" s="114"/>
    </row>
    <row r="828" spans="1:77" ht="19.5" x14ac:dyDescent="0.4">
      <c r="A828" s="117"/>
      <c r="B828" s="123"/>
      <c r="C828" s="123"/>
      <c r="D828" s="123"/>
      <c r="AL828" s="127"/>
      <c r="AM828" s="29"/>
      <c r="AN828" s="115"/>
      <c r="AO828" s="115"/>
      <c r="AP828" s="115"/>
      <c r="AQ828" s="115"/>
      <c r="AR828" s="115"/>
      <c r="AS828" s="115"/>
      <c r="AT828" s="115"/>
      <c r="AU828" s="115"/>
      <c r="AV828" s="115"/>
      <c r="AW828" s="25">
        <v>45682</v>
      </c>
      <c r="AX828" s="15" t="s">
        <v>146</v>
      </c>
      <c r="BC828" s="117"/>
      <c r="BD828" s="123"/>
      <c r="BE828" s="123"/>
      <c r="BF828" s="123"/>
      <c r="BK828" s="115"/>
      <c r="BL828" s="115"/>
      <c r="BM828" s="115"/>
      <c r="BN828" s="115"/>
      <c r="BO828" s="115"/>
      <c r="BP828" s="115"/>
      <c r="BQ828" s="115"/>
      <c r="BR828" s="115"/>
      <c r="BS828" s="115"/>
      <c r="BT828" s="115"/>
      <c r="BU828" s="13"/>
      <c r="BV828" s="13"/>
      <c r="BY828" s="114"/>
    </row>
    <row r="829" spans="1:77" ht="19.5" x14ac:dyDescent="0.4">
      <c r="A829" s="117"/>
      <c r="B829" s="123"/>
      <c r="C829" s="123"/>
      <c r="D829" s="123"/>
      <c r="AL829" s="128"/>
      <c r="AM829" s="29"/>
      <c r="AN829" s="115"/>
      <c r="AO829" s="115"/>
      <c r="AP829" s="115"/>
      <c r="AQ829" s="115"/>
      <c r="AR829" s="115"/>
      <c r="AS829" s="115"/>
      <c r="AT829" s="115"/>
      <c r="AU829" s="115"/>
      <c r="AV829" s="115"/>
      <c r="AW829" s="25"/>
      <c r="AX829" s="15"/>
      <c r="BC829" s="117"/>
      <c r="BD829" s="123"/>
      <c r="BE829" s="123"/>
      <c r="BF829" s="123"/>
      <c r="BK829" s="115"/>
      <c r="BL829" s="115"/>
      <c r="BM829" s="115"/>
      <c r="BN829" s="115"/>
      <c r="BO829" s="115"/>
      <c r="BP829" s="115"/>
      <c r="BQ829" s="115"/>
      <c r="BR829" s="115"/>
      <c r="BS829" s="115"/>
      <c r="BT829" s="115"/>
      <c r="BU829" s="13"/>
      <c r="BV829" s="13"/>
      <c r="BY829" s="114"/>
    </row>
    <row r="830" spans="1:77" ht="19.5" x14ac:dyDescent="0.4">
      <c r="A830" s="117"/>
      <c r="B830" s="123"/>
      <c r="C830" s="123"/>
      <c r="D830" s="123"/>
      <c r="AL830" s="127"/>
      <c r="AM830" s="29"/>
      <c r="AN830" s="115"/>
      <c r="AO830" s="115"/>
      <c r="AP830" s="115"/>
      <c r="AQ830" s="115"/>
      <c r="AR830" s="115"/>
      <c r="AS830" s="115"/>
      <c r="AT830" s="115"/>
      <c r="AU830" s="115"/>
      <c r="AV830" s="115"/>
      <c r="AW830" s="25">
        <v>45682</v>
      </c>
      <c r="AX830" s="15" t="s">
        <v>148</v>
      </c>
      <c r="BC830" s="117"/>
      <c r="BD830" s="123"/>
      <c r="BE830" s="123"/>
      <c r="BF830" s="123"/>
      <c r="BK830" s="115"/>
      <c r="BL830" s="115"/>
      <c r="BM830" s="115"/>
      <c r="BN830" s="115"/>
      <c r="BO830" s="115"/>
      <c r="BP830" s="115"/>
      <c r="BQ830" s="115"/>
      <c r="BR830" s="115"/>
      <c r="BS830" s="115"/>
      <c r="BT830" s="115"/>
      <c r="BU830" s="13"/>
      <c r="BV830" s="13"/>
      <c r="BY830" s="114"/>
    </row>
    <row r="831" spans="1:77" ht="19.5" x14ac:dyDescent="0.4">
      <c r="A831" s="117"/>
      <c r="B831" s="123"/>
      <c r="C831" s="123"/>
      <c r="D831" s="123"/>
      <c r="AL831" s="127"/>
      <c r="AM831" s="29"/>
      <c r="AN831" s="115"/>
      <c r="AO831" s="115"/>
      <c r="AP831" s="115"/>
      <c r="AQ831" s="115"/>
      <c r="AR831" s="115"/>
      <c r="AS831" s="115"/>
      <c r="AT831" s="115"/>
      <c r="AU831" s="115"/>
      <c r="AV831" s="115"/>
      <c r="AW831" s="25">
        <v>45682</v>
      </c>
      <c r="AX831" s="15" t="s">
        <v>146</v>
      </c>
      <c r="BC831" s="117"/>
      <c r="BD831" s="123"/>
      <c r="BE831" s="123"/>
      <c r="BF831" s="123"/>
      <c r="BK831" s="115"/>
      <c r="BL831" s="115"/>
      <c r="BM831" s="115"/>
      <c r="BN831" s="115"/>
      <c r="BO831" s="115"/>
      <c r="BP831" s="115"/>
      <c r="BQ831" s="115"/>
      <c r="BR831" s="115"/>
      <c r="BS831" s="115"/>
      <c r="BT831" s="115"/>
      <c r="BU831" s="13"/>
      <c r="BV831" s="13"/>
      <c r="BY831" s="114"/>
    </row>
    <row r="832" spans="1:77" ht="19.5" x14ac:dyDescent="0.4">
      <c r="A832" s="117"/>
      <c r="B832" s="123"/>
      <c r="C832" s="123"/>
      <c r="D832" s="123"/>
      <c r="AL832" s="127"/>
      <c r="AM832" s="29"/>
      <c r="AN832" s="115"/>
      <c r="AO832" s="115"/>
      <c r="AP832" s="115"/>
      <c r="AQ832" s="115"/>
      <c r="AR832" s="115"/>
      <c r="AS832" s="115"/>
      <c r="AT832" s="115"/>
      <c r="AU832" s="115"/>
      <c r="AV832" s="115"/>
      <c r="AW832" s="25">
        <v>45682</v>
      </c>
      <c r="AX832" s="15" t="s">
        <v>148</v>
      </c>
      <c r="BC832" s="117"/>
      <c r="BD832" s="123"/>
      <c r="BE832" s="123"/>
      <c r="BF832" s="123"/>
      <c r="BK832" s="115"/>
      <c r="BL832" s="115"/>
      <c r="BM832" s="115"/>
      <c r="BN832" s="115"/>
      <c r="BO832" s="115"/>
      <c r="BP832" s="115"/>
      <c r="BQ832" s="115"/>
      <c r="BR832" s="115"/>
      <c r="BS832" s="115"/>
      <c r="BT832" s="115"/>
      <c r="BU832" s="13"/>
      <c r="BV832" s="13"/>
      <c r="BY832" s="114"/>
    </row>
    <row r="833" spans="1:77" ht="19.5" x14ac:dyDescent="0.4">
      <c r="A833" s="117"/>
      <c r="B833" s="123"/>
      <c r="C833" s="123"/>
      <c r="D833" s="123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127"/>
      <c r="AM833" s="29"/>
      <c r="AN833" s="115"/>
      <c r="AO833" s="115"/>
      <c r="AP833" s="115"/>
      <c r="AQ833" s="115"/>
      <c r="AR833" s="115"/>
      <c r="AS833" s="115"/>
      <c r="AT833" s="115"/>
      <c r="AU833" s="115"/>
      <c r="AV833" s="115"/>
      <c r="AW833" s="25"/>
      <c r="AX833" s="15"/>
      <c r="BC833" s="117"/>
      <c r="BD833" s="123"/>
      <c r="BE833" s="123"/>
      <c r="BF833" s="123"/>
      <c r="BK833" s="115"/>
      <c r="BL833" s="115"/>
      <c r="BM833" s="115"/>
      <c r="BN833" s="115"/>
      <c r="BO833" s="115"/>
      <c r="BP833" s="115"/>
      <c r="BQ833" s="115"/>
      <c r="BR833" s="115"/>
      <c r="BS833" s="115"/>
      <c r="BT833" s="115"/>
      <c r="BU833" s="13"/>
      <c r="BV833" s="13"/>
      <c r="BY833" s="114"/>
    </row>
    <row r="834" spans="1:77" ht="19.5" x14ac:dyDescent="0.4">
      <c r="A834" s="117"/>
      <c r="B834" s="123"/>
      <c r="C834" s="123"/>
      <c r="D834" s="123"/>
      <c r="AL834" s="127"/>
      <c r="AM834" s="29"/>
      <c r="AN834" s="115"/>
      <c r="AO834" s="115"/>
      <c r="AP834" s="115"/>
      <c r="AQ834" s="115"/>
      <c r="AR834" s="115"/>
      <c r="AS834" s="115"/>
      <c r="AT834" s="115"/>
      <c r="AU834" s="115"/>
      <c r="AV834" s="115"/>
      <c r="AW834" s="25">
        <v>45682</v>
      </c>
      <c r="AX834" s="15" t="s">
        <v>148</v>
      </c>
      <c r="BC834" s="117"/>
      <c r="BD834" s="123"/>
      <c r="BE834" s="123"/>
      <c r="BF834" s="123"/>
      <c r="BK834" s="115"/>
      <c r="BL834" s="115"/>
      <c r="BM834" s="115"/>
      <c r="BN834" s="115"/>
      <c r="BO834" s="115"/>
      <c r="BP834" s="115"/>
      <c r="BQ834" s="115"/>
      <c r="BR834" s="115"/>
      <c r="BS834" s="115"/>
      <c r="BT834" s="115"/>
      <c r="BU834" s="13"/>
      <c r="BV834" s="13"/>
      <c r="BY834" s="114"/>
    </row>
    <row r="835" spans="1:77" ht="19.5" x14ac:dyDescent="0.4">
      <c r="A835" s="117"/>
      <c r="B835" s="123"/>
      <c r="C835" s="123"/>
      <c r="D835" s="123"/>
      <c r="AL835" s="127"/>
      <c r="AM835" s="29"/>
      <c r="AN835" s="115"/>
      <c r="AO835" s="115"/>
      <c r="AP835" s="115"/>
      <c r="AQ835" s="115"/>
      <c r="AR835" s="115"/>
      <c r="AS835" s="115"/>
      <c r="AT835" s="115"/>
      <c r="AU835" s="115"/>
      <c r="AV835" s="115"/>
      <c r="AW835" s="25">
        <v>45682</v>
      </c>
      <c r="AX835" s="105" t="s">
        <v>148</v>
      </c>
      <c r="BC835" s="117"/>
      <c r="BD835" s="123"/>
      <c r="BE835" s="123"/>
      <c r="BF835" s="123"/>
      <c r="BK835" s="115"/>
      <c r="BL835" s="115"/>
      <c r="BM835" s="115"/>
      <c r="BN835" s="115"/>
      <c r="BO835" s="115"/>
      <c r="BP835" s="115"/>
      <c r="BQ835" s="115"/>
      <c r="BR835" s="115"/>
      <c r="BS835" s="115"/>
      <c r="BT835" s="115"/>
      <c r="BU835" s="13"/>
      <c r="BV835" s="13"/>
      <c r="BY835" s="114"/>
    </row>
    <row r="836" spans="1:77" ht="19.5" x14ac:dyDescent="0.4">
      <c r="A836" s="117"/>
      <c r="B836" s="123"/>
      <c r="C836" s="123"/>
      <c r="D836" s="123"/>
      <c r="AL836" s="127"/>
      <c r="AM836" s="29"/>
      <c r="AN836" s="115"/>
      <c r="AO836" s="115"/>
      <c r="AP836" s="115"/>
      <c r="AQ836" s="115"/>
      <c r="AR836" s="115"/>
      <c r="AS836" s="115"/>
      <c r="AT836" s="115"/>
      <c r="AU836" s="115"/>
      <c r="AV836" s="115"/>
      <c r="AW836" s="25">
        <v>45682</v>
      </c>
      <c r="AX836" s="105" t="s">
        <v>146</v>
      </c>
      <c r="BC836" s="117"/>
      <c r="BD836" s="123"/>
      <c r="BE836" s="123"/>
      <c r="BF836" s="123"/>
      <c r="BK836" s="115"/>
      <c r="BL836" s="115"/>
      <c r="BM836" s="115"/>
      <c r="BN836" s="115"/>
      <c r="BO836" s="115"/>
      <c r="BP836" s="115"/>
      <c r="BQ836" s="115"/>
      <c r="BR836" s="115"/>
      <c r="BS836" s="115"/>
      <c r="BT836" s="115"/>
      <c r="BU836" s="13"/>
      <c r="BV836" s="13"/>
      <c r="BY836" s="114"/>
    </row>
    <row r="837" spans="1:77" ht="19.5" x14ac:dyDescent="0.4">
      <c r="A837" s="117"/>
      <c r="B837" s="123"/>
      <c r="C837" s="123"/>
      <c r="D837" s="123"/>
      <c r="AL837" s="128"/>
      <c r="AM837" s="29"/>
      <c r="AN837" s="115"/>
      <c r="AO837" s="115"/>
      <c r="AP837" s="115"/>
      <c r="AQ837" s="115"/>
      <c r="AR837" s="115"/>
      <c r="AS837" s="115"/>
      <c r="AT837" s="115"/>
      <c r="AU837" s="115"/>
      <c r="AV837" s="115"/>
      <c r="AW837" s="25"/>
      <c r="AX837" s="105"/>
      <c r="BC837" s="117"/>
      <c r="BD837" s="123"/>
      <c r="BE837" s="123"/>
      <c r="BF837" s="123"/>
      <c r="BK837" s="115"/>
      <c r="BL837" s="115"/>
      <c r="BM837" s="115"/>
      <c r="BN837" s="115"/>
      <c r="BO837" s="115"/>
      <c r="BP837" s="115"/>
      <c r="BQ837" s="115"/>
      <c r="BR837" s="115"/>
      <c r="BS837" s="115"/>
      <c r="BT837" s="115"/>
      <c r="BU837" s="13"/>
      <c r="BV837" s="13"/>
      <c r="BY837" s="114"/>
    </row>
    <row r="838" spans="1:77" ht="19.5" x14ac:dyDescent="0.4">
      <c r="A838" s="117"/>
      <c r="B838" s="123"/>
      <c r="C838" s="123"/>
      <c r="D838" s="123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27"/>
      <c r="AM838" s="29"/>
      <c r="AN838" s="115"/>
      <c r="AO838" s="115"/>
      <c r="AP838" s="115"/>
      <c r="AQ838" s="115"/>
      <c r="AR838" s="115"/>
      <c r="AS838" s="115"/>
      <c r="AT838" s="115"/>
      <c r="AU838" s="115"/>
      <c r="AV838" s="115"/>
      <c r="AW838" s="25">
        <v>45682</v>
      </c>
      <c r="AX838" s="15" t="s">
        <v>146</v>
      </c>
      <c r="BC838" s="117"/>
      <c r="BD838" s="123"/>
      <c r="BE838" s="123"/>
      <c r="BF838" s="123"/>
      <c r="BK838" s="115"/>
      <c r="BL838" s="115"/>
      <c r="BM838" s="115"/>
      <c r="BN838" s="115"/>
      <c r="BO838" s="115"/>
      <c r="BP838" s="115"/>
      <c r="BQ838" s="115"/>
      <c r="BR838" s="115"/>
      <c r="BS838" s="115"/>
      <c r="BT838" s="115"/>
      <c r="BU838" s="13"/>
      <c r="BV838" s="13"/>
      <c r="BY838" s="114"/>
    </row>
    <row r="839" spans="1:77" ht="19.5" x14ac:dyDescent="0.4">
      <c r="A839" s="117"/>
      <c r="B839" s="123"/>
      <c r="C839" s="123"/>
      <c r="D839" s="123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  <c r="AK839" s="115"/>
      <c r="AL839" s="127"/>
      <c r="AM839" s="29"/>
      <c r="AN839" s="115"/>
      <c r="AO839" s="115"/>
      <c r="AP839" s="115"/>
      <c r="AQ839" s="115"/>
      <c r="AR839" s="115"/>
      <c r="AS839" s="115"/>
      <c r="AT839" s="115"/>
      <c r="AU839" s="115"/>
      <c r="AV839" s="115"/>
      <c r="AW839" s="25">
        <v>45683</v>
      </c>
      <c r="AX839" s="13" t="s">
        <v>147</v>
      </c>
      <c r="BC839" s="117"/>
      <c r="BD839" s="123"/>
      <c r="BE839" s="123"/>
      <c r="BF839" s="123"/>
      <c r="BK839" s="115"/>
      <c r="BL839" s="115"/>
      <c r="BM839" s="115"/>
      <c r="BN839" s="115"/>
      <c r="BO839" s="115"/>
      <c r="BP839" s="115"/>
      <c r="BQ839" s="115"/>
      <c r="BR839" s="115"/>
      <c r="BS839" s="115"/>
      <c r="BT839" s="115"/>
      <c r="BU839" s="13"/>
      <c r="BV839" s="13"/>
      <c r="BY839" s="114"/>
    </row>
    <row r="840" spans="1:77" ht="19.5" x14ac:dyDescent="0.4">
      <c r="A840" s="117"/>
      <c r="B840" s="123"/>
      <c r="C840" s="123"/>
      <c r="D840" s="123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  <c r="AK840" s="115"/>
      <c r="AL840" s="127"/>
      <c r="AM840" s="29"/>
      <c r="AN840" s="115"/>
      <c r="AO840" s="115"/>
      <c r="AP840" s="115"/>
      <c r="AQ840" s="115"/>
      <c r="AR840" s="115"/>
      <c r="AS840" s="115"/>
      <c r="AT840" s="115"/>
      <c r="AU840" s="115"/>
      <c r="AV840" s="115"/>
      <c r="AW840" s="25">
        <v>45683</v>
      </c>
      <c r="AX840" s="13" t="s">
        <v>147</v>
      </c>
      <c r="BC840" s="117"/>
      <c r="BD840" s="123"/>
      <c r="BE840" s="123"/>
      <c r="BF840" s="123"/>
      <c r="BK840" s="115"/>
      <c r="BL840" s="115"/>
      <c r="BM840" s="115"/>
      <c r="BN840" s="115"/>
      <c r="BO840" s="115"/>
      <c r="BP840" s="115"/>
      <c r="BQ840" s="115"/>
      <c r="BR840" s="115"/>
      <c r="BS840" s="115"/>
      <c r="BT840" s="115"/>
      <c r="BU840" s="13"/>
      <c r="BV840" s="13"/>
      <c r="BY840" s="114"/>
    </row>
    <row r="841" spans="1:77" ht="19.5" x14ac:dyDescent="0.4">
      <c r="A841" s="117"/>
      <c r="B841" s="123"/>
      <c r="C841" s="123"/>
      <c r="D841" s="123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115"/>
      <c r="AL841" s="127"/>
      <c r="AM841" s="29"/>
      <c r="AN841" s="115"/>
      <c r="AO841" s="115"/>
      <c r="AP841" s="115"/>
      <c r="AQ841" s="115"/>
      <c r="AR841" s="115"/>
      <c r="AS841" s="115"/>
      <c r="AT841" s="115"/>
      <c r="AU841" s="115"/>
      <c r="AV841" s="115"/>
      <c r="AW841" s="25"/>
      <c r="AX841" s="13"/>
      <c r="BC841" s="117"/>
      <c r="BD841" s="123"/>
      <c r="BE841" s="123"/>
      <c r="BF841" s="123"/>
      <c r="BK841" s="115"/>
      <c r="BL841" s="115"/>
      <c r="BM841" s="115"/>
      <c r="BN841" s="115"/>
      <c r="BO841" s="115"/>
      <c r="BP841" s="115"/>
      <c r="BQ841" s="115"/>
      <c r="BR841" s="115"/>
      <c r="BS841" s="115"/>
      <c r="BT841" s="115"/>
      <c r="BU841" s="13"/>
      <c r="BV841" s="13"/>
      <c r="BY841" s="114"/>
    </row>
    <row r="842" spans="1:77" ht="19.5" x14ac:dyDescent="0.4">
      <c r="A842" s="117"/>
      <c r="B842" s="123"/>
      <c r="C842" s="123"/>
      <c r="D842" s="123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  <c r="AK842" s="115"/>
      <c r="AL842" s="127"/>
      <c r="AM842" s="29"/>
      <c r="AN842" s="115"/>
      <c r="AO842" s="115"/>
      <c r="AP842" s="115"/>
      <c r="AQ842" s="115"/>
      <c r="AR842" s="115"/>
      <c r="AS842" s="115"/>
      <c r="AT842" s="115"/>
      <c r="AU842" s="115"/>
      <c r="AV842" s="115"/>
      <c r="AW842" s="25">
        <v>45684</v>
      </c>
      <c r="AX842" s="13" t="s">
        <v>146</v>
      </c>
      <c r="BC842" s="117"/>
      <c r="BD842" s="123"/>
      <c r="BE842" s="123"/>
      <c r="BF842" s="123"/>
      <c r="BK842" s="115"/>
      <c r="BL842" s="115"/>
      <c r="BM842" s="115"/>
      <c r="BN842" s="115"/>
      <c r="BO842" s="115"/>
      <c r="BP842" s="115"/>
      <c r="BQ842" s="115"/>
      <c r="BR842" s="115"/>
      <c r="BS842" s="115"/>
      <c r="BT842" s="115"/>
      <c r="BU842" s="13"/>
      <c r="BV842" s="13"/>
      <c r="BY842" s="114"/>
    </row>
    <row r="843" spans="1:77" ht="19.5" x14ac:dyDescent="0.4">
      <c r="A843" s="117"/>
      <c r="B843" s="123"/>
      <c r="C843" s="123"/>
      <c r="D843" s="123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127"/>
      <c r="AM843" s="29"/>
      <c r="AN843" s="115"/>
      <c r="AO843" s="115"/>
      <c r="AP843" s="115"/>
      <c r="AQ843" s="115"/>
      <c r="AR843" s="115"/>
      <c r="AS843" s="115"/>
      <c r="AT843" s="115"/>
      <c r="AU843" s="115"/>
      <c r="AV843" s="115"/>
      <c r="AW843" s="25"/>
      <c r="AX843" s="13"/>
      <c r="BC843" s="117"/>
      <c r="BD843" s="123"/>
      <c r="BE843" s="123"/>
      <c r="BF843" s="123"/>
      <c r="BK843" s="115"/>
      <c r="BL843" s="115"/>
      <c r="BM843" s="115"/>
      <c r="BN843" s="115"/>
      <c r="BO843" s="115"/>
      <c r="BP843" s="115"/>
      <c r="BQ843" s="115"/>
      <c r="BR843" s="115"/>
      <c r="BS843" s="115"/>
      <c r="BT843" s="115"/>
      <c r="BU843" s="13"/>
      <c r="BV843" s="13"/>
      <c r="BY843" s="114"/>
    </row>
    <row r="844" spans="1:77" ht="19.5" x14ac:dyDescent="0.4">
      <c r="A844" s="117"/>
      <c r="B844" s="123"/>
      <c r="C844" s="123"/>
      <c r="D844" s="123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28"/>
      <c r="AM844" s="29"/>
      <c r="AN844" s="115"/>
      <c r="AO844" s="115"/>
      <c r="AP844" s="115"/>
      <c r="AQ844" s="115"/>
      <c r="AR844" s="115"/>
      <c r="AS844" s="115"/>
      <c r="AT844" s="115"/>
      <c r="AU844" s="115"/>
      <c r="AV844" s="115"/>
      <c r="AW844" s="25"/>
      <c r="AX844" s="13"/>
      <c r="BC844" s="117"/>
      <c r="BD844" s="123"/>
      <c r="BE844" s="123"/>
      <c r="BF844" s="123"/>
      <c r="BK844" s="115"/>
      <c r="BL844" s="115"/>
      <c r="BM844" s="115"/>
      <c r="BN844" s="115"/>
      <c r="BO844" s="115"/>
      <c r="BP844" s="115"/>
      <c r="BQ844" s="115"/>
      <c r="BR844" s="115"/>
      <c r="BS844" s="115"/>
      <c r="BT844" s="115"/>
      <c r="BU844" s="13"/>
      <c r="BV844" s="13"/>
      <c r="BY844" s="114"/>
    </row>
    <row r="845" spans="1:77" ht="19.5" x14ac:dyDescent="0.4">
      <c r="A845" s="117"/>
      <c r="B845" s="123"/>
      <c r="C845" s="123"/>
      <c r="D845" s="123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27"/>
      <c r="AM845" s="29"/>
      <c r="AN845" s="115"/>
      <c r="AO845" s="115"/>
      <c r="AP845" s="115"/>
      <c r="AQ845" s="115"/>
      <c r="AR845" s="115"/>
      <c r="AS845" s="115"/>
      <c r="AT845" s="115"/>
      <c r="AU845" s="115"/>
      <c r="AV845" s="115"/>
      <c r="AW845" s="25">
        <v>45684</v>
      </c>
      <c r="AX845" s="13" t="s">
        <v>148</v>
      </c>
      <c r="BC845" s="117"/>
      <c r="BD845" s="123"/>
      <c r="BE845" s="123"/>
      <c r="BF845" s="123"/>
      <c r="BK845" s="115"/>
      <c r="BL845" s="115"/>
      <c r="BM845" s="115"/>
      <c r="BN845" s="115"/>
      <c r="BO845" s="115"/>
      <c r="BP845" s="115"/>
      <c r="BQ845" s="115"/>
      <c r="BR845" s="115"/>
      <c r="BS845" s="115"/>
      <c r="BT845" s="115"/>
      <c r="BU845" s="13"/>
      <c r="BV845" s="13"/>
      <c r="BY845" s="114"/>
    </row>
    <row r="846" spans="1:77" ht="19.5" x14ac:dyDescent="0.4">
      <c r="A846" s="117"/>
      <c r="B846" s="123"/>
      <c r="C846" s="123"/>
      <c r="D846" s="123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27"/>
      <c r="AM846" s="29"/>
      <c r="AN846" s="115"/>
      <c r="AO846" s="115"/>
      <c r="AP846" s="115"/>
      <c r="AQ846" s="115"/>
      <c r="AR846" s="115"/>
      <c r="AS846" s="115"/>
      <c r="AT846" s="115"/>
      <c r="AU846" s="115"/>
      <c r="AV846" s="115"/>
      <c r="AW846" s="25"/>
      <c r="AX846" s="13"/>
      <c r="BC846" s="117"/>
      <c r="BD846" s="123"/>
      <c r="BE846" s="123"/>
      <c r="BF846" s="123"/>
      <c r="BK846" s="115"/>
      <c r="BL846" s="115"/>
      <c r="BM846" s="115"/>
      <c r="BN846" s="115"/>
      <c r="BO846" s="115"/>
      <c r="BP846" s="115"/>
      <c r="BQ846" s="115"/>
      <c r="BR846" s="115"/>
      <c r="BS846" s="115"/>
      <c r="BT846" s="115"/>
      <c r="BU846" s="13"/>
      <c r="BV846" s="13"/>
      <c r="BY846" s="114"/>
    </row>
    <row r="847" spans="1:77" ht="19.5" x14ac:dyDescent="0.4">
      <c r="A847" s="117"/>
      <c r="B847" s="123"/>
      <c r="C847" s="123"/>
      <c r="D847" s="123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  <c r="AK847" s="115"/>
      <c r="AL847" s="127"/>
      <c r="AM847" s="29"/>
      <c r="AN847" s="115"/>
      <c r="AO847" s="115"/>
      <c r="AP847" s="115"/>
      <c r="AQ847" s="115"/>
      <c r="AR847" s="115"/>
      <c r="AS847" s="115"/>
      <c r="AT847" s="115"/>
      <c r="AU847" s="115"/>
      <c r="AV847" s="115"/>
      <c r="AW847" s="25"/>
      <c r="AX847" s="13"/>
      <c r="BC847" s="117"/>
      <c r="BD847" s="123"/>
      <c r="BE847" s="123"/>
      <c r="BF847" s="123"/>
      <c r="BK847" s="115"/>
      <c r="BL847" s="115"/>
      <c r="BM847" s="115"/>
      <c r="BN847" s="115"/>
      <c r="BO847" s="115"/>
      <c r="BP847" s="115"/>
      <c r="BQ847" s="115"/>
      <c r="BR847" s="115"/>
      <c r="BS847" s="115"/>
      <c r="BT847" s="115"/>
      <c r="BU847" s="13"/>
      <c r="BV847" s="13"/>
      <c r="BY847" s="114"/>
    </row>
    <row r="848" spans="1:77" ht="19.5" x14ac:dyDescent="0.4">
      <c r="A848" s="117"/>
      <c r="B848" s="123"/>
      <c r="C848" s="123"/>
      <c r="D848" s="123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28"/>
      <c r="AM848" s="29"/>
      <c r="AN848" s="115"/>
      <c r="AO848" s="115"/>
      <c r="AP848" s="115"/>
      <c r="AQ848" s="115"/>
      <c r="AR848" s="115"/>
      <c r="AS848" s="115"/>
      <c r="AT848" s="115"/>
      <c r="AU848" s="115"/>
      <c r="AV848" s="115"/>
      <c r="AW848" s="25"/>
      <c r="AX848" s="13"/>
      <c r="BC848" s="117"/>
      <c r="BD848" s="123"/>
      <c r="BE848" s="123"/>
      <c r="BF848" s="123"/>
      <c r="BK848" s="115"/>
      <c r="BL848" s="115"/>
      <c r="BM848" s="115"/>
      <c r="BN848" s="115"/>
      <c r="BO848" s="115"/>
      <c r="BP848" s="115"/>
      <c r="BQ848" s="115"/>
      <c r="BR848" s="115"/>
      <c r="BS848" s="115"/>
      <c r="BT848" s="115"/>
      <c r="BU848" s="13"/>
      <c r="BV848" s="13"/>
      <c r="BY848" s="114"/>
    </row>
    <row r="849" spans="1:77" ht="19.5" x14ac:dyDescent="0.4">
      <c r="A849" s="117"/>
      <c r="B849" s="123"/>
      <c r="C849" s="123"/>
      <c r="D849" s="123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27"/>
      <c r="AM849" s="127"/>
      <c r="AN849" s="115"/>
      <c r="AO849" s="115"/>
      <c r="AP849" s="115"/>
      <c r="AQ849" s="115"/>
      <c r="AR849" s="115"/>
      <c r="AS849" s="115"/>
      <c r="AT849" s="115"/>
      <c r="AU849" s="115"/>
      <c r="AV849" s="115"/>
      <c r="AW849" s="25"/>
      <c r="AX849" s="13"/>
      <c r="BC849" s="117"/>
      <c r="BD849" s="123"/>
      <c r="BE849" s="123"/>
      <c r="BF849" s="123"/>
      <c r="BK849" s="115"/>
      <c r="BL849" s="115"/>
      <c r="BM849" s="115"/>
      <c r="BN849" s="115"/>
      <c r="BO849" s="115"/>
      <c r="BP849" s="115"/>
      <c r="BQ849" s="115"/>
      <c r="BR849" s="115"/>
      <c r="BS849" s="115"/>
      <c r="BT849" s="115"/>
      <c r="BU849" s="13"/>
      <c r="BV849" s="13"/>
      <c r="BY849" s="114"/>
    </row>
    <row r="850" spans="1:77" ht="19.5" x14ac:dyDescent="0.4">
      <c r="A850" s="117"/>
      <c r="B850" s="123"/>
      <c r="C850" s="123"/>
      <c r="D850" s="123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115"/>
      <c r="AL850" s="127"/>
      <c r="AM850" s="29"/>
      <c r="AN850" s="115"/>
      <c r="AO850" s="115"/>
      <c r="AP850" s="115"/>
      <c r="AQ850" s="115"/>
      <c r="AR850" s="115"/>
      <c r="AS850" s="115"/>
      <c r="AT850" s="115"/>
      <c r="AU850" s="115"/>
      <c r="AV850" s="115"/>
      <c r="AW850" s="25"/>
      <c r="AX850" s="13"/>
      <c r="BC850" s="117"/>
      <c r="BD850" s="123"/>
      <c r="BE850" s="123"/>
      <c r="BF850" s="123"/>
      <c r="BK850" s="115"/>
      <c r="BL850" s="115"/>
      <c r="BM850" s="115"/>
      <c r="BN850" s="115"/>
      <c r="BO850" s="115"/>
      <c r="BP850" s="115"/>
      <c r="BQ850" s="115"/>
      <c r="BR850" s="115"/>
      <c r="BS850" s="115"/>
      <c r="BT850" s="115"/>
      <c r="BU850" s="13"/>
      <c r="BV850" s="13"/>
      <c r="BY850" s="114"/>
    </row>
    <row r="851" spans="1:77" ht="19.5" x14ac:dyDescent="0.4">
      <c r="A851" s="117"/>
      <c r="B851" s="123"/>
      <c r="C851" s="123"/>
      <c r="D851" s="123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15"/>
      <c r="AL851" s="127"/>
      <c r="AM851" s="29"/>
      <c r="AN851" s="115"/>
      <c r="AO851" s="115"/>
      <c r="AP851" s="115"/>
      <c r="AQ851" s="115"/>
      <c r="AR851" s="115"/>
      <c r="AS851" s="115"/>
      <c r="AT851" s="115"/>
      <c r="AU851" s="115"/>
      <c r="AV851" s="115"/>
      <c r="AW851" s="25"/>
      <c r="AX851" s="13"/>
      <c r="BC851" s="117"/>
      <c r="BD851" s="123"/>
      <c r="BE851" s="123"/>
      <c r="BF851" s="123"/>
      <c r="BK851" s="115"/>
      <c r="BL851" s="115"/>
      <c r="BM851" s="115"/>
      <c r="BN851" s="115"/>
      <c r="BO851" s="115"/>
      <c r="BP851" s="115"/>
      <c r="BQ851" s="115"/>
      <c r="BR851" s="115"/>
      <c r="BS851" s="115"/>
      <c r="BT851" s="115"/>
      <c r="BU851" s="13"/>
      <c r="BV851" s="13"/>
      <c r="BY851" s="114"/>
    </row>
    <row r="852" spans="1:77" ht="19.5" x14ac:dyDescent="0.4">
      <c r="A852" s="117"/>
      <c r="B852" s="123"/>
      <c r="C852" s="123"/>
      <c r="D852" s="123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  <c r="AK852" s="115"/>
      <c r="AL852" s="128"/>
      <c r="AM852" s="29"/>
      <c r="AN852" s="115"/>
      <c r="AO852" s="115"/>
      <c r="AP852" s="115"/>
      <c r="AQ852" s="115"/>
      <c r="AR852" s="115"/>
      <c r="AS852" s="115"/>
      <c r="AT852" s="115"/>
      <c r="AU852" s="115"/>
      <c r="AV852" s="115"/>
      <c r="AW852" s="25"/>
      <c r="AX852" s="13"/>
      <c r="BC852" s="117"/>
      <c r="BD852" s="123"/>
      <c r="BE852" s="123"/>
      <c r="BF852" s="123"/>
      <c r="BK852" s="115"/>
      <c r="BL852" s="115"/>
      <c r="BM852" s="115"/>
      <c r="BN852" s="115"/>
      <c r="BO852" s="115"/>
      <c r="BP852" s="115"/>
      <c r="BQ852" s="115"/>
      <c r="BR852" s="115"/>
      <c r="BS852" s="115"/>
      <c r="BT852" s="115"/>
      <c r="BU852" s="13"/>
      <c r="BV852" s="13"/>
      <c r="BY852" s="114"/>
    </row>
    <row r="853" spans="1:77" ht="19.5" x14ac:dyDescent="0.4">
      <c r="A853" s="117"/>
      <c r="B853" s="123"/>
      <c r="C853" s="123"/>
      <c r="D853" s="123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  <c r="AK853" s="115"/>
      <c r="AL853" s="127"/>
      <c r="AM853" s="134"/>
      <c r="AN853" s="115"/>
      <c r="AO853" s="115"/>
      <c r="AP853" s="115"/>
      <c r="AQ853" s="115"/>
      <c r="AR853" s="115"/>
      <c r="AS853" s="115"/>
      <c r="AT853" s="115"/>
      <c r="AU853" s="115"/>
      <c r="AV853" s="115"/>
      <c r="AW853" s="25"/>
      <c r="AX853" s="13"/>
      <c r="BC853" s="117"/>
      <c r="BD853" s="123"/>
      <c r="BE853" s="123"/>
      <c r="BF853" s="123"/>
      <c r="BK853" s="115"/>
      <c r="BL853" s="115"/>
      <c r="BM853" s="115"/>
      <c r="BN853" s="115"/>
      <c r="BO853" s="115"/>
      <c r="BP853" s="115"/>
      <c r="BQ853" s="115"/>
      <c r="BR853" s="115"/>
      <c r="BS853" s="115"/>
      <c r="BT853" s="115"/>
      <c r="BU853" s="13"/>
      <c r="BV853" s="13"/>
      <c r="BY853" s="114"/>
    </row>
    <row r="854" spans="1:77" ht="19.5" x14ac:dyDescent="0.4">
      <c r="A854" s="117"/>
      <c r="B854" s="123"/>
      <c r="C854" s="123"/>
      <c r="D854" s="123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  <c r="AK854" s="115"/>
      <c r="AL854" s="127"/>
      <c r="AM854" s="29"/>
      <c r="AN854" s="115"/>
      <c r="AO854" s="115"/>
      <c r="AP854" s="115"/>
      <c r="AQ854" s="115"/>
      <c r="AR854" s="115"/>
      <c r="AS854" s="115"/>
      <c r="AT854" s="115"/>
      <c r="AU854" s="115"/>
      <c r="AV854" s="115"/>
      <c r="AW854" s="25">
        <v>45684</v>
      </c>
      <c r="AX854" s="13" t="s">
        <v>147</v>
      </c>
      <c r="BC854" s="117"/>
      <c r="BD854" s="123"/>
      <c r="BE854" s="123"/>
      <c r="BF854" s="123"/>
      <c r="BK854" s="115"/>
      <c r="BL854" s="115"/>
      <c r="BM854" s="115"/>
      <c r="BN854" s="115"/>
      <c r="BO854" s="115"/>
      <c r="BP854" s="115"/>
      <c r="BQ854" s="115"/>
      <c r="BR854" s="115"/>
      <c r="BS854" s="115"/>
      <c r="BT854" s="115"/>
      <c r="BU854" s="13"/>
      <c r="BV854" s="13"/>
      <c r="BY854" s="114"/>
    </row>
    <row r="855" spans="1:77" ht="19.5" x14ac:dyDescent="0.4">
      <c r="A855" s="117"/>
      <c r="B855" s="123"/>
      <c r="C855" s="123"/>
      <c r="D855" s="123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28"/>
      <c r="AM855" s="29"/>
      <c r="AN855" s="115"/>
      <c r="AO855" s="115"/>
      <c r="AP855" s="115"/>
      <c r="AQ855" s="115"/>
      <c r="AR855" s="115"/>
      <c r="AS855" s="115"/>
      <c r="AT855" s="115"/>
      <c r="AU855" s="115"/>
      <c r="AV855" s="115"/>
      <c r="AW855" s="25"/>
      <c r="AX855" s="13"/>
      <c r="BC855" s="117"/>
      <c r="BD855" s="123"/>
      <c r="BE855" s="123"/>
      <c r="BF855" s="123"/>
      <c r="BK855" s="115"/>
      <c r="BL855" s="115"/>
      <c r="BM855" s="115"/>
      <c r="BN855" s="115"/>
      <c r="BO855" s="115"/>
      <c r="BP855" s="115"/>
      <c r="BQ855" s="115"/>
      <c r="BR855" s="115"/>
      <c r="BS855" s="115"/>
      <c r="BT855" s="115"/>
      <c r="BU855" s="13"/>
      <c r="BV855" s="13"/>
      <c r="BY855" s="114"/>
    </row>
    <row r="856" spans="1:77" ht="19.5" x14ac:dyDescent="0.4">
      <c r="A856" s="117"/>
      <c r="B856" s="123"/>
      <c r="C856" s="123"/>
      <c r="D856" s="123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  <c r="AK856" s="115"/>
      <c r="AL856" s="127"/>
      <c r="AM856" s="29"/>
      <c r="AN856" s="115"/>
      <c r="AO856" s="115"/>
      <c r="AP856" s="115"/>
      <c r="AQ856" s="115"/>
      <c r="AR856" s="115"/>
      <c r="AS856" s="115"/>
      <c r="AT856" s="115"/>
      <c r="AU856" s="115"/>
      <c r="AV856" s="115"/>
      <c r="AW856" s="25"/>
      <c r="AX856" s="13"/>
      <c r="BC856" s="117"/>
      <c r="BD856" s="123"/>
      <c r="BE856" s="123"/>
      <c r="BF856" s="123"/>
      <c r="BK856" s="115"/>
      <c r="BL856" s="115"/>
      <c r="BM856" s="115"/>
      <c r="BN856" s="115"/>
      <c r="BO856" s="115"/>
      <c r="BP856" s="115"/>
      <c r="BQ856" s="115"/>
      <c r="BR856" s="115"/>
      <c r="BS856" s="115"/>
      <c r="BT856" s="115"/>
      <c r="BU856" s="13"/>
      <c r="BV856" s="13"/>
      <c r="BY856" s="114"/>
    </row>
    <row r="857" spans="1:77" ht="19.5" x14ac:dyDescent="0.4">
      <c r="A857" s="117"/>
      <c r="B857" s="123"/>
      <c r="C857" s="123"/>
      <c r="D857" s="123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15"/>
      <c r="AL857" s="127"/>
      <c r="AM857" s="29"/>
      <c r="AN857" s="115"/>
      <c r="AO857" s="115"/>
      <c r="AP857" s="115"/>
      <c r="AQ857" s="115"/>
      <c r="AR857" s="115"/>
      <c r="AS857" s="115"/>
      <c r="AT857" s="115"/>
      <c r="AU857" s="115"/>
      <c r="AV857" s="115"/>
      <c r="AW857" s="25">
        <v>45684</v>
      </c>
      <c r="AX857" s="13" t="s">
        <v>146</v>
      </c>
      <c r="BC857" s="117"/>
      <c r="BD857" s="123"/>
      <c r="BE857" s="123"/>
      <c r="BF857" s="123"/>
      <c r="BK857" s="115"/>
      <c r="BL857" s="115"/>
      <c r="BM857" s="115"/>
      <c r="BN857" s="115"/>
      <c r="BO857" s="115"/>
      <c r="BP857" s="115"/>
      <c r="BQ857" s="115"/>
      <c r="BR857" s="115"/>
      <c r="BS857" s="115"/>
      <c r="BT857" s="115"/>
      <c r="BU857" s="13"/>
      <c r="BV857" s="13"/>
      <c r="BY857" s="114"/>
    </row>
    <row r="858" spans="1:77" ht="19.5" x14ac:dyDescent="0.4">
      <c r="A858" s="117"/>
      <c r="B858" s="123"/>
      <c r="C858" s="123"/>
      <c r="D858" s="123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  <c r="AK858" s="115"/>
      <c r="AL858" s="128"/>
      <c r="AM858" s="29"/>
      <c r="AN858" s="115"/>
      <c r="AO858" s="115"/>
      <c r="AP858" s="115"/>
      <c r="AQ858" s="115"/>
      <c r="AR858" s="115"/>
      <c r="AS858" s="115"/>
      <c r="AT858" s="115"/>
      <c r="AU858" s="115"/>
      <c r="AV858" s="115"/>
      <c r="AW858" s="25"/>
      <c r="AX858" s="13"/>
      <c r="BC858" s="117"/>
      <c r="BD858" s="123"/>
      <c r="BE858" s="123"/>
      <c r="BF858" s="123"/>
      <c r="BK858" s="115"/>
      <c r="BL858" s="115"/>
      <c r="BM858" s="115"/>
      <c r="BN858" s="115"/>
      <c r="BO858" s="115"/>
      <c r="BP858" s="115"/>
      <c r="BQ858" s="115"/>
      <c r="BR858" s="115"/>
      <c r="BS858" s="115"/>
      <c r="BT858" s="115"/>
      <c r="BU858" s="13"/>
      <c r="BV858" s="13"/>
      <c r="BY858" s="114"/>
    </row>
    <row r="859" spans="1:77" ht="19.5" x14ac:dyDescent="0.4">
      <c r="A859" s="117"/>
      <c r="B859" s="123"/>
      <c r="C859" s="123"/>
      <c r="D859" s="123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  <c r="AK859" s="115"/>
      <c r="AL859" s="127"/>
      <c r="AM859" s="29"/>
      <c r="AN859" s="115"/>
      <c r="AO859" s="115"/>
      <c r="AP859" s="115"/>
      <c r="AQ859" s="115"/>
      <c r="AR859" s="115"/>
      <c r="AS859" s="115"/>
      <c r="AT859" s="115"/>
      <c r="AU859" s="115"/>
      <c r="AV859" s="115"/>
      <c r="AW859" s="25"/>
      <c r="AX859" s="13"/>
      <c r="BC859" s="117"/>
      <c r="BD859" s="123"/>
      <c r="BE859" s="123"/>
      <c r="BF859" s="123"/>
      <c r="BK859" s="115"/>
      <c r="BL859" s="115"/>
      <c r="BM859" s="115"/>
      <c r="BN859" s="115"/>
      <c r="BO859" s="115"/>
      <c r="BP859" s="115"/>
      <c r="BQ859" s="115"/>
      <c r="BR859" s="115"/>
      <c r="BS859" s="115"/>
      <c r="BT859" s="115"/>
      <c r="BU859" s="13"/>
      <c r="BV859" s="13"/>
      <c r="BY859" s="114"/>
    </row>
    <row r="860" spans="1:77" ht="19.5" x14ac:dyDescent="0.4">
      <c r="A860" s="117"/>
      <c r="B860" s="123"/>
      <c r="C860" s="123"/>
      <c r="D860" s="123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  <c r="AK860" s="115"/>
      <c r="AL860" s="128"/>
      <c r="AM860" s="29"/>
      <c r="AN860" s="115"/>
      <c r="AO860" s="115"/>
      <c r="AP860" s="115"/>
      <c r="AQ860" s="115"/>
      <c r="AR860" s="115"/>
      <c r="AS860" s="115"/>
      <c r="AT860" s="115"/>
      <c r="AU860" s="115"/>
      <c r="AV860" s="115"/>
      <c r="AW860" s="25"/>
      <c r="AX860" s="13"/>
      <c r="BC860" s="117"/>
      <c r="BD860" s="123"/>
      <c r="BE860" s="123"/>
      <c r="BF860" s="123"/>
      <c r="BK860" s="115"/>
      <c r="BL860" s="115"/>
      <c r="BM860" s="115"/>
      <c r="BN860" s="115"/>
      <c r="BO860" s="115"/>
      <c r="BP860" s="115"/>
      <c r="BQ860" s="115"/>
      <c r="BR860" s="115"/>
      <c r="BS860" s="115"/>
      <c r="BT860" s="115"/>
      <c r="BU860" s="13"/>
      <c r="BV860" s="13"/>
      <c r="BY860" s="114"/>
    </row>
    <row r="861" spans="1:77" ht="19.5" x14ac:dyDescent="0.4">
      <c r="A861" s="117"/>
      <c r="B861" s="123"/>
      <c r="C861" s="123"/>
      <c r="D861" s="123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27"/>
      <c r="AM861" s="29"/>
      <c r="AN861" s="115"/>
      <c r="AO861" s="115"/>
      <c r="AP861" s="115"/>
      <c r="AQ861" s="115"/>
      <c r="AR861" s="115"/>
      <c r="AS861" s="115"/>
      <c r="AT861" s="115"/>
      <c r="AU861" s="115"/>
      <c r="AV861" s="115"/>
      <c r="AW861" s="25"/>
      <c r="AX861" s="13"/>
      <c r="BC861" s="117"/>
      <c r="BD861" s="123"/>
      <c r="BE861" s="123"/>
      <c r="BF861" s="123"/>
      <c r="BK861" s="115"/>
      <c r="BL861" s="115"/>
      <c r="BM861" s="115"/>
      <c r="BN861" s="115"/>
      <c r="BO861" s="115"/>
      <c r="BP861" s="115"/>
      <c r="BQ861" s="115"/>
      <c r="BR861" s="115"/>
      <c r="BS861" s="115"/>
      <c r="BT861" s="115"/>
      <c r="BU861" s="13"/>
      <c r="BV861" s="13"/>
      <c r="BY861" s="114"/>
    </row>
    <row r="862" spans="1:77" ht="19.5" x14ac:dyDescent="0.4">
      <c r="A862" s="117"/>
      <c r="B862" s="123"/>
      <c r="C862" s="123"/>
      <c r="D862" s="123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15"/>
      <c r="AL862" s="128"/>
      <c r="AM862" s="29"/>
      <c r="AN862" s="115"/>
      <c r="AO862" s="115"/>
      <c r="AP862" s="115"/>
      <c r="AQ862" s="115"/>
      <c r="AR862" s="115"/>
      <c r="AS862" s="115"/>
      <c r="AT862" s="115"/>
      <c r="AU862" s="115"/>
      <c r="AV862" s="115"/>
      <c r="AW862" s="25"/>
      <c r="AX862" s="13"/>
      <c r="BC862" s="117"/>
      <c r="BD862" s="123"/>
      <c r="BE862" s="123"/>
      <c r="BF862" s="123"/>
      <c r="BK862" s="115"/>
      <c r="BL862" s="115"/>
      <c r="BM862" s="115"/>
      <c r="BN862" s="115"/>
      <c r="BO862" s="115"/>
      <c r="BP862" s="115"/>
      <c r="BQ862" s="115"/>
      <c r="BR862" s="115"/>
      <c r="BS862" s="115"/>
      <c r="BT862" s="115"/>
      <c r="BU862" s="13"/>
      <c r="BV862" s="13"/>
      <c r="BY862" s="114"/>
    </row>
    <row r="863" spans="1:77" ht="19.5" x14ac:dyDescent="0.4">
      <c r="A863" s="117"/>
      <c r="B863" s="123"/>
      <c r="C863" s="123"/>
      <c r="D863" s="123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  <c r="AK863" s="115"/>
      <c r="AL863" s="128"/>
      <c r="AM863" s="29"/>
      <c r="AN863" s="115"/>
      <c r="AO863" s="115"/>
      <c r="AP863" s="115"/>
      <c r="AQ863" s="115"/>
      <c r="AR863" s="115"/>
      <c r="AS863" s="115"/>
      <c r="AT863" s="115"/>
      <c r="AU863" s="115"/>
      <c r="AV863" s="115"/>
      <c r="AW863" s="25"/>
      <c r="AX863" s="13"/>
      <c r="BC863" s="117"/>
      <c r="BD863" s="123"/>
      <c r="BE863" s="123"/>
      <c r="BF863" s="123"/>
      <c r="BK863" s="115"/>
      <c r="BL863" s="115"/>
      <c r="BM863" s="115"/>
      <c r="BN863" s="115"/>
      <c r="BO863" s="115"/>
      <c r="BP863" s="115"/>
      <c r="BQ863" s="115"/>
      <c r="BR863" s="115"/>
      <c r="BS863" s="115"/>
      <c r="BT863" s="115"/>
      <c r="BU863" s="13"/>
      <c r="BV863" s="13"/>
      <c r="BY863" s="114"/>
    </row>
    <row r="864" spans="1:77" ht="19.5" x14ac:dyDescent="0.4">
      <c r="A864" s="117"/>
      <c r="B864" s="123"/>
      <c r="C864" s="123"/>
      <c r="D864" s="123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  <c r="AK864" s="115"/>
      <c r="AL864" s="127"/>
      <c r="AM864" s="29"/>
      <c r="AN864" s="115"/>
      <c r="AO864" s="115"/>
      <c r="AP864" s="115"/>
      <c r="AQ864" s="115"/>
      <c r="AR864" s="115"/>
      <c r="AS864" s="115"/>
      <c r="AT864" s="115"/>
      <c r="AU864" s="115"/>
      <c r="AV864" s="115"/>
      <c r="AW864" s="25">
        <v>45684</v>
      </c>
      <c r="AX864" s="13" t="s">
        <v>147</v>
      </c>
      <c r="BC864" s="117"/>
      <c r="BD864" s="123"/>
      <c r="BE864" s="123"/>
      <c r="BF864" s="123"/>
      <c r="BK864" s="115"/>
      <c r="BL864" s="115"/>
      <c r="BM864" s="115"/>
      <c r="BN864" s="115"/>
      <c r="BO864" s="115"/>
      <c r="BP864" s="115"/>
      <c r="BQ864" s="115"/>
      <c r="BR864" s="115"/>
      <c r="BS864" s="115"/>
      <c r="BT864" s="115"/>
      <c r="BU864" s="13"/>
      <c r="BV864" s="13"/>
      <c r="BY864" s="114"/>
    </row>
    <row r="865" spans="1:77" ht="19.5" x14ac:dyDescent="0.4">
      <c r="A865" s="117"/>
      <c r="B865" s="123"/>
      <c r="C865" s="123"/>
      <c r="D865" s="123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  <c r="AK865" s="115"/>
      <c r="AL865" s="127"/>
      <c r="AM865" s="29"/>
      <c r="AN865" s="115"/>
      <c r="AO865" s="115"/>
      <c r="AP865" s="115"/>
      <c r="AQ865" s="115"/>
      <c r="AR865" s="115"/>
      <c r="AS865" s="115"/>
      <c r="AT865" s="115"/>
      <c r="AU865" s="115"/>
      <c r="AV865" s="115"/>
      <c r="AW865" s="25">
        <v>45684</v>
      </c>
      <c r="AX865" s="13" t="s">
        <v>146</v>
      </c>
      <c r="BC865" s="117"/>
      <c r="BD865" s="123"/>
      <c r="BE865" s="123"/>
      <c r="BF865" s="123"/>
      <c r="BK865" s="115"/>
      <c r="BL865" s="115"/>
      <c r="BM865" s="115"/>
      <c r="BN865" s="115"/>
      <c r="BO865" s="115"/>
      <c r="BP865" s="115"/>
      <c r="BQ865" s="115"/>
      <c r="BR865" s="115"/>
      <c r="BS865" s="115"/>
      <c r="BT865" s="115"/>
      <c r="BU865" s="13"/>
      <c r="BV865" s="13"/>
      <c r="BY865" s="114"/>
    </row>
    <row r="866" spans="1:77" ht="19.5" x14ac:dyDescent="0.4">
      <c r="A866" s="117"/>
      <c r="B866" s="123"/>
      <c r="C866" s="123"/>
      <c r="D866" s="123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127"/>
      <c r="AM866" s="29"/>
      <c r="AN866" s="115"/>
      <c r="AO866" s="115"/>
      <c r="AP866" s="115"/>
      <c r="AQ866" s="115"/>
      <c r="AR866" s="115"/>
      <c r="AS866" s="115"/>
      <c r="AT866" s="115"/>
      <c r="AU866" s="115"/>
      <c r="AV866" s="115"/>
      <c r="AW866" s="25">
        <v>45684</v>
      </c>
      <c r="AX866" s="13" t="s">
        <v>146</v>
      </c>
      <c r="BC866" s="117"/>
      <c r="BD866" s="123"/>
      <c r="BE866" s="123"/>
      <c r="BF866" s="123"/>
      <c r="BK866" s="115"/>
      <c r="BL866" s="115"/>
      <c r="BM866" s="115"/>
      <c r="BN866" s="115"/>
      <c r="BO866" s="115"/>
      <c r="BP866" s="115"/>
      <c r="BQ866" s="115"/>
      <c r="BR866" s="115"/>
      <c r="BS866" s="115"/>
      <c r="BT866" s="115"/>
      <c r="BU866" s="13"/>
      <c r="BV866" s="13"/>
      <c r="BY866" s="114"/>
    </row>
    <row r="867" spans="1:77" ht="19.5" x14ac:dyDescent="0.4">
      <c r="A867" s="117"/>
      <c r="B867" s="123"/>
      <c r="C867" s="123"/>
      <c r="D867" s="123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115"/>
      <c r="AL867" s="29"/>
      <c r="AM867" s="29"/>
      <c r="AN867" s="115"/>
      <c r="AO867" s="115"/>
      <c r="AP867" s="115"/>
      <c r="AQ867" s="115"/>
      <c r="AR867" s="115"/>
      <c r="AS867" s="115"/>
      <c r="AT867" s="115"/>
      <c r="AU867" s="115"/>
      <c r="AV867" s="115"/>
      <c r="AW867" s="25"/>
      <c r="AX867" s="13"/>
      <c r="BC867" s="117"/>
      <c r="BD867" s="123"/>
      <c r="BE867" s="123"/>
      <c r="BF867" s="123"/>
      <c r="BK867" s="115"/>
      <c r="BL867" s="115"/>
      <c r="BM867" s="115"/>
      <c r="BN867" s="115"/>
      <c r="BO867" s="115"/>
      <c r="BP867" s="115"/>
      <c r="BQ867" s="115"/>
      <c r="BR867" s="115"/>
      <c r="BS867" s="115"/>
      <c r="BT867" s="115"/>
      <c r="BU867" s="13"/>
      <c r="BV867" s="13"/>
      <c r="BY867" s="114"/>
    </row>
    <row r="868" spans="1:77" ht="19.5" x14ac:dyDescent="0.4">
      <c r="A868" s="117"/>
      <c r="B868" s="123"/>
      <c r="C868" s="123"/>
      <c r="D868" s="123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115"/>
      <c r="AL868" s="29"/>
      <c r="AM868" s="29"/>
      <c r="AN868" s="115"/>
      <c r="AO868" s="115"/>
      <c r="AP868" s="115"/>
      <c r="AQ868" s="115"/>
      <c r="AR868" s="115"/>
      <c r="AS868" s="115"/>
      <c r="AT868" s="115"/>
      <c r="AU868" s="115"/>
      <c r="AV868" s="115"/>
      <c r="AW868" s="25"/>
      <c r="AX868" s="13"/>
      <c r="BC868" s="117"/>
      <c r="BD868" s="123"/>
      <c r="BE868" s="123"/>
      <c r="BF868" s="123"/>
      <c r="BK868" s="115"/>
      <c r="BL868" s="115"/>
      <c r="BM868" s="115"/>
      <c r="BN868" s="115"/>
      <c r="BO868" s="115"/>
      <c r="BP868" s="115"/>
      <c r="BQ868" s="115"/>
      <c r="BR868" s="115"/>
      <c r="BS868" s="115"/>
      <c r="BT868" s="115"/>
      <c r="BU868" s="13"/>
      <c r="BV868" s="13"/>
      <c r="BY868" s="114"/>
    </row>
    <row r="869" spans="1:77" ht="19.5" x14ac:dyDescent="0.4">
      <c r="A869" s="117"/>
      <c r="B869" s="123"/>
      <c r="C869" s="123"/>
      <c r="D869" s="123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127"/>
      <c r="AM869" s="29"/>
      <c r="AN869" s="115"/>
      <c r="AO869" s="115"/>
      <c r="AP869" s="115"/>
      <c r="AQ869" s="115"/>
      <c r="AR869" s="115"/>
      <c r="AS869" s="115"/>
      <c r="AT869" s="115"/>
      <c r="AU869" s="115"/>
      <c r="AV869" s="115"/>
      <c r="AW869" s="25">
        <v>45684</v>
      </c>
      <c r="AX869" s="13" t="s">
        <v>147</v>
      </c>
      <c r="BC869" s="117"/>
      <c r="BD869" s="123"/>
      <c r="BE869" s="123"/>
      <c r="BF869" s="123"/>
      <c r="BK869" s="115"/>
      <c r="BL869" s="115"/>
      <c r="BM869" s="115"/>
      <c r="BN869" s="115"/>
      <c r="BO869" s="115"/>
      <c r="BP869" s="115"/>
      <c r="BQ869" s="115"/>
      <c r="BR869" s="115"/>
      <c r="BS869" s="115"/>
      <c r="BT869" s="115"/>
      <c r="BU869" s="13"/>
      <c r="BV869" s="13"/>
      <c r="BY869" s="114"/>
    </row>
    <row r="870" spans="1:77" ht="19.5" x14ac:dyDescent="0.4">
      <c r="A870" s="117"/>
      <c r="B870" s="123"/>
      <c r="C870" s="123"/>
      <c r="D870" s="123"/>
      <c r="AL870" s="127"/>
      <c r="AM870" s="29"/>
      <c r="AW870" s="25">
        <v>45685</v>
      </c>
      <c r="AX870" s="13" t="s">
        <v>146</v>
      </c>
      <c r="BC870" s="117"/>
      <c r="BD870" s="123"/>
      <c r="BE870" s="123"/>
      <c r="BF870" s="123"/>
      <c r="BK870" s="115"/>
      <c r="BL870" s="115"/>
      <c r="BM870" s="115"/>
      <c r="BN870" s="115"/>
      <c r="BO870" s="115"/>
      <c r="BP870" s="115"/>
      <c r="BQ870" s="115"/>
      <c r="BR870" s="115"/>
      <c r="BS870" s="115"/>
      <c r="BT870" s="115"/>
      <c r="BU870" s="25">
        <v>45263</v>
      </c>
      <c r="BV870" s="13" t="s">
        <v>162</v>
      </c>
      <c r="BY870" s="114"/>
    </row>
    <row r="871" spans="1:77" ht="19.5" x14ac:dyDescent="0.4">
      <c r="A871" s="117"/>
      <c r="B871" s="123"/>
      <c r="C871" s="123"/>
      <c r="D871" s="123"/>
      <c r="AL871" s="127"/>
      <c r="AM871" s="29"/>
      <c r="AT871" s="115"/>
      <c r="AU871" s="115"/>
      <c r="AV871" s="115"/>
      <c r="AW871" s="25">
        <v>45685</v>
      </c>
      <c r="AX871" s="13" t="s">
        <v>147</v>
      </c>
      <c r="BC871" s="117"/>
      <c r="BD871" s="123"/>
      <c r="BE871" s="123"/>
      <c r="BF871" s="123"/>
      <c r="BK871" s="115"/>
      <c r="BL871" s="115"/>
      <c r="BM871" s="115"/>
      <c r="BN871" s="115"/>
      <c r="BO871" s="115"/>
      <c r="BP871" s="115"/>
      <c r="BQ871" s="115"/>
      <c r="BR871" s="115"/>
      <c r="BS871" s="115"/>
      <c r="BT871" s="115"/>
      <c r="BU871" s="25"/>
      <c r="BV871" s="13"/>
      <c r="BY871" s="114"/>
    </row>
    <row r="872" spans="1:77" ht="19.5" x14ac:dyDescent="0.4">
      <c r="A872" s="117"/>
      <c r="B872" s="123"/>
      <c r="C872" s="123"/>
      <c r="D872" s="123"/>
      <c r="AL872" s="128"/>
      <c r="AM872" s="29"/>
      <c r="AT872" s="115"/>
      <c r="AU872" s="115"/>
      <c r="AV872" s="115"/>
      <c r="AW872" s="25"/>
      <c r="AX872" s="13"/>
      <c r="BC872" s="117"/>
      <c r="BD872" s="123"/>
      <c r="BE872" s="123"/>
      <c r="BF872" s="123"/>
      <c r="BK872" s="115"/>
      <c r="BL872" s="115"/>
      <c r="BM872" s="115"/>
      <c r="BN872" s="115"/>
      <c r="BO872" s="115"/>
      <c r="BP872" s="115"/>
      <c r="BQ872" s="115"/>
      <c r="BR872" s="115"/>
      <c r="BS872" s="115"/>
      <c r="BT872" s="115"/>
      <c r="BU872" s="25"/>
      <c r="BV872" s="13"/>
      <c r="BY872" s="114"/>
    </row>
    <row r="873" spans="1:77" ht="19.5" x14ac:dyDescent="0.4">
      <c r="A873" s="117"/>
      <c r="B873" s="123"/>
      <c r="C873" s="123"/>
      <c r="D873" s="123"/>
      <c r="AL873" s="127"/>
      <c r="AM873" s="29"/>
      <c r="AN873" s="115"/>
      <c r="AO873" s="115"/>
      <c r="AP873" s="115"/>
      <c r="AQ873" s="115"/>
      <c r="AR873" s="115"/>
      <c r="AS873" s="115"/>
      <c r="AT873" s="115"/>
      <c r="AU873" s="115"/>
      <c r="AV873" s="115"/>
      <c r="AW873" s="25">
        <v>45685</v>
      </c>
      <c r="AX873" s="13" t="s">
        <v>147</v>
      </c>
      <c r="BC873" s="117"/>
      <c r="BD873" s="123"/>
      <c r="BE873" s="123"/>
      <c r="BF873" s="123"/>
      <c r="BK873" s="115"/>
      <c r="BL873" s="115"/>
      <c r="BM873" s="115"/>
      <c r="BN873" s="115"/>
      <c r="BO873" s="115"/>
      <c r="BP873" s="115"/>
      <c r="BQ873" s="115"/>
      <c r="BR873" s="115"/>
      <c r="BS873" s="115"/>
      <c r="BT873" s="115"/>
      <c r="BU873" s="25"/>
      <c r="BV873" s="13"/>
      <c r="BY873" s="114"/>
    </row>
    <row r="874" spans="1:77" ht="19.5" x14ac:dyDescent="0.4">
      <c r="A874" s="117"/>
      <c r="B874" s="123"/>
      <c r="C874" s="123"/>
      <c r="D874" s="123"/>
      <c r="AL874" s="127"/>
      <c r="AM874" s="29"/>
      <c r="AN874" s="115"/>
      <c r="AO874" s="115"/>
      <c r="AP874" s="115"/>
      <c r="AQ874" s="115"/>
      <c r="AR874" s="115"/>
      <c r="AS874" s="115"/>
      <c r="AT874" s="115"/>
      <c r="AU874" s="115"/>
      <c r="AV874" s="115"/>
      <c r="AW874" s="25">
        <v>45685</v>
      </c>
      <c r="AX874" s="13" t="s">
        <v>148</v>
      </c>
      <c r="BC874" s="117"/>
      <c r="BD874" s="123"/>
      <c r="BE874" s="123"/>
      <c r="BF874" s="123"/>
      <c r="BK874" s="115"/>
      <c r="BL874" s="115"/>
      <c r="BM874" s="115"/>
      <c r="BN874" s="115"/>
      <c r="BO874" s="115"/>
      <c r="BP874" s="115"/>
      <c r="BQ874" s="115"/>
      <c r="BR874" s="115"/>
      <c r="BS874" s="115"/>
      <c r="BT874" s="115"/>
      <c r="BU874" s="25"/>
      <c r="BV874" s="13"/>
      <c r="BY874" s="114"/>
    </row>
    <row r="875" spans="1:77" ht="19.5" x14ac:dyDescent="0.4">
      <c r="A875" s="117"/>
      <c r="B875" s="123"/>
      <c r="C875" s="123"/>
      <c r="D875" s="123"/>
      <c r="AL875" s="127"/>
      <c r="AM875" s="29"/>
      <c r="AN875" s="115"/>
      <c r="AO875" s="115"/>
      <c r="AP875" s="115"/>
      <c r="AQ875" s="115"/>
      <c r="AR875" s="115"/>
      <c r="AS875" s="115"/>
      <c r="AT875" s="115"/>
      <c r="AU875" s="115"/>
      <c r="AV875" s="115"/>
      <c r="AW875" s="25">
        <v>45685</v>
      </c>
      <c r="AX875" s="13" t="s">
        <v>148</v>
      </c>
      <c r="BC875" s="117"/>
      <c r="BD875" s="123"/>
      <c r="BE875" s="123"/>
      <c r="BF875" s="123"/>
      <c r="BK875" s="115"/>
      <c r="BL875" s="115"/>
      <c r="BM875" s="115"/>
      <c r="BN875" s="115"/>
      <c r="BO875" s="115"/>
      <c r="BP875" s="115"/>
      <c r="BQ875" s="115"/>
      <c r="BR875" s="115"/>
      <c r="BS875" s="115"/>
      <c r="BT875" s="115"/>
      <c r="BU875" s="25"/>
      <c r="BV875" s="13"/>
      <c r="BY875" s="114"/>
    </row>
    <row r="876" spans="1:77" ht="19.5" x14ac:dyDescent="0.4">
      <c r="A876" s="117"/>
      <c r="B876" s="123"/>
      <c r="C876" s="123"/>
      <c r="D876" s="123"/>
      <c r="AL876" s="128"/>
      <c r="AM876" s="29"/>
      <c r="AN876" s="115"/>
      <c r="AO876" s="115"/>
      <c r="AP876" s="115"/>
      <c r="AQ876" s="115"/>
      <c r="AR876" s="115"/>
      <c r="AS876" s="115"/>
      <c r="AT876" s="115"/>
      <c r="AU876" s="115"/>
      <c r="AV876" s="115"/>
      <c r="AW876" s="25"/>
      <c r="AX876" s="13"/>
      <c r="BC876" s="117"/>
      <c r="BD876" s="123"/>
      <c r="BE876" s="123"/>
      <c r="BF876" s="123"/>
      <c r="BK876" s="115"/>
      <c r="BL876" s="115"/>
      <c r="BM876" s="115"/>
      <c r="BN876" s="115"/>
      <c r="BO876" s="115"/>
      <c r="BP876" s="115"/>
      <c r="BQ876" s="115"/>
      <c r="BR876" s="115"/>
      <c r="BS876" s="115"/>
      <c r="BT876" s="115"/>
      <c r="BU876" s="25"/>
      <c r="BV876" s="13"/>
      <c r="BY876" s="114"/>
    </row>
    <row r="877" spans="1:77" ht="19.5" x14ac:dyDescent="0.4">
      <c r="A877" s="117"/>
      <c r="B877" s="123"/>
      <c r="C877" s="123"/>
      <c r="D877" s="123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127"/>
      <c r="AM877" s="29"/>
      <c r="AN877" s="115"/>
      <c r="AO877" s="115"/>
      <c r="AP877" s="115"/>
      <c r="AQ877" s="115"/>
      <c r="AR877" s="115"/>
      <c r="AS877" s="115"/>
      <c r="AT877" s="115"/>
      <c r="AU877" s="115"/>
      <c r="AV877" s="115"/>
      <c r="AW877" s="25"/>
      <c r="AX877" s="13"/>
      <c r="BC877" s="117"/>
      <c r="BD877" s="123"/>
      <c r="BE877" s="123"/>
      <c r="BF877" s="123"/>
      <c r="BK877" s="115"/>
      <c r="BL877" s="115"/>
      <c r="BM877" s="115"/>
      <c r="BN877" s="115"/>
      <c r="BO877" s="115"/>
      <c r="BP877" s="115"/>
      <c r="BQ877" s="115"/>
      <c r="BR877" s="115"/>
      <c r="BS877" s="115"/>
      <c r="BT877" s="115"/>
      <c r="BU877" s="25"/>
      <c r="BV877" s="13"/>
      <c r="BY877" s="114"/>
    </row>
    <row r="878" spans="1:77" ht="19.5" x14ac:dyDescent="0.4">
      <c r="A878" s="117"/>
      <c r="B878" s="123"/>
      <c r="C878" s="123"/>
      <c r="D878" s="123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128"/>
      <c r="AM878" s="29"/>
      <c r="AN878" s="115"/>
      <c r="AO878" s="115"/>
      <c r="AP878" s="115"/>
      <c r="AQ878" s="115"/>
      <c r="AR878" s="115"/>
      <c r="AS878" s="115"/>
      <c r="AT878" s="115"/>
      <c r="AU878" s="115"/>
      <c r="AV878" s="115"/>
      <c r="AW878" s="25"/>
      <c r="AX878" s="13"/>
      <c r="BC878" s="117"/>
      <c r="BD878" s="123"/>
      <c r="BE878" s="123"/>
      <c r="BF878" s="123"/>
      <c r="BK878" s="115"/>
      <c r="BL878" s="115"/>
      <c r="BM878" s="115"/>
      <c r="BN878" s="115"/>
      <c r="BO878" s="115"/>
      <c r="BP878" s="115"/>
      <c r="BQ878" s="115"/>
      <c r="BR878" s="115"/>
      <c r="BS878" s="115"/>
      <c r="BT878" s="115"/>
      <c r="BU878" s="25"/>
      <c r="BV878" s="13"/>
      <c r="BY878" s="114"/>
    </row>
    <row r="879" spans="1:77" ht="19.5" x14ac:dyDescent="0.4">
      <c r="A879" s="117"/>
      <c r="B879" s="123"/>
      <c r="C879" s="123"/>
      <c r="D879" s="123"/>
      <c r="AL879" s="127"/>
      <c r="AM879" s="29"/>
      <c r="AN879" s="115"/>
      <c r="AO879" s="115"/>
      <c r="AP879" s="115"/>
      <c r="AQ879" s="115"/>
      <c r="AR879" s="115"/>
      <c r="AS879" s="115"/>
      <c r="AT879" s="115"/>
      <c r="AU879" s="115"/>
      <c r="AV879" s="115"/>
      <c r="AW879" s="25">
        <v>45685</v>
      </c>
      <c r="AX879" s="13" t="s">
        <v>148</v>
      </c>
      <c r="BC879" s="117"/>
      <c r="BD879" s="123"/>
      <c r="BE879" s="123"/>
      <c r="BF879" s="123"/>
      <c r="BK879" s="115"/>
      <c r="BL879" s="115"/>
      <c r="BM879" s="115"/>
      <c r="BN879" s="115"/>
      <c r="BO879" s="115"/>
      <c r="BP879" s="115"/>
      <c r="BQ879" s="115"/>
      <c r="BR879" s="115"/>
      <c r="BS879" s="115"/>
      <c r="BT879" s="115"/>
      <c r="BU879" s="25"/>
      <c r="BV879" s="13"/>
      <c r="BY879" s="114"/>
    </row>
    <row r="880" spans="1:77" ht="19.5" x14ac:dyDescent="0.4">
      <c r="A880" s="117"/>
      <c r="B880" s="123"/>
      <c r="C880" s="123"/>
      <c r="D880" s="123"/>
      <c r="AL880" s="127"/>
      <c r="AM880" s="29"/>
      <c r="AN880" s="115"/>
      <c r="AO880" s="115"/>
      <c r="AP880" s="115"/>
      <c r="AQ880" s="115"/>
      <c r="AR880" s="115"/>
      <c r="AS880" s="115"/>
      <c r="AT880" s="115"/>
      <c r="AU880" s="115"/>
      <c r="AV880" s="115"/>
      <c r="AW880" s="25">
        <v>45685</v>
      </c>
      <c r="AX880" s="13" t="s">
        <v>148</v>
      </c>
      <c r="BC880" s="117"/>
      <c r="BD880" s="123"/>
      <c r="BE880" s="123"/>
      <c r="BF880" s="123"/>
      <c r="BK880" s="115"/>
      <c r="BL880" s="115"/>
      <c r="BM880" s="115"/>
      <c r="BN880" s="115"/>
      <c r="BO880" s="115"/>
      <c r="BP880" s="115"/>
      <c r="BQ880" s="115"/>
      <c r="BR880" s="115"/>
      <c r="BS880" s="115"/>
      <c r="BT880" s="115"/>
      <c r="BU880" s="25"/>
      <c r="BV880" s="13"/>
      <c r="BY880" s="114"/>
    </row>
    <row r="881" spans="1:77" ht="19.5" x14ac:dyDescent="0.4">
      <c r="A881" s="117"/>
      <c r="B881" s="123"/>
      <c r="C881" s="123"/>
      <c r="D881" s="123"/>
      <c r="AL881" s="127"/>
      <c r="AM881" s="29"/>
      <c r="AN881" s="115"/>
      <c r="AO881" s="115"/>
      <c r="AP881" s="115"/>
      <c r="AQ881" s="115"/>
      <c r="AR881" s="115"/>
      <c r="AS881" s="115"/>
      <c r="AT881" s="115"/>
      <c r="AU881" s="115"/>
      <c r="AV881" s="115"/>
      <c r="AW881" s="25">
        <v>45685</v>
      </c>
      <c r="AX881" s="13" t="s">
        <v>146</v>
      </c>
      <c r="BC881" s="117"/>
      <c r="BD881" s="123"/>
      <c r="BE881" s="123"/>
      <c r="BF881" s="123"/>
      <c r="BK881" s="115"/>
      <c r="BL881" s="115"/>
      <c r="BM881" s="115"/>
      <c r="BN881" s="115"/>
      <c r="BO881" s="115"/>
      <c r="BP881" s="115"/>
      <c r="BQ881" s="115"/>
      <c r="BR881" s="115"/>
      <c r="BS881" s="115"/>
      <c r="BT881" s="115"/>
      <c r="BU881" s="25"/>
      <c r="BV881" s="13"/>
      <c r="BY881" s="114"/>
    </row>
    <row r="882" spans="1:77" ht="19.5" x14ac:dyDescent="0.4">
      <c r="A882" s="117"/>
      <c r="B882" s="123"/>
      <c r="C882" s="123"/>
      <c r="D882" s="123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27"/>
      <c r="AM882" s="29"/>
      <c r="AN882" s="115"/>
      <c r="AO882" s="115"/>
      <c r="AP882" s="115"/>
      <c r="AQ882" s="115"/>
      <c r="AR882" s="115"/>
      <c r="AS882" s="115"/>
      <c r="AT882" s="115"/>
      <c r="AU882" s="115"/>
      <c r="AV882" s="115"/>
      <c r="AW882" s="25"/>
      <c r="AX882" s="13"/>
      <c r="BC882" s="117"/>
      <c r="BD882" s="123"/>
      <c r="BE882" s="123"/>
      <c r="BF882" s="123"/>
      <c r="BK882" s="115"/>
      <c r="BL882" s="115"/>
      <c r="BM882" s="115"/>
      <c r="BN882" s="115"/>
      <c r="BO882" s="115"/>
      <c r="BP882" s="115"/>
      <c r="BQ882" s="115"/>
      <c r="BR882" s="115"/>
      <c r="BS882" s="115"/>
      <c r="BT882" s="115"/>
      <c r="BU882" s="25"/>
      <c r="BV882" s="13"/>
      <c r="BY882" s="114"/>
    </row>
    <row r="883" spans="1:77" ht="19.5" x14ac:dyDescent="0.4">
      <c r="A883" s="117"/>
      <c r="B883" s="123"/>
      <c r="C883" s="123"/>
      <c r="D883" s="123"/>
      <c r="AL883" s="127"/>
      <c r="AM883" s="29"/>
      <c r="AW883" s="25">
        <v>45685</v>
      </c>
      <c r="AX883" s="13" t="s">
        <v>148</v>
      </c>
      <c r="BC883" s="117"/>
      <c r="BD883" s="123"/>
      <c r="BE883" s="123"/>
      <c r="BF883" s="123"/>
      <c r="BK883" s="115"/>
      <c r="BL883" s="115"/>
      <c r="BM883" s="115"/>
      <c r="BN883" s="115"/>
      <c r="BO883" s="115"/>
      <c r="BP883" s="115"/>
      <c r="BQ883" s="115"/>
      <c r="BR883" s="115"/>
      <c r="BS883" s="115"/>
      <c r="BT883" s="115" t="s">
        <v>150</v>
      </c>
      <c r="BU883" s="13">
        <f>SUBTOTAL(3,BU870:BU870)</f>
        <v>1</v>
      </c>
      <c r="BV883" s="13">
        <f>SUBTOTAL(3,BV870:BV870)</f>
        <v>1</v>
      </c>
      <c r="BY883" s="114"/>
    </row>
    <row r="884" spans="1:77" ht="19.5" x14ac:dyDescent="0.4">
      <c r="A884" s="117"/>
      <c r="B884" s="123"/>
      <c r="C884" s="123"/>
      <c r="D884" s="123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27"/>
      <c r="AM884" s="29"/>
      <c r="AW884" s="25"/>
      <c r="AX884" s="13"/>
      <c r="BC884" s="117"/>
      <c r="BD884" s="123"/>
      <c r="BE884" s="123"/>
      <c r="BF884" s="123"/>
      <c r="BK884" s="115"/>
      <c r="BL884" s="115"/>
      <c r="BM884" s="115"/>
      <c r="BN884" s="115"/>
      <c r="BO884" s="115"/>
      <c r="BP884" s="115"/>
      <c r="BQ884" s="115"/>
      <c r="BR884" s="115"/>
      <c r="BS884" s="115"/>
      <c r="BT884" s="115"/>
      <c r="BU884" s="13"/>
      <c r="BV884" s="13"/>
      <c r="BY884" s="114"/>
    </row>
    <row r="885" spans="1:77" ht="19.5" x14ac:dyDescent="0.4">
      <c r="A885" s="117"/>
      <c r="B885" s="123"/>
      <c r="C885" s="123"/>
      <c r="D885" s="123"/>
      <c r="AL885" s="127"/>
      <c r="AM885" s="29"/>
      <c r="AN885" s="115"/>
      <c r="AO885" s="115"/>
      <c r="AP885" s="115"/>
      <c r="AQ885" s="115"/>
      <c r="AR885" s="115"/>
      <c r="AS885" s="115"/>
      <c r="AT885" s="115"/>
      <c r="AU885" s="115"/>
      <c r="AV885" s="115"/>
      <c r="AW885" s="25">
        <v>45685</v>
      </c>
      <c r="AX885" s="15" t="s">
        <v>146</v>
      </c>
      <c r="BC885" s="117"/>
      <c r="BD885" s="123"/>
      <c r="BE885" s="123"/>
      <c r="BF885" s="123"/>
      <c r="BK885" s="115"/>
      <c r="BL885" s="115"/>
      <c r="BM885" s="115"/>
      <c r="BN885" s="115"/>
      <c r="BO885" s="115"/>
      <c r="BP885" s="115"/>
      <c r="BQ885" s="115"/>
      <c r="BR885" s="115"/>
      <c r="BS885" s="115"/>
      <c r="BT885" s="115"/>
      <c r="BU885" s="13"/>
      <c r="BV885" s="13"/>
      <c r="BY885" s="114"/>
    </row>
    <row r="886" spans="1:77" ht="19.5" x14ac:dyDescent="0.4">
      <c r="A886" s="117"/>
      <c r="B886" s="123"/>
      <c r="C886" s="123"/>
      <c r="D886" s="123"/>
      <c r="AL886" s="127"/>
      <c r="AM886" s="29"/>
      <c r="AW886" s="25">
        <v>45685</v>
      </c>
      <c r="AX886" s="15" t="s">
        <v>146</v>
      </c>
      <c r="BC886" s="117"/>
      <c r="BD886" s="123"/>
      <c r="BE886" s="123"/>
      <c r="BF886" s="123"/>
      <c r="BK886" s="115"/>
      <c r="BL886" s="115"/>
      <c r="BM886" s="115"/>
      <c r="BN886" s="115"/>
      <c r="BO886" s="115"/>
      <c r="BP886" s="115"/>
      <c r="BQ886" s="115"/>
      <c r="BR886" s="115"/>
      <c r="BS886" s="115"/>
      <c r="BT886" s="115"/>
      <c r="BU886" s="25">
        <v>45264</v>
      </c>
      <c r="BV886" s="13" t="s">
        <v>162</v>
      </c>
      <c r="BY886" s="114"/>
    </row>
    <row r="887" spans="1:77" ht="19.5" x14ac:dyDescent="0.4">
      <c r="A887" s="117"/>
      <c r="B887" s="123"/>
      <c r="C887" s="123"/>
      <c r="D887" s="123"/>
      <c r="AL887" s="127"/>
      <c r="AM887" s="29"/>
      <c r="AS887" s="115"/>
      <c r="AT887" s="115"/>
      <c r="AU887" s="115"/>
      <c r="AV887" s="115"/>
      <c r="AW887" s="25">
        <v>45686</v>
      </c>
      <c r="AX887" s="15" t="s">
        <v>148</v>
      </c>
      <c r="BC887" s="117"/>
      <c r="BD887" s="123"/>
      <c r="BE887" s="123"/>
      <c r="BF887" s="123"/>
      <c r="BK887" s="115"/>
      <c r="BL887" s="115"/>
      <c r="BM887" s="115"/>
      <c r="BN887" s="115"/>
      <c r="BO887" s="115"/>
      <c r="BP887" s="115"/>
      <c r="BQ887" s="115"/>
      <c r="BR887" s="115"/>
      <c r="BS887" s="115"/>
      <c r="BT887" s="115"/>
      <c r="BU887" s="25"/>
      <c r="BV887" s="13"/>
      <c r="BY887" s="114"/>
    </row>
    <row r="888" spans="1:77" ht="19.5" x14ac:dyDescent="0.4">
      <c r="A888" s="117"/>
      <c r="B888" s="123"/>
      <c r="C888" s="123"/>
      <c r="D888" s="123"/>
      <c r="AL888" s="127"/>
      <c r="AM888" s="29"/>
      <c r="AQ888" s="115"/>
      <c r="AR888" s="115"/>
      <c r="AS888" s="115"/>
      <c r="AT888" s="115"/>
      <c r="AU888" s="115"/>
      <c r="AV888" s="115"/>
      <c r="AW888" s="25">
        <v>45686</v>
      </c>
      <c r="AX888" s="15" t="s">
        <v>146</v>
      </c>
      <c r="BC888" s="117"/>
      <c r="BD888" s="123"/>
      <c r="BE888" s="123"/>
      <c r="BF888" s="123"/>
      <c r="BK888" s="115"/>
      <c r="BL888" s="115"/>
      <c r="BM888" s="115"/>
      <c r="BN888" s="115"/>
      <c r="BO888" s="115"/>
      <c r="BP888" s="115"/>
      <c r="BQ888" s="115"/>
      <c r="BR888" s="115"/>
      <c r="BS888" s="115"/>
      <c r="BT888" s="115"/>
      <c r="BU888" s="25"/>
      <c r="BV888" s="13"/>
      <c r="BY888" s="114"/>
    </row>
    <row r="889" spans="1:77" ht="19.5" x14ac:dyDescent="0.4">
      <c r="A889" s="117"/>
      <c r="B889" s="123"/>
      <c r="C889" s="123"/>
      <c r="D889" s="123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127"/>
      <c r="AM889" s="29"/>
      <c r="AQ889" s="115"/>
      <c r="AR889" s="115"/>
      <c r="AS889" s="115"/>
      <c r="AT889" s="115"/>
      <c r="AU889" s="115"/>
      <c r="AV889" s="115"/>
      <c r="AW889" s="25"/>
      <c r="AX889" s="15"/>
      <c r="BC889" s="117"/>
      <c r="BD889" s="123"/>
      <c r="BE889" s="123"/>
      <c r="BF889" s="123"/>
      <c r="BK889" s="115"/>
      <c r="BL889" s="115"/>
      <c r="BM889" s="115"/>
      <c r="BN889" s="115"/>
      <c r="BO889" s="115"/>
      <c r="BP889" s="115"/>
      <c r="BQ889" s="115"/>
      <c r="BR889" s="115"/>
      <c r="BS889" s="115"/>
      <c r="BT889" s="115"/>
      <c r="BU889" s="25"/>
      <c r="BV889" s="13"/>
      <c r="BY889" s="114"/>
    </row>
    <row r="890" spans="1:77" ht="19.5" x14ac:dyDescent="0.4">
      <c r="A890" s="117"/>
      <c r="B890" s="123"/>
      <c r="C890" s="123"/>
      <c r="D890" s="123"/>
      <c r="AL890" s="127"/>
      <c r="AM890" s="29"/>
      <c r="AQ890" s="115"/>
      <c r="AR890" s="115"/>
      <c r="AS890" s="115"/>
      <c r="AT890" s="115"/>
      <c r="AU890" s="115"/>
      <c r="AV890" s="115"/>
      <c r="AW890" s="25">
        <v>45686</v>
      </c>
      <c r="AX890" s="15" t="s">
        <v>148</v>
      </c>
      <c r="BC890" s="117"/>
      <c r="BD890" s="123"/>
      <c r="BE890" s="123"/>
      <c r="BF890" s="123"/>
      <c r="BK890" s="115"/>
      <c r="BL890" s="115"/>
      <c r="BM890" s="115"/>
      <c r="BN890" s="115"/>
      <c r="BO890" s="115"/>
      <c r="BP890" s="115"/>
      <c r="BQ890" s="115"/>
      <c r="BR890" s="115"/>
      <c r="BS890" s="115"/>
      <c r="BT890" s="115"/>
      <c r="BU890" s="25"/>
      <c r="BV890" s="13"/>
      <c r="BY890" s="114"/>
    </row>
    <row r="891" spans="1:77" ht="19.5" x14ac:dyDescent="0.4">
      <c r="A891" s="117"/>
      <c r="B891" s="123"/>
      <c r="C891" s="123"/>
      <c r="D891" s="123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127"/>
      <c r="AM891" s="29"/>
      <c r="AQ891" s="115"/>
      <c r="AR891" s="115"/>
      <c r="AS891" s="115"/>
      <c r="AT891" s="115"/>
      <c r="AU891" s="115"/>
      <c r="AV891" s="115"/>
      <c r="AW891" s="25"/>
      <c r="AX891" s="15"/>
      <c r="BC891" s="117"/>
      <c r="BD891" s="123"/>
      <c r="BE891" s="123"/>
      <c r="BF891" s="123"/>
      <c r="BK891" s="115"/>
      <c r="BL891" s="115"/>
      <c r="BM891" s="115"/>
      <c r="BN891" s="115"/>
      <c r="BO891" s="115"/>
      <c r="BP891" s="115"/>
      <c r="BQ891" s="115"/>
      <c r="BR891" s="115"/>
      <c r="BS891" s="115"/>
      <c r="BT891" s="115"/>
      <c r="BU891" s="25"/>
      <c r="BV891" s="13"/>
      <c r="BY891" s="114"/>
    </row>
    <row r="892" spans="1:77" ht="19.5" x14ac:dyDescent="0.4">
      <c r="A892" s="117"/>
      <c r="B892" s="123"/>
      <c r="C892" s="123"/>
      <c r="D892" s="123"/>
      <c r="AL892" s="127"/>
      <c r="AM892" s="29"/>
      <c r="AW892" s="25">
        <v>45686</v>
      </c>
      <c r="AX892" s="15" t="s">
        <v>146</v>
      </c>
      <c r="BC892" s="117"/>
      <c r="BD892" s="123"/>
      <c r="BE892" s="123"/>
      <c r="BF892" s="123"/>
      <c r="BK892" s="115"/>
      <c r="BL892" s="115"/>
      <c r="BM892" s="115"/>
      <c r="BN892" s="115"/>
      <c r="BO892" s="115"/>
      <c r="BP892" s="115"/>
      <c r="BQ892" s="115"/>
      <c r="BR892" s="115"/>
      <c r="BS892" s="115"/>
      <c r="BT892" s="115" t="s">
        <v>154</v>
      </c>
      <c r="BU892" s="13">
        <f>SUBTOTAL(3,BU886:BU886)</f>
        <v>1</v>
      </c>
      <c r="BV892" s="13">
        <f>SUBTOTAL(3,BV886:BV886)</f>
        <v>1</v>
      </c>
      <c r="BY892" s="114"/>
    </row>
    <row r="893" spans="1:77" ht="19.5" x14ac:dyDescent="0.4">
      <c r="A893" s="117"/>
      <c r="B893" s="123"/>
      <c r="C893" s="123"/>
      <c r="D893" s="123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127"/>
      <c r="AM893" s="29"/>
      <c r="AW893" s="25"/>
      <c r="AX893" s="15"/>
      <c r="BC893" s="117"/>
      <c r="BD893" s="123"/>
      <c r="BE893" s="123"/>
      <c r="BF893" s="123"/>
      <c r="BK893" s="115"/>
      <c r="BL893" s="115"/>
      <c r="BM893" s="115"/>
      <c r="BN893" s="115"/>
      <c r="BO893" s="115"/>
      <c r="BP893" s="115"/>
      <c r="BQ893" s="115"/>
      <c r="BR893" s="115"/>
      <c r="BS893" s="115"/>
      <c r="BT893" s="115"/>
      <c r="BU893" s="13"/>
      <c r="BV893" s="13"/>
      <c r="BY893" s="114"/>
    </row>
    <row r="894" spans="1:77" ht="19.5" x14ac:dyDescent="0.4">
      <c r="A894" s="117"/>
      <c r="B894" s="123"/>
      <c r="C894" s="123"/>
      <c r="D894" s="123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27"/>
      <c r="AM894" s="29"/>
      <c r="AW894" s="25"/>
      <c r="AX894" s="15"/>
      <c r="BC894" s="117"/>
      <c r="BD894" s="123"/>
      <c r="BE894" s="123"/>
      <c r="BF894" s="123"/>
      <c r="BK894" s="115"/>
      <c r="BL894" s="115"/>
      <c r="BM894" s="115"/>
      <c r="BN894" s="115"/>
      <c r="BO894" s="115"/>
      <c r="BP894" s="115"/>
      <c r="BQ894" s="115"/>
      <c r="BR894" s="115"/>
      <c r="BS894" s="115"/>
      <c r="BT894" s="115"/>
      <c r="BU894" s="13"/>
      <c r="BV894" s="13"/>
      <c r="BY894" s="114"/>
    </row>
    <row r="895" spans="1:77" ht="19.5" x14ac:dyDescent="0.4">
      <c r="A895" s="117"/>
      <c r="B895" s="123"/>
      <c r="C895" s="123"/>
      <c r="D895" s="123"/>
      <c r="AL895" s="127"/>
      <c r="AM895" s="29"/>
      <c r="AW895" s="25">
        <v>45686</v>
      </c>
      <c r="AX895" s="15" t="s">
        <v>146</v>
      </c>
      <c r="BC895" s="117"/>
      <c r="BD895" s="123"/>
      <c r="BE895" s="123"/>
      <c r="BF895" s="123"/>
      <c r="BK895" s="115"/>
      <c r="BL895" s="115"/>
      <c r="BM895" s="115"/>
      <c r="BN895" s="115"/>
      <c r="BO895" s="115"/>
      <c r="BP895" s="115"/>
      <c r="BQ895" s="115"/>
      <c r="BR895" s="115"/>
      <c r="BS895" s="115"/>
      <c r="BT895" s="115"/>
      <c r="BU895" s="25">
        <v>45265</v>
      </c>
      <c r="BV895" s="13" t="s">
        <v>162</v>
      </c>
      <c r="BY895" s="114"/>
    </row>
    <row r="896" spans="1:77" ht="19.5" x14ac:dyDescent="0.4">
      <c r="A896" s="117"/>
      <c r="B896" s="123"/>
      <c r="C896" s="123"/>
      <c r="D896" s="123"/>
      <c r="AL896" s="127"/>
      <c r="AM896" s="29"/>
      <c r="AW896" s="25">
        <v>45686</v>
      </c>
      <c r="AX896" s="15" t="s">
        <v>146</v>
      </c>
      <c r="BC896" s="117"/>
      <c r="BD896" s="123"/>
      <c r="BE896" s="123"/>
      <c r="BF896" s="123"/>
      <c r="BK896" s="115"/>
      <c r="BL896" s="115"/>
      <c r="BM896" s="115"/>
      <c r="BN896" s="115"/>
      <c r="BO896" s="115"/>
      <c r="BP896" s="115"/>
      <c r="BQ896" s="115"/>
      <c r="BR896" s="115"/>
      <c r="BS896" s="115"/>
      <c r="BT896" s="115"/>
      <c r="BU896" s="25">
        <v>45265</v>
      </c>
      <c r="BV896" s="25" t="s">
        <v>162</v>
      </c>
      <c r="BY896" s="114"/>
    </row>
    <row r="897" spans="1:77" ht="19.5" x14ac:dyDescent="0.4">
      <c r="A897" s="117"/>
      <c r="B897" s="123"/>
      <c r="C897" s="123"/>
      <c r="D897" s="123"/>
      <c r="AL897" s="127"/>
      <c r="AM897" s="29"/>
      <c r="AN897" s="115"/>
      <c r="AO897" s="115"/>
      <c r="AP897" s="115"/>
      <c r="AQ897" s="115"/>
      <c r="AR897" s="115"/>
      <c r="AS897" s="115"/>
      <c r="AT897" s="115"/>
      <c r="AU897" s="115"/>
      <c r="AV897" s="115"/>
      <c r="AW897" s="25">
        <v>45686</v>
      </c>
      <c r="AX897" s="15" t="s">
        <v>146</v>
      </c>
      <c r="BC897" s="117"/>
      <c r="BD897" s="123"/>
      <c r="BE897" s="123"/>
      <c r="BF897" s="123"/>
      <c r="BK897" s="115"/>
      <c r="BL897" s="115"/>
      <c r="BM897" s="115"/>
      <c r="BN897" s="115"/>
      <c r="BO897" s="115"/>
      <c r="BP897" s="115"/>
      <c r="BQ897" s="115"/>
      <c r="BR897" s="115"/>
      <c r="BS897" s="115"/>
      <c r="BT897" s="115"/>
      <c r="BU897" s="25"/>
      <c r="BV897" s="25"/>
      <c r="BY897" s="114"/>
    </row>
    <row r="898" spans="1:77" ht="19.5" x14ac:dyDescent="0.4">
      <c r="A898" s="117"/>
      <c r="B898" s="123"/>
      <c r="C898" s="123"/>
      <c r="D898" s="123"/>
      <c r="AL898" s="128"/>
      <c r="AM898" s="29"/>
      <c r="AN898" s="115"/>
      <c r="AO898" s="115"/>
      <c r="AP898" s="115"/>
      <c r="AQ898" s="115"/>
      <c r="AR898" s="115"/>
      <c r="AS898" s="115"/>
      <c r="AT898" s="115"/>
      <c r="AU898" s="115"/>
      <c r="AV898" s="115"/>
      <c r="AW898" s="25"/>
      <c r="AX898" s="13"/>
      <c r="BC898" s="117"/>
      <c r="BD898" s="123"/>
      <c r="BE898" s="123"/>
      <c r="BF898" s="123"/>
      <c r="BK898" s="115"/>
      <c r="BL898" s="115"/>
      <c r="BM898" s="115"/>
      <c r="BN898" s="115"/>
      <c r="BO898" s="115"/>
      <c r="BP898" s="115"/>
      <c r="BQ898" s="115"/>
      <c r="BR898" s="115"/>
      <c r="BS898" s="115"/>
      <c r="BT898" s="115"/>
      <c r="BU898" s="25"/>
      <c r="BV898" s="25"/>
      <c r="BY898" s="114"/>
    </row>
    <row r="899" spans="1:77" ht="19.5" x14ac:dyDescent="0.4">
      <c r="A899" s="117"/>
      <c r="B899" s="123"/>
      <c r="C899" s="123"/>
      <c r="D899" s="123"/>
      <c r="AL899" s="127"/>
      <c r="AM899" s="29"/>
      <c r="AW899" s="25">
        <v>45686</v>
      </c>
      <c r="AX899" s="13" t="s">
        <v>146</v>
      </c>
      <c r="BC899" s="117"/>
      <c r="BD899" s="123"/>
      <c r="BE899" s="123"/>
      <c r="BF899" s="123"/>
      <c r="BK899" s="115"/>
      <c r="BL899" s="115"/>
      <c r="BM899" s="115"/>
      <c r="BN899" s="115"/>
      <c r="BO899" s="115"/>
      <c r="BP899" s="115"/>
      <c r="BQ899" s="115"/>
      <c r="BR899" s="115"/>
      <c r="BS899" s="115"/>
      <c r="BT899" s="115"/>
      <c r="BU899" s="25">
        <v>45265</v>
      </c>
      <c r="BV899" s="13" t="s">
        <v>162</v>
      </c>
      <c r="BY899" s="114"/>
    </row>
    <row r="900" spans="1:77" ht="19.5" x14ac:dyDescent="0.4">
      <c r="A900" s="117"/>
      <c r="B900" s="123"/>
      <c r="C900" s="123"/>
      <c r="D900" s="123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  <c r="AK900" s="115"/>
      <c r="AL900" s="127"/>
      <c r="AM900" s="29"/>
      <c r="AW900" s="25"/>
      <c r="AX900" s="13"/>
      <c r="BC900" s="117"/>
      <c r="BD900" s="123"/>
      <c r="BE900" s="123"/>
      <c r="BF900" s="123"/>
      <c r="BK900" s="115"/>
      <c r="BL900" s="115"/>
      <c r="BM900" s="115"/>
      <c r="BN900" s="115"/>
      <c r="BO900" s="115"/>
      <c r="BP900" s="115"/>
      <c r="BQ900" s="115"/>
      <c r="BR900" s="115"/>
      <c r="BS900" s="115"/>
      <c r="BT900" s="115"/>
      <c r="BU900" s="25"/>
      <c r="BV900" s="13"/>
      <c r="BY900" s="114"/>
    </row>
    <row r="901" spans="1:77" ht="19.5" x14ac:dyDescent="0.4">
      <c r="A901" s="117"/>
      <c r="B901" s="123"/>
      <c r="C901" s="123"/>
      <c r="D901" s="123"/>
      <c r="AL901" s="127"/>
      <c r="AM901" s="29"/>
      <c r="AS901" s="115"/>
      <c r="AT901" s="115"/>
      <c r="AU901" s="115"/>
      <c r="AV901" s="115"/>
      <c r="AW901" s="25">
        <v>45686</v>
      </c>
      <c r="AX901" s="15" t="s">
        <v>146</v>
      </c>
      <c r="BC901" s="117"/>
      <c r="BD901" s="123"/>
      <c r="BE901" s="123"/>
      <c r="BF901" s="123"/>
      <c r="BK901" s="115"/>
      <c r="BL901" s="115"/>
      <c r="BM901" s="115"/>
      <c r="BN901" s="115"/>
      <c r="BO901" s="115"/>
      <c r="BP901" s="115"/>
      <c r="BQ901" s="115"/>
      <c r="BR901" s="115"/>
      <c r="BS901" s="115"/>
      <c r="BT901" s="115"/>
      <c r="BU901" s="25"/>
      <c r="BV901" s="13"/>
      <c r="BY901" s="114"/>
    </row>
    <row r="902" spans="1:77" ht="19.5" x14ac:dyDescent="0.4">
      <c r="A902" s="117"/>
      <c r="B902" s="123"/>
      <c r="C902" s="123"/>
      <c r="D902" s="123"/>
      <c r="AL902" s="127"/>
      <c r="AM902" s="29"/>
      <c r="AW902" s="25">
        <v>45686</v>
      </c>
      <c r="AX902" s="15" t="s">
        <v>147</v>
      </c>
      <c r="BC902" s="117"/>
      <c r="BD902" s="123"/>
      <c r="BE902" s="123"/>
      <c r="BF902" s="123"/>
      <c r="BK902" s="115"/>
      <c r="BL902" s="115"/>
      <c r="BM902" s="115"/>
      <c r="BN902" s="115"/>
      <c r="BO902" s="115"/>
      <c r="BP902" s="115"/>
      <c r="BQ902" s="115"/>
      <c r="BR902" s="115"/>
      <c r="BS902" s="115"/>
      <c r="BT902" s="115"/>
      <c r="BU902" s="25">
        <v>45265</v>
      </c>
      <c r="BV902" s="13" t="s">
        <v>162</v>
      </c>
      <c r="BY902" s="114"/>
    </row>
    <row r="903" spans="1:77" ht="19.5" x14ac:dyDescent="0.4">
      <c r="A903" s="117"/>
      <c r="B903" s="123"/>
      <c r="C903" s="123"/>
      <c r="D903" s="123"/>
      <c r="AL903" s="127"/>
      <c r="AM903" s="29"/>
      <c r="AT903" s="115"/>
      <c r="AU903" s="115"/>
      <c r="AV903" s="115"/>
      <c r="AW903" s="25">
        <v>45686</v>
      </c>
      <c r="AX903" s="15" t="s">
        <v>147</v>
      </c>
      <c r="BC903" s="117"/>
      <c r="BD903" s="123"/>
      <c r="BE903" s="123"/>
      <c r="BF903" s="123"/>
      <c r="BK903" s="115"/>
      <c r="BL903" s="115"/>
      <c r="BM903" s="115"/>
      <c r="BN903" s="115"/>
      <c r="BO903" s="115"/>
      <c r="BP903" s="115"/>
      <c r="BQ903" s="115"/>
      <c r="BR903" s="115"/>
      <c r="BS903" s="115"/>
      <c r="BT903" s="115"/>
      <c r="BU903" s="25"/>
      <c r="BV903" s="13"/>
      <c r="BY903" s="114"/>
    </row>
    <row r="904" spans="1:77" ht="19.5" x14ac:dyDescent="0.4">
      <c r="A904" s="117"/>
      <c r="B904" s="123"/>
      <c r="C904" s="123"/>
      <c r="D904" s="123"/>
      <c r="AL904" s="127"/>
      <c r="AM904" s="29"/>
      <c r="AN904" s="115"/>
      <c r="AO904" s="115"/>
      <c r="AP904" s="115"/>
      <c r="AQ904" s="115"/>
      <c r="AR904" s="115"/>
      <c r="AS904" s="115"/>
      <c r="AT904" s="115"/>
      <c r="AU904" s="115"/>
      <c r="AV904" s="115"/>
      <c r="AW904" s="25">
        <v>45686</v>
      </c>
      <c r="AX904" s="13" t="s">
        <v>146</v>
      </c>
      <c r="BC904" s="117"/>
      <c r="BD904" s="123"/>
      <c r="BE904" s="123"/>
      <c r="BF904" s="123"/>
      <c r="BK904" s="115"/>
      <c r="BL904" s="115"/>
      <c r="BM904" s="115"/>
      <c r="BN904" s="115"/>
      <c r="BO904" s="115"/>
      <c r="BP904" s="115"/>
      <c r="BQ904" s="115"/>
      <c r="BR904" s="115"/>
      <c r="BS904" s="115"/>
      <c r="BT904" s="115"/>
      <c r="BU904" s="25"/>
      <c r="BV904" s="13"/>
      <c r="BY904" s="114"/>
    </row>
    <row r="905" spans="1:77" ht="19.5" x14ac:dyDescent="0.4">
      <c r="A905" s="117"/>
      <c r="B905" s="123"/>
      <c r="C905" s="123"/>
      <c r="D905" s="123"/>
      <c r="AL905" s="127"/>
      <c r="AM905" s="29"/>
      <c r="AW905" s="25">
        <v>45686</v>
      </c>
      <c r="AX905" s="25" t="s">
        <v>146</v>
      </c>
      <c r="BC905" s="117"/>
      <c r="BD905" s="123"/>
      <c r="BE905" s="123"/>
      <c r="BF905" s="123"/>
      <c r="BK905" s="115"/>
      <c r="BL905" s="115"/>
      <c r="BM905" s="115"/>
      <c r="BN905" s="115"/>
      <c r="BO905" s="115"/>
      <c r="BP905" s="115"/>
      <c r="BQ905" s="115"/>
      <c r="BR905" s="115"/>
      <c r="BS905" s="115"/>
      <c r="BT905" s="115"/>
      <c r="BU905" s="25">
        <v>45265</v>
      </c>
      <c r="BV905" s="13" t="s">
        <v>163</v>
      </c>
      <c r="BY905" s="114"/>
    </row>
    <row r="906" spans="1:77" ht="19.5" x14ac:dyDescent="0.4">
      <c r="A906" s="117"/>
      <c r="B906" s="123"/>
      <c r="C906" s="123"/>
      <c r="D906" s="123"/>
      <c r="AL906" s="127"/>
      <c r="AM906" s="29"/>
      <c r="AW906" s="25">
        <v>45686</v>
      </c>
      <c r="AX906" s="25" t="s">
        <v>147</v>
      </c>
      <c r="BC906" s="117"/>
      <c r="BD906" s="123"/>
      <c r="BE906" s="123"/>
      <c r="BF906" s="123"/>
      <c r="BK906" s="115"/>
      <c r="BL906" s="115"/>
      <c r="BM906" s="115"/>
      <c r="BN906" s="115"/>
      <c r="BO906" s="115"/>
      <c r="BP906" s="115"/>
      <c r="BQ906" s="115"/>
      <c r="BR906" s="115"/>
      <c r="BS906" s="115"/>
      <c r="BT906" s="115" t="s">
        <v>155</v>
      </c>
      <c r="BU906" s="13">
        <f>SUBTOTAL(3,BU895:BU905)</f>
        <v>5</v>
      </c>
      <c r="BV906" s="13">
        <f>SUBTOTAL(3,BV895:BV905)</f>
        <v>5</v>
      </c>
      <c r="BY906" s="114"/>
    </row>
    <row r="907" spans="1:77" ht="19.5" x14ac:dyDescent="0.4">
      <c r="A907" s="117"/>
      <c r="B907" s="123"/>
      <c r="C907" s="123"/>
      <c r="D907" s="123"/>
      <c r="AL907" s="127"/>
      <c r="AM907" s="29"/>
      <c r="AN907" s="115"/>
      <c r="AO907" s="115"/>
      <c r="AP907" s="115"/>
      <c r="AQ907" s="115"/>
      <c r="AR907" s="115"/>
      <c r="AS907" s="115"/>
      <c r="AT907" s="115"/>
      <c r="AU907" s="115"/>
      <c r="AV907" s="115"/>
      <c r="AW907" s="25">
        <v>45686</v>
      </c>
      <c r="AX907" s="25" t="s">
        <v>148</v>
      </c>
      <c r="BC907" s="117"/>
      <c r="BD907" s="123"/>
      <c r="BE907" s="123"/>
      <c r="BF907" s="123"/>
      <c r="BK907" s="115"/>
      <c r="BL907" s="115"/>
      <c r="BM907" s="115"/>
      <c r="BN907" s="115"/>
      <c r="BO907" s="115"/>
      <c r="BP907" s="115"/>
      <c r="BQ907" s="115"/>
      <c r="BR907" s="115"/>
      <c r="BS907" s="115"/>
      <c r="BT907" s="115"/>
      <c r="BU907" s="13"/>
      <c r="BV907" s="13"/>
      <c r="BY907" s="114"/>
    </row>
    <row r="908" spans="1:77" ht="19.5" x14ac:dyDescent="0.4">
      <c r="A908" s="117"/>
      <c r="B908" s="123"/>
      <c r="C908" s="123"/>
      <c r="D908" s="123"/>
      <c r="AL908" s="127"/>
      <c r="AM908" s="29"/>
      <c r="AN908" s="115"/>
      <c r="AO908" s="115"/>
      <c r="AP908" s="115"/>
      <c r="AQ908" s="115"/>
      <c r="AR908" s="115"/>
      <c r="AS908" s="115"/>
      <c r="AT908" s="115"/>
      <c r="AU908" s="115"/>
      <c r="AV908" s="115"/>
      <c r="AW908" s="25">
        <v>45686</v>
      </c>
      <c r="AX908" s="13" t="s">
        <v>146</v>
      </c>
      <c r="BC908" s="117"/>
      <c r="BD908" s="123"/>
      <c r="BE908" s="123"/>
      <c r="BF908" s="123"/>
      <c r="BK908" s="115"/>
      <c r="BL908" s="115"/>
      <c r="BM908" s="115"/>
      <c r="BN908" s="115"/>
      <c r="BO908" s="115"/>
      <c r="BP908" s="115"/>
      <c r="BQ908" s="115"/>
      <c r="BR908" s="115"/>
      <c r="BS908" s="115"/>
      <c r="BT908" s="115"/>
      <c r="BU908" s="13"/>
      <c r="BV908" s="13"/>
      <c r="BY908" s="114"/>
    </row>
    <row r="909" spans="1:77" ht="19.5" x14ac:dyDescent="0.4">
      <c r="A909" s="117"/>
      <c r="B909" s="123"/>
      <c r="C909" s="123"/>
      <c r="D909" s="123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  <c r="AK909" s="115"/>
      <c r="AL909" s="127"/>
      <c r="AM909" s="29"/>
      <c r="AN909" s="115"/>
      <c r="AO909" s="115"/>
      <c r="AP909" s="115"/>
      <c r="AQ909" s="115"/>
      <c r="AR909" s="115"/>
      <c r="AS909" s="115"/>
      <c r="AT909" s="115"/>
      <c r="AU909" s="115"/>
      <c r="AV909" s="115"/>
      <c r="AW909" s="25">
        <v>45686</v>
      </c>
      <c r="AX909" s="13" t="s">
        <v>146</v>
      </c>
      <c r="BC909" s="117"/>
      <c r="BD909" s="123"/>
      <c r="BE909" s="123"/>
      <c r="BF909" s="123"/>
      <c r="BK909" s="115"/>
      <c r="BL909" s="115"/>
      <c r="BM909" s="115"/>
      <c r="BN909" s="115"/>
      <c r="BO909" s="115"/>
      <c r="BP909" s="115"/>
      <c r="BQ909" s="115"/>
      <c r="BR909" s="115"/>
      <c r="BS909" s="115"/>
      <c r="BT909" s="115"/>
      <c r="BU909" s="13"/>
      <c r="BV909" s="13"/>
      <c r="BY909" s="114"/>
    </row>
    <row r="910" spans="1:77" ht="19.5" x14ac:dyDescent="0.4">
      <c r="A910" s="117"/>
      <c r="B910" s="123"/>
      <c r="C910" s="123"/>
      <c r="D910" s="123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  <c r="AK910" s="115"/>
      <c r="AL910" s="127"/>
      <c r="AM910" s="29"/>
      <c r="AN910" s="115"/>
      <c r="AO910" s="115"/>
      <c r="AP910" s="115"/>
      <c r="AQ910" s="115"/>
      <c r="AR910" s="115"/>
      <c r="AS910" s="115"/>
      <c r="AT910" s="115"/>
      <c r="AU910" s="115"/>
      <c r="AV910" s="115"/>
      <c r="AW910" s="25">
        <v>45686</v>
      </c>
      <c r="AX910" s="15" t="s">
        <v>148</v>
      </c>
      <c r="BC910" s="117"/>
      <c r="BD910" s="123"/>
      <c r="BE910" s="123"/>
      <c r="BF910" s="123"/>
      <c r="BK910" s="115"/>
      <c r="BL910" s="115"/>
      <c r="BM910" s="115"/>
      <c r="BN910" s="115"/>
      <c r="BO910" s="115"/>
      <c r="BP910" s="115"/>
      <c r="BQ910" s="115"/>
      <c r="BR910" s="115"/>
      <c r="BS910" s="115"/>
      <c r="BT910" s="115"/>
      <c r="BU910" s="13"/>
      <c r="BV910" s="13"/>
      <c r="BY910" s="114"/>
    </row>
    <row r="911" spans="1:77" ht="19.5" x14ac:dyDescent="0.4">
      <c r="A911" s="117"/>
      <c r="B911" s="123"/>
      <c r="C911" s="123"/>
      <c r="D911" s="123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  <c r="AK911" s="115"/>
      <c r="AL911" s="127"/>
      <c r="AM911" s="29"/>
      <c r="AN911" s="115"/>
      <c r="AO911" s="115"/>
      <c r="AP911" s="115"/>
      <c r="AQ911" s="115"/>
      <c r="AR911" s="115"/>
      <c r="AS911" s="115"/>
      <c r="AT911" s="115"/>
      <c r="AU911" s="115"/>
      <c r="AV911" s="115"/>
      <c r="AW911" s="25">
        <v>45686</v>
      </c>
      <c r="AX911" s="15" t="s">
        <v>148</v>
      </c>
      <c r="BC911" s="117"/>
      <c r="BD911" s="123"/>
      <c r="BE911" s="123"/>
      <c r="BF911" s="123"/>
      <c r="BK911" s="115"/>
      <c r="BL911" s="115"/>
      <c r="BM911" s="115"/>
      <c r="BN911" s="115"/>
      <c r="BO911" s="115"/>
      <c r="BP911" s="115"/>
      <c r="BQ911" s="115"/>
      <c r="BR911" s="115"/>
      <c r="BS911" s="115"/>
      <c r="BT911" s="115"/>
      <c r="BU911" s="13"/>
      <c r="BV911" s="13"/>
      <c r="BY911" s="114"/>
    </row>
    <row r="912" spans="1:77" ht="19.5" x14ac:dyDescent="0.4">
      <c r="A912" s="117"/>
      <c r="B912" s="123"/>
      <c r="C912" s="123"/>
      <c r="D912" s="123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27"/>
      <c r="AM912" s="29"/>
      <c r="AN912" s="115"/>
      <c r="AO912" s="115"/>
      <c r="AP912" s="115"/>
      <c r="AQ912" s="115"/>
      <c r="AR912" s="115"/>
      <c r="AS912" s="115"/>
      <c r="AT912" s="115"/>
      <c r="AU912" s="115"/>
      <c r="AV912" s="115"/>
      <c r="AW912" s="25">
        <v>45686</v>
      </c>
      <c r="AX912" s="15" t="s">
        <v>148</v>
      </c>
      <c r="BC912" s="117"/>
      <c r="BD912" s="123"/>
      <c r="BE912" s="123"/>
      <c r="BF912" s="123"/>
      <c r="BK912" s="115"/>
      <c r="BL912" s="115"/>
      <c r="BM912" s="115"/>
      <c r="BN912" s="115"/>
      <c r="BO912" s="115"/>
      <c r="BP912" s="115"/>
      <c r="BQ912" s="115"/>
      <c r="BR912" s="115"/>
      <c r="BS912" s="115"/>
      <c r="BT912" s="115"/>
      <c r="BU912" s="13"/>
      <c r="BV912" s="13"/>
      <c r="BY912" s="114"/>
    </row>
    <row r="913" spans="1:77" ht="19.5" x14ac:dyDescent="0.4">
      <c r="A913" s="117"/>
      <c r="B913" s="123"/>
      <c r="C913" s="123"/>
      <c r="D913" s="123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  <c r="AK913" s="115"/>
      <c r="AL913" s="127"/>
      <c r="AM913" s="29"/>
      <c r="AN913" s="115"/>
      <c r="AO913" s="115"/>
      <c r="AP913" s="115"/>
      <c r="AQ913" s="115"/>
      <c r="AR913" s="115"/>
      <c r="AS913" s="115"/>
      <c r="AT913" s="115"/>
      <c r="AU913" s="115"/>
      <c r="AV913" s="115"/>
      <c r="AW913" s="25">
        <v>45686</v>
      </c>
      <c r="AX913" s="15" t="s">
        <v>146</v>
      </c>
      <c r="BC913" s="117"/>
      <c r="BD913" s="123"/>
      <c r="BE913" s="123"/>
      <c r="BF913" s="123"/>
      <c r="BK913" s="115"/>
      <c r="BL913" s="115"/>
      <c r="BM913" s="115"/>
      <c r="BN913" s="115"/>
      <c r="BO913" s="115"/>
      <c r="BP913" s="115"/>
      <c r="BQ913" s="115"/>
      <c r="BR913" s="115"/>
      <c r="BS913" s="115"/>
      <c r="BT913" s="115"/>
      <c r="BU913" s="13"/>
      <c r="BV913" s="13"/>
      <c r="BY913" s="114"/>
    </row>
    <row r="914" spans="1:77" ht="19.5" x14ac:dyDescent="0.4">
      <c r="A914" s="117"/>
      <c r="B914" s="123"/>
      <c r="C914" s="123"/>
      <c r="D914" s="123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  <c r="AK914" s="115"/>
      <c r="AL914" s="127"/>
      <c r="AM914" s="29"/>
      <c r="AN914" s="115"/>
      <c r="AO914" s="115"/>
      <c r="AP914" s="115"/>
      <c r="AQ914" s="115"/>
      <c r="AR914" s="115"/>
      <c r="AS914" s="115"/>
      <c r="AT914" s="115"/>
      <c r="AU914" s="115"/>
      <c r="AV914" s="115"/>
      <c r="AW914" s="25">
        <v>45686</v>
      </c>
      <c r="AX914" s="15" t="s">
        <v>148</v>
      </c>
      <c r="BC914" s="117"/>
      <c r="BD914" s="123"/>
      <c r="BE914" s="123"/>
      <c r="BF914" s="123"/>
      <c r="BK914" s="115"/>
      <c r="BL914" s="115"/>
      <c r="BM914" s="115"/>
      <c r="BN914" s="115"/>
      <c r="BO914" s="115"/>
      <c r="BP914" s="115"/>
      <c r="BQ914" s="115"/>
      <c r="BR914" s="115"/>
      <c r="BS914" s="115"/>
      <c r="BT914" s="115"/>
      <c r="BU914" s="13"/>
      <c r="BV914" s="13"/>
      <c r="BY914" s="114"/>
    </row>
    <row r="915" spans="1:77" ht="19.5" x14ac:dyDescent="0.4">
      <c r="A915" s="117"/>
      <c r="B915" s="123"/>
      <c r="C915" s="123"/>
      <c r="D915" s="123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  <c r="AK915" s="115"/>
      <c r="AL915" s="127"/>
      <c r="AM915" s="29"/>
      <c r="AN915" s="115"/>
      <c r="AO915" s="115"/>
      <c r="AP915" s="115"/>
      <c r="AQ915" s="115"/>
      <c r="AR915" s="115"/>
      <c r="AS915" s="115"/>
      <c r="AT915" s="115"/>
      <c r="AU915" s="115"/>
      <c r="AV915" s="115"/>
      <c r="AW915" s="25">
        <v>45689</v>
      </c>
      <c r="AX915" s="15" t="s">
        <v>147</v>
      </c>
      <c r="BC915" s="117"/>
      <c r="BD915" s="123"/>
      <c r="BE915" s="123"/>
      <c r="BF915" s="123"/>
      <c r="BK915" s="115"/>
      <c r="BL915" s="115"/>
      <c r="BM915" s="115"/>
      <c r="BN915" s="115"/>
      <c r="BO915" s="115"/>
      <c r="BP915" s="115"/>
      <c r="BQ915" s="115"/>
      <c r="BR915" s="115"/>
      <c r="BS915" s="115"/>
      <c r="BT915" s="115"/>
      <c r="BU915" s="13"/>
      <c r="BV915" s="13"/>
      <c r="BY915" s="114"/>
    </row>
    <row r="916" spans="1:77" ht="19.5" x14ac:dyDescent="0.4">
      <c r="A916" s="117"/>
      <c r="B916" s="123"/>
      <c r="C916" s="123"/>
      <c r="D916" s="123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15"/>
      <c r="AL916" s="127"/>
      <c r="AM916" s="29"/>
      <c r="AN916" s="115"/>
      <c r="AO916" s="115"/>
      <c r="AP916" s="115"/>
      <c r="AQ916" s="115"/>
      <c r="AR916" s="115"/>
      <c r="AS916" s="115"/>
      <c r="AT916" s="115"/>
      <c r="AU916" s="115"/>
      <c r="AV916" s="115"/>
      <c r="AW916" s="25"/>
      <c r="AX916" s="15"/>
      <c r="BC916" s="117"/>
      <c r="BD916" s="123"/>
      <c r="BE916" s="123"/>
      <c r="BF916" s="123"/>
      <c r="BK916" s="115"/>
      <c r="BL916" s="115"/>
      <c r="BM916" s="115"/>
      <c r="BN916" s="115"/>
      <c r="BO916" s="115"/>
      <c r="BP916" s="115"/>
      <c r="BQ916" s="115"/>
      <c r="BR916" s="115"/>
      <c r="BS916" s="115"/>
      <c r="BT916" s="115"/>
      <c r="BU916" s="13"/>
      <c r="BV916" s="13"/>
      <c r="BY916" s="114"/>
    </row>
    <row r="917" spans="1:77" ht="19.5" x14ac:dyDescent="0.4">
      <c r="A917" s="117"/>
      <c r="B917" s="123"/>
      <c r="C917" s="123"/>
      <c r="D917" s="123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27"/>
      <c r="AM917" s="29"/>
      <c r="AN917" s="115"/>
      <c r="AO917" s="115"/>
      <c r="AP917" s="115"/>
      <c r="AQ917" s="115"/>
      <c r="AR917" s="115"/>
      <c r="AS917" s="115"/>
      <c r="AT917" s="115"/>
      <c r="AU917" s="115"/>
      <c r="AV917" s="115"/>
      <c r="AW917" s="25">
        <v>45689</v>
      </c>
      <c r="AX917" s="15" t="s">
        <v>147</v>
      </c>
      <c r="BC917" s="117"/>
      <c r="BD917" s="123"/>
      <c r="BE917" s="123"/>
      <c r="BF917" s="123"/>
      <c r="BK917" s="115"/>
      <c r="BL917" s="115"/>
      <c r="BM917" s="115"/>
      <c r="BN917" s="115"/>
      <c r="BO917" s="115"/>
      <c r="BP917" s="115"/>
      <c r="BQ917" s="115"/>
      <c r="BR917" s="115"/>
      <c r="BS917" s="115"/>
      <c r="BT917" s="115"/>
      <c r="BU917" s="13"/>
      <c r="BV917" s="13"/>
      <c r="BY917" s="114"/>
    </row>
    <row r="918" spans="1:77" ht="19.5" x14ac:dyDescent="0.4">
      <c r="A918" s="117"/>
      <c r="B918" s="123"/>
      <c r="C918" s="123"/>
      <c r="D918" s="123"/>
      <c r="AL918" s="127"/>
      <c r="AM918" s="29"/>
      <c r="AW918" s="25">
        <v>45689</v>
      </c>
      <c r="AX918" s="15" t="s">
        <v>146</v>
      </c>
      <c r="BC918" s="117"/>
      <c r="BD918" s="123"/>
      <c r="BE918" s="123"/>
      <c r="BF918" s="123"/>
      <c r="BH918" s="115"/>
      <c r="BI918" s="115"/>
      <c r="BJ918" s="115"/>
      <c r="BK918" s="115"/>
      <c r="BL918" s="115"/>
      <c r="BM918" s="115"/>
      <c r="BN918" s="115"/>
      <c r="BO918" s="115"/>
      <c r="BP918" s="115"/>
      <c r="BQ918" s="115"/>
      <c r="BR918" s="115"/>
      <c r="BS918" s="115"/>
      <c r="BT918" s="115"/>
      <c r="BU918" s="25">
        <v>45266</v>
      </c>
      <c r="BV918" s="25" t="s">
        <v>162</v>
      </c>
      <c r="BY918" s="114"/>
    </row>
    <row r="919" spans="1:77" ht="19.5" x14ac:dyDescent="0.4">
      <c r="A919" s="117"/>
      <c r="B919" s="123"/>
      <c r="C919" s="123"/>
      <c r="D919" s="123"/>
      <c r="AL919" s="128"/>
      <c r="AM919" s="29"/>
      <c r="AW919" s="25"/>
      <c r="AX919" s="15"/>
      <c r="BC919" s="117"/>
      <c r="BD919" s="123"/>
      <c r="BE919" s="123"/>
      <c r="BF919" s="123"/>
      <c r="BH919" s="115"/>
      <c r="BI919" s="115"/>
      <c r="BJ919" s="115"/>
      <c r="BK919" s="115"/>
      <c r="BL919" s="115"/>
      <c r="BM919" s="115"/>
      <c r="BN919" s="115"/>
      <c r="BO919" s="115"/>
      <c r="BP919" s="115"/>
      <c r="BQ919" s="115"/>
      <c r="BR919" s="115"/>
      <c r="BS919" s="115"/>
      <c r="BT919" s="115"/>
      <c r="BU919" s="25"/>
      <c r="BV919" s="25"/>
      <c r="BY919" s="114"/>
    </row>
    <row r="920" spans="1:77" ht="19.5" x14ac:dyDescent="0.4">
      <c r="A920" s="117"/>
      <c r="B920" s="123"/>
      <c r="C920" s="123"/>
      <c r="D920" s="123"/>
      <c r="AL920" s="127"/>
      <c r="AM920" s="29"/>
      <c r="AN920" s="115"/>
      <c r="AO920" s="115"/>
      <c r="AP920" s="115"/>
      <c r="AQ920" s="115"/>
      <c r="AR920" s="115"/>
      <c r="AS920" s="115"/>
      <c r="AT920" s="115"/>
      <c r="AU920" s="115"/>
      <c r="AV920" s="115"/>
      <c r="AW920" s="25">
        <v>45689</v>
      </c>
      <c r="AX920" s="15" t="s">
        <v>146</v>
      </c>
      <c r="BC920" s="117"/>
      <c r="BD920" s="123"/>
      <c r="BE920" s="123"/>
      <c r="BF920" s="123"/>
      <c r="BH920" s="115"/>
      <c r="BI920" s="115"/>
      <c r="BJ920" s="115"/>
      <c r="BK920" s="115"/>
      <c r="BL920" s="115"/>
      <c r="BM920" s="115"/>
      <c r="BN920" s="115"/>
      <c r="BO920" s="115"/>
      <c r="BP920" s="115"/>
      <c r="BQ920" s="115"/>
      <c r="BR920" s="115"/>
      <c r="BS920" s="115"/>
      <c r="BT920" s="115"/>
      <c r="BU920" s="25"/>
      <c r="BV920" s="25"/>
      <c r="BY920" s="114"/>
    </row>
    <row r="921" spans="1:77" ht="19.5" x14ac:dyDescent="0.4">
      <c r="A921" s="117"/>
      <c r="B921" s="123"/>
      <c r="C921" s="123"/>
      <c r="D921" s="123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27"/>
      <c r="AM921" s="29"/>
      <c r="AN921" s="115"/>
      <c r="AO921" s="115"/>
      <c r="AP921" s="115"/>
      <c r="AQ921" s="115"/>
      <c r="AR921" s="115"/>
      <c r="AS921" s="115"/>
      <c r="AT921" s="115"/>
      <c r="AU921" s="115"/>
      <c r="AV921" s="115"/>
      <c r="AW921" s="25"/>
      <c r="AX921" s="15"/>
      <c r="BC921" s="117"/>
      <c r="BD921" s="123"/>
      <c r="BE921" s="123"/>
      <c r="BF921" s="123"/>
      <c r="BH921" s="115"/>
      <c r="BI921" s="115"/>
      <c r="BJ921" s="115"/>
      <c r="BK921" s="115"/>
      <c r="BL921" s="115"/>
      <c r="BM921" s="115"/>
      <c r="BN921" s="115"/>
      <c r="BO921" s="115"/>
      <c r="BP921" s="115"/>
      <c r="BQ921" s="115"/>
      <c r="BR921" s="115"/>
      <c r="BS921" s="115"/>
      <c r="BT921" s="115"/>
      <c r="BU921" s="25"/>
      <c r="BV921" s="25"/>
      <c r="BY921" s="114"/>
    </row>
    <row r="922" spans="1:77" ht="19.5" x14ac:dyDescent="0.4">
      <c r="A922" s="117"/>
      <c r="B922" s="123"/>
      <c r="C922" s="123"/>
      <c r="D922" s="123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27"/>
      <c r="AM922" s="29"/>
      <c r="AN922" s="115"/>
      <c r="AO922" s="115"/>
      <c r="AP922" s="115"/>
      <c r="AQ922" s="115"/>
      <c r="AR922" s="115"/>
      <c r="AS922" s="115"/>
      <c r="AT922" s="115"/>
      <c r="AU922" s="115"/>
      <c r="AV922" s="115"/>
      <c r="AW922" s="25"/>
      <c r="AX922" s="15"/>
      <c r="BC922" s="117"/>
      <c r="BD922" s="123"/>
      <c r="BE922" s="123"/>
      <c r="BF922" s="123"/>
      <c r="BH922" s="115"/>
      <c r="BI922" s="115"/>
      <c r="BJ922" s="115"/>
      <c r="BK922" s="115"/>
      <c r="BL922" s="115"/>
      <c r="BM922" s="115"/>
      <c r="BN922" s="115"/>
      <c r="BO922" s="115"/>
      <c r="BP922" s="115"/>
      <c r="BQ922" s="115"/>
      <c r="BR922" s="115"/>
      <c r="BS922" s="115"/>
      <c r="BT922" s="115"/>
      <c r="BU922" s="25"/>
      <c r="BV922" s="25"/>
      <c r="BY922" s="114"/>
    </row>
    <row r="923" spans="1:77" ht="19.5" x14ac:dyDescent="0.4">
      <c r="A923" s="117"/>
      <c r="B923" s="123"/>
      <c r="C923" s="123"/>
      <c r="D923" s="123"/>
      <c r="AL923" s="127"/>
      <c r="AM923" s="29"/>
      <c r="AN923" s="115"/>
      <c r="AO923" s="115"/>
      <c r="AP923" s="115"/>
      <c r="AQ923" s="115"/>
      <c r="AR923" s="115"/>
      <c r="AS923" s="115"/>
      <c r="AT923" s="115"/>
      <c r="AU923" s="115"/>
      <c r="AV923" s="115"/>
      <c r="AW923" s="25">
        <v>45690</v>
      </c>
      <c r="AX923" s="15" t="s">
        <v>146</v>
      </c>
      <c r="BC923" s="117"/>
      <c r="BD923" s="123"/>
      <c r="BE923" s="123"/>
      <c r="BF923" s="123"/>
      <c r="BH923" s="115"/>
      <c r="BI923" s="115"/>
      <c r="BJ923" s="115"/>
      <c r="BK923" s="115"/>
      <c r="BL923" s="115"/>
      <c r="BM923" s="115"/>
      <c r="BN923" s="115"/>
      <c r="BO923" s="115"/>
      <c r="BP923" s="115"/>
      <c r="BQ923" s="115"/>
      <c r="BR923" s="115"/>
      <c r="BS923" s="115"/>
      <c r="BT923" s="115"/>
      <c r="BU923" s="25"/>
      <c r="BV923" s="25"/>
      <c r="BY923" s="114"/>
    </row>
    <row r="924" spans="1:77" ht="19.5" x14ac:dyDescent="0.4">
      <c r="A924" s="117"/>
      <c r="B924" s="123"/>
      <c r="C924" s="123"/>
      <c r="D924" s="123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  <c r="AK924" s="115"/>
      <c r="AL924" s="127"/>
      <c r="AM924" s="29"/>
      <c r="AN924" s="115"/>
      <c r="AO924" s="115"/>
      <c r="AP924" s="115"/>
      <c r="AQ924" s="115"/>
      <c r="AR924" s="115"/>
      <c r="AS924" s="115"/>
      <c r="AT924" s="115"/>
      <c r="AU924" s="115"/>
      <c r="AV924" s="115"/>
      <c r="AW924" s="25"/>
      <c r="AX924" s="15"/>
      <c r="BC924" s="117"/>
      <c r="BD924" s="123"/>
      <c r="BE924" s="123"/>
      <c r="BF924" s="123"/>
      <c r="BH924" s="115"/>
      <c r="BI924" s="115"/>
      <c r="BJ924" s="115"/>
      <c r="BK924" s="115"/>
      <c r="BL924" s="115"/>
      <c r="BM924" s="115"/>
      <c r="BN924" s="115"/>
      <c r="BO924" s="115"/>
      <c r="BP924" s="115"/>
      <c r="BQ924" s="115"/>
      <c r="BR924" s="115"/>
      <c r="BS924" s="115"/>
      <c r="BT924" s="115"/>
      <c r="BU924" s="25"/>
      <c r="BV924" s="25"/>
      <c r="BY924" s="114"/>
    </row>
    <row r="925" spans="1:77" ht="19.5" x14ac:dyDescent="0.4">
      <c r="A925" s="117"/>
      <c r="B925" s="123"/>
      <c r="C925" s="123"/>
      <c r="D925" s="123"/>
      <c r="AL925" s="127"/>
      <c r="AM925" s="29"/>
      <c r="AN925" s="115"/>
      <c r="AO925" s="115"/>
      <c r="AP925" s="115"/>
      <c r="AQ925" s="115"/>
      <c r="AR925" s="115"/>
      <c r="AS925" s="115"/>
      <c r="AT925" s="115"/>
      <c r="AU925" s="115"/>
      <c r="AV925" s="115"/>
      <c r="AW925" s="25">
        <v>45691</v>
      </c>
      <c r="AX925" s="15" t="s">
        <v>146</v>
      </c>
      <c r="BC925" s="117"/>
      <c r="BD925" s="123"/>
      <c r="BE925" s="123"/>
      <c r="BF925" s="123"/>
      <c r="BH925" s="115"/>
      <c r="BI925" s="115"/>
      <c r="BJ925" s="115"/>
      <c r="BK925" s="115"/>
      <c r="BL925" s="115"/>
      <c r="BM925" s="115"/>
      <c r="BN925" s="115"/>
      <c r="BO925" s="115"/>
      <c r="BP925" s="115"/>
      <c r="BQ925" s="115"/>
      <c r="BR925" s="115"/>
      <c r="BS925" s="115"/>
      <c r="BT925" s="115"/>
      <c r="BU925" s="25"/>
      <c r="BV925" s="25"/>
      <c r="BY925" s="114"/>
    </row>
    <row r="926" spans="1:77" ht="19.5" x14ac:dyDescent="0.4">
      <c r="A926" s="117"/>
      <c r="B926" s="123"/>
      <c r="C926" s="123"/>
      <c r="D926" s="123"/>
      <c r="AL926" s="127"/>
      <c r="AM926" s="29"/>
      <c r="AW926" s="25">
        <v>45691</v>
      </c>
      <c r="AX926" s="15" t="s">
        <v>146</v>
      </c>
      <c r="BC926" s="117"/>
      <c r="BD926" s="123"/>
      <c r="BE926" s="123"/>
      <c r="BF926" s="123"/>
      <c r="BH926" s="115"/>
      <c r="BI926" s="115"/>
      <c r="BJ926" s="115"/>
      <c r="BK926" s="115"/>
      <c r="BL926" s="115"/>
      <c r="BM926" s="115"/>
      <c r="BN926" s="115"/>
      <c r="BO926" s="115"/>
      <c r="BP926" s="115"/>
      <c r="BQ926" s="115"/>
      <c r="BR926" s="115"/>
      <c r="BS926" s="115"/>
      <c r="BT926" s="115" t="s">
        <v>156</v>
      </c>
      <c r="BU926" s="13">
        <f>SUBTOTAL(3,BU918:BU918)</f>
        <v>1</v>
      </c>
      <c r="BV926" s="13">
        <f>SUBTOTAL(3,BV918:BV918)</f>
        <v>1</v>
      </c>
      <c r="BY926" s="114"/>
    </row>
    <row r="927" spans="1:77" ht="19.5" x14ac:dyDescent="0.4">
      <c r="A927" s="117"/>
      <c r="B927" s="123"/>
      <c r="C927" s="123"/>
      <c r="D927" s="123"/>
      <c r="AL927" s="127"/>
      <c r="AM927" s="29"/>
      <c r="AS927" s="115"/>
      <c r="AT927" s="115"/>
      <c r="AU927" s="115"/>
      <c r="AV927" s="115"/>
      <c r="AW927" s="25">
        <v>45691</v>
      </c>
      <c r="AX927" s="15" t="s">
        <v>146</v>
      </c>
      <c r="BC927" s="117"/>
      <c r="BD927" s="123"/>
      <c r="BE927" s="123"/>
      <c r="BF927" s="123"/>
      <c r="BH927" s="115"/>
      <c r="BI927" s="115"/>
      <c r="BJ927" s="115"/>
      <c r="BK927" s="115"/>
      <c r="BL927" s="115"/>
      <c r="BM927" s="115"/>
      <c r="BN927" s="115"/>
      <c r="BO927" s="115"/>
      <c r="BP927" s="115"/>
      <c r="BQ927" s="115"/>
      <c r="BR927" s="115"/>
      <c r="BS927" s="115"/>
      <c r="BT927" s="115"/>
      <c r="BU927" s="13"/>
      <c r="BV927" s="13"/>
      <c r="BY927" s="114"/>
    </row>
    <row r="928" spans="1:77" ht="19.5" x14ac:dyDescent="0.4">
      <c r="A928" s="117"/>
      <c r="B928" s="123"/>
      <c r="C928" s="123"/>
      <c r="D928" s="123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15"/>
      <c r="AL928" s="127"/>
      <c r="AM928" s="29"/>
      <c r="AS928" s="115"/>
      <c r="AT928" s="115"/>
      <c r="AU928" s="115"/>
      <c r="AV928" s="115"/>
      <c r="AW928" s="25"/>
      <c r="AX928" s="15"/>
      <c r="BC928" s="117"/>
      <c r="BD928" s="123"/>
      <c r="BE928" s="123"/>
      <c r="BF928" s="123"/>
      <c r="BH928" s="115"/>
      <c r="BI928" s="115"/>
      <c r="BJ928" s="115"/>
      <c r="BK928" s="115"/>
      <c r="BL928" s="115"/>
      <c r="BM928" s="115"/>
      <c r="BN928" s="115"/>
      <c r="BO928" s="115"/>
      <c r="BP928" s="115"/>
      <c r="BQ928" s="115"/>
      <c r="BR928" s="115"/>
      <c r="BS928" s="115"/>
      <c r="BT928" s="115"/>
      <c r="BU928" s="13"/>
      <c r="BV928" s="13"/>
      <c r="BY928" s="114"/>
    </row>
    <row r="929" spans="1:77" ht="19.5" x14ac:dyDescent="0.4">
      <c r="A929" s="117"/>
      <c r="B929" s="123"/>
      <c r="C929" s="123"/>
      <c r="D929" s="123"/>
      <c r="AL929" s="127"/>
      <c r="AM929" s="29"/>
      <c r="AN929" s="115"/>
      <c r="AO929" s="115"/>
      <c r="AP929" s="115"/>
      <c r="AQ929" s="115"/>
      <c r="AR929" s="115"/>
      <c r="AS929" s="115"/>
      <c r="AT929" s="115"/>
      <c r="AU929" s="115"/>
      <c r="AV929" s="115"/>
      <c r="AW929" s="25">
        <v>45691</v>
      </c>
      <c r="AX929" s="15" t="s">
        <v>146</v>
      </c>
      <c r="BC929" s="117"/>
      <c r="BD929" s="123"/>
      <c r="BE929" s="123"/>
      <c r="BF929" s="123"/>
      <c r="BH929" s="115"/>
      <c r="BI929" s="115"/>
      <c r="BJ929" s="115"/>
      <c r="BK929" s="115"/>
      <c r="BL929" s="115"/>
      <c r="BM929" s="115"/>
      <c r="BN929" s="115"/>
      <c r="BO929" s="115"/>
      <c r="BP929" s="115"/>
      <c r="BQ929" s="115"/>
      <c r="BR929" s="115"/>
      <c r="BS929" s="115"/>
      <c r="BT929" s="115"/>
      <c r="BU929" s="13"/>
      <c r="BV929" s="13"/>
      <c r="BY929" s="114"/>
    </row>
    <row r="930" spans="1:77" ht="19.5" x14ac:dyDescent="0.4">
      <c r="A930" s="117"/>
      <c r="B930" s="123"/>
      <c r="C930" s="123"/>
      <c r="D930" s="123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  <c r="AK930" s="115"/>
      <c r="AL930" s="127"/>
      <c r="AM930" s="29"/>
      <c r="AN930" s="115"/>
      <c r="AO930" s="115"/>
      <c r="AP930" s="115"/>
      <c r="AQ930" s="115"/>
      <c r="AR930" s="115"/>
      <c r="AS930" s="115"/>
      <c r="AT930" s="115"/>
      <c r="AU930" s="115"/>
      <c r="AV930" s="115"/>
      <c r="AW930" s="25"/>
      <c r="AX930" s="15"/>
      <c r="BC930" s="117"/>
      <c r="BD930" s="123"/>
      <c r="BE930" s="123"/>
      <c r="BF930" s="123"/>
      <c r="BH930" s="115"/>
      <c r="BI930" s="115"/>
      <c r="BJ930" s="115"/>
      <c r="BK930" s="115"/>
      <c r="BL930" s="115"/>
      <c r="BM930" s="115"/>
      <c r="BN930" s="115"/>
      <c r="BO930" s="115"/>
      <c r="BP930" s="115"/>
      <c r="BQ930" s="115"/>
      <c r="BR930" s="115"/>
      <c r="BS930" s="115"/>
      <c r="BT930" s="115"/>
      <c r="BU930" s="13"/>
      <c r="BV930" s="13"/>
      <c r="BY930" s="114"/>
    </row>
    <row r="931" spans="1:77" ht="19.5" x14ac:dyDescent="0.4">
      <c r="A931" s="117"/>
      <c r="B931" s="123"/>
      <c r="C931" s="123"/>
      <c r="D931" s="123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  <c r="AK931" s="115"/>
      <c r="AL931" s="127"/>
      <c r="AM931" s="29"/>
      <c r="AN931" s="115"/>
      <c r="AO931" s="115"/>
      <c r="AP931" s="115"/>
      <c r="AQ931" s="115"/>
      <c r="AR931" s="115"/>
      <c r="AS931" s="115"/>
      <c r="AT931" s="115"/>
      <c r="AU931" s="115"/>
      <c r="AV931" s="115"/>
      <c r="AW931" s="25"/>
      <c r="AX931" s="15"/>
      <c r="BC931" s="117"/>
      <c r="BD931" s="123"/>
      <c r="BE931" s="123"/>
      <c r="BF931" s="123"/>
      <c r="BH931" s="115"/>
      <c r="BI931" s="115"/>
      <c r="BJ931" s="115"/>
      <c r="BK931" s="115"/>
      <c r="BL931" s="115"/>
      <c r="BM931" s="115"/>
      <c r="BN931" s="115"/>
      <c r="BO931" s="115"/>
      <c r="BP931" s="115"/>
      <c r="BQ931" s="115"/>
      <c r="BR931" s="115"/>
      <c r="BS931" s="115"/>
      <c r="BT931" s="115"/>
      <c r="BU931" s="13"/>
      <c r="BV931" s="13"/>
      <c r="BY931" s="114"/>
    </row>
    <row r="932" spans="1:77" ht="19.5" x14ac:dyDescent="0.4">
      <c r="A932" s="117"/>
      <c r="B932" s="123"/>
      <c r="C932" s="123"/>
      <c r="D932" s="123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115"/>
      <c r="AL932" s="127"/>
      <c r="AM932" s="29"/>
      <c r="AN932" s="115"/>
      <c r="AO932" s="115"/>
      <c r="AP932" s="115"/>
      <c r="AQ932" s="115"/>
      <c r="AR932" s="115"/>
      <c r="AS932" s="115"/>
      <c r="AT932" s="115"/>
      <c r="AU932" s="115"/>
      <c r="AV932" s="115"/>
      <c r="AW932" s="25"/>
      <c r="AX932" s="15"/>
      <c r="BC932" s="117"/>
      <c r="BD932" s="123"/>
      <c r="BE932" s="123"/>
      <c r="BF932" s="123"/>
      <c r="BH932" s="115"/>
      <c r="BI932" s="115"/>
      <c r="BJ932" s="115"/>
      <c r="BK932" s="115"/>
      <c r="BL932" s="115"/>
      <c r="BM932" s="115"/>
      <c r="BN932" s="115"/>
      <c r="BO932" s="115"/>
      <c r="BP932" s="115"/>
      <c r="BQ932" s="115"/>
      <c r="BR932" s="115"/>
      <c r="BS932" s="115"/>
      <c r="BT932" s="115"/>
      <c r="BU932" s="13"/>
      <c r="BV932" s="13"/>
      <c r="BY932" s="114"/>
    </row>
    <row r="933" spans="1:77" ht="19.5" x14ac:dyDescent="0.4">
      <c r="A933" s="117"/>
      <c r="B933" s="123"/>
      <c r="C933" s="123"/>
      <c r="D933" s="123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  <c r="AK933" s="115"/>
      <c r="AL933" s="128"/>
      <c r="AM933" s="29"/>
      <c r="AN933" s="115"/>
      <c r="AO933" s="115"/>
      <c r="AP933" s="115"/>
      <c r="AQ933" s="115"/>
      <c r="AR933" s="115"/>
      <c r="AS933" s="115"/>
      <c r="AT933" s="115"/>
      <c r="AU933" s="115"/>
      <c r="AV933" s="115"/>
      <c r="AW933" s="25"/>
      <c r="AX933" s="15"/>
      <c r="BC933" s="117"/>
      <c r="BD933" s="123"/>
      <c r="BE933" s="123"/>
      <c r="BF933" s="123"/>
      <c r="BH933" s="115"/>
      <c r="BI933" s="115"/>
      <c r="BJ933" s="115"/>
      <c r="BK933" s="115"/>
      <c r="BL933" s="115"/>
      <c r="BM933" s="115"/>
      <c r="BN933" s="115"/>
      <c r="BO933" s="115"/>
      <c r="BP933" s="115"/>
      <c r="BQ933" s="115"/>
      <c r="BR933" s="115"/>
      <c r="BS933" s="115"/>
      <c r="BT933" s="115"/>
      <c r="BU933" s="13"/>
      <c r="BV933" s="13"/>
      <c r="BY933" s="114"/>
    </row>
    <row r="934" spans="1:77" ht="19.5" x14ac:dyDescent="0.4">
      <c r="A934" s="117"/>
      <c r="B934" s="123"/>
      <c r="C934" s="123"/>
      <c r="D934" s="123"/>
      <c r="AL934" s="127"/>
      <c r="AM934" s="29"/>
      <c r="AN934" s="115"/>
      <c r="AO934" s="115"/>
      <c r="AP934" s="115"/>
      <c r="AQ934" s="115"/>
      <c r="AR934" s="115"/>
      <c r="AS934" s="115"/>
      <c r="AT934" s="115"/>
      <c r="AU934" s="115"/>
      <c r="AV934" s="115"/>
      <c r="AW934" s="25">
        <v>45692</v>
      </c>
      <c r="AX934" s="15" t="s">
        <v>146</v>
      </c>
      <c r="BC934" s="117"/>
      <c r="BD934" s="123"/>
      <c r="BE934" s="123"/>
      <c r="BF934" s="123"/>
      <c r="BH934" s="115"/>
      <c r="BI934" s="115"/>
      <c r="BJ934" s="115"/>
      <c r="BK934" s="115"/>
      <c r="BL934" s="115"/>
      <c r="BM934" s="115"/>
      <c r="BN934" s="115"/>
      <c r="BO934" s="115"/>
      <c r="BP934" s="115"/>
      <c r="BQ934" s="115"/>
      <c r="BR934" s="115"/>
      <c r="BS934" s="115"/>
      <c r="BT934" s="115"/>
      <c r="BU934" s="13"/>
      <c r="BV934" s="13"/>
      <c r="BY934" s="114"/>
    </row>
    <row r="935" spans="1:77" ht="19.5" x14ac:dyDescent="0.4">
      <c r="A935" s="117"/>
      <c r="B935" s="123"/>
      <c r="C935" s="123"/>
      <c r="D935" s="123"/>
      <c r="AL935" s="128"/>
      <c r="AM935" s="29"/>
      <c r="AN935" s="115"/>
      <c r="AO935" s="115"/>
      <c r="AP935" s="115"/>
      <c r="AQ935" s="115"/>
      <c r="AR935" s="115"/>
      <c r="AS935" s="115"/>
      <c r="AT935" s="115"/>
      <c r="AU935" s="115"/>
      <c r="AV935" s="115"/>
      <c r="AW935" s="25"/>
      <c r="AX935" s="15"/>
      <c r="BC935" s="117"/>
      <c r="BD935" s="123"/>
      <c r="BE935" s="123"/>
      <c r="BF935" s="123"/>
      <c r="BH935" s="115"/>
      <c r="BI935" s="115"/>
      <c r="BJ935" s="115"/>
      <c r="BK935" s="115"/>
      <c r="BL935" s="115"/>
      <c r="BM935" s="115"/>
      <c r="BN935" s="115"/>
      <c r="BO935" s="115"/>
      <c r="BP935" s="115"/>
      <c r="BQ935" s="115"/>
      <c r="BR935" s="115"/>
      <c r="BS935" s="115"/>
      <c r="BT935" s="115"/>
      <c r="BU935" s="13"/>
      <c r="BV935" s="13"/>
      <c r="BY935" s="114"/>
    </row>
    <row r="936" spans="1:77" ht="19.5" x14ac:dyDescent="0.4">
      <c r="A936" s="117"/>
      <c r="B936" s="123"/>
      <c r="C936" s="123"/>
      <c r="D936" s="123"/>
      <c r="AL936" s="127"/>
      <c r="AM936" s="29"/>
      <c r="AW936" s="25">
        <v>45692</v>
      </c>
      <c r="AX936" s="15" t="s">
        <v>146</v>
      </c>
      <c r="BC936" s="117"/>
      <c r="BD936" s="123"/>
      <c r="BE936" s="123"/>
      <c r="BF936" s="123"/>
      <c r="BH936" s="115"/>
      <c r="BI936" s="115"/>
      <c r="BJ936" s="115"/>
      <c r="BK936" s="115"/>
      <c r="BL936" s="115"/>
      <c r="BM936" s="115"/>
      <c r="BN936" s="115"/>
      <c r="BO936" s="115"/>
      <c r="BP936" s="115"/>
      <c r="BQ936" s="115"/>
      <c r="BR936" s="115"/>
      <c r="BS936" s="115"/>
      <c r="BT936" s="115"/>
      <c r="BU936" s="25">
        <v>45267</v>
      </c>
      <c r="BV936" s="13" t="s">
        <v>142</v>
      </c>
      <c r="BY936" s="114"/>
    </row>
    <row r="937" spans="1:77" ht="19.5" x14ac:dyDescent="0.4">
      <c r="A937" s="117"/>
      <c r="B937" s="123"/>
      <c r="C937" s="123"/>
      <c r="D937" s="123"/>
      <c r="AL937" s="127"/>
      <c r="AM937" s="29"/>
      <c r="AS937" s="115"/>
      <c r="AT937" s="115"/>
      <c r="AU937" s="115"/>
      <c r="AV937" s="115"/>
      <c r="AW937" s="25">
        <v>45692</v>
      </c>
      <c r="AX937" s="15" t="s">
        <v>146</v>
      </c>
      <c r="BC937" s="117"/>
      <c r="BD937" s="123"/>
      <c r="BE937" s="123"/>
      <c r="BF937" s="123"/>
      <c r="BH937" s="115"/>
      <c r="BI937" s="115"/>
      <c r="BJ937" s="115"/>
      <c r="BK937" s="115"/>
      <c r="BL937" s="115"/>
      <c r="BM937" s="115"/>
      <c r="BN937" s="115"/>
      <c r="BO937" s="115"/>
      <c r="BP937" s="115"/>
      <c r="BQ937" s="115"/>
      <c r="BR937" s="115"/>
      <c r="BS937" s="115"/>
      <c r="BT937" s="115"/>
      <c r="BU937" s="25"/>
      <c r="BV937" s="13"/>
      <c r="BY937" s="114"/>
    </row>
    <row r="938" spans="1:77" ht="19.5" x14ac:dyDescent="0.4">
      <c r="A938" s="117"/>
      <c r="B938" s="123"/>
      <c r="C938" s="123"/>
      <c r="D938" s="123"/>
      <c r="AL938" s="127"/>
      <c r="AM938" s="29"/>
      <c r="AO938" s="115"/>
      <c r="AP938" s="115"/>
      <c r="AQ938" s="115"/>
      <c r="AR938" s="115"/>
      <c r="AS938" s="115"/>
      <c r="AT938" s="115"/>
      <c r="AU938" s="115"/>
      <c r="AV938" s="115"/>
      <c r="AW938" s="25">
        <v>45692</v>
      </c>
      <c r="AX938" s="15" t="s">
        <v>146</v>
      </c>
      <c r="BC938" s="117"/>
      <c r="BD938" s="123"/>
      <c r="BE938" s="123"/>
      <c r="BF938" s="123"/>
      <c r="BH938" s="115"/>
      <c r="BI938" s="115"/>
      <c r="BJ938" s="115"/>
      <c r="BK938" s="115"/>
      <c r="BL938" s="115"/>
      <c r="BM938" s="115"/>
      <c r="BN938" s="115"/>
      <c r="BO938" s="115"/>
      <c r="BP938" s="115"/>
      <c r="BQ938" s="115"/>
      <c r="BR938" s="115"/>
      <c r="BS938" s="115"/>
      <c r="BT938" s="115"/>
      <c r="BU938" s="25"/>
      <c r="BV938" s="13"/>
      <c r="BY938" s="114"/>
    </row>
    <row r="939" spans="1:77" ht="19.5" x14ac:dyDescent="0.4">
      <c r="A939" s="117"/>
      <c r="B939" s="123"/>
      <c r="C939" s="123"/>
      <c r="D939" s="123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27"/>
      <c r="AM939" s="29"/>
      <c r="AO939" s="115"/>
      <c r="AP939" s="115"/>
      <c r="AQ939" s="115"/>
      <c r="AR939" s="115"/>
      <c r="AS939" s="115"/>
      <c r="AT939" s="115"/>
      <c r="AU939" s="115"/>
      <c r="AV939" s="115"/>
      <c r="AW939" s="25"/>
      <c r="AX939" s="15"/>
      <c r="BC939" s="117"/>
      <c r="BD939" s="123"/>
      <c r="BE939" s="123"/>
      <c r="BF939" s="123"/>
      <c r="BH939" s="115"/>
      <c r="BI939" s="115"/>
      <c r="BJ939" s="115"/>
      <c r="BK939" s="115"/>
      <c r="BL939" s="115"/>
      <c r="BM939" s="115"/>
      <c r="BN939" s="115"/>
      <c r="BO939" s="115"/>
      <c r="BP939" s="115"/>
      <c r="BQ939" s="115"/>
      <c r="BR939" s="115"/>
      <c r="BS939" s="115"/>
      <c r="BT939" s="115"/>
      <c r="BU939" s="25"/>
      <c r="BV939" s="13"/>
      <c r="BY939" s="114"/>
    </row>
    <row r="940" spans="1:77" ht="19.5" x14ac:dyDescent="0.4">
      <c r="A940" s="117"/>
      <c r="B940" s="123"/>
      <c r="C940" s="123"/>
      <c r="D940" s="123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28"/>
      <c r="AM940" s="29"/>
      <c r="AO940" s="115"/>
      <c r="AP940" s="115"/>
      <c r="AQ940" s="115"/>
      <c r="AR940" s="115"/>
      <c r="AS940" s="115"/>
      <c r="AT940" s="115"/>
      <c r="AU940" s="115"/>
      <c r="AV940" s="115"/>
      <c r="AW940" s="25"/>
      <c r="AX940" s="15"/>
      <c r="BC940" s="117"/>
      <c r="BD940" s="123"/>
      <c r="BE940" s="123"/>
      <c r="BF940" s="123"/>
      <c r="BH940" s="115"/>
      <c r="BI940" s="115"/>
      <c r="BJ940" s="115"/>
      <c r="BK940" s="115"/>
      <c r="BL940" s="115"/>
      <c r="BM940" s="115"/>
      <c r="BN940" s="115"/>
      <c r="BO940" s="115"/>
      <c r="BP940" s="115"/>
      <c r="BQ940" s="115"/>
      <c r="BR940" s="115"/>
      <c r="BS940" s="115"/>
      <c r="BT940" s="115"/>
      <c r="BU940" s="25"/>
      <c r="BV940" s="13"/>
      <c r="BY940" s="114"/>
    </row>
    <row r="941" spans="1:77" ht="19.5" x14ac:dyDescent="0.4">
      <c r="A941" s="117"/>
      <c r="B941" s="123"/>
      <c r="C941" s="123"/>
      <c r="D941" s="123"/>
      <c r="AL941" s="127"/>
      <c r="AM941" s="29"/>
      <c r="AN941" s="115"/>
      <c r="AO941" s="115"/>
      <c r="AP941" s="115"/>
      <c r="AQ941" s="115"/>
      <c r="AR941" s="115"/>
      <c r="AS941" s="115"/>
      <c r="AT941" s="115"/>
      <c r="AU941" s="115"/>
      <c r="AV941" s="115"/>
      <c r="AW941" s="25">
        <v>45693</v>
      </c>
      <c r="AX941" s="15" t="s">
        <v>146</v>
      </c>
      <c r="BC941" s="117"/>
      <c r="BD941" s="123"/>
      <c r="BE941" s="123"/>
      <c r="BF941" s="123"/>
      <c r="BH941" s="115"/>
      <c r="BI941" s="115"/>
      <c r="BJ941" s="115"/>
      <c r="BK941" s="115"/>
      <c r="BL941" s="115"/>
      <c r="BM941" s="115"/>
      <c r="BN941" s="115"/>
      <c r="BO941" s="115"/>
      <c r="BP941" s="115"/>
      <c r="BQ941" s="115"/>
      <c r="BR941" s="115"/>
      <c r="BS941" s="115"/>
      <c r="BT941" s="115"/>
      <c r="BU941" s="25"/>
      <c r="BV941" s="13"/>
      <c r="BY941" s="114"/>
    </row>
    <row r="942" spans="1:77" ht="19.5" x14ac:dyDescent="0.4">
      <c r="A942" s="117"/>
      <c r="B942" s="123"/>
      <c r="C942" s="123"/>
      <c r="D942" s="123"/>
      <c r="AL942" s="128"/>
      <c r="AM942" s="29"/>
      <c r="AN942" s="115"/>
      <c r="AO942" s="115"/>
      <c r="AP942" s="115"/>
      <c r="AQ942" s="115"/>
      <c r="AR942" s="115"/>
      <c r="AS942" s="115"/>
      <c r="AT942" s="115"/>
      <c r="AU942" s="115"/>
      <c r="AV942" s="115"/>
      <c r="AW942" s="25"/>
      <c r="AX942" s="15"/>
      <c r="BC942" s="117"/>
      <c r="BD942" s="123"/>
      <c r="BE942" s="123"/>
      <c r="BF942" s="123"/>
      <c r="BH942" s="115"/>
      <c r="BI942" s="115"/>
      <c r="BJ942" s="115"/>
      <c r="BK942" s="115"/>
      <c r="BL942" s="115"/>
      <c r="BM942" s="115"/>
      <c r="BN942" s="115"/>
      <c r="BO942" s="115"/>
      <c r="BP942" s="115"/>
      <c r="BQ942" s="115"/>
      <c r="BR942" s="115"/>
      <c r="BS942" s="115"/>
      <c r="BT942" s="115"/>
      <c r="BU942" s="25"/>
      <c r="BV942" s="13"/>
      <c r="BY942" s="114"/>
    </row>
    <row r="943" spans="1:77" ht="19.5" x14ac:dyDescent="0.4">
      <c r="A943" s="117"/>
      <c r="B943" s="123"/>
      <c r="C943" s="123"/>
      <c r="D943" s="123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127"/>
      <c r="AM943" s="29"/>
      <c r="AN943" s="115"/>
      <c r="AO943" s="115"/>
      <c r="AP943" s="115"/>
      <c r="AQ943" s="115"/>
      <c r="AR943" s="115"/>
      <c r="AS943" s="115"/>
      <c r="AT943" s="115"/>
      <c r="AU943" s="115"/>
      <c r="AV943" s="115"/>
      <c r="AW943" s="25"/>
      <c r="AX943" s="15"/>
      <c r="BC943" s="117"/>
      <c r="BD943" s="123"/>
      <c r="BE943" s="123"/>
      <c r="BF943" s="123"/>
      <c r="BH943" s="115"/>
      <c r="BI943" s="115"/>
      <c r="BJ943" s="115"/>
      <c r="BK943" s="115"/>
      <c r="BL943" s="115"/>
      <c r="BM943" s="115"/>
      <c r="BN943" s="115"/>
      <c r="BO943" s="115"/>
      <c r="BP943" s="115"/>
      <c r="BQ943" s="115"/>
      <c r="BR943" s="115"/>
      <c r="BS943" s="115"/>
      <c r="BT943" s="115"/>
      <c r="BU943" s="25"/>
      <c r="BV943" s="13"/>
      <c r="BY943" s="114"/>
    </row>
    <row r="944" spans="1:77" ht="19.5" x14ac:dyDescent="0.4">
      <c r="A944" s="117"/>
      <c r="B944" s="123"/>
      <c r="C944" s="123"/>
      <c r="D944" s="123"/>
      <c r="AL944" s="127"/>
      <c r="AM944" s="29"/>
      <c r="AW944" s="25">
        <v>45693</v>
      </c>
      <c r="AX944" s="15" t="s">
        <v>146</v>
      </c>
      <c r="BC944" s="117"/>
      <c r="BD944" s="123"/>
      <c r="BE944" s="123"/>
      <c r="BF944" s="123"/>
      <c r="BH944" s="115"/>
      <c r="BI944" s="115"/>
      <c r="BJ944" s="115"/>
      <c r="BK944" s="115"/>
      <c r="BL944" s="115"/>
      <c r="BM944" s="115"/>
      <c r="BN944" s="115"/>
      <c r="BO944" s="115"/>
      <c r="BP944" s="115"/>
      <c r="BQ944" s="115"/>
      <c r="BR944" s="115"/>
      <c r="BS944" s="115"/>
      <c r="BT944" s="115" t="s">
        <v>157</v>
      </c>
      <c r="BU944" s="13">
        <f>SUBTOTAL(3,BU936:BU936)</f>
        <v>1</v>
      </c>
      <c r="BV944" s="13">
        <f>SUBTOTAL(3,BV936:BV936)</f>
        <v>1</v>
      </c>
      <c r="BY944" s="114"/>
    </row>
    <row r="945" spans="1:77" ht="19.5" x14ac:dyDescent="0.4">
      <c r="A945" s="117"/>
      <c r="B945" s="123"/>
      <c r="C945" s="123"/>
      <c r="D945" s="123"/>
      <c r="AL945" s="127"/>
      <c r="AM945" s="29"/>
      <c r="AO945" s="115"/>
      <c r="AP945" s="115"/>
      <c r="AQ945" s="115"/>
      <c r="AR945" s="115"/>
      <c r="AS945" s="115"/>
      <c r="AT945" s="115"/>
      <c r="AU945" s="115"/>
      <c r="AV945" s="115"/>
      <c r="AW945" s="25">
        <v>45693</v>
      </c>
      <c r="AX945" s="15" t="s">
        <v>146</v>
      </c>
      <c r="BC945" s="117"/>
      <c r="BD945" s="123"/>
      <c r="BE945" s="123"/>
      <c r="BF945" s="123"/>
      <c r="BH945" s="115"/>
      <c r="BI945" s="115"/>
      <c r="BJ945" s="115"/>
      <c r="BK945" s="115"/>
      <c r="BL945" s="115"/>
      <c r="BM945" s="115"/>
      <c r="BN945" s="115"/>
      <c r="BO945" s="115"/>
      <c r="BP945" s="115"/>
      <c r="BQ945" s="115"/>
      <c r="BR945" s="115"/>
      <c r="BS945" s="115"/>
      <c r="BT945" s="115"/>
      <c r="BU945" s="13"/>
      <c r="BV945" s="13"/>
      <c r="BY945" s="114"/>
    </row>
    <row r="946" spans="1:77" ht="19.5" x14ac:dyDescent="0.4">
      <c r="A946" s="117"/>
      <c r="B946" s="123"/>
      <c r="C946" s="123"/>
      <c r="D946" s="123"/>
      <c r="AL946" s="128"/>
      <c r="AM946" s="29"/>
      <c r="AO946" s="115"/>
      <c r="AP946" s="115"/>
      <c r="AQ946" s="115"/>
      <c r="AR946" s="115"/>
      <c r="AS946" s="115"/>
      <c r="AT946" s="115"/>
      <c r="AU946" s="115"/>
      <c r="AV946" s="115"/>
      <c r="AW946" s="25"/>
      <c r="AX946" s="15"/>
      <c r="BC946" s="117"/>
      <c r="BD946" s="123"/>
      <c r="BE946" s="123"/>
      <c r="BF946" s="123"/>
      <c r="BH946" s="115"/>
      <c r="BI946" s="115"/>
      <c r="BJ946" s="115"/>
      <c r="BK946" s="115"/>
      <c r="BL946" s="115"/>
      <c r="BM946" s="115"/>
      <c r="BN946" s="115"/>
      <c r="BO946" s="115"/>
      <c r="BP946" s="115"/>
      <c r="BQ946" s="115"/>
      <c r="BR946" s="115"/>
      <c r="BS946" s="115"/>
      <c r="BT946" s="115"/>
      <c r="BU946" s="13"/>
      <c r="BV946" s="13"/>
      <c r="BY946" s="114"/>
    </row>
    <row r="947" spans="1:77" ht="19.5" x14ac:dyDescent="0.4">
      <c r="A947" s="117"/>
      <c r="B947" s="123"/>
      <c r="C947" s="123"/>
      <c r="D947" s="123"/>
      <c r="AL947" s="128"/>
      <c r="AM947" s="29"/>
      <c r="AO947" s="115"/>
      <c r="AP947" s="115"/>
      <c r="AQ947" s="115"/>
      <c r="AR947" s="115"/>
      <c r="AS947" s="115"/>
      <c r="AT947" s="115"/>
      <c r="AU947" s="115"/>
      <c r="AV947" s="115"/>
      <c r="AW947" s="25"/>
      <c r="AX947" s="15"/>
      <c r="BC947" s="117"/>
      <c r="BD947" s="123"/>
      <c r="BE947" s="123"/>
      <c r="BF947" s="123"/>
      <c r="BH947" s="115"/>
      <c r="BI947" s="115"/>
      <c r="BJ947" s="115"/>
      <c r="BK947" s="115"/>
      <c r="BL947" s="115"/>
      <c r="BM947" s="115"/>
      <c r="BN947" s="115"/>
      <c r="BO947" s="115"/>
      <c r="BP947" s="115"/>
      <c r="BQ947" s="115"/>
      <c r="BR947" s="115"/>
      <c r="BS947" s="115"/>
      <c r="BT947" s="115"/>
      <c r="BU947" s="13"/>
      <c r="BV947" s="13"/>
      <c r="BY947" s="114"/>
    </row>
    <row r="948" spans="1:77" ht="19.5" x14ac:dyDescent="0.4">
      <c r="A948" s="117"/>
      <c r="B948" s="123"/>
      <c r="C948" s="123"/>
      <c r="D948" s="123"/>
      <c r="AL948" s="127"/>
      <c r="AM948" s="29"/>
      <c r="AO948" s="115"/>
      <c r="AP948" s="115"/>
      <c r="AQ948" s="115"/>
      <c r="AR948" s="115"/>
      <c r="AS948" s="115"/>
      <c r="AT948" s="115"/>
      <c r="AU948" s="115"/>
      <c r="AV948" s="115"/>
      <c r="AW948" s="25">
        <v>45694</v>
      </c>
      <c r="AX948" s="15" t="s">
        <v>147</v>
      </c>
      <c r="BC948" s="117"/>
      <c r="BD948" s="123"/>
      <c r="BE948" s="123"/>
      <c r="BF948" s="123"/>
      <c r="BH948" s="115"/>
      <c r="BI948" s="115"/>
      <c r="BJ948" s="115"/>
      <c r="BK948" s="115"/>
      <c r="BL948" s="115"/>
      <c r="BM948" s="115"/>
      <c r="BN948" s="115"/>
      <c r="BO948" s="115"/>
      <c r="BP948" s="115"/>
      <c r="BQ948" s="115"/>
      <c r="BR948" s="115"/>
      <c r="BS948" s="115"/>
      <c r="BT948" s="115"/>
      <c r="BU948" s="13"/>
      <c r="BV948" s="13"/>
      <c r="BY948" s="114"/>
    </row>
    <row r="949" spans="1:77" ht="19.5" x14ac:dyDescent="0.4">
      <c r="A949" s="117"/>
      <c r="B949" s="123"/>
      <c r="C949" s="123"/>
      <c r="D949" s="123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29"/>
      <c r="AM949" s="29"/>
      <c r="AO949" s="115"/>
      <c r="AP949" s="115"/>
      <c r="AQ949" s="115"/>
      <c r="AR949" s="115"/>
      <c r="AS949" s="115"/>
      <c r="AT949" s="115"/>
      <c r="AU949" s="115"/>
      <c r="AV949" s="115"/>
      <c r="AW949" s="25"/>
      <c r="AX949" s="15"/>
      <c r="BC949" s="117"/>
      <c r="BD949" s="123"/>
      <c r="BE949" s="123"/>
      <c r="BF949" s="123"/>
      <c r="BH949" s="115"/>
      <c r="BI949" s="115"/>
      <c r="BJ949" s="115"/>
      <c r="BK949" s="115"/>
      <c r="BL949" s="115"/>
      <c r="BM949" s="115"/>
      <c r="BN949" s="115"/>
      <c r="BO949" s="115"/>
      <c r="BP949" s="115"/>
      <c r="BQ949" s="115"/>
      <c r="BR949" s="115"/>
      <c r="BS949" s="115"/>
      <c r="BT949" s="115"/>
      <c r="BU949" s="13"/>
      <c r="BV949" s="13"/>
      <c r="BY949" s="114"/>
    </row>
    <row r="950" spans="1:77" ht="19.5" x14ac:dyDescent="0.4">
      <c r="A950" s="117"/>
      <c r="B950" s="123"/>
      <c r="C950" s="123"/>
      <c r="D950" s="123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29"/>
      <c r="AM950" s="29"/>
      <c r="AO950" s="115"/>
      <c r="AP950" s="115"/>
      <c r="AQ950" s="115"/>
      <c r="AR950" s="115"/>
      <c r="AS950" s="115"/>
      <c r="AT950" s="115"/>
      <c r="AU950" s="115"/>
      <c r="AV950" s="115"/>
      <c r="AW950" s="25"/>
      <c r="AX950" s="15"/>
      <c r="BC950" s="117"/>
      <c r="BD950" s="123"/>
      <c r="BE950" s="123"/>
      <c r="BF950" s="123"/>
      <c r="BH950" s="115"/>
      <c r="BI950" s="115"/>
      <c r="BJ950" s="115"/>
      <c r="BK950" s="115"/>
      <c r="BL950" s="115"/>
      <c r="BM950" s="115"/>
      <c r="BN950" s="115"/>
      <c r="BO950" s="115"/>
      <c r="BP950" s="115"/>
      <c r="BQ950" s="115"/>
      <c r="BR950" s="115"/>
      <c r="BS950" s="115"/>
      <c r="BT950" s="115"/>
      <c r="BU950" s="13"/>
      <c r="BV950" s="13"/>
      <c r="BY950" s="114"/>
    </row>
    <row r="951" spans="1:77" ht="19.5" x14ac:dyDescent="0.4">
      <c r="A951" s="117"/>
      <c r="B951" s="123"/>
      <c r="C951" s="123"/>
      <c r="D951" s="123"/>
      <c r="AL951" s="127"/>
      <c r="AM951" s="29"/>
      <c r="AO951" s="115"/>
      <c r="AP951" s="115"/>
      <c r="AQ951" s="115"/>
      <c r="AR951" s="115"/>
      <c r="AS951" s="115"/>
      <c r="AT951" s="115"/>
      <c r="AU951" s="115"/>
      <c r="AV951" s="115"/>
      <c r="AW951" s="25">
        <v>45694</v>
      </c>
      <c r="AX951" s="105" t="s">
        <v>147</v>
      </c>
      <c r="BC951" s="117"/>
      <c r="BD951" s="123"/>
      <c r="BE951" s="123"/>
      <c r="BF951" s="123"/>
      <c r="BH951" s="115"/>
      <c r="BI951" s="115"/>
      <c r="BJ951" s="115"/>
      <c r="BK951" s="115"/>
      <c r="BL951" s="115"/>
      <c r="BM951" s="115"/>
      <c r="BN951" s="115"/>
      <c r="BO951" s="115"/>
      <c r="BP951" s="115"/>
      <c r="BQ951" s="115"/>
      <c r="BR951" s="115"/>
      <c r="BS951" s="115"/>
      <c r="BT951" s="115"/>
      <c r="BU951" s="13"/>
      <c r="BV951" s="13"/>
      <c r="BY951" s="114"/>
    </row>
    <row r="952" spans="1:77" ht="19.5" x14ac:dyDescent="0.4">
      <c r="A952" s="117"/>
      <c r="B952" s="123"/>
      <c r="C952" s="123"/>
      <c r="D952" s="123"/>
      <c r="AL952" s="127"/>
      <c r="AM952" s="29"/>
      <c r="AN952" s="115"/>
      <c r="AO952" s="115"/>
      <c r="AP952" s="115"/>
      <c r="AQ952" s="115"/>
      <c r="AR952" s="115"/>
      <c r="AS952" s="115"/>
      <c r="AT952" s="115"/>
      <c r="AU952" s="115"/>
      <c r="AV952" s="115"/>
      <c r="AW952" s="25">
        <v>45694</v>
      </c>
      <c r="AX952" s="15" t="s">
        <v>147</v>
      </c>
      <c r="BC952" s="117"/>
      <c r="BD952" s="123"/>
      <c r="BE952" s="123"/>
      <c r="BF952" s="123"/>
      <c r="BH952" s="115"/>
      <c r="BI952" s="115"/>
      <c r="BJ952" s="115"/>
      <c r="BK952" s="115"/>
      <c r="BL952" s="115"/>
      <c r="BM952" s="115"/>
      <c r="BN952" s="115"/>
      <c r="BO952" s="115"/>
      <c r="BP952" s="115"/>
      <c r="BQ952" s="115"/>
      <c r="BR952" s="115"/>
      <c r="BS952" s="115"/>
      <c r="BT952" s="115"/>
      <c r="BU952" s="13"/>
      <c r="BV952" s="13"/>
      <c r="BY952" s="114"/>
    </row>
    <row r="953" spans="1:77" ht="19.5" x14ac:dyDescent="0.4">
      <c r="A953" s="117"/>
      <c r="B953" s="123"/>
      <c r="C953" s="123"/>
      <c r="D953" s="123"/>
      <c r="AL953" s="127"/>
      <c r="AM953" s="29"/>
      <c r="AN953" s="115"/>
      <c r="AO953" s="115"/>
      <c r="AP953" s="115"/>
      <c r="AQ953" s="115"/>
      <c r="AR953" s="115"/>
      <c r="AS953" s="115"/>
      <c r="AT953" s="115"/>
      <c r="AU953" s="115"/>
      <c r="AV953" s="115"/>
      <c r="AW953" s="26">
        <v>45694</v>
      </c>
      <c r="AX953" s="15" t="s">
        <v>148</v>
      </c>
      <c r="BC953" s="117"/>
      <c r="BD953" s="123"/>
      <c r="BE953" s="123"/>
      <c r="BF953" s="123"/>
      <c r="BH953" s="115"/>
      <c r="BI953" s="115"/>
      <c r="BJ953" s="115"/>
      <c r="BK953" s="115"/>
      <c r="BL953" s="115"/>
      <c r="BM953" s="115"/>
      <c r="BN953" s="115"/>
      <c r="BO953" s="115"/>
      <c r="BP953" s="115"/>
      <c r="BQ953" s="115"/>
      <c r="BR953" s="115"/>
      <c r="BS953" s="115"/>
      <c r="BT953" s="115"/>
      <c r="BU953" s="13"/>
      <c r="BV953" s="13"/>
      <c r="BY953" s="114"/>
    </row>
    <row r="954" spans="1:77" ht="19.5" x14ac:dyDescent="0.4">
      <c r="A954" s="117"/>
      <c r="B954" s="123"/>
      <c r="C954" s="123"/>
      <c r="D954" s="123"/>
      <c r="AL954" s="127"/>
      <c r="AM954" s="29"/>
      <c r="AW954" s="26">
        <v>45694</v>
      </c>
      <c r="AX954" s="13" t="s">
        <v>147</v>
      </c>
      <c r="BC954" s="117"/>
      <c r="BD954" s="123"/>
      <c r="BE954" s="123"/>
      <c r="BF954" s="123"/>
      <c r="BH954" s="115"/>
      <c r="BI954" s="115"/>
      <c r="BJ954" s="115"/>
      <c r="BK954" s="115"/>
      <c r="BL954" s="115"/>
      <c r="BM954" s="115"/>
      <c r="BN954" s="115"/>
      <c r="BO954" s="115"/>
      <c r="BP954" s="115"/>
      <c r="BQ954" s="115"/>
      <c r="BR954" s="115"/>
      <c r="BS954" s="115"/>
      <c r="BT954" s="115"/>
      <c r="BU954" s="25">
        <v>45268</v>
      </c>
      <c r="BV954" s="13" t="s">
        <v>162</v>
      </c>
      <c r="BY954" s="114"/>
    </row>
    <row r="955" spans="1:77" ht="19.5" x14ac:dyDescent="0.4">
      <c r="A955" s="117"/>
      <c r="B955" s="123"/>
      <c r="C955" s="123"/>
      <c r="D955" s="123"/>
      <c r="AL955" s="127"/>
      <c r="AM955" s="29"/>
      <c r="AO955" s="115"/>
      <c r="AP955" s="115"/>
      <c r="AQ955" s="115"/>
      <c r="AR955" s="115"/>
      <c r="AS955" s="115"/>
      <c r="AT955" s="115"/>
      <c r="AU955" s="115"/>
      <c r="AV955" s="115"/>
      <c r="AW955" s="26">
        <v>45694</v>
      </c>
      <c r="AX955" s="13" t="s">
        <v>147</v>
      </c>
      <c r="BC955" s="117"/>
      <c r="BD955" s="123"/>
      <c r="BE955" s="123"/>
      <c r="BF955" s="123"/>
      <c r="BH955" s="115"/>
      <c r="BI955" s="115"/>
      <c r="BJ955" s="115"/>
      <c r="BK955" s="115"/>
      <c r="BL955" s="115"/>
      <c r="BM955" s="115"/>
      <c r="BN955" s="115"/>
      <c r="BO955" s="115"/>
      <c r="BP955" s="115"/>
      <c r="BQ955" s="115"/>
      <c r="BR955" s="115"/>
      <c r="BS955" s="115"/>
      <c r="BT955" s="115"/>
      <c r="BU955" s="25"/>
      <c r="BV955" s="13"/>
      <c r="BY955" s="114"/>
    </row>
    <row r="956" spans="1:77" ht="19.5" x14ac:dyDescent="0.4">
      <c r="A956" s="117"/>
      <c r="B956" s="123"/>
      <c r="C956" s="123"/>
      <c r="D956" s="123"/>
      <c r="AL956" s="127"/>
      <c r="AM956" s="29"/>
      <c r="AW956" s="26">
        <v>45694</v>
      </c>
      <c r="AX956" s="13" t="s">
        <v>147</v>
      </c>
      <c r="BC956" s="117"/>
      <c r="BD956" s="123"/>
      <c r="BE956" s="123"/>
      <c r="BF956" s="123"/>
      <c r="BH956" s="115"/>
      <c r="BI956" s="115"/>
      <c r="BJ956" s="115"/>
      <c r="BK956" s="115"/>
      <c r="BL956" s="115"/>
      <c r="BM956" s="115"/>
      <c r="BN956" s="115"/>
      <c r="BO956" s="115"/>
      <c r="BP956" s="115"/>
      <c r="BQ956" s="115"/>
      <c r="BR956" s="115"/>
      <c r="BS956" s="115"/>
      <c r="BT956" s="115"/>
      <c r="BU956" s="25">
        <v>45268</v>
      </c>
      <c r="BV956" s="13" t="s">
        <v>162</v>
      </c>
      <c r="BY956" s="114"/>
    </row>
    <row r="957" spans="1:77" ht="19.5" x14ac:dyDescent="0.4">
      <c r="A957" s="117"/>
      <c r="B957" s="123"/>
      <c r="C957" s="123"/>
      <c r="D957" s="123"/>
      <c r="AL957" s="127"/>
      <c r="AM957" s="29"/>
      <c r="AT957" s="115"/>
      <c r="AU957" s="115"/>
      <c r="AV957" s="115"/>
      <c r="AW957" s="26">
        <v>45696</v>
      </c>
      <c r="AX957" s="13" t="s">
        <v>147</v>
      </c>
      <c r="BC957" s="117"/>
      <c r="BD957" s="123"/>
      <c r="BE957" s="123"/>
      <c r="BF957" s="123"/>
      <c r="BH957" s="115"/>
      <c r="BI957" s="115"/>
      <c r="BJ957" s="115"/>
      <c r="BK957" s="115"/>
      <c r="BL957" s="115"/>
      <c r="BM957" s="115"/>
      <c r="BN957" s="115"/>
      <c r="BO957" s="115"/>
      <c r="BP957" s="115"/>
      <c r="BQ957" s="115"/>
      <c r="BR957" s="115"/>
      <c r="BS957" s="115"/>
      <c r="BT957" s="115"/>
      <c r="BU957" s="25"/>
      <c r="BV957" s="13"/>
      <c r="BY957" s="114"/>
    </row>
    <row r="958" spans="1:77" ht="19.5" x14ac:dyDescent="0.4">
      <c r="A958" s="117"/>
      <c r="B958" s="123"/>
      <c r="C958" s="123"/>
      <c r="D958" s="123"/>
      <c r="AL958" s="127"/>
      <c r="AM958" s="29"/>
      <c r="AW958" s="26">
        <v>45698</v>
      </c>
      <c r="AX958" s="13" t="s">
        <v>147</v>
      </c>
      <c r="BC958" s="117"/>
      <c r="BD958" s="123"/>
      <c r="BE958" s="123"/>
      <c r="BF958" s="123"/>
      <c r="BH958" s="115"/>
      <c r="BI958" s="115"/>
      <c r="BJ958" s="115"/>
      <c r="BK958" s="115"/>
      <c r="BL958" s="115"/>
      <c r="BM958" s="115"/>
      <c r="BN958" s="115"/>
      <c r="BO958" s="115"/>
      <c r="BP958" s="115"/>
      <c r="BQ958" s="115"/>
      <c r="BR958" s="115"/>
      <c r="BS958" s="115"/>
      <c r="BT958" s="115"/>
      <c r="BU958" s="25">
        <v>45268</v>
      </c>
      <c r="BV958" s="13" t="s">
        <v>163</v>
      </c>
      <c r="BY958" s="114"/>
    </row>
    <row r="959" spans="1:77" ht="19.5" x14ac:dyDescent="0.4">
      <c r="A959" s="117"/>
      <c r="B959" s="123"/>
      <c r="C959" s="123"/>
      <c r="D959" s="123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29"/>
      <c r="AM959" s="29"/>
      <c r="AW959" s="26"/>
      <c r="AX959" s="13"/>
      <c r="BC959" s="117"/>
      <c r="BD959" s="123"/>
      <c r="BE959" s="123"/>
      <c r="BF959" s="123"/>
      <c r="BH959" s="115"/>
      <c r="BI959" s="115"/>
      <c r="BJ959" s="115"/>
      <c r="BK959" s="115"/>
      <c r="BL959" s="115"/>
      <c r="BM959" s="115"/>
      <c r="BN959" s="115"/>
      <c r="BO959" s="115"/>
      <c r="BP959" s="115"/>
      <c r="BQ959" s="115"/>
      <c r="BR959" s="115"/>
      <c r="BS959" s="115"/>
      <c r="BT959" s="115"/>
      <c r="BU959" s="25"/>
      <c r="BV959" s="13"/>
      <c r="BY959" s="114"/>
    </row>
    <row r="960" spans="1:77" ht="19.5" x14ac:dyDescent="0.4">
      <c r="A960" s="117"/>
      <c r="B960" s="123"/>
      <c r="C960" s="123"/>
      <c r="D960" s="123"/>
      <c r="AL960" s="127"/>
      <c r="AM960" s="29"/>
      <c r="AT960" s="115"/>
      <c r="AU960" s="115"/>
      <c r="AV960" s="115"/>
      <c r="AW960" s="26">
        <v>45698</v>
      </c>
      <c r="AX960" s="13" t="s">
        <v>147</v>
      </c>
      <c r="BC960" s="117"/>
      <c r="BD960" s="123"/>
      <c r="BE960" s="123"/>
      <c r="BF960" s="123"/>
      <c r="BH960" s="115"/>
      <c r="BI960" s="115"/>
      <c r="BJ960" s="115"/>
      <c r="BK960" s="115"/>
      <c r="BL960" s="115"/>
      <c r="BM960" s="115"/>
      <c r="BN960" s="115"/>
      <c r="BO960" s="115"/>
      <c r="BP960" s="115"/>
      <c r="BQ960" s="115"/>
      <c r="BR960" s="115"/>
      <c r="BS960" s="115"/>
      <c r="BT960" s="115"/>
      <c r="BU960" s="25"/>
      <c r="BV960" s="13"/>
      <c r="BY960" s="114"/>
    </row>
    <row r="961" spans="1:77" ht="19.5" x14ac:dyDescent="0.4">
      <c r="A961" s="117"/>
      <c r="B961" s="123"/>
      <c r="C961" s="123"/>
      <c r="D961" s="123"/>
      <c r="AL961" s="127"/>
      <c r="AM961" s="29"/>
      <c r="AN961" s="115"/>
      <c r="AO961" s="115"/>
      <c r="AP961" s="115"/>
      <c r="AQ961" s="115"/>
      <c r="AR961" s="115"/>
      <c r="AS961" s="115"/>
      <c r="AT961" s="115"/>
      <c r="AU961" s="115"/>
      <c r="AV961" s="115"/>
      <c r="AW961" s="26">
        <v>45699</v>
      </c>
      <c r="AX961" s="13" t="s">
        <v>148</v>
      </c>
      <c r="BC961" s="117"/>
      <c r="BD961" s="123"/>
      <c r="BE961" s="123"/>
      <c r="BF961" s="123"/>
      <c r="BH961" s="115"/>
      <c r="BI961" s="115"/>
      <c r="BJ961" s="115"/>
      <c r="BK961" s="115"/>
      <c r="BL961" s="115"/>
      <c r="BM961" s="115"/>
      <c r="BN961" s="115"/>
      <c r="BO961" s="115"/>
      <c r="BP961" s="115"/>
      <c r="BQ961" s="115"/>
      <c r="BR961" s="115"/>
      <c r="BS961" s="115"/>
      <c r="BT961" s="115"/>
      <c r="BU961" s="25"/>
      <c r="BV961" s="13"/>
      <c r="BY961" s="114"/>
    </row>
    <row r="962" spans="1:77" ht="19.5" x14ac:dyDescent="0.4">
      <c r="A962" s="117"/>
      <c r="B962" s="123"/>
      <c r="C962" s="123"/>
      <c r="D962" s="123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  <c r="AK962" s="115"/>
      <c r="AL962" s="29"/>
      <c r="AM962" s="29"/>
      <c r="AN962" s="115"/>
      <c r="AO962" s="115"/>
      <c r="AP962" s="115"/>
      <c r="AQ962" s="115"/>
      <c r="AR962" s="115"/>
      <c r="AS962" s="115"/>
      <c r="AT962" s="115"/>
      <c r="AU962" s="115"/>
      <c r="AV962" s="115"/>
      <c r="AW962" s="26"/>
      <c r="AX962" s="13"/>
      <c r="BC962" s="117"/>
      <c r="BD962" s="123"/>
      <c r="BE962" s="123"/>
      <c r="BF962" s="123"/>
      <c r="BH962" s="115"/>
      <c r="BI962" s="115"/>
      <c r="BJ962" s="115"/>
      <c r="BK962" s="115"/>
      <c r="BL962" s="115"/>
      <c r="BM962" s="115"/>
      <c r="BN962" s="115"/>
      <c r="BO962" s="115"/>
      <c r="BP962" s="115"/>
      <c r="BQ962" s="115"/>
      <c r="BR962" s="115"/>
      <c r="BS962" s="115"/>
      <c r="BT962" s="115"/>
      <c r="BU962" s="25"/>
      <c r="BV962" s="13"/>
      <c r="BY962" s="114"/>
    </row>
    <row r="963" spans="1:77" ht="19.5" x14ac:dyDescent="0.4">
      <c r="A963" s="117"/>
      <c r="B963" s="123"/>
      <c r="C963" s="123"/>
      <c r="D963" s="123"/>
      <c r="AL963" s="127"/>
      <c r="AM963" s="29"/>
      <c r="AW963" s="26">
        <v>45699</v>
      </c>
      <c r="AX963" s="13" t="s">
        <v>148</v>
      </c>
      <c r="BC963" s="117"/>
      <c r="BD963" s="123"/>
      <c r="BE963" s="123"/>
      <c r="BF963" s="123"/>
      <c r="BG963" s="115"/>
      <c r="BH963" s="115"/>
      <c r="BI963" s="115"/>
      <c r="BJ963" s="115"/>
      <c r="BK963" s="115"/>
      <c r="BL963" s="115"/>
      <c r="BM963" s="115"/>
      <c r="BN963" s="115"/>
      <c r="BO963" s="115"/>
      <c r="BP963" s="115"/>
      <c r="BQ963" s="115"/>
      <c r="BR963" s="115"/>
      <c r="BS963" s="115"/>
      <c r="BT963" s="115"/>
      <c r="BU963" s="25">
        <v>45268</v>
      </c>
      <c r="BV963" s="13" t="s">
        <v>163</v>
      </c>
      <c r="BY963" s="114"/>
    </row>
    <row r="964" spans="1:77" ht="19.5" x14ac:dyDescent="0.4">
      <c r="A964" s="117"/>
      <c r="B964" s="123"/>
      <c r="C964" s="123"/>
      <c r="D964" s="123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  <c r="AK964" s="115"/>
      <c r="AL964" s="29"/>
      <c r="AM964" s="29"/>
      <c r="AW964" s="26"/>
      <c r="AX964" s="13"/>
      <c r="BC964" s="117"/>
      <c r="BD964" s="123"/>
      <c r="BE964" s="123"/>
      <c r="BF964" s="123"/>
      <c r="BG964" s="115"/>
      <c r="BH964" s="115"/>
      <c r="BI964" s="115"/>
      <c r="BJ964" s="115"/>
      <c r="BK964" s="115"/>
      <c r="BL964" s="115"/>
      <c r="BM964" s="115"/>
      <c r="BN964" s="115"/>
      <c r="BO964" s="115"/>
      <c r="BP964" s="115"/>
      <c r="BQ964" s="115"/>
      <c r="BR964" s="115"/>
      <c r="BS964" s="115"/>
      <c r="BT964" s="115"/>
      <c r="BU964" s="25"/>
      <c r="BV964" s="13"/>
      <c r="BY964" s="114"/>
    </row>
    <row r="965" spans="1:77" ht="19.5" x14ac:dyDescent="0.4">
      <c r="A965" s="117"/>
      <c r="B965" s="123"/>
      <c r="C965" s="123"/>
      <c r="D965" s="123"/>
      <c r="AL965" s="127"/>
      <c r="AM965" s="29"/>
      <c r="AP965" s="115"/>
      <c r="AQ965" s="115"/>
      <c r="AR965" s="115"/>
      <c r="AS965" s="115"/>
      <c r="AT965" s="115"/>
      <c r="AU965" s="115"/>
      <c r="AV965" s="115"/>
      <c r="AW965" s="26">
        <v>45699</v>
      </c>
      <c r="AX965" s="13" t="s">
        <v>148</v>
      </c>
      <c r="BC965" s="117"/>
      <c r="BD965" s="123"/>
      <c r="BE965" s="123"/>
      <c r="BF965" s="123"/>
      <c r="BG965" s="115"/>
      <c r="BH965" s="115"/>
      <c r="BI965" s="115"/>
      <c r="BJ965" s="115"/>
      <c r="BK965" s="115"/>
      <c r="BL965" s="115"/>
      <c r="BM965" s="115"/>
      <c r="BN965" s="115"/>
      <c r="BO965" s="115"/>
      <c r="BP965" s="115"/>
      <c r="BQ965" s="115"/>
      <c r="BR965" s="115"/>
      <c r="BS965" s="115"/>
      <c r="BT965" s="115"/>
      <c r="BU965" s="25"/>
      <c r="BV965" s="13"/>
      <c r="BY965" s="114"/>
    </row>
    <row r="966" spans="1:77" ht="19.5" x14ac:dyDescent="0.4">
      <c r="A966" s="117"/>
      <c r="B966" s="123"/>
      <c r="C966" s="123"/>
      <c r="D966" s="123"/>
      <c r="AL966" s="127"/>
      <c r="AM966" s="29"/>
      <c r="AP966" s="115"/>
      <c r="AQ966" s="115"/>
      <c r="AR966" s="115"/>
      <c r="AS966" s="115"/>
      <c r="AT966" s="115"/>
      <c r="AU966" s="115"/>
      <c r="AV966" s="115"/>
      <c r="AW966" s="26">
        <v>45699</v>
      </c>
      <c r="AX966" s="13" t="s">
        <v>148</v>
      </c>
      <c r="BC966" s="117"/>
      <c r="BD966" s="123"/>
      <c r="BE966" s="123"/>
      <c r="BF966" s="123"/>
      <c r="BG966" s="115"/>
      <c r="BH966" s="115"/>
      <c r="BI966" s="115"/>
      <c r="BJ966" s="115"/>
      <c r="BK966" s="115"/>
      <c r="BL966" s="115"/>
      <c r="BM966" s="115"/>
      <c r="BN966" s="115"/>
      <c r="BO966" s="115"/>
      <c r="BP966" s="115"/>
      <c r="BQ966" s="115"/>
      <c r="BR966" s="115"/>
      <c r="BS966" s="115"/>
      <c r="BT966" s="115"/>
      <c r="BU966" s="25"/>
      <c r="BV966" s="13"/>
      <c r="BY966" s="114"/>
    </row>
    <row r="967" spans="1:77" ht="19.5" x14ac:dyDescent="0.4">
      <c r="A967" s="117"/>
      <c r="B967" s="123"/>
      <c r="C967" s="123"/>
      <c r="D967" s="123"/>
      <c r="AL967" s="127"/>
      <c r="AM967" s="29"/>
      <c r="AP967" s="115"/>
      <c r="AQ967" s="115"/>
      <c r="AR967" s="115"/>
      <c r="AS967" s="115"/>
      <c r="AT967" s="115"/>
      <c r="AU967" s="115"/>
      <c r="AV967" s="115"/>
      <c r="AW967" s="26">
        <v>45699</v>
      </c>
      <c r="AX967" s="13" t="s">
        <v>148</v>
      </c>
      <c r="BC967" s="117"/>
      <c r="BD967" s="123"/>
      <c r="BE967" s="123"/>
      <c r="BF967" s="123"/>
      <c r="BG967" s="115"/>
      <c r="BH967" s="115"/>
      <c r="BI967" s="115"/>
      <c r="BJ967" s="115"/>
      <c r="BK967" s="115"/>
      <c r="BL967" s="115"/>
      <c r="BM967" s="115"/>
      <c r="BN967" s="115"/>
      <c r="BO967" s="115"/>
      <c r="BP967" s="115"/>
      <c r="BQ967" s="115"/>
      <c r="BR967" s="115"/>
      <c r="BS967" s="115"/>
      <c r="BT967" s="115"/>
      <c r="BU967" s="25"/>
      <c r="BV967" s="13"/>
      <c r="BY967" s="114"/>
    </row>
    <row r="968" spans="1:77" ht="19.5" x14ac:dyDescent="0.4">
      <c r="A968" s="117"/>
      <c r="B968" s="123"/>
      <c r="C968" s="123"/>
      <c r="D968" s="123"/>
      <c r="AL968" s="127"/>
      <c r="AM968" s="29"/>
      <c r="AW968" s="26">
        <v>45699</v>
      </c>
      <c r="AX968" s="13" t="s">
        <v>148</v>
      </c>
      <c r="BC968" s="117"/>
      <c r="BD968" s="123"/>
      <c r="BE968" s="123"/>
      <c r="BF968" s="123"/>
      <c r="BG968" s="115"/>
      <c r="BH968" s="115"/>
      <c r="BI968" s="115"/>
      <c r="BJ968" s="115"/>
      <c r="BK968" s="115"/>
      <c r="BL968" s="115"/>
      <c r="BM968" s="115"/>
      <c r="BN968" s="115"/>
      <c r="BO968" s="115"/>
      <c r="BP968" s="115"/>
      <c r="BQ968" s="115"/>
      <c r="BR968" s="115"/>
      <c r="BS968" s="115"/>
      <c r="BT968" s="115" t="s">
        <v>158</v>
      </c>
      <c r="BU968" s="13">
        <f>SUBTOTAL(3,BU954:BU963)</f>
        <v>4</v>
      </c>
      <c r="BV968" s="13">
        <f>SUBTOTAL(3,BV954:BV963)</f>
        <v>4</v>
      </c>
      <c r="BY968" s="114"/>
    </row>
    <row r="969" spans="1:77" ht="19.5" x14ac:dyDescent="0.4">
      <c r="A969" s="117"/>
      <c r="B969" s="123"/>
      <c r="C969" s="123"/>
      <c r="D969" s="123"/>
      <c r="AL969" s="127"/>
      <c r="AM969" s="29"/>
      <c r="AT969" s="115"/>
      <c r="AU969" s="115"/>
      <c r="AV969" s="115"/>
      <c r="AW969" s="26">
        <v>45706</v>
      </c>
      <c r="AX969" s="13" t="s">
        <v>146</v>
      </c>
      <c r="BC969" s="117"/>
      <c r="BD969" s="123"/>
      <c r="BE969" s="123"/>
      <c r="BF969" s="123"/>
      <c r="BG969" s="115"/>
      <c r="BH969" s="115"/>
      <c r="BI969" s="115"/>
      <c r="BJ969" s="115"/>
      <c r="BK969" s="115"/>
      <c r="BL969" s="115"/>
      <c r="BM969" s="115"/>
      <c r="BN969" s="115"/>
      <c r="BO969" s="115"/>
      <c r="BP969" s="115"/>
      <c r="BQ969" s="115"/>
      <c r="BR969" s="115"/>
      <c r="BS969" s="115"/>
      <c r="BT969" s="115"/>
      <c r="BU969" s="13"/>
      <c r="BV969" s="13"/>
      <c r="BY969" s="114"/>
    </row>
    <row r="970" spans="1:77" ht="19.5" x14ac:dyDescent="0.4">
      <c r="A970" s="117"/>
      <c r="B970" s="123"/>
      <c r="C970" s="123"/>
      <c r="D970" s="123"/>
      <c r="AL970" s="127"/>
      <c r="AM970" s="29"/>
      <c r="AS970" s="115"/>
      <c r="AT970" s="115"/>
      <c r="AU970" s="115"/>
      <c r="AV970" s="115"/>
      <c r="AW970" s="26">
        <v>45709</v>
      </c>
      <c r="AX970" s="13" t="s">
        <v>148</v>
      </c>
      <c r="BC970" s="117"/>
      <c r="BD970" s="123"/>
      <c r="BE970" s="123"/>
      <c r="BF970" s="123"/>
      <c r="BG970" s="115"/>
      <c r="BH970" s="115"/>
      <c r="BI970" s="115"/>
      <c r="BJ970" s="115"/>
      <c r="BK970" s="115"/>
      <c r="BL970" s="115"/>
      <c r="BM970" s="115"/>
      <c r="BN970" s="115"/>
      <c r="BO970" s="115"/>
      <c r="BP970" s="115"/>
      <c r="BQ970" s="115"/>
      <c r="BR970" s="115"/>
      <c r="BS970" s="115"/>
      <c r="BT970" s="115"/>
      <c r="BU970" s="13"/>
      <c r="BV970" s="13"/>
      <c r="BY970" s="114"/>
    </row>
    <row r="971" spans="1:77" ht="19.5" x14ac:dyDescent="0.4">
      <c r="A971" s="117"/>
      <c r="B971" s="123"/>
      <c r="C971" s="123"/>
      <c r="D971" s="123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29"/>
      <c r="AM971" s="29"/>
      <c r="AS971" s="115"/>
      <c r="AT971" s="115"/>
      <c r="AU971" s="115"/>
      <c r="AV971" s="115"/>
      <c r="AW971" s="26"/>
      <c r="AX971" s="13"/>
      <c r="BC971" s="117"/>
      <c r="BD971" s="123"/>
      <c r="BE971" s="123"/>
      <c r="BF971" s="123"/>
      <c r="BG971" s="115"/>
      <c r="BH971" s="115"/>
      <c r="BI971" s="115"/>
      <c r="BJ971" s="115"/>
      <c r="BK971" s="115"/>
      <c r="BL971" s="115"/>
      <c r="BM971" s="115"/>
      <c r="BN971" s="115"/>
      <c r="BO971" s="115"/>
      <c r="BP971" s="115"/>
      <c r="BQ971" s="115"/>
      <c r="BR971" s="115"/>
      <c r="BS971" s="115"/>
      <c r="BT971" s="115"/>
      <c r="BU971" s="13"/>
      <c r="BV971" s="13"/>
      <c r="BY971" s="114"/>
    </row>
    <row r="972" spans="1:77" ht="19.5" x14ac:dyDescent="0.4">
      <c r="A972" s="117"/>
      <c r="B972" s="123"/>
      <c r="C972" s="123"/>
      <c r="D972" s="123"/>
      <c r="AL972" s="127"/>
      <c r="AM972" s="29"/>
      <c r="AS972" s="115"/>
      <c r="AT972" s="115"/>
      <c r="AU972" s="115"/>
      <c r="AV972" s="115"/>
      <c r="AW972" s="26">
        <v>45709</v>
      </c>
      <c r="AX972" s="13" t="s">
        <v>147</v>
      </c>
      <c r="BC972" s="117"/>
      <c r="BD972" s="123"/>
      <c r="BE972" s="123"/>
      <c r="BF972" s="123"/>
      <c r="BG972" s="115"/>
      <c r="BH972" s="115"/>
      <c r="BI972" s="115"/>
      <c r="BJ972" s="115"/>
      <c r="BK972" s="115"/>
      <c r="BL972" s="115"/>
      <c r="BM972" s="115"/>
      <c r="BN972" s="115"/>
      <c r="BO972" s="115"/>
      <c r="BP972" s="115"/>
      <c r="BQ972" s="115"/>
      <c r="BR972" s="115"/>
      <c r="BS972" s="115"/>
      <c r="BT972" s="115"/>
      <c r="BU972" s="13"/>
      <c r="BV972" s="13"/>
      <c r="BY972" s="114"/>
    </row>
    <row r="973" spans="1:77" ht="19.5" x14ac:dyDescent="0.4">
      <c r="A973" s="117"/>
      <c r="B973" s="123"/>
      <c r="C973" s="123"/>
      <c r="D973" s="123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29"/>
      <c r="AM973" s="29"/>
      <c r="AS973" s="115"/>
      <c r="AT973" s="115"/>
      <c r="AU973" s="115"/>
      <c r="AV973" s="115"/>
      <c r="AW973" s="26"/>
      <c r="AX973" s="13"/>
      <c r="BC973" s="117"/>
      <c r="BD973" s="123"/>
      <c r="BE973" s="123"/>
      <c r="BF973" s="123"/>
      <c r="BG973" s="115"/>
      <c r="BH973" s="115"/>
      <c r="BI973" s="115"/>
      <c r="BJ973" s="115"/>
      <c r="BK973" s="115"/>
      <c r="BL973" s="115"/>
      <c r="BM973" s="115"/>
      <c r="BN973" s="115"/>
      <c r="BO973" s="115"/>
      <c r="BP973" s="115"/>
      <c r="BQ973" s="115"/>
      <c r="BR973" s="115"/>
      <c r="BS973" s="115"/>
      <c r="BT973" s="115"/>
      <c r="BU973" s="13"/>
      <c r="BV973" s="13"/>
      <c r="BY973" s="114"/>
    </row>
    <row r="974" spans="1:77" ht="19.5" x14ac:dyDescent="0.4">
      <c r="A974" s="117"/>
      <c r="B974" s="123"/>
      <c r="C974" s="123"/>
      <c r="D974" s="123"/>
      <c r="AL974" s="127"/>
      <c r="AM974" s="29"/>
      <c r="AS974" s="115"/>
      <c r="AT974" s="115"/>
      <c r="AU974" s="115"/>
      <c r="AV974" s="115"/>
      <c r="AW974" s="26">
        <v>45712</v>
      </c>
      <c r="AX974" s="13" t="s">
        <v>146</v>
      </c>
      <c r="BC974" s="117"/>
      <c r="BD974" s="123"/>
      <c r="BE974" s="123"/>
      <c r="BF974" s="123"/>
      <c r="BG974" s="115"/>
      <c r="BH974" s="115"/>
      <c r="BI974" s="115"/>
      <c r="BJ974" s="115"/>
      <c r="BK974" s="115"/>
      <c r="BL974" s="115"/>
      <c r="BM974" s="115"/>
      <c r="BN974" s="115"/>
      <c r="BO974" s="115"/>
      <c r="BP974" s="115"/>
      <c r="BQ974" s="115"/>
      <c r="BR974" s="115"/>
      <c r="BS974" s="115"/>
      <c r="BT974" s="115"/>
      <c r="BU974" s="13"/>
      <c r="BV974" s="13"/>
      <c r="BY974" s="114"/>
    </row>
    <row r="975" spans="1:77" ht="19.5" x14ac:dyDescent="0.4">
      <c r="A975" s="117"/>
      <c r="B975" s="123"/>
      <c r="C975" s="123"/>
      <c r="D975" s="123"/>
      <c r="AL975" s="127"/>
      <c r="AM975" s="29"/>
      <c r="AS975" s="115"/>
      <c r="AT975" s="115"/>
      <c r="AU975" s="115"/>
      <c r="AV975" s="115"/>
      <c r="AW975" s="26">
        <v>45712</v>
      </c>
      <c r="AX975" s="13" t="s">
        <v>148</v>
      </c>
      <c r="BC975" s="117"/>
      <c r="BD975" s="123"/>
      <c r="BE975" s="123"/>
      <c r="BF975" s="123"/>
      <c r="BG975" s="115"/>
      <c r="BH975" s="115"/>
      <c r="BI975" s="115"/>
      <c r="BJ975" s="115"/>
      <c r="BK975" s="115"/>
      <c r="BL975" s="115"/>
      <c r="BM975" s="115"/>
      <c r="BN975" s="115"/>
      <c r="BO975" s="115"/>
      <c r="BP975" s="115"/>
      <c r="BQ975" s="115"/>
      <c r="BR975" s="115"/>
      <c r="BS975" s="115"/>
      <c r="BT975" s="115"/>
      <c r="BU975" s="13"/>
      <c r="BV975" s="13"/>
      <c r="BY975" s="114"/>
    </row>
    <row r="976" spans="1:77" ht="19.5" x14ac:dyDescent="0.4">
      <c r="A976" s="117"/>
      <c r="B976" s="123"/>
      <c r="C976" s="123"/>
      <c r="D976" s="123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29"/>
      <c r="AM976" s="29"/>
      <c r="AS976" s="115"/>
      <c r="AT976" s="115"/>
      <c r="AU976" s="115"/>
      <c r="AV976" s="115"/>
      <c r="AW976" s="26"/>
      <c r="AX976" s="13"/>
      <c r="BC976" s="117"/>
      <c r="BD976" s="123"/>
      <c r="BE976" s="123"/>
      <c r="BF976" s="123"/>
      <c r="BG976" s="115"/>
      <c r="BH976" s="115"/>
      <c r="BI976" s="115"/>
      <c r="BJ976" s="115"/>
      <c r="BK976" s="115"/>
      <c r="BL976" s="115"/>
      <c r="BM976" s="115"/>
      <c r="BN976" s="115"/>
      <c r="BO976" s="115"/>
      <c r="BP976" s="115"/>
      <c r="BQ976" s="115"/>
      <c r="BR976" s="115"/>
      <c r="BS976" s="115"/>
      <c r="BT976" s="115"/>
      <c r="BU976" s="13"/>
      <c r="BV976" s="13"/>
      <c r="BY976" s="114"/>
    </row>
    <row r="977" spans="1:77" ht="19.5" x14ac:dyDescent="0.4">
      <c r="A977" s="117"/>
      <c r="B977" s="123"/>
      <c r="C977" s="123"/>
      <c r="D977" s="123"/>
      <c r="AL977" s="127"/>
      <c r="AM977" s="29"/>
      <c r="AQ977" s="115"/>
      <c r="AR977" s="115"/>
      <c r="AS977" s="115"/>
      <c r="AT977" s="115"/>
      <c r="AU977" s="115"/>
      <c r="AV977" s="115"/>
      <c r="AW977" s="26">
        <v>45714</v>
      </c>
      <c r="AX977" s="13" t="s">
        <v>147</v>
      </c>
      <c r="BC977" s="117"/>
      <c r="BD977" s="123"/>
      <c r="BE977" s="123"/>
      <c r="BF977" s="123"/>
      <c r="BG977" s="115"/>
      <c r="BH977" s="115"/>
      <c r="BI977" s="115"/>
      <c r="BJ977" s="115"/>
      <c r="BK977" s="115"/>
      <c r="BL977" s="115"/>
      <c r="BM977" s="115"/>
      <c r="BN977" s="115"/>
      <c r="BO977" s="115"/>
      <c r="BP977" s="115"/>
      <c r="BQ977" s="115"/>
      <c r="BR977" s="115"/>
      <c r="BS977" s="115"/>
      <c r="BT977" s="115"/>
      <c r="BU977" s="13"/>
      <c r="BV977" s="13"/>
      <c r="BY977" s="114"/>
    </row>
    <row r="978" spans="1:77" ht="19.5" x14ac:dyDescent="0.4">
      <c r="A978" s="117"/>
      <c r="B978" s="123"/>
      <c r="C978" s="123"/>
      <c r="D978" s="123"/>
      <c r="AL978" s="127"/>
      <c r="AM978" s="29"/>
      <c r="AW978" s="26">
        <v>45714</v>
      </c>
      <c r="AX978" s="13" t="s">
        <v>147</v>
      </c>
      <c r="BC978" s="117"/>
      <c r="BD978" s="123"/>
      <c r="BE978" s="123"/>
      <c r="BF978" s="123"/>
      <c r="BG978" s="115"/>
      <c r="BH978" s="115"/>
      <c r="BI978" s="115"/>
      <c r="BJ978" s="115"/>
      <c r="BK978" s="115"/>
      <c r="BL978" s="115"/>
      <c r="BM978" s="115"/>
      <c r="BN978" s="115"/>
      <c r="BO978" s="115"/>
      <c r="BP978" s="115"/>
      <c r="BQ978" s="115"/>
      <c r="BR978" s="115"/>
      <c r="BS978" s="115"/>
      <c r="BT978" s="115"/>
      <c r="BU978" s="25">
        <v>45269</v>
      </c>
      <c r="BV978" s="13" t="s">
        <v>163</v>
      </c>
      <c r="BY978" s="114"/>
    </row>
    <row r="979" spans="1:77" ht="19.5" x14ac:dyDescent="0.4">
      <c r="A979" s="117"/>
      <c r="B979" s="123"/>
      <c r="C979" s="123"/>
      <c r="D979" s="123"/>
      <c r="AL979" s="127"/>
      <c r="AM979" s="29"/>
      <c r="AN979" s="115"/>
      <c r="AO979" s="115"/>
      <c r="AP979" s="115"/>
      <c r="AQ979" s="115"/>
      <c r="AR979" s="115"/>
      <c r="AS979" s="115"/>
      <c r="AT979" s="115"/>
      <c r="AU979" s="115"/>
      <c r="AV979" s="115"/>
      <c r="AW979" s="26">
        <v>45714</v>
      </c>
      <c r="AX979" s="13" t="s">
        <v>147</v>
      </c>
      <c r="BC979" s="117"/>
      <c r="BD979" s="123"/>
      <c r="BE979" s="123"/>
      <c r="BF979" s="123"/>
      <c r="BG979" s="115"/>
      <c r="BH979" s="115"/>
      <c r="BI979" s="115"/>
      <c r="BJ979" s="115"/>
      <c r="BK979" s="115"/>
      <c r="BL979" s="115"/>
      <c r="BM979" s="115"/>
      <c r="BN979" s="115"/>
      <c r="BO979" s="115"/>
      <c r="BP979" s="115"/>
      <c r="BQ979" s="115"/>
      <c r="BR979" s="115"/>
      <c r="BS979" s="115"/>
      <c r="BT979" s="115"/>
      <c r="BU979" s="25"/>
      <c r="BV979" s="13"/>
      <c r="BY979" s="114"/>
    </row>
    <row r="980" spans="1:77" ht="19.5" x14ac:dyDescent="0.4">
      <c r="A980" s="117"/>
      <c r="B980" s="123"/>
      <c r="C980" s="123"/>
      <c r="D980" s="123"/>
      <c r="AL980" s="127"/>
      <c r="AM980" s="29"/>
      <c r="AN980" s="115"/>
      <c r="AO980" s="115"/>
      <c r="AP980" s="115"/>
      <c r="AQ980" s="115"/>
      <c r="AR980" s="115"/>
      <c r="AS980" s="115"/>
      <c r="AT980" s="115"/>
      <c r="AU980" s="115" t="s">
        <v>145</v>
      </c>
      <c r="AV980" s="115">
        <f>SUBTOTAL(3,AV2:AV979)</f>
        <v>0</v>
      </c>
      <c r="AW980" s="26"/>
      <c r="AX980" s="13">
        <f>SUBTOTAL(3,AX2:AX979)</f>
        <v>145</v>
      </c>
      <c r="BC980" s="117"/>
      <c r="BD980" s="123"/>
      <c r="BE980" s="123"/>
      <c r="BF980" s="123"/>
      <c r="BG980" s="115"/>
      <c r="BH980" s="115"/>
      <c r="BI980" s="115"/>
      <c r="BJ980" s="115"/>
      <c r="BK980" s="115"/>
      <c r="BL980" s="115"/>
      <c r="BM980" s="115"/>
      <c r="BN980" s="115"/>
      <c r="BO980" s="115"/>
      <c r="BP980" s="115"/>
      <c r="BQ980" s="115"/>
      <c r="BR980" s="115"/>
      <c r="BS980" s="115"/>
      <c r="BT980" s="115"/>
      <c r="BU980" s="25"/>
      <c r="BV980" s="13"/>
      <c r="BY980" s="114"/>
    </row>
    <row r="981" spans="1:77" ht="19.5" x14ac:dyDescent="0.4">
      <c r="A981" s="117"/>
      <c r="B981" s="123"/>
      <c r="C981" s="123"/>
      <c r="D981" s="123"/>
      <c r="AL981" s="127"/>
      <c r="AM981" s="29"/>
      <c r="AW981" s="26"/>
      <c r="AX981" s="13"/>
      <c r="BC981" s="117"/>
      <c r="BD981" s="123"/>
      <c r="BE981" s="123"/>
      <c r="BF981" s="123"/>
      <c r="BG981" s="115"/>
      <c r="BH981" s="115"/>
      <c r="BI981" s="115"/>
      <c r="BJ981" s="115"/>
      <c r="BK981" s="115"/>
      <c r="BL981" s="115"/>
      <c r="BM981" s="115"/>
      <c r="BN981" s="115"/>
      <c r="BO981" s="115"/>
      <c r="BP981" s="115"/>
      <c r="BQ981" s="115"/>
      <c r="BR981" s="115"/>
      <c r="BS981" s="115"/>
      <c r="BT981" s="115"/>
      <c r="BU981" s="25">
        <v>45269</v>
      </c>
      <c r="BV981" s="13" t="s">
        <v>163</v>
      </c>
      <c r="BY981" s="114"/>
    </row>
    <row r="982" spans="1:77" ht="19.5" x14ac:dyDescent="0.4">
      <c r="A982" s="117"/>
      <c r="B982" s="123"/>
      <c r="C982" s="123"/>
      <c r="D982" s="123"/>
      <c r="AL982" s="127"/>
      <c r="AM982" s="29"/>
      <c r="AP982" s="115"/>
      <c r="AQ982" s="115"/>
      <c r="AR982" s="115"/>
      <c r="AS982" s="115"/>
      <c r="AT982" s="115"/>
      <c r="AU982" s="115"/>
      <c r="AV982" s="115"/>
      <c r="AW982" s="26"/>
      <c r="AX982" s="13"/>
      <c r="BC982" s="117"/>
      <c r="BD982" s="123"/>
      <c r="BE982" s="123"/>
      <c r="BF982" s="123"/>
      <c r="BG982" s="115"/>
      <c r="BH982" s="115"/>
      <c r="BI982" s="115"/>
      <c r="BJ982" s="115"/>
      <c r="BK982" s="115"/>
      <c r="BL982" s="115"/>
      <c r="BM982" s="115"/>
      <c r="BN982" s="115"/>
      <c r="BO982" s="115"/>
      <c r="BP982" s="115"/>
      <c r="BQ982" s="115"/>
      <c r="BR982" s="115"/>
      <c r="BS982" s="115"/>
      <c r="BT982" s="115"/>
      <c r="BU982" s="25"/>
      <c r="BV982" s="13"/>
      <c r="BY982" s="114"/>
    </row>
    <row r="983" spans="1:77" ht="19.5" x14ac:dyDescent="0.4">
      <c r="A983" s="117"/>
      <c r="B983" s="123"/>
      <c r="C983" s="123"/>
      <c r="D983" s="123"/>
      <c r="AL983" s="127"/>
      <c r="AM983" s="29"/>
      <c r="AW983" s="26"/>
      <c r="AX983" s="13"/>
      <c r="BC983" s="117"/>
      <c r="BD983" s="123"/>
      <c r="BE983" s="123"/>
      <c r="BF983" s="123"/>
      <c r="BG983" s="115"/>
      <c r="BH983" s="115"/>
      <c r="BI983" s="115"/>
      <c r="BJ983" s="115"/>
      <c r="BK983" s="115"/>
      <c r="BL983" s="115"/>
      <c r="BM983" s="115"/>
      <c r="BN983" s="115"/>
      <c r="BO983" s="115"/>
      <c r="BP983" s="115"/>
      <c r="BQ983" s="115"/>
      <c r="BR983" s="115"/>
      <c r="BS983" s="115"/>
      <c r="BT983" s="115" t="s">
        <v>159</v>
      </c>
      <c r="BU983" s="13">
        <f>SUBTOTAL(3,BU978:BU981)</f>
        <v>2</v>
      </c>
      <c r="BV983" s="13">
        <f>SUBTOTAL(3,BV978:BV981)</f>
        <v>2</v>
      </c>
      <c r="BY983" s="114"/>
    </row>
    <row r="984" spans="1:77" ht="19.5" x14ac:dyDescent="0.4">
      <c r="A984" s="117"/>
      <c r="B984" s="123"/>
      <c r="C984" s="123"/>
      <c r="D984" s="123"/>
      <c r="AL984" s="127"/>
      <c r="AM984" s="29"/>
      <c r="AN984" s="115"/>
      <c r="AO984" s="115"/>
      <c r="AP984" s="115"/>
      <c r="AQ984" s="115"/>
      <c r="AR984" s="115"/>
      <c r="AS984" s="115"/>
      <c r="AT984" s="115"/>
      <c r="AU984" s="115"/>
      <c r="AV984" s="115"/>
      <c r="AW984" s="26"/>
      <c r="AX984" s="13"/>
      <c r="BC984" s="117"/>
      <c r="BD984" s="123"/>
      <c r="BE984" s="123"/>
      <c r="BF984" s="123"/>
      <c r="BG984" s="115"/>
      <c r="BH984" s="115"/>
      <c r="BI984" s="115"/>
      <c r="BJ984" s="115"/>
      <c r="BK984" s="115"/>
      <c r="BL984" s="115"/>
      <c r="BM984" s="115"/>
      <c r="BN984" s="115"/>
      <c r="BO984" s="115"/>
      <c r="BP984" s="115"/>
      <c r="BQ984" s="115"/>
      <c r="BR984" s="115"/>
      <c r="BS984" s="115"/>
      <c r="BT984" s="115"/>
      <c r="BU984" s="13"/>
      <c r="BV984" s="13"/>
      <c r="BY984" s="114"/>
    </row>
    <row r="985" spans="1:77" ht="19.5" x14ac:dyDescent="0.4">
      <c r="A985" s="117"/>
      <c r="B985" s="123"/>
      <c r="C985" s="123"/>
      <c r="D985" s="123"/>
      <c r="AL985" s="127"/>
      <c r="AM985" s="29"/>
      <c r="AN985" s="115"/>
      <c r="AO985" s="115"/>
      <c r="AP985" s="115"/>
      <c r="AQ985" s="115"/>
      <c r="AR985" s="115"/>
      <c r="AS985" s="115"/>
      <c r="AT985" s="115"/>
      <c r="AU985" s="115"/>
      <c r="AV985" s="115"/>
      <c r="AW985" s="26"/>
      <c r="AX985" s="13"/>
      <c r="BC985" s="117"/>
      <c r="BD985" s="123"/>
      <c r="BE985" s="123"/>
      <c r="BF985" s="123"/>
      <c r="BG985" s="115"/>
      <c r="BH985" s="115"/>
      <c r="BI985" s="115"/>
      <c r="BJ985" s="115"/>
      <c r="BK985" s="115"/>
      <c r="BL985" s="115"/>
      <c r="BM985" s="115"/>
      <c r="BN985" s="115"/>
      <c r="BO985" s="115"/>
      <c r="BP985" s="115"/>
      <c r="BQ985" s="115"/>
      <c r="BR985" s="115"/>
      <c r="BS985" s="115"/>
      <c r="BT985" s="115"/>
      <c r="BU985" s="13"/>
      <c r="BV985" s="13"/>
      <c r="BY985" s="114"/>
    </row>
    <row r="986" spans="1:77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27"/>
      <c r="AM986" s="29"/>
      <c r="AN986" s="115"/>
      <c r="AO986" s="115"/>
      <c r="AP986" s="115"/>
      <c r="AQ986" s="115"/>
      <c r="AR986" s="115"/>
      <c r="AS986" s="115"/>
      <c r="AT986" s="115"/>
      <c r="AU986" s="115"/>
      <c r="AV986" s="115"/>
      <c r="AW986" s="26"/>
      <c r="AX986" s="13"/>
      <c r="BC986" s="117"/>
      <c r="BD986" s="123"/>
      <c r="BE986" s="123"/>
      <c r="BF986" s="123"/>
      <c r="BG986" s="115"/>
      <c r="BH986" s="115"/>
      <c r="BI986" s="115"/>
      <c r="BJ986" s="115"/>
      <c r="BK986" s="115"/>
      <c r="BL986" s="115"/>
      <c r="BM986" s="115"/>
      <c r="BN986" s="115"/>
      <c r="BO986" s="115"/>
      <c r="BP986" s="115"/>
      <c r="BQ986" s="115"/>
      <c r="BR986" s="115"/>
      <c r="BS986" s="115"/>
      <c r="BT986" s="115"/>
      <c r="BU986" s="13"/>
      <c r="BV986" s="13"/>
      <c r="BY986" s="114"/>
    </row>
    <row r="987" spans="1:77" ht="19.5" x14ac:dyDescent="0.4">
      <c r="A987" s="117"/>
      <c r="B987" s="123"/>
      <c r="C987" s="123"/>
      <c r="D987" s="123"/>
      <c r="AL987" s="127"/>
      <c r="AM987" s="29"/>
      <c r="AW987" s="26"/>
      <c r="AX987" s="13"/>
      <c r="BC987" s="117"/>
      <c r="BD987" s="123"/>
      <c r="BE987" s="123"/>
      <c r="BF987" s="123"/>
      <c r="BG987" s="115"/>
      <c r="BH987" s="115"/>
      <c r="BI987" s="115"/>
      <c r="BJ987" s="115"/>
      <c r="BK987" s="115"/>
      <c r="BL987" s="115"/>
      <c r="BM987" s="115"/>
      <c r="BN987" s="115"/>
      <c r="BO987" s="115"/>
      <c r="BP987" s="115"/>
      <c r="BQ987" s="115"/>
      <c r="BR987" s="115"/>
      <c r="BS987" s="115"/>
      <c r="BT987" s="115"/>
      <c r="BU987" s="25">
        <v>45270</v>
      </c>
      <c r="BV987" s="13" t="s">
        <v>164</v>
      </c>
      <c r="BY987" s="114"/>
    </row>
    <row r="988" spans="1:77" ht="19.5" x14ac:dyDescent="0.4">
      <c r="A988" s="117"/>
      <c r="B988" s="123"/>
      <c r="C988" s="123"/>
      <c r="D988" s="123"/>
      <c r="AL988" s="127"/>
      <c r="AM988" s="29"/>
      <c r="AR988" s="115"/>
      <c r="AS988" s="115"/>
      <c r="AT988" s="115"/>
      <c r="AU988" s="115"/>
      <c r="AV988" s="115"/>
      <c r="AW988" s="17"/>
      <c r="AX988" s="13"/>
      <c r="BC988" s="117"/>
      <c r="BD988" s="123"/>
      <c r="BE988" s="123"/>
      <c r="BF988" s="123"/>
      <c r="BG988" s="115"/>
      <c r="BH988" s="115"/>
      <c r="BI988" s="115"/>
      <c r="BJ988" s="115"/>
      <c r="BK988" s="115"/>
      <c r="BL988" s="115"/>
      <c r="BM988" s="115"/>
      <c r="BN988" s="115"/>
      <c r="BO988" s="115"/>
      <c r="BP988" s="115"/>
      <c r="BQ988" s="115"/>
      <c r="BR988" s="115"/>
      <c r="BS988" s="115"/>
      <c r="BT988" s="115"/>
      <c r="BU988" s="25"/>
      <c r="BV988" s="13"/>
      <c r="BY988" s="114"/>
    </row>
    <row r="989" spans="1:77" ht="19.5" x14ac:dyDescent="0.4">
      <c r="A989" s="117"/>
      <c r="B989" s="123"/>
      <c r="C989" s="123"/>
      <c r="D989" s="123"/>
      <c r="AL989" s="127"/>
      <c r="AM989" s="29"/>
      <c r="AW989" s="26"/>
      <c r="AX989" s="13"/>
      <c r="BC989" s="117"/>
      <c r="BD989" s="123"/>
      <c r="BE989" s="123"/>
      <c r="BF989" s="123"/>
      <c r="BG989" s="115"/>
      <c r="BH989" s="115"/>
      <c r="BI989" s="115"/>
      <c r="BJ989" s="115"/>
      <c r="BK989" s="115"/>
      <c r="BL989" s="115"/>
      <c r="BM989" s="115"/>
      <c r="BN989" s="115"/>
      <c r="BO989" s="115"/>
      <c r="BP989" s="115"/>
      <c r="BQ989" s="115"/>
      <c r="BR989" s="115"/>
      <c r="BS989" s="115"/>
      <c r="BT989" s="115"/>
      <c r="BU989" s="25"/>
      <c r="BV989" s="13"/>
      <c r="BY989" s="114"/>
    </row>
    <row r="990" spans="1:77" ht="19.5" x14ac:dyDescent="0.4">
      <c r="A990" s="117"/>
      <c r="B990" s="123"/>
      <c r="C990" s="123"/>
      <c r="D990" s="123"/>
      <c r="AL990" s="127"/>
      <c r="AM990" s="29"/>
      <c r="AO990" s="115"/>
      <c r="AP990" s="115"/>
      <c r="AQ990" s="115"/>
      <c r="AR990" s="115"/>
      <c r="AS990" s="115"/>
      <c r="AT990" s="115"/>
      <c r="AU990" s="115"/>
      <c r="AV990" s="115"/>
      <c r="AW990" s="26"/>
      <c r="AX990" s="13"/>
      <c r="BC990" s="117"/>
      <c r="BD990" s="123"/>
      <c r="BE990" s="123"/>
      <c r="BF990" s="123"/>
      <c r="BG990" s="115"/>
      <c r="BH990" s="115"/>
      <c r="BI990" s="115"/>
      <c r="BJ990" s="115"/>
      <c r="BK990" s="115"/>
      <c r="BL990" s="115"/>
      <c r="BM990" s="115"/>
      <c r="BN990" s="115"/>
      <c r="BO990" s="115"/>
      <c r="BP990" s="115"/>
      <c r="BQ990" s="115"/>
      <c r="BR990" s="115"/>
      <c r="BS990" s="115"/>
      <c r="BT990" s="115"/>
      <c r="BU990" s="25"/>
      <c r="BV990" s="13"/>
      <c r="BY990" s="114"/>
    </row>
    <row r="991" spans="1:77" ht="19.5" x14ac:dyDescent="0.4">
      <c r="A991" s="117"/>
      <c r="B991" s="123"/>
      <c r="C991" s="123"/>
      <c r="D991" s="123"/>
      <c r="AL991" s="127"/>
      <c r="AM991" s="29"/>
      <c r="AW991" s="26"/>
      <c r="AX991" s="13"/>
      <c r="BC991" s="117"/>
      <c r="BD991" s="123"/>
      <c r="BE991" s="123"/>
      <c r="BF991" s="123"/>
      <c r="BG991" s="115"/>
      <c r="BH991" s="115"/>
      <c r="BI991" s="115"/>
      <c r="BJ991" s="115"/>
      <c r="BK991" s="115"/>
      <c r="BL991" s="115"/>
      <c r="BM991" s="115"/>
      <c r="BN991" s="115"/>
      <c r="BO991" s="115"/>
      <c r="BP991" s="115"/>
      <c r="BQ991" s="115"/>
      <c r="BR991" s="115"/>
      <c r="BS991" s="115"/>
      <c r="BT991" s="115"/>
      <c r="BU991" s="25">
        <v>45270</v>
      </c>
      <c r="BV991" s="13" t="s">
        <v>164</v>
      </c>
      <c r="BY991" s="114"/>
    </row>
    <row r="992" spans="1:77" ht="19.5" x14ac:dyDescent="0.4">
      <c r="A992" s="117"/>
      <c r="B992" s="123"/>
      <c r="C992" s="123"/>
      <c r="D992" s="123"/>
      <c r="AL992" s="127"/>
      <c r="AM992" s="29"/>
      <c r="AQ992" s="115"/>
      <c r="AR992" s="115"/>
      <c r="AS992" s="115"/>
      <c r="AT992" s="115"/>
      <c r="AU992" s="115"/>
      <c r="AV992" s="115"/>
      <c r="AW992" s="26"/>
      <c r="AX992" s="13"/>
      <c r="BC992" s="117"/>
      <c r="BD992" s="123"/>
      <c r="BE992" s="123"/>
      <c r="BF992" s="123"/>
      <c r="BG992" s="115"/>
      <c r="BH992" s="115"/>
      <c r="BI992" s="115"/>
      <c r="BJ992" s="115"/>
      <c r="BK992" s="115"/>
      <c r="BL992" s="115"/>
      <c r="BM992" s="115"/>
      <c r="BN992" s="115"/>
      <c r="BO992" s="115"/>
      <c r="BP992" s="115"/>
      <c r="BQ992" s="115"/>
      <c r="BR992" s="115"/>
      <c r="BS992" s="115"/>
      <c r="BT992" s="115"/>
      <c r="BU992" s="25"/>
      <c r="BV992" s="13"/>
      <c r="BY992" s="114"/>
    </row>
    <row r="993" spans="1:77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27"/>
      <c r="AM993" s="29"/>
      <c r="AN993" s="115"/>
      <c r="AO993" s="115"/>
      <c r="AP993" s="115"/>
      <c r="AQ993" s="115"/>
      <c r="AR993" s="115"/>
      <c r="AS993" s="115"/>
      <c r="AT993" s="115"/>
      <c r="AU993" s="115"/>
      <c r="AV993" s="115"/>
      <c r="AW993" s="26"/>
      <c r="AX993" s="13"/>
      <c r="BC993" s="117"/>
      <c r="BD993" s="123"/>
      <c r="BE993" s="123"/>
      <c r="BF993" s="123"/>
      <c r="BG993" s="115"/>
      <c r="BH993" s="115"/>
      <c r="BI993" s="115"/>
      <c r="BJ993" s="115"/>
      <c r="BK993" s="115"/>
      <c r="BL993" s="115"/>
      <c r="BM993" s="115"/>
      <c r="BN993" s="115"/>
      <c r="BO993" s="115"/>
      <c r="BP993" s="115"/>
      <c r="BQ993" s="115"/>
      <c r="BR993" s="115"/>
      <c r="BS993" s="115"/>
      <c r="BT993" s="115"/>
      <c r="BU993" s="25"/>
      <c r="BV993" s="13"/>
      <c r="BY993" s="114"/>
    </row>
    <row r="994" spans="1:77" ht="19.5" x14ac:dyDescent="0.4">
      <c r="A994" s="117"/>
      <c r="B994" s="123"/>
      <c r="C994" s="123"/>
      <c r="D994" s="123"/>
      <c r="AL994" s="127"/>
      <c r="AM994" s="29"/>
      <c r="AW994" s="26"/>
      <c r="AX994" s="13"/>
      <c r="BC994" s="117"/>
      <c r="BD994" s="123"/>
      <c r="BE994" s="123"/>
      <c r="BF994" s="123"/>
      <c r="BG994" s="115"/>
      <c r="BH994" s="115"/>
      <c r="BI994" s="115"/>
      <c r="BJ994" s="115"/>
      <c r="BK994" s="115"/>
      <c r="BL994" s="115"/>
      <c r="BM994" s="115"/>
      <c r="BN994" s="115"/>
      <c r="BO994" s="115"/>
      <c r="BP994" s="115"/>
      <c r="BQ994" s="115"/>
      <c r="BR994" s="115"/>
      <c r="BS994" s="115"/>
      <c r="BT994" s="115"/>
      <c r="BU994" s="25">
        <v>45270</v>
      </c>
      <c r="BV994" s="13" t="s">
        <v>162</v>
      </c>
      <c r="BY994" s="114"/>
    </row>
    <row r="995" spans="1:77" ht="19.5" x14ac:dyDescent="0.4">
      <c r="A995" s="117"/>
      <c r="B995" s="123"/>
      <c r="C995" s="123"/>
      <c r="D995" s="123"/>
      <c r="AL995" s="127"/>
      <c r="AM995" s="29"/>
      <c r="AP995" s="115"/>
      <c r="AQ995" s="115"/>
      <c r="AR995" s="115"/>
      <c r="AS995" s="115"/>
      <c r="AT995" s="115"/>
      <c r="AU995" s="115"/>
      <c r="AV995" s="115"/>
      <c r="AW995" s="26"/>
      <c r="AX995" s="15"/>
      <c r="BC995" s="117"/>
      <c r="BD995" s="123"/>
      <c r="BE995" s="123"/>
      <c r="BF995" s="123"/>
      <c r="BG995" s="115"/>
      <c r="BH995" s="115"/>
      <c r="BI995" s="115"/>
      <c r="BJ995" s="115"/>
      <c r="BK995" s="115"/>
      <c r="BL995" s="115"/>
      <c r="BM995" s="115"/>
      <c r="BN995" s="115"/>
      <c r="BO995" s="115"/>
      <c r="BP995" s="115"/>
      <c r="BQ995" s="115"/>
      <c r="BR995" s="115"/>
      <c r="BS995" s="115"/>
      <c r="BT995" s="115"/>
      <c r="BU995" s="25"/>
      <c r="BV995" s="13"/>
      <c r="BY995" s="114"/>
    </row>
    <row r="996" spans="1:77" ht="19.5" x14ac:dyDescent="0.4">
      <c r="A996" s="117"/>
      <c r="B996" s="123"/>
      <c r="C996" s="123"/>
      <c r="D996" s="123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29"/>
      <c r="AM996" s="29"/>
      <c r="AP996" s="115"/>
      <c r="AQ996" s="115"/>
      <c r="AR996" s="115"/>
      <c r="AS996" s="115"/>
      <c r="AT996" s="115"/>
      <c r="AU996" s="115"/>
      <c r="AV996" s="115"/>
      <c r="AW996" s="26"/>
      <c r="AX996" s="13"/>
      <c r="BC996" s="117"/>
      <c r="BD996" s="123"/>
      <c r="BE996" s="123"/>
      <c r="BF996" s="123"/>
      <c r="BG996" s="115"/>
      <c r="BH996" s="115"/>
      <c r="BI996" s="115"/>
      <c r="BJ996" s="115"/>
      <c r="BK996" s="115"/>
      <c r="BL996" s="115"/>
      <c r="BM996" s="115"/>
      <c r="BN996" s="115"/>
      <c r="BO996" s="115"/>
      <c r="BP996" s="115"/>
      <c r="BQ996" s="115"/>
      <c r="BR996" s="115"/>
      <c r="BS996" s="115"/>
      <c r="BT996" s="115"/>
      <c r="BU996" s="25"/>
      <c r="BV996" s="13"/>
      <c r="BY996" s="114"/>
    </row>
    <row r="997" spans="1:77" ht="19.5" x14ac:dyDescent="0.4">
      <c r="A997" s="117"/>
      <c r="B997" s="123"/>
      <c r="C997" s="123"/>
      <c r="D997" s="123"/>
      <c r="AL997" s="127"/>
      <c r="AM997" s="29"/>
      <c r="AW997" s="26"/>
      <c r="AX997" s="13"/>
      <c r="BC997" s="117"/>
      <c r="BD997" s="123"/>
      <c r="BE997" s="123"/>
      <c r="BF997" s="123"/>
      <c r="BG997" s="115"/>
      <c r="BH997" s="115"/>
      <c r="BI997" s="115"/>
      <c r="BJ997" s="115"/>
      <c r="BK997" s="115"/>
      <c r="BL997" s="115"/>
      <c r="BM997" s="115"/>
      <c r="BN997" s="115"/>
      <c r="BO997" s="115"/>
      <c r="BP997" s="115"/>
      <c r="BQ997" s="115"/>
      <c r="BR997" s="115"/>
      <c r="BS997" s="115"/>
      <c r="BT997" s="115"/>
      <c r="BU997" s="25">
        <v>45270</v>
      </c>
      <c r="BV997" s="13" t="s">
        <v>162</v>
      </c>
      <c r="BY997" s="114"/>
    </row>
    <row r="998" spans="1:77" ht="19.5" x14ac:dyDescent="0.4">
      <c r="A998" s="117"/>
      <c r="B998" s="123"/>
      <c r="C998" s="123"/>
      <c r="D998" s="123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29"/>
      <c r="AM998" s="29"/>
      <c r="AW998" s="26"/>
      <c r="AX998" s="13"/>
      <c r="BC998" s="117"/>
      <c r="BD998" s="123"/>
      <c r="BE998" s="123"/>
      <c r="BF998" s="123"/>
      <c r="BG998" s="115"/>
      <c r="BH998" s="115"/>
      <c r="BI998" s="115"/>
      <c r="BJ998" s="115"/>
      <c r="BK998" s="115"/>
      <c r="BL998" s="115"/>
      <c r="BM998" s="115"/>
      <c r="BN998" s="115"/>
      <c r="BO998" s="115"/>
      <c r="BP998" s="115"/>
      <c r="BQ998" s="115"/>
      <c r="BR998" s="115"/>
      <c r="BS998" s="115"/>
      <c r="BT998" s="115"/>
      <c r="BU998" s="25"/>
      <c r="BV998" s="13"/>
      <c r="BY998" s="114"/>
    </row>
    <row r="999" spans="1:77" ht="19.5" x14ac:dyDescent="0.4">
      <c r="A999" s="117"/>
      <c r="B999" s="123"/>
      <c r="C999" s="123"/>
      <c r="D999" s="123"/>
      <c r="AL999" s="127"/>
      <c r="AM999" s="29"/>
      <c r="AR999" s="115"/>
      <c r="AS999" s="115"/>
      <c r="AT999" s="115"/>
      <c r="AU999" s="115"/>
      <c r="AV999" s="115"/>
      <c r="AW999" s="17"/>
      <c r="AX999" s="13"/>
      <c r="BC999" s="117"/>
      <c r="BD999" s="123"/>
      <c r="BE999" s="123"/>
      <c r="BF999" s="123"/>
      <c r="BG999" s="115"/>
      <c r="BH999" s="115"/>
      <c r="BI999" s="115"/>
      <c r="BJ999" s="115"/>
      <c r="BK999" s="115"/>
      <c r="BL999" s="115"/>
      <c r="BM999" s="115"/>
      <c r="BN999" s="115"/>
      <c r="BO999" s="115"/>
      <c r="BP999" s="115"/>
      <c r="BQ999" s="115"/>
      <c r="BR999" s="115"/>
      <c r="BS999" s="115"/>
      <c r="BT999" s="115"/>
      <c r="BU999" s="25"/>
      <c r="BV999" s="13"/>
      <c r="BY999" s="114"/>
    </row>
    <row r="1000" spans="1:77" ht="19.5" x14ac:dyDescent="0.4">
      <c r="A1000" s="117"/>
      <c r="B1000" s="123"/>
      <c r="C1000" s="123"/>
      <c r="D1000" s="123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29"/>
      <c r="AM1000" s="29"/>
      <c r="AR1000" s="115"/>
      <c r="AS1000" s="115"/>
      <c r="AT1000" s="115"/>
      <c r="AU1000" s="115"/>
      <c r="AV1000" s="115"/>
      <c r="AW1000" s="17"/>
      <c r="AX1000" s="13"/>
      <c r="BC1000" s="117"/>
      <c r="BD1000" s="123"/>
      <c r="BE1000" s="123"/>
      <c r="BF1000" s="123"/>
      <c r="BG1000" s="115"/>
      <c r="BH1000" s="115"/>
      <c r="BI1000" s="115"/>
      <c r="BJ1000" s="115"/>
      <c r="BK1000" s="115"/>
      <c r="BL1000" s="115"/>
      <c r="BM1000" s="115"/>
      <c r="BN1000" s="115"/>
      <c r="BO1000" s="115"/>
      <c r="BP1000" s="115"/>
      <c r="BQ1000" s="115"/>
      <c r="BR1000" s="115"/>
      <c r="BS1000" s="115"/>
      <c r="BT1000" s="115"/>
      <c r="BU1000" s="25"/>
      <c r="BV1000" s="13"/>
      <c r="BY1000" s="114"/>
    </row>
    <row r="1001" spans="1:77" ht="19.5" x14ac:dyDescent="0.4">
      <c r="A1001" s="117"/>
      <c r="B1001" s="123"/>
      <c r="C1001" s="123"/>
      <c r="D1001" s="123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29"/>
      <c r="AM1001" s="29"/>
      <c r="AR1001" s="115"/>
      <c r="AS1001" s="115"/>
      <c r="AT1001" s="115"/>
      <c r="AU1001" s="115"/>
      <c r="AV1001" s="115"/>
      <c r="AW1001" s="17"/>
      <c r="AX1001" s="13"/>
      <c r="BC1001" s="117"/>
      <c r="BD1001" s="123"/>
      <c r="BE1001" s="123"/>
      <c r="BF1001" s="123"/>
      <c r="BG1001" s="115"/>
      <c r="BH1001" s="115"/>
      <c r="BI1001" s="115"/>
      <c r="BJ1001" s="115"/>
      <c r="BK1001" s="115"/>
      <c r="BL1001" s="115"/>
      <c r="BM1001" s="115"/>
      <c r="BN1001" s="115"/>
      <c r="BO1001" s="115"/>
      <c r="BP1001" s="115"/>
      <c r="BQ1001" s="115"/>
      <c r="BR1001" s="115"/>
      <c r="BS1001" s="115"/>
      <c r="BT1001" s="115"/>
      <c r="BU1001" s="25"/>
      <c r="BV1001" s="13"/>
      <c r="BY1001" s="114"/>
    </row>
    <row r="1002" spans="1:77" ht="19.5" x14ac:dyDescent="0.4">
      <c r="A1002" s="117"/>
      <c r="B1002" s="123"/>
      <c r="C1002" s="123"/>
      <c r="D1002" s="123"/>
      <c r="AL1002" s="115"/>
      <c r="AM1002" s="115"/>
      <c r="AN1002" s="115"/>
      <c r="AO1002" s="115"/>
      <c r="AP1002" s="115"/>
      <c r="AQ1002" s="115"/>
      <c r="AR1002" s="115"/>
      <c r="AS1002" s="115"/>
      <c r="AT1002" s="115"/>
      <c r="AU1002" s="115"/>
      <c r="AV1002" s="115"/>
      <c r="AW1002" s="26"/>
      <c r="AX1002" s="13"/>
      <c r="BC1002" s="117"/>
      <c r="BD1002" s="123"/>
      <c r="BE1002" s="123"/>
      <c r="BF1002" s="123"/>
      <c r="BG1002" s="115"/>
      <c r="BH1002" s="115"/>
      <c r="BI1002" s="115"/>
      <c r="BJ1002" s="115"/>
      <c r="BK1002" s="115"/>
      <c r="BL1002" s="115"/>
      <c r="BM1002" s="115"/>
      <c r="BN1002" s="115"/>
      <c r="BO1002" s="115"/>
      <c r="BP1002" s="115"/>
      <c r="BQ1002" s="115"/>
      <c r="BR1002" s="115"/>
      <c r="BS1002" s="115"/>
      <c r="BT1002" s="115"/>
      <c r="BU1002" s="25"/>
      <c r="BV1002" s="13"/>
      <c r="BY1002" s="114"/>
    </row>
    <row r="1003" spans="1:77" ht="19.5" x14ac:dyDescent="0.4">
      <c r="A1003" s="117"/>
      <c r="B1003" s="123"/>
      <c r="C1003" s="123"/>
      <c r="D1003" s="123"/>
      <c r="AW1003" s="26"/>
      <c r="AX1003" s="13"/>
      <c r="BC1003" s="117"/>
      <c r="BD1003" s="123"/>
      <c r="BE1003" s="123"/>
      <c r="BF1003" s="123"/>
      <c r="BG1003" s="115"/>
      <c r="BH1003" s="115"/>
      <c r="BI1003" s="115"/>
      <c r="BJ1003" s="115"/>
      <c r="BK1003" s="115"/>
      <c r="BL1003" s="115"/>
      <c r="BM1003" s="115"/>
      <c r="BN1003" s="115"/>
      <c r="BO1003" s="115"/>
      <c r="BP1003" s="115"/>
      <c r="BQ1003" s="115"/>
      <c r="BR1003" s="115"/>
      <c r="BS1003" s="115"/>
      <c r="BT1003" s="115"/>
      <c r="BU1003" s="25"/>
      <c r="BV1003" s="13"/>
      <c r="BY1003" s="114"/>
    </row>
    <row r="1004" spans="1:77" ht="19.5" x14ac:dyDescent="0.4">
      <c r="A1004" s="117"/>
      <c r="B1004" s="123"/>
      <c r="C1004" s="123"/>
      <c r="D1004" s="123"/>
      <c r="AW1004" s="26"/>
      <c r="AX1004" s="13"/>
      <c r="BC1004" s="117"/>
      <c r="BD1004" s="123"/>
      <c r="BE1004" s="123"/>
      <c r="BF1004" s="123"/>
      <c r="BG1004" s="115"/>
      <c r="BH1004" s="115"/>
      <c r="BI1004" s="115"/>
      <c r="BJ1004" s="115"/>
      <c r="BK1004" s="115"/>
      <c r="BL1004" s="115"/>
      <c r="BM1004" s="115"/>
      <c r="BN1004" s="115"/>
      <c r="BO1004" s="115"/>
      <c r="BP1004" s="115"/>
      <c r="BQ1004" s="115"/>
      <c r="BR1004" s="115"/>
      <c r="BS1004" s="115"/>
      <c r="BT1004" s="115"/>
      <c r="BU1004" s="25">
        <v>45270</v>
      </c>
      <c r="BV1004" s="13" t="s">
        <v>163</v>
      </c>
      <c r="BY1004" s="114"/>
    </row>
    <row r="1005" spans="1:77" ht="19.5" x14ac:dyDescent="0.4">
      <c r="A1005" s="117"/>
      <c r="B1005" s="123"/>
      <c r="C1005" s="123"/>
      <c r="D1005" s="123"/>
      <c r="AR1005" s="115"/>
      <c r="AS1005" s="115"/>
      <c r="AT1005" s="115"/>
      <c r="AU1005" s="115"/>
      <c r="AV1005" s="115"/>
      <c r="AW1005" s="17"/>
      <c r="AX1005" s="13"/>
      <c r="BC1005" s="117"/>
      <c r="BD1005" s="123"/>
      <c r="BE1005" s="123"/>
      <c r="BF1005" s="123"/>
      <c r="BG1005" s="115"/>
      <c r="BH1005" s="115"/>
      <c r="BI1005" s="115"/>
      <c r="BJ1005" s="115"/>
      <c r="BK1005" s="115"/>
      <c r="BL1005" s="115"/>
      <c r="BM1005" s="115"/>
      <c r="BN1005" s="115"/>
      <c r="BO1005" s="115"/>
      <c r="BP1005" s="115"/>
      <c r="BQ1005" s="115"/>
      <c r="BR1005" s="115"/>
      <c r="BS1005" s="115"/>
      <c r="BT1005" s="115"/>
      <c r="BU1005" s="25"/>
      <c r="BV1005" s="13"/>
      <c r="BY1005" s="114"/>
    </row>
    <row r="1006" spans="1:77" ht="19.5" x14ac:dyDescent="0.4">
      <c r="A1006" s="117"/>
      <c r="B1006" s="123"/>
      <c r="C1006" s="123"/>
      <c r="D1006" s="123"/>
      <c r="AW1006" s="26"/>
      <c r="AX1006" s="13"/>
      <c r="BC1006" s="117"/>
      <c r="BD1006" s="123"/>
      <c r="BE1006" s="123"/>
      <c r="BF1006" s="123"/>
      <c r="BG1006" s="115"/>
      <c r="BH1006" s="115"/>
      <c r="BI1006" s="115"/>
      <c r="BJ1006" s="115"/>
      <c r="BK1006" s="115"/>
      <c r="BL1006" s="115"/>
      <c r="BM1006" s="115"/>
      <c r="BN1006" s="115"/>
      <c r="BO1006" s="115"/>
      <c r="BP1006" s="115"/>
      <c r="BQ1006" s="115"/>
      <c r="BR1006" s="115"/>
      <c r="BS1006" s="115"/>
      <c r="BT1006" s="115" t="s">
        <v>151</v>
      </c>
      <c r="BU1006" s="13">
        <f>SUBTOTAL(3,BU987:BU1004)</f>
        <v>5</v>
      </c>
      <c r="BV1006" s="13">
        <f>SUBTOTAL(3,BV987:BV1004)</f>
        <v>5</v>
      </c>
      <c r="BY1006" s="114"/>
    </row>
    <row r="1007" spans="1:77" ht="19.5" x14ac:dyDescent="0.4">
      <c r="A1007" s="117"/>
      <c r="B1007" s="123"/>
      <c r="C1007" s="123"/>
      <c r="D1007" s="123"/>
      <c r="AQ1007" s="115"/>
      <c r="AR1007" s="115"/>
      <c r="AS1007" s="115"/>
      <c r="AT1007" s="115"/>
      <c r="AU1007" s="115"/>
      <c r="AV1007" s="115"/>
      <c r="AW1007" s="26"/>
      <c r="AX1007" s="13"/>
      <c r="BC1007" s="117"/>
      <c r="BD1007" s="123"/>
      <c r="BE1007" s="123"/>
      <c r="BF1007" s="123"/>
      <c r="BG1007" s="115"/>
      <c r="BH1007" s="115"/>
      <c r="BI1007" s="115"/>
      <c r="BJ1007" s="115"/>
      <c r="BK1007" s="115"/>
      <c r="BL1007" s="115"/>
      <c r="BM1007" s="115"/>
      <c r="BN1007" s="115"/>
      <c r="BO1007" s="115"/>
      <c r="BP1007" s="115"/>
      <c r="BQ1007" s="115"/>
      <c r="BR1007" s="115"/>
      <c r="BS1007" s="115"/>
      <c r="BT1007" s="115"/>
      <c r="BU1007" s="13"/>
      <c r="BV1007" s="13"/>
      <c r="BY1007" s="114"/>
    </row>
    <row r="1008" spans="1:77" ht="19.5" x14ac:dyDescent="0.4">
      <c r="A1008" s="117"/>
      <c r="B1008" s="123"/>
      <c r="C1008" s="123"/>
      <c r="D1008" s="123"/>
      <c r="AW1008" s="26"/>
      <c r="AX1008" s="13"/>
      <c r="BC1008" s="117"/>
      <c r="BD1008" s="123"/>
      <c r="BE1008" s="123"/>
      <c r="BF1008" s="123"/>
      <c r="BG1008" s="115"/>
      <c r="BH1008" s="115"/>
      <c r="BI1008" s="115"/>
      <c r="BJ1008" s="115"/>
      <c r="BK1008" s="115"/>
      <c r="BL1008" s="115"/>
      <c r="BM1008" s="115"/>
      <c r="BN1008" s="115"/>
      <c r="BO1008" s="115"/>
      <c r="BP1008" s="115"/>
      <c r="BQ1008" s="115"/>
      <c r="BR1008" s="115"/>
      <c r="BS1008" s="115"/>
      <c r="BT1008" s="115"/>
      <c r="BU1008" s="25">
        <v>45271</v>
      </c>
      <c r="BV1008" s="13" t="s">
        <v>162</v>
      </c>
      <c r="BY1008" s="114"/>
    </row>
    <row r="1009" spans="1:77" ht="19.5" x14ac:dyDescent="0.4">
      <c r="A1009" s="117"/>
      <c r="B1009" s="123"/>
      <c r="C1009" s="123"/>
      <c r="D1009" s="123"/>
      <c r="AW1009" s="26"/>
      <c r="AX1009" s="13"/>
      <c r="BC1009" s="117"/>
      <c r="BD1009" s="123"/>
      <c r="BE1009" s="123"/>
      <c r="BF1009" s="123"/>
      <c r="BG1009" s="115"/>
      <c r="BH1009" s="115"/>
      <c r="BI1009" s="115"/>
      <c r="BJ1009" s="115"/>
      <c r="BK1009" s="115"/>
      <c r="BL1009" s="115"/>
      <c r="BM1009" s="115"/>
      <c r="BN1009" s="115"/>
      <c r="BO1009" s="115"/>
      <c r="BP1009" s="115"/>
      <c r="BQ1009" s="115"/>
      <c r="BR1009" s="115"/>
      <c r="BS1009" s="115"/>
      <c r="BT1009" s="115"/>
      <c r="BU1009" s="25">
        <v>45271</v>
      </c>
      <c r="BV1009" s="13" t="s">
        <v>163</v>
      </c>
      <c r="BY1009" s="114"/>
    </row>
    <row r="1010" spans="1:77" ht="19.5" x14ac:dyDescent="0.4">
      <c r="A1010" s="117"/>
      <c r="B1010" s="123"/>
      <c r="C1010" s="123"/>
      <c r="D1010" s="123"/>
      <c r="AQ1010" s="115"/>
      <c r="AR1010" s="115"/>
      <c r="AS1010" s="115"/>
      <c r="AT1010" s="115"/>
      <c r="AU1010" s="115"/>
      <c r="AV1010" s="115"/>
      <c r="AW1010" s="26"/>
      <c r="AX1010" s="13"/>
      <c r="BC1010" s="117"/>
      <c r="BD1010" s="123"/>
      <c r="BE1010" s="123"/>
      <c r="BF1010" s="123"/>
      <c r="BG1010" s="115"/>
      <c r="BH1010" s="115"/>
      <c r="BI1010" s="115"/>
      <c r="BJ1010" s="115"/>
      <c r="BK1010" s="115"/>
      <c r="BL1010" s="115"/>
      <c r="BM1010" s="115"/>
      <c r="BN1010" s="115"/>
      <c r="BO1010" s="115"/>
      <c r="BP1010" s="115"/>
      <c r="BQ1010" s="115"/>
      <c r="BR1010" s="115"/>
      <c r="BS1010" s="115"/>
      <c r="BT1010" s="115"/>
      <c r="BU1010" s="25"/>
      <c r="BV1010" s="13"/>
      <c r="BY1010" s="114"/>
    </row>
    <row r="1011" spans="1:77" ht="19.5" x14ac:dyDescent="0.4">
      <c r="A1011" s="117"/>
      <c r="B1011" s="123"/>
      <c r="C1011" s="123"/>
      <c r="D1011" s="123"/>
      <c r="AP1011" s="115"/>
      <c r="AQ1011" s="115"/>
      <c r="AR1011" s="115"/>
      <c r="AS1011" s="115"/>
      <c r="AT1011" s="115"/>
      <c r="AU1011" s="115"/>
      <c r="AV1011" s="115"/>
      <c r="AW1011" s="26"/>
      <c r="AX1011" s="13"/>
      <c r="BC1011" s="117"/>
      <c r="BD1011" s="123"/>
      <c r="BE1011" s="123"/>
      <c r="BF1011" s="123"/>
      <c r="BG1011" s="115"/>
      <c r="BH1011" s="115"/>
      <c r="BI1011" s="115"/>
      <c r="BJ1011" s="115"/>
      <c r="BK1011" s="115"/>
      <c r="BL1011" s="115"/>
      <c r="BM1011" s="115"/>
      <c r="BN1011" s="115"/>
      <c r="BO1011" s="115"/>
      <c r="BP1011" s="115"/>
      <c r="BQ1011" s="115"/>
      <c r="BR1011" s="115"/>
      <c r="BS1011" s="115"/>
      <c r="BT1011" s="115"/>
      <c r="BU1011" s="25"/>
      <c r="BV1011" s="13"/>
      <c r="BY1011" s="114"/>
    </row>
    <row r="1012" spans="1:77" ht="19.5" x14ac:dyDescent="0.4">
      <c r="A1012" s="117"/>
      <c r="B1012" s="123"/>
      <c r="C1012" s="123"/>
      <c r="D1012" s="123"/>
      <c r="AP1012" s="115"/>
      <c r="AQ1012" s="115"/>
      <c r="AR1012" s="115"/>
      <c r="AS1012" s="115"/>
      <c r="AT1012" s="115"/>
      <c r="AU1012" s="115"/>
      <c r="AV1012" s="115"/>
      <c r="AW1012" s="17"/>
      <c r="AX1012" s="13"/>
      <c r="BC1012" s="117"/>
      <c r="BD1012" s="123"/>
      <c r="BE1012" s="123"/>
      <c r="BF1012" s="123"/>
      <c r="BG1012" s="115"/>
      <c r="BH1012" s="115"/>
      <c r="BI1012" s="115"/>
      <c r="BJ1012" s="115"/>
      <c r="BK1012" s="115"/>
      <c r="BL1012" s="115"/>
      <c r="BM1012" s="115"/>
      <c r="BN1012" s="115"/>
      <c r="BO1012" s="115"/>
      <c r="BP1012" s="115"/>
      <c r="BQ1012" s="115"/>
      <c r="BR1012" s="115"/>
      <c r="BS1012" s="115"/>
      <c r="BT1012" s="115"/>
      <c r="BU1012" s="25"/>
      <c r="BV1012" s="13"/>
      <c r="BY1012" s="114"/>
    </row>
    <row r="1013" spans="1:77" ht="19.5" x14ac:dyDescent="0.4">
      <c r="A1013" s="117"/>
      <c r="B1013" s="123"/>
      <c r="C1013" s="123"/>
      <c r="D1013" s="123"/>
      <c r="AN1013" s="115"/>
      <c r="AO1013" s="115"/>
      <c r="AP1013" s="115"/>
      <c r="AQ1013" s="115"/>
      <c r="AR1013" s="115"/>
      <c r="AS1013" s="115"/>
      <c r="AT1013" s="115"/>
      <c r="AU1013" s="115"/>
      <c r="AV1013" s="115"/>
      <c r="AW1013" s="26"/>
      <c r="AX1013" s="13"/>
      <c r="BC1013" s="117"/>
      <c r="BD1013" s="123"/>
      <c r="BE1013" s="123"/>
      <c r="BF1013" s="123"/>
      <c r="BG1013" s="115"/>
      <c r="BH1013" s="115"/>
      <c r="BI1013" s="115"/>
      <c r="BJ1013" s="115"/>
      <c r="BK1013" s="115"/>
      <c r="BL1013" s="115"/>
      <c r="BM1013" s="115"/>
      <c r="BN1013" s="115"/>
      <c r="BO1013" s="115"/>
      <c r="BP1013" s="115"/>
      <c r="BQ1013" s="115"/>
      <c r="BR1013" s="115"/>
      <c r="BS1013" s="115"/>
      <c r="BT1013" s="115"/>
      <c r="BU1013" s="25"/>
      <c r="BV1013" s="13"/>
      <c r="BY1013" s="114"/>
    </row>
    <row r="1014" spans="1:77" ht="19.5" x14ac:dyDescent="0.4">
      <c r="A1014" s="117"/>
      <c r="B1014" s="123"/>
      <c r="C1014" s="123"/>
      <c r="D1014" s="123"/>
      <c r="AW1014" s="26"/>
      <c r="AX1014" s="13"/>
      <c r="BC1014" s="117"/>
      <c r="BD1014" s="123"/>
      <c r="BE1014" s="123"/>
      <c r="BF1014" s="123"/>
      <c r="BG1014" s="115"/>
      <c r="BH1014" s="115"/>
      <c r="BI1014" s="115"/>
      <c r="BJ1014" s="115"/>
      <c r="BK1014" s="115"/>
      <c r="BL1014" s="115"/>
      <c r="BM1014" s="115"/>
      <c r="BN1014" s="115"/>
      <c r="BO1014" s="115"/>
      <c r="BP1014" s="115"/>
      <c r="BQ1014" s="115"/>
      <c r="BR1014" s="115"/>
      <c r="BS1014" s="115"/>
      <c r="BT1014" s="115"/>
      <c r="BU1014" s="25">
        <v>45271</v>
      </c>
      <c r="BV1014" s="13" t="s">
        <v>163</v>
      </c>
      <c r="BY1014" s="114"/>
    </row>
    <row r="1015" spans="1:77" ht="19.5" x14ac:dyDescent="0.4">
      <c r="A1015" s="117"/>
      <c r="B1015" s="123"/>
      <c r="C1015" s="123"/>
      <c r="D1015" s="123"/>
      <c r="AQ1015" s="115"/>
      <c r="AR1015" s="115"/>
      <c r="AS1015" s="115"/>
      <c r="AT1015" s="115"/>
      <c r="AU1015" s="115"/>
      <c r="AV1015" s="115"/>
      <c r="AW1015" s="26"/>
      <c r="AX1015" s="13"/>
      <c r="BC1015" s="117"/>
      <c r="BD1015" s="123"/>
      <c r="BE1015" s="123"/>
      <c r="BF1015" s="123"/>
      <c r="BG1015" s="115"/>
      <c r="BH1015" s="115"/>
      <c r="BI1015" s="115"/>
      <c r="BJ1015" s="115"/>
      <c r="BK1015" s="115"/>
      <c r="BL1015" s="115"/>
      <c r="BM1015" s="115"/>
      <c r="BN1015" s="115"/>
      <c r="BO1015" s="115"/>
      <c r="BP1015" s="115"/>
      <c r="BQ1015" s="115"/>
      <c r="BR1015" s="115"/>
      <c r="BS1015" s="115"/>
      <c r="BT1015" s="115"/>
      <c r="BU1015" s="25"/>
      <c r="BV1015" s="13"/>
      <c r="BY1015" s="114"/>
    </row>
    <row r="1016" spans="1:77" ht="19.5" x14ac:dyDescent="0.4">
      <c r="A1016" s="117"/>
      <c r="B1016" s="123"/>
      <c r="C1016" s="123"/>
      <c r="D1016" s="123"/>
      <c r="AO1016" s="115"/>
      <c r="AP1016" s="115"/>
      <c r="AQ1016" s="115"/>
      <c r="AR1016" s="115"/>
      <c r="AS1016" s="115"/>
      <c r="AT1016" s="115"/>
      <c r="AU1016" s="115"/>
      <c r="AV1016" s="115"/>
      <c r="AW1016" s="26"/>
      <c r="AX1016" s="13"/>
      <c r="BC1016" s="117"/>
      <c r="BD1016" s="123"/>
      <c r="BE1016" s="123"/>
      <c r="BF1016" s="123"/>
      <c r="BG1016" s="115"/>
      <c r="BH1016" s="115"/>
      <c r="BI1016" s="115"/>
      <c r="BJ1016" s="115"/>
      <c r="BK1016" s="115"/>
      <c r="BL1016" s="115"/>
      <c r="BM1016" s="115"/>
      <c r="BN1016" s="115"/>
      <c r="BO1016" s="115"/>
      <c r="BP1016" s="115"/>
      <c r="BQ1016" s="115"/>
      <c r="BR1016" s="115"/>
      <c r="BS1016" s="115"/>
      <c r="BT1016" s="115"/>
      <c r="BU1016" s="25"/>
      <c r="BV1016" s="13"/>
      <c r="BY1016" s="114"/>
    </row>
    <row r="1017" spans="1:77" ht="19.5" x14ac:dyDescent="0.4">
      <c r="A1017" s="117"/>
      <c r="B1017" s="123"/>
      <c r="C1017" s="123"/>
      <c r="D1017" s="123"/>
      <c r="AO1017" s="115"/>
      <c r="AP1017" s="115"/>
      <c r="AQ1017" s="115"/>
      <c r="AR1017" s="115"/>
      <c r="AS1017" s="115"/>
      <c r="AT1017" s="115"/>
      <c r="AU1017" s="115"/>
      <c r="AV1017" s="115"/>
      <c r="AW1017" s="17"/>
      <c r="AX1017" s="13"/>
      <c r="BC1017" s="117"/>
      <c r="BD1017" s="123"/>
      <c r="BE1017" s="123"/>
      <c r="BF1017" s="123"/>
      <c r="BG1017" s="115"/>
      <c r="BH1017" s="115"/>
      <c r="BI1017" s="115"/>
      <c r="BJ1017" s="115"/>
      <c r="BK1017" s="115"/>
      <c r="BL1017" s="115"/>
      <c r="BM1017" s="115"/>
      <c r="BN1017" s="115"/>
      <c r="BO1017" s="115"/>
      <c r="BP1017" s="115"/>
      <c r="BQ1017" s="115"/>
      <c r="BR1017" s="115"/>
      <c r="BS1017" s="115"/>
      <c r="BT1017" s="115"/>
      <c r="BU1017" s="25"/>
      <c r="BV1017" s="13"/>
      <c r="BY1017" s="114"/>
    </row>
    <row r="1018" spans="1:77" ht="19.5" x14ac:dyDescent="0.4">
      <c r="A1018" s="117"/>
      <c r="B1018" s="123"/>
      <c r="C1018" s="123"/>
      <c r="D1018" s="123"/>
      <c r="AW1018" s="26"/>
      <c r="AX1018" s="13"/>
      <c r="BC1018" s="117"/>
      <c r="BD1018" s="123"/>
      <c r="BE1018" s="123"/>
      <c r="BF1018" s="123"/>
      <c r="BG1018" s="115"/>
      <c r="BH1018" s="115"/>
      <c r="BI1018" s="115"/>
      <c r="BJ1018" s="115"/>
      <c r="BK1018" s="115"/>
      <c r="BL1018" s="115"/>
      <c r="BM1018" s="115"/>
      <c r="BN1018" s="115"/>
      <c r="BO1018" s="115"/>
      <c r="BP1018" s="115"/>
      <c r="BQ1018" s="115"/>
      <c r="BR1018" s="115"/>
      <c r="BS1018" s="115"/>
      <c r="BT1018" s="115" t="s">
        <v>165</v>
      </c>
      <c r="BU1018" s="13">
        <f>SUBTOTAL(3,BU1008:BU1014)</f>
        <v>3</v>
      </c>
      <c r="BV1018" s="13">
        <f>SUBTOTAL(3,BV1008:BV1014)</f>
        <v>3</v>
      </c>
      <c r="BY1018" s="114"/>
    </row>
    <row r="1019" spans="1:77" ht="19.5" x14ac:dyDescent="0.4">
      <c r="A1019" s="117"/>
      <c r="B1019" s="123"/>
      <c r="C1019" s="123"/>
      <c r="D1019" s="123"/>
      <c r="AW1019" s="26"/>
      <c r="AX1019" s="13"/>
      <c r="BC1019" s="117"/>
      <c r="BD1019" s="123"/>
      <c r="BE1019" s="123"/>
      <c r="BF1019" s="123"/>
      <c r="BG1019" s="115"/>
      <c r="BH1019" s="115"/>
      <c r="BI1019" s="115"/>
      <c r="BJ1019" s="115"/>
      <c r="BK1019" s="115"/>
      <c r="BL1019" s="115"/>
      <c r="BM1019" s="115"/>
      <c r="BN1019" s="115"/>
      <c r="BO1019" s="115"/>
      <c r="BP1019" s="115"/>
      <c r="BQ1019" s="115"/>
      <c r="BR1019" s="115"/>
      <c r="BS1019" s="115"/>
      <c r="BT1019" s="115"/>
      <c r="BU1019" s="25">
        <v>45272</v>
      </c>
      <c r="BV1019" s="13" t="s">
        <v>162</v>
      </c>
      <c r="BY1019" s="114"/>
    </row>
    <row r="1020" spans="1:77" ht="19.5" x14ac:dyDescent="0.4">
      <c r="A1020" s="117"/>
      <c r="B1020" s="123"/>
      <c r="C1020" s="123"/>
      <c r="D1020" s="123"/>
      <c r="AR1020" s="115"/>
      <c r="AS1020" s="115"/>
      <c r="AT1020" s="115"/>
      <c r="AU1020" s="115"/>
      <c r="AV1020" s="115"/>
      <c r="AW1020" s="17"/>
      <c r="AX1020" s="13"/>
      <c r="BC1020" s="117"/>
      <c r="BD1020" s="123"/>
      <c r="BE1020" s="123"/>
      <c r="BF1020" s="123"/>
      <c r="BG1020" s="115"/>
      <c r="BH1020" s="115"/>
      <c r="BI1020" s="115"/>
      <c r="BJ1020" s="115"/>
      <c r="BK1020" s="115"/>
      <c r="BL1020" s="115"/>
      <c r="BM1020" s="115"/>
      <c r="BN1020" s="115"/>
      <c r="BO1020" s="115"/>
      <c r="BP1020" s="115"/>
      <c r="BQ1020" s="115"/>
      <c r="BR1020" s="115"/>
      <c r="BS1020" s="115"/>
      <c r="BT1020" s="115"/>
      <c r="BU1020" s="25"/>
      <c r="BV1020" s="13"/>
      <c r="BY1020" s="114"/>
    </row>
    <row r="1021" spans="1:77" ht="19.5" x14ac:dyDescent="0.4">
      <c r="A1021" s="117"/>
      <c r="B1021" s="123"/>
      <c r="C1021" s="123"/>
      <c r="D1021" s="123"/>
      <c r="AW1021" s="26"/>
      <c r="AX1021" s="15"/>
      <c r="BC1021" s="117"/>
      <c r="BD1021" s="123"/>
      <c r="BE1021" s="123"/>
      <c r="BF1021" s="123"/>
      <c r="BG1021" s="115"/>
      <c r="BH1021" s="115"/>
      <c r="BI1021" s="115"/>
      <c r="BJ1021" s="115"/>
      <c r="BK1021" s="115"/>
      <c r="BL1021" s="115"/>
      <c r="BM1021" s="115"/>
      <c r="BN1021" s="115"/>
      <c r="BO1021" s="115"/>
      <c r="BP1021" s="115"/>
      <c r="BQ1021" s="115"/>
      <c r="BR1021" s="115"/>
      <c r="BS1021" s="115"/>
      <c r="BT1021" s="115"/>
      <c r="BU1021" s="25">
        <v>45272</v>
      </c>
      <c r="BV1021" s="13" t="s">
        <v>162</v>
      </c>
      <c r="BY1021" s="114"/>
    </row>
    <row r="1022" spans="1:77" ht="19.5" x14ac:dyDescent="0.4">
      <c r="A1022" s="117"/>
      <c r="B1022" s="123"/>
      <c r="C1022" s="123"/>
      <c r="D1022" s="123"/>
      <c r="AR1022" s="115"/>
      <c r="AS1022" s="115"/>
      <c r="AT1022" s="115"/>
      <c r="AU1022" s="115"/>
      <c r="AV1022" s="115"/>
      <c r="AW1022" s="17"/>
      <c r="AX1022" s="13"/>
      <c r="BC1022" s="117"/>
      <c r="BD1022" s="123"/>
      <c r="BE1022" s="123"/>
      <c r="BF1022" s="123"/>
      <c r="BG1022" s="115"/>
      <c r="BH1022" s="115"/>
      <c r="BI1022" s="115"/>
      <c r="BJ1022" s="115"/>
      <c r="BK1022" s="115"/>
      <c r="BL1022" s="115"/>
      <c r="BM1022" s="115"/>
      <c r="BN1022" s="115"/>
      <c r="BO1022" s="115"/>
      <c r="BP1022" s="115"/>
      <c r="BQ1022" s="115"/>
      <c r="BR1022" s="115"/>
      <c r="BS1022" s="115"/>
      <c r="BT1022" s="115"/>
      <c r="BU1022" s="25"/>
      <c r="BV1022" s="13"/>
      <c r="BY1022" s="114"/>
    </row>
    <row r="1023" spans="1:77" ht="19.5" x14ac:dyDescent="0.4">
      <c r="A1023" s="117"/>
      <c r="B1023" s="123"/>
      <c r="C1023" s="123"/>
      <c r="D1023" s="123"/>
      <c r="AR1023" s="115"/>
      <c r="AS1023" s="115"/>
      <c r="AT1023" s="115"/>
      <c r="AU1023" s="115"/>
      <c r="AV1023" s="115"/>
      <c r="AW1023" s="17"/>
      <c r="AX1023" s="13"/>
      <c r="BC1023" s="117"/>
      <c r="BD1023" s="123"/>
      <c r="BE1023" s="123"/>
      <c r="BF1023" s="123"/>
      <c r="BG1023" s="115"/>
      <c r="BH1023" s="115"/>
      <c r="BI1023" s="115"/>
      <c r="BJ1023" s="115"/>
      <c r="BK1023" s="115"/>
      <c r="BL1023" s="115"/>
      <c r="BM1023" s="115"/>
      <c r="BN1023" s="115"/>
      <c r="BO1023" s="115"/>
      <c r="BP1023" s="115"/>
      <c r="BQ1023" s="115"/>
      <c r="BR1023" s="115"/>
      <c r="BS1023" s="115"/>
      <c r="BT1023" s="115"/>
      <c r="BU1023" s="25"/>
      <c r="BV1023" s="13"/>
      <c r="BY1023" s="114"/>
    </row>
    <row r="1024" spans="1:77" ht="19.5" x14ac:dyDescent="0.4">
      <c r="A1024" s="117"/>
      <c r="B1024" s="123"/>
      <c r="C1024" s="123"/>
      <c r="D1024" s="123"/>
      <c r="AW1024" s="26"/>
      <c r="AX1024" s="13"/>
      <c r="BC1024" s="117"/>
      <c r="BD1024" s="123"/>
      <c r="BE1024" s="123"/>
      <c r="BF1024" s="123"/>
      <c r="BG1024" s="115"/>
      <c r="BH1024" s="115"/>
      <c r="BI1024" s="115"/>
      <c r="BJ1024" s="115"/>
      <c r="BK1024" s="115"/>
      <c r="BL1024" s="115"/>
      <c r="BM1024" s="115"/>
      <c r="BN1024" s="115"/>
      <c r="BO1024" s="115"/>
      <c r="BP1024" s="115"/>
      <c r="BQ1024" s="115"/>
      <c r="BR1024" s="115"/>
      <c r="BS1024" s="115"/>
      <c r="BT1024" s="115"/>
      <c r="BU1024" s="25">
        <v>45272</v>
      </c>
      <c r="BV1024" s="13" t="s">
        <v>162</v>
      </c>
      <c r="BY1024" s="114"/>
    </row>
    <row r="1025" spans="1:77" ht="19.5" x14ac:dyDescent="0.4">
      <c r="A1025" s="125"/>
      <c r="B1025" s="126"/>
      <c r="C1025" s="126"/>
      <c r="D1025" s="126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  <c r="AK1025" s="115"/>
      <c r="AL1025" s="115"/>
      <c r="AM1025" s="115"/>
      <c r="AN1025" s="115"/>
      <c r="AO1025" s="115"/>
      <c r="AP1025" s="115"/>
      <c r="AQ1025" s="115"/>
      <c r="AR1025" s="115"/>
      <c r="AS1025" s="115"/>
      <c r="AT1025" s="115"/>
      <c r="AU1025" s="115"/>
      <c r="AV1025" s="115"/>
      <c r="AW1025" s="26"/>
      <c r="AX1025" s="13"/>
      <c r="BC1025" s="117"/>
      <c r="BD1025" s="123"/>
      <c r="BE1025" s="123"/>
      <c r="BF1025" s="123"/>
      <c r="BG1025" s="115"/>
      <c r="BH1025" s="115"/>
      <c r="BI1025" s="115"/>
      <c r="BJ1025" s="115"/>
      <c r="BK1025" s="115"/>
      <c r="BL1025" s="115"/>
      <c r="BM1025" s="115"/>
      <c r="BN1025" s="115"/>
      <c r="BO1025" s="115"/>
      <c r="BP1025" s="115"/>
      <c r="BQ1025" s="115"/>
      <c r="BR1025" s="115"/>
      <c r="BS1025" s="115"/>
      <c r="BT1025" s="115"/>
      <c r="BU1025" s="25"/>
      <c r="BV1025" s="13"/>
      <c r="BY1025" s="114"/>
    </row>
    <row r="1026" spans="1:77" ht="19.5" x14ac:dyDescent="0.4">
      <c r="A1026" s="125"/>
      <c r="B1026" s="126"/>
      <c r="C1026" s="126"/>
      <c r="D1026" s="126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115"/>
      <c r="AN1026" s="115"/>
      <c r="AO1026" s="115"/>
      <c r="AP1026" s="115"/>
      <c r="AQ1026" s="115"/>
      <c r="AR1026" s="115"/>
      <c r="AS1026" s="115"/>
      <c r="AT1026" s="115"/>
      <c r="AU1026" s="115"/>
      <c r="AV1026" s="115"/>
      <c r="AW1026" s="26"/>
      <c r="AX1026" s="13"/>
      <c r="BC1026" s="117"/>
      <c r="BD1026" s="123"/>
      <c r="BE1026" s="123"/>
      <c r="BF1026" s="123"/>
      <c r="BG1026" s="115"/>
      <c r="BH1026" s="115"/>
      <c r="BI1026" s="115"/>
      <c r="BJ1026" s="115"/>
      <c r="BK1026" s="115"/>
      <c r="BL1026" s="115"/>
      <c r="BM1026" s="115"/>
      <c r="BN1026" s="115"/>
      <c r="BO1026" s="115"/>
      <c r="BP1026" s="115"/>
      <c r="BQ1026" s="115"/>
      <c r="BR1026" s="115"/>
      <c r="BS1026" s="115"/>
      <c r="BT1026" s="115"/>
      <c r="BU1026" s="25"/>
      <c r="BV1026" s="13"/>
      <c r="BY1026" s="114"/>
    </row>
    <row r="1027" spans="1:77" ht="19.5" x14ac:dyDescent="0.4">
      <c r="A1027" s="125"/>
      <c r="B1027" s="126"/>
      <c r="C1027" s="126"/>
      <c r="D1027" s="126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115"/>
      <c r="AS1027" s="115"/>
      <c r="AT1027" s="115"/>
      <c r="AU1027" s="115"/>
      <c r="AV1027" s="115"/>
      <c r="AW1027" s="17"/>
      <c r="AX1027" s="13"/>
      <c r="BC1027" s="117"/>
      <c r="BD1027" s="123"/>
      <c r="BE1027" s="123"/>
      <c r="BF1027" s="123"/>
      <c r="BG1027" s="115"/>
      <c r="BH1027" s="115"/>
      <c r="BI1027" s="115"/>
      <c r="BJ1027" s="115"/>
      <c r="BK1027" s="115"/>
      <c r="BL1027" s="115"/>
      <c r="BM1027" s="115"/>
      <c r="BN1027" s="115"/>
      <c r="BO1027" s="115"/>
      <c r="BP1027" s="115"/>
      <c r="BQ1027" s="115"/>
      <c r="BR1027" s="115"/>
      <c r="BS1027" s="115"/>
      <c r="BT1027" s="115"/>
      <c r="BU1027" s="25"/>
      <c r="BV1027" s="13"/>
      <c r="BY1027" s="114"/>
    </row>
    <row r="1028" spans="1:77" ht="19.5" x14ac:dyDescent="0.4">
      <c r="A1028" s="125"/>
      <c r="B1028" s="126"/>
      <c r="C1028" s="126"/>
      <c r="D1028" s="126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15"/>
      <c r="AU1028" s="115"/>
      <c r="AV1028" s="115"/>
      <c r="AW1028" s="26"/>
      <c r="AX1028" s="13"/>
      <c r="BC1028" s="117"/>
      <c r="BD1028" s="123"/>
      <c r="BE1028" s="123"/>
      <c r="BF1028" s="123"/>
      <c r="BG1028" s="115"/>
      <c r="BH1028" s="115"/>
      <c r="BI1028" s="115"/>
      <c r="BJ1028" s="115"/>
      <c r="BK1028" s="115"/>
      <c r="BL1028" s="115"/>
      <c r="BM1028" s="115"/>
      <c r="BN1028" s="115"/>
      <c r="BO1028" s="115"/>
      <c r="BP1028" s="115"/>
      <c r="BQ1028" s="115"/>
      <c r="BR1028" s="115"/>
      <c r="BS1028" s="115"/>
      <c r="BT1028" s="115"/>
      <c r="BU1028" s="25"/>
      <c r="BV1028" s="13"/>
      <c r="BY1028" s="114"/>
    </row>
    <row r="1029" spans="1:77" ht="19.5" x14ac:dyDescent="0.4">
      <c r="AW1029" s="26"/>
      <c r="AX1029" s="13"/>
      <c r="BC1029" s="117"/>
      <c r="BD1029" s="123"/>
      <c r="BE1029" s="123"/>
      <c r="BF1029" s="123"/>
      <c r="BG1029" s="115"/>
      <c r="BH1029" s="115"/>
      <c r="BI1029" s="115"/>
      <c r="BJ1029" s="115"/>
      <c r="BK1029" s="115"/>
      <c r="BL1029" s="115"/>
      <c r="BM1029" s="115"/>
      <c r="BN1029" s="115"/>
      <c r="BO1029" s="115"/>
      <c r="BP1029" s="115"/>
      <c r="BQ1029" s="115"/>
      <c r="BR1029" s="115"/>
      <c r="BS1029" s="115"/>
      <c r="BT1029" s="115"/>
      <c r="BU1029" s="25">
        <v>45272</v>
      </c>
      <c r="BV1029" s="13" t="s">
        <v>162</v>
      </c>
      <c r="BY1029" s="114"/>
    </row>
    <row r="1030" spans="1:77" ht="19.5" x14ac:dyDescent="0.4">
      <c r="AW1030" s="26"/>
      <c r="AX1030" s="13"/>
      <c r="BC1030" s="117"/>
      <c r="BD1030" s="123"/>
      <c r="BE1030" s="123"/>
      <c r="BF1030" s="123"/>
      <c r="BG1030" s="115"/>
      <c r="BH1030" s="115"/>
      <c r="BI1030" s="115"/>
      <c r="BJ1030" s="115"/>
      <c r="BK1030" s="115"/>
      <c r="BL1030" s="115"/>
      <c r="BM1030" s="115"/>
      <c r="BN1030" s="115"/>
      <c r="BO1030" s="115"/>
      <c r="BP1030" s="115"/>
      <c r="BQ1030" s="115"/>
      <c r="BR1030" s="115"/>
      <c r="BS1030" s="115"/>
      <c r="BT1030" s="115"/>
      <c r="BU1030" s="25"/>
      <c r="BV1030" s="13"/>
      <c r="BY1030" s="114"/>
    </row>
    <row r="1031" spans="1:77" ht="19.5" x14ac:dyDescent="0.4">
      <c r="AM1031" s="115"/>
      <c r="AN1031" s="115"/>
      <c r="AO1031" s="115"/>
      <c r="AP1031" s="115"/>
      <c r="AQ1031" s="115"/>
      <c r="AR1031" s="115"/>
      <c r="AS1031" s="115"/>
      <c r="AT1031" s="115"/>
      <c r="AU1031" s="115"/>
      <c r="AV1031" s="115"/>
      <c r="AW1031" s="26"/>
      <c r="AX1031" s="25"/>
      <c r="BC1031" s="117"/>
      <c r="BD1031" s="123"/>
      <c r="BE1031" s="123"/>
      <c r="BF1031" s="123"/>
      <c r="BG1031" s="115"/>
      <c r="BH1031" s="115"/>
      <c r="BI1031" s="115"/>
      <c r="BJ1031" s="115"/>
      <c r="BK1031" s="115"/>
      <c r="BL1031" s="115"/>
      <c r="BM1031" s="115"/>
      <c r="BN1031" s="115"/>
      <c r="BO1031" s="115"/>
      <c r="BP1031" s="115"/>
      <c r="BQ1031" s="115"/>
      <c r="BR1031" s="115"/>
      <c r="BS1031" s="115"/>
      <c r="BT1031" s="115"/>
      <c r="BU1031" s="25"/>
      <c r="BV1031" s="13"/>
      <c r="BY1031" s="114"/>
    </row>
    <row r="1032" spans="1:77" ht="19.5" x14ac:dyDescent="0.4">
      <c r="AW1032" s="26"/>
      <c r="AX1032" s="25"/>
      <c r="BC1032" s="117"/>
      <c r="BD1032" s="123"/>
      <c r="BE1032" s="123"/>
      <c r="BF1032" s="123"/>
      <c r="BG1032" s="115"/>
      <c r="BH1032" s="115"/>
      <c r="BI1032" s="115"/>
      <c r="BJ1032" s="115"/>
      <c r="BK1032" s="115"/>
      <c r="BL1032" s="115"/>
      <c r="BM1032" s="115"/>
      <c r="BN1032" s="115"/>
      <c r="BO1032" s="115"/>
      <c r="BP1032" s="115"/>
      <c r="BQ1032" s="115"/>
      <c r="BR1032" s="115"/>
      <c r="BS1032" s="115"/>
      <c r="BT1032" s="115"/>
      <c r="BU1032" s="25">
        <v>45272</v>
      </c>
      <c r="BV1032" s="13" t="s">
        <v>162</v>
      </c>
      <c r="BY1032" s="114"/>
    </row>
    <row r="1033" spans="1:77" ht="19.5" x14ac:dyDescent="0.4">
      <c r="AW1033" s="26"/>
      <c r="AX1033" s="13"/>
      <c r="BC1033" s="117"/>
      <c r="BD1033" s="123"/>
      <c r="BE1033" s="123"/>
      <c r="BF1033" s="123"/>
      <c r="BG1033" s="115"/>
      <c r="BH1033" s="115"/>
      <c r="BI1033" s="115"/>
      <c r="BJ1033" s="115"/>
      <c r="BK1033" s="115"/>
      <c r="BL1033" s="115"/>
      <c r="BM1033" s="115"/>
      <c r="BN1033" s="115"/>
      <c r="BO1033" s="115"/>
      <c r="BP1033" s="115"/>
      <c r="BQ1033" s="115"/>
      <c r="BR1033" s="115"/>
      <c r="BS1033" s="115"/>
      <c r="BT1033" s="115"/>
      <c r="BU1033" s="25">
        <v>45272</v>
      </c>
      <c r="BV1033" s="15" t="s">
        <v>162</v>
      </c>
      <c r="BY1033" s="114"/>
    </row>
    <row r="1034" spans="1:77" ht="19.5" x14ac:dyDescent="0.4">
      <c r="AW1034" s="26"/>
      <c r="AX1034" s="13"/>
      <c r="BC1034" s="117"/>
      <c r="BD1034" s="123"/>
      <c r="BE1034" s="123"/>
      <c r="BF1034" s="123"/>
      <c r="BG1034" s="115"/>
      <c r="BH1034" s="115"/>
      <c r="BI1034" s="115"/>
      <c r="BJ1034" s="115"/>
      <c r="BK1034" s="115"/>
      <c r="BL1034" s="115"/>
      <c r="BM1034" s="115"/>
      <c r="BN1034" s="115"/>
      <c r="BO1034" s="115"/>
      <c r="BP1034" s="115"/>
      <c r="BQ1034" s="115"/>
      <c r="BR1034" s="115"/>
      <c r="BS1034" s="115"/>
      <c r="BT1034" s="115"/>
      <c r="BU1034" s="25">
        <v>45272</v>
      </c>
      <c r="BV1034" s="15" t="s">
        <v>162</v>
      </c>
      <c r="BY1034" s="114"/>
    </row>
    <row r="1035" spans="1:77" ht="19.5" x14ac:dyDescent="0.4">
      <c r="AM1035" s="115"/>
      <c r="AN1035" s="115"/>
      <c r="AO1035" s="115"/>
      <c r="AP1035" s="115"/>
      <c r="AQ1035" s="115"/>
      <c r="AR1035" s="115"/>
      <c r="AS1035" s="115"/>
      <c r="AT1035" s="115"/>
      <c r="AU1035" s="115"/>
      <c r="AV1035" s="115"/>
      <c r="AW1035" s="26"/>
      <c r="AX1035" s="13"/>
      <c r="BC1035" s="117"/>
      <c r="BD1035" s="123"/>
      <c r="BE1035" s="123"/>
      <c r="BF1035" s="123"/>
      <c r="BG1035" s="115"/>
      <c r="BH1035" s="115"/>
      <c r="BI1035" s="115"/>
      <c r="BJ1035" s="115"/>
      <c r="BK1035" s="115"/>
      <c r="BL1035" s="115"/>
      <c r="BM1035" s="115"/>
      <c r="BN1035" s="115"/>
      <c r="BO1035" s="115"/>
      <c r="BP1035" s="115"/>
      <c r="BQ1035" s="115"/>
      <c r="BR1035" s="115"/>
      <c r="BS1035" s="115"/>
      <c r="BT1035" s="115"/>
      <c r="BU1035" s="25"/>
      <c r="BV1035" s="15"/>
      <c r="BY1035" s="114"/>
    </row>
    <row r="1036" spans="1:77" ht="19.5" x14ac:dyDescent="0.4">
      <c r="AM1036" s="115"/>
      <c r="AN1036" s="115"/>
      <c r="AO1036" s="115"/>
      <c r="AP1036" s="115"/>
      <c r="AQ1036" s="115"/>
      <c r="AR1036" s="115"/>
      <c r="AS1036" s="115"/>
      <c r="AT1036" s="115"/>
      <c r="AU1036" s="115"/>
      <c r="AV1036" s="115"/>
      <c r="AW1036" s="17"/>
      <c r="AX1036" s="13"/>
      <c r="BC1036" s="117"/>
      <c r="BD1036" s="123"/>
      <c r="BE1036" s="123"/>
      <c r="BF1036" s="123"/>
      <c r="BG1036" s="115"/>
      <c r="BH1036" s="115"/>
      <c r="BI1036" s="115"/>
      <c r="BJ1036" s="115"/>
      <c r="BK1036" s="115"/>
      <c r="BL1036" s="115"/>
      <c r="BM1036" s="115"/>
      <c r="BN1036" s="115"/>
      <c r="BO1036" s="115"/>
      <c r="BP1036" s="115"/>
      <c r="BQ1036" s="115"/>
      <c r="BR1036" s="115"/>
      <c r="BS1036" s="115"/>
      <c r="BT1036" s="115"/>
      <c r="BU1036" s="25"/>
      <c r="BV1036" s="15"/>
      <c r="BY1036" s="114"/>
    </row>
    <row r="1037" spans="1:77" ht="19.5" x14ac:dyDescent="0.4">
      <c r="AW1037" s="26"/>
      <c r="AX1037" s="13"/>
      <c r="BC1037" s="117"/>
      <c r="BD1037" s="123"/>
      <c r="BE1037" s="123"/>
      <c r="BF1037" s="123"/>
      <c r="BG1037" s="115"/>
      <c r="BH1037" s="115"/>
      <c r="BI1037" s="115"/>
      <c r="BJ1037" s="115"/>
      <c r="BK1037" s="115"/>
      <c r="BL1037" s="115"/>
      <c r="BM1037" s="115"/>
      <c r="BN1037" s="115"/>
      <c r="BO1037" s="115"/>
      <c r="BP1037" s="115"/>
      <c r="BQ1037" s="115"/>
      <c r="BR1037" s="115"/>
      <c r="BS1037" s="115"/>
      <c r="BT1037" s="115"/>
      <c r="BU1037" s="25">
        <v>45272</v>
      </c>
      <c r="BV1037" s="15" t="s">
        <v>162</v>
      </c>
      <c r="BY1037" s="114"/>
    </row>
    <row r="1038" spans="1:77" ht="19.5" x14ac:dyDescent="0.4"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15"/>
      <c r="AS1038" s="115"/>
      <c r="AT1038" s="115"/>
      <c r="AU1038" s="115"/>
      <c r="AV1038" s="115"/>
      <c r="AW1038" s="26"/>
      <c r="AX1038" s="13"/>
      <c r="BC1038" s="117"/>
      <c r="BD1038" s="123"/>
      <c r="BE1038" s="123"/>
      <c r="BF1038" s="123"/>
      <c r="BG1038" s="115"/>
      <c r="BH1038" s="115"/>
      <c r="BI1038" s="115"/>
      <c r="BJ1038" s="115"/>
      <c r="BK1038" s="115"/>
      <c r="BL1038" s="115"/>
      <c r="BM1038" s="115"/>
      <c r="BN1038" s="115"/>
      <c r="BO1038" s="115"/>
      <c r="BP1038" s="115"/>
      <c r="BQ1038" s="115"/>
      <c r="BR1038" s="115"/>
      <c r="BS1038" s="115"/>
      <c r="BT1038" s="115"/>
      <c r="BU1038" s="25"/>
      <c r="BV1038" s="15"/>
      <c r="BY1038" s="114"/>
    </row>
    <row r="1039" spans="1:77" ht="19.5" x14ac:dyDescent="0.4"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15"/>
      <c r="AU1039" s="115"/>
      <c r="AV1039" s="115"/>
      <c r="AW1039" s="26"/>
      <c r="AX1039" s="13"/>
      <c r="BC1039" s="117"/>
      <c r="BD1039" s="123"/>
      <c r="BE1039" s="123"/>
      <c r="BF1039" s="123"/>
      <c r="BG1039" s="115"/>
      <c r="BH1039" s="115"/>
      <c r="BI1039" s="115"/>
      <c r="BJ1039" s="115"/>
      <c r="BK1039" s="115"/>
      <c r="BL1039" s="115"/>
      <c r="BM1039" s="115"/>
      <c r="BN1039" s="115"/>
      <c r="BO1039" s="115"/>
      <c r="BP1039" s="115"/>
      <c r="BQ1039" s="115"/>
      <c r="BR1039" s="115"/>
      <c r="BS1039" s="115"/>
      <c r="BT1039" s="115"/>
      <c r="BU1039" s="25"/>
      <c r="BV1039" s="15"/>
      <c r="BY1039" s="114"/>
    </row>
    <row r="1040" spans="1:77" ht="19.5" x14ac:dyDescent="0.4"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15"/>
      <c r="AU1040" s="115"/>
      <c r="AV1040" s="115"/>
      <c r="AW1040" s="17"/>
      <c r="AX1040" s="13"/>
      <c r="BC1040" s="117"/>
      <c r="BD1040" s="123"/>
      <c r="BE1040" s="123"/>
      <c r="BF1040" s="123"/>
      <c r="BG1040" s="115"/>
      <c r="BH1040" s="115"/>
      <c r="BI1040" s="115"/>
      <c r="BJ1040" s="115"/>
      <c r="BK1040" s="115"/>
      <c r="BL1040" s="115"/>
      <c r="BM1040" s="115"/>
      <c r="BN1040" s="115"/>
      <c r="BO1040" s="115"/>
      <c r="BP1040" s="115"/>
      <c r="BQ1040" s="115"/>
      <c r="BR1040" s="115"/>
      <c r="BS1040" s="115"/>
      <c r="BT1040" s="115"/>
      <c r="BU1040" s="25"/>
      <c r="BV1040" s="15"/>
      <c r="BY1040" s="114"/>
    </row>
    <row r="1041" spans="6:77" ht="19.5" x14ac:dyDescent="0.4"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15"/>
      <c r="AU1041" s="115"/>
      <c r="AV1041" s="115"/>
      <c r="AW1041" s="26"/>
      <c r="AX1041" s="13"/>
      <c r="BC1041" s="117"/>
      <c r="BD1041" s="123"/>
      <c r="BE1041" s="123"/>
      <c r="BF1041" s="123"/>
      <c r="BG1041" s="115"/>
      <c r="BH1041" s="115"/>
      <c r="BI1041" s="115"/>
      <c r="BJ1041" s="115"/>
      <c r="BK1041" s="115"/>
      <c r="BL1041" s="115"/>
      <c r="BM1041" s="115"/>
      <c r="BN1041" s="115"/>
      <c r="BO1041" s="115"/>
      <c r="BP1041" s="115"/>
      <c r="BQ1041" s="115"/>
      <c r="BR1041" s="115"/>
      <c r="BS1041" s="115"/>
      <c r="BT1041" s="115"/>
      <c r="BU1041" s="25"/>
      <c r="BV1041" s="15"/>
      <c r="BY1041" s="114"/>
    </row>
    <row r="1042" spans="6:77" ht="19.5" x14ac:dyDescent="0.4"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15"/>
      <c r="AU1042" s="115"/>
      <c r="AV1042" s="115"/>
      <c r="AW1042" s="17"/>
      <c r="AX1042" s="13"/>
      <c r="BC1042" s="117"/>
      <c r="BD1042" s="123"/>
      <c r="BE1042" s="123"/>
      <c r="BF1042" s="123"/>
      <c r="BG1042" s="115"/>
      <c r="BH1042" s="115"/>
      <c r="BI1042" s="115"/>
      <c r="BJ1042" s="115"/>
      <c r="BK1042" s="115"/>
      <c r="BL1042" s="115"/>
      <c r="BM1042" s="115"/>
      <c r="BN1042" s="115"/>
      <c r="BO1042" s="115"/>
      <c r="BP1042" s="115"/>
      <c r="BQ1042" s="115"/>
      <c r="BR1042" s="115"/>
      <c r="BS1042" s="115"/>
      <c r="BT1042" s="115"/>
      <c r="BU1042" s="25"/>
      <c r="BV1042" s="15"/>
      <c r="BY1042" s="114"/>
    </row>
    <row r="1043" spans="6:77" ht="19.5" x14ac:dyDescent="0.4"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15"/>
      <c r="AU1043" s="115"/>
      <c r="AV1043" s="115"/>
      <c r="AW1043" s="26"/>
      <c r="AX1043" s="13"/>
      <c r="BC1043" s="117"/>
      <c r="BD1043" s="123"/>
      <c r="BE1043" s="123"/>
      <c r="BF1043" s="123"/>
      <c r="BG1043" s="115"/>
      <c r="BH1043" s="115"/>
      <c r="BI1043" s="115"/>
      <c r="BJ1043" s="115"/>
      <c r="BK1043" s="115"/>
      <c r="BL1043" s="115"/>
      <c r="BM1043" s="115"/>
      <c r="BN1043" s="115"/>
      <c r="BO1043" s="115"/>
      <c r="BP1043" s="115"/>
      <c r="BQ1043" s="115"/>
      <c r="BR1043" s="115"/>
      <c r="BS1043" s="115"/>
      <c r="BT1043" s="115"/>
      <c r="BU1043" s="25"/>
      <c r="BV1043" s="15"/>
      <c r="BY1043" s="114"/>
    </row>
    <row r="1044" spans="6:77" ht="19.5" x14ac:dyDescent="0.4">
      <c r="AW1044" s="26"/>
      <c r="AX1044" s="13"/>
      <c r="BC1044" s="117"/>
      <c r="BD1044" s="123"/>
      <c r="BE1044" s="123"/>
      <c r="BF1044" s="123"/>
      <c r="BG1044" s="115"/>
      <c r="BH1044" s="115"/>
      <c r="BI1044" s="115"/>
      <c r="BJ1044" s="115"/>
      <c r="BK1044" s="115"/>
      <c r="BL1044" s="115"/>
      <c r="BM1044" s="115"/>
      <c r="BN1044" s="115"/>
      <c r="BO1044" s="115"/>
      <c r="BP1044" s="115"/>
      <c r="BQ1044" s="115"/>
      <c r="BR1044" s="115"/>
      <c r="BS1044" s="115"/>
      <c r="BT1044" s="115"/>
      <c r="BU1044" s="25">
        <v>45272</v>
      </c>
      <c r="BV1044" s="15" t="s">
        <v>162</v>
      </c>
      <c r="BY1044" s="114"/>
    </row>
    <row r="1045" spans="6:77" ht="19.5" x14ac:dyDescent="0.4">
      <c r="AP1045" s="115"/>
      <c r="AQ1045" s="115"/>
      <c r="AR1045" s="115"/>
      <c r="AS1045" s="115"/>
      <c r="AT1045" s="115"/>
      <c r="AU1045" s="115"/>
      <c r="AV1045" s="115"/>
      <c r="AW1045" s="26"/>
      <c r="AX1045" s="13"/>
      <c r="BC1045" s="117"/>
      <c r="BD1045" s="123"/>
      <c r="BE1045" s="123"/>
      <c r="BF1045" s="123"/>
      <c r="BG1045" s="115"/>
      <c r="BH1045" s="115"/>
      <c r="BI1045" s="115"/>
      <c r="BJ1045" s="115"/>
      <c r="BK1045" s="115"/>
      <c r="BL1045" s="115"/>
      <c r="BM1045" s="115"/>
      <c r="BN1045" s="115"/>
      <c r="BO1045" s="115"/>
      <c r="BP1045" s="115"/>
      <c r="BQ1045" s="115"/>
      <c r="BR1045" s="115"/>
      <c r="BS1045" s="115"/>
      <c r="BT1045" s="115"/>
      <c r="BU1045" s="25"/>
      <c r="BV1045" s="15"/>
      <c r="BY1045" s="114"/>
    </row>
    <row r="1046" spans="6:77" ht="19.5" x14ac:dyDescent="0.4">
      <c r="AP1046" s="115"/>
      <c r="AQ1046" s="115"/>
      <c r="AR1046" s="115"/>
      <c r="AS1046" s="115"/>
      <c r="AT1046" s="115"/>
      <c r="AU1046" s="115"/>
      <c r="AV1046" s="115"/>
      <c r="AW1046" s="17"/>
      <c r="AX1046" s="13"/>
      <c r="BC1046" s="117"/>
      <c r="BD1046" s="123"/>
      <c r="BE1046" s="123"/>
      <c r="BF1046" s="123"/>
      <c r="BG1046" s="115"/>
      <c r="BH1046" s="115"/>
      <c r="BI1046" s="115"/>
      <c r="BJ1046" s="115"/>
      <c r="BK1046" s="115"/>
      <c r="BL1046" s="115"/>
      <c r="BM1046" s="115"/>
      <c r="BN1046" s="115"/>
      <c r="BO1046" s="115"/>
      <c r="BP1046" s="115"/>
      <c r="BQ1046" s="115"/>
      <c r="BR1046" s="115"/>
      <c r="BS1046" s="115"/>
      <c r="BT1046" s="115"/>
      <c r="BU1046" s="25"/>
      <c r="BV1046" s="15"/>
      <c r="BY1046" s="114"/>
    </row>
    <row r="1047" spans="6:77" ht="19.5" x14ac:dyDescent="0.4"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15"/>
      <c r="AU1047" s="115"/>
      <c r="AV1047" s="115"/>
      <c r="AW1047" s="26"/>
      <c r="AX1047" s="13"/>
      <c r="BC1047" s="117"/>
      <c r="BD1047" s="123"/>
      <c r="BE1047" s="123"/>
      <c r="BF1047" s="123"/>
      <c r="BG1047" s="115"/>
      <c r="BH1047" s="115"/>
      <c r="BI1047" s="115"/>
      <c r="BJ1047" s="115"/>
      <c r="BK1047" s="115"/>
      <c r="BL1047" s="115"/>
      <c r="BM1047" s="115"/>
      <c r="BN1047" s="115"/>
      <c r="BO1047" s="115"/>
      <c r="BP1047" s="115"/>
      <c r="BQ1047" s="115"/>
      <c r="BR1047" s="115"/>
      <c r="BS1047" s="115"/>
      <c r="BT1047" s="115"/>
      <c r="BU1047" s="25"/>
      <c r="BV1047" s="15"/>
      <c r="BY1047" s="114"/>
    </row>
    <row r="1048" spans="6:77" ht="19.5" x14ac:dyDescent="0.4"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15"/>
      <c r="AU1048" s="115"/>
      <c r="AV1048" s="115"/>
      <c r="AW1048" s="17"/>
      <c r="AX1048" s="13"/>
      <c r="BC1048" s="117"/>
      <c r="BD1048" s="123"/>
      <c r="BE1048" s="123"/>
      <c r="BF1048" s="123"/>
      <c r="BG1048" s="115"/>
      <c r="BH1048" s="115"/>
      <c r="BI1048" s="115"/>
      <c r="BJ1048" s="115"/>
      <c r="BK1048" s="115"/>
      <c r="BL1048" s="115"/>
      <c r="BM1048" s="115"/>
      <c r="BN1048" s="115"/>
      <c r="BO1048" s="115"/>
      <c r="BP1048" s="115"/>
      <c r="BQ1048" s="115"/>
      <c r="BR1048" s="115"/>
      <c r="BS1048" s="115"/>
      <c r="BT1048" s="115"/>
      <c r="BU1048" s="25"/>
      <c r="BV1048" s="15"/>
      <c r="BY1048" s="114"/>
    </row>
    <row r="1049" spans="6:77" ht="19.5" x14ac:dyDescent="0.4"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15"/>
      <c r="AU1049" s="115"/>
      <c r="AV1049" s="115"/>
      <c r="AW1049" s="26"/>
      <c r="AX1049" s="25"/>
      <c r="BC1049" s="117"/>
      <c r="BD1049" s="123"/>
      <c r="BE1049" s="123"/>
      <c r="BF1049" s="123"/>
      <c r="BG1049" s="115"/>
      <c r="BH1049" s="115"/>
      <c r="BI1049" s="115"/>
      <c r="BJ1049" s="115"/>
      <c r="BK1049" s="115"/>
      <c r="BL1049" s="115"/>
      <c r="BM1049" s="115"/>
      <c r="BN1049" s="115"/>
      <c r="BO1049" s="115"/>
      <c r="BP1049" s="115"/>
      <c r="BQ1049" s="115"/>
      <c r="BR1049" s="115"/>
      <c r="BS1049" s="115"/>
      <c r="BT1049" s="115"/>
      <c r="BU1049" s="25"/>
      <c r="BV1049" s="15"/>
      <c r="BY1049" s="114"/>
    </row>
    <row r="1050" spans="6:77" ht="19.5" x14ac:dyDescent="0.4"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15"/>
      <c r="AU1050" s="115"/>
      <c r="AV1050" s="115"/>
      <c r="AW1050" s="17"/>
      <c r="AX1050" s="13"/>
      <c r="BC1050" s="117"/>
      <c r="BD1050" s="123"/>
      <c r="BE1050" s="123"/>
      <c r="BF1050" s="123"/>
      <c r="BG1050" s="115"/>
      <c r="BH1050" s="115"/>
      <c r="BI1050" s="115"/>
      <c r="BJ1050" s="115"/>
      <c r="BK1050" s="115"/>
      <c r="BL1050" s="115"/>
      <c r="BM1050" s="115"/>
      <c r="BN1050" s="115"/>
      <c r="BO1050" s="115"/>
      <c r="BP1050" s="115"/>
      <c r="BQ1050" s="115"/>
      <c r="BR1050" s="115"/>
      <c r="BS1050" s="115"/>
      <c r="BT1050" s="115"/>
      <c r="BU1050" s="25"/>
      <c r="BV1050" s="15"/>
      <c r="BY1050" s="114"/>
    </row>
    <row r="1051" spans="6:77" ht="19.5" x14ac:dyDescent="0.4"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15"/>
      <c r="AU1051" s="115"/>
      <c r="AV1051" s="115"/>
      <c r="AW1051" s="26"/>
      <c r="AX1051" s="13"/>
      <c r="BC1051" s="117"/>
      <c r="BD1051" s="123"/>
      <c r="BE1051" s="123"/>
      <c r="BF1051" s="123"/>
      <c r="BG1051" s="115"/>
      <c r="BH1051" s="115"/>
      <c r="BI1051" s="115"/>
      <c r="BJ1051" s="115"/>
      <c r="BK1051" s="115"/>
      <c r="BL1051" s="115"/>
      <c r="BM1051" s="115"/>
      <c r="BN1051" s="115"/>
      <c r="BO1051" s="115"/>
      <c r="BP1051" s="115"/>
      <c r="BQ1051" s="115"/>
      <c r="BR1051" s="115"/>
      <c r="BS1051" s="115"/>
      <c r="BT1051" s="115"/>
      <c r="BU1051" s="25"/>
      <c r="BV1051" s="15"/>
      <c r="BY1051" s="114"/>
    </row>
    <row r="1052" spans="6:77" ht="19.5" x14ac:dyDescent="0.4">
      <c r="AW1052" s="26"/>
      <c r="AX1052" s="13"/>
      <c r="BC1052" s="117"/>
      <c r="BD1052" s="123"/>
      <c r="BE1052" s="123"/>
      <c r="BF1052" s="123"/>
      <c r="BG1052" s="115"/>
      <c r="BH1052" s="115"/>
      <c r="BI1052" s="115"/>
      <c r="BJ1052" s="115"/>
      <c r="BK1052" s="115"/>
      <c r="BL1052" s="115"/>
      <c r="BM1052" s="115"/>
      <c r="BN1052" s="115"/>
      <c r="BO1052" s="115"/>
      <c r="BP1052" s="115"/>
      <c r="BQ1052" s="115"/>
      <c r="BR1052" s="115"/>
      <c r="BS1052" s="115"/>
      <c r="BT1052" s="115"/>
      <c r="BU1052" s="25">
        <v>45272</v>
      </c>
      <c r="BV1052" s="15" t="s">
        <v>162</v>
      </c>
      <c r="BY1052" s="114"/>
    </row>
    <row r="1053" spans="6:77" ht="19.5" x14ac:dyDescent="0.4">
      <c r="AQ1053" s="115"/>
      <c r="AR1053" s="115"/>
      <c r="AS1053" s="115"/>
      <c r="AT1053" s="115"/>
      <c r="AU1053" s="115"/>
      <c r="AV1053" s="115"/>
      <c r="AW1053" s="17"/>
      <c r="AX1053" s="13"/>
      <c r="BC1053" s="117"/>
      <c r="BD1053" s="123"/>
      <c r="BE1053" s="123"/>
      <c r="BF1053" s="123"/>
      <c r="BG1053" s="115"/>
      <c r="BH1053" s="115"/>
      <c r="BI1053" s="115"/>
      <c r="BJ1053" s="115"/>
      <c r="BK1053" s="115"/>
      <c r="BL1053" s="115"/>
      <c r="BM1053" s="115"/>
      <c r="BN1053" s="115"/>
      <c r="BO1053" s="115"/>
      <c r="BP1053" s="115"/>
      <c r="BQ1053" s="115"/>
      <c r="BR1053" s="115"/>
      <c r="BS1053" s="115"/>
      <c r="BT1053" s="115"/>
      <c r="BU1053" s="25"/>
      <c r="BV1053" s="15"/>
      <c r="BY1053" s="114"/>
    </row>
    <row r="1054" spans="6:77" ht="19.5" x14ac:dyDescent="0.4">
      <c r="AP1054" s="115"/>
      <c r="AQ1054" s="115"/>
      <c r="AR1054" s="115"/>
      <c r="AS1054" s="115"/>
      <c r="AT1054" s="115"/>
      <c r="AU1054" s="115"/>
      <c r="AV1054" s="115"/>
      <c r="AW1054" s="26"/>
      <c r="AX1054" s="13"/>
      <c r="BC1054" s="117"/>
      <c r="BD1054" s="123"/>
      <c r="BE1054" s="123"/>
      <c r="BF1054" s="123"/>
      <c r="BG1054" s="115"/>
      <c r="BH1054" s="115"/>
      <c r="BI1054" s="115"/>
      <c r="BJ1054" s="115"/>
      <c r="BK1054" s="115"/>
      <c r="BL1054" s="115"/>
      <c r="BM1054" s="115"/>
      <c r="BN1054" s="115"/>
      <c r="BO1054" s="115"/>
      <c r="BP1054" s="115"/>
      <c r="BQ1054" s="115"/>
      <c r="BR1054" s="115"/>
      <c r="BS1054" s="115"/>
      <c r="BT1054" s="115"/>
      <c r="BU1054" s="25"/>
      <c r="BV1054" s="15"/>
      <c r="BY1054" s="114"/>
    </row>
    <row r="1055" spans="6:77" ht="19.5" x14ac:dyDescent="0.4">
      <c r="AP1055" s="115"/>
      <c r="AQ1055" s="115"/>
      <c r="AR1055" s="115"/>
      <c r="AS1055" s="115"/>
      <c r="AT1055" s="115"/>
      <c r="AU1055" s="115"/>
      <c r="AV1055" s="115"/>
      <c r="AW1055" s="17"/>
      <c r="AX1055" s="13"/>
      <c r="BC1055" s="117"/>
      <c r="BD1055" s="123"/>
      <c r="BE1055" s="123"/>
      <c r="BF1055" s="123"/>
      <c r="BG1055" s="115"/>
      <c r="BH1055" s="115"/>
      <c r="BI1055" s="115"/>
      <c r="BJ1055" s="115"/>
      <c r="BK1055" s="115"/>
      <c r="BL1055" s="115"/>
      <c r="BM1055" s="115"/>
      <c r="BN1055" s="115"/>
      <c r="BO1055" s="115"/>
      <c r="BP1055" s="115"/>
      <c r="BQ1055" s="115"/>
      <c r="BR1055" s="115"/>
      <c r="BS1055" s="115"/>
      <c r="BT1055" s="115"/>
      <c r="BU1055" s="25"/>
      <c r="BV1055" s="15"/>
      <c r="BY1055" s="114"/>
    </row>
    <row r="1056" spans="6:77" ht="19.5" x14ac:dyDescent="0.4">
      <c r="AP1056" s="115"/>
      <c r="AQ1056" s="115"/>
      <c r="AR1056" s="115"/>
      <c r="AS1056" s="115"/>
      <c r="AT1056" s="115"/>
      <c r="AU1056" s="115"/>
      <c r="AV1056" s="115"/>
      <c r="AW1056" s="17"/>
      <c r="AX1056" s="13"/>
      <c r="BC1056" s="117"/>
      <c r="BD1056" s="123"/>
      <c r="BE1056" s="123"/>
      <c r="BF1056" s="123"/>
      <c r="BG1056" s="115"/>
      <c r="BH1056" s="115"/>
      <c r="BI1056" s="115"/>
      <c r="BJ1056" s="115"/>
      <c r="BK1056" s="115"/>
      <c r="BL1056" s="115"/>
      <c r="BM1056" s="115"/>
      <c r="BN1056" s="115"/>
      <c r="BO1056" s="115"/>
      <c r="BP1056" s="115"/>
      <c r="BQ1056" s="115"/>
      <c r="BR1056" s="115"/>
      <c r="BS1056" s="115"/>
      <c r="BT1056" s="115"/>
      <c r="BU1056" s="25"/>
      <c r="BV1056" s="15"/>
      <c r="BY1056" s="114"/>
    </row>
    <row r="1057" spans="6:77" ht="19.5" x14ac:dyDescent="0.4">
      <c r="AM1057" s="115"/>
      <c r="AN1057" s="115"/>
      <c r="AO1057" s="115"/>
      <c r="AP1057" s="115"/>
      <c r="AQ1057" s="115"/>
      <c r="AR1057" s="115"/>
      <c r="AS1057" s="115"/>
      <c r="AT1057" s="115"/>
      <c r="AU1057" s="115"/>
      <c r="AV1057" s="115"/>
      <c r="AW1057" s="26"/>
      <c r="AX1057" s="13"/>
      <c r="BC1057" s="117"/>
      <c r="BD1057" s="123"/>
      <c r="BE1057" s="123"/>
      <c r="BF1057" s="123"/>
      <c r="BG1057" s="115"/>
      <c r="BH1057" s="115"/>
      <c r="BI1057" s="115"/>
      <c r="BJ1057" s="115"/>
      <c r="BK1057" s="115"/>
      <c r="BL1057" s="115"/>
      <c r="BM1057" s="115"/>
      <c r="BN1057" s="115"/>
      <c r="BO1057" s="115"/>
      <c r="BP1057" s="115"/>
      <c r="BQ1057" s="115"/>
      <c r="BR1057" s="115"/>
      <c r="BS1057" s="115"/>
      <c r="BT1057" s="115"/>
      <c r="BU1057" s="25"/>
      <c r="BV1057" s="15"/>
      <c r="BY1057" s="114"/>
    </row>
    <row r="1058" spans="6:77" ht="19.5" x14ac:dyDescent="0.4">
      <c r="AM1058" s="115"/>
      <c r="AN1058" s="115"/>
      <c r="AO1058" s="115"/>
      <c r="AP1058" s="115"/>
      <c r="AQ1058" s="115"/>
      <c r="AR1058" s="115"/>
      <c r="AS1058" s="115"/>
      <c r="AT1058" s="115"/>
      <c r="AU1058" s="115"/>
      <c r="AV1058" s="115"/>
      <c r="AW1058" s="20"/>
      <c r="AX1058" s="13"/>
      <c r="BC1058" s="117"/>
      <c r="BD1058" s="123"/>
      <c r="BE1058" s="123"/>
      <c r="BF1058" s="123"/>
      <c r="BG1058" s="115"/>
      <c r="BH1058" s="115"/>
      <c r="BI1058" s="115"/>
      <c r="BJ1058" s="115"/>
      <c r="BK1058" s="115"/>
      <c r="BL1058" s="115"/>
      <c r="BM1058" s="115"/>
      <c r="BN1058" s="115"/>
      <c r="BO1058" s="115"/>
      <c r="BP1058" s="115"/>
      <c r="BQ1058" s="115"/>
      <c r="BR1058" s="115"/>
      <c r="BS1058" s="115"/>
      <c r="BT1058" s="115"/>
      <c r="BU1058" s="25"/>
      <c r="BV1058" s="15"/>
      <c r="BY1058" s="114"/>
    </row>
    <row r="1059" spans="6:77" ht="19.5" x14ac:dyDescent="0.4">
      <c r="AM1059" s="115"/>
      <c r="AN1059" s="115"/>
      <c r="AO1059" s="115"/>
      <c r="AP1059" s="115"/>
      <c r="AQ1059" s="115"/>
      <c r="AR1059" s="115"/>
      <c r="AS1059" s="115"/>
      <c r="AT1059" s="115"/>
      <c r="AU1059" s="115"/>
      <c r="AV1059" s="115"/>
      <c r="AW1059" s="20"/>
      <c r="AX1059" s="13"/>
      <c r="BC1059" s="117"/>
      <c r="BD1059" s="123"/>
      <c r="BE1059" s="123"/>
      <c r="BF1059" s="123"/>
      <c r="BG1059" s="115"/>
      <c r="BH1059" s="115"/>
      <c r="BI1059" s="115"/>
      <c r="BJ1059" s="115"/>
      <c r="BK1059" s="115"/>
      <c r="BL1059" s="115"/>
      <c r="BM1059" s="115"/>
      <c r="BN1059" s="115"/>
      <c r="BO1059" s="115"/>
      <c r="BP1059" s="115"/>
      <c r="BQ1059" s="115"/>
      <c r="BR1059" s="115"/>
      <c r="BS1059" s="115"/>
      <c r="BT1059" s="115"/>
      <c r="BU1059" s="25"/>
      <c r="BV1059" s="15"/>
      <c r="BY1059" s="114"/>
    </row>
    <row r="1060" spans="6:77" ht="19.5" x14ac:dyDescent="0.4">
      <c r="AM1060" s="115"/>
      <c r="AN1060" s="115"/>
      <c r="AO1060" s="115"/>
      <c r="AP1060" s="115"/>
      <c r="AQ1060" s="115"/>
      <c r="AR1060" s="115"/>
      <c r="AS1060" s="115"/>
      <c r="AT1060" s="115"/>
      <c r="AU1060" s="115"/>
      <c r="AV1060" s="115"/>
      <c r="AW1060" s="25"/>
      <c r="AX1060" s="15"/>
      <c r="BC1060" s="117"/>
      <c r="BD1060" s="123"/>
      <c r="BE1060" s="123"/>
      <c r="BF1060" s="123"/>
      <c r="BG1060" s="115"/>
      <c r="BH1060" s="115"/>
      <c r="BI1060" s="115"/>
      <c r="BJ1060" s="115"/>
      <c r="BK1060" s="115"/>
      <c r="BL1060" s="115"/>
      <c r="BM1060" s="115"/>
      <c r="BN1060" s="115"/>
      <c r="BO1060" s="115"/>
      <c r="BP1060" s="115"/>
      <c r="BQ1060" s="115"/>
      <c r="BR1060" s="115"/>
      <c r="BS1060" s="115"/>
      <c r="BT1060" s="115"/>
      <c r="BU1060" s="25"/>
      <c r="BV1060" s="15"/>
      <c r="BY1060" s="114"/>
    </row>
    <row r="1061" spans="6:77" ht="19.5" x14ac:dyDescent="0.4"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15"/>
      <c r="AU1061" s="115"/>
      <c r="AV1061" s="115"/>
      <c r="AW1061" s="25"/>
      <c r="AX1061" s="15"/>
      <c r="BC1061" s="117"/>
      <c r="BD1061" s="123"/>
      <c r="BE1061" s="123"/>
      <c r="BF1061" s="123"/>
      <c r="BG1061" s="115"/>
      <c r="BH1061" s="115"/>
      <c r="BI1061" s="115"/>
      <c r="BJ1061" s="115"/>
      <c r="BK1061" s="115"/>
      <c r="BL1061" s="115"/>
      <c r="BM1061" s="115"/>
      <c r="BN1061" s="115"/>
      <c r="BO1061" s="115"/>
      <c r="BP1061" s="115"/>
      <c r="BQ1061" s="115"/>
      <c r="BR1061" s="115"/>
      <c r="BS1061" s="115"/>
      <c r="BT1061" s="115"/>
      <c r="BU1061" s="25"/>
      <c r="BV1061" s="15"/>
      <c r="BY1061" s="114"/>
    </row>
    <row r="1062" spans="6:77" ht="19.5" x14ac:dyDescent="0.4"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15"/>
      <c r="AU1062" s="115"/>
      <c r="AV1062" s="115"/>
      <c r="AW1062" s="25"/>
      <c r="AX1062" s="15"/>
      <c r="BC1062" s="117"/>
      <c r="BD1062" s="123"/>
      <c r="BE1062" s="123"/>
      <c r="BF1062" s="123"/>
      <c r="BG1062" s="115"/>
      <c r="BH1062" s="115"/>
      <c r="BI1062" s="115"/>
      <c r="BJ1062" s="115"/>
      <c r="BK1062" s="115"/>
      <c r="BL1062" s="115"/>
      <c r="BM1062" s="115"/>
      <c r="BN1062" s="115"/>
      <c r="BO1062" s="115"/>
      <c r="BP1062" s="115"/>
      <c r="BQ1062" s="115"/>
      <c r="BR1062" s="115"/>
      <c r="BS1062" s="115"/>
      <c r="BT1062" s="115"/>
      <c r="BU1062" s="25"/>
      <c r="BV1062" s="15"/>
      <c r="BY1062" s="114"/>
    </row>
    <row r="1063" spans="6:77" ht="19.5" x14ac:dyDescent="0.4">
      <c r="AW1063" s="26"/>
      <c r="AX1063" s="15"/>
      <c r="BC1063" s="117"/>
      <c r="BD1063" s="123"/>
      <c r="BE1063" s="123"/>
      <c r="BF1063" s="123"/>
      <c r="BG1063" s="115"/>
      <c r="BH1063" s="115"/>
      <c r="BI1063" s="115"/>
      <c r="BJ1063" s="115"/>
      <c r="BK1063" s="115"/>
      <c r="BL1063" s="115"/>
      <c r="BM1063" s="115"/>
      <c r="BN1063" s="115"/>
      <c r="BO1063" s="115"/>
      <c r="BP1063" s="115"/>
      <c r="BQ1063" s="115"/>
      <c r="BR1063" s="115"/>
      <c r="BS1063" s="115"/>
      <c r="BT1063" s="115"/>
      <c r="BU1063" s="25">
        <v>45272</v>
      </c>
      <c r="BV1063" s="15" t="s">
        <v>162</v>
      </c>
      <c r="BY1063" s="114"/>
    </row>
    <row r="1064" spans="6:77" ht="19.5" x14ac:dyDescent="0.4">
      <c r="AW1064" s="26"/>
      <c r="AX1064" s="13"/>
      <c r="BC1064" s="117"/>
      <c r="BD1064" s="123"/>
      <c r="BE1064" s="123"/>
      <c r="BF1064" s="123"/>
      <c r="BG1064" s="115"/>
      <c r="BH1064" s="115"/>
      <c r="BI1064" s="115"/>
      <c r="BJ1064" s="115"/>
      <c r="BK1064" s="115"/>
      <c r="BL1064" s="115"/>
      <c r="BM1064" s="115"/>
      <c r="BN1064" s="115"/>
      <c r="BO1064" s="115"/>
      <c r="BP1064" s="115"/>
      <c r="BQ1064" s="115"/>
      <c r="BR1064" s="115"/>
      <c r="BS1064" s="115"/>
      <c r="BT1064" s="115"/>
      <c r="BU1064" s="25"/>
      <c r="BV1064" s="15"/>
      <c r="BY1064" s="114"/>
    </row>
    <row r="1065" spans="6:77" ht="19.5" x14ac:dyDescent="0.4">
      <c r="AL1065" s="115"/>
      <c r="AM1065" s="115"/>
      <c r="AN1065" s="115"/>
      <c r="AO1065" s="115"/>
      <c r="AP1065" s="115"/>
      <c r="AQ1065" s="115"/>
      <c r="AR1065" s="115"/>
      <c r="AS1065" s="115"/>
      <c r="AT1065" s="115"/>
      <c r="AU1065" s="115"/>
      <c r="AV1065" s="115"/>
      <c r="AW1065" s="26"/>
      <c r="AX1065" s="13"/>
      <c r="BC1065" s="117"/>
      <c r="BD1065" s="123"/>
      <c r="BE1065" s="123"/>
      <c r="BF1065" s="123"/>
      <c r="BG1065" s="115"/>
      <c r="BH1065" s="115"/>
      <c r="BI1065" s="115"/>
      <c r="BJ1065" s="115"/>
      <c r="BK1065" s="115"/>
      <c r="BL1065" s="115"/>
      <c r="BM1065" s="115"/>
      <c r="BN1065" s="115"/>
      <c r="BO1065" s="115"/>
      <c r="BP1065" s="115"/>
      <c r="BQ1065" s="115"/>
      <c r="BR1065" s="115"/>
      <c r="BS1065" s="115"/>
      <c r="BT1065" s="115"/>
      <c r="BU1065" s="25"/>
      <c r="BV1065" s="15"/>
      <c r="BY1065" s="114"/>
    </row>
    <row r="1066" spans="6:77" ht="19.5" x14ac:dyDescent="0.4">
      <c r="AW1066" s="26"/>
      <c r="AX1066" s="13"/>
      <c r="BC1066" s="117"/>
      <c r="BD1066" s="123"/>
      <c r="BE1066" s="123"/>
      <c r="BF1066" s="123"/>
      <c r="BG1066" s="115"/>
      <c r="BH1066" s="115"/>
      <c r="BI1066" s="115"/>
      <c r="BJ1066" s="115"/>
      <c r="BK1066" s="115"/>
      <c r="BL1066" s="115"/>
      <c r="BM1066" s="115"/>
      <c r="BN1066" s="115"/>
      <c r="BO1066" s="115"/>
      <c r="BP1066" s="115"/>
      <c r="BQ1066" s="115"/>
      <c r="BR1066" s="115"/>
      <c r="BS1066" s="115"/>
      <c r="BT1066" s="115"/>
      <c r="BU1066" s="25">
        <v>45272</v>
      </c>
      <c r="BV1066" s="15" t="s">
        <v>162</v>
      </c>
      <c r="BY1066" s="114"/>
    </row>
    <row r="1067" spans="6:77" ht="19.5" x14ac:dyDescent="0.4">
      <c r="AO1067" s="115"/>
      <c r="AP1067" s="115"/>
      <c r="AQ1067" s="115"/>
      <c r="AR1067" s="115"/>
      <c r="AS1067" s="115"/>
      <c r="AT1067" s="115"/>
      <c r="AU1067" s="115"/>
      <c r="AV1067" s="115"/>
      <c r="AW1067" s="17"/>
      <c r="AX1067" s="13"/>
      <c r="BC1067" s="117"/>
      <c r="BD1067" s="123"/>
      <c r="BE1067" s="123"/>
      <c r="BF1067" s="123"/>
      <c r="BG1067" s="115"/>
      <c r="BH1067" s="115"/>
      <c r="BI1067" s="115"/>
      <c r="BJ1067" s="115"/>
      <c r="BK1067" s="115"/>
      <c r="BL1067" s="115"/>
      <c r="BM1067" s="115"/>
      <c r="BN1067" s="115"/>
      <c r="BO1067" s="115"/>
      <c r="BP1067" s="115"/>
      <c r="BQ1067" s="115"/>
      <c r="BR1067" s="115"/>
      <c r="BS1067" s="115"/>
      <c r="BT1067" s="115"/>
      <c r="BU1067" s="25"/>
      <c r="BV1067" s="15"/>
      <c r="BY1067" s="114"/>
    </row>
    <row r="1068" spans="6:77" ht="19.5" x14ac:dyDescent="0.4">
      <c r="AW1068" s="26"/>
      <c r="AX1068" s="13"/>
      <c r="BC1068" s="117"/>
      <c r="BD1068" s="123"/>
      <c r="BE1068" s="123"/>
      <c r="BF1068" s="123"/>
      <c r="BG1068" s="115"/>
      <c r="BH1068" s="115"/>
      <c r="BI1068" s="115"/>
      <c r="BJ1068" s="115"/>
      <c r="BK1068" s="115"/>
      <c r="BL1068" s="115"/>
      <c r="BM1068" s="115"/>
      <c r="BN1068" s="115"/>
      <c r="BO1068" s="115"/>
      <c r="BP1068" s="115"/>
      <c r="BQ1068" s="115"/>
      <c r="BR1068" s="115"/>
      <c r="BS1068" s="115"/>
      <c r="BT1068" s="115"/>
      <c r="BU1068" s="25"/>
      <c r="BV1068" s="15"/>
      <c r="BY1068" s="114"/>
    </row>
    <row r="1069" spans="6:77" ht="19.5" x14ac:dyDescent="0.4">
      <c r="AM1069" s="115"/>
      <c r="AN1069" s="115"/>
      <c r="AO1069" s="115"/>
      <c r="AP1069" s="115"/>
      <c r="AQ1069" s="115"/>
      <c r="AR1069" s="115"/>
      <c r="AS1069" s="115"/>
      <c r="AT1069" s="115"/>
      <c r="AU1069" s="115"/>
      <c r="AV1069" s="115"/>
      <c r="AW1069" s="26"/>
      <c r="AX1069" s="13"/>
      <c r="BC1069" s="117"/>
      <c r="BD1069" s="123"/>
      <c r="BE1069" s="123"/>
      <c r="BF1069" s="123"/>
      <c r="BG1069" s="115"/>
      <c r="BH1069" s="115"/>
      <c r="BI1069" s="115"/>
      <c r="BJ1069" s="115"/>
      <c r="BK1069" s="115"/>
      <c r="BL1069" s="115"/>
      <c r="BM1069" s="115"/>
      <c r="BN1069" s="115"/>
      <c r="BO1069" s="115"/>
      <c r="BP1069" s="115"/>
      <c r="BQ1069" s="115"/>
      <c r="BR1069" s="115"/>
      <c r="BS1069" s="115"/>
      <c r="BT1069" s="115"/>
      <c r="BU1069" s="25"/>
      <c r="BV1069" s="15"/>
      <c r="BY1069" s="114"/>
    </row>
    <row r="1070" spans="6:77" ht="19.5" x14ac:dyDescent="0.4">
      <c r="AW1070" s="26"/>
      <c r="AX1070" s="13"/>
      <c r="BC1070" s="117"/>
      <c r="BD1070" s="123"/>
      <c r="BE1070" s="123"/>
      <c r="BF1070" s="123"/>
      <c r="BG1070" s="115"/>
      <c r="BH1070" s="115"/>
      <c r="BI1070" s="115"/>
      <c r="BJ1070" s="115"/>
      <c r="BK1070" s="115"/>
      <c r="BL1070" s="115"/>
      <c r="BM1070" s="115"/>
      <c r="BN1070" s="115"/>
      <c r="BO1070" s="115"/>
      <c r="BP1070" s="115"/>
      <c r="BQ1070" s="115"/>
      <c r="BR1070" s="115"/>
      <c r="BS1070" s="115"/>
      <c r="BT1070" s="115"/>
      <c r="BU1070" s="25">
        <v>45272</v>
      </c>
      <c r="BV1070" s="15" t="s">
        <v>162</v>
      </c>
      <c r="BY1070" s="114"/>
    </row>
    <row r="1071" spans="6:77" ht="19.5" x14ac:dyDescent="0.4">
      <c r="AW1071" s="26"/>
      <c r="AX1071" s="13"/>
      <c r="BC1071" s="117"/>
      <c r="BD1071" s="123"/>
      <c r="BE1071" s="123"/>
      <c r="BF1071" s="123"/>
      <c r="BG1071" s="115"/>
      <c r="BH1071" s="115"/>
      <c r="BI1071" s="115"/>
      <c r="BJ1071" s="115"/>
      <c r="BK1071" s="115"/>
      <c r="BL1071" s="115"/>
      <c r="BM1071" s="115"/>
      <c r="BN1071" s="115"/>
      <c r="BO1071" s="115"/>
      <c r="BP1071" s="115"/>
      <c r="BQ1071" s="115"/>
      <c r="BR1071" s="115"/>
      <c r="BS1071" s="115"/>
      <c r="BT1071" s="115" t="s">
        <v>166</v>
      </c>
      <c r="BU1071" s="13">
        <f>SUBTOTAL(3,BU1019:BU1070)</f>
        <v>13</v>
      </c>
      <c r="BV1071" s="15">
        <f>SUBTOTAL(3,BV1019:BV1070)</f>
        <v>13</v>
      </c>
      <c r="BY1071" s="114"/>
    </row>
    <row r="1072" spans="6:77" ht="19.5" x14ac:dyDescent="0.4">
      <c r="AO1072" s="115"/>
      <c r="AP1072" s="115"/>
      <c r="AQ1072" s="115"/>
      <c r="AR1072" s="115"/>
      <c r="AS1072" s="115"/>
      <c r="AT1072" s="115"/>
      <c r="AU1072" s="115"/>
      <c r="AV1072" s="115"/>
      <c r="AW1072" s="17"/>
      <c r="AX1072" s="13"/>
      <c r="BC1072" s="117"/>
      <c r="BD1072" s="123"/>
      <c r="BE1072" s="123"/>
      <c r="BF1072" s="123"/>
      <c r="BG1072" s="115"/>
      <c r="BH1072" s="115"/>
      <c r="BI1072" s="115"/>
      <c r="BJ1072" s="115"/>
      <c r="BK1072" s="115"/>
      <c r="BL1072" s="115"/>
      <c r="BM1072" s="115"/>
      <c r="BN1072" s="115"/>
      <c r="BO1072" s="115"/>
      <c r="BP1072" s="115"/>
      <c r="BQ1072" s="115"/>
      <c r="BR1072" s="115"/>
      <c r="BS1072" s="115"/>
      <c r="BT1072" s="115"/>
      <c r="BU1072" s="13"/>
      <c r="BV1072" s="15"/>
      <c r="BY1072" s="114"/>
    </row>
    <row r="1073" spans="38:77" ht="19.5" x14ac:dyDescent="0.4">
      <c r="AW1073" s="26"/>
      <c r="AX1073" s="13"/>
      <c r="BC1073" s="117"/>
      <c r="BD1073" s="123"/>
      <c r="BE1073" s="123"/>
      <c r="BF1073" s="123"/>
      <c r="BG1073" s="115"/>
      <c r="BH1073" s="115"/>
      <c r="BI1073" s="115"/>
      <c r="BJ1073" s="115"/>
      <c r="BK1073" s="115"/>
      <c r="BL1073" s="115"/>
      <c r="BM1073" s="115"/>
      <c r="BN1073" s="115"/>
      <c r="BO1073" s="115"/>
      <c r="BP1073" s="115"/>
      <c r="BQ1073" s="115"/>
      <c r="BR1073" s="115"/>
      <c r="BS1073" s="115"/>
      <c r="BT1073" s="115"/>
      <c r="BU1073" s="25">
        <v>45273</v>
      </c>
      <c r="BV1073" s="105" t="s">
        <v>164</v>
      </c>
      <c r="BY1073" s="114"/>
    </row>
    <row r="1074" spans="38:77" ht="19.5" x14ac:dyDescent="0.4">
      <c r="AW1074" s="26"/>
      <c r="AX1074" s="13"/>
      <c r="BC1074" s="117"/>
      <c r="BD1074" s="123"/>
      <c r="BE1074" s="123"/>
      <c r="BF1074" s="123"/>
      <c r="BG1074" s="115"/>
      <c r="BH1074" s="115"/>
      <c r="BI1074" s="115"/>
      <c r="BJ1074" s="115"/>
      <c r="BK1074" s="115"/>
      <c r="BL1074" s="115"/>
      <c r="BM1074" s="115"/>
      <c r="BN1074" s="115"/>
      <c r="BO1074" s="115"/>
      <c r="BP1074" s="115"/>
      <c r="BQ1074" s="115"/>
      <c r="BR1074" s="115"/>
      <c r="BS1074" s="115"/>
      <c r="BT1074" s="115"/>
      <c r="BU1074" s="25">
        <v>45273</v>
      </c>
      <c r="BV1074" s="15" t="s">
        <v>164</v>
      </c>
      <c r="BY1074" s="114"/>
    </row>
    <row r="1075" spans="38:77" ht="19.5" x14ac:dyDescent="0.4">
      <c r="AL1075" s="115"/>
      <c r="AM1075" s="115"/>
      <c r="AN1075" s="115"/>
      <c r="AO1075" s="115"/>
      <c r="AP1075" s="115"/>
      <c r="AQ1075" s="115"/>
      <c r="AR1075" s="115"/>
      <c r="AS1075" s="115"/>
      <c r="AT1075" s="115"/>
      <c r="AU1075" s="115"/>
      <c r="AV1075" s="115"/>
      <c r="AW1075" s="26"/>
      <c r="AX1075" s="13"/>
      <c r="BC1075" s="117"/>
      <c r="BD1075" s="123"/>
      <c r="BE1075" s="123"/>
      <c r="BF1075" s="123"/>
      <c r="BG1075" s="115"/>
      <c r="BH1075" s="115"/>
      <c r="BI1075" s="115"/>
      <c r="BJ1075" s="115"/>
      <c r="BK1075" s="115"/>
      <c r="BL1075" s="115"/>
      <c r="BM1075" s="115"/>
      <c r="BN1075" s="115"/>
      <c r="BO1075" s="115"/>
      <c r="BP1075" s="115"/>
      <c r="BQ1075" s="115"/>
      <c r="BR1075" s="115"/>
      <c r="BS1075" s="115"/>
      <c r="BT1075" s="115"/>
      <c r="BU1075" s="25"/>
      <c r="BV1075" s="13"/>
      <c r="BY1075" s="114"/>
    </row>
    <row r="1076" spans="38:77" ht="19.5" x14ac:dyDescent="0.4">
      <c r="AW1076" s="26"/>
      <c r="AX1076" s="13"/>
      <c r="BC1076" s="117"/>
      <c r="BD1076" s="123"/>
      <c r="BE1076" s="123"/>
      <c r="BF1076" s="123"/>
      <c r="BG1076" s="115"/>
      <c r="BH1076" s="115"/>
      <c r="BI1076" s="115"/>
      <c r="BJ1076" s="115"/>
      <c r="BK1076" s="115"/>
      <c r="BL1076" s="115"/>
      <c r="BM1076" s="115"/>
      <c r="BN1076" s="115"/>
      <c r="BO1076" s="115"/>
      <c r="BP1076" s="115"/>
      <c r="BQ1076" s="115"/>
      <c r="BR1076" s="115"/>
      <c r="BS1076" s="115"/>
      <c r="BT1076" s="115"/>
      <c r="BU1076" s="25">
        <v>45273</v>
      </c>
      <c r="BV1076" s="13" t="s">
        <v>164</v>
      </c>
      <c r="BY1076" s="114"/>
    </row>
    <row r="1077" spans="38:77" ht="19.5" x14ac:dyDescent="0.4">
      <c r="AW1077" s="26"/>
      <c r="AX1077" s="13"/>
      <c r="BC1077" s="117"/>
      <c r="BD1077" s="123"/>
      <c r="BE1077" s="123"/>
      <c r="BF1077" s="123"/>
      <c r="BG1077" s="115"/>
      <c r="BH1077" s="115"/>
      <c r="BI1077" s="115"/>
      <c r="BJ1077" s="115"/>
      <c r="BK1077" s="115"/>
      <c r="BL1077" s="115"/>
      <c r="BM1077" s="115"/>
      <c r="BN1077" s="115"/>
      <c r="BO1077" s="115"/>
      <c r="BP1077" s="115"/>
      <c r="BQ1077" s="115"/>
      <c r="BR1077" s="115"/>
      <c r="BS1077" s="115"/>
      <c r="BT1077" s="115"/>
      <c r="BU1077" s="25">
        <v>45273</v>
      </c>
      <c r="BV1077" s="15" t="s">
        <v>164</v>
      </c>
      <c r="BY1077" s="114"/>
    </row>
    <row r="1078" spans="38:77" ht="19.5" x14ac:dyDescent="0.4">
      <c r="AW1078" s="26"/>
      <c r="AX1078" s="13"/>
      <c r="BC1078" s="117"/>
      <c r="BD1078" s="123"/>
      <c r="BE1078" s="123"/>
      <c r="BF1078" s="123"/>
      <c r="BG1078" s="115"/>
      <c r="BH1078" s="115"/>
      <c r="BI1078" s="115"/>
      <c r="BJ1078" s="115"/>
      <c r="BK1078" s="115"/>
      <c r="BL1078" s="115"/>
      <c r="BM1078" s="115"/>
      <c r="BN1078" s="115"/>
      <c r="BO1078" s="115"/>
      <c r="BP1078" s="115"/>
      <c r="BQ1078" s="115"/>
      <c r="BR1078" s="115"/>
      <c r="BS1078" s="115"/>
      <c r="BT1078" s="115"/>
      <c r="BU1078" s="25">
        <v>45273</v>
      </c>
      <c r="BV1078" s="15" t="s">
        <v>162</v>
      </c>
      <c r="BY1078" s="114"/>
    </row>
    <row r="1079" spans="38:77" ht="19.5" x14ac:dyDescent="0.4">
      <c r="AN1079" s="115"/>
      <c r="AO1079" s="115"/>
      <c r="AP1079" s="115"/>
      <c r="AQ1079" s="115"/>
      <c r="AR1079" s="115"/>
      <c r="AS1079" s="115"/>
      <c r="AT1079" s="115"/>
      <c r="AU1079" s="115"/>
      <c r="AV1079" s="115"/>
      <c r="AW1079" s="26"/>
      <c r="AX1079" s="13"/>
      <c r="BC1079" s="117"/>
      <c r="BD1079" s="123"/>
      <c r="BE1079" s="123"/>
      <c r="BF1079" s="123"/>
      <c r="BG1079" s="115"/>
      <c r="BH1079" s="115"/>
      <c r="BI1079" s="115"/>
      <c r="BJ1079" s="115"/>
      <c r="BK1079" s="115"/>
      <c r="BL1079" s="115"/>
      <c r="BM1079" s="115"/>
      <c r="BN1079" s="115"/>
      <c r="BO1079" s="115"/>
      <c r="BP1079" s="115"/>
      <c r="BQ1079" s="115"/>
      <c r="BR1079" s="115"/>
      <c r="BS1079" s="115"/>
      <c r="BT1079" s="115"/>
      <c r="BU1079" s="25"/>
      <c r="BV1079" s="15"/>
      <c r="BY1079" s="114"/>
    </row>
    <row r="1080" spans="38:77" ht="19.5" x14ac:dyDescent="0.4">
      <c r="AW1080" s="26"/>
      <c r="AX1080" s="13"/>
      <c r="BC1080" s="117"/>
      <c r="BD1080" s="123"/>
      <c r="BE1080" s="123"/>
      <c r="BF1080" s="123"/>
      <c r="BG1080" s="115"/>
      <c r="BH1080" s="115"/>
      <c r="BI1080" s="115"/>
      <c r="BJ1080" s="115"/>
      <c r="BK1080" s="115"/>
      <c r="BL1080" s="115"/>
      <c r="BM1080" s="115"/>
      <c r="BN1080" s="115"/>
      <c r="BO1080" s="115"/>
      <c r="BP1080" s="115"/>
      <c r="BQ1080" s="115"/>
      <c r="BR1080" s="115"/>
      <c r="BS1080" s="115"/>
      <c r="BT1080" s="115"/>
      <c r="BU1080" s="25">
        <v>45273</v>
      </c>
      <c r="BV1080" s="15" t="s">
        <v>162</v>
      </c>
      <c r="BY1080" s="114"/>
    </row>
    <row r="1081" spans="38:77" ht="19.5" x14ac:dyDescent="0.4">
      <c r="AW1081" s="26"/>
      <c r="AX1081" s="13"/>
      <c r="BC1081" s="117"/>
      <c r="BD1081" s="123"/>
      <c r="BE1081" s="123"/>
      <c r="BF1081" s="123"/>
      <c r="BG1081" s="115"/>
      <c r="BH1081" s="115"/>
      <c r="BI1081" s="115"/>
      <c r="BJ1081" s="115"/>
      <c r="BK1081" s="115"/>
      <c r="BL1081" s="115"/>
      <c r="BM1081" s="115"/>
      <c r="BN1081" s="115"/>
      <c r="BO1081" s="115"/>
      <c r="BP1081" s="115"/>
      <c r="BQ1081" s="115"/>
      <c r="BR1081" s="115"/>
      <c r="BS1081" s="115"/>
      <c r="BT1081" s="115"/>
      <c r="BU1081" s="25">
        <v>45273</v>
      </c>
      <c r="BV1081" s="15" t="s">
        <v>162</v>
      </c>
      <c r="BY1081" s="114"/>
    </row>
    <row r="1082" spans="38:77" ht="19.5" x14ac:dyDescent="0.4">
      <c r="AW1082" s="26"/>
      <c r="AX1082" s="13"/>
      <c r="BC1082" s="117"/>
      <c r="BD1082" s="123"/>
      <c r="BE1082" s="123"/>
      <c r="BF1082" s="123"/>
      <c r="BG1082" s="115"/>
      <c r="BH1082" s="115"/>
      <c r="BI1082" s="115"/>
      <c r="BJ1082" s="115"/>
      <c r="BK1082" s="115"/>
      <c r="BL1082" s="115"/>
      <c r="BM1082" s="115"/>
      <c r="BN1082" s="115"/>
      <c r="BO1082" s="115"/>
      <c r="BP1082" s="115"/>
      <c r="BQ1082" s="115"/>
      <c r="BR1082" s="115"/>
      <c r="BS1082" s="115"/>
      <c r="BT1082" s="115"/>
      <c r="BU1082" s="25">
        <v>45273</v>
      </c>
      <c r="BV1082" s="15" t="s">
        <v>162</v>
      </c>
      <c r="BY1082" s="114"/>
    </row>
    <row r="1083" spans="38:77" ht="19.5" x14ac:dyDescent="0.4">
      <c r="AM1083" s="115"/>
      <c r="AN1083" s="115"/>
      <c r="AO1083" s="115"/>
      <c r="AP1083" s="115"/>
      <c r="AQ1083" s="115"/>
      <c r="AR1083" s="115"/>
      <c r="AS1083" s="115"/>
      <c r="AT1083" s="115"/>
      <c r="AU1083" s="115"/>
      <c r="AV1083" s="115"/>
      <c r="AW1083" s="26"/>
      <c r="AX1083" s="13"/>
      <c r="BC1083" s="117"/>
      <c r="BD1083" s="123"/>
      <c r="BE1083" s="123"/>
      <c r="BF1083" s="123"/>
      <c r="BG1083" s="115"/>
      <c r="BH1083" s="115"/>
      <c r="BI1083" s="115"/>
      <c r="BJ1083" s="115"/>
      <c r="BK1083" s="115"/>
      <c r="BL1083" s="115"/>
      <c r="BM1083" s="115"/>
      <c r="BN1083" s="115"/>
      <c r="BO1083" s="115"/>
      <c r="BP1083" s="115"/>
      <c r="BQ1083" s="115"/>
      <c r="BR1083" s="115"/>
      <c r="BS1083" s="115"/>
      <c r="BT1083" s="115"/>
      <c r="BU1083" s="25"/>
      <c r="BV1083" s="15"/>
      <c r="BY1083" s="114"/>
    </row>
    <row r="1084" spans="38:77" ht="19.5" x14ac:dyDescent="0.4">
      <c r="AW1084" s="26"/>
      <c r="AX1084" s="13"/>
      <c r="BC1084" s="117"/>
      <c r="BD1084" s="123"/>
      <c r="BE1084" s="123"/>
      <c r="BF1084" s="123"/>
      <c r="BG1084" s="115"/>
      <c r="BH1084" s="115"/>
      <c r="BI1084" s="115"/>
      <c r="BJ1084" s="115"/>
      <c r="BK1084" s="115"/>
      <c r="BL1084" s="115"/>
      <c r="BM1084" s="115"/>
      <c r="BN1084" s="115"/>
      <c r="BO1084" s="115"/>
      <c r="BP1084" s="115"/>
      <c r="BQ1084" s="115"/>
      <c r="BR1084" s="115"/>
      <c r="BS1084" s="115"/>
      <c r="BT1084" s="115"/>
      <c r="BU1084" s="25">
        <v>45273</v>
      </c>
      <c r="BV1084" s="15" t="s">
        <v>162</v>
      </c>
      <c r="BY1084" s="114"/>
    </row>
    <row r="1085" spans="38:77" ht="19.5" x14ac:dyDescent="0.4">
      <c r="AW1085" s="26"/>
      <c r="AX1085" s="13"/>
      <c r="BC1085" s="117"/>
      <c r="BD1085" s="123"/>
      <c r="BE1085" s="123"/>
      <c r="BF1085" s="123"/>
      <c r="BG1085" s="115"/>
      <c r="BH1085" s="115"/>
      <c r="BI1085" s="115"/>
      <c r="BJ1085" s="115"/>
      <c r="BK1085" s="115"/>
      <c r="BL1085" s="115"/>
      <c r="BM1085" s="115"/>
      <c r="BN1085" s="115"/>
      <c r="BO1085" s="115"/>
      <c r="BP1085" s="115"/>
      <c r="BQ1085" s="115"/>
      <c r="BR1085" s="115"/>
      <c r="BS1085" s="115"/>
      <c r="BT1085" s="115"/>
      <c r="BU1085" s="25">
        <v>45273</v>
      </c>
      <c r="BV1085" s="15" t="s">
        <v>162</v>
      </c>
      <c r="BY1085" s="114"/>
    </row>
    <row r="1086" spans="38:77" ht="19.5" x14ac:dyDescent="0.4">
      <c r="AW1086" s="26"/>
      <c r="AX1086" s="13"/>
      <c r="BC1086" s="117"/>
      <c r="BD1086" s="123"/>
      <c r="BE1086" s="123"/>
      <c r="BF1086" s="123"/>
      <c r="BG1086" s="115"/>
      <c r="BH1086" s="115"/>
      <c r="BI1086" s="115"/>
      <c r="BJ1086" s="115"/>
      <c r="BK1086" s="124"/>
      <c r="BL1086" s="124"/>
      <c r="BM1086" s="124"/>
      <c r="BN1086" s="124"/>
      <c r="BO1086" s="124"/>
      <c r="BP1086" s="124"/>
      <c r="BQ1086" s="124"/>
      <c r="BR1086" s="124"/>
      <c r="BS1086" s="124"/>
      <c r="BT1086" s="124"/>
      <c r="BU1086" s="25">
        <v>45273</v>
      </c>
      <c r="BV1086" s="15" t="s">
        <v>162</v>
      </c>
      <c r="BY1086" s="114"/>
    </row>
    <row r="1087" spans="38:77" ht="19.5" x14ac:dyDescent="0.4">
      <c r="AW1087" s="26"/>
      <c r="AX1087" s="13"/>
      <c r="BC1087" s="117"/>
      <c r="BD1087" s="123"/>
      <c r="BE1087" s="123"/>
      <c r="BF1087" s="123"/>
      <c r="BG1087" s="115"/>
      <c r="BH1087" s="115"/>
      <c r="BI1087" s="115"/>
      <c r="BJ1087" s="115"/>
      <c r="BK1087" s="124"/>
      <c r="BL1087" s="124"/>
      <c r="BM1087" s="124"/>
      <c r="BN1087" s="124"/>
      <c r="BO1087" s="124"/>
      <c r="BP1087" s="124"/>
      <c r="BQ1087" s="124"/>
      <c r="BR1087" s="124"/>
      <c r="BS1087" s="124"/>
      <c r="BT1087" s="124"/>
      <c r="BU1087" s="25">
        <v>45273</v>
      </c>
      <c r="BV1087" s="15" t="s">
        <v>162</v>
      </c>
      <c r="BY1087" s="114"/>
    </row>
    <row r="1088" spans="38:77" ht="19.5" x14ac:dyDescent="0.4">
      <c r="AO1088" s="115"/>
      <c r="AP1088" s="115"/>
      <c r="AQ1088" s="115"/>
      <c r="AR1088" s="115"/>
      <c r="AS1088" s="115"/>
      <c r="AT1088" s="115"/>
      <c r="AU1088" s="115"/>
      <c r="AV1088" s="115"/>
      <c r="AW1088" s="17"/>
      <c r="AX1088" s="13"/>
      <c r="BC1088" s="117"/>
      <c r="BD1088" s="123"/>
      <c r="BE1088" s="123"/>
      <c r="BF1088" s="123"/>
      <c r="BG1088" s="115"/>
      <c r="BH1088" s="115"/>
      <c r="BI1088" s="115"/>
      <c r="BJ1088" s="115"/>
      <c r="BK1088" s="124"/>
      <c r="BL1088" s="124"/>
      <c r="BM1088" s="124"/>
      <c r="BN1088" s="124"/>
      <c r="BO1088" s="124"/>
      <c r="BP1088" s="124"/>
      <c r="BQ1088" s="124"/>
      <c r="BR1088" s="124"/>
      <c r="BS1088" s="124"/>
      <c r="BT1088" s="124"/>
      <c r="BU1088" s="25"/>
      <c r="BV1088" s="15"/>
      <c r="BY1088" s="114"/>
    </row>
    <row r="1089" spans="6:77" ht="19.5" x14ac:dyDescent="0.4">
      <c r="AW1089" s="26"/>
      <c r="AX1089" s="13"/>
      <c r="BC1089" s="117"/>
      <c r="BD1089" s="123"/>
      <c r="BE1089" s="123"/>
      <c r="BF1089" s="123"/>
      <c r="BG1089" s="115"/>
      <c r="BH1089" s="115"/>
      <c r="BI1089" s="115"/>
      <c r="BJ1089" s="115"/>
      <c r="BK1089" s="124"/>
      <c r="BL1089" s="124"/>
      <c r="BM1089" s="124"/>
      <c r="BN1089" s="124"/>
      <c r="BO1089" s="124"/>
      <c r="BP1089" s="124"/>
      <c r="BQ1089" s="124"/>
      <c r="BR1089" s="124"/>
      <c r="BS1089" s="124"/>
      <c r="BT1089" s="124"/>
      <c r="BU1089" s="25">
        <v>45273</v>
      </c>
      <c r="BV1089" s="15" t="s">
        <v>162</v>
      </c>
      <c r="BY1089" s="114"/>
    </row>
    <row r="1090" spans="6:77" ht="19.5" x14ac:dyDescent="0.4">
      <c r="AO1090" s="115"/>
      <c r="AP1090" s="115"/>
      <c r="AQ1090" s="115"/>
      <c r="AR1090" s="115"/>
      <c r="AS1090" s="115"/>
      <c r="AT1090" s="115"/>
      <c r="AU1090" s="115"/>
      <c r="AV1090" s="115"/>
      <c r="AW1090" s="17"/>
      <c r="AX1090" s="13"/>
      <c r="BC1090" s="117"/>
      <c r="BD1090" s="123"/>
      <c r="BE1090" s="123"/>
      <c r="BF1090" s="123"/>
      <c r="BG1090" s="115"/>
      <c r="BH1090" s="115"/>
      <c r="BI1090" s="115"/>
      <c r="BJ1090" s="115"/>
      <c r="BK1090" s="124"/>
      <c r="BL1090" s="124"/>
      <c r="BM1090" s="124"/>
      <c r="BN1090" s="124"/>
      <c r="BO1090" s="124"/>
      <c r="BP1090" s="124"/>
      <c r="BQ1090" s="124"/>
      <c r="BR1090" s="124"/>
      <c r="BS1090" s="124"/>
      <c r="BT1090" s="124"/>
      <c r="BU1090" s="25"/>
      <c r="BV1090" s="15"/>
      <c r="BY1090" s="114"/>
    </row>
    <row r="1091" spans="6:77" ht="19.5" x14ac:dyDescent="0.4">
      <c r="AW1091" s="26"/>
      <c r="AX1091" s="13"/>
      <c r="BC1091" s="117"/>
      <c r="BD1091" s="123"/>
      <c r="BE1091" s="123"/>
      <c r="BF1091" s="123"/>
      <c r="BG1091" s="115"/>
      <c r="BH1091" s="115"/>
      <c r="BI1091" s="115"/>
      <c r="BJ1091" s="115"/>
      <c r="BK1091" s="124"/>
      <c r="BL1091" s="124"/>
      <c r="BM1091" s="124"/>
      <c r="BN1091" s="124"/>
      <c r="BO1091" s="124"/>
      <c r="BP1091" s="124"/>
      <c r="BQ1091" s="124"/>
      <c r="BR1091" s="124"/>
      <c r="BS1091" s="124"/>
      <c r="BT1091" s="124"/>
      <c r="BU1091" s="25">
        <v>45273</v>
      </c>
      <c r="BV1091" s="15" t="s">
        <v>162</v>
      </c>
      <c r="BY1091" s="114"/>
    </row>
    <row r="1092" spans="6:77" ht="19.5" x14ac:dyDescent="0.4">
      <c r="AW1092" s="26"/>
      <c r="AX1092" s="13"/>
      <c r="BC1092" s="117"/>
      <c r="BD1092" s="123"/>
      <c r="BE1092" s="123"/>
      <c r="BF1092" s="123"/>
      <c r="BG1092" s="115"/>
      <c r="BH1092" s="115"/>
      <c r="BI1092" s="115"/>
      <c r="BJ1092" s="115"/>
      <c r="BK1092" s="115"/>
      <c r="BL1092" s="115"/>
      <c r="BM1092" s="115"/>
      <c r="BN1092" s="115"/>
      <c r="BO1092" s="115"/>
      <c r="BP1092" s="115"/>
      <c r="BQ1092" s="115"/>
      <c r="BR1092" s="115"/>
      <c r="BS1092" s="115"/>
      <c r="BT1092" s="115"/>
      <c r="BU1092" s="25">
        <v>45273</v>
      </c>
      <c r="BV1092" s="13" t="s">
        <v>162</v>
      </c>
      <c r="BY1092" s="114"/>
    </row>
    <row r="1093" spans="6:77" ht="19.5" x14ac:dyDescent="0.4">
      <c r="AW1093" s="26"/>
      <c r="AX1093" s="13"/>
      <c r="BC1093" s="117"/>
      <c r="BD1093" s="123"/>
      <c r="BE1093" s="123"/>
      <c r="BF1093" s="123"/>
      <c r="BG1093" s="115"/>
      <c r="BH1093" s="115"/>
      <c r="BI1093" s="115"/>
      <c r="BJ1093" s="115"/>
      <c r="BK1093" s="115"/>
      <c r="BL1093" s="115"/>
      <c r="BM1093" s="115"/>
      <c r="BN1093" s="115"/>
      <c r="BO1093" s="115"/>
      <c r="BP1093" s="115"/>
      <c r="BQ1093" s="115"/>
      <c r="BR1093" s="115"/>
      <c r="BS1093" s="115"/>
      <c r="BT1093" s="115"/>
      <c r="BU1093" s="25">
        <v>45273</v>
      </c>
      <c r="BV1093" s="15" t="s">
        <v>162</v>
      </c>
      <c r="BY1093" s="114"/>
    </row>
    <row r="1094" spans="6:77" ht="19.5" x14ac:dyDescent="0.4">
      <c r="AW1094" s="26"/>
      <c r="AX1094" s="13"/>
      <c r="BC1094" s="117"/>
      <c r="BD1094" s="123"/>
      <c r="BE1094" s="123"/>
      <c r="BF1094" s="123"/>
      <c r="BG1094" s="115"/>
      <c r="BH1094" s="115"/>
      <c r="BI1094" s="115"/>
      <c r="BJ1094" s="115"/>
      <c r="BK1094" s="115"/>
      <c r="BL1094" s="115"/>
      <c r="BM1094" s="115"/>
      <c r="BN1094" s="115"/>
      <c r="BO1094" s="115"/>
      <c r="BP1094" s="115"/>
      <c r="BQ1094" s="115"/>
      <c r="BR1094" s="115"/>
      <c r="BS1094" s="115"/>
      <c r="BT1094" s="115"/>
      <c r="BU1094" s="25">
        <v>45273</v>
      </c>
      <c r="BV1094" s="15" t="s">
        <v>162</v>
      </c>
      <c r="BY1094" s="114"/>
    </row>
    <row r="1095" spans="6:77" ht="19.5" x14ac:dyDescent="0.4">
      <c r="AL1095" s="115"/>
      <c r="AM1095" s="115"/>
      <c r="AN1095" s="115"/>
      <c r="AO1095" s="115"/>
      <c r="AP1095" s="115"/>
      <c r="AQ1095" s="115"/>
      <c r="AR1095" s="115"/>
      <c r="AS1095" s="115"/>
      <c r="AT1095" s="115"/>
      <c r="AU1095" s="115"/>
      <c r="AV1095" s="115"/>
      <c r="AW1095" s="26"/>
      <c r="AX1095" s="25"/>
      <c r="BC1095" s="117"/>
      <c r="BD1095" s="123"/>
      <c r="BE1095" s="123"/>
      <c r="BF1095" s="123"/>
      <c r="BG1095" s="115"/>
      <c r="BH1095" s="115"/>
      <c r="BI1095" s="115"/>
      <c r="BJ1095" s="115"/>
      <c r="BK1095" s="115"/>
      <c r="BL1095" s="115"/>
      <c r="BM1095" s="115"/>
      <c r="BN1095" s="115"/>
      <c r="BO1095" s="115"/>
      <c r="BP1095" s="115"/>
      <c r="BQ1095" s="115"/>
      <c r="BR1095" s="115"/>
      <c r="BS1095" s="115"/>
      <c r="BT1095" s="115"/>
      <c r="BU1095" s="25"/>
      <c r="BV1095" s="15"/>
      <c r="BY1095" s="114"/>
    </row>
    <row r="1096" spans="6:77" ht="19.5" x14ac:dyDescent="0.4">
      <c r="AW1096" s="26"/>
      <c r="AX1096" s="25"/>
      <c r="BC1096" s="117"/>
      <c r="BD1096" s="123"/>
      <c r="BE1096" s="123"/>
      <c r="BF1096" s="123"/>
      <c r="BG1096" s="115"/>
      <c r="BH1096" s="115"/>
      <c r="BI1096" s="115"/>
      <c r="BJ1096" s="115"/>
      <c r="BK1096" s="115"/>
      <c r="BL1096" s="115"/>
      <c r="BM1096" s="115"/>
      <c r="BN1096" s="115"/>
      <c r="BO1096" s="115"/>
      <c r="BP1096" s="115"/>
      <c r="BQ1096" s="115"/>
      <c r="BR1096" s="115"/>
      <c r="BS1096" s="115"/>
      <c r="BT1096" s="115"/>
      <c r="BU1096" s="25">
        <v>45273</v>
      </c>
      <c r="BV1096" s="15" t="s">
        <v>162</v>
      </c>
      <c r="BY1096" s="114"/>
    </row>
    <row r="1097" spans="6:77" ht="19.5" x14ac:dyDescent="0.4">
      <c r="AW1097" s="26"/>
      <c r="AX1097" s="13"/>
      <c r="BC1097" s="117"/>
      <c r="BD1097" s="123"/>
      <c r="BE1097" s="123"/>
      <c r="BF1097" s="123"/>
      <c r="BG1097" s="115"/>
      <c r="BH1097" s="115"/>
      <c r="BI1097" s="115"/>
      <c r="BJ1097" s="115"/>
      <c r="BK1097" s="115"/>
      <c r="BL1097" s="115"/>
      <c r="BM1097" s="115"/>
      <c r="BN1097" s="115"/>
      <c r="BO1097" s="115"/>
      <c r="BP1097" s="115"/>
      <c r="BQ1097" s="115"/>
      <c r="BR1097" s="115"/>
      <c r="BS1097" s="115"/>
      <c r="BT1097" s="115"/>
      <c r="BU1097" s="25">
        <v>45273</v>
      </c>
      <c r="BV1097" s="15" t="s">
        <v>162</v>
      </c>
      <c r="BY1097" s="114"/>
    </row>
    <row r="1098" spans="6:77" ht="19.5" x14ac:dyDescent="0.4"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115"/>
      <c r="AT1098" s="115"/>
      <c r="AU1098" s="115"/>
      <c r="AV1098" s="115"/>
      <c r="AW1098" s="26"/>
      <c r="AX1098" s="13"/>
      <c r="BC1098" s="117"/>
      <c r="BD1098" s="123"/>
      <c r="BE1098" s="123"/>
      <c r="BF1098" s="123"/>
      <c r="BG1098" s="115"/>
      <c r="BH1098" s="115"/>
      <c r="BI1098" s="115"/>
      <c r="BJ1098" s="115"/>
      <c r="BK1098" s="115"/>
      <c r="BL1098" s="115"/>
      <c r="BM1098" s="115"/>
      <c r="BN1098" s="115"/>
      <c r="BO1098" s="115"/>
      <c r="BP1098" s="115"/>
      <c r="BQ1098" s="115"/>
      <c r="BR1098" s="115"/>
      <c r="BS1098" s="115"/>
      <c r="BT1098" s="115"/>
      <c r="BU1098" s="25"/>
      <c r="BV1098" s="15"/>
      <c r="BY1098" s="114"/>
    </row>
    <row r="1099" spans="6:77" ht="19.5" x14ac:dyDescent="0.4"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15"/>
      <c r="AP1099" s="115"/>
      <c r="AQ1099" s="115"/>
      <c r="AR1099" s="115"/>
      <c r="AS1099" s="115"/>
      <c r="AT1099" s="115"/>
      <c r="AU1099" s="115"/>
      <c r="AV1099" s="115"/>
      <c r="AW1099" s="26"/>
      <c r="AX1099" s="13"/>
      <c r="BC1099" s="117"/>
      <c r="BD1099" s="123"/>
      <c r="BE1099" s="123"/>
      <c r="BF1099" s="123"/>
      <c r="BG1099" s="115"/>
      <c r="BH1099" s="115"/>
      <c r="BI1099" s="115"/>
      <c r="BJ1099" s="115"/>
      <c r="BK1099" s="115"/>
      <c r="BL1099" s="115"/>
      <c r="BM1099" s="115"/>
      <c r="BN1099" s="115"/>
      <c r="BO1099" s="115"/>
      <c r="BP1099" s="115"/>
      <c r="BQ1099" s="115"/>
      <c r="BR1099" s="115"/>
      <c r="BS1099" s="115"/>
      <c r="BT1099" s="115"/>
      <c r="BU1099" s="25"/>
      <c r="BV1099" s="15"/>
      <c r="BY1099" s="114"/>
    </row>
    <row r="1100" spans="6:77" ht="19.5" x14ac:dyDescent="0.4">
      <c r="AW1100" s="26"/>
      <c r="AX1100" s="13"/>
      <c r="BC1100" s="117"/>
      <c r="BD1100" s="123"/>
      <c r="BE1100" s="123"/>
      <c r="BF1100" s="123"/>
      <c r="BG1100" s="115"/>
      <c r="BH1100" s="115"/>
      <c r="BI1100" s="115"/>
      <c r="BJ1100" s="115"/>
      <c r="BK1100" s="115"/>
      <c r="BL1100" s="115"/>
      <c r="BM1100" s="115"/>
      <c r="BN1100" s="115"/>
      <c r="BO1100" s="115"/>
      <c r="BP1100" s="115"/>
      <c r="BQ1100" s="115"/>
      <c r="BR1100" s="115"/>
      <c r="BS1100" s="115"/>
      <c r="BT1100" s="115"/>
      <c r="BU1100" s="25">
        <v>45273</v>
      </c>
      <c r="BV1100" s="15" t="s">
        <v>162</v>
      </c>
      <c r="BY1100" s="114"/>
    </row>
    <row r="1101" spans="6:77" ht="19.5" x14ac:dyDescent="0.4">
      <c r="AW1101" s="26"/>
      <c r="AX1101" s="13"/>
      <c r="BC1101" s="117"/>
      <c r="BD1101" s="123"/>
      <c r="BE1101" s="123"/>
      <c r="BF1101" s="123"/>
      <c r="BG1101" s="115"/>
      <c r="BH1101" s="115"/>
      <c r="BI1101" s="115"/>
      <c r="BJ1101" s="115"/>
      <c r="BK1101" s="115"/>
      <c r="BL1101" s="115"/>
      <c r="BM1101" s="115"/>
      <c r="BN1101" s="115"/>
      <c r="BO1101" s="115"/>
      <c r="BP1101" s="115"/>
      <c r="BQ1101" s="115"/>
      <c r="BR1101" s="115"/>
      <c r="BS1101" s="115"/>
      <c r="BT1101" s="115"/>
      <c r="BU1101" s="25">
        <v>45273</v>
      </c>
      <c r="BV1101" s="15" t="s">
        <v>162</v>
      </c>
      <c r="BY1101" s="114"/>
    </row>
    <row r="1102" spans="6:77" ht="19.5" x14ac:dyDescent="0.4">
      <c r="AW1102" s="26"/>
      <c r="AX1102" s="13"/>
      <c r="BC1102" s="117"/>
      <c r="BD1102" s="123"/>
      <c r="BE1102" s="123"/>
      <c r="BF1102" s="123"/>
      <c r="BG1102" s="115"/>
      <c r="BH1102" s="115"/>
      <c r="BI1102" s="115"/>
      <c r="BJ1102" s="115"/>
      <c r="BK1102" s="115"/>
      <c r="BL1102" s="115"/>
      <c r="BM1102" s="115"/>
      <c r="BN1102" s="115"/>
      <c r="BO1102" s="115"/>
      <c r="BP1102" s="115"/>
      <c r="BQ1102" s="115"/>
      <c r="BR1102" s="115"/>
      <c r="BS1102" s="115"/>
      <c r="BT1102" s="115"/>
      <c r="BU1102" s="25">
        <v>45273</v>
      </c>
      <c r="BV1102" s="13" t="s">
        <v>163</v>
      </c>
      <c r="BY1102" s="114"/>
    </row>
    <row r="1103" spans="6:77" ht="19.5" x14ac:dyDescent="0.4">
      <c r="AW1103" s="26"/>
      <c r="AX1103" s="13"/>
      <c r="BC1103" s="117"/>
      <c r="BD1103" s="123"/>
      <c r="BE1103" s="123"/>
      <c r="BF1103" s="123"/>
      <c r="BG1103" s="115"/>
      <c r="BH1103" s="115"/>
      <c r="BI1103" s="115"/>
      <c r="BJ1103" s="115"/>
      <c r="BK1103" s="115"/>
      <c r="BL1103" s="115"/>
      <c r="BM1103" s="115"/>
      <c r="BN1103" s="115"/>
      <c r="BO1103" s="115"/>
      <c r="BP1103" s="115"/>
      <c r="BQ1103" s="115"/>
      <c r="BR1103" s="115"/>
      <c r="BS1103" s="115"/>
      <c r="BT1103" s="115"/>
      <c r="BU1103" s="25"/>
      <c r="BV1103" s="13"/>
      <c r="BY1103" s="114"/>
    </row>
    <row r="1104" spans="6:77" ht="19.5" x14ac:dyDescent="0.4">
      <c r="AW1104" s="26"/>
      <c r="AX1104" s="13"/>
      <c r="BC1104" s="117"/>
      <c r="BD1104" s="123"/>
      <c r="BE1104" s="123"/>
      <c r="BF1104" s="123"/>
      <c r="BG1104" s="115"/>
      <c r="BH1104" s="115"/>
      <c r="BI1104" s="115"/>
      <c r="BJ1104" s="115"/>
      <c r="BK1104" s="115"/>
      <c r="BL1104" s="115"/>
      <c r="BM1104" s="115"/>
      <c r="BN1104" s="115"/>
      <c r="BO1104" s="115"/>
      <c r="BP1104" s="115"/>
      <c r="BQ1104" s="115"/>
      <c r="BR1104" s="115"/>
      <c r="BS1104" s="115"/>
      <c r="BT1104" s="115" t="s">
        <v>152</v>
      </c>
      <c r="BU1104" s="13">
        <f>SUBTOTAL(3,BU1073:BU1102)</f>
        <v>22</v>
      </c>
      <c r="BV1104" s="13">
        <f>SUBTOTAL(3,BV1073:BV1102)</f>
        <v>22</v>
      </c>
      <c r="BY1104" s="114"/>
    </row>
    <row r="1105" spans="6:77" ht="19.5" x14ac:dyDescent="0.4">
      <c r="AW1105" s="26"/>
      <c r="AX1105" s="13"/>
      <c r="BC1105" s="117"/>
      <c r="BD1105" s="123"/>
      <c r="BE1105" s="123"/>
      <c r="BF1105" s="123"/>
      <c r="BG1105" s="115"/>
      <c r="BH1105" s="115"/>
      <c r="BI1105" s="115"/>
      <c r="BJ1105" s="115"/>
      <c r="BK1105" s="115"/>
      <c r="BL1105" s="115"/>
      <c r="BM1105" s="115"/>
      <c r="BN1105" s="115"/>
      <c r="BO1105" s="115"/>
      <c r="BP1105" s="115"/>
      <c r="BQ1105" s="115"/>
      <c r="BR1105" s="115"/>
      <c r="BS1105" s="115"/>
      <c r="BT1105" s="115"/>
      <c r="BU1105" s="25">
        <v>45274</v>
      </c>
      <c r="BV1105" s="15" t="s">
        <v>162</v>
      </c>
      <c r="BY1105" s="114"/>
    </row>
    <row r="1106" spans="6:77" ht="19.5" x14ac:dyDescent="0.4">
      <c r="AM1106" s="115"/>
      <c r="AN1106" s="115"/>
      <c r="AO1106" s="115"/>
      <c r="AP1106" s="115"/>
      <c r="AQ1106" s="115"/>
      <c r="AR1106" s="115"/>
      <c r="AS1106" s="115"/>
      <c r="AT1106" s="115"/>
      <c r="AU1106" s="115"/>
      <c r="AV1106" s="115"/>
      <c r="AW1106" s="26"/>
      <c r="AX1106" s="13"/>
      <c r="BC1106" s="117"/>
      <c r="BD1106" s="123"/>
      <c r="BE1106" s="123"/>
      <c r="BF1106" s="123"/>
      <c r="BG1106" s="115"/>
      <c r="BH1106" s="115"/>
      <c r="BI1106" s="115"/>
      <c r="BJ1106" s="115"/>
      <c r="BK1106" s="115"/>
      <c r="BL1106" s="115"/>
      <c r="BM1106" s="115"/>
      <c r="BN1106" s="115"/>
      <c r="BO1106" s="115"/>
      <c r="BP1106" s="115"/>
      <c r="BQ1106" s="115"/>
      <c r="BR1106" s="115"/>
      <c r="BS1106" s="115"/>
      <c r="BT1106" s="115"/>
      <c r="BU1106" s="25"/>
      <c r="BV1106" s="15"/>
      <c r="BY1106" s="114"/>
    </row>
    <row r="1107" spans="6:77" ht="19.5" x14ac:dyDescent="0.4">
      <c r="AM1107" s="115"/>
      <c r="AN1107" s="115"/>
      <c r="AO1107" s="115"/>
      <c r="AP1107" s="115"/>
      <c r="AQ1107" s="115"/>
      <c r="AR1107" s="115"/>
      <c r="AS1107" s="115"/>
      <c r="AT1107" s="115"/>
      <c r="AU1107" s="115"/>
      <c r="AV1107" s="115"/>
      <c r="AW1107" s="26"/>
      <c r="AX1107" s="13"/>
      <c r="BC1107" s="117"/>
      <c r="BD1107" s="123"/>
      <c r="BE1107" s="123"/>
      <c r="BF1107" s="123"/>
      <c r="BG1107" s="115"/>
      <c r="BH1107" s="115"/>
      <c r="BI1107" s="115"/>
      <c r="BJ1107" s="115"/>
      <c r="BK1107" s="115"/>
      <c r="BL1107" s="115"/>
      <c r="BM1107" s="115"/>
      <c r="BN1107" s="115"/>
      <c r="BO1107" s="115"/>
      <c r="BP1107" s="115"/>
      <c r="BQ1107" s="115"/>
      <c r="BR1107" s="115"/>
      <c r="BS1107" s="115"/>
      <c r="BT1107" s="115"/>
      <c r="BU1107" s="25"/>
      <c r="BV1107" s="15"/>
      <c r="BY1107" s="114"/>
    </row>
    <row r="1108" spans="6:77" ht="19.5" x14ac:dyDescent="0.4">
      <c r="AW1108" s="26"/>
      <c r="AX1108" s="13"/>
      <c r="BC1108" s="117"/>
      <c r="BD1108" s="123"/>
      <c r="BE1108" s="123"/>
      <c r="BF1108" s="123"/>
      <c r="BG1108" s="115"/>
      <c r="BH1108" s="115"/>
      <c r="BI1108" s="115"/>
      <c r="BJ1108" s="115"/>
      <c r="BK1108" s="115"/>
      <c r="BL1108" s="115"/>
      <c r="BM1108" s="115"/>
      <c r="BN1108" s="115"/>
      <c r="BO1108" s="115"/>
      <c r="BP1108" s="115"/>
      <c r="BQ1108" s="115"/>
      <c r="BR1108" s="115"/>
      <c r="BS1108" s="115"/>
      <c r="BT1108" s="115"/>
      <c r="BU1108" s="25">
        <v>45274</v>
      </c>
      <c r="BV1108" s="15" t="s">
        <v>162</v>
      </c>
      <c r="BY1108" s="114"/>
    </row>
    <row r="1109" spans="6:77" ht="19.5" x14ac:dyDescent="0.4">
      <c r="AN1109" s="115"/>
      <c r="AO1109" s="115"/>
      <c r="AP1109" s="115"/>
      <c r="AQ1109" s="115"/>
      <c r="AR1109" s="115"/>
      <c r="AS1109" s="115"/>
      <c r="AT1109" s="115"/>
      <c r="AU1109" s="115"/>
      <c r="AV1109" s="115"/>
      <c r="AW1109" s="26"/>
      <c r="AX1109" s="13"/>
      <c r="BC1109" s="117"/>
      <c r="BD1109" s="123"/>
      <c r="BE1109" s="123"/>
      <c r="BF1109" s="123"/>
      <c r="BG1109" s="115"/>
      <c r="BH1109" s="115"/>
      <c r="BI1109" s="115"/>
      <c r="BJ1109" s="115"/>
      <c r="BK1109" s="115"/>
      <c r="BL1109" s="115"/>
      <c r="BM1109" s="115"/>
      <c r="BN1109" s="115"/>
      <c r="BO1109" s="115"/>
      <c r="BP1109" s="115"/>
      <c r="BQ1109" s="115"/>
      <c r="BR1109" s="115"/>
      <c r="BS1109" s="115"/>
      <c r="BT1109" s="115"/>
      <c r="BU1109" s="25"/>
      <c r="BV1109" s="15"/>
      <c r="BY1109" s="114"/>
    </row>
    <row r="1110" spans="6:77" ht="19.5" x14ac:dyDescent="0.4">
      <c r="AM1110" s="115"/>
      <c r="AN1110" s="115"/>
      <c r="AO1110" s="115"/>
      <c r="AP1110" s="115"/>
      <c r="AQ1110" s="115"/>
      <c r="AR1110" s="115"/>
      <c r="AS1110" s="115"/>
      <c r="AT1110" s="115"/>
      <c r="AU1110" s="115"/>
      <c r="AV1110" s="115"/>
      <c r="AW1110" s="26"/>
      <c r="AX1110" s="13"/>
      <c r="BC1110" s="117"/>
      <c r="BD1110" s="123"/>
      <c r="BE1110" s="123"/>
      <c r="BF1110" s="123"/>
      <c r="BG1110" s="115"/>
      <c r="BH1110" s="115"/>
      <c r="BI1110" s="115"/>
      <c r="BJ1110" s="115"/>
      <c r="BK1110" s="115"/>
      <c r="BL1110" s="115"/>
      <c r="BM1110" s="115"/>
      <c r="BN1110" s="115"/>
      <c r="BO1110" s="115"/>
      <c r="BP1110" s="115"/>
      <c r="BQ1110" s="115"/>
      <c r="BR1110" s="115"/>
      <c r="BS1110" s="115"/>
      <c r="BT1110" s="115"/>
      <c r="BU1110" s="25"/>
      <c r="BV1110" s="15"/>
      <c r="BY1110" s="114"/>
    </row>
    <row r="1111" spans="6:77" ht="19.5" x14ac:dyDescent="0.4"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15"/>
      <c r="AU1111" s="115"/>
      <c r="AV1111" s="115"/>
      <c r="AW1111" s="26"/>
      <c r="AX1111" s="13"/>
      <c r="BC1111" s="117"/>
      <c r="BD1111" s="123"/>
      <c r="BE1111" s="123"/>
      <c r="BF1111" s="123"/>
      <c r="BG1111" s="115"/>
      <c r="BH1111" s="115"/>
      <c r="BI1111" s="115"/>
      <c r="BJ1111" s="115"/>
      <c r="BK1111" s="115"/>
      <c r="BL1111" s="115"/>
      <c r="BM1111" s="115"/>
      <c r="BN1111" s="115"/>
      <c r="BO1111" s="115"/>
      <c r="BP1111" s="115"/>
      <c r="BQ1111" s="115"/>
      <c r="BR1111" s="115"/>
      <c r="BS1111" s="115"/>
      <c r="BT1111" s="115"/>
      <c r="BU1111" s="25"/>
      <c r="BV1111" s="15"/>
      <c r="BY1111" s="114"/>
    </row>
    <row r="1112" spans="6:77" ht="19.5" x14ac:dyDescent="0.4">
      <c r="AW1112" s="26"/>
      <c r="AX1112" s="13"/>
      <c r="BC1112" s="117"/>
      <c r="BD1112" s="123"/>
      <c r="BE1112" s="123"/>
      <c r="BF1112" s="123"/>
      <c r="BG1112" s="115"/>
      <c r="BH1112" s="115"/>
      <c r="BI1112" s="115"/>
      <c r="BJ1112" s="115"/>
      <c r="BK1112" s="115"/>
      <c r="BL1112" s="115"/>
      <c r="BM1112" s="115"/>
      <c r="BN1112" s="115"/>
      <c r="BO1112" s="115"/>
      <c r="BP1112" s="115"/>
      <c r="BQ1112" s="115"/>
      <c r="BR1112" s="115"/>
      <c r="BS1112" s="115"/>
      <c r="BT1112" s="115"/>
      <c r="BU1112" s="25">
        <v>45274</v>
      </c>
      <c r="BV1112" s="15" t="s">
        <v>162</v>
      </c>
      <c r="BY1112" s="114"/>
    </row>
    <row r="1113" spans="6:77" ht="19.5" x14ac:dyDescent="0.4">
      <c r="AL1113" s="115"/>
      <c r="AM1113" s="115"/>
      <c r="AN1113" s="115"/>
      <c r="AO1113" s="115"/>
      <c r="AP1113" s="115"/>
      <c r="AQ1113" s="115"/>
      <c r="AR1113" s="115"/>
      <c r="AS1113" s="115"/>
      <c r="AT1113" s="115"/>
      <c r="AU1113" s="115"/>
      <c r="AV1113" s="115"/>
      <c r="AW1113" s="26"/>
      <c r="AX1113" s="13"/>
      <c r="BC1113" s="117"/>
      <c r="BD1113" s="123"/>
      <c r="BE1113" s="123"/>
      <c r="BF1113" s="123"/>
      <c r="BG1113" s="115"/>
      <c r="BH1113" s="115"/>
      <c r="BI1113" s="115"/>
      <c r="BJ1113" s="115"/>
      <c r="BK1113" s="115"/>
      <c r="BL1113" s="115"/>
      <c r="BM1113" s="115"/>
      <c r="BN1113" s="115"/>
      <c r="BO1113" s="115"/>
      <c r="BP1113" s="115"/>
      <c r="BQ1113" s="115"/>
      <c r="BR1113" s="115"/>
      <c r="BS1113" s="115"/>
      <c r="BT1113" s="115"/>
      <c r="BU1113" s="25"/>
      <c r="BV1113" s="15"/>
      <c r="BY1113" s="114"/>
    </row>
    <row r="1114" spans="6:77" ht="19.5" x14ac:dyDescent="0.4">
      <c r="AW1114" s="26"/>
      <c r="AX1114" s="13"/>
      <c r="BC1114" s="117"/>
      <c r="BD1114" s="123"/>
      <c r="BE1114" s="123"/>
      <c r="BF1114" s="123"/>
      <c r="BG1114" s="115"/>
      <c r="BH1114" s="115"/>
      <c r="BI1114" s="115"/>
      <c r="BJ1114" s="115"/>
      <c r="BK1114" s="115"/>
      <c r="BL1114" s="115"/>
      <c r="BM1114" s="115"/>
      <c r="BN1114" s="115"/>
      <c r="BO1114" s="115"/>
      <c r="BP1114" s="115"/>
      <c r="BQ1114" s="115"/>
      <c r="BR1114" s="115"/>
      <c r="BS1114" s="115"/>
      <c r="BT1114" s="115"/>
      <c r="BU1114" s="25">
        <v>45274</v>
      </c>
      <c r="BV1114" s="15" t="s">
        <v>162</v>
      </c>
      <c r="BY1114" s="114"/>
    </row>
    <row r="1115" spans="6:77" ht="19.5" x14ac:dyDescent="0.4">
      <c r="AW1115" s="26"/>
      <c r="AX1115" s="13"/>
      <c r="BC1115" s="117"/>
      <c r="BD1115" s="123"/>
      <c r="BE1115" s="123"/>
      <c r="BF1115" s="123"/>
      <c r="BG1115" s="115"/>
      <c r="BH1115" s="115"/>
      <c r="BI1115" s="115"/>
      <c r="BJ1115" s="115"/>
      <c r="BK1115" s="115"/>
      <c r="BL1115" s="115"/>
      <c r="BM1115" s="115"/>
      <c r="BN1115" s="115"/>
      <c r="BO1115" s="115"/>
      <c r="BP1115" s="115"/>
      <c r="BQ1115" s="115"/>
      <c r="BR1115" s="115"/>
      <c r="BS1115" s="115"/>
      <c r="BT1115" s="115"/>
      <c r="BU1115" s="25">
        <v>45274</v>
      </c>
      <c r="BV1115" s="15" t="s">
        <v>163</v>
      </c>
      <c r="BY1115" s="114"/>
    </row>
    <row r="1116" spans="6:77" ht="19.5" x14ac:dyDescent="0.4">
      <c r="AO1116" s="115"/>
      <c r="AP1116" s="115"/>
      <c r="AQ1116" s="115"/>
      <c r="AR1116" s="115"/>
      <c r="AS1116" s="115"/>
      <c r="AT1116" s="115"/>
      <c r="AU1116" s="115"/>
      <c r="AV1116" s="115"/>
      <c r="AW1116" s="17"/>
      <c r="AX1116" s="13"/>
      <c r="BC1116" s="117"/>
      <c r="BD1116" s="123"/>
      <c r="BE1116" s="123"/>
      <c r="BF1116" s="123"/>
      <c r="BG1116" s="115"/>
      <c r="BH1116" s="115"/>
      <c r="BI1116" s="115"/>
      <c r="BJ1116" s="115"/>
      <c r="BK1116" s="115"/>
      <c r="BL1116" s="115"/>
      <c r="BM1116" s="115"/>
      <c r="BN1116" s="115"/>
      <c r="BO1116" s="115"/>
      <c r="BP1116" s="115"/>
      <c r="BQ1116" s="115"/>
      <c r="BR1116" s="115"/>
      <c r="BS1116" s="115"/>
      <c r="BT1116" s="115"/>
      <c r="BU1116" s="25"/>
      <c r="BV1116" s="15"/>
      <c r="BY1116" s="114"/>
    </row>
    <row r="1117" spans="6:77" ht="19.5" x14ac:dyDescent="0.4">
      <c r="AM1117" s="115"/>
      <c r="AN1117" s="115"/>
      <c r="AO1117" s="115"/>
      <c r="AP1117" s="115"/>
      <c r="AQ1117" s="115"/>
      <c r="AR1117" s="115"/>
      <c r="AS1117" s="115"/>
      <c r="AT1117" s="115"/>
      <c r="AU1117" s="115"/>
      <c r="AV1117" s="115"/>
      <c r="AW1117" s="26"/>
      <c r="AX1117" s="13"/>
      <c r="BC1117" s="117"/>
      <c r="BD1117" s="123"/>
      <c r="BE1117" s="123"/>
      <c r="BF1117" s="123"/>
      <c r="BG1117" s="115"/>
      <c r="BH1117" s="115"/>
      <c r="BI1117" s="115"/>
      <c r="BJ1117" s="115"/>
      <c r="BK1117" s="115"/>
      <c r="BL1117" s="115"/>
      <c r="BM1117" s="115"/>
      <c r="BN1117" s="115"/>
      <c r="BO1117" s="115"/>
      <c r="BP1117" s="115"/>
      <c r="BQ1117" s="115"/>
      <c r="BR1117" s="115"/>
      <c r="BS1117" s="115"/>
      <c r="BT1117" s="115"/>
      <c r="BU1117" s="25"/>
      <c r="BV1117" s="15"/>
      <c r="BY1117" s="114"/>
    </row>
    <row r="1118" spans="6:77" ht="19.5" x14ac:dyDescent="0.4">
      <c r="AW1118" s="26"/>
      <c r="AX1118" s="25"/>
      <c r="BC1118" s="117"/>
      <c r="BD1118" s="123"/>
      <c r="BE1118" s="123"/>
      <c r="BF1118" s="123"/>
      <c r="BG1118" s="115"/>
      <c r="BH1118" s="115"/>
      <c r="BI1118" s="115"/>
      <c r="BJ1118" s="115"/>
      <c r="BK1118" s="115"/>
      <c r="BL1118" s="115"/>
      <c r="BM1118" s="115"/>
      <c r="BN1118" s="115"/>
      <c r="BO1118" s="115"/>
      <c r="BP1118" s="115"/>
      <c r="BQ1118" s="115"/>
      <c r="BR1118" s="115"/>
      <c r="BS1118" s="115"/>
      <c r="BT1118" s="115" t="s">
        <v>167</v>
      </c>
      <c r="BU1118" s="13">
        <f>SUBTOTAL(3,BU1105:BU1115)</f>
        <v>5</v>
      </c>
      <c r="BV1118" s="15">
        <f>SUBTOTAL(3,BV1105:BV1115)</f>
        <v>5</v>
      </c>
      <c r="BY1118" s="114"/>
    </row>
    <row r="1119" spans="6:77" ht="19.5" x14ac:dyDescent="0.4">
      <c r="AM1119" s="115"/>
      <c r="AN1119" s="115"/>
      <c r="AO1119" s="115"/>
      <c r="AP1119" s="115"/>
      <c r="AQ1119" s="115"/>
      <c r="AR1119" s="115"/>
      <c r="AS1119" s="115"/>
      <c r="AT1119" s="115"/>
      <c r="AU1119" s="115"/>
      <c r="AV1119" s="115"/>
      <c r="AW1119" s="26"/>
      <c r="AX1119" s="105"/>
      <c r="BC1119" s="117"/>
      <c r="BD1119" s="123"/>
      <c r="BE1119" s="123"/>
      <c r="BF1119" s="123"/>
      <c r="BG1119" s="115"/>
      <c r="BH1119" s="115"/>
      <c r="BI1119" s="115"/>
      <c r="BJ1119" s="115"/>
      <c r="BK1119" s="115"/>
      <c r="BL1119" s="115"/>
      <c r="BM1119" s="115"/>
      <c r="BN1119" s="115"/>
      <c r="BO1119" s="115"/>
      <c r="BP1119" s="115"/>
      <c r="BQ1119" s="115"/>
      <c r="BR1119" s="115"/>
      <c r="BS1119" s="115"/>
      <c r="BT1119" s="115"/>
      <c r="BU1119" s="13"/>
      <c r="BV1119" s="15"/>
      <c r="BY1119" s="114"/>
    </row>
    <row r="1120" spans="6:77" ht="19.5" x14ac:dyDescent="0.4">
      <c r="AW1120" s="26"/>
      <c r="AX1120" s="105"/>
      <c r="BC1120" s="117"/>
      <c r="BD1120" s="123"/>
      <c r="BE1120" s="123"/>
      <c r="BF1120" s="123"/>
      <c r="BG1120" s="115"/>
      <c r="BH1120" s="115"/>
      <c r="BI1120" s="115"/>
      <c r="BJ1120" s="115"/>
      <c r="BK1120" s="115"/>
      <c r="BL1120" s="115"/>
      <c r="BM1120" s="115"/>
      <c r="BN1120" s="115"/>
      <c r="BO1120" s="115"/>
      <c r="BP1120" s="115"/>
      <c r="BQ1120" s="115"/>
      <c r="BR1120" s="115"/>
      <c r="BS1120" s="115"/>
      <c r="BT1120" s="115"/>
      <c r="BU1120" s="13"/>
      <c r="BV1120" s="15"/>
      <c r="BY1120" s="114"/>
    </row>
    <row r="1121" spans="6:77" ht="19.5" x14ac:dyDescent="0.4">
      <c r="AO1121" s="115"/>
      <c r="AP1121" s="115"/>
      <c r="AQ1121" s="115"/>
      <c r="AR1121" s="115"/>
      <c r="AS1121" s="115"/>
      <c r="AT1121" s="115"/>
      <c r="AU1121" s="115"/>
      <c r="AV1121" s="115"/>
      <c r="AW1121" s="17"/>
      <c r="AX1121" s="15"/>
      <c r="BC1121" s="117"/>
      <c r="BD1121" s="123"/>
      <c r="BE1121" s="123"/>
      <c r="BF1121" s="123"/>
      <c r="BG1121" s="115"/>
      <c r="BH1121" s="115"/>
      <c r="BI1121" s="115"/>
      <c r="BJ1121" s="115"/>
      <c r="BK1121" s="115"/>
      <c r="BL1121" s="115"/>
      <c r="BM1121" s="115"/>
      <c r="BN1121" s="115"/>
      <c r="BO1121" s="115"/>
      <c r="BP1121" s="115"/>
      <c r="BQ1121" s="115"/>
      <c r="BR1121" s="115"/>
      <c r="BS1121" s="115"/>
      <c r="BT1121" s="115"/>
      <c r="BU1121" s="13"/>
      <c r="BV1121" s="15"/>
      <c r="BY1121" s="114"/>
    </row>
    <row r="1122" spans="6:77" ht="19.5" x14ac:dyDescent="0.4">
      <c r="AM1122" s="115"/>
      <c r="AN1122" s="115"/>
      <c r="AO1122" s="115"/>
      <c r="AP1122" s="115"/>
      <c r="AQ1122" s="115"/>
      <c r="AR1122" s="115"/>
      <c r="AS1122" s="115"/>
      <c r="AT1122" s="115"/>
      <c r="AU1122" s="115"/>
      <c r="AV1122" s="115"/>
      <c r="AW1122" s="26"/>
      <c r="AX1122" s="15"/>
      <c r="BC1122" s="117"/>
      <c r="BD1122" s="123"/>
      <c r="BE1122" s="123"/>
      <c r="BF1122" s="123"/>
      <c r="BG1122" s="115"/>
      <c r="BH1122" s="115"/>
      <c r="BI1122" s="115"/>
      <c r="BJ1122" s="115"/>
      <c r="BK1122" s="115"/>
      <c r="BL1122" s="115"/>
      <c r="BM1122" s="115"/>
      <c r="BN1122" s="115"/>
      <c r="BO1122" s="115"/>
      <c r="BP1122" s="115"/>
      <c r="BQ1122" s="115"/>
      <c r="BR1122" s="115"/>
      <c r="BS1122" s="115"/>
      <c r="BT1122" s="115"/>
      <c r="BU1122" s="13"/>
      <c r="BV1122" s="15"/>
      <c r="BY1122" s="114"/>
    </row>
    <row r="1123" spans="6:77" ht="19.5" x14ac:dyDescent="0.4">
      <c r="AM1123" s="115"/>
      <c r="AN1123" s="115"/>
      <c r="AO1123" s="115"/>
      <c r="AP1123" s="115"/>
      <c r="AQ1123" s="115"/>
      <c r="AR1123" s="115"/>
      <c r="AS1123" s="115"/>
      <c r="AT1123" s="115"/>
      <c r="AU1123" s="115"/>
      <c r="AV1123" s="115"/>
      <c r="AW1123" s="26"/>
      <c r="AX1123" s="15"/>
      <c r="BC1123" s="117"/>
      <c r="BD1123" s="123"/>
      <c r="BE1123" s="123"/>
      <c r="BF1123" s="123"/>
      <c r="BG1123" s="115"/>
      <c r="BH1123" s="115"/>
      <c r="BI1123" s="115"/>
      <c r="BJ1123" s="115"/>
      <c r="BK1123" s="115"/>
      <c r="BL1123" s="115"/>
      <c r="BM1123" s="115"/>
      <c r="BN1123" s="115"/>
      <c r="BO1123" s="115"/>
      <c r="BP1123" s="115"/>
      <c r="BQ1123" s="115"/>
      <c r="BR1123" s="115"/>
      <c r="BS1123" s="115"/>
      <c r="BT1123" s="115"/>
      <c r="BU1123" s="13"/>
      <c r="BV1123" s="15"/>
      <c r="BY1123" s="114"/>
    </row>
    <row r="1124" spans="6:77" ht="19.5" x14ac:dyDescent="0.4">
      <c r="AM1124" s="115"/>
      <c r="AN1124" s="115"/>
      <c r="AO1124" s="115"/>
      <c r="AP1124" s="115"/>
      <c r="AQ1124" s="115"/>
      <c r="AR1124" s="115"/>
      <c r="AS1124" s="115"/>
      <c r="AT1124" s="115"/>
      <c r="AU1124" s="115"/>
      <c r="AV1124" s="115"/>
      <c r="AW1124" s="26"/>
      <c r="AX1124" s="15"/>
      <c r="BC1124" s="117"/>
      <c r="BD1124" s="123"/>
      <c r="BE1124" s="123"/>
      <c r="BF1124" s="123"/>
      <c r="BG1124" s="115"/>
      <c r="BH1124" s="115"/>
      <c r="BI1124" s="115"/>
      <c r="BJ1124" s="115"/>
      <c r="BK1124" s="115"/>
      <c r="BL1124" s="115"/>
      <c r="BM1124" s="115"/>
      <c r="BN1124" s="115"/>
      <c r="BO1124" s="115"/>
      <c r="BP1124" s="115"/>
      <c r="BQ1124" s="115"/>
      <c r="BR1124" s="115"/>
      <c r="BS1124" s="115"/>
      <c r="BT1124" s="115"/>
      <c r="BU1124" s="13"/>
      <c r="BV1124" s="15"/>
      <c r="BY1124" s="114"/>
    </row>
    <row r="1125" spans="6:77" ht="19.5" x14ac:dyDescent="0.4">
      <c r="AL1125" s="115"/>
      <c r="AM1125" s="115"/>
      <c r="AN1125" s="115"/>
      <c r="AO1125" s="115"/>
      <c r="AP1125" s="115"/>
      <c r="AQ1125" s="115"/>
      <c r="AR1125" s="115"/>
      <c r="AS1125" s="115"/>
      <c r="AT1125" s="115"/>
      <c r="AU1125" s="115"/>
      <c r="AV1125" s="115"/>
      <c r="AW1125" s="26"/>
      <c r="AX1125" s="15"/>
      <c r="BC1125" s="117"/>
      <c r="BD1125" s="123"/>
      <c r="BE1125" s="123"/>
      <c r="BF1125" s="123"/>
      <c r="BG1125" s="115"/>
      <c r="BH1125" s="115"/>
      <c r="BI1125" s="115"/>
      <c r="BJ1125" s="115"/>
      <c r="BK1125" s="115"/>
      <c r="BL1125" s="115"/>
      <c r="BM1125" s="115"/>
      <c r="BN1125" s="115"/>
      <c r="BO1125" s="115"/>
      <c r="BP1125" s="115"/>
      <c r="BQ1125" s="115"/>
      <c r="BR1125" s="115"/>
      <c r="BS1125" s="115"/>
      <c r="BT1125" s="115"/>
      <c r="BU1125" s="13"/>
      <c r="BV1125" s="15"/>
      <c r="BY1125" s="114"/>
    </row>
    <row r="1126" spans="6:77" ht="19.5" x14ac:dyDescent="0.4">
      <c r="AW1126" s="26"/>
      <c r="AX1126" s="15"/>
      <c r="BC1126" s="117"/>
      <c r="BD1126" s="123"/>
      <c r="BE1126" s="123"/>
      <c r="BF1126" s="123"/>
      <c r="BG1126" s="115"/>
      <c r="BH1126" s="115"/>
      <c r="BI1126" s="115"/>
      <c r="BJ1126" s="115"/>
      <c r="BK1126" s="115"/>
      <c r="BL1126" s="115"/>
      <c r="BM1126" s="115"/>
      <c r="BN1126" s="115"/>
      <c r="BO1126" s="115"/>
      <c r="BP1126" s="115"/>
      <c r="BQ1126" s="115"/>
      <c r="BR1126" s="115"/>
      <c r="BS1126" s="115"/>
      <c r="BT1126" s="115"/>
      <c r="BU1126" s="25">
        <v>45275</v>
      </c>
      <c r="BV1126" s="15" t="s">
        <v>163</v>
      </c>
      <c r="BY1126" s="114"/>
    </row>
    <row r="1127" spans="6:77" ht="19.5" x14ac:dyDescent="0.4">
      <c r="AW1127" s="26"/>
      <c r="AX1127" s="15"/>
      <c r="BC1127" s="117"/>
      <c r="BD1127" s="123"/>
      <c r="BE1127" s="123"/>
      <c r="BF1127" s="123"/>
      <c r="BG1127" s="115"/>
      <c r="BH1127" s="115"/>
      <c r="BI1127" s="115"/>
      <c r="BJ1127" s="115"/>
      <c r="BK1127" s="115"/>
      <c r="BL1127" s="115"/>
      <c r="BM1127" s="115"/>
      <c r="BN1127" s="115"/>
      <c r="BO1127" s="115"/>
      <c r="BP1127" s="115"/>
      <c r="BQ1127" s="115"/>
      <c r="BR1127" s="115"/>
      <c r="BS1127" s="115"/>
      <c r="BT1127" s="115" t="s">
        <v>168</v>
      </c>
      <c r="BU1127" s="13">
        <f>SUBTOTAL(3,BU1126:BU1126)</f>
        <v>1</v>
      </c>
      <c r="BV1127" s="15">
        <f>SUBTOTAL(3,BV1126:BV1126)</f>
        <v>1</v>
      </c>
      <c r="BY1127" s="114"/>
    </row>
    <row r="1128" spans="6:77" ht="19.5" x14ac:dyDescent="0.4">
      <c r="AW1128" s="26"/>
      <c r="AX1128" s="15"/>
      <c r="BC1128" s="117"/>
      <c r="BD1128" s="123"/>
      <c r="BE1128" s="123"/>
      <c r="BF1128" s="123"/>
      <c r="BG1128" s="115"/>
      <c r="BH1128" s="115"/>
      <c r="BI1128" s="115"/>
      <c r="BJ1128" s="115"/>
      <c r="BK1128" s="115"/>
      <c r="BL1128" s="115"/>
      <c r="BM1128" s="115"/>
      <c r="BN1128" s="115"/>
      <c r="BO1128" s="115"/>
      <c r="BP1128" s="115"/>
      <c r="BQ1128" s="115"/>
      <c r="BR1128" s="115"/>
      <c r="BS1128" s="115"/>
      <c r="BT1128" s="115"/>
      <c r="BU1128" s="25">
        <v>45276</v>
      </c>
      <c r="BV1128" s="15" t="s">
        <v>164</v>
      </c>
      <c r="BY1128" s="114"/>
    </row>
    <row r="1129" spans="6:77" ht="19.5" x14ac:dyDescent="0.4">
      <c r="AW1129" s="26"/>
      <c r="AX1129" s="15"/>
      <c r="BC1129" s="117"/>
      <c r="BD1129" s="123"/>
      <c r="BE1129" s="123"/>
      <c r="BF1129" s="123"/>
      <c r="BG1129" s="115"/>
      <c r="BH1129" s="115"/>
      <c r="BI1129" s="115"/>
      <c r="BJ1129" s="115"/>
      <c r="BK1129" s="115"/>
      <c r="BL1129" s="115"/>
      <c r="BM1129" s="115"/>
      <c r="BN1129" s="115"/>
      <c r="BO1129" s="115"/>
      <c r="BP1129" s="115"/>
      <c r="BQ1129" s="115"/>
      <c r="BR1129" s="115"/>
      <c r="BS1129" s="115"/>
      <c r="BT1129" s="115"/>
      <c r="BU1129" s="25">
        <v>45276</v>
      </c>
      <c r="BV1129" s="15" t="s">
        <v>162</v>
      </c>
      <c r="BY1129" s="114"/>
    </row>
    <row r="1130" spans="6:77" ht="19.5" x14ac:dyDescent="0.4">
      <c r="AW1130" s="26"/>
      <c r="AX1130" s="15"/>
      <c r="BC1130" s="117"/>
      <c r="BD1130" s="123"/>
      <c r="BE1130" s="123"/>
      <c r="BF1130" s="123"/>
      <c r="BG1130" s="115"/>
      <c r="BH1130" s="115"/>
      <c r="BI1130" s="115"/>
      <c r="BJ1130" s="115"/>
      <c r="BK1130" s="115"/>
      <c r="BL1130" s="115"/>
      <c r="BM1130" s="115"/>
      <c r="BN1130" s="115"/>
      <c r="BO1130" s="115"/>
      <c r="BP1130" s="115"/>
      <c r="BQ1130" s="115"/>
      <c r="BR1130" s="115"/>
      <c r="BS1130" s="115"/>
      <c r="BT1130" s="115"/>
      <c r="BU1130" s="25">
        <v>45276</v>
      </c>
      <c r="BV1130" s="15" t="s">
        <v>162</v>
      </c>
      <c r="BY1130" s="114"/>
    </row>
    <row r="1131" spans="6:77" ht="19.5" x14ac:dyDescent="0.4">
      <c r="AW1131" s="26"/>
      <c r="AX1131" s="15"/>
      <c r="BC1131" s="117"/>
      <c r="BD1131" s="123"/>
      <c r="BE1131" s="123"/>
      <c r="BF1131" s="123"/>
      <c r="BG1131" s="115"/>
      <c r="BH1131" s="115"/>
      <c r="BI1131" s="115"/>
      <c r="BJ1131" s="115"/>
      <c r="BK1131" s="115"/>
      <c r="BL1131" s="115"/>
      <c r="BM1131" s="115"/>
      <c r="BN1131" s="115"/>
      <c r="BO1131" s="115"/>
      <c r="BP1131" s="115"/>
      <c r="BQ1131" s="115"/>
      <c r="BR1131" s="115"/>
      <c r="BS1131" s="115"/>
      <c r="BT1131" s="115"/>
      <c r="BU1131" s="25">
        <v>45276</v>
      </c>
      <c r="BV1131" s="15" t="s">
        <v>162</v>
      </c>
      <c r="BY1131" s="114"/>
    </row>
    <row r="1132" spans="6:77" ht="19.5" x14ac:dyDescent="0.4">
      <c r="AW1132" s="26"/>
      <c r="AX1132" s="15"/>
      <c r="BC1132" s="117"/>
      <c r="BD1132" s="123"/>
      <c r="BE1132" s="123"/>
      <c r="BF1132" s="123"/>
      <c r="BG1132" s="115"/>
      <c r="BH1132" s="115"/>
      <c r="BI1132" s="115"/>
      <c r="BJ1132" s="115"/>
      <c r="BK1132" s="115"/>
      <c r="BL1132" s="115"/>
      <c r="BM1132" s="115"/>
      <c r="BN1132" s="115"/>
      <c r="BO1132" s="115"/>
      <c r="BP1132" s="115"/>
      <c r="BQ1132" s="115"/>
      <c r="BR1132" s="115"/>
      <c r="BS1132" s="115"/>
      <c r="BT1132" s="115"/>
      <c r="BU1132" s="25">
        <v>45276</v>
      </c>
      <c r="BV1132" s="15" t="s">
        <v>162</v>
      </c>
      <c r="BY1132" s="114"/>
    </row>
    <row r="1133" spans="6:77" ht="19.5" x14ac:dyDescent="0.4"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15"/>
      <c r="AU1133" s="115"/>
      <c r="AV1133" s="115"/>
      <c r="AW1133" s="26"/>
      <c r="AX1133" s="15"/>
      <c r="BC1133" s="117"/>
      <c r="BD1133" s="123"/>
      <c r="BE1133" s="123"/>
      <c r="BF1133" s="123"/>
      <c r="BG1133" s="115"/>
      <c r="BH1133" s="115"/>
      <c r="BI1133" s="115"/>
      <c r="BJ1133" s="115"/>
      <c r="BK1133" s="115"/>
      <c r="BL1133" s="115"/>
      <c r="BM1133" s="115"/>
      <c r="BN1133" s="115"/>
      <c r="BO1133" s="115"/>
      <c r="BP1133" s="115"/>
      <c r="BQ1133" s="115"/>
      <c r="BR1133" s="115"/>
      <c r="BS1133" s="115"/>
      <c r="BT1133" s="115"/>
      <c r="BU1133" s="25"/>
      <c r="BV1133" s="15"/>
      <c r="BY1133" s="114"/>
    </row>
    <row r="1134" spans="6:77" ht="19.5" x14ac:dyDescent="0.4">
      <c r="AW1134" s="26"/>
      <c r="AX1134" s="15"/>
      <c r="BC1134" s="117"/>
      <c r="BD1134" s="123"/>
      <c r="BE1134" s="123"/>
      <c r="BF1134" s="123"/>
      <c r="BG1134" s="115"/>
      <c r="BH1134" s="115"/>
      <c r="BI1134" s="115"/>
      <c r="BJ1134" s="115"/>
      <c r="BK1134" s="115"/>
      <c r="BL1134" s="115"/>
      <c r="BM1134" s="115"/>
      <c r="BN1134" s="115"/>
      <c r="BO1134" s="115"/>
      <c r="BP1134" s="115"/>
      <c r="BQ1134" s="115"/>
      <c r="BR1134" s="115"/>
      <c r="BS1134" s="115"/>
      <c r="BT1134" s="115"/>
      <c r="BU1134" s="25">
        <v>45276</v>
      </c>
      <c r="BV1134" s="15" t="s">
        <v>162</v>
      </c>
      <c r="BY1134" s="114"/>
    </row>
    <row r="1135" spans="6:77" ht="19.5" x14ac:dyDescent="0.4">
      <c r="AW1135" s="26"/>
      <c r="AX1135" s="15"/>
      <c r="BC1135" s="117"/>
      <c r="BD1135" s="123"/>
      <c r="BE1135" s="123"/>
      <c r="BF1135" s="123"/>
      <c r="BG1135" s="115"/>
      <c r="BH1135" s="115"/>
      <c r="BI1135" s="115"/>
      <c r="BJ1135" s="115"/>
      <c r="BK1135" s="115"/>
      <c r="BL1135" s="115"/>
      <c r="BM1135" s="115"/>
      <c r="BN1135" s="115"/>
      <c r="BO1135" s="115"/>
      <c r="BP1135" s="115"/>
      <c r="BQ1135" s="115"/>
      <c r="BR1135" s="115"/>
      <c r="BS1135" s="115"/>
      <c r="BT1135" s="115"/>
      <c r="BU1135" s="25">
        <v>45276</v>
      </c>
      <c r="BV1135" s="15" t="s">
        <v>162</v>
      </c>
      <c r="BY1135" s="114"/>
    </row>
    <row r="1136" spans="6:77" ht="19.5" x14ac:dyDescent="0.4">
      <c r="AO1136" s="115"/>
      <c r="AP1136" s="115"/>
      <c r="AQ1136" s="115"/>
      <c r="AR1136" s="115"/>
      <c r="AS1136" s="115"/>
      <c r="AT1136" s="115"/>
      <c r="AU1136" s="115"/>
      <c r="AV1136" s="115"/>
      <c r="AW1136" s="17"/>
      <c r="AX1136" s="15"/>
      <c r="BC1136" s="117"/>
      <c r="BD1136" s="123"/>
      <c r="BE1136" s="123"/>
      <c r="BF1136" s="123"/>
      <c r="BG1136" s="115"/>
      <c r="BH1136" s="115"/>
      <c r="BI1136" s="115"/>
      <c r="BJ1136" s="115"/>
      <c r="BK1136" s="115"/>
      <c r="BL1136" s="115"/>
      <c r="BM1136" s="115"/>
      <c r="BN1136" s="115"/>
      <c r="BO1136" s="115"/>
      <c r="BP1136" s="115"/>
      <c r="BQ1136" s="115"/>
      <c r="BR1136" s="115"/>
      <c r="BS1136" s="115"/>
      <c r="BT1136" s="115"/>
      <c r="BU1136" s="25"/>
      <c r="BV1136" s="15"/>
      <c r="BY1136" s="114"/>
    </row>
    <row r="1137" spans="6:77" ht="19.5" x14ac:dyDescent="0.4"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115"/>
      <c r="AT1137" s="115"/>
      <c r="AU1137" s="115"/>
      <c r="AV1137" s="115"/>
      <c r="AW1137" s="26"/>
      <c r="AX1137" s="15"/>
      <c r="BC1137" s="117"/>
      <c r="BD1137" s="123"/>
      <c r="BE1137" s="123"/>
      <c r="BF1137" s="123"/>
      <c r="BG1137" s="115"/>
      <c r="BH1137" s="115"/>
      <c r="BI1137" s="115"/>
      <c r="BJ1137" s="115"/>
      <c r="BK1137" s="115"/>
      <c r="BL1137" s="115"/>
      <c r="BM1137" s="115"/>
      <c r="BN1137" s="115"/>
      <c r="BO1137" s="115"/>
      <c r="BP1137" s="115"/>
      <c r="BQ1137" s="115"/>
      <c r="BR1137" s="115"/>
      <c r="BS1137" s="115"/>
      <c r="BT1137" s="115"/>
      <c r="BU1137" s="25"/>
      <c r="BV1137" s="15"/>
      <c r="BY1137" s="114"/>
    </row>
    <row r="1138" spans="6:77" ht="19.5" x14ac:dyDescent="0.4">
      <c r="F1138" s="115"/>
      <c r="G1138" s="115"/>
      <c r="H1138" s="115"/>
      <c r="I1138" s="115"/>
      <c r="J1138" s="115"/>
      <c r="K1138" s="115"/>
      <c r="L1138" s="115"/>
      <c r="M1138" s="115"/>
      <c r="N1138" s="115"/>
      <c r="O1138" s="115"/>
      <c r="P1138" s="115"/>
      <c r="Q1138" s="115"/>
      <c r="R1138" s="115"/>
      <c r="S1138" s="115"/>
      <c r="T1138" s="115"/>
      <c r="U1138" s="115"/>
      <c r="V1138" s="115"/>
      <c r="W1138" s="115"/>
      <c r="X1138" s="115"/>
      <c r="Y1138" s="115"/>
      <c r="Z1138" s="115"/>
      <c r="AA1138" s="115"/>
      <c r="AB1138" s="115"/>
      <c r="AC1138" s="115"/>
      <c r="AD1138" s="115"/>
      <c r="AE1138" s="115"/>
      <c r="AF1138" s="115"/>
      <c r="AG1138" s="115"/>
      <c r="AH1138" s="115"/>
      <c r="AI1138" s="115"/>
      <c r="AJ1138" s="115"/>
      <c r="AK1138" s="115"/>
      <c r="AL1138" s="115"/>
      <c r="AM1138" s="115"/>
      <c r="AN1138" s="115"/>
      <c r="AO1138" s="115"/>
      <c r="AP1138" s="115"/>
      <c r="AQ1138" s="115"/>
      <c r="AR1138" s="115"/>
      <c r="AS1138" s="115"/>
      <c r="AT1138" s="115"/>
      <c r="AU1138" s="115"/>
      <c r="AV1138" s="115"/>
      <c r="AW1138" s="26"/>
      <c r="AX1138" s="15"/>
      <c r="BC1138" s="117"/>
      <c r="BD1138" s="123"/>
      <c r="BE1138" s="123"/>
      <c r="BF1138" s="123"/>
      <c r="BG1138" s="115"/>
      <c r="BH1138" s="115"/>
      <c r="BI1138" s="115"/>
      <c r="BJ1138" s="115"/>
      <c r="BK1138" s="115"/>
      <c r="BL1138" s="115"/>
      <c r="BM1138" s="115"/>
      <c r="BN1138" s="115"/>
      <c r="BO1138" s="115"/>
      <c r="BP1138" s="115"/>
      <c r="BQ1138" s="115"/>
      <c r="BR1138" s="115"/>
      <c r="BS1138" s="115"/>
      <c r="BT1138" s="115"/>
      <c r="BU1138" s="25"/>
      <c r="BV1138" s="15"/>
      <c r="BY1138" s="114"/>
    </row>
    <row r="1139" spans="6:77" ht="19.5" x14ac:dyDescent="0.4"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15"/>
      <c r="AV1139" s="115"/>
      <c r="AW1139" s="26"/>
      <c r="AX1139" s="15"/>
      <c r="BC1139" s="117"/>
      <c r="BD1139" s="123"/>
      <c r="BE1139" s="123"/>
      <c r="BF1139" s="123"/>
      <c r="BG1139" s="115"/>
      <c r="BH1139" s="115"/>
      <c r="BI1139" s="115"/>
      <c r="BJ1139" s="115"/>
      <c r="BK1139" s="115"/>
      <c r="BL1139" s="115"/>
      <c r="BM1139" s="115"/>
      <c r="BN1139" s="115"/>
      <c r="BO1139" s="115"/>
      <c r="BP1139" s="115"/>
      <c r="BQ1139" s="115"/>
      <c r="BR1139" s="115"/>
      <c r="BS1139" s="115"/>
      <c r="BT1139" s="115"/>
      <c r="BU1139" s="25"/>
      <c r="BV1139" s="15"/>
      <c r="BY1139" s="114"/>
    </row>
    <row r="1140" spans="6:77" ht="19.5" x14ac:dyDescent="0.4">
      <c r="AW1140" s="26"/>
      <c r="AX1140" s="15"/>
      <c r="BB1140" s="115"/>
      <c r="BC1140" s="117"/>
      <c r="BD1140" s="123"/>
      <c r="BE1140" s="123"/>
      <c r="BF1140" s="123"/>
      <c r="BG1140" s="115"/>
      <c r="BH1140" s="115"/>
      <c r="BI1140" s="115"/>
      <c r="BJ1140" s="115"/>
      <c r="BK1140" s="115"/>
      <c r="BL1140" s="115"/>
      <c r="BM1140" s="115"/>
      <c r="BN1140" s="115"/>
      <c r="BO1140" s="115"/>
      <c r="BP1140" s="115"/>
      <c r="BQ1140" s="115"/>
      <c r="BR1140" s="115"/>
      <c r="BS1140" s="115"/>
      <c r="BT1140" s="115"/>
      <c r="BU1140" s="25">
        <v>45276</v>
      </c>
      <c r="BV1140" s="15" t="s">
        <v>162</v>
      </c>
      <c r="BY1140" s="114"/>
    </row>
    <row r="1141" spans="6:77" ht="19.5" x14ac:dyDescent="0.4">
      <c r="AW1141" s="26"/>
      <c r="AX1141" s="15"/>
      <c r="BB1141" s="115"/>
      <c r="BC1141" s="117"/>
      <c r="BD1141" s="123"/>
      <c r="BE1141" s="123"/>
      <c r="BF1141" s="123"/>
      <c r="BG1141" s="115"/>
      <c r="BH1141" s="115"/>
      <c r="BI1141" s="115"/>
      <c r="BJ1141" s="115"/>
      <c r="BK1141" s="115"/>
      <c r="BL1141" s="115"/>
      <c r="BM1141" s="115"/>
      <c r="BN1141" s="115"/>
      <c r="BO1141" s="115"/>
      <c r="BP1141" s="115"/>
      <c r="BQ1141" s="115"/>
      <c r="BR1141" s="115"/>
      <c r="BS1141" s="115"/>
      <c r="BT1141" s="115"/>
      <c r="BU1141" s="25">
        <v>45276</v>
      </c>
      <c r="BV1141" s="15" t="s">
        <v>162</v>
      </c>
      <c r="BY1141" s="114"/>
    </row>
    <row r="1142" spans="6:77" ht="19.5" x14ac:dyDescent="0.4">
      <c r="AW1142" s="26"/>
      <c r="AX1142" s="15"/>
      <c r="BB1142" s="115"/>
      <c r="BC1142" s="117"/>
      <c r="BD1142" s="123"/>
      <c r="BE1142" s="123"/>
      <c r="BF1142" s="123"/>
      <c r="BG1142" s="115"/>
      <c r="BH1142" s="115"/>
      <c r="BI1142" s="115"/>
      <c r="BJ1142" s="115"/>
      <c r="BK1142" s="115"/>
      <c r="BL1142" s="115"/>
      <c r="BM1142" s="115"/>
      <c r="BN1142" s="115"/>
      <c r="BO1142" s="115"/>
      <c r="BP1142" s="115"/>
      <c r="BQ1142" s="115"/>
      <c r="BR1142" s="115"/>
      <c r="BS1142" s="115"/>
      <c r="BT1142" s="115"/>
      <c r="BU1142" s="25">
        <v>45276</v>
      </c>
      <c r="BV1142" s="15" t="s">
        <v>162</v>
      </c>
      <c r="BY1142" s="114"/>
    </row>
    <row r="1143" spans="6:77" ht="19.5" x14ac:dyDescent="0.4">
      <c r="AO1143" s="115"/>
      <c r="AP1143" s="115"/>
      <c r="AQ1143" s="115"/>
      <c r="AR1143" s="115"/>
      <c r="AS1143" s="115"/>
      <c r="AT1143" s="115"/>
      <c r="AU1143" s="115"/>
      <c r="AV1143" s="115"/>
      <c r="AW1143" s="17"/>
      <c r="AX1143" s="15"/>
      <c r="BB1143" s="115"/>
      <c r="BC1143" s="117"/>
      <c r="BD1143" s="123"/>
      <c r="BE1143" s="123"/>
      <c r="BF1143" s="123"/>
      <c r="BG1143" s="115"/>
      <c r="BH1143" s="115"/>
      <c r="BI1143" s="115"/>
      <c r="BJ1143" s="115"/>
      <c r="BK1143" s="115"/>
      <c r="BL1143" s="115"/>
      <c r="BM1143" s="115"/>
      <c r="BN1143" s="115"/>
      <c r="BO1143" s="115"/>
      <c r="BP1143" s="115"/>
      <c r="BQ1143" s="115"/>
      <c r="BR1143" s="115"/>
      <c r="BS1143" s="115"/>
      <c r="BT1143" s="115"/>
      <c r="BU1143" s="25"/>
      <c r="BV1143" s="15"/>
      <c r="BY1143" s="114"/>
    </row>
    <row r="1144" spans="6:77" ht="19.5" x14ac:dyDescent="0.4">
      <c r="AL1144" s="115"/>
      <c r="AM1144" s="115"/>
      <c r="AN1144" s="115"/>
      <c r="AO1144" s="115"/>
      <c r="AP1144" s="115"/>
      <c r="AQ1144" s="115"/>
      <c r="AR1144" s="115"/>
      <c r="AS1144" s="115"/>
      <c r="AT1144" s="115"/>
      <c r="AU1144" s="115"/>
      <c r="AV1144" s="115"/>
      <c r="AW1144" s="26"/>
      <c r="AX1144" s="15"/>
      <c r="BB1144" s="115"/>
      <c r="BC1144" s="117"/>
      <c r="BD1144" s="123"/>
      <c r="BE1144" s="123"/>
      <c r="BF1144" s="123"/>
      <c r="BG1144" s="115"/>
      <c r="BH1144" s="115"/>
      <c r="BI1144" s="115"/>
      <c r="BJ1144" s="115"/>
      <c r="BK1144" s="115"/>
      <c r="BL1144" s="115"/>
      <c r="BM1144" s="115"/>
      <c r="BN1144" s="115"/>
      <c r="BO1144" s="115"/>
      <c r="BP1144" s="115"/>
      <c r="BQ1144" s="115"/>
      <c r="BR1144" s="115"/>
      <c r="BS1144" s="115"/>
      <c r="BT1144" s="115"/>
      <c r="BU1144" s="25"/>
      <c r="BV1144" s="15"/>
      <c r="BY1144" s="114"/>
    </row>
    <row r="1145" spans="6:77" ht="19.5" x14ac:dyDescent="0.4">
      <c r="AL1145" s="115"/>
      <c r="AM1145" s="115"/>
      <c r="AN1145" s="115"/>
      <c r="AO1145" s="115"/>
      <c r="AP1145" s="115"/>
      <c r="AQ1145" s="115"/>
      <c r="AR1145" s="115"/>
      <c r="AS1145" s="115"/>
      <c r="AT1145" s="115"/>
      <c r="AU1145" s="115"/>
      <c r="AV1145" s="115"/>
      <c r="AW1145" s="17"/>
      <c r="AX1145" s="15"/>
      <c r="BB1145" s="115"/>
      <c r="BC1145" s="117"/>
      <c r="BD1145" s="123"/>
      <c r="BE1145" s="123"/>
      <c r="BF1145" s="123"/>
      <c r="BG1145" s="115"/>
      <c r="BH1145" s="115"/>
      <c r="BI1145" s="115"/>
      <c r="BJ1145" s="115"/>
      <c r="BK1145" s="115"/>
      <c r="BL1145" s="115"/>
      <c r="BM1145" s="115"/>
      <c r="BN1145" s="115"/>
      <c r="BO1145" s="115"/>
      <c r="BP1145" s="115"/>
      <c r="BQ1145" s="115"/>
      <c r="BR1145" s="115"/>
      <c r="BS1145" s="115"/>
      <c r="BT1145" s="115"/>
      <c r="BU1145" s="25"/>
      <c r="BV1145" s="15"/>
      <c r="BY1145" s="114"/>
    </row>
    <row r="1146" spans="6:77" ht="19.5" x14ac:dyDescent="0.4">
      <c r="AW1146" s="26"/>
      <c r="AX1146" s="15"/>
      <c r="BB1146" s="115"/>
      <c r="BC1146" s="117"/>
      <c r="BD1146" s="123"/>
      <c r="BE1146" s="123"/>
      <c r="BF1146" s="123"/>
      <c r="BG1146" s="115"/>
      <c r="BH1146" s="115"/>
      <c r="BI1146" s="115"/>
      <c r="BJ1146" s="115"/>
      <c r="BK1146" s="115"/>
      <c r="BL1146" s="115"/>
      <c r="BM1146" s="115"/>
      <c r="BN1146" s="115"/>
      <c r="BO1146" s="115"/>
      <c r="BP1146" s="115"/>
      <c r="BQ1146" s="115"/>
      <c r="BR1146" s="115"/>
      <c r="BS1146" s="115"/>
      <c r="BT1146" s="115"/>
      <c r="BU1146" s="25"/>
      <c r="BV1146" s="15"/>
      <c r="BY1146" s="114"/>
    </row>
    <row r="1147" spans="6:77" ht="19.5" x14ac:dyDescent="0.4"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15"/>
      <c r="AC1147" s="115"/>
      <c r="AD1147" s="115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15"/>
      <c r="AO1147" s="115"/>
      <c r="AP1147" s="115"/>
      <c r="AQ1147" s="115"/>
      <c r="AR1147" s="115"/>
      <c r="AS1147" s="115"/>
      <c r="AT1147" s="115"/>
      <c r="AU1147" s="115"/>
      <c r="AV1147" s="115"/>
      <c r="AW1147" s="26"/>
      <c r="AX1147" s="15"/>
      <c r="BB1147" s="115"/>
      <c r="BC1147" s="117"/>
      <c r="BD1147" s="123"/>
      <c r="BE1147" s="123"/>
      <c r="BF1147" s="123"/>
      <c r="BG1147" s="115"/>
      <c r="BH1147" s="115"/>
      <c r="BI1147" s="115"/>
      <c r="BJ1147" s="115"/>
      <c r="BK1147" s="115"/>
      <c r="BL1147" s="115"/>
      <c r="BM1147" s="115"/>
      <c r="BN1147" s="115"/>
      <c r="BO1147" s="115"/>
      <c r="BP1147" s="115"/>
      <c r="BQ1147" s="115"/>
      <c r="BR1147" s="115"/>
      <c r="BS1147" s="115"/>
      <c r="BT1147" s="115"/>
      <c r="BU1147" s="25"/>
      <c r="BV1147" s="15"/>
      <c r="BY1147" s="114"/>
    </row>
    <row r="1148" spans="6:77" ht="19.5" x14ac:dyDescent="0.4">
      <c r="AW1148" s="26"/>
      <c r="AX1148" s="15"/>
      <c r="BB1148" s="115"/>
      <c r="BC1148" s="117"/>
      <c r="BD1148" s="123"/>
      <c r="BE1148" s="123"/>
      <c r="BF1148" s="123"/>
      <c r="BG1148" s="115"/>
      <c r="BH1148" s="115"/>
      <c r="BI1148" s="115"/>
      <c r="BJ1148" s="115"/>
      <c r="BK1148" s="115"/>
      <c r="BL1148" s="115"/>
      <c r="BM1148" s="115"/>
      <c r="BN1148" s="115"/>
      <c r="BO1148" s="115"/>
      <c r="BP1148" s="115"/>
      <c r="BQ1148" s="115"/>
      <c r="BR1148" s="115"/>
      <c r="BS1148" s="115"/>
      <c r="BT1148" s="115"/>
      <c r="BU1148" s="25">
        <v>45276</v>
      </c>
      <c r="BV1148" s="15" t="s">
        <v>162</v>
      </c>
      <c r="BY1148" s="114"/>
    </row>
    <row r="1149" spans="6:77" ht="19.5" x14ac:dyDescent="0.4">
      <c r="AO1149" s="115"/>
      <c r="AP1149" s="115"/>
      <c r="AQ1149" s="115"/>
      <c r="AR1149" s="115"/>
      <c r="AS1149" s="115"/>
      <c r="AT1149" s="115"/>
      <c r="AU1149" s="115"/>
      <c r="AV1149" s="115"/>
      <c r="AW1149" s="17"/>
      <c r="AX1149" s="15"/>
      <c r="BB1149" s="115"/>
      <c r="BC1149" s="117"/>
      <c r="BD1149" s="123"/>
      <c r="BE1149" s="123"/>
      <c r="BF1149" s="123"/>
      <c r="BG1149" s="115"/>
      <c r="BH1149" s="115"/>
      <c r="BI1149" s="115"/>
      <c r="BJ1149" s="115"/>
      <c r="BK1149" s="115"/>
      <c r="BL1149" s="115"/>
      <c r="BM1149" s="115"/>
      <c r="BN1149" s="115"/>
      <c r="BO1149" s="115"/>
      <c r="BP1149" s="115"/>
      <c r="BQ1149" s="115"/>
      <c r="BR1149" s="115"/>
      <c r="BS1149" s="115"/>
      <c r="BT1149" s="115"/>
      <c r="BU1149" s="25"/>
      <c r="BV1149" s="15"/>
      <c r="BY1149" s="114"/>
    </row>
    <row r="1150" spans="6:77" ht="19.5" x14ac:dyDescent="0.4">
      <c r="AW1150" s="26"/>
      <c r="AX1150" s="15"/>
      <c r="BB1150" s="115"/>
      <c r="BC1150" s="117"/>
      <c r="BD1150" s="123"/>
      <c r="BE1150" s="123"/>
      <c r="BF1150" s="123"/>
      <c r="BG1150" s="115"/>
      <c r="BH1150" s="115"/>
      <c r="BI1150" s="115"/>
      <c r="BJ1150" s="115"/>
      <c r="BK1150" s="115"/>
      <c r="BL1150" s="115"/>
      <c r="BM1150" s="115"/>
      <c r="BN1150" s="115"/>
      <c r="BO1150" s="115"/>
      <c r="BP1150" s="115"/>
      <c r="BQ1150" s="115"/>
      <c r="BR1150" s="115"/>
      <c r="BS1150" s="115"/>
      <c r="BT1150" s="115"/>
      <c r="BU1150" s="25">
        <v>45276</v>
      </c>
      <c r="BV1150" s="15" t="s">
        <v>162</v>
      </c>
      <c r="BY1150" s="114"/>
    </row>
    <row r="1151" spans="6:77" ht="19.5" x14ac:dyDescent="0.4">
      <c r="AO1151" s="115"/>
      <c r="AP1151" s="115"/>
      <c r="AQ1151" s="115"/>
      <c r="AR1151" s="115"/>
      <c r="AS1151" s="115"/>
      <c r="AT1151" s="115"/>
      <c r="AU1151" s="115"/>
      <c r="AV1151" s="115"/>
      <c r="AW1151" s="17"/>
      <c r="AX1151" s="15"/>
      <c r="BB1151" s="115"/>
      <c r="BC1151" s="117"/>
      <c r="BD1151" s="123"/>
      <c r="BE1151" s="123"/>
      <c r="BF1151" s="123"/>
      <c r="BG1151" s="115"/>
      <c r="BH1151" s="115"/>
      <c r="BI1151" s="115"/>
      <c r="BJ1151" s="115"/>
      <c r="BK1151" s="115"/>
      <c r="BL1151" s="115"/>
      <c r="BM1151" s="115"/>
      <c r="BN1151" s="115"/>
      <c r="BO1151" s="115"/>
      <c r="BP1151" s="115"/>
      <c r="BQ1151" s="115"/>
      <c r="BR1151" s="115"/>
      <c r="BS1151" s="115"/>
      <c r="BT1151" s="115"/>
      <c r="BU1151" s="25"/>
      <c r="BV1151" s="15"/>
      <c r="BY1151" s="114"/>
    </row>
    <row r="1152" spans="6:77" ht="19.5" x14ac:dyDescent="0.4">
      <c r="AN1152" s="115"/>
      <c r="AO1152" s="115"/>
      <c r="AP1152" s="115"/>
      <c r="AQ1152" s="115"/>
      <c r="AR1152" s="115"/>
      <c r="AS1152" s="115"/>
      <c r="AT1152" s="115"/>
      <c r="AU1152" s="115"/>
      <c r="AV1152" s="115"/>
      <c r="AW1152" s="26"/>
      <c r="AX1152" s="15"/>
      <c r="BB1152" s="115"/>
      <c r="BC1152" s="117"/>
      <c r="BD1152" s="123"/>
      <c r="BE1152" s="123"/>
      <c r="BF1152" s="123"/>
      <c r="BG1152" s="115"/>
      <c r="BH1152" s="115"/>
      <c r="BI1152" s="115"/>
      <c r="BJ1152" s="115"/>
      <c r="BK1152" s="115"/>
      <c r="BL1152" s="115"/>
      <c r="BM1152" s="115"/>
      <c r="BN1152" s="115"/>
      <c r="BO1152" s="115"/>
      <c r="BP1152" s="115"/>
      <c r="BQ1152" s="115"/>
      <c r="BR1152" s="115"/>
      <c r="BS1152" s="115"/>
      <c r="BT1152" s="115"/>
      <c r="BU1152" s="25"/>
      <c r="BV1152" s="15"/>
      <c r="BY1152" s="114"/>
    </row>
    <row r="1153" spans="38:77" ht="19.5" x14ac:dyDescent="0.4">
      <c r="AN1153" s="115"/>
      <c r="AO1153" s="115"/>
      <c r="AP1153" s="115"/>
      <c r="AQ1153" s="115"/>
      <c r="AR1153" s="115"/>
      <c r="AS1153" s="115"/>
      <c r="AT1153" s="115"/>
      <c r="AU1153" s="115"/>
      <c r="AV1153" s="115"/>
      <c r="AW1153" s="17"/>
      <c r="AX1153" s="15"/>
      <c r="BB1153" s="115"/>
      <c r="BC1153" s="117"/>
      <c r="BD1153" s="123"/>
      <c r="BE1153" s="123"/>
      <c r="BF1153" s="123"/>
      <c r="BG1153" s="115"/>
      <c r="BH1153" s="115"/>
      <c r="BI1153" s="115"/>
      <c r="BJ1153" s="115"/>
      <c r="BK1153" s="115"/>
      <c r="BL1153" s="115"/>
      <c r="BM1153" s="115"/>
      <c r="BN1153" s="115"/>
      <c r="BO1153" s="115"/>
      <c r="BP1153" s="115"/>
      <c r="BQ1153" s="115"/>
      <c r="BR1153" s="115"/>
      <c r="BS1153" s="115"/>
      <c r="BT1153" s="115"/>
      <c r="BU1153" s="25"/>
      <c r="BV1153" s="15"/>
      <c r="BY1153" s="114"/>
    </row>
    <row r="1154" spans="38:77" ht="19.5" x14ac:dyDescent="0.4">
      <c r="AW1154" s="26"/>
      <c r="AX1154" s="15"/>
      <c r="BB1154" s="115"/>
      <c r="BC1154" s="117"/>
      <c r="BD1154" s="123"/>
      <c r="BE1154" s="123"/>
      <c r="BF1154" s="123"/>
      <c r="BG1154" s="115"/>
      <c r="BH1154" s="115"/>
      <c r="BI1154" s="115"/>
      <c r="BJ1154" s="115"/>
      <c r="BK1154" s="115"/>
      <c r="BL1154" s="115"/>
      <c r="BM1154" s="115"/>
      <c r="BN1154" s="115"/>
      <c r="BO1154" s="115"/>
      <c r="BP1154" s="115"/>
      <c r="BQ1154" s="115"/>
      <c r="BR1154" s="115"/>
      <c r="BS1154" s="115"/>
      <c r="BT1154" s="115"/>
      <c r="BU1154" s="25">
        <v>45276</v>
      </c>
      <c r="BV1154" s="15" t="s">
        <v>162</v>
      </c>
      <c r="BY1154" s="114"/>
    </row>
    <row r="1155" spans="38:77" ht="19.5" x14ac:dyDescent="0.4">
      <c r="AW1155" s="26"/>
      <c r="AX1155" s="15"/>
      <c r="BB1155" s="115"/>
      <c r="BC1155" s="117"/>
      <c r="BD1155" s="123"/>
      <c r="BE1155" s="123"/>
      <c r="BF1155" s="123"/>
      <c r="BG1155" s="115"/>
      <c r="BH1155" s="115"/>
      <c r="BI1155" s="115"/>
      <c r="BJ1155" s="115"/>
      <c r="BK1155" s="115"/>
      <c r="BL1155" s="115"/>
      <c r="BM1155" s="115"/>
      <c r="BN1155" s="115"/>
      <c r="BO1155" s="115"/>
      <c r="BP1155" s="115"/>
      <c r="BQ1155" s="115"/>
      <c r="BR1155" s="115"/>
      <c r="BS1155" s="115"/>
      <c r="BT1155" s="115"/>
      <c r="BU1155" s="25">
        <v>45276</v>
      </c>
      <c r="BV1155" s="15" t="s">
        <v>162</v>
      </c>
      <c r="BY1155" s="114"/>
    </row>
    <row r="1156" spans="38:77" ht="19.5" x14ac:dyDescent="0.4">
      <c r="AW1156" s="26"/>
      <c r="AX1156" s="15"/>
      <c r="BB1156" s="115"/>
      <c r="BC1156" s="117"/>
      <c r="BD1156" s="123"/>
      <c r="BE1156" s="123"/>
      <c r="BF1156" s="123"/>
      <c r="BG1156" s="115"/>
      <c r="BH1156" s="115"/>
      <c r="BI1156" s="115"/>
      <c r="BJ1156" s="115"/>
      <c r="BK1156" s="115"/>
      <c r="BL1156" s="115"/>
      <c r="BM1156" s="115"/>
      <c r="BN1156" s="115"/>
      <c r="BO1156" s="115"/>
      <c r="BP1156" s="115"/>
      <c r="BQ1156" s="115"/>
      <c r="BR1156" s="115"/>
      <c r="BS1156" s="115"/>
      <c r="BT1156" s="115"/>
      <c r="BU1156" s="25">
        <v>45276</v>
      </c>
      <c r="BV1156" s="15" t="s">
        <v>162</v>
      </c>
      <c r="BY1156" s="114"/>
    </row>
    <row r="1157" spans="38:77" ht="19.5" x14ac:dyDescent="0.4">
      <c r="AW1157" s="26"/>
      <c r="AX1157" s="15"/>
      <c r="BB1157" s="115"/>
      <c r="BC1157" s="117"/>
      <c r="BD1157" s="123"/>
      <c r="BE1157" s="123"/>
      <c r="BF1157" s="123"/>
      <c r="BG1157" s="115"/>
      <c r="BH1157" s="115"/>
      <c r="BI1157" s="115"/>
      <c r="BJ1157" s="115"/>
      <c r="BK1157" s="115"/>
      <c r="BL1157" s="115"/>
      <c r="BM1157" s="115"/>
      <c r="BN1157" s="115"/>
      <c r="BO1157" s="115"/>
      <c r="BP1157" s="115"/>
      <c r="BQ1157" s="115"/>
      <c r="BR1157" s="115"/>
      <c r="BS1157" s="115"/>
      <c r="BT1157" s="115"/>
      <c r="BU1157" s="25"/>
      <c r="BV1157" s="15"/>
      <c r="BY1157" s="114"/>
    </row>
    <row r="1158" spans="38:77" ht="19.5" x14ac:dyDescent="0.4">
      <c r="AO1158" s="115"/>
      <c r="AP1158" s="115"/>
      <c r="AQ1158" s="115"/>
      <c r="AR1158" s="115"/>
      <c r="AS1158" s="115"/>
      <c r="AT1158" s="115"/>
      <c r="AU1158" s="115"/>
      <c r="AV1158" s="115"/>
      <c r="AW1158" s="17"/>
      <c r="AX1158" s="15"/>
      <c r="BB1158" s="115"/>
      <c r="BC1158" s="117"/>
      <c r="BD1158" s="123"/>
      <c r="BE1158" s="123"/>
      <c r="BF1158" s="123"/>
      <c r="BG1158" s="115"/>
      <c r="BH1158" s="115"/>
      <c r="BI1158" s="115"/>
      <c r="BJ1158" s="115"/>
      <c r="BK1158" s="115"/>
      <c r="BL1158" s="115"/>
      <c r="BM1158" s="115"/>
      <c r="BN1158" s="115"/>
      <c r="BO1158" s="115"/>
      <c r="BP1158" s="115"/>
      <c r="BQ1158" s="115"/>
      <c r="BR1158" s="115"/>
      <c r="BS1158" s="115"/>
      <c r="BT1158" s="115"/>
      <c r="BU1158" s="25"/>
      <c r="BV1158" s="15"/>
      <c r="BY1158" s="114"/>
    </row>
    <row r="1159" spans="38:77" ht="19.5" x14ac:dyDescent="0.4">
      <c r="AW1159" s="26"/>
      <c r="AX1159" s="15"/>
      <c r="BB1159" s="115"/>
      <c r="BC1159" s="117"/>
      <c r="BD1159" s="123"/>
      <c r="BE1159" s="123"/>
      <c r="BF1159" s="123"/>
      <c r="BG1159" s="115"/>
      <c r="BH1159" s="115"/>
      <c r="BI1159" s="115"/>
      <c r="BJ1159" s="115"/>
      <c r="BK1159" s="115"/>
      <c r="BL1159" s="115"/>
      <c r="BM1159" s="115"/>
      <c r="BN1159" s="115"/>
      <c r="BO1159" s="115"/>
      <c r="BP1159" s="115"/>
      <c r="BQ1159" s="115"/>
      <c r="BR1159" s="115"/>
      <c r="BS1159" s="115"/>
      <c r="BT1159" s="115"/>
      <c r="BU1159" s="25">
        <v>45276</v>
      </c>
      <c r="BV1159" s="15" t="s">
        <v>162</v>
      </c>
      <c r="BY1159" s="114"/>
    </row>
    <row r="1160" spans="38:77" ht="19.5" x14ac:dyDescent="0.4">
      <c r="AW1160" s="26"/>
      <c r="AX1160" s="15"/>
      <c r="BB1160" s="115"/>
      <c r="BC1160" s="117"/>
      <c r="BD1160" s="123"/>
      <c r="BE1160" s="123"/>
      <c r="BF1160" s="123"/>
      <c r="BG1160" s="115"/>
      <c r="BH1160" s="115"/>
      <c r="BI1160" s="115"/>
      <c r="BJ1160" s="115"/>
      <c r="BK1160" s="115"/>
      <c r="BL1160" s="115"/>
      <c r="BM1160" s="115"/>
      <c r="BN1160" s="115"/>
      <c r="BO1160" s="115"/>
      <c r="BP1160" s="115"/>
      <c r="BQ1160" s="115"/>
      <c r="BR1160" s="115"/>
      <c r="BS1160" s="115"/>
      <c r="BT1160" s="115"/>
      <c r="BU1160" s="25">
        <v>45276</v>
      </c>
      <c r="BV1160" s="15" t="s">
        <v>162</v>
      </c>
      <c r="BY1160" s="114"/>
    </row>
    <row r="1161" spans="38:77" ht="19.5" x14ac:dyDescent="0.4">
      <c r="AO1161" s="115"/>
      <c r="AP1161" s="115"/>
      <c r="AQ1161" s="115"/>
      <c r="AR1161" s="115"/>
      <c r="AS1161" s="115"/>
      <c r="AT1161" s="115"/>
      <c r="AU1161" s="115"/>
      <c r="AV1161" s="115"/>
      <c r="AW1161" s="17"/>
      <c r="AX1161" s="15"/>
      <c r="BB1161" s="115"/>
      <c r="BC1161" s="117"/>
      <c r="BD1161" s="123"/>
      <c r="BE1161" s="123"/>
      <c r="BF1161" s="123"/>
      <c r="BG1161" s="115"/>
      <c r="BH1161" s="115"/>
      <c r="BI1161" s="115"/>
      <c r="BJ1161" s="115"/>
      <c r="BK1161" s="115"/>
      <c r="BL1161" s="115"/>
      <c r="BM1161" s="115"/>
      <c r="BN1161" s="115"/>
      <c r="BO1161" s="115"/>
      <c r="BP1161" s="115"/>
      <c r="BQ1161" s="115"/>
      <c r="BR1161" s="115"/>
      <c r="BS1161" s="115"/>
      <c r="BT1161" s="115"/>
      <c r="BU1161" s="25"/>
      <c r="BV1161" s="15"/>
      <c r="BY1161" s="114"/>
    </row>
    <row r="1162" spans="38:77" ht="19.5" x14ac:dyDescent="0.4">
      <c r="AL1162" s="115"/>
      <c r="AM1162" s="115"/>
      <c r="AN1162" s="115"/>
      <c r="AO1162" s="115"/>
      <c r="AP1162" s="115"/>
      <c r="AQ1162" s="115"/>
      <c r="AR1162" s="115"/>
      <c r="AS1162" s="115"/>
      <c r="AT1162" s="115"/>
      <c r="AU1162" s="115"/>
      <c r="AV1162" s="115"/>
      <c r="AW1162" s="26"/>
      <c r="AX1162" s="15"/>
      <c r="BB1162" s="115"/>
      <c r="BC1162" s="117"/>
      <c r="BD1162" s="123"/>
      <c r="BE1162" s="123"/>
      <c r="BF1162" s="123"/>
      <c r="BG1162" s="115"/>
      <c r="BH1162" s="115"/>
      <c r="BI1162" s="115"/>
      <c r="BJ1162" s="115"/>
      <c r="BK1162" s="115"/>
      <c r="BL1162" s="115"/>
      <c r="BM1162" s="115"/>
      <c r="BN1162" s="115"/>
      <c r="BO1162" s="115"/>
      <c r="BP1162" s="115"/>
      <c r="BQ1162" s="115"/>
      <c r="BR1162" s="115"/>
      <c r="BS1162" s="115"/>
      <c r="BT1162" s="115"/>
      <c r="BU1162" s="25"/>
      <c r="BV1162" s="15"/>
      <c r="BY1162" s="114"/>
    </row>
    <row r="1163" spans="38:77" ht="19.5" x14ac:dyDescent="0.4">
      <c r="AL1163" s="115"/>
      <c r="AM1163" s="115"/>
      <c r="AN1163" s="115"/>
      <c r="AO1163" s="115"/>
      <c r="AP1163" s="115"/>
      <c r="AQ1163" s="115"/>
      <c r="AR1163" s="115"/>
      <c r="AS1163" s="115"/>
      <c r="AT1163" s="115"/>
      <c r="AU1163" s="115"/>
      <c r="AV1163" s="115"/>
      <c r="AW1163" s="17"/>
      <c r="AX1163" s="15"/>
      <c r="BB1163" s="115"/>
      <c r="BC1163" s="117"/>
      <c r="BD1163" s="123"/>
      <c r="BE1163" s="123"/>
      <c r="BF1163" s="123"/>
      <c r="BG1163" s="115"/>
      <c r="BH1163" s="115"/>
      <c r="BI1163" s="115"/>
      <c r="BJ1163" s="115"/>
      <c r="BK1163" s="115"/>
      <c r="BL1163" s="115"/>
      <c r="BM1163" s="115"/>
      <c r="BN1163" s="115"/>
      <c r="BO1163" s="115"/>
      <c r="BP1163" s="115"/>
      <c r="BQ1163" s="115"/>
      <c r="BR1163" s="115"/>
      <c r="BS1163" s="115"/>
      <c r="BT1163" s="115"/>
      <c r="BU1163" s="25"/>
      <c r="BV1163" s="15"/>
      <c r="BY1163" s="114"/>
    </row>
    <row r="1164" spans="38:77" ht="19.5" x14ac:dyDescent="0.4">
      <c r="AL1164" s="115"/>
      <c r="AM1164" s="115"/>
      <c r="AN1164" s="115"/>
      <c r="AO1164" s="115"/>
      <c r="AP1164" s="115"/>
      <c r="AQ1164" s="115"/>
      <c r="AR1164" s="115"/>
      <c r="AS1164" s="115"/>
      <c r="AT1164" s="115"/>
      <c r="AU1164" s="115"/>
      <c r="AV1164" s="115"/>
      <c r="AW1164" s="26"/>
      <c r="AX1164" s="15"/>
      <c r="BB1164" s="115"/>
      <c r="BC1164" s="117"/>
      <c r="BD1164" s="123"/>
      <c r="BE1164" s="123"/>
      <c r="BF1164" s="123"/>
      <c r="BG1164" s="115"/>
      <c r="BH1164" s="115"/>
      <c r="BI1164" s="115"/>
      <c r="BJ1164" s="115"/>
      <c r="BK1164" s="115"/>
      <c r="BL1164" s="115"/>
      <c r="BM1164" s="115"/>
      <c r="BN1164" s="115"/>
      <c r="BO1164" s="115"/>
      <c r="BP1164" s="115"/>
      <c r="BQ1164" s="115"/>
      <c r="BR1164" s="115"/>
      <c r="BS1164" s="115"/>
      <c r="BT1164" s="115"/>
      <c r="BU1164" s="25"/>
      <c r="BV1164" s="15"/>
      <c r="BY1164" s="114"/>
    </row>
    <row r="1165" spans="38:77" ht="19.5" x14ac:dyDescent="0.4">
      <c r="AW1165" s="26"/>
      <c r="AX1165" s="15"/>
      <c r="BB1165" s="115"/>
      <c r="BC1165" s="117"/>
      <c r="BD1165" s="123"/>
      <c r="BE1165" s="123"/>
      <c r="BF1165" s="123"/>
      <c r="BG1165" s="115"/>
      <c r="BH1165" s="115"/>
      <c r="BI1165" s="115"/>
      <c r="BJ1165" s="115"/>
      <c r="BK1165" s="115"/>
      <c r="BL1165" s="115"/>
      <c r="BM1165" s="115"/>
      <c r="BN1165" s="115"/>
      <c r="BO1165" s="115"/>
      <c r="BP1165" s="115"/>
      <c r="BQ1165" s="115"/>
      <c r="BR1165" s="115"/>
      <c r="BS1165" s="115"/>
      <c r="BT1165" s="115" t="s">
        <v>169</v>
      </c>
      <c r="BU1165" s="13">
        <f>SUBTOTAL(3,BU1128:BU1160)</f>
        <v>17</v>
      </c>
      <c r="BV1165" s="15">
        <f>SUBTOTAL(3,BV1128:BV1160)</f>
        <v>17</v>
      </c>
      <c r="BY1165" s="114"/>
    </row>
    <row r="1166" spans="38:77" ht="19.5" x14ac:dyDescent="0.4"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115"/>
      <c r="AW1166" s="26"/>
      <c r="AX1166" s="15"/>
      <c r="BB1166" s="115"/>
      <c r="BC1166" s="117"/>
      <c r="BD1166" s="123"/>
      <c r="BE1166" s="123"/>
      <c r="BF1166" s="123"/>
      <c r="BG1166" s="115"/>
      <c r="BH1166" s="115"/>
      <c r="BI1166" s="115"/>
      <c r="BJ1166" s="115"/>
      <c r="BK1166" s="115"/>
      <c r="BL1166" s="115"/>
      <c r="BM1166" s="115"/>
      <c r="BN1166" s="115"/>
      <c r="BO1166" s="115"/>
      <c r="BP1166" s="115"/>
      <c r="BQ1166" s="115"/>
      <c r="BR1166" s="115"/>
      <c r="BS1166" s="115"/>
      <c r="BT1166" s="115"/>
      <c r="BU1166" s="13"/>
      <c r="BV1166" s="15"/>
      <c r="BY1166" s="114"/>
    </row>
    <row r="1167" spans="38:77" ht="19.5" x14ac:dyDescent="0.4">
      <c r="AW1167" s="26"/>
      <c r="AX1167" s="15"/>
      <c r="BB1167" s="115"/>
      <c r="BC1167" s="117"/>
      <c r="BD1167" s="123"/>
      <c r="BE1167" s="123"/>
      <c r="BF1167" s="123"/>
      <c r="BG1167" s="115"/>
      <c r="BH1167" s="115"/>
      <c r="BI1167" s="115"/>
      <c r="BJ1167" s="115"/>
      <c r="BK1167" s="115"/>
      <c r="BL1167" s="115"/>
      <c r="BM1167" s="115"/>
      <c r="BN1167" s="115"/>
      <c r="BO1167" s="115"/>
      <c r="BP1167" s="115"/>
      <c r="BQ1167" s="115"/>
      <c r="BR1167" s="115"/>
      <c r="BS1167" s="115"/>
      <c r="BT1167" s="115"/>
      <c r="BU1167" s="25">
        <v>45277</v>
      </c>
      <c r="BV1167" s="15" t="s">
        <v>162</v>
      </c>
      <c r="BY1167" s="114"/>
    </row>
    <row r="1168" spans="38:77" ht="19.5" x14ac:dyDescent="0.4">
      <c r="AO1168" s="115"/>
      <c r="AP1168" s="115"/>
      <c r="AQ1168" s="115"/>
      <c r="AR1168" s="115"/>
      <c r="AS1168" s="115"/>
      <c r="AT1168" s="115"/>
      <c r="AU1168" s="115"/>
      <c r="AV1168" s="115"/>
      <c r="AW1168" s="17"/>
      <c r="AX1168" s="15"/>
      <c r="BB1168" s="115"/>
      <c r="BC1168" s="117"/>
      <c r="BD1168" s="123"/>
      <c r="BE1168" s="123"/>
      <c r="BF1168" s="123"/>
      <c r="BG1168" s="115"/>
      <c r="BH1168" s="115"/>
      <c r="BI1168" s="115"/>
      <c r="BJ1168" s="115"/>
      <c r="BK1168" s="115"/>
      <c r="BL1168" s="115"/>
      <c r="BM1168" s="115"/>
      <c r="BN1168" s="115"/>
      <c r="BO1168" s="115"/>
      <c r="BP1168" s="115"/>
      <c r="BQ1168" s="115"/>
      <c r="BR1168" s="115"/>
      <c r="BS1168" s="115"/>
      <c r="BT1168" s="115"/>
      <c r="BU1168" s="25"/>
      <c r="BV1168" s="15"/>
      <c r="BY1168" s="114"/>
    </row>
    <row r="1169" spans="6:77" ht="19.5" x14ac:dyDescent="0.4">
      <c r="AL1169" s="115"/>
      <c r="AM1169" s="115"/>
      <c r="AN1169" s="115"/>
      <c r="AO1169" s="115"/>
      <c r="AP1169" s="115"/>
      <c r="AQ1169" s="115"/>
      <c r="AR1169" s="115"/>
      <c r="AS1169" s="115"/>
      <c r="AT1169" s="115"/>
      <c r="AU1169" s="115"/>
      <c r="AV1169" s="115"/>
      <c r="AW1169" s="26"/>
      <c r="AX1169" s="15"/>
      <c r="BB1169" s="115"/>
      <c r="BC1169" s="117"/>
      <c r="BD1169" s="123"/>
      <c r="BE1169" s="123"/>
      <c r="BF1169" s="123"/>
      <c r="BG1169" s="115"/>
      <c r="BH1169" s="115"/>
      <c r="BI1169" s="115"/>
      <c r="BJ1169" s="115"/>
      <c r="BK1169" s="115"/>
      <c r="BL1169" s="115"/>
      <c r="BM1169" s="115"/>
      <c r="BN1169" s="115"/>
      <c r="BO1169" s="115"/>
      <c r="BP1169" s="115"/>
      <c r="BQ1169" s="115"/>
      <c r="BR1169" s="115"/>
      <c r="BS1169" s="115"/>
      <c r="BT1169" s="115"/>
      <c r="BU1169" s="25"/>
      <c r="BV1169" s="15"/>
      <c r="BY1169" s="114"/>
    </row>
    <row r="1170" spans="6:77" ht="19.5" x14ac:dyDescent="0.4">
      <c r="AL1170" s="115"/>
      <c r="AM1170" s="115"/>
      <c r="AN1170" s="115"/>
      <c r="AO1170" s="115"/>
      <c r="AP1170" s="115"/>
      <c r="AQ1170" s="115"/>
      <c r="AR1170" s="115"/>
      <c r="AS1170" s="115"/>
      <c r="AT1170" s="115"/>
      <c r="AU1170" s="115"/>
      <c r="AV1170" s="115"/>
      <c r="AW1170" s="17"/>
      <c r="AX1170" s="15"/>
      <c r="BB1170" s="115"/>
      <c r="BC1170" s="117"/>
      <c r="BD1170" s="123"/>
      <c r="BE1170" s="123"/>
      <c r="BF1170" s="123"/>
      <c r="BG1170" s="115"/>
      <c r="BH1170" s="115"/>
      <c r="BI1170" s="115"/>
      <c r="BJ1170" s="115"/>
      <c r="BK1170" s="115"/>
      <c r="BL1170" s="115"/>
      <c r="BM1170" s="115"/>
      <c r="BN1170" s="115"/>
      <c r="BO1170" s="115"/>
      <c r="BP1170" s="115"/>
      <c r="BQ1170" s="115"/>
      <c r="BR1170" s="115"/>
      <c r="BS1170" s="115"/>
      <c r="BT1170" s="115"/>
      <c r="BU1170" s="25"/>
      <c r="BV1170" s="15"/>
      <c r="BY1170" s="114"/>
    </row>
    <row r="1171" spans="6:77" ht="19.5" x14ac:dyDescent="0.4">
      <c r="AL1171" s="115"/>
      <c r="AM1171" s="115"/>
      <c r="AN1171" s="115"/>
      <c r="AO1171" s="115"/>
      <c r="AP1171" s="115"/>
      <c r="AQ1171" s="115"/>
      <c r="AR1171" s="115"/>
      <c r="AS1171" s="115"/>
      <c r="AT1171" s="115"/>
      <c r="AU1171" s="115"/>
      <c r="AV1171" s="115"/>
      <c r="AW1171" s="17"/>
      <c r="AX1171" s="15"/>
      <c r="BB1171" s="115"/>
      <c r="BC1171" s="117"/>
      <c r="BD1171" s="123"/>
      <c r="BE1171" s="123"/>
      <c r="BF1171" s="123"/>
      <c r="BG1171" s="115"/>
      <c r="BH1171" s="115"/>
      <c r="BI1171" s="115"/>
      <c r="BJ1171" s="115"/>
      <c r="BK1171" s="115"/>
      <c r="BL1171" s="115"/>
      <c r="BM1171" s="115"/>
      <c r="BN1171" s="115"/>
      <c r="BO1171" s="115"/>
      <c r="BP1171" s="115"/>
      <c r="BQ1171" s="115"/>
      <c r="BR1171" s="115"/>
      <c r="BS1171" s="115"/>
      <c r="BT1171" s="115"/>
      <c r="BU1171" s="25"/>
      <c r="BV1171" s="15"/>
      <c r="BY1171" s="114"/>
    </row>
    <row r="1172" spans="6:77" ht="19.5" x14ac:dyDescent="0.4">
      <c r="AW1172" s="26"/>
      <c r="AX1172" s="15"/>
      <c r="BB1172" s="115"/>
      <c r="BC1172" s="117"/>
      <c r="BD1172" s="123"/>
      <c r="BE1172" s="123"/>
      <c r="BF1172" s="123"/>
      <c r="BG1172" s="115"/>
      <c r="BH1172" s="115"/>
      <c r="BI1172" s="115"/>
      <c r="BJ1172" s="115"/>
      <c r="BK1172" s="115"/>
      <c r="BL1172" s="115"/>
      <c r="BM1172" s="115"/>
      <c r="BN1172" s="115"/>
      <c r="BO1172" s="115"/>
      <c r="BP1172" s="115"/>
      <c r="BQ1172" s="115"/>
      <c r="BR1172" s="115"/>
      <c r="BS1172" s="115"/>
      <c r="BT1172" s="115"/>
      <c r="BU1172" s="25">
        <v>45277</v>
      </c>
      <c r="BV1172" s="15" t="s">
        <v>162</v>
      </c>
      <c r="BY1172" s="114"/>
    </row>
    <row r="1173" spans="6:77" ht="19.5" x14ac:dyDescent="0.4">
      <c r="AN1173" s="115"/>
      <c r="AO1173" s="115"/>
      <c r="AP1173" s="115"/>
      <c r="AQ1173" s="115"/>
      <c r="AR1173" s="115"/>
      <c r="AS1173" s="115"/>
      <c r="AT1173" s="115"/>
      <c r="AU1173" s="115"/>
      <c r="AV1173" s="115"/>
      <c r="AW1173" s="17"/>
      <c r="AX1173" s="15"/>
      <c r="BB1173" s="115"/>
      <c r="BC1173" s="117"/>
      <c r="BD1173" s="123"/>
      <c r="BE1173" s="123"/>
      <c r="BF1173" s="123"/>
      <c r="BG1173" s="115"/>
      <c r="BH1173" s="115"/>
      <c r="BI1173" s="115"/>
      <c r="BJ1173" s="115"/>
      <c r="BK1173" s="115"/>
      <c r="BL1173" s="115"/>
      <c r="BM1173" s="115"/>
      <c r="BN1173" s="115"/>
      <c r="BO1173" s="115"/>
      <c r="BP1173" s="115"/>
      <c r="BQ1173" s="115"/>
      <c r="BR1173" s="115"/>
      <c r="BS1173" s="115"/>
      <c r="BT1173" s="115"/>
      <c r="BU1173" s="131"/>
      <c r="BV1173" s="13"/>
      <c r="BY1173" s="114"/>
    </row>
    <row r="1174" spans="6:77" ht="19.5" x14ac:dyDescent="0.4">
      <c r="AW1174" s="26"/>
      <c r="AX1174" s="15"/>
      <c r="BB1174" s="115"/>
      <c r="BC1174" s="117"/>
      <c r="BD1174" s="123"/>
      <c r="BE1174" s="123"/>
      <c r="BF1174" s="123"/>
      <c r="BG1174" s="115"/>
      <c r="BH1174" s="115"/>
      <c r="BI1174" s="115"/>
      <c r="BJ1174" s="115"/>
      <c r="BK1174" s="115"/>
      <c r="BL1174" s="115"/>
      <c r="BM1174" s="115"/>
      <c r="BN1174" s="115"/>
      <c r="BO1174" s="115"/>
      <c r="BP1174" s="115"/>
      <c r="BQ1174" s="115"/>
      <c r="BR1174" s="115"/>
      <c r="BS1174" s="115"/>
      <c r="BT1174" s="115"/>
      <c r="BU1174" s="26">
        <v>45277</v>
      </c>
      <c r="BV1174" s="13" t="s">
        <v>162</v>
      </c>
      <c r="BY1174" s="114"/>
    </row>
    <row r="1175" spans="6:77" ht="19.5" x14ac:dyDescent="0.4">
      <c r="AW1175" s="26"/>
      <c r="AX1175" s="15"/>
      <c r="BB1175" s="115"/>
      <c r="BC1175" s="117"/>
      <c r="BD1175" s="123"/>
      <c r="BE1175" s="123"/>
      <c r="BF1175" s="123"/>
      <c r="BG1175" s="115"/>
      <c r="BH1175" s="115"/>
      <c r="BI1175" s="115"/>
      <c r="BJ1175" s="115"/>
      <c r="BK1175" s="115"/>
      <c r="BL1175" s="115"/>
      <c r="BM1175" s="115"/>
      <c r="BN1175" s="115"/>
      <c r="BO1175" s="115"/>
      <c r="BP1175" s="115"/>
      <c r="BQ1175" s="115"/>
      <c r="BR1175" s="115"/>
      <c r="BS1175" s="115"/>
      <c r="BT1175" s="115"/>
      <c r="BU1175" s="26">
        <v>45277</v>
      </c>
      <c r="BV1175" s="15" t="s">
        <v>162</v>
      </c>
      <c r="BY1175" s="114"/>
    </row>
    <row r="1176" spans="6:77" ht="19.5" x14ac:dyDescent="0.4"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15"/>
      <c r="AT1176" s="115"/>
      <c r="AU1176" s="115"/>
      <c r="AV1176" s="115"/>
      <c r="AW1176" s="26"/>
      <c r="AX1176" s="15"/>
      <c r="BB1176" s="115"/>
      <c r="BC1176" s="117"/>
      <c r="BD1176" s="123"/>
      <c r="BE1176" s="123"/>
      <c r="BF1176" s="123"/>
      <c r="BG1176" s="115"/>
      <c r="BH1176" s="115"/>
      <c r="BI1176" s="115"/>
      <c r="BJ1176" s="115"/>
      <c r="BK1176" s="115"/>
      <c r="BL1176" s="115"/>
      <c r="BM1176" s="115"/>
      <c r="BN1176" s="115"/>
      <c r="BO1176" s="115"/>
      <c r="BP1176" s="115"/>
      <c r="BQ1176" s="115"/>
      <c r="BR1176" s="115"/>
      <c r="BS1176" s="115"/>
      <c r="BT1176" s="115"/>
      <c r="BU1176" s="26"/>
      <c r="BV1176" s="15"/>
      <c r="BY1176" s="114"/>
    </row>
    <row r="1177" spans="6:77" ht="19.5" x14ac:dyDescent="0.4">
      <c r="AW1177" s="26"/>
      <c r="AX1177" s="15"/>
      <c r="BB1177" s="115"/>
      <c r="BC1177" s="117"/>
      <c r="BD1177" s="123"/>
      <c r="BE1177" s="123"/>
      <c r="BF1177" s="123"/>
      <c r="BG1177" s="115"/>
      <c r="BH1177" s="115"/>
      <c r="BI1177" s="115"/>
      <c r="BJ1177" s="115"/>
      <c r="BK1177" s="115"/>
      <c r="BL1177" s="115"/>
      <c r="BM1177" s="115"/>
      <c r="BN1177" s="115"/>
      <c r="BO1177" s="115"/>
      <c r="BP1177" s="115"/>
      <c r="BQ1177" s="115"/>
      <c r="BR1177" s="115"/>
      <c r="BS1177" s="115"/>
      <c r="BT1177" s="115"/>
      <c r="BU1177" s="26">
        <v>45277</v>
      </c>
      <c r="BV1177" s="15" t="s">
        <v>162</v>
      </c>
      <c r="BY1177" s="114"/>
    </row>
    <row r="1178" spans="6:77" ht="19.5" x14ac:dyDescent="0.4">
      <c r="AW1178" s="26"/>
      <c r="AX1178" s="15"/>
      <c r="BB1178" s="115"/>
      <c r="BC1178" s="117"/>
      <c r="BD1178" s="123"/>
      <c r="BE1178" s="123"/>
      <c r="BF1178" s="123"/>
      <c r="BG1178" s="115"/>
      <c r="BH1178" s="115"/>
      <c r="BI1178" s="115"/>
      <c r="BJ1178" s="115"/>
      <c r="BK1178" s="115"/>
      <c r="BL1178" s="115"/>
      <c r="BM1178" s="115"/>
      <c r="BN1178" s="115"/>
      <c r="BO1178" s="115"/>
      <c r="BP1178" s="115"/>
      <c r="BQ1178" s="115"/>
      <c r="BR1178" s="115"/>
      <c r="BS1178" s="115"/>
      <c r="BT1178" s="115" t="s">
        <v>160</v>
      </c>
      <c r="BU1178" s="17">
        <f>SUBTOTAL(3,BU1167:BU1177)</f>
        <v>5</v>
      </c>
      <c r="BV1178" s="15">
        <f>SUBTOTAL(3,BV1167:BV1177)</f>
        <v>5</v>
      </c>
      <c r="BY1178" s="114"/>
    </row>
    <row r="1179" spans="6:77" ht="19.5" x14ac:dyDescent="0.4"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15"/>
      <c r="AR1179" s="115"/>
      <c r="AS1179" s="115"/>
      <c r="AT1179" s="115"/>
      <c r="AU1179" s="115"/>
      <c r="AV1179" s="115"/>
      <c r="AW1179" s="26"/>
      <c r="AX1179" s="15"/>
      <c r="BB1179" s="115"/>
      <c r="BC1179" s="117"/>
      <c r="BD1179" s="123"/>
      <c r="BE1179" s="123"/>
      <c r="BF1179" s="123"/>
      <c r="BG1179" s="115"/>
      <c r="BH1179" s="115"/>
      <c r="BI1179" s="115"/>
      <c r="BJ1179" s="115"/>
      <c r="BK1179" s="115"/>
      <c r="BL1179" s="115"/>
      <c r="BM1179" s="115"/>
      <c r="BN1179" s="115"/>
      <c r="BO1179" s="115"/>
      <c r="BP1179" s="115"/>
      <c r="BQ1179" s="115"/>
      <c r="BR1179" s="115"/>
      <c r="BS1179" s="115"/>
      <c r="BT1179" s="115"/>
      <c r="BU1179" s="17"/>
      <c r="BV1179" s="15"/>
      <c r="BY1179" s="114"/>
    </row>
    <row r="1180" spans="6:77" ht="19.5" x14ac:dyDescent="0.4"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15"/>
      <c r="AF1180" s="115"/>
      <c r="AG1180" s="115"/>
      <c r="AH1180" s="115"/>
      <c r="AI1180" s="115"/>
      <c r="AJ1180" s="115"/>
      <c r="AK1180" s="115"/>
      <c r="AL1180" s="115"/>
      <c r="AM1180" s="115"/>
      <c r="AN1180" s="115"/>
      <c r="AO1180" s="115"/>
      <c r="AP1180" s="115"/>
      <c r="AQ1180" s="115"/>
      <c r="AR1180" s="115"/>
      <c r="AS1180" s="115"/>
      <c r="AT1180" s="115"/>
      <c r="AU1180" s="115"/>
      <c r="AV1180" s="115"/>
      <c r="AW1180" s="26"/>
      <c r="AX1180" s="15"/>
      <c r="BB1180" s="115"/>
      <c r="BC1180" s="117"/>
      <c r="BD1180" s="123"/>
      <c r="BE1180" s="123"/>
      <c r="BF1180" s="123"/>
      <c r="BG1180" s="115"/>
      <c r="BH1180" s="115"/>
      <c r="BI1180" s="115"/>
      <c r="BJ1180" s="115"/>
      <c r="BK1180" s="115"/>
      <c r="BL1180" s="115"/>
      <c r="BM1180" s="115"/>
      <c r="BN1180" s="115"/>
      <c r="BO1180" s="115"/>
      <c r="BP1180" s="115"/>
      <c r="BQ1180" s="115"/>
      <c r="BR1180" s="115"/>
      <c r="BS1180" s="115"/>
      <c r="BT1180" s="115"/>
      <c r="BU1180" s="17"/>
      <c r="BV1180" s="15"/>
      <c r="BY1180" s="114"/>
    </row>
    <row r="1181" spans="6:77" ht="19.5" x14ac:dyDescent="0.4">
      <c r="AW1181" s="26"/>
      <c r="AX1181" s="15"/>
      <c r="BB1181" s="115"/>
      <c r="BC1181" s="117"/>
      <c r="BD1181" s="123"/>
      <c r="BE1181" s="123"/>
      <c r="BF1181" s="123"/>
      <c r="BG1181" s="115"/>
      <c r="BH1181" s="115"/>
      <c r="BI1181" s="115"/>
      <c r="BJ1181" s="115"/>
      <c r="BK1181" s="115"/>
      <c r="BL1181" s="115"/>
      <c r="BM1181" s="115"/>
      <c r="BN1181" s="115"/>
      <c r="BO1181" s="115"/>
      <c r="BP1181" s="115"/>
      <c r="BQ1181" s="115"/>
      <c r="BR1181" s="115"/>
      <c r="BS1181" s="115"/>
      <c r="BT1181" s="115"/>
      <c r="BU1181" s="26">
        <v>45278</v>
      </c>
      <c r="BV1181" s="15" t="s">
        <v>164</v>
      </c>
      <c r="BY1181" s="114"/>
    </row>
    <row r="1182" spans="6:77" ht="19.5" x14ac:dyDescent="0.4">
      <c r="AW1182" s="26"/>
      <c r="AX1182" s="15"/>
      <c r="BB1182" s="115"/>
      <c r="BC1182" s="117"/>
      <c r="BD1182" s="123"/>
      <c r="BE1182" s="123"/>
      <c r="BF1182" s="123"/>
      <c r="BG1182" s="115"/>
      <c r="BH1182" s="115"/>
      <c r="BI1182" s="115"/>
      <c r="BJ1182" s="115"/>
      <c r="BK1182" s="115"/>
      <c r="BL1182" s="115"/>
      <c r="BM1182" s="115"/>
      <c r="BN1182" s="115"/>
      <c r="BO1182" s="115"/>
      <c r="BP1182" s="115"/>
      <c r="BQ1182" s="115"/>
      <c r="BR1182" s="115"/>
      <c r="BS1182" s="115"/>
      <c r="BT1182" s="115"/>
      <c r="BU1182" s="26">
        <v>45278</v>
      </c>
      <c r="BV1182" s="15" t="s">
        <v>164</v>
      </c>
      <c r="BY1182" s="114"/>
    </row>
    <row r="1183" spans="6:77" ht="19.5" x14ac:dyDescent="0.4">
      <c r="AL1183" s="115"/>
      <c r="AM1183" s="115"/>
      <c r="AN1183" s="115"/>
      <c r="AO1183" s="115"/>
      <c r="AP1183" s="115"/>
      <c r="AQ1183" s="115"/>
      <c r="AR1183" s="115"/>
      <c r="AS1183" s="115"/>
      <c r="AT1183" s="115"/>
      <c r="AU1183" s="115"/>
      <c r="AV1183" s="115"/>
      <c r="AW1183" s="26"/>
      <c r="AX1183" s="15"/>
      <c r="BB1183" s="115"/>
      <c r="BC1183" s="117"/>
      <c r="BD1183" s="123"/>
      <c r="BE1183" s="123"/>
      <c r="BF1183" s="123"/>
      <c r="BG1183" s="115"/>
      <c r="BH1183" s="115"/>
      <c r="BI1183" s="115"/>
      <c r="BJ1183" s="115"/>
      <c r="BK1183" s="115"/>
      <c r="BL1183" s="115"/>
      <c r="BM1183" s="115"/>
      <c r="BN1183" s="115"/>
      <c r="BO1183" s="115"/>
      <c r="BP1183" s="115"/>
      <c r="BQ1183" s="115"/>
      <c r="BR1183" s="115"/>
      <c r="BS1183" s="115"/>
      <c r="BT1183" s="115"/>
      <c r="BU1183" s="26"/>
      <c r="BV1183" s="15"/>
      <c r="BY1183" s="114"/>
    </row>
    <row r="1184" spans="6:77" ht="19.5" x14ac:dyDescent="0.4">
      <c r="AW1184" s="26"/>
      <c r="AX1184" s="15"/>
      <c r="BB1184" s="115"/>
      <c r="BC1184" s="117"/>
      <c r="BD1184" s="123"/>
      <c r="BE1184" s="123"/>
      <c r="BF1184" s="123"/>
      <c r="BG1184" s="115"/>
      <c r="BH1184" s="115"/>
      <c r="BI1184" s="115"/>
      <c r="BJ1184" s="115"/>
      <c r="BK1184" s="115"/>
      <c r="BL1184" s="115"/>
      <c r="BM1184" s="115"/>
      <c r="BN1184" s="115"/>
      <c r="BO1184" s="115"/>
      <c r="BP1184" s="115"/>
      <c r="BQ1184" s="115"/>
      <c r="BR1184" s="115"/>
      <c r="BS1184" s="115"/>
      <c r="BT1184" s="115"/>
      <c r="BU1184" s="26">
        <v>45278</v>
      </c>
      <c r="BV1184" s="15" t="s">
        <v>162</v>
      </c>
      <c r="BY1184" s="114"/>
    </row>
    <row r="1185" spans="6:77" ht="19.5" x14ac:dyDescent="0.4">
      <c r="AN1185" s="115"/>
      <c r="AO1185" s="115"/>
      <c r="AP1185" s="115"/>
      <c r="AQ1185" s="115"/>
      <c r="AR1185" s="115"/>
      <c r="AS1185" s="115"/>
      <c r="AT1185" s="115"/>
      <c r="AU1185" s="115"/>
      <c r="AV1185" s="115"/>
      <c r="AW1185" s="17"/>
      <c r="AX1185" s="15"/>
      <c r="BB1185" s="115"/>
      <c r="BC1185" s="117"/>
      <c r="BD1185" s="123"/>
      <c r="BE1185" s="123"/>
      <c r="BF1185" s="123"/>
      <c r="BG1185" s="115"/>
      <c r="BH1185" s="115"/>
      <c r="BI1185" s="115"/>
      <c r="BJ1185" s="115"/>
      <c r="BK1185" s="115"/>
      <c r="BL1185" s="115"/>
      <c r="BM1185" s="115"/>
      <c r="BN1185" s="115"/>
      <c r="BO1185" s="115"/>
      <c r="BP1185" s="115"/>
      <c r="BQ1185" s="115"/>
      <c r="BR1185" s="115"/>
      <c r="BS1185" s="115"/>
      <c r="BT1185" s="115"/>
      <c r="BU1185" s="26"/>
      <c r="BV1185" s="15"/>
      <c r="BY1185" s="114"/>
    </row>
    <row r="1186" spans="6:77" ht="19.5" x14ac:dyDescent="0.4">
      <c r="AL1186" s="115"/>
      <c r="AM1186" s="115"/>
      <c r="AN1186" s="115"/>
      <c r="AO1186" s="115"/>
      <c r="AP1186" s="115"/>
      <c r="AQ1186" s="115"/>
      <c r="AR1186" s="115"/>
      <c r="AS1186" s="115"/>
      <c r="AT1186" s="115"/>
      <c r="AU1186" s="115"/>
      <c r="AV1186" s="115"/>
      <c r="AW1186" s="26"/>
      <c r="AX1186" s="15"/>
      <c r="BB1186" s="115"/>
      <c r="BC1186" s="117"/>
      <c r="BD1186" s="123"/>
      <c r="BE1186" s="123"/>
      <c r="BF1186" s="123"/>
      <c r="BG1186" s="115"/>
      <c r="BH1186" s="115"/>
      <c r="BI1186" s="115"/>
      <c r="BJ1186" s="115"/>
      <c r="BK1186" s="115"/>
      <c r="BL1186" s="115"/>
      <c r="BM1186" s="115"/>
      <c r="BN1186" s="115"/>
      <c r="BO1186" s="115"/>
      <c r="BP1186" s="115"/>
      <c r="BQ1186" s="115"/>
      <c r="BR1186" s="115"/>
      <c r="BS1186" s="115"/>
      <c r="BT1186" s="115"/>
      <c r="BU1186" s="26"/>
      <c r="BV1186" s="15"/>
      <c r="BY1186" s="114"/>
    </row>
    <row r="1187" spans="6:77" ht="19.5" x14ac:dyDescent="0.4">
      <c r="AL1187" s="115"/>
      <c r="AM1187" s="115"/>
      <c r="AN1187" s="115"/>
      <c r="AO1187" s="115"/>
      <c r="AP1187" s="115"/>
      <c r="AQ1187" s="115"/>
      <c r="AR1187" s="115"/>
      <c r="AS1187" s="115"/>
      <c r="AT1187" s="115"/>
      <c r="AU1187" s="115"/>
      <c r="AV1187" s="115"/>
      <c r="AW1187" s="17"/>
      <c r="AX1187" s="15"/>
      <c r="BB1187" s="115"/>
      <c r="BC1187" s="117"/>
      <c r="BD1187" s="123"/>
      <c r="BE1187" s="123"/>
      <c r="BF1187" s="123"/>
      <c r="BG1187" s="115"/>
      <c r="BH1187" s="115"/>
      <c r="BI1187" s="115"/>
      <c r="BJ1187" s="115"/>
      <c r="BK1187" s="115"/>
      <c r="BL1187" s="115"/>
      <c r="BM1187" s="115"/>
      <c r="BN1187" s="115"/>
      <c r="BO1187" s="115"/>
      <c r="BP1187" s="115"/>
      <c r="BQ1187" s="115"/>
      <c r="BR1187" s="115"/>
      <c r="BS1187" s="115"/>
      <c r="BT1187" s="115"/>
      <c r="BU1187" s="26"/>
      <c r="BV1187" s="15"/>
      <c r="BY1187" s="114"/>
    </row>
    <row r="1188" spans="6:77" ht="19.5" x14ac:dyDescent="0.4">
      <c r="AW1188" s="26"/>
      <c r="AX1188" s="15"/>
      <c r="BB1188" s="115"/>
      <c r="BC1188" s="117"/>
      <c r="BD1188" s="123"/>
      <c r="BE1188" s="123"/>
      <c r="BF1188" s="123"/>
      <c r="BG1188" s="115"/>
      <c r="BH1188" s="115"/>
      <c r="BI1188" s="115"/>
      <c r="BJ1188" s="115"/>
      <c r="BK1188" s="115"/>
      <c r="BL1188" s="115"/>
      <c r="BM1188" s="115"/>
      <c r="BN1188" s="115"/>
      <c r="BO1188" s="115"/>
      <c r="BP1188" s="115"/>
      <c r="BQ1188" s="115"/>
      <c r="BR1188" s="115"/>
      <c r="BS1188" s="115"/>
      <c r="BT1188" s="115"/>
      <c r="BU1188" s="26">
        <v>45278</v>
      </c>
      <c r="BV1188" s="15" t="s">
        <v>142</v>
      </c>
      <c r="BY1188" s="114"/>
    </row>
    <row r="1189" spans="6:77" ht="19.5" x14ac:dyDescent="0.4">
      <c r="AW1189" s="26"/>
      <c r="AX1189" s="15"/>
      <c r="BB1189" s="115"/>
      <c r="BC1189" s="117"/>
      <c r="BD1189" s="123"/>
      <c r="BE1189" s="123"/>
      <c r="BF1189" s="123"/>
      <c r="BG1189" s="115"/>
      <c r="BH1189" s="115"/>
      <c r="BI1189" s="115"/>
      <c r="BJ1189" s="115"/>
      <c r="BK1189" s="115"/>
      <c r="BL1189" s="115"/>
      <c r="BM1189" s="115"/>
      <c r="BN1189" s="115"/>
      <c r="BO1189" s="115"/>
      <c r="BP1189" s="115"/>
      <c r="BQ1189" s="115"/>
      <c r="BR1189" s="115"/>
      <c r="BS1189" s="115"/>
      <c r="BT1189" s="115"/>
      <c r="BU1189" s="26">
        <v>45278</v>
      </c>
      <c r="BV1189" s="15" t="s">
        <v>162</v>
      </c>
      <c r="BY1189" s="114"/>
    </row>
    <row r="1190" spans="6:77" ht="19.5" x14ac:dyDescent="0.4">
      <c r="AW1190" s="26"/>
      <c r="AX1190" s="15"/>
      <c r="BB1190" s="115"/>
      <c r="BC1190" s="117"/>
      <c r="BD1190" s="123"/>
      <c r="BE1190" s="123"/>
      <c r="BF1190" s="123"/>
      <c r="BG1190" s="115"/>
      <c r="BH1190" s="115"/>
      <c r="BI1190" s="115"/>
      <c r="BJ1190" s="115"/>
      <c r="BK1190" s="115"/>
      <c r="BL1190" s="115"/>
      <c r="BM1190" s="115"/>
      <c r="BN1190" s="115"/>
      <c r="BO1190" s="115"/>
      <c r="BP1190" s="115"/>
      <c r="BQ1190" s="115"/>
      <c r="BR1190" s="115"/>
      <c r="BS1190" s="115"/>
      <c r="BT1190" s="115"/>
      <c r="BU1190" s="26">
        <v>45278</v>
      </c>
      <c r="BV1190" s="15" t="s">
        <v>162</v>
      </c>
      <c r="BY1190" s="114"/>
    </row>
    <row r="1191" spans="6:77" ht="19.5" x14ac:dyDescent="0.4">
      <c r="AN1191" s="115"/>
      <c r="AO1191" s="115"/>
      <c r="AP1191" s="115"/>
      <c r="AQ1191" s="115"/>
      <c r="AR1191" s="115"/>
      <c r="AS1191" s="115"/>
      <c r="AT1191" s="115"/>
      <c r="AU1191" s="115"/>
      <c r="AV1191" s="115"/>
      <c r="AW1191" s="17"/>
      <c r="AX1191" s="15"/>
      <c r="BB1191" s="115"/>
      <c r="BC1191" s="117"/>
      <c r="BD1191" s="123"/>
      <c r="BE1191" s="123"/>
      <c r="BF1191" s="123"/>
      <c r="BG1191" s="115"/>
      <c r="BH1191" s="115"/>
      <c r="BI1191" s="115"/>
      <c r="BJ1191" s="115"/>
      <c r="BK1191" s="115"/>
      <c r="BL1191" s="115"/>
      <c r="BM1191" s="115"/>
      <c r="BN1191" s="115"/>
      <c r="BO1191" s="115"/>
      <c r="BP1191" s="115"/>
      <c r="BQ1191" s="115"/>
      <c r="BR1191" s="115"/>
      <c r="BS1191" s="115"/>
      <c r="BT1191" s="115"/>
      <c r="BU1191" s="26"/>
      <c r="BV1191" s="15"/>
      <c r="BY1191" s="114"/>
    </row>
    <row r="1192" spans="6:77" ht="19.5" x14ac:dyDescent="0.4">
      <c r="AL1192" s="115"/>
      <c r="AM1192" s="115"/>
      <c r="AN1192" s="115"/>
      <c r="AO1192" s="115"/>
      <c r="AP1192" s="115"/>
      <c r="AQ1192" s="115"/>
      <c r="AR1192" s="115"/>
      <c r="AS1192" s="115"/>
      <c r="AT1192" s="115"/>
      <c r="AU1192" s="115"/>
      <c r="AV1192" s="115"/>
      <c r="AW1192" s="26"/>
      <c r="AX1192" s="15"/>
      <c r="BB1192" s="115"/>
      <c r="BC1192" s="117"/>
      <c r="BD1192" s="123"/>
      <c r="BE1192" s="123"/>
      <c r="BF1192" s="123"/>
      <c r="BG1192" s="115"/>
      <c r="BH1192" s="115"/>
      <c r="BI1192" s="115"/>
      <c r="BJ1192" s="115"/>
      <c r="BK1192" s="115"/>
      <c r="BL1192" s="115"/>
      <c r="BM1192" s="115"/>
      <c r="BN1192" s="115"/>
      <c r="BO1192" s="115"/>
      <c r="BP1192" s="115"/>
      <c r="BQ1192" s="115"/>
      <c r="BR1192" s="115"/>
      <c r="BS1192" s="115"/>
      <c r="BT1192" s="115"/>
      <c r="BU1192" s="26"/>
      <c r="BV1192" s="15"/>
      <c r="BY1192" s="114"/>
    </row>
    <row r="1193" spans="6:77" ht="19.5" x14ac:dyDescent="0.4">
      <c r="F1193" s="115"/>
      <c r="G1193" s="115"/>
      <c r="H1193" s="115"/>
      <c r="I1193" s="115"/>
      <c r="J1193" s="115"/>
      <c r="K1193" s="115"/>
      <c r="L1193" s="115"/>
      <c r="M1193" s="115"/>
      <c r="N1193" s="115"/>
      <c r="O1193" s="115"/>
      <c r="P1193" s="115"/>
      <c r="Q1193" s="115"/>
      <c r="R1193" s="115"/>
      <c r="S1193" s="115"/>
      <c r="T1193" s="115"/>
      <c r="U1193" s="115"/>
      <c r="V1193" s="115"/>
      <c r="W1193" s="115"/>
      <c r="X1193" s="115"/>
      <c r="Y1193" s="115"/>
      <c r="Z1193" s="115"/>
      <c r="AA1193" s="115"/>
      <c r="AB1193" s="115"/>
      <c r="AC1193" s="115"/>
      <c r="AD1193" s="115"/>
      <c r="AE1193" s="115"/>
      <c r="AF1193" s="115"/>
      <c r="AG1193" s="115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15"/>
      <c r="AR1193" s="115"/>
      <c r="AS1193" s="115"/>
      <c r="AT1193" s="115"/>
      <c r="AU1193" s="115"/>
      <c r="AV1193" s="115"/>
      <c r="AW1193" s="26"/>
      <c r="AX1193" s="15"/>
      <c r="BB1193" s="115"/>
      <c r="BC1193" s="117"/>
      <c r="BD1193" s="123"/>
      <c r="BE1193" s="123"/>
      <c r="BF1193" s="123"/>
      <c r="BG1193" s="115"/>
      <c r="BH1193" s="115"/>
      <c r="BI1193" s="115"/>
      <c r="BJ1193" s="115"/>
      <c r="BK1193" s="115"/>
      <c r="BL1193" s="115"/>
      <c r="BM1193" s="115"/>
      <c r="BN1193" s="115"/>
      <c r="BO1193" s="115"/>
      <c r="BP1193" s="115"/>
      <c r="BQ1193" s="115"/>
      <c r="BR1193" s="115"/>
      <c r="BS1193" s="115"/>
      <c r="BT1193" s="115"/>
      <c r="BU1193" s="26"/>
      <c r="BV1193" s="15"/>
      <c r="BY1193" s="114"/>
    </row>
    <row r="1194" spans="6:77" ht="19.5" x14ac:dyDescent="0.4"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15"/>
      <c r="AU1194" s="115"/>
      <c r="AV1194" s="115"/>
      <c r="AW1194" s="17"/>
      <c r="AX1194" s="15"/>
      <c r="BB1194" s="115"/>
      <c r="BC1194" s="117"/>
      <c r="BD1194" s="123"/>
      <c r="BE1194" s="123"/>
      <c r="BF1194" s="123"/>
      <c r="BG1194" s="115"/>
      <c r="BH1194" s="115"/>
      <c r="BI1194" s="115"/>
      <c r="BJ1194" s="115"/>
      <c r="BK1194" s="115"/>
      <c r="BL1194" s="115"/>
      <c r="BM1194" s="115"/>
      <c r="BN1194" s="115"/>
      <c r="BO1194" s="115"/>
      <c r="BP1194" s="115"/>
      <c r="BQ1194" s="115"/>
      <c r="BR1194" s="115"/>
      <c r="BS1194" s="115"/>
      <c r="BT1194" s="115"/>
      <c r="BU1194" s="26"/>
      <c r="BV1194" s="15"/>
      <c r="BY1194" s="114"/>
    </row>
    <row r="1195" spans="6:77" ht="19.5" x14ac:dyDescent="0.4">
      <c r="F1195" s="115"/>
      <c r="G1195" s="115"/>
      <c r="H1195" s="115"/>
      <c r="I1195" s="115"/>
      <c r="J1195" s="115"/>
      <c r="K1195" s="115"/>
      <c r="L1195" s="115"/>
      <c r="M1195" s="115"/>
      <c r="N1195" s="115"/>
      <c r="O1195" s="115"/>
      <c r="P1195" s="115"/>
      <c r="Q1195" s="115"/>
      <c r="R1195" s="115"/>
      <c r="S1195" s="115"/>
      <c r="T1195" s="115"/>
      <c r="U1195" s="115"/>
      <c r="V1195" s="115"/>
      <c r="W1195" s="115"/>
      <c r="X1195" s="115"/>
      <c r="Y1195" s="115"/>
      <c r="Z1195" s="115"/>
      <c r="AA1195" s="115"/>
      <c r="AB1195" s="115"/>
      <c r="AC1195" s="115"/>
      <c r="AD1195" s="115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15"/>
      <c r="AS1195" s="115"/>
      <c r="AT1195" s="115"/>
      <c r="AU1195" s="115"/>
      <c r="AV1195" s="115"/>
      <c r="AW1195" s="26"/>
      <c r="AX1195" s="15"/>
      <c r="BB1195" s="115"/>
      <c r="BC1195" s="117"/>
      <c r="BD1195" s="123"/>
      <c r="BE1195" s="123"/>
      <c r="BF1195" s="123"/>
      <c r="BG1195" s="115"/>
      <c r="BH1195" s="115"/>
      <c r="BI1195" s="115"/>
      <c r="BJ1195" s="115"/>
      <c r="BK1195" s="115"/>
      <c r="BL1195" s="115"/>
      <c r="BM1195" s="115"/>
      <c r="BN1195" s="115"/>
      <c r="BO1195" s="115"/>
      <c r="BP1195" s="115"/>
      <c r="BQ1195" s="115"/>
      <c r="BR1195" s="115"/>
      <c r="BS1195" s="115"/>
      <c r="BT1195" s="115"/>
      <c r="BU1195" s="26"/>
      <c r="BV1195" s="15"/>
      <c r="BY1195" s="114"/>
    </row>
    <row r="1196" spans="6:77" ht="19.5" x14ac:dyDescent="0.4">
      <c r="AW1196" s="26"/>
      <c r="AX1196" s="15"/>
      <c r="BB1196" s="115"/>
      <c r="BC1196" s="117"/>
      <c r="BD1196" s="123"/>
      <c r="BE1196" s="123"/>
      <c r="BF1196" s="123"/>
      <c r="BG1196" s="115"/>
      <c r="BH1196" s="115"/>
      <c r="BI1196" s="115"/>
      <c r="BJ1196" s="115"/>
      <c r="BK1196" s="115"/>
      <c r="BL1196" s="115"/>
      <c r="BM1196" s="115"/>
      <c r="BN1196" s="115"/>
      <c r="BO1196" s="115"/>
      <c r="BP1196" s="115"/>
      <c r="BQ1196" s="115"/>
      <c r="BR1196" s="115"/>
      <c r="BS1196" s="115"/>
      <c r="BT1196" s="115"/>
      <c r="BU1196" s="26">
        <v>45278</v>
      </c>
      <c r="BV1196" s="15" t="s">
        <v>162</v>
      </c>
      <c r="BY1196" s="114"/>
    </row>
    <row r="1197" spans="6:77" ht="19.5" x14ac:dyDescent="0.4">
      <c r="AL1197" s="115"/>
      <c r="AM1197" s="115"/>
      <c r="AN1197" s="115"/>
      <c r="AO1197" s="115"/>
      <c r="AP1197" s="115"/>
      <c r="AQ1197" s="115"/>
      <c r="AR1197" s="115"/>
      <c r="AS1197" s="115"/>
      <c r="AT1197" s="115"/>
      <c r="AU1197" s="115"/>
      <c r="AV1197" s="115"/>
      <c r="AW1197" s="26"/>
      <c r="AX1197" s="15"/>
      <c r="BB1197" s="115"/>
      <c r="BC1197" s="117"/>
      <c r="BD1197" s="123"/>
      <c r="BE1197" s="123"/>
      <c r="BF1197" s="123"/>
      <c r="BG1197" s="115"/>
      <c r="BH1197" s="115"/>
      <c r="BI1197" s="115"/>
      <c r="BJ1197" s="115"/>
      <c r="BK1197" s="115"/>
      <c r="BL1197" s="115"/>
      <c r="BM1197" s="115"/>
      <c r="BN1197" s="115"/>
      <c r="BO1197" s="115"/>
      <c r="BP1197" s="115"/>
      <c r="BQ1197" s="115"/>
      <c r="BR1197" s="115"/>
      <c r="BS1197" s="115"/>
      <c r="BT1197" s="115"/>
      <c r="BU1197" s="26"/>
      <c r="BV1197" s="15"/>
      <c r="BY1197" s="114"/>
    </row>
    <row r="1198" spans="6:77" ht="19.5" x14ac:dyDescent="0.4">
      <c r="AW1198" s="26"/>
      <c r="AX1198" s="15"/>
      <c r="BB1198" s="115"/>
      <c r="BC1198" s="117"/>
      <c r="BD1198" s="123"/>
      <c r="BE1198" s="123"/>
      <c r="BF1198" s="123"/>
      <c r="BG1198" s="115"/>
      <c r="BH1198" s="115"/>
      <c r="BI1198" s="115"/>
      <c r="BJ1198" s="115"/>
      <c r="BK1198" s="115"/>
      <c r="BL1198" s="115"/>
      <c r="BM1198" s="115"/>
      <c r="BN1198" s="115"/>
      <c r="BO1198" s="115"/>
      <c r="BP1198" s="115"/>
      <c r="BQ1198" s="115"/>
      <c r="BR1198" s="115"/>
      <c r="BS1198" s="115"/>
      <c r="BT1198" s="115"/>
      <c r="BU1198" s="26">
        <v>45278</v>
      </c>
      <c r="BV1198" s="15" t="s">
        <v>163</v>
      </c>
      <c r="BY1198" s="114"/>
    </row>
    <row r="1199" spans="6:77" ht="19.5" x14ac:dyDescent="0.4">
      <c r="AW1199" s="26"/>
      <c r="AX1199" s="15"/>
      <c r="BB1199" s="115"/>
      <c r="BC1199" s="117"/>
      <c r="BD1199" s="123"/>
      <c r="BE1199" s="123"/>
      <c r="BF1199" s="123"/>
      <c r="BG1199" s="115"/>
      <c r="BH1199" s="115"/>
      <c r="BI1199" s="115"/>
      <c r="BJ1199" s="115"/>
      <c r="BK1199" s="115"/>
      <c r="BL1199" s="115"/>
      <c r="BM1199" s="115"/>
      <c r="BN1199" s="115"/>
      <c r="BO1199" s="115"/>
      <c r="BP1199" s="115"/>
      <c r="BQ1199" s="115"/>
      <c r="BR1199" s="115"/>
      <c r="BS1199" s="115"/>
      <c r="BT1199" s="115"/>
      <c r="BU1199" s="26">
        <v>45278</v>
      </c>
      <c r="BV1199" s="105" t="s">
        <v>163</v>
      </c>
      <c r="BY1199" s="114"/>
    </row>
    <row r="1200" spans="6:77" ht="19.5" x14ac:dyDescent="0.4">
      <c r="AW1200" s="25"/>
      <c r="AX1200" s="13"/>
      <c r="BB1200" s="115"/>
      <c r="BC1200" s="117"/>
      <c r="BD1200" s="123"/>
      <c r="BE1200" s="123"/>
      <c r="BF1200" s="123"/>
      <c r="BG1200" s="115"/>
      <c r="BH1200" s="115"/>
      <c r="BI1200" s="115"/>
      <c r="BJ1200" s="115"/>
      <c r="BK1200" s="115"/>
      <c r="BL1200" s="115"/>
      <c r="BM1200" s="115"/>
      <c r="BN1200" s="115"/>
      <c r="BO1200" s="115"/>
      <c r="BP1200" s="115"/>
      <c r="BQ1200" s="115"/>
      <c r="BR1200" s="115"/>
      <c r="BS1200" s="115"/>
      <c r="BT1200" s="115"/>
      <c r="BU1200" s="26">
        <v>45278</v>
      </c>
      <c r="BV1200" s="15" t="s">
        <v>163</v>
      </c>
      <c r="BY1200" s="114"/>
    </row>
    <row r="1201" spans="6:77" ht="19.5" x14ac:dyDescent="0.4"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115"/>
      <c r="AU1201" s="115"/>
      <c r="AV1201" s="115"/>
      <c r="AW1201" s="25"/>
      <c r="AX1201" s="13"/>
      <c r="BB1201" s="115"/>
      <c r="BC1201" s="117"/>
      <c r="BD1201" s="123"/>
      <c r="BE1201" s="123"/>
      <c r="BF1201" s="123"/>
      <c r="BG1201" s="115"/>
      <c r="BH1201" s="115"/>
      <c r="BI1201" s="115"/>
      <c r="BJ1201" s="115"/>
      <c r="BK1201" s="115"/>
      <c r="BL1201" s="115"/>
      <c r="BM1201" s="115"/>
      <c r="BN1201" s="115"/>
      <c r="BO1201" s="115"/>
      <c r="BP1201" s="115"/>
      <c r="BQ1201" s="115"/>
      <c r="BR1201" s="115"/>
      <c r="BS1201" s="115"/>
      <c r="BT1201" s="115"/>
      <c r="BU1201" s="26"/>
      <c r="BV1201" s="15"/>
      <c r="BY1201" s="114"/>
    </row>
    <row r="1202" spans="6:77" ht="19.5" x14ac:dyDescent="0.4"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115"/>
      <c r="AU1202" s="115"/>
      <c r="AV1202" s="115"/>
      <c r="AW1202" s="25"/>
      <c r="AX1202" s="13"/>
      <c r="BB1202" s="115"/>
      <c r="BC1202" s="117"/>
      <c r="BD1202" s="123"/>
      <c r="BE1202" s="123"/>
      <c r="BF1202" s="123"/>
      <c r="BG1202" s="115"/>
      <c r="BH1202" s="115"/>
      <c r="BI1202" s="115"/>
      <c r="BJ1202" s="115"/>
      <c r="BK1202" s="115"/>
      <c r="BL1202" s="115"/>
      <c r="BM1202" s="115"/>
      <c r="BN1202" s="115"/>
      <c r="BO1202" s="115"/>
      <c r="BP1202" s="115"/>
      <c r="BQ1202" s="115"/>
      <c r="BR1202" s="115"/>
      <c r="BS1202" s="115"/>
      <c r="BT1202" s="115"/>
      <c r="BU1202" s="26"/>
      <c r="BV1202" s="15"/>
      <c r="BY1202" s="114"/>
    </row>
    <row r="1203" spans="6:77" ht="19.5" x14ac:dyDescent="0.4">
      <c r="F1203" s="115"/>
      <c r="G1203" s="115"/>
      <c r="H1203" s="115"/>
      <c r="I1203" s="115"/>
      <c r="J1203" s="115"/>
      <c r="K1203" s="115"/>
      <c r="L1203" s="115"/>
      <c r="M1203" s="115"/>
      <c r="N1203" s="115"/>
      <c r="O1203" s="115"/>
      <c r="P1203" s="115"/>
      <c r="Q1203" s="115"/>
      <c r="R1203" s="115"/>
      <c r="S1203" s="115"/>
      <c r="T1203" s="115"/>
      <c r="U1203" s="115"/>
      <c r="V1203" s="115"/>
      <c r="W1203" s="115"/>
      <c r="X1203" s="115"/>
      <c r="Y1203" s="115"/>
      <c r="Z1203" s="115"/>
      <c r="AA1203" s="115"/>
      <c r="AB1203" s="115"/>
      <c r="AC1203" s="115"/>
      <c r="AD1203" s="115"/>
      <c r="AE1203" s="115"/>
      <c r="AF1203" s="115"/>
      <c r="AG1203" s="115"/>
      <c r="AH1203" s="115"/>
      <c r="AI1203" s="115"/>
      <c r="AJ1203" s="115"/>
      <c r="AK1203" s="115"/>
      <c r="AL1203" s="115"/>
      <c r="AM1203" s="115"/>
      <c r="AN1203" s="115"/>
      <c r="AO1203" s="115"/>
      <c r="AP1203" s="115"/>
      <c r="AQ1203" s="115"/>
      <c r="AR1203" s="115"/>
      <c r="AS1203" s="115"/>
      <c r="AT1203" s="115"/>
      <c r="AU1203" s="115"/>
      <c r="AV1203" s="115"/>
      <c r="AW1203" s="25"/>
      <c r="AX1203" s="13"/>
      <c r="BB1203" s="115"/>
      <c r="BC1203" s="117"/>
      <c r="BD1203" s="123"/>
      <c r="BE1203" s="123"/>
      <c r="BF1203" s="123"/>
      <c r="BG1203" s="115"/>
      <c r="BH1203" s="115"/>
      <c r="BI1203" s="115"/>
      <c r="BJ1203" s="115"/>
      <c r="BK1203" s="115"/>
      <c r="BL1203" s="115"/>
      <c r="BM1203" s="115"/>
      <c r="BN1203" s="115"/>
      <c r="BO1203" s="115"/>
      <c r="BP1203" s="115"/>
      <c r="BQ1203" s="115"/>
      <c r="BR1203" s="115"/>
      <c r="BS1203" s="115"/>
      <c r="BT1203" s="115"/>
      <c r="BU1203" s="26"/>
      <c r="BV1203" s="15"/>
      <c r="BY1203" s="114"/>
    </row>
    <row r="1204" spans="6:77" ht="19.5" x14ac:dyDescent="0.4"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115"/>
      <c r="AT1204" s="115"/>
      <c r="AU1204" s="115"/>
      <c r="AV1204" s="115"/>
      <c r="AW1204" s="25"/>
      <c r="AX1204" s="13"/>
      <c r="BB1204" s="115"/>
      <c r="BC1204" s="117"/>
      <c r="BD1204" s="123"/>
      <c r="BE1204" s="123"/>
      <c r="BF1204" s="123"/>
      <c r="BG1204" s="115"/>
      <c r="BH1204" s="115"/>
      <c r="BI1204" s="115"/>
      <c r="BJ1204" s="115"/>
      <c r="BK1204" s="115"/>
      <c r="BL1204" s="115"/>
      <c r="BM1204" s="115"/>
      <c r="BN1204" s="115"/>
      <c r="BO1204" s="115"/>
      <c r="BP1204" s="115"/>
      <c r="BQ1204" s="115"/>
      <c r="BR1204" s="115"/>
      <c r="BS1204" s="115"/>
      <c r="BT1204" s="115"/>
      <c r="BU1204" s="26"/>
      <c r="BV1204" s="15"/>
      <c r="BY1204" s="114"/>
    </row>
    <row r="1205" spans="6:77" ht="19.5" x14ac:dyDescent="0.4"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15"/>
      <c r="AF1205" s="115"/>
      <c r="AG1205" s="115"/>
      <c r="AH1205" s="115"/>
      <c r="AI1205" s="115"/>
      <c r="AJ1205" s="115"/>
      <c r="AK1205" s="115"/>
      <c r="AL1205" s="115"/>
      <c r="AM1205" s="115"/>
      <c r="AN1205" s="115"/>
      <c r="AO1205" s="115"/>
      <c r="AP1205" s="115"/>
      <c r="AQ1205" s="115"/>
      <c r="AR1205" s="115"/>
      <c r="AS1205" s="115"/>
      <c r="AT1205" s="115"/>
      <c r="AU1205" s="115"/>
      <c r="AV1205" s="115"/>
      <c r="AW1205" s="25"/>
      <c r="AX1205" s="13"/>
      <c r="BB1205" s="115"/>
      <c r="BC1205" s="117"/>
      <c r="BD1205" s="123"/>
      <c r="BE1205" s="123"/>
      <c r="BF1205" s="123"/>
      <c r="BG1205" s="115"/>
      <c r="BH1205" s="115"/>
      <c r="BI1205" s="115"/>
      <c r="BJ1205" s="115"/>
      <c r="BK1205" s="115"/>
      <c r="BL1205" s="115"/>
      <c r="BM1205" s="115"/>
      <c r="BN1205" s="115"/>
      <c r="BO1205" s="115"/>
      <c r="BP1205" s="115"/>
      <c r="BQ1205" s="115"/>
      <c r="BR1205" s="115"/>
      <c r="BS1205" s="115"/>
      <c r="BT1205" s="115"/>
      <c r="BU1205" s="26"/>
      <c r="BV1205" s="15"/>
      <c r="BY1205" s="114"/>
    </row>
    <row r="1206" spans="6:77" ht="19.5" x14ac:dyDescent="0.4">
      <c r="F1206" s="115"/>
      <c r="G1206" s="115"/>
      <c r="H1206" s="115"/>
      <c r="I1206" s="115"/>
      <c r="J1206" s="115"/>
      <c r="K1206" s="115"/>
      <c r="L1206" s="115"/>
      <c r="M1206" s="115"/>
      <c r="N1206" s="115"/>
      <c r="O1206" s="115"/>
      <c r="P1206" s="115"/>
      <c r="Q1206" s="115"/>
      <c r="R1206" s="115"/>
      <c r="S1206" s="115"/>
      <c r="T1206" s="115"/>
      <c r="U1206" s="115"/>
      <c r="V1206" s="115"/>
      <c r="W1206" s="115"/>
      <c r="X1206" s="115"/>
      <c r="Y1206" s="115"/>
      <c r="Z1206" s="115"/>
      <c r="AA1206" s="115"/>
      <c r="AB1206" s="115"/>
      <c r="AC1206" s="115"/>
      <c r="AD1206" s="115"/>
      <c r="AE1206" s="115"/>
      <c r="AF1206" s="115"/>
      <c r="AG1206" s="115"/>
      <c r="AH1206" s="115"/>
      <c r="AI1206" s="115"/>
      <c r="AJ1206" s="115"/>
      <c r="AK1206" s="115"/>
      <c r="AL1206" s="115"/>
      <c r="AM1206" s="115"/>
      <c r="AN1206" s="115"/>
      <c r="AO1206" s="115"/>
      <c r="AP1206" s="115"/>
      <c r="AQ1206" s="115"/>
      <c r="AR1206" s="115"/>
      <c r="AS1206" s="115"/>
      <c r="AT1206" s="115"/>
      <c r="AU1206" s="115"/>
      <c r="AV1206" s="115"/>
      <c r="AW1206" s="25"/>
      <c r="AX1206" s="13"/>
      <c r="BB1206" s="115"/>
      <c r="BC1206" s="117"/>
      <c r="BD1206" s="123"/>
      <c r="BE1206" s="123"/>
      <c r="BF1206" s="123"/>
      <c r="BG1206" s="115"/>
      <c r="BH1206" s="115"/>
      <c r="BI1206" s="115"/>
      <c r="BJ1206" s="115"/>
      <c r="BK1206" s="115"/>
      <c r="BL1206" s="115"/>
      <c r="BM1206" s="115"/>
      <c r="BN1206" s="115"/>
      <c r="BO1206" s="115"/>
      <c r="BP1206" s="115"/>
      <c r="BQ1206" s="115"/>
      <c r="BR1206" s="115"/>
      <c r="BS1206" s="115"/>
      <c r="BT1206" s="115"/>
      <c r="BU1206" s="26"/>
      <c r="BV1206" s="15"/>
      <c r="BY1206" s="114"/>
    </row>
    <row r="1207" spans="6:77" ht="19.5" x14ac:dyDescent="0.4">
      <c r="AW1207" s="25"/>
      <c r="AX1207" s="13"/>
      <c r="BB1207" s="115"/>
      <c r="BC1207" s="117"/>
      <c r="BD1207" s="123"/>
      <c r="BE1207" s="123"/>
      <c r="BF1207" s="123"/>
      <c r="BG1207" s="115"/>
      <c r="BH1207" s="115"/>
      <c r="BI1207" s="115"/>
      <c r="BJ1207" s="115"/>
      <c r="BK1207" s="115"/>
      <c r="BL1207" s="115"/>
      <c r="BM1207" s="115"/>
      <c r="BN1207" s="115"/>
      <c r="BO1207" s="115"/>
      <c r="BP1207" s="115"/>
      <c r="BQ1207" s="115"/>
      <c r="BR1207" s="115"/>
      <c r="BS1207" s="115"/>
      <c r="BT1207" s="115"/>
      <c r="BU1207" s="26">
        <v>45278</v>
      </c>
      <c r="BV1207" s="15" t="s">
        <v>163</v>
      </c>
      <c r="BY1207" s="114"/>
    </row>
    <row r="1208" spans="6:77" ht="19.5" x14ac:dyDescent="0.4">
      <c r="AW1208" s="25"/>
      <c r="AX1208" s="13"/>
      <c r="BB1208" s="115"/>
      <c r="BC1208" s="117"/>
      <c r="BD1208" s="123"/>
      <c r="BE1208" s="123"/>
      <c r="BF1208" s="123"/>
      <c r="BG1208" s="115"/>
      <c r="BH1208" s="115"/>
      <c r="BI1208" s="115"/>
      <c r="BJ1208" s="115"/>
      <c r="BK1208" s="115"/>
      <c r="BL1208" s="115"/>
      <c r="BM1208" s="115"/>
      <c r="BN1208" s="115"/>
      <c r="BO1208" s="115"/>
      <c r="BP1208" s="115"/>
      <c r="BQ1208" s="115"/>
      <c r="BR1208" s="115"/>
      <c r="BS1208" s="115"/>
      <c r="BT1208" s="115"/>
      <c r="BU1208" s="26"/>
      <c r="BV1208" s="15"/>
      <c r="BY1208" s="114"/>
    </row>
    <row r="1209" spans="6:77" ht="19.5" x14ac:dyDescent="0.4">
      <c r="AN1209" s="115"/>
      <c r="AO1209" s="115"/>
      <c r="AP1209" s="115"/>
      <c r="AQ1209" s="115"/>
      <c r="AR1209" s="115"/>
      <c r="AS1209" s="115"/>
      <c r="AT1209" s="115"/>
      <c r="AU1209" s="115"/>
      <c r="AV1209" s="115"/>
      <c r="AW1209" s="13"/>
      <c r="AX1209" s="13"/>
      <c r="BB1209" s="115"/>
      <c r="BC1209" s="117"/>
      <c r="BD1209" s="123"/>
      <c r="BE1209" s="123"/>
      <c r="BF1209" s="123"/>
      <c r="BG1209" s="115"/>
      <c r="BH1209" s="115"/>
      <c r="BI1209" s="115"/>
      <c r="BJ1209" s="115"/>
      <c r="BK1209" s="115"/>
      <c r="BL1209" s="115"/>
      <c r="BM1209" s="115"/>
      <c r="BN1209" s="115"/>
      <c r="BO1209" s="115"/>
      <c r="BP1209" s="115"/>
      <c r="BQ1209" s="115"/>
      <c r="BR1209" s="115"/>
      <c r="BS1209" s="115"/>
      <c r="BT1209" s="115"/>
      <c r="BU1209" s="26"/>
      <c r="BV1209" s="15"/>
      <c r="BY1209" s="114"/>
    </row>
    <row r="1210" spans="6:77" ht="19.5" x14ac:dyDescent="0.4">
      <c r="AW1210" s="25"/>
      <c r="AX1210" s="13"/>
      <c r="BB1210" s="115"/>
      <c r="BC1210" s="117"/>
      <c r="BD1210" s="123"/>
      <c r="BE1210" s="123"/>
      <c r="BF1210" s="123"/>
      <c r="BG1210" s="115"/>
      <c r="BH1210" s="115"/>
      <c r="BI1210" s="115"/>
      <c r="BJ1210" s="115"/>
      <c r="BK1210" s="115"/>
      <c r="BL1210" s="115"/>
      <c r="BM1210" s="115"/>
      <c r="BN1210" s="115"/>
      <c r="BO1210" s="115"/>
      <c r="BP1210" s="115"/>
      <c r="BQ1210" s="115"/>
      <c r="BR1210" s="115"/>
      <c r="BS1210" s="115"/>
      <c r="BT1210" s="115"/>
      <c r="BU1210" s="26">
        <v>45278</v>
      </c>
      <c r="BV1210" s="15" t="s">
        <v>163</v>
      </c>
      <c r="BY1210" s="114"/>
    </row>
    <row r="1211" spans="6:77" ht="19.5" x14ac:dyDescent="0.4">
      <c r="AN1211" s="115"/>
      <c r="AO1211" s="115"/>
      <c r="AP1211" s="115"/>
      <c r="AQ1211" s="115"/>
      <c r="AR1211" s="115"/>
      <c r="AS1211" s="115"/>
      <c r="AT1211" s="115"/>
      <c r="AU1211" s="115"/>
      <c r="AV1211" s="115"/>
      <c r="AW1211" s="13"/>
      <c r="AX1211" s="13"/>
      <c r="BB1211" s="115"/>
      <c r="BC1211" s="117"/>
      <c r="BD1211" s="123"/>
      <c r="BE1211" s="123"/>
      <c r="BF1211" s="123"/>
      <c r="BG1211" s="115"/>
      <c r="BH1211" s="115"/>
      <c r="BI1211" s="115"/>
      <c r="BJ1211" s="115"/>
      <c r="BK1211" s="115"/>
      <c r="BL1211" s="115"/>
      <c r="BM1211" s="115"/>
      <c r="BN1211" s="115"/>
      <c r="BO1211" s="115"/>
      <c r="BP1211" s="115"/>
      <c r="BQ1211" s="115"/>
      <c r="BR1211" s="115"/>
      <c r="BS1211" s="115"/>
      <c r="BT1211" s="115"/>
      <c r="BU1211" s="26"/>
      <c r="BV1211" s="13"/>
      <c r="BY1211" s="114"/>
    </row>
    <row r="1212" spans="6:77" ht="19.5" x14ac:dyDescent="0.4">
      <c r="AW1212" s="25"/>
      <c r="AX1212" s="13"/>
      <c r="BB1212" s="115"/>
      <c r="BC1212" s="117"/>
      <c r="BD1212" s="123"/>
      <c r="BE1212" s="123"/>
      <c r="BF1212" s="123"/>
      <c r="BG1212" s="115"/>
      <c r="BH1212" s="115"/>
      <c r="BI1212" s="115"/>
      <c r="BJ1212" s="115"/>
      <c r="BK1212" s="115"/>
      <c r="BL1212" s="115"/>
      <c r="BM1212" s="115"/>
      <c r="BN1212" s="115"/>
      <c r="BO1212" s="115"/>
      <c r="BP1212" s="115"/>
      <c r="BQ1212" s="115"/>
      <c r="BR1212" s="115"/>
      <c r="BS1212" s="115"/>
      <c r="BT1212" s="115" t="s">
        <v>153</v>
      </c>
      <c r="BU1212" s="17">
        <f>SUBTOTAL(3,BU1181:BU1210)</f>
        <v>12</v>
      </c>
      <c r="BV1212" s="13">
        <f>SUBTOTAL(3,BV1181:BV1210)</f>
        <v>12</v>
      </c>
      <c r="BY1212" s="114"/>
    </row>
    <row r="1213" spans="6:77" ht="19.5" x14ac:dyDescent="0.4">
      <c r="AN1213" s="115"/>
      <c r="AO1213" s="115"/>
      <c r="AP1213" s="115"/>
      <c r="AQ1213" s="115"/>
      <c r="AR1213" s="115"/>
      <c r="AS1213" s="115"/>
      <c r="AT1213" s="115"/>
      <c r="AU1213" s="115"/>
      <c r="AV1213" s="115"/>
      <c r="AW1213" s="13"/>
      <c r="AX1213" s="13"/>
      <c r="BB1213" s="115"/>
      <c r="BC1213" s="117"/>
      <c r="BD1213" s="123"/>
      <c r="BE1213" s="123"/>
      <c r="BF1213" s="123"/>
      <c r="BG1213" s="115"/>
      <c r="BH1213" s="115"/>
      <c r="BI1213" s="115"/>
      <c r="BJ1213" s="115"/>
      <c r="BK1213" s="115"/>
      <c r="BL1213" s="115"/>
      <c r="BM1213" s="115"/>
      <c r="BN1213" s="115"/>
      <c r="BO1213" s="115"/>
      <c r="BP1213" s="115"/>
      <c r="BQ1213" s="115"/>
      <c r="BR1213" s="115"/>
      <c r="BS1213" s="115"/>
      <c r="BT1213" s="115"/>
      <c r="BU1213" s="17"/>
      <c r="BV1213" s="13"/>
      <c r="BY1213" s="114"/>
    </row>
    <row r="1214" spans="6:77" ht="19.5" x14ac:dyDescent="0.4">
      <c r="AW1214" s="25"/>
      <c r="AX1214" s="13"/>
      <c r="BB1214" s="115"/>
      <c r="BC1214" s="117"/>
      <c r="BD1214" s="123"/>
      <c r="BE1214" s="123"/>
      <c r="BF1214" s="123"/>
      <c r="BG1214" s="115"/>
      <c r="BH1214" s="115"/>
      <c r="BI1214" s="115"/>
      <c r="BJ1214" s="115"/>
      <c r="BK1214" s="115"/>
      <c r="BL1214" s="115"/>
      <c r="BM1214" s="115"/>
      <c r="BN1214" s="115"/>
      <c r="BO1214" s="115"/>
      <c r="BP1214" s="115"/>
      <c r="BQ1214" s="115"/>
      <c r="BR1214" s="115"/>
      <c r="BS1214" s="115"/>
      <c r="BT1214" s="115"/>
      <c r="BU1214" s="26">
        <v>45279</v>
      </c>
      <c r="BV1214" s="25" t="s">
        <v>162</v>
      </c>
      <c r="BY1214" s="114"/>
    </row>
    <row r="1215" spans="6:77" ht="19.5" x14ac:dyDescent="0.4">
      <c r="AW1215" s="25"/>
      <c r="AX1215" s="13"/>
      <c r="BB1215" s="115"/>
      <c r="BC1215" s="117"/>
      <c r="BD1215" s="123"/>
      <c r="BE1215" s="123"/>
      <c r="BF1215" s="123"/>
      <c r="BG1215" s="115"/>
      <c r="BH1215" s="115"/>
      <c r="BI1215" s="115"/>
      <c r="BJ1215" s="115"/>
      <c r="BK1215" s="115"/>
      <c r="BL1215" s="115"/>
      <c r="BM1215" s="115"/>
      <c r="BN1215" s="115"/>
      <c r="BO1215" s="115"/>
      <c r="BP1215" s="115"/>
      <c r="BQ1215" s="115"/>
      <c r="BR1215" s="115"/>
      <c r="BS1215" s="115"/>
      <c r="BT1215" s="115"/>
      <c r="BU1215" s="26">
        <v>45279</v>
      </c>
      <c r="BV1215" s="13" t="s">
        <v>162</v>
      </c>
      <c r="BY1215" s="114"/>
    </row>
    <row r="1216" spans="6:77" ht="19.5" x14ac:dyDescent="0.4">
      <c r="AN1216" s="115"/>
      <c r="AO1216" s="115"/>
      <c r="AP1216" s="115"/>
      <c r="AQ1216" s="115"/>
      <c r="AR1216" s="115"/>
      <c r="AS1216" s="115"/>
      <c r="AT1216" s="115"/>
      <c r="AU1216" s="115"/>
      <c r="AV1216" s="115"/>
      <c r="AW1216" s="20"/>
      <c r="AX1216" s="13"/>
      <c r="BB1216" s="115"/>
      <c r="BC1216" s="117"/>
      <c r="BD1216" s="123"/>
      <c r="BE1216" s="123"/>
      <c r="BF1216" s="123"/>
      <c r="BG1216" s="115"/>
      <c r="BH1216" s="115"/>
      <c r="BI1216" s="115"/>
      <c r="BJ1216" s="115"/>
      <c r="BK1216" s="115"/>
      <c r="BL1216" s="115"/>
      <c r="BM1216" s="115"/>
      <c r="BN1216" s="115"/>
      <c r="BO1216" s="115"/>
      <c r="BP1216" s="115"/>
      <c r="BQ1216" s="115"/>
      <c r="BR1216" s="115"/>
      <c r="BS1216" s="115"/>
      <c r="BT1216" s="115"/>
      <c r="BU1216" s="26"/>
      <c r="BV1216" s="13"/>
      <c r="BY1216" s="114"/>
    </row>
    <row r="1217" spans="40:77" ht="19.5" x14ac:dyDescent="0.4">
      <c r="AN1217" s="115"/>
      <c r="AO1217" s="115"/>
      <c r="AP1217" s="115"/>
      <c r="AQ1217" s="115"/>
      <c r="AR1217" s="115"/>
      <c r="AS1217" s="115"/>
      <c r="AT1217" s="115"/>
      <c r="AU1217" s="115"/>
      <c r="AV1217" s="115"/>
      <c r="AW1217" s="20"/>
      <c r="AX1217" s="13"/>
      <c r="BB1217" s="115"/>
      <c r="BC1217" s="117"/>
      <c r="BD1217" s="123"/>
      <c r="BE1217" s="123"/>
      <c r="BF1217" s="123"/>
      <c r="BG1217" s="115"/>
      <c r="BH1217" s="115"/>
      <c r="BI1217" s="115"/>
      <c r="BJ1217" s="115"/>
      <c r="BK1217" s="115"/>
      <c r="BL1217" s="115"/>
      <c r="BM1217" s="115"/>
      <c r="BN1217" s="115"/>
      <c r="BO1217" s="115"/>
      <c r="BP1217" s="115"/>
      <c r="BQ1217" s="115"/>
      <c r="BR1217" s="115"/>
      <c r="BS1217" s="115"/>
      <c r="BT1217" s="115"/>
      <c r="BU1217" s="26"/>
      <c r="BV1217" s="13"/>
      <c r="BY1217" s="114"/>
    </row>
    <row r="1218" spans="40:77" ht="19.5" x14ac:dyDescent="0.4">
      <c r="AW1218" s="26"/>
      <c r="AX1218" s="13"/>
      <c r="BB1218" s="115"/>
      <c r="BC1218" s="117"/>
      <c r="BD1218" s="123"/>
      <c r="BE1218" s="123"/>
      <c r="BF1218" s="123"/>
      <c r="BG1218" s="115"/>
      <c r="BH1218" s="115"/>
      <c r="BI1218" s="115"/>
      <c r="BJ1218" s="115"/>
      <c r="BK1218" s="115"/>
      <c r="BL1218" s="115"/>
      <c r="BM1218" s="115"/>
      <c r="BN1218" s="115"/>
      <c r="BO1218" s="115"/>
      <c r="BP1218" s="115"/>
      <c r="BQ1218" s="115"/>
      <c r="BR1218" s="115"/>
      <c r="BS1218" s="115"/>
      <c r="BT1218" s="115"/>
      <c r="BU1218" s="26">
        <v>45279</v>
      </c>
      <c r="BV1218" s="13" t="s">
        <v>162</v>
      </c>
      <c r="BY1218" s="114"/>
    </row>
    <row r="1219" spans="40:77" ht="19.5" x14ac:dyDescent="0.4">
      <c r="AW1219" s="26"/>
      <c r="AX1219" s="13"/>
      <c r="BB1219" s="115"/>
      <c r="BC1219" s="117"/>
      <c r="BD1219" s="123"/>
      <c r="BE1219" s="123"/>
      <c r="BF1219" s="123"/>
      <c r="BG1219" s="115"/>
      <c r="BH1219" s="115"/>
      <c r="BI1219" s="115"/>
      <c r="BJ1219" s="115"/>
      <c r="BK1219" s="115"/>
      <c r="BL1219" s="115"/>
      <c r="BM1219" s="115"/>
      <c r="BN1219" s="115"/>
      <c r="BO1219" s="115"/>
      <c r="BP1219" s="115"/>
      <c r="BQ1219" s="115"/>
      <c r="BR1219" s="115"/>
      <c r="BS1219" s="115"/>
      <c r="BT1219" s="115"/>
      <c r="BU1219" s="26">
        <v>45279</v>
      </c>
      <c r="BV1219" s="13" t="s">
        <v>162</v>
      </c>
      <c r="BY1219" s="114"/>
    </row>
    <row r="1220" spans="40:77" ht="19.5" x14ac:dyDescent="0.4">
      <c r="AW1220" s="129"/>
      <c r="AX1220" s="13"/>
      <c r="BB1220" s="115"/>
      <c r="BC1220" s="117"/>
      <c r="BD1220" s="123"/>
      <c r="BE1220" s="123"/>
      <c r="BF1220" s="123"/>
      <c r="BG1220" s="115"/>
      <c r="BH1220" s="115"/>
      <c r="BI1220" s="115"/>
      <c r="BJ1220" s="115"/>
      <c r="BK1220" s="115"/>
      <c r="BL1220" s="115"/>
      <c r="BM1220" s="115"/>
      <c r="BN1220" s="115"/>
      <c r="BO1220" s="115"/>
      <c r="BP1220" s="115"/>
      <c r="BQ1220" s="115"/>
      <c r="BR1220" s="115"/>
      <c r="BS1220" s="115"/>
      <c r="BT1220" s="115"/>
      <c r="BU1220" s="26"/>
      <c r="BV1220" s="13"/>
      <c r="BY1220" s="114"/>
    </row>
    <row r="1221" spans="40:77" ht="19.5" x14ac:dyDescent="0.4">
      <c r="AW1221" s="26"/>
      <c r="AX1221" s="13"/>
      <c r="BB1221" s="115"/>
      <c r="BC1221" s="117"/>
      <c r="BD1221" s="123"/>
      <c r="BE1221" s="123"/>
      <c r="BF1221" s="123"/>
      <c r="BG1221" s="115"/>
      <c r="BH1221" s="115"/>
      <c r="BI1221" s="115"/>
      <c r="BJ1221" s="115"/>
      <c r="BK1221" s="115"/>
      <c r="BL1221" s="115"/>
      <c r="BM1221" s="115"/>
      <c r="BN1221" s="115"/>
      <c r="BO1221" s="115"/>
      <c r="BP1221" s="115"/>
      <c r="BQ1221" s="115"/>
      <c r="BR1221" s="115"/>
      <c r="BS1221" s="115"/>
      <c r="BT1221" s="115"/>
      <c r="BU1221" s="26">
        <v>45279</v>
      </c>
      <c r="BV1221" s="13" t="s">
        <v>162</v>
      </c>
      <c r="BY1221" s="114"/>
    </row>
    <row r="1222" spans="40:77" ht="19.5" x14ac:dyDescent="0.4">
      <c r="AW1222" s="26"/>
      <c r="AX1222" s="13"/>
      <c r="BB1222" s="115"/>
      <c r="BC1222" s="117"/>
      <c r="BD1222" s="123"/>
      <c r="BE1222" s="123"/>
      <c r="BF1222" s="123"/>
      <c r="BG1222" s="115"/>
      <c r="BH1222" s="115"/>
      <c r="BI1222" s="115"/>
      <c r="BJ1222" s="115"/>
      <c r="BK1222" s="115"/>
      <c r="BL1222" s="115"/>
      <c r="BM1222" s="115"/>
      <c r="BN1222" s="115"/>
      <c r="BO1222" s="115"/>
      <c r="BP1222" s="115"/>
      <c r="BQ1222" s="115"/>
      <c r="BR1222" s="115"/>
      <c r="BS1222" s="115"/>
      <c r="BT1222" s="115"/>
      <c r="BU1222" s="26">
        <v>45279</v>
      </c>
      <c r="BV1222" s="13" t="s">
        <v>162</v>
      </c>
      <c r="BY1222" s="114"/>
    </row>
    <row r="1223" spans="40:77" ht="19.5" x14ac:dyDescent="0.4">
      <c r="AW1223" s="26"/>
      <c r="AX1223" s="13"/>
      <c r="BB1223" s="115"/>
      <c r="BC1223" s="117"/>
      <c r="BD1223" s="123"/>
      <c r="BE1223" s="123"/>
      <c r="BF1223" s="123"/>
      <c r="BG1223" s="115"/>
      <c r="BH1223" s="115"/>
      <c r="BI1223" s="115"/>
      <c r="BJ1223" s="115"/>
      <c r="BK1223" s="115"/>
      <c r="BL1223" s="115"/>
      <c r="BM1223" s="115"/>
      <c r="BN1223" s="115"/>
      <c r="BO1223" s="115"/>
      <c r="BP1223" s="115"/>
      <c r="BQ1223" s="115"/>
      <c r="BR1223" s="115"/>
      <c r="BS1223" s="115"/>
      <c r="BT1223" s="115" t="s">
        <v>170</v>
      </c>
      <c r="BU1223" s="17">
        <f>SUBTOTAL(3,BU1214:BU1222)</f>
        <v>6</v>
      </c>
      <c r="BV1223" s="13">
        <f>SUBTOTAL(3,BV1214:BV1222)</f>
        <v>6</v>
      </c>
      <c r="BY1223" s="114"/>
    </row>
    <row r="1224" spans="40:77" ht="19.5" x14ac:dyDescent="0.4">
      <c r="AW1224" s="129"/>
      <c r="AX1224" s="13"/>
      <c r="BB1224" s="115"/>
      <c r="BC1224" s="117"/>
      <c r="BD1224" s="123"/>
      <c r="BE1224" s="123"/>
      <c r="BF1224" s="123"/>
      <c r="BG1224" s="115"/>
      <c r="BH1224" s="115"/>
      <c r="BI1224" s="115"/>
      <c r="BJ1224" s="115"/>
      <c r="BK1224" s="115"/>
      <c r="BL1224" s="115"/>
      <c r="BM1224" s="115"/>
      <c r="BN1224" s="115"/>
      <c r="BO1224" s="115"/>
      <c r="BP1224" s="115"/>
      <c r="BQ1224" s="115"/>
      <c r="BR1224" s="115"/>
      <c r="BS1224" s="115"/>
      <c r="BT1224" s="115"/>
      <c r="BU1224" s="17"/>
      <c r="BV1224" s="13"/>
      <c r="BY1224" s="114"/>
    </row>
    <row r="1225" spans="40:77" ht="19.5" x14ac:dyDescent="0.4">
      <c r="AW1225" s="26"/>
      <c r="AX1225" s="13"/>
      <c r="BB1225" s="115"/>
      <c r="BC1225" s="117"/>
      <c r="BD1225" s="123"/>
      <c r="BE1225" s="123"/>
      <c r="BF1225" s="123"/>
      <c r="BG1225" s="115"/>
      <c r="BH1225" s="115"/>
      <c r="BI1225" s="115"/>
      <c r="BJ1225" s="115"/>
      <c r="BK1225" s="115"/>
      <c r="BL1225" s="115"/>
      <c r="BM1225" s="115"/>
      <c r="BN1225" s="115"/>
      <c r="BO1225" s="115"/>
      <c r="BP1225" s="115"/>
      <c r="BQ1225" s="115"/>
      <c r="BR1225" s="115"/>
      <c r="BS1225" s="115"/>
      <c r="BT1225" s="115"/>
      <c r="BU1225" s="26">
        <v>45280</v>
      </c>
      <c r="BV1225" s="13" t="s">
        <v>162</v>
      </c>
      <c r="BY1225" s="114"/>
    </row>
    <row r="1226" spans="40:77" ht="19.5" x14ac:dyDescent="0.4">
      <c r="AW1226" s="26"/>
      <c r="AX1226" s="13"/>
      <c r="BB1226" s="115"/>
      <c r="BC1226" s="116"/>
      <c r="BD1226" s="123"/>
      <c r="BE1226" s="123"/>
      <c r="BF1226" s="123"/>
      <c r="BG1226" s="115"/>
      <c r="BH1226" s="115"/>
      <c r="BI1226" s="115"/>
      <c r="BJ1226" s="115"/>
      <c r="BK1226" s="115"/>
      <c r="BL1226" s="115"/>
      <c r="BM1226" s="115"/>
      <c r="BN1226" s="115"/>
      <c r="BO1226" s="115"/>
      <c r="BP1226" s="115"/>
      <c r="BQ1226" s="115"/>
      <c r="BR1226" s="115"/>
      <c r="BS1226" s="115"/>
      <c r="BT1226" s="115"/>
      <c r="BU1226" s="26">
        <v>45280</v>
      </c>
      <c r="BV1226" s="13" t="s">
        <v>162</v>
      </c>
      <c r="BY1226" s="114"/>
    </row>
    <row r="1227" spans="40:77" ht="19.5" x14ac:dyDescent="0.4">
      <c r="AW1227" s="26"/>
      <c r="AX1227" s="13"/>
      <c r="BB1227" s="115"/>
      <c r="BC1227" s="116"/>
      <c r="BD1227" s="123"/>
      <c r="BE1227" s="123"/>
      <c r="BF1227" s="123"/>
      <c r="BG1227" s="115"/>
      <c r="BH1227" s="115"/>
      <c r="BI1227" s="115"/>
      <c r="BJ1227" s="115"/>
      <c r="BK1227" s="115"/>
      <c r="BL1227" s="115"/>
      <c r="BM1227" s="115"/>
      <c r="BN1227" s="115"/>
      <c r="BO1227" s="115"/>
      <c r="BP1227" s="115"/>
      <c r="BQ1227" s="115"/>
      <c r="BR1227" s="115"/>
      <c r="BS1227" s="115"/>
      <c r="BT1227" s="115"/>
      <c r="BU1227" s="26">
        <v>45280</v>
      </c>
      <c r="BV1227" s="13" t="s">
        <v>162</v>
      </c>
      <c r="BY1227" s="114"/>
    </row>
    <row r="1228" spans="40:77" ht="19.5" x14ac:dyDescent="0.4">
      <c r="AW1228" s="26"/>
      <c r="AX1228" s="13"/>
      <c r="BB1228" s="115"/>
      <c r="BC1228" s="116"/>
      <c r="BD1228" s="123"/>
      <c r="BE1228" s="123"/>
      <c r="BF1228" s="123"/>
      <c r="BG1228" s="115"/>
      <c r="BH1228" s="115"/>
      <c r="BI1228" s="115"/>
      <c r="BJ1228" s="115"/>
      <c r="BK1228" s="115"/>
      <c r="BL1228" s="115"/>
      <c r="BM1228" s="115"/>
      <c r="BN1228" s="115"/>
      <c r="BO1228" s="115"/>
      <c r="BP1228" s="115"/>
      <c r="BQ1228" s="115"/>
      <c r="BR1228" s="115"/>
      <c r="BS1228" s="115"/>
      <c r="BT1228" s="115"/>
      <c r="BU1228" s="26">
        <v>45280</v>
      </c>
      <c r="BV1228" s="13" t="s">
        <v>162</v>
      </c>
      <c r="BY1228" s="114"/>
    </row>
    <row r="1229" spans="40:77" ht="19.5" x14ac:dyDescent="0.4">
      <c r="AW1229" s="129"/>
      <c r="AX1229" s="13"/>
      <c r="BB1229" s="115"/>
      <c r="BC1229" s="116"/>
      <c r="BD1229" s="123"/>
      <c r="BE1229" s="123"/>
      <c r="BF1229" s="123"/>
      <c r="BG1229" s="115"/>
      <c r="BH1229" s="115"/>
      <c r="BI1229" s="115"/>
      <c r="BJ1229" s="115"/>
      <c r="BK1229" s="115"/>
      <c r="BL1229" s="115"/>
      <c r="BM1229" s="115"/>
      <c r="BN1229" s="115"/>
      <c r="BO1229" s="115"/>
      <c r="BP1229" s="115"/>
      <c r="BQ1229" s="115"/>
      <c r="BR1229" s="115"/>
      <c r="BS1229" s="115"/>
      <c r="BT1229" s="115"/>
      <c r="BU1229" s="26"/>
      <c r="BV1229" s="13"/>
      <c r="BY1229" s="114"/>
    </row>
    <row r="1230" spans="40:77" ht="19.5" x14ac:dyDescent="0.4">
      <c r="AW1230" s="26"/>
      <c r="AX1230" s="13"/>
      <c r="BB1230" s="115"/>
      <c r="BC1230" s="116"/>
      <c r="BD1230" s="123"/>
      <c r="BE1230" s="123"/>
      <c r="BF1230" s="123"/>
      <c r="BG1230" s="115"/>
      <c r="BH1230" s="115"/>
      <c r="BI1230" s="115"/>
      <c r="BJ1230" s="115"/>
      <c r="BK1230" s="115"/>
      <c r="BL1230" s="115"/>
      <c r="BM1230" s="115"/>
      <c r="BN1230" s="115"/>
      <c r="BO1230" s="115"/>
      <c r="BP1230" s="115"/>
      <c r="BQ1230" s="115"/>
      <c r="BR1230" s="115"/>
      <c r="BS1230" s="115"/>
      <c r="BT1230" s="115"/>
      <c r="BU1230" s="26">
        <v>45280</v>
      </c>
      <c r="BV1230" s="13" t="s">
        <v>162</v>
      </c>
      <c r="BY1230" s="114"/>
    </row>
    <row r="1231" spans="40:77" ht="19.5" x14ac:dyDescent="0.4">
      <c r="AW1231" s="130"/>
      <c r="AX1231" s="119"/>
      <c r="BB1231" s="115"/>
      <c r="BC1231" s="116"/>
      <c r="BD1231" s="123"/>
      <c r="BE1231" s="123"/>
      <c r="BF1231" s="123"/>
      <c r="BG1231" s="115"/>
      <c r="BH1231" s="115"/>
      <c r="BI1231" s="115"/>
      <c r="BJ1231" s="115"/>
      <c r="BK1231" s="115"/>
      <c r="BL1231" s="115"/>
      <c r="BM1231" s="115"/>
      <c r="BN1231" s="115"/>
      <c r="BO1231" s="115"/>
      <c r="BP1231" s="115"/>
      <c r="BQ1231" s="115"/>
      <c r="BR1231" s="115"/>
      <c r="BS1231" s="115"/>
      <c r="BT1231" s="115"/>
      <c r="BU1231" s="26"/>
      <c r="BV1231" s="13"/>
      <c r="BY1231" s="114"/>
    </row>
    <row r="1232" spans="40:77" ht="19.5" x14ac:dyDescent="0.4">
      <c r="AW1232" s="130"/>
      <c r="AX1232" s="119"/>
      <c r="BB1232" s="115"/>
      <c r="BC1232" s="116"/>
      <c r="BD1232" s="123"/>
      <c r="BE1232" s="123"/>
      <c r="BF1232" s="123"/>
      <c r="BG1232" s="115"/>
      <c r="BH1232" s="115"/>
      <c r="BI1232" s="115"/>
      <c r="BJ1232" s="115"/>
      <c r="BK1232" s="115"/>
      <c r="BL1232" s="115"/>
      <c r="BM1232" s="115"/>
      <c r="BN1232" s="115"/>
      <c r="BO1232" s="115"/>
      <c r="BP1232" s="115"/>
      <c r="BQ1232" s="115"/>
      <c r="BR1232" s="115"/>
      <c r="BS1232" s="115"/>
      <c r="BT1232" s="115"/>
      <c r="BU1232" s="26"/>
      <c r="BV1232" s="13"/>
      <c r="BY1232" s="114"/>
    </row>
    <row r="1233" spans="51:77" ht="19.5" x14ac:dyDescent="0.4">
      <c r="BB1233" s="115"/>
      <c r="BC1233" s="116"/>
      <c r="BD1233" s="123"/>
      <c r="BE1233" s="123"/>
      <c r="BF1233" s="123"/>
      <c r="BG1233" s="115"/>
      <c r="BH1233" s="115"/>
      <c r="BI1233" s="115"/>
      <c r="BJ1233" s="115"/>
      <c r="BK1233" s="115"/>
      <c r="BL1233" s="115"/>
      <c r="BM1233" s="115"/>
      <c r="BN1233" s="115"/>
      <c r="BO1233" s="115"/>
      <c r="BP1233" s="115"/>
      <c r="BQ1233" s="115"/>
      <c r="BR1233" s="115"/>
      <c r="BS1233" s="115"/>
      <c r="BT1233" s="115"/>
      <c r="BU1233" s="26">
        <v>45280</v>
      </c>
      <c r="BV1233" s="13" t="s">
        <v>162</v>
      </c>
      <c r="BY1233" s="114"/>
    </row>
    <row r="1234" spans="51:77" ht="19.5" x14ac:dyDescent="0.4">
      <c r="BB1234" s="115"/>
      <c r="BC1234" s="116"/>
      <c r="BD1234" s="123"/>
      <c r="BE1234" s="123"/>
      <c r="BF1234" s="123"/>
      <c r="BG1234" s="115"/>
      <c r="BH1234" s="115"/>
      <c r="BI1234" s="115"/>
      <c r="BJ1234" s="115"/>
      <c r="BK1234" s="115"/>
      <c r="BL1234" s="115"/>
      <c r="BM1234" s="115"/>
      <c r="BN1234" s="115"/>
      <c r="BO1234" s="115"/>
      <c r="BP1234" s="115"/>
      <c r="BQ1234" s="115"/>
      <c r="BR1234" s="115"/>
      <c r="BS1234" s="115"/>
      <c r="BT1234" s="115"/>
      <c r="BU1234" s="26">
        <v>45280</v>
      </c>
      <c r="BV1234" s="13" t="s">
        <v>162</v>
      </c>
      <c r="BY1234" s="114"/>
    </row>
    <row r="1235" spans="51:77" ht="19.5" x14ac:dyDescent="0.4">
      <c r="BB1235" s="115"/>
      <c r="BC1235" s="116"/>
      <c r="BD1235" s="123"/>
      <c r="BE1235" s="123"/>
      <c r="BF1235" s="123"/>
      <c r="BG1235" s="115"/>
      <c r="BH1235" s="115"/>
      <c r="BI1235" s="115"/>
      <c r="BJ1235" s="115"/>
      <c r="BK1235" s="115"/>
      <c r="BL1235" s="115"/>
      <c r="BM1235" s="115"/>
      <c r="BN1235" s="115"/>
      <c r="BO1235" s="115"/>
      <c r="BP1235" s="115"/>
      <c r="BQ1235" s="115"/>
      <c r="BR1235" s="115"/>
      <c r="BS1235" s="115"/>
      <c r="BT1235" s="115"/>
      <c r="BU1235" s="26">
        <v>45280</v>
      </c>
      <c r="BV1235" s="13" t="s">
        <v>162</v>
      </c>
      <c r="BY1235" s="114"/>
    </row>
    <row r="1236" spans="51:77" ht="19.5" x14ac:dyDescent="0.4">
      <c r="BA1236" s="115"/>
      <c r="BB1236" s="115"/>
      <c r="BC1236" s="116"/>
      <c r="BD1236" s="123"/>
      <c r="BE1236" s="123"/>
      <c r="BF1236" s="123"/>
      <c r="BG1236" s="115"/>
      <c r="BH1236" s="115"/>
      <c r="BI1236" s="115"/>
      <c r="BJ1236" s="115"/>
      <c r="BK1236" s="115"/>
      <c r="BL1236" s="115"/>
      <c r="BM1236" s="115"/>
      <c r="BN1236" s="115"/>
      <c r="BO1236" s="115"/>
      <c r="BP1236" s="115"/>
      <c r="BQ1236" s="115"/>
      <c r="BR1236" s="115"/>
      <c r="BS1236" s="115"/>
      <c r="BT1236" s="115"/>
      <c r="BU1236" s="26">
        <v>45280</v>
      </c>
      <c r="BV1236" s="13" t="s">
        <v>162</v>
      </c>
      <c r="BY1236" s="114"/>
    </row>
    <row r="1237" spans="51:77" ht="19.5" x14ac:dyDescent="0.4">
      <c r="BA1237" s="115"/>
      <c r="BB1237" s="115"/>
      <c r="BC1237" s="116"/>
      <c r="BD1237" s="123"/>
      <c r="BE1237" s="123"/>
      <c r="BF1237" s="123"/>
      <c r="BG1237" s="115"/>
      <c r="BH1237" s="115"/>
      <c r="BI1237" s="115"/>
      <c r="BJ1237" s="115"/>
      <c r="BK1237" s="115"/>
      <c r="BL1237" s="115"/>
      <c r="BM1237" s="115"/>
      <c r="BN1237" s="115"/>
      <c r="BO1237" s="115"/>
      <c r="BP1237" s="115"/>
      <c r="BQ1237" s="115"/>
      <c r="BR1237" s="115"/>
      <c r="BS1237" s="115"/>
      <c r="BT1237" s="115"/>
      <c r="BU1237" s="26">
        <v>45280</v>
      </c>
      <c r="BV1237" s="13" t="s">
        <v>162</v>
      </c>
      <c r="BY1237" s="114"/>
    </row>
    <row r="1238" spans="51:77" ht="19.5" x14ac:dyDescent="0.4">
      <c r="AY1238" s="115"/>
      <c r="AZ1238" s="115"/>
      <c r="BA1238" s="115"/>
      <c r="BB1238" s="115"/>
      <c r="BC1238" s="116"/>
      <c r="BD1238" s="123"/>
      <c r="BE1238" s="123"/>
      <c r="BF1238" s="123"/>
      <c r="BG1238" s="115"/>
      <c r="BH1238" s="115"/>
      <c r="BI1238" s="115"/>
      <c r="BJ1238" s="115"/>
      <c r="BK1238" s="115"/>
      <c r="BL1238" s="115"/>
      <c r="BM1238" s="115"/>
      <c r="BN1238" s="115"/>
      <c r="BO1238" s="115"/>
      <c r="BP1238" s="115"/>
      <c r="BQ1238" s="115"/>
      <c r="BR1238" s="115"/>
      <c r="BS1238" s="115"/>
      <c r="BT1238" s="115"/>
      <c r="BU1238" s="26">
        <v>45280</v>
      </c>
      <c r="BV1238" s="13" t="s">
        <v>162</v>
      </c>
      <c r="BY1238" s="114"/>
    </row>
    <row r="1239" spans="51:77" x14ac:dyDescent="0.4">
      <c r="AY1239" s="115"/>
      <c r="AZ1239" s="115"/>
      <c r="BA1239" s="115"/>
      <c r="BB1239" s="115"/>
      <c r="BC1239" s="115"/>
      <c r="BD1239" s="122"/>
      <c r="BE1239" s="122"/>
      <c r="BF1239" s="122"/>
      <c r="BG1239" s="115"/>
      <c r="BH1239" s="115"/>
      <c r="BI1239" s="115"/>
      <c r="BJ1239" s="115"/>
      <c r="BK1239" s="115"/>
      <c r="BL1239" s="115"/>
      <c r="BM1239" s="115"/>
      <c r="BN1239" s="115"/>
      <c r="BO1239" s="115"/>
      <c r="BP1239" s="115"/>
      <c r="BQ1239" s="115"/>
      <c r="BR1239" s="115"/>
      <c r="BS1239" s="115"/>
      <c r="BT1239" s="115"/>
      <c r="BU1239" s="26">
        <v>45280</v>
      </c>
      <c r="BV1239" s="13" t="s">
        <v>162</v>
      </c>
      <c r="BY1239" s="114"/>
    </row>
    <row r="1240" spans="51:77" x14ac:dyDescent="0.4">
      <c r="AY1240" s="115"/>
      <c r="AZ1240" s="115"/>
      <c r="BA1240" s="115"/>
      <c r="BB1240" s="115"/>
      <c r="BC1240" s="115"/>
      <c r="BD1240" s="122"/>
      <c r="BE1240" s="122"/>
      <c r="BF1240" s="122"/>
      <c r="BG1240" s="115"/>
      <c r="BH1240" s="115"/>
      <c r="BI1240" s="115"/>
      <c r="BJ1240" s="115"/>
      <c r="BK1240" s="115"/>
      <c r="BL1240" s="115"/>
      <c r="BM1240" s="115"/>
      <c r="BN1240" s="115"/>
      <c r="BO1240" s="115"/>
      <c r="BP1240" s="115"/>
      <c r="BQ1240" s="115"/>
      <c r="BR1240" s="115"/>
      <c r="BS1240" s="115"/>
      <c r="BT1240" s="115"/>
      <c r="BU1240" s="26">
        <v>45280</v>
      </c>
      <c r="BV1240" s="13" t="s">
        <v>162</v>
      </c>
      <c r="BY1240" s="114"/>
    </row>
    <row r="1241" spans="51:77" x14ac:dyDescent="0.4">
      <c r="AY1241" s="115"/>
      <c r="AZ1241" s="115"/>
      <c r="BA1241" s="115"/>
      <c r="BB1241" s="115"/>
      <c r="BC1241" s="115"/>
      <c r="BD1241" s="122"/>
      <c r="BE1241" s="122"/>
      <c r="BF1241" s="122"/>
      <c r="BG1241" s="115"/>
      <c r="BH1241" s="115"/>
      <c r="BI1241" s="115"/>
      <c r="BJ1241" s="115"/>
      <c r="BK1241" s="115"/>
      <c r="BL1241" s="115"/>
      <c r="BM1241" s="115"/>
      <c r="BN1241" s="115"/>
      <c r="BO1241" s="115"/>
      <c r="BP1241" s="115"/>
      <c r="BQ1241" s="115"/>
      <c r="BR1241" s="115"/>
      <c r="BS1241" s="115"/>
      <c r="BT1241" s="115" t="s">
        <v>171</v>
      </c>
      <c r="BU1241" s="17">
        <f>SUBTOTAL(3,BU1225:BU1240)</f>
        <v>13</v>
      </c>
      <c r="BV1241" s="13">
        <f>SUBTOTAL(3,BV1225:BV1240)</f>
        <v>13</v>
      </c>
      <c r="BY1241" s="114"/>
    </row>
    <row r="1242" spans="51:77" x14ac:dyDescent="0.4">
      <c r="AY1242" s="115"/>
      <c r="AZ1242" s="115"/>
      <c r="BA1242" s="115"/>
      <c r="BB1242" s="115"/>
      <c r="BC1242" s="115"/>
      <c r="BD1242" s="122"/>
      <c r="BE1242" s="122"/>
      <c r="BF1242" s="122"/>
      <c r="BG1242" s="115"/>
      <c r="BH1242" s="115"/>
      <c r="BI1242" s="115"/>
      <c r="BJ1242" s="115"/>
      <c r="BK1242" s="115"/>
      <c r="BL1242" s="115"/>
      <c r="BM1242" s="115"/>
      <c r="BN1242" s="115"/>
      <c r="BO1242" s="115"/>
      <c r="BP1242" s="115"/>
      <c r="BQ1242" s="115"/>
      <c r="BR1242" s="115"/>
      <c r="BS1242" s="115"/>
      <c r="BT1242" s="115"/>
      <c r="BU1242" s="26">
        <v>45283</v>
      </c>
      <c r="BV1242" s="13" t="s">
        <v>162</v>
      </c>
      <c r="BY1242" s="114"/>
    </row>
    <row r="1243" spans="51:77" x14ac:dyDescent="0.4">
      <c r="AY1243" s="115"/>
      <c r="AZ1243" s="115"/>
      <c r="BA1243" s="115"/>
      <c r="BB1243" s="115"/>
      <c r="BC1243" s="115"/>
      <c r="BD1243" s="122"/>
      <c r="BE1243" s="122"/>
      <c r="BF1243" s="122"/>
      <c r="BG1243" s="115"/>
      <c r="BH1243" s="115"/>
      <c r="BI1243" s="115"/>
      <c r="BJ1243" s="115"/>
      <c r="BK1243" s="115"/>
      <c r="BL1243" s="115"/>
      <c r="BM1243" s="115"/>
      <c r="BN1243" s="115"/>
      <c r="BO1243" s="115"/>
      <c r="BP1243" s="115"/>
      <c r="BQ1243" s="115"/>
      <c r="BR1243" s="115"/>
      <c r="BS1243" s="115"/>
      <c r="BT1243" s="115"/>
      <c r="BU1243" s="26">
        <v>45283</v>
      </c>
      <c r="BV1243" s="13" t="s">
        <v>162</v>
      </c>
      <c r="BY1243" s="114"/>
    </row>
    <row r="1244" spans="51:77" x14ac:dyDescent="0.4">
      <c r="AY1244" s="115"/>
      <c r="AZ1244" s="115"/>
      <c r="BA1244" s="115"/>
      <c r="BB1244" s="115"/>
      <c r="BC1244" s="115"/>
      <c r="BD1244" s="122"/>
      <c r="BE1244" s="122"/>
      <c r="BF1244" s="122"/>
      <c r="BG1244" s="115"/>
      <c r="BH1244" s="115"/>
      <c r="BI1244" s="115"/>
      <c r="BJ1244" s="115"/>
      <c r="BK1244" s="115"/>
      <c r="BL1244" s="115"/>
      <c r="BM1244" s="115"/>
      <c r="BN1244" s="115"/>
      <c r="BO1244" s="115"/>
      <c r="BP1244" s="115"/>
      <c r="BQ1244" s="115"/>
      <c r="BR1244" s="115"/>
      <c r="BS1244" s="115"/>
      <c r="BT1244" s="115"/>
      <c r="BU1244" s="26">
        <v>45283</v>
      </c>
      <c r="BV1244" s="13" t="s">
        <v>162</v>
      </c>
      <c r="BY1244" s="114"/>
    </row>
    <row r="1245" spans="51:77" x14ac:dyDescent="0.4">
      <c r="AY1245" s="115"/>
      <c r="AZ1245" s="115"/>
      <c r="BA1245" s="115"/>
      <c r="BB1245" s="115"/>
      <c r="BC1245" s="115"/>
      <c r="BD1245" s="122"/>
      <c r="BE1245" s="122"/>
      <c r="BF1245" s="122"/>
      <c r="BG1245" s="115"/>
      <c r="BH1245" s="115"/>
      <c r="BI1245" s="115"/>
      <c r="BJ1245" s="115"/>
      <c r="BK1245" s="115"/>
      <c r="BL1245" s="115"/>
      <c r="BM1245" s="115"/>
      <c r="BN1245" s="115"/>
      <c r="BO1245" s="115"/>
      <c r="BP1245" s="115"/>
      <c r="BQ1245" s="115"/>
      <c r="BR1245" s="115"/>
      <c r="BS1245" s="115"/>
      <c r="BT1245" s="115"/>
      <c r="BU1245" s="26">
        <v>45283</v>
      </c>
      <c r="BV1245" s="13" t="s">
        <v>162</v>
      </c>
      <c r="BY1245" s="114"/>
    </row>
    <row r="1246" spans="51:77" x14ac:dyDescent="0.4">
      <c r="AY1246" s="115"/>
      <c r="AZ1246" s="115"/>
      <c r="BA1246" s="115"/>
      <c r="BB1246" s="115"/>
      <c r="BC1246" s="115"/>
      <c r="BD1246" s="122"/>
      <c r="BE1246" s="122"/>
      <c r="BF1246" s="122"/>
      <c r="BG1246" s="115"/>
      <c r="BH1246" s="115"/>
      <c r="BI1246" s="115"/>
      <c r="BJ1246" s="115"/>
      <c r="BK1246" s="115"/>
      <c r="BL1246" s="115"/>
      <c r="BM1246" s="115"/>
      <c r="BN1246" s="115"/>
      <c r="BO1246" s="115"/>
      <c r="BP1246" s="115"/>
      <c r="BQ1246" s="115"/>
      <c r="BR1246" s="115"/>
      <c r="BS1246" s="115"/>
      <c r="BT1246" s="115"/>
      <c r="BU1246" s="26">
        <v>45283</v>
      </c>
      <c r="BV1246" s="13" t="s">
        <v>162</v>
      </c>
      <c r="BY1246" s="114"/>
    </row>
    <row r="1247" spans="51:77" x14ac:dyDescent="0.4">
      <c r="AY1247" s="115"/>
      <c r="AZ1247" s="115"/>
      <c r="BA1247" s="115"/>
      <c r="BB1247" s="115"/>
      <c r="BC1247" s="115"/>
      <c r="BD1247" s="122"/>
      <c r="BE1247" s="122"/>
      <c r="BF1247" s="122"/>
      <c r="BG1247" s="115"/>
      <c r="BH1247" s="115"/>
      <c r="BI1247" s="115"/>
      <c r="BJ1247" s="115"/>
      <c r="BK1247" s="115"/>
      <c r="BL1247" s="115"/>
      <c r="BM1247" s="115"/>
      <c r="BN1247" s="115"/>
      <c r="BO1247" s="115"/>
      <c r="BP1247" s="115"/>
      <c r="BQ1247" s="115"/>
      <c r="BR1247" s="115"/>
      <c r="BS1247" s="115"/>
      <c r="BT1247" s="115"/>
      <c r="BU1247" s="26">
        <v>45283</v>
      </c>
      <c r="BV1247" s="13" t="s">
        <v>162</v>
      </c>
      <c r="BY1247" s="114"/>
    </row>
    <row r="1248" spans="51:77" x14ac:dyDescent="0.4">
      <c r="AY1248" s="115"/>
      <c r="AZ1248" s="115"/>
      <c r="BA1248" s="115"/>
      <c r="BB1248" s="115"/>
      <c r="BC1248" s="115"/>
      <c r="BD1248" s="122"/>
      <c r="BE1248" s="122"/>
      <c r="BF1248" s="122"/>
      <c r="BG1248" s="115"/>
      <c r="BH1248" s="115"/>
      <c r="BI1248" s="115"/>
      <c r="BJ1248" s="115"/>
      <c r="BK1248" s="115"/>
      <c r="BL1248" s="115"/>
      <c r="BM1248" s="115"/>
      <c r="BN1248" s="115"/>
      <c r="BO1248" s="115"/>
      <c r="BP1248" s="115"/>
      <c r="BQ1248" s="115"/>
      <c r="BR1248" s="115"/>
      <c r="BS1248" s="115"/>
      <c r="BT1248" s="115"/>
      <c r="BU1248" s="26">
        <v>45283</v>
      </c>
      <c r="BV1248" s="13" t="s">
        <v>162</v>
      </c>
      <c r="BY1248" s="114"/>
    </row>
    <row r="1249" spans="51:77" x14ac:dyDescent="0.4">
      <c r="AY1249" s="115"/>
      <c r="AZ1249" s="115"/>
      <c r="BA1249" s="115"/>
      <c r="BB1249" s="115"/>
      <c r="BC1249" s="115"/>
      <c r="BD1249" s="122"/>
      <c r="BE1249" s="122"/>
      <c r="BF1249" s="122"/>
      <c r="BG1249" s="115"/>
      <c r="BH1249" s="115"/>
      <c r="BI1249" s="115"/>
      <c r="BJ1249" s="115"/>
      <c r="BK1249" s="115"/>
      <c r="BL1249" s="115"/>
      <c r="BM1249" s="115"/>
      <c r="BN1249" s="115"/>
      <c r="BO1249" s="115"/>
      <c r="BP1249" s="115"/>
      <c r="BQ1249" s="115"/>
      <c r="BR1249" s="115"/>
      <c r="BS1249" s="115"/>
      <c r="BT1249" s="115"/>
      <c r="BU1249" s="26">
        <v>45283</v>
      </c>
      <c r="BV1249" s="13" t="s">
        <v>162</v>
      </c>
      <c r="BY1249" s="114"/>
    </row>
    <row r="1250" spans="51:77" x14ac:dyDescent="0.4">
      <c r="AY1250" s="115"/>
      <c r="AZ1250" s="115"/>
      <c r="BA1250" s="115"/>
      <c r="BB1250" s="115"/>
      <c r="BC1250" s="115"/>
      <c r="BD1250" s="122"/>
      <c r="BE1250" s="122"/>
      <c r="BF1250" s="122"/>
      <c r="BG1250" s="115"/>
      <c r="BH1250" s="115"/>
      <c r="BI1250" s="115"/>
      <c r="BJ1250" s="115"/>
      <c r="BK1250" s="115"/>
      <c r="BL1250" s="115"/>
      <c r="BM1250" s="115"/>
      <c r="BN1250" s="115"/>
      <c r="BO1250" s="115"/>
      <c r="BP1250" s="115"/>
      <c r="BQ1250" s="115"/>
      <c r="BR1250" s="115"/>
      <c r="BS1250" s="115"/>
      <c r="BT1250" s="115"/>
      <c r="BU1250" s="26">
        <v>45283</v>
      </c>
      <c r="BV1250" s="13" t="s">
        <v>162</v>
      </c>
      <c r="BY1250" s="114"/>
    </row>
    <row r="1251" spans="51:77" x14ac:dyDescent="0.4">
      <c r="AY1251" s="115"/>
      <c r="AZ1251" s="115"/>
      <c r="BA1251" s="115"/>
      <c r="BB1251" s="115"/>
      <c r="BC1251" s="115"/>
      <c r="BD1251" s="122"/>
      <c r="BE1251" s="122"/>
      <c r="BF1251" s="122"/>
      <c r="BG1251" s="115"/>
      <c r="BH1251" s="115"/>
      <c r="BI1251" s="115"/>
      <c r="BJ1251" s="115"/>
      <c r="BK1251" s="115"/>
      <c r="BL1251" s="115"/>
      <c r="BM1251" s="115"/>
      <c r="BN1251" s="115"/>
      <c r="BO1251" s="115"/>
      <c r="BP1251" s="115"/>
      <c r="BQ1251" s="115"/>
      <c r="BR1251" s="115"/>
      <c r="BS1251" s="115"/>
      <c r="BT1251" s="115"/>
      <c r="BU1251" s="26">
        <v>45283</v>
      </c>
      <c r="BV1251" s="13" t="s">
        <v>162</v>
      </c>
      <c r="BY1251" s="114"/>
    </row>
    <row r="1252" spans="51:77" x14ac:dyDescent="0.4">
      <c r="AY1252" s="115"/>
      <c r="AZ1252" s="115"/>
      <c r="BA1252" s="115"/>
      <c r="BB1252" s="115"/>
      <c r="BC1252" s="115"/>
      <c r="BD1252" s="122"/>
      <c r="BE1252" s="122"/>
      <c r="BF1252" s="122"/>
      <c r="BG1252" s="115"/>
      <c r="BH1252" s="115"/>
      <c r="BI1252" s="115"/>
      <c r="BJ1252" s="115"/>
      <c r="BK1252" s="115"/>
      <c r="BL1252" s="115"/>
      <c r="BM1252" s="115"/>
      <c r="BN1252" s="115"/>
      <c r="BO1252" s="115"/>
      <c r="BP1252" s="115"/>
      <c r="BQ1252" s="115"/>
      <c r="BR1252" s="115"/>
      <c r="BS1252" s="115"/>
      <c r="BT1252" s="115"/>
      <c r="BU1252" s="26">
        <v>45283</v>
      </c>
      <c r="BV1252" s="13" t="s">
        <v>163</v>
      </c>
      <c r="BY1252" s="114"/>
    </row>
    <row r="1253" spans="51:77" x14ac:dyDescent="0.4">
      <c r="AY1253" s="115"/>
      <c r="AZ1253" s="115"/>
      <c r="BA1253" s="115"/>
      <c r="BB1253" s="115"/>
      <c r="BC1253" s="115"/>
      <c r="BD1253" s="122"/>
      <c r="BE1253" s="122"/>
      <c r="BF1253" s="122"/>
      <c r="BG1253" s="115"/>
      <c r="BH1253" s="115"/>
      <c r="BI1253" s="115"/>
      <c r="BJ1253" s="115"/>
      <c r="BK1253" s="115"/>
      <c r="BL1253" s="115"/>
      <c r="BM1253" s="115"/>
      <c r="BN1253" s="115"/>
      <c r="BO1253" s="115"/>
      <c r="BP1253" s="115"/>
      <c r="BQ1253" s="115"/>
      <c r="BR1253" s="115"/>
      <c r="BS1253" s="115"/>
      <c r="BT1253" s="115"/>
      <c r="BU1253" s="26">
        <v>45283</v>
      </c>
      <c r="BV1253" s="13" t="s">
        <v>163</v>
      </c>
      <c r="BY1253" s="114"/>
    </row>
    <row r="1254" spans="51:77" x14ac:dyDescent="0.4">
      <c r="AY1254" s="115"/>
      <c r="AZ1254" s="115"/>
      <c r="BA1254" s="115"/>
      <c r="BB1254" s="115"/>
      <c r="BC1254" s="115"/>
      <c r="BD1254" s="122"/>
      <c r="BE1254" s="122"/>
      <c r="BF1254" s="122"/>
      <c r="BG1254" s="115"/>
      <c r="BH1254" s="115"/>
      <c r="BI1254" s="115"/>
      <c r="BJ1254" s="115"/>
      <c r="BK1254" s="115"/>
      <c r="BL1254" s="115"/>
      <c r="BM1254" s="115"/>
      <c r="BN1254" s="115"/>
      <c r="BO1254" s="115"/>
      <c r="BP1254" s="115"/>
      <c r="BQ1254" s="115"/>
      <c r="BR1254" s="115"/>
      <c r="BS1254" s="115"/>
      <c r="BT1254" s="115"/>
      <c r="BU1254" s="26">
        <v>45283</v>
      </c>
      <c r="BV1254" s="13" t="s">
        <v>163</v>
      </c>
      <c r="BY1254" s="114"/>
    </row>
    <row r="1255" spans="51:77" x14ac:dyDescent="0.4">
      <c r="AY1255" s="115"/>
      <c r="AZ1255" s="115"/>
      <c r="BA1255" s="115"/>
      <c r="BB1255" s="115"/>
      <c r="BC1255" s="115"/>
      <c r="BD1255" s="122"/>
      <c r="BE1255" s="122"/>
      <c r="BF1255" s="122"/>
      <c r="BG1255" s="115"/>
      <c r="BH1255" s="115"/>
      <c r="BI1255" s="115"/>
      <c r="BJ1255" s="115"/>
      <c r="BK1255" s="115"/>
      <c r="BL1255" s="115"/>
      <c r="BM1255" s="115"/>
      <c r="BN1255" s="115"/>
      <c r="BO1255" s="115"/>
      <c r="BP1255" s="115"/>
      <c r="BQ1255" s="115"/>
      <c r="BR1255" s="115"/>
      <c r="BS1255" s="115"/>
      <c r="BT1255" s="115" t="s">
        <v>161</v>
      </c>
      <c r="BU1255" s="17">
        <f>SUBTOTAL(3,BU1242:BU1254)</f>
        <v>13</v>
      </c>
      <c r="BV1255" s="13">
        <f>SUBTOTAL(3,BV1242:BV1254)</f>
        <v>13</v>
      </c>
      <c r="BY1255" s="114"/>
    </row>
    <row r="1256" spans="51:77" x14ac:dyDescent="0.4">
      <c r="AY1256" s="115"/>
      <c r="AZ1256" s="115"/>
      <c r="BA1256" s="115"/>
      <c r="BB1256" s="115"/>
      <c r="BC1256" s="115"/>
      <c r="BD1256" s="122"/>
      <c r="BE1256" s="122"/>
      <c r="BF1256" s="122"/>
      <c r="BG1256" s="115"/>
      <c r="BH1256" s="115"/>
      <c r="BI1256" s="115"/>
      <c r="BJ1256" s="115"/>
      <c r="BK1256" s="115"/>
      <c r="BL1256" s="115"/>
      <c r="BM1256" s="115"/>
      <c r="BN1256" s="115"/>
      <c r="BO1256" s="115"/>
      <c r="BP1256" s="115"/>
      <c r="BQ1256" s="115"/>
      <c r="BR1256" s="115"/>
      <c r="BS1256" s="115"/>
      <c r="BT1256" s="115"/>
      <c r="BU1256" s="26">
        <v>45285</v>
      </c>
      <c r="BV1256" s="13" t="s">
        <v>163</v>
      </c>
      <c r="BY1256" s="114"/>
    </row>
    <row r="1257" spans="51:77" x14ac:dyDescent="0.4">
      <c r="AY1257" s="115"/>
      <c r="AZ1257" s="115"/>
      <c r="BA1257" s="115"/>
      <c r="BB1257" s="115"/>
      <c r="BC1257" s="115"/>
      <c r="BD1257" s="122"/>
      <c r="BE1257" s="122"/>
      <c r="BF1257" s="122"/>
      <c r="BG1257" s="115"/>
      <c r="BH1257" s="115"/>
      <c r="BI1257" s="115"/>
      <c r="BJ1257" s="115"/>
      <c r="BK1257" s="115"/>
      <c r="BL1257" s="115"/>
      <c r="BM1257" s="115"/>
      <c r="BN1257" s="115"/>
      <c r="BO1257" s="115"/>
      <c r="BP1257" s="115"/>
      <c r="BQ1257" s="115"/>
      <c r="BR1257" s="115"/>
      <c r="BS1257" s="115"/>
      <c r="BT1257" s="115" t="s">
        <v>172</v>
      </c>
      <c r="BU1257" s="17">
        <f>SUBTOTAL(3,BU1256:BU1256)</f>
        <v>1</v>
      </c>
      <c r="BV1257" s="13">
        <f>SUBTOTAL(3,BV1256:BV1256)</f>
        <v>1</v>
      </c>
      <c r="BY1257" s="114"/>
    </row>
    <row r="1258" spans="51:77" x14ac:dyDescent="0.4">
      <c r="AY1258" s="115"/>
      <c r="AZ1258" s="115"/>
      <c r="BA1258" s="115"/>
      <c r="BB1258" s="115"/>
      <c r="BC1258" s="115"/>
      <c r="BD1258" s="122"/>
      <c r="BE1258" s="122"/>
      <c r="BF1258" s="122"/>
      <c r="BG1258" s="115"/>
      <c r="BH1258" s="115"/>
      <c r="BI1258" s="115"/>
      <c r="BJ1258" s="115"/>
      <c r="BK1258" s="115"/>
      <c r="BL1258" s="115"/>
      <c r="BM1258" s="115"/>
      <c r="BN1258" s="115"/>
      <c r="BO1258" s="115"/>
      <c r="BP1258" s="115"/>
      <c r="BQ1258" s="115"/>
      <c r="BR1258" s="115"/>
      <c r="BS1258" s="115"/>
      <c r="BT1258" s="115"/>
      <c r="BU1258" s="26">
        <v>45299</v>
      </c>
      <c r="BV1258" s="13" t="s">
        <v>164</v>
      </c>
      <c r="BY1258" s="114"/>
    </row>
    <row r="1259" spans="51:77" x14ac:dyDescent="0.4">
      <c r="AY1259" s="115"/>
      <c r="AZ1259" s="115"/>
      <c r="BA1259" s="115"/>
      <c r="BB1259" s="115"/>
      <c r="BC1259" s="115"/>
      <c r="BD1259" s="122"/>
      <c r="BE1259" s="122"/>
      <c r="BF1259" s="122"/>
      <c r="BG1259" s="115"/>
      <c r="BH1259" s="115"/>
      <c r="BI1259" s="115"/>
      <c r="BJ1259" s="115"/>
      <c r="BK1259" s="115"/>
      <c r="BL1259" s="115"/>
      <c r="BM1259" s="115"/>
      <c r="BN1259" s="115"/>
      <c r="BO1259" s="115"/>
      <c r="BP1259" s="115"/>
      <c r="BQ1259" s="115"/>
      <c r="BR1259" s="115"/>
      <c r="BS1259" s="115"/>
      <c r="BT1259" s="115"/>
      <c r="BU1259" s="26">
        <v>45299</v>
      </c>
      <c r="BV1259" s="13" t="s">
        <v>162</v>
      </c>
      <c r="BY1259" s="114"/>
    </row>
    <row r="1260" spans="51:77" x14ac:dyDescent="0.4">
      <c r="AY1260" s="115"/>
      <c r="AZ1260" s="115"/>
      <c r="BA1260" s="115"/>
      <c r="BB1260" s="115"/>
      <c r="BC1260" s="115"/>
      <c r="BD1260" s="122"/>
      <c r="BE1260" s="122"/>
      <c r="BF1260" s="122"/>
      <c r="BG1260" s="115"/>
      <c r="BH1260" s="115"/>
      <c r="BI1260" s="115"/>
      <c r="BJ1260" s="115"/>
      <c r="BK1260" s="115"/>
      <c r="BL1260" s="115"/>
      <c r="BM1260" s="115"/>
      <c r="BN1260" s="115"/>
      <c r="BO1260" s="115"/>
      <c r="BP1260" s="115"/>
      <c r="BQ1260" s="115"/>
      <c r="BR1260" s="115"/>
      <c r="BS1260" s="115"/>
      <c r="BT1260" s="115"/>
      <c r="BU1260" s="26">
        <v>45299</v>
      </c>
      <c r="BV1260" s="13" t="s">
        <v>162</v>
      </c>
      <c r="BY1260" s="114"/>
    </row>
    <row r="1261" spans="51:77" x14ac:dyDescent="0.4">
      <c r="AY1261" s="115"/>
      <c r="AZ1261" s="115"/>
      <c r="BA1261" s="115"/>
      <c r="BB1261" s="115"/>
      <c r="BC1261" s="115"/>
      <c r="BD1261" s="122"/>
      <c r="BE1261" s="122"/>
      <c r="BF1261" s="122"/>
      <c r="BG1261" s="115"/>
      <c r="BH1261" s="115"/>
      <c r="BI1261" s="115"/>
      <c r="BJ1261" s="115"/>
      <c r="BK1261" s="115"/>
      <c r="BL1261" s="115"/>
      <c r="BM1261" s="115"/>
      <c r="BN1261" s="115"/>
      <c r="BO1261" s="115"/>
      <c r="BP1261" s="115"/>
      <c r="BQ1261" s="115"/>
      <c r="BR1261" s="115"/>
      <c r="BS1261" s="115"/>
      <c r="BT1261" s="115"/>
      <c r="BU1261" s="26">
        <v>45299</v>
      </c>
      <c r="BV1261" s="15" t="s">
        <v>162</v>
      </c>
      <c r="BY1261" s="114"/>
    </row>
    <row r="1262" spans="51:77" x14ac:dyDescent="0.4">
      <c r="AY1262" s="115"/>
      <c r="AZ1262" s="115"/>
      <c r="BA1262" s="115"/>
      <c r="BB1262" s="115"/>
      <c r="BC1262" s="115"/>
      <c r="BD1262" s="122"/>
      <c r="BE1262" s="122"/>
      <c r="BF1262" s="122"/>
      <c r="BG1262" s="115"/>
      <c r="BH1262" s="115"/>
      <c r="BI1262" s="115"/>
      <c r="BJ1262" s="115"/>
      <c r="BK1262" s="115"/>
      <c r="BL1262" s="115"/>
      <c r="BM1262" s="115"/>
      <c r="BN1262" s="115"/>
      <c r="BO1262" s="115"/>
      <c r="BP1262" s="115"/>
      <c r="BQ1262" s="115"/>
      <c r="BR1262" s="115"/>
      <c r="BS1262" s="115"/>
      <c r="BT1262" s="115" t="s">
        <v>173</v>
      </c>
      <c r="BU1262" s="17">
        <f>SUBTOTAL(3,BU1258:BU1261)</f>
        <v>4</v>
      </c>
      <c r="BV1262" s="13">
        <f>SUBTOTAL(3,BV1258:BV1261)</f>
        <v>4</v>
      </c>
      <c r="BY1262" s="114"/>
    </row>
    <row r="1263" spans="51:77" x14ac:dyDescent="0.4">
      <c r="AY1263" s="115"/>
      <c r="AZ1263" s="115"/>
      <c r="BA1263" s="115"/>
      <c r="BB1263" s="115"/>
      <c r="BC1263" s="115"/>
      <c r="BD1263" s="122"/>
      <c r="BE1263" s="122"/>
      <c r="BF1263" s="122"/>
      <c r="BG1263" s="115"/>
      <c r="BH1263" s="115"/>
      <c r="BI1263" s="115"/>
      <c r="BJ1263" s="115"/>
      <c r="BK1263" s="115"/>
      <c r="BL1263" s="115"/>
      <c r="BM1263" s="115"/>
      <c r="BN1263" s="115"/>
      <c r="BO1263" s="115"/>
      <c r="BP1263" s="115"/>
      <c r="BQ1263" s="115"/>
      <c r="BR1263" s="115"/>
      <c r="BS1263" s="115"/>
      <c r="BT1263" s="115" t="s">
        <v>145</v>
      </c>
      <c r="BU1263" s="17">
        <f>SUBTOTAL(3,BU2:BU1261)</f>
        <v>136</v>
      </c>
      <c r="BV1263" s="13">
        <f>SUBTOTAL(3,BV2:BV1261)</f>
        <v>136</v>
      </c>
      <c r="BY1263" s="114"/>
    </row>
    <row r="1264" spans="51:77" x14ac:dyDescent="0.4">
      <c r="AY1264" s="115"/>
      <c r="AZ1264" s="115"/>
      <c r="BA1264" s="115"/>
      <c r="BB1264" s="115"/>
      <c r="BC1264" s="115"/>
      <c r="BD1264" s="122"/>
      <c r="BE1264" s="122"/>
      <c r="BF1264" s="122"/>
      <c r="BG1264" s="115"/>
      <c r="BH1264" s="115"/>
      <c r="BI1264" s="115"/>
      <c r="BJ1264" s="115"/>
      <c r="BK1264" s="115"/>
      <c r="BL1264" s="115"/>
      <c r="BM1264" s="115"/>
      <c r="BN1264" s="115"/>
      <c r="BO1264" s="115"/>
      <c r="BP1264" s="115"/>
      <c r="BQ1264" s="115"/>
      <c r="BR1264" s="115" t="s">
        <v>145</v>
      </c>
      <c r="BS1264" s="115"/>
      <c r="BT1264" s="115"/>
      <c r="BU1264" s="26"/>
      <c r="BV1264" s="13"/>
      <c r="BY1264" s="114"/>
    </row>
    <row r="1265" spans="51:77" x14ac:dyDescent="0.4">
      <c r="AY1265" s="115"/>
      <c r="AZ1265" s="115"/>
      <c r="BA1265" s="115"/>
      <c r="BB1265" s="115"/>
      <c r="BC1265" s="115"/>
      <c r="BD1265" s="122"/>
      <c r="BE1265" s="122"/>
      <c r="BF1265" s="122"/>
      <c r="BG1265" s="115"/>
      <c r="BH1265" s="115"/>
      <c r="BI1265" s="115"/>
      <c r="BJ1265" s="115"/>
      <c r="BK1265" s="115"/>
      <c r="BL1265" s="115"/>
      <c r="BM1265" s="115"/>
      <c r="BN1265" s="115"/>
      <c r="BO1265" s="115"/>
      <c r="BP1265" s="115"/>
      <c r="BQ1265" s="115"/>
      <c r="BR1265" s="115"/>
      <c r="BS1265" s="115"/>
      <c r="BT1265" s="115"/>
      <c r="BU1265" s="17"/>
      <c r="BV1265" s="13"/>
      <c r="BY1265" s="114"/>
    </row>
    <row r="1266" spans="51:77" x14ac:dyDescent="0.4">
      <c r="AY1266" s="115"/>
      <c r="AZ1266" s="115"/>
      <c r="BA1266" s="115"/>
      <c r="BB1266" s="115"/>
      <c r="BC1266" s="115"/>
      <c r="BD1266" s="122"/>
      <c r="BE1266" s="122"/>
      <c r="BF1266" s="122"/>
      <c r="BG1266" s="115"/>
      <c r="BH1266" s="115"/>
      <c r="BI1266" s="115"/>
      <c r="BJ1266" s="115"/>
      <c r="BK1266" s="115"/>
      <c r="BL1266" s="115"/>
      <c r="BM1266" s="115"/>
      <c r="BN1266" s="115"/>
      <c r="BO1266" s="115"/>
      <c r="BP1266" s="115"/>
      <c r="BQ1266" s="115"/>
      <c r="BR1266" s="115"/>
      <c r="BS1266" s="115"/>
      <c r="BT1266" s="115"/>
      <c r="BU1266" s="26"/>
      <c r="BV1266" s="13"/>
      <c r="BY1266" s="114"/>
    </row>
    <row r="1267" spans="51:77" x14ac:dyDescent="0.4">
      <c r="AY1267" s="115"/>
      <c r="AZ1267" s="115"/>
      <c r="BA1267" s="115"/>
      <c r="BB1267" s="115"/>
      <c r="BC1267" s="115"/>
      <c r="BD1267" s="122"/>
      <c r="BE1267" s="122"/>
      <c r="BF1267" s="122"/>
      <c r="BG1267" s="115"/>
      <c r="BH1267" s="115"/>
      <c r="BI1267" s="115"/>
      <c r="BJ1267" s="115"/>
      <c r="BK1267" s="115"/>
      <c r="BL1267" s="115"/>
      <c r="BM1267" s="115"/>
      <c r="BN1267" s="115"/>
      <c r="BO1267" s="115"/>
      <c r="BP1267" s="115"/>
      <c r="BQ1267" s="115"/>
      <c r="BR1267" s="115"/>
      <c r="BS1267" s="115"/>
      <c r="BT1267" s="115"/>
      <c r="BU1267" s="17"/>
      <c r="BV1267" s="13"/>
      <c r="BY1267" s="114"/>
    </row>
    <row r="1268" spans="51:77" x14ac:dyDescent="0.4">
      <c r="AY1268" s="115"/>
      <c r="AZ1268" s="115"/>
      <c r="BA1268" s="115"/>
      <c r="BB1268" s="115"/>
      <c r="BC1268" s="115"/>
      <c r="BD1268" s="122"/>
      <c r="BE1268" s="122"/>
      <c r="BF1268" s="122"/>
      <c r="BG1268" s="115"/>
      <c r="BH1268" s="115"/>
      <c r="BI1268" s="115"/>
      <c r="BJ1268" s="115"/>
      <c r="BK1268" s="115"/>
      <c r="BL1268" s="115"/>
      <c r="BM1268" s="115"/>
      <c r="BN1268" s="115"/>
      <c r="BO1268" s="115"/>
      <c r="BP1268" s="115"/>
      <c r="BQ1268" s="115"/>
      <c r="BR1268" s="115"/>
      <c r="BS1268" s="115"/>
      <c r="BT1268" s="115"/>
      <c r="BU1268" s="26"/>
      <c r="BV1268" s="13"/>
      <c r="BY1268" s="114"/>
    </row>
    <row r="1269" spans="51:77" x14ac:dyDescent="0.4">
      <c r="AY1269" s="115"/>
      <c r="AZ1269" s="115"/>
      <c r="BA1269" s="115"/>
      <c r="BB1269" s="115"/>
      <c r="BC1269" s="115"/>
      <c r="BD1269" s="122"/>
      <c r="BE1269" s="122"/>
      <c r="BF1269" s="122"/>
      <c r="BG1269" s="115"/>
      <c r="BH1269" s="115"/>
      <c r="BI1269" s="115"/>
      <c r="BJ1269" s="115"/>
      <c r="BK1269" s="115"/>
      <c r="BL1269" s="115"/>
      <c r="BM1269" s="115"/>
      <c r="BN1269" s="115"/>
      <c r="BO1269" s="115"/>
      <c r="BP1269" s="115"/>
      <c r="BQ1269" s="115"/>
      <c r="BR1269" s="115"/>
      <c r="BS1269" s="115"/>
      <c r="BT1269" s="115"/>
      <c r="BU1269" s="26"/>
      <c r="BV1269" s="13"/>
      <c r="BY1269" s="114"/>
    </row>
    <row r="1270" spans="51:77" x14ac:dyDescent="0.4">
      <c r="AY1270" s="115"/>
      <c r="AZ1270" s="115"/>
      <c r="BA1270" s="115"/>
      <c r="BB1270" s="115"/>
      <c r="BC1270" s="115"/>
      <c r="BD1270" s="122"/>
      <c r="BE1270" s="122"/>
      <c r="BF1270" s="122"/>
      <c r="BG1270" s="115"/>
      <c r="BH1270" s="115"/>
      <c r="BI1270" s="115"/>
      <c r="BJ1270" s="115"/>
      <c r="BK1270" s="115"/>
      <c r="BL1270" s="115"/>
      <c r="BM1270" s="115"/>
      <c r="BN1270" s="115"/>
      <c r="BO1270" s="115"/>
      <c r="BP1270" s="115"/>
      <c r="BQ1270" s="115"/>
      <c r="BR1270" s="115"/>
      <c r="BS1270" s="115"/>
      <c r="BT1270" s="115"/>
      <c r="BU1270" s="26"/>
      <c r="BV1270" s="13"/>
      <c r="BY1270" s="114"/>
    </row>
    <row r="1271" spans="51:77" x14ac:dyDescent="0.4">
      <c r="AY1271" s="115"/>
      <c r="AZ1271" s="115"/>
      <c r="BA1271" s="115"/>
      <c r="BB1271" s="115"/>
      <c r="BC1271" s="115"/>
      <c r="BD1271" s="122"/>
      <c r="BE1271" s="122"/>
      <c r="BF1271" s="122"/>
      <c r="BG1271" s="115"/>
      <c r="BH1271" s="115"/>
      <c r="BI1271" s="115"/>
      <c r="BJ1271" s="115"/>
      <c r="BK1271" s="115"/>
      <c r="BL1271" s="115"/>
      <c r="BM1271" s="115"/>
      <c r="BN1271" s="115"/>
      <c r="BO1271" s="115"/>
      <c r="BP1271" s="115"/>
      <c r="BQ1271" s="115"/>
      <c r="BR1271" s="115"/>
      <c r="BS1271" s="115"/>
      <c r="BT1271" s="115"/>
      <c r="BU1271" s="17"/>
      <c r="BV1271" s="13"/>
      <c r="BY1271" s="114"/>
    </row>
    <row r="1272" spans="51:77" x14ac:dyDescent="0.4">
      <c r="AY1272" s="115"/>
      <c r="AZ1272" s="115"/>
      <c r="BA1272" s="115"/>
      <c r="BB1272" s="115"/>
      <c r="BC1272" s="115"/>
      <c r="BD1272" s="122"/>
      <c r="BE1272" s="122"/>
      <c r="BF1272" s="122"/>
      <c r="BG1272" s="115"/>
      <c r="BH1272" s="115"/>
      <c r="BI1272" s="115"/>
      <c r="BJ1272" s="115"/>
      <c r="BK1272" s="115"/>
      <c r="BL1272" s="115"/>
      <c r="BM1272" s="115"/>
      <c r="BN1272" s="115"/>
      <c r="BO1272" s="115"/>
      <c r="BP1272" s="115"/>
      <c r="BQ1272" s="115"/>
      <c r="BR1272" s="115"/>
      <c r="BS1272" s="115"/>
      <c r="BT1272" s="115"/>
      <c r="BU1272" s="26"/>
      <c r="BV1272" s="13"/>
      <c r="BY1272" s="114"/>
    </row>
    <row r="1273" spans="51:77" x14ac:dyDescent="0.4">
      <c r="AY1273" s="115"/>
      <c r="AZ1273" s="115"/>
      <c r="BA1273" s="115"/>
      <c r="BB1273" s="115"/>
      <c r="BC1273" s="115"/>
      <c r="BD1273" s="122"/>
      <c r="BE1273" s="122"/>
      <c r="BF1273" s="122"/>
      <c r="BG1273" s="115"/>
      <c r="BH1273" s="115"/>
      <c r="BI1273" s="115"/>
      <c r="BJ1273" s="115"/>
      <c r="BK1273" s="115"/>
      <c r="BL1273" s="115"/>
      <c r="BM1273" s="115"/>
      <c r="BN1273" s="115"/>
      <c r="BO1273" s="115"/>
      <c r="BP1273" s="115"/>
      <c r="BQ1273" s="115"/>
      <c r="BR1273" s="115"/>
      <c r="BS1273" s="115"/>
      <c r="BT1273" s="115"/>
      <c r="BU1273" s="17"/>
      <c r="BV1273" s="13"/>
      <c r="BY1273" s="114"/>
    </row>
    <row r="1274" spans="51:77" x14ac:dyDescent="0.4">
      <c r="AY1274" s="115"/>
      <c r="AZ1274" s="115"/>
      <c r="BA1274" s="115"/>
      <c r="BB1274" s="115"/>
      <c r="BC1274" s="115"/>
      <c r="BD1274" s="122"/>
      <c r="BE1274" s="122"/>
      <c r="BF1274" s="122"/>
      <c r="BG1274" s="115"/>
      <c r="BH1274" s="115"/>
      <c r="BI1274" s="115"/>
      <c r="BJ1274" s="115"/>
      <c r="BK1274" s="115"/>
      <c r="BL1274" s="115"/>
      <c r="BM1274" s="115"/>
      <c r="BN1274" s="115"/>
      <c r="BO1274" s="115"/>
      <c r="BP1274" s="115"/>
      <c r="BQ1274" s="115"/>
      <c r="BR1274" s="115"/>
      <c r="BS1274" s="115"/>
      <c r="BT1274" s="115"/>
      <c r="BU1274" s="26"/>
      <c r="BV1274" s="13"/>
      <c r="BY1274" s="114"/>
    </row>
    <row r="1275" spans="51:77" x14ac:dyDescent="0.4">
      <c r="AY1275" s="115"/>
      <c r="AZ1275" s="115"/>
      <c r="BA1275" s="115"/>
      <c r="BB1275" s="115"/>
      <c r="BC1275" s="115"/>
      <c r="BD1275" s="122"/>
      <c r="BE1275" s="122"/>
      <c r="BF1275" s="122"/>
      <c r="BG1275" s="115"/>
      <c r="BH1275" s="115"/>
      <c r="BI1275" s="115"/>
      <c r="BJ1275" s="115"/>
      <c r="BK1275" s="115"/>
      <c r="BL1275" s="115"/>
      <c r="BM1275" s="115"/>
      <c r="BN1275" s="115"/>
      <c r="BO1275" s="115"/>
      <c r="BP1275" s="115"/>
      <c r="BQ1275" s="115"/>
      <c r="BR1275" s="115"/>
      <c r="BS1275" s="115"/>
      <c r="BT1275" s="115"/>
      <c r="BU1275" s="17"/>
      <c r="BV1275" s="13"/>
      <c r="BY1275" s="114"/>
    </row>
    <row r="1276" spans="51:77" x14ac:dyDescent="0.4">
      <c r="AY1276" s="115"/>
      <c r="AZ1276" s="115"/>
      <c r="BA1276" s="115"/>
      <c r="BB1276" s="115"/>
      <c r="BC1276" s="115"/>
      <c r="BD1276" s="122"/>
      <c r="BE1276" s="122"/>
      <c r="BF1276" s="122"/>
      <c r="BG1276" s="115"/>
      <c r="BH1276" s="115"/>
      <c r="BI1276" s="115"/>
      <c r="BJ1276" s="115"/>
      <c r="BK1276" s="115"/>
      <c r="BL1276" s="115"/>
      <c r="BM1276" s="115"/>
      <c r="BN1276" s="115"/>
      <c r="BO1276" s="115"/>
      <c r="BP1276" s="115"/>
      <c r="BQ1276" s="115"/>
      <c r="BR1276" s="115"/>
      <c r="BS1276" s="115"/>
      <c r="BT1276" s="115"/>
      <c r="BU1276" s="17"/>
      <c r="BV1276" s="13"/>
      <c r="BY1276" s="114"/>
    </row>
    <row r="1277" spans="51:77" x14ac:dyDescent="0.4">
      <c r="AY1277" s="115"/>
      <c r="AZ1277" s="115"/>
      <c r="BA1277" s="115"/>
      <c r="BB1277" s="115"/>
      <c r="BC1277" s="115"/>
      <c r="BD1277" s="122"/>
      <c r="BE1277" s="122"/>
      <c r="BF1277" s="122"/>
      <c r="BG1277" s="115"/>
      <c r="BH1277" s="115"/>
      <c r="BI1277" s="115"/>
      <c r="BJ1277" s="115"/>
      <c r="BK1277" s="115"/>
      <c r="BL1277" s="115"/>
      <c r="BM1277" s="115"/>
      <c r="BN1277" s="115"/>
      <c r="BO1277" s="115"/>
      <c r="BP1277" s="115"/>
      <c r="BQ1277" s="115"/>
      <c r="BR1277" s="115"/>
      <c r="BS1277" s="115"/>
      <c r="BT1277" s="115"/>
      <c r="BU1277" s="17"/>
      <c r="BV1277" s="13"/>
      <c r="BY1277" s="114"/>
    </row>
    <row r="1278" spans="51:77" x14ac:dyDescent="0.4">
      <c r="AY1278" s="115"/>
      <c r="AZ1278" s="115"/>
      <c r="BA1278" s="115"/>
      <c r="BB1278" s="115"/>
      <c r="BC1278" s="115"/>
      <c r="BD1278" s="122"/>
      <c r="BE1278" s="122"/>
      <c r="BF1278" s="122"/>
      <c r="BG1278" s="115"/>
      <c r="BH1278" s="115"/>
      <c r="BI1278" s="115"/>
      <c r="BJ1278" s="115"/>
      <c r="BK1278" s="115"/>
      <c r="BL1278" s="115"/>
      <c r="BM1278" s="115"/>
      <c r="BN1278" s="115"/>
      <c r="BO1278" s="115"/>
      <c r="BP1278" s="115"/>
      <c r="BQ1278" s="115"/>
      <c r="BR1278" s="115"/>
      <c r="BS1278" s="115"/>
      <c r="BT1278" s="115"/>
      <c r="BU1278" s="26"/>
      <c r="BV1278" s="13"/>
      <c r="BY1278" s="114"/>
    </row>
    <row r="1279" spans="51:77" x14ac:dyDescent="0.4">
      <c r="AY1279" s="115"/>
      <c r="AZ1279" s="115"/>
      <c r="BA1279" s="115"/>
      <c r="BB1279" s="115"/>
      <c r="BC1279" s="115"/>
      <c r="BD1279" s="122"/>
      <c r="BE1279" s="122"/>
      <c r="BF1279" s="122"/>
      <c r="BG1279" s="115"/>
      <c r="BH1279" s="115"/>
      <c r="BI1279" s="115"/>
      <c r="BJ1279" s="115"/>
      <c r="BK1279" s="115"/>
      <c r="BL1279" s="115"/>
      <c r="BM1279" s="115"/>
      <c r="BN1279" s="115"/>
      <c r="BO1279" s="115"/>
      <c r="BP1279" s="115"/>
      <c r="BQ1279" s="115"/>
      <c r="BR1279" s="115"/>
      <c r="BS1279" s="115"/>
      <c r="BT1279" s="115"/>
      <c r="BU1279" s="17"/>
      <c r="BV1279" s="13"/>
      <c r="BY1279" s="114"/>
    </row>
    <row r="1280" spans="51:77" x14ac:dyDescent="0.4">
      <c r="AY1280" s="115"/>
      <c r="AZ1280" s="115"/>
      <c r="BA1280" s="115"/>
      <c r="BB1280" s="115"/>
      <c r="BC1280" s="115"/>
      <c r="BD1280" s="122"/>
      <c r="BE1280" s="122"/>
      <c r="BF1280" s="122"/>
      <c r="BG1280" s="115"/>
      <c r="BH1280" s="115"/>
      <c r="BI1280" s="115"/>
      <c r="BJ1280" s="115"/>
      <c r="BK1280" s="115"/>
      <c r="BL1280" s="115"/>
      <c r="BM1280" s="115"/>
      <c r="BN1280" s="115"/>
      <c r="BO1280" s="115"/>
      <c r="BP1280" s="115"/>
      <c r="BQ1280" s="115"/>
      <c r="BR1280" s="115"/>
      <c r="BS1280" s="115"/>
      <c r="BT1280" s="115"/>
      <c r="BU1280" s="26"/>
      <c r="BV1280" s="13"/>
      <c r="BY1280" s="114"/>
    </row>
    <row r="1281" spans="51:77" x14ac:dyDescent="0.4">
      <c r="AY1281" s="115"/>
      <c r="AZ1281" s="115"/>
      <c r="BA1281" s="115"/>
      <c r="BB1281" s="115"/>
      <c r="BC1281" s="115"/>
      <c r="BD1281" s="122"/>
      <c r="BE1281" s="122"/>
      <c r="BF1281" s="122"/>
      <c r="BG1281" s="115"/>
      <c r="BH1281" s="115"/>
      <c r="BI1281" s="115"/>
      <c r="BJ1281" s="115"/>
      <c r="BK1281" s="115"/>
      <c r="BL1281" s="115"/>
      <c r="BM1281" s="115"/>
      <c r="BN1281" s="115"/>
      <c r="BO1281" s="115"/>
      <c r="BP1281" s="115"/>
      <c r="BQ1281" s="115"/>
      <c r="BR1281" s="115"/>
      <c r="BS1281" s="115"/>
      <c r="BT1281" s="115"/>
      <c r="BU1281" s="17"/>
      <c r="BV1281" s="13"/>
      <c r="BY1281" s="114"/>
    </row>
    <row r="1282" spans="51:77" x14ac:dyDescent="0.4">
      <c r="AY1282" s="115"/>
      <c r="AZ1282" s="115"/>
      <c r="BA1282" s="115"/>
      <c r="BB1282" s="115"/>
      <c r="BC1282" s="115"/>
      <c r="BD1282" s="122"/>
      <c r="BE1282" s="122"/>
      <c r="BF1282" s="122"/>
      <c r="BG1282" s="115"/>
      <c r="BH1282" s="115"/>
      <c r="BI1282" s="115"/>
      <c r="BJ1282" s="115"/>
      <c r="BK1282" s="115"/>
      <c r="BL1282" s="115"/>
      <c r="BM1282" s="115"/>
      <c r="BN1282" s="115"/>
      <c r="BO1282" s="115"/>
      <c r="BP1282" s="115"/>
      <c r="BQ1282" s="115"/>
      <c r="BR1282" s="115"/>
      <c r="BS1282" s="115"/>
      <c r="BT1282" s="115"/>
      <c r="BU1282" s="26"/>
      <c r="BV1282" s="25"/>
      <c r="BY1282" s="114"/>
    </row>
    <row r="1283" spans="51:77" x14ac:dyDescent="0.4">
      <c r="AY1283" s="115"/>
      <c r="AZ1283" s="115"/>
      <c r="BA1283" s="115"/>
      <c r="BB1283" s="115"/>
      <c r="BC1283" s="115"/>
      <c r="BD1283" s="122"/>
      <c r="BE1283" s="122"/>
      <c r="BF1283" s="122"/>
      <c r="BG1283" s="115"/>
      <c r="BH1283" s="115"/>
      <c r="BI1283" s="115"/>
      <c r="BJ1283" s="115"/>
      <c r="BK1283" s="115"/>
      <c r="BL1283" s="115"/>
      <c r="BM1283" s="115"/>
      <c r="BN1283" s="115"/>
      <c r="BO1283" s="115"/>
      <c r="BP1283" s="115"/>
      <c r="BQ1283" s="115"/>
      <c r="BR1283" s="115"/>
      <c r="BS1283" s="115"/>
      <c r="BT1283" s="115"/>
      <c r="BU1283" s="17"/>
      <c r="BV1283" s="13"/>
      <c r="BY1283" s="114"/>
    </row>
    <row r="1284" spans="51:77" x14ac:dyDescent="0.4">
      <c r="AY1284" s="115"/>
      <c r="AZ1284" s="115"/>
      <c r="BA1284" s="115"/>
      <c r="BB1284" s="115"/>
      <c r="BC1284" s="115"/>
      <c r="BD1284" s="122"/>
      <c r="BE1284" s="122"/>
      <c r="BF1284" s="122"/>
      <c r="BG1284" s="115"/>
      <c r="BH1284" s="115"/>
      <c r="BI1284" s="115"/>
      <c r="BJ1284" s="115"/>
      <c r="BK1284" s="115"/>
      <c r="BL1284" s="115"/>
      <c r="BM1284" s="115"/>
      <c r="BN1284" s="115"/>
      <c r="BO1284" s="115"/>
      <c r="BP1284" s="115"/>
      <c r="BQ1284" s="115"/>
      <c r="BR1284" s="115"/>
      <c r="BS1284" s="115"/>
      <c r="BT1284" s="115"/>
      <c r="BU1284" s="17"/>
      <c r="BV1284" s="13"/>
      <c r="BY1284" s="114"/>
    </row>
    <row r="1285" spans="51:77" x14ac:dyDescent="0.4">
      <c r="AY1285" s="115"/>
      <c r="AZ1285" s="115"/>
      <c r="BA1285" s="115"/>
      <c r="BB1285" s="115"/>
      <c r="BC1285" s="115"/>
      <c r="BD1285" s="122"/>
      <c r="BE1285" s="122"/>
      <c r="BF1285" s="122"/>
      <c r="BG1285" s="115"/>
      <c r="BH1285" s="115"/>
      <c r="BI1285" s="115"/>
      <c r="BJ1285" s="115"/>
      <c r="BK1285" s="115"/>
      <c r="BL1285" s="115"/>
      <c r="BM1285" s="115"/>
      <c r="BN1285" s="115"/>
      <c r="BO1285" s="115"/>
      <c r="BP1285" s="115"/>
      <c r="BQ1285" s="115"/>
      <c r="BR1285" s="115"/>
      <c r="BS1285" s="115"/>
      <c r="BT1285" s="115"/>
      <c r="BU1285" s="26"/>
      <c r="BV1285" s="15"/>
      <c r="BY1285" s="114"/>
    </row>
    <row r="1286" spans="51:77" x14ac:dyDescent="0.4">
      <c r="AY1286" s="115"/>
      <c r="AZ1286" s="115"/>
      <c r="BA1286" s="115"/>
      <c r="BB1286" s="115"/>
      <c r="BC1286" s="115"/>
      <c r="BD1286" s="122"/>
      <c r="BE1286" s="122"/>
      <c r="BF1286" s="122"/>
      <c r="BG1286" s="115"/>
      <c r="BH1286" s="115"/>
      <c r="BI1286" s="115"/>
      <c r="BJ1286" s="115"/>
      <c r="BK1286" s="115"/>
      <c r="BL1286" s="115"/>
      <c r="BM1286" s="115"/>
      <c r="BN1286" s="115"/>
      <c r="BO1286" s="115"/>
      <c r="BP1286" s="115"/>
      <c r="BQ1286" s="115"/>
      <c r="BR1286" s="115"/>
      <c r="BS1286" s="115"/>
      <c r="BT1286" s="115"/>
      <c r="BU1286" s="26"/>
      <c r="BV1286" s="15"/>
      <c r="BY1286" s="114"/>
    </row>
    <row r="1287" spans="51:77" x14ac:dyDescent="0.4">
      <c r="AY1287" s="115"/>
      <c r="AZ1287" s="115"/>
      <c r="BA1287" s="115"/>
      <c r="BB1287" s="115"/>
      <c r="BC1287" s="115"/>
      <c r="BD1287" s="122"/>
      <c r="BE1287" s="122"/>
      <c r="BF1287" s="122"/>
      <c r="BG1287" s="115"/>
      <c r="BH1287" s="115"/>
      <c r="BI1287" s="115"/>
      <c r="BJ1287" s="115"/>
      <c r="BK1287" s="115"/>
      <c r="BL1287" s="115"/>
      <c r="BM1287" s="115"/>
      <c r="BN1287" s="115"/>
      <c r="BO1287" s="115"/>
      <c r="BP1287" s="115"/>
      <c r="BQ1287" s="115"/>
      <c r="BR1287" s="115"/>
      <c r="BS1287" s="115"/>
      <c r="BT1287" s="115"/>
      <c r="BU1287" s="26"/>
      <c r="BV1287" s="15"/>
      <c r="BY1287" s="114"/>
    </row>
    <row r="1288" spans="51:77" x14ac:dyDescent="0.4">
      <c r="AY1288" s="115"/>
      <c r="AZ1288" s="115"/>
      <c r="BA1288" s="115"/>
      <c r="BB1288" s="115"/>
      <c r="BC1288" s="115"/>
      <c r="BD1288" s="122"/>
      <c r="BE1288" s="122"/>
      <c r="BF1288" s="122"/>
      <c r="BG1288" s="115"/>
      <c r="BH1288" s="115"/>
      <c r="BI1288" s="115"/>
      <c r="BJ1288" s="115"/>
      <c r="BK1288" s="115"/>
      <c r="BL1288" s="115"/>
      <c r="BM1288" s="115"/>
      <c r="BN1288" s="115"/>
      <c r="BO1288" s="115"/>
      <c r="BP1288" s="115"/>
      <c r="BQ1288" s="115"/>
      <c r="BR1288" s="115"/>
      <c r="BS1288" s="115"/>
      <c r="BT1288" s="115"/>
      <c r="BU1288" s="26"/>
      <c r="BV1288" s="15"/>
      <c r="BY1288" s="114"/>
    </row>
    <row r="1289" spans="51:77" x14ac:dyDescent="0.4">
      <c r="AY1289" s="115"/>
      <c r="AZ1289" s="115"/>
      <c r="BA1289" s="115"/>
      <c r="BB1289" s="115"/>
      <c r="BC1289" s="115"/>
      <c r="BD1289" s="122"/>
      <c r="BE1289" s="122"/>
      <c r="BF1289" s="122"/>
      <c r="BG1289" s="115"/>
      <c r="BH1289" s="115"/>
      <c r="BI1289" s="115"/>
      <c r="BJ1289" s="115"/>
      <c r="BK1289" s="115"/>
      <c r="BL1289" s="115"/>
      <c r="BM1289" s="115"/>
      <c r="BN1289" s="115"/>
      <c r="BO1289" s="115"/>
      <c r="BP1289" s="115"/>
      <c r="BQ1289" s="115"/>
      <c r="BR1289" s="115"/>
      <c r="BS1289" s="115"/>
      <c r="BT1289" s="115"/>
      <c r="BU1289" s="26"/>
      <c r="BV1289" s="15"/>
      <c r="BY1289" s="114"/>
    </row>
    <row r="1290" spans="51:77" x14ac:dyDescent="0.4">
      <c r="AY1290" s="115"/>
      <c r="AZ1290" s="115"/>
      <c r="BA1290" s="115"/>
      <c r="BB1290" s="115"/>
      <c r="BC1290" s="115"/>
      <c r="BD1290" s="122"/>
      <c r="BE1290" s="122"/>
      <c r="BF1290" s="122"/>
      <c r="BG1290" s="115"/>
      <c r="BH1290" s="115"/>
      <c r="BI1290" s="115"/>
      <c r="BJ1290" s="115"/>
      <c r="BK1290" s="115"/>
      <c r="BL1290" s="115"/>
      <c r="BM1290" s="115"/>
      <c r="BN1290" s="115"/>
      <c r="BO1290" s="115"/>
      <c r="BP1290" s="115"/>
      <c r="BQ1290" s="115"/>
      <c r="BR1290" s="115"/>
      <c r="BS1290" s="115"/>
      <c r="BT1290" s="115"/>
      <c r="BU1290" s="26"/>
      <c r="BV1290" s="15"/>
      <c r="BY1290" s="114"/>
    </row>
    <row r="1291" spans="51:77" x14ac:dyDescent="0.4">
      <c r="AY1291" s="115"/>
      <c r="AZ1291" s="115"/>
      <c r="BA1291" s="115"/>
      <c r="BB1291" s="115"/>
      <c r="BC1291" s="115"/>
      <c r="BD1291" s="122"/>
      <c r="BE1291" s="122"/>
      <c r="BF1291" s="122"/>
      <c r="BG1291" s="115"/>
      <c r="BH1291" s="115"/>
      <c r="BI1291" s="115"/>
      <c r="BJ1291" s="115"/>
      <c r="BK1291" s="115"/>
      <c r="BL1291" s="115"/>
      <c r="BM1291" s="115"/>
      <c r="BN1291" s="115"/>
      <c r="BO1291" s="115"/>
      <c r="BP1291" s="115"/>
      <c r="BQ1291" s="115"/>
      <c r="BR1291" s="115"/>
      <c r="BS1291" s="115"/>
      <c r="BT1291" s="115"/>
      <c r="BU1291" s="26"/>
      <c r="BV1291" s="15"/>
      <c r="BY1291" s="114"/>
    </row>
    <row r="1292" spans="51:77" x14ac:dyDescent="0.4">
      <c r="AY1292" s="115"/>
      <c r="AZ1292" s="115"/>
      <c r="BA1292" s="115"/>
      <c r="BB1292" s="115"/>
      <c r="BC1292" s="115"/>
      <c r="BD1292" s="122"/>
      <c r="BE1292" s="122"/>
      <c r="BF1292" s="122"/>
      <c r="BG1292" s="115"/>
      <c r="BH1292" s="115"/>
      <c r="BI1292" s="115"/>
      <c r="BJ1292" s="115"/>
      <c r="BK1292" s="115"/>
      <c r="BL1292" s="115"/>
      <c r="BM1292" s="115"/>
      <c r="BN1292" s="115"/>
      <c r="BO1292" s="115"/>
      <c r="BP1292" s="115"/>
      <c r="BQ1292" s="115"/>
      <c r="BR1292" s="115"/>
      <c r="BS1292" s="115"/>
      <c r="BT1292" s="115"/>
      <c r="BU1292" s="26"/>
      <c r="BV1292" s="15"/>
      <c r="BY1292" s="114"/>
    </row>
    <row r="1293" spans="51:77" x14ac:dyDescent="0.4">
      <c r="AY1293" s="115"/>
      <c r="AZ1293" s="115"/>
      <c r="BA1293" s="115"/>
      <c r="BB1293" s="115"/>
      <c r="BC1293" s="115"/>
      <c r="BD1293" s="122"/>
      <c r="BE1293" s="122"/>
      <c r="BF1293" s="122"/>
      <c r="BG1293" s="115"/>
      <c r="BH1293" s="115"/>
      <c r="BI1293" s="115"/>
      <c r="BJ1293" s="115"/>
      <c r="BK1293" s="115"/>
      <c r="BL1293" s="115"/>
      <c r="BM1293" s="115"/>
      <c r="BN1293" s="115"/>
      <c r="BO1293" s="115"/>
      <c r="BP1293" s="115"/>
      <c r="BQ1293" s="115"/>
      <c r="BR1293" s="115"/>
      <c r="BS1293" s="115"/>
      <c r="BT1293" s="115"/>
      <c r="BU1293" s="17"/>
      <c r="BV1293" s="15"/>
      <c r="BY1293" s="114"/>
    </row>
    <row r="1294" spans="51:77" x14ac:dyDescent="0.4">
      <c r="AY1294" s="115"/>
      <c r="AZ1294" s="115"/>
      <c r="BA1294" s="115"/>
      <c r="BB1294" s="115"/>
      <c r="BC1294" s="115"/>
      <c r="BD1294" s="122"/>
      <c r="BE1294" s="122"/>
      <c r="BF1294" s="122"/>
      <c r="BG1294" s="115"/>
      <c r="BH1294" s="115"/>
      <c r="BI1294" s="115"/>
      <c r="BJ1294" s="115"/>
      <c r="BK1294" s="115"/>
      <c r="BL1294" s="115"/>
      <c r="BM1294" s="115"/>
      <c r="BN1294" s="115"/>
      <c r="BO1294" s="115"/>
      <c r="BP1294" s="115"/>
      <c r="BQ1294" s="115"/>
      <c r="BR1294" s="115"/>
      <c r="BS1294" s="115"/>
      <c r="BT1294" s="115"/>
      <c r="BU1294" s="26"/>
      <c r="BV1294" s="15"/>
      <c r="BY1294" s="114"/>
    </row>
    <row r="1295" spans="51:77" x14ac:dyDescent="0.4">
      <c r="AY1295" s="115"/>
      <c r="AZ1295" s="115"/>
      <c r="BA1295" s="115"/>
      <c r="BB1295" s="115"/>
      <c r="BC1295" s="115"/>
      <c r="BD1295" s="122"/>
      <c r="BE1295" s="122"/>
      <c r="BF1295" s="122"/>
      <c r="BG1295" s="115"/>
      <c r="BH1295" s="115"/>
      <c r="BI1295" s="115"/>
      <c r="BJ1295" s="115"/>
      <c r="BK1295" s="115"/>
      <c r="BL1295" s="115"/>
      <c r="BM1295" s="115"/>
      <c r="BN1295" s="115"/>
      <c r="BO1295" s="115"/>
      <c r="BP1295" s="115"/>
      <c r="BQ1295" s="115"/>
      <c r="BR1295" s="115"/>
      <c r="BS1295" s="115"/>
      <c r="BT1295" s="115"/>
      <c r="BU1295" s="26"/>
      <c r="BV1295" s="13"/>
      <c r="BY1295" s="114"/>
    </row>
    <row r="1296" spans="51:77" x14ac:dyDescent="0.4">
      <c r="AY1296" s="115"/>
      <c r="AZ1296" s="115"/>
      <c r="BA1296" s="115"/>
      <c r="BB1296" s="115"/>
      <c r="BC1296" s="115"/>
      <c r="BD1296" s="122"/>
      <c r="BE1296" s="122"/>
      <c r="BF1296" s="122"/>
      <c r="BG1296" s="115"/>
      <c r="BH1296" s="115"/>
      <c r="BI1296" s="115"/>
      <c r="BJ1296" s="115"/>
      <c r="BK1296" s="115"/>
      <c r="BL1296" s="115"/>
      <c r="BM1296" s="115"/>
      <c r="BN1296" s="115"/>
      <c r="BO1296" s="115"/>
      <c r="BP1296" s="115"/>
      <c r="BQ1296" s="115"/>
      <c r="BR1296" s="115"/>
      <c r="BS1296" s="115"/>
      <c r="BT1296" s="115"/>
      <c r="BU1296" s="26"/>
      <c r="BV1296" s="13"/>
      <c r="BY1296" s="114"/>
    </row>
    <row r="1297" spans="51:77" x14ac:dyDescent="0.4">
      <c r="AY1297" s="115"/>
      <c r="AZ1297" s="115"/>
      <c r="BA1297" s="115"/>
      <c r="BB1297" s="115"/>
      <c r="BC1297" s="115"/>
      <c r="BD1297" s="122"/>
      <c r="BE1297" s="122"/>
      <c r="BF1297" s="122"/>
      <c r="BG1297" s="115"/>
      <c r="BH1297" s="115"/>
      <c r="BI1297" s="115"/>
      <c r="BJ1297" s="115"/>
      <c r="BK1297" s="115"/>
      <c r="BL1297" s="115"/>
      <c r="BM1297" s="115"/>
      <c r="BN1297" s="115"/>
      <c r="BO1297" s="115"/>
      <c r="BP1297" s="115"/>
      <c r="BQ1297" s="115"/>
      <c r="BR1297" s="115"/>
      <c r="BS1297" s="115"/>
      <c r="BT1297" s="115"/>
      <c r="BU1297" s="26"/>
      <c r="BV1297" s="13"/>
      <c r="BY1297" s="114"/>
    </row>
    <row r="1298" spans="51:77" x14ac:dyDescent="0.4">
      <c r="AY1298" s="115"/>
      <c r="AZ1298" s="115"/>
      <c r="BA1298" s="115"/>
      <c r="BB1298" s="115"/>
      <c r="BC1298" s="115"/>
      <c r="BD1298" s="122"/>
      <c r="BE1298" s="122"/>
      <c r="BF1298" s="122"/>
      <c r="BG1298" s="115"/>
      <c r="BH1298" s="115"/>
      <c r="BI1298" s="115"/>
      <c r="BJ1298" s="115"/>
      <c r="BK1298" s="115"/>
      <c r="BL1298" s="115"/>
      <c r="BM1298" s="115"/>
      <c r="BN1298" s="115"/>
      <c r="BO1298" s="115"/>
      <c r="BP1298" s="115"/>
      <c r="BQ1298" s="115"/>
      <c r="BR1298" s="115"/>
      <c r="BS1298" s="115"/>
      <c r="BT1298" s="115"/>
      <c r="BU1298" s="26"/>
      <c r="BV1298" s="13"/>
      <c r="BY1298" s="114"/>
    </row>
    <row r="1299" spans="51:77" x14ac:dyDescent="0.4">
      <c r="AY1299" s="115"/>
      <c r="AZ1299" s="115"/>
      <c r="BA1299" s="115"/>
      <c r="BB1299" s="115"/>
      <c r="BC1299" s="115"/>
      <c r="BD1299" s="122"/>
      <c r="BE1299" s="122"/>
      <c r="BF1299" s="122"/>
      <c r="BG1299" s="115"/>
      <c r="BH1299" s="115"/>
      <c r="BI1299" s="115"/>
      <c r="BJ1299" s="115"/>
      <c r="BK1299" s="115"/>
      <c r="BL1299" s="115"/>
      <c r="BM1299" s="115"/>
      <c r="BN1299" s="115"/>
      <c r="BO1299" s="115"/>
      <c r="BP1299" s="115"/>
      <c r="BQ1299" s="115"/>
      <c r="BR1299" s="115"/>
      <c r="BS1299" s="115"/>
      <c r="BT1299" s="115"/>
      <c r="BU1299" s="26"/>
      <c r="BV1299" s="13"/>
      <c r="BY1299" s="114"/>
    </row>
    <row r="1300" spans="51:77" x14ac:dyDescent="0.4">
      <c r="AY1300" s="115"/>
      <c r="AZ1300" s="115"/>
      <c r="BA1300" s="115"/>
      <c r="BB1300" s="115"/>
      <c r="BC1300" s="115"/>
      <c r="BD1300" s="122"/>
      <c r="BE1300" s="122"/>
      <c r="BF1300" s="122"/>
      <c r="BG1300" s="115"/>
      <c r="BH1300" s="115"/>
      <c r="BI1300" s="115"/>
      <c r="BJ1300" s="115"/>
      <c r="BK1300" s="115"/>
      <c r="BL1300" s="115"/>
      <c r="BM1300" s="115"/>
      <c r="BN1300" s="115"/>
      <c r="BO1300" s="115"/>
      <c r="BP1300" s="115"/>
      <c r="BQ1300" s="115"/>
      <c r="BR1300" s="115"/>
      <c r="BS1300" s="115"/>
      <c r="BT1300" s="115"/>
      <c r="BU1300" s="26"/>
      <c r="BV1300" s="13"/>
      <c r="BY1300" s="114"/>
    </row>
    <row r="1301" spans="51:77" x14ac:dyDescent="0.4">
      <c r="AY1301" s="115"/>
      <c r="AZ1301" s="115"/>
      <c r="BA1301" s="115"/>
      <c r="BB1301" s="115"/>
      <c r="BC1301" s="115"/>
      <c r="BD1301" s="122"/>
      <c r="BE1301" s="122"/>
      <c r="BF1301" s="122"/>
      <c r="BG1301" s="115"/>
      <c r="BH1301" s="115"/>
      <c r="BI1301" s="115"/>
      <c r="BJ1301" s="115"/>
      <c r="BK1301" s="115"/>
      <c r="BL1301" s="115"/>
      <c r="BM1301" s="115"/>
      <c r="BN1301" s="115"/>
      <c r="BO1301" s="115"/>
      <c r="BP1301" s="115"/>
      <c r="BQ1301" s="115"/>
      <c r="BR1301" s="115"/>
      <c r="BS1301" s="115"/>
      <c r="BT1301" s="115"/>
      <c r="BU1301" s="26"/>
      <c r="BV1301" s="13"/>
      <c r="BY1301" s="114"/>
    </row>
    <row r="1302" spans="51:77" x14ac:dyDescent="0.4">
      <c r="AY1302" s="115"/>
      <c r="AZ1302" s="115"/>
      <c r="BA1302" s="115"/>
      <c r="BB1302" s="115"/>
      <c r="BC1302" s="115"/>
      <c r="BD1302" s="122"/>
      <c r="BE1302" s="122"/>
      <c r="BF1302" s="122"/>
      <c r="BG1302" s="115"/>
      <c r="BH1302" s="115"/>
      <c r="BI1302" s="115"/>
      <c r="BJ1302" s="115"/>
      <c r="BK1302" s="115"/>
      <c r="BL1302" s="115"/>
      <c r="BM1302" s="115"/>
      <c r="BN1302" s="115"/>
      <c r="BO1302" s="115"/>
      <c r="BP1302" s="115"/>
      <c r="BQ1302" s="115"/>
      <c r="BR1302" s="115"/>
      <c r="BS1302" s="115"/>
      <c r="BT1302" s="115"/>
      <c r="BU1302" s="26"/>
      <c r="BV1302" s="13"/>
      <c r="BY1302" s="114"/>
    </row>
    <row r="1303" spans="51:77" x14ac:dyDescent="0.4">
      <c r="AY1303" s="115"/>
      <c r="AZ1303" s="115"/>
      <c r="BA1303" s="115"/>
      <c r="BB1303" s="115"/>
      <c r="BC1303" s="115"/>
      <c r="BD1303" s="122"/>
      <c r="BE1303" s="122"/>
      <c r="BF1303" s="122"/>
      <c r="BG1303" s="115"/>
      <c r="BH1303" s="115"/>
      <c r="BI1303" s="115"/>
      <c r="BJ1303" s="115"/>
      <c r="BK1303" s="115"/>
      <c r="BL1303" s="115"/>
      <c r="BM1303" s="115"/>
      <c r="BN1303" s="115"/>
      <c r="BO1303" s="115"/>
      <c r="BP1303" s="115"/>
      <c r="BQ1303" s="115"/>
      <c r="BR1303" s="115"/>
      <c r="BS1303" s="115"/>
      <c r="BT1303" s="115"/>
      <c r="BU1303" s="26"/>
      <c r="BV1303" s="13"/>
      <c r="BY1303" s="114"/>
    </row>
    <row r="1304" spans="51:77" x14ac:dyDescent="0.4">
      <c r="AY1304" s="115"/>
      <c r="AZ1304" s="115"/>
      <c r="BA1304" s="115"/>
      <c r="BB1304" s="115"/>
      <c r="BC1304" s="115"/>
      <c r="BD1304" s="122"/>
      <c r="BE1304" s="122"/>
      <c r="BF1304" s="122"/>
      <c r="BG1304" s="115"/>
      <c r="BH1304" s="115"/>
      <c r="BI1304" s="115"/>
      <c r="BJ1304" s="115"/>
      <c r="BK1304" s="115"/>
      <c r="BL1304" s="115"/>
      <c r="BM1304" s="115"/>
      <c r="BN1304" s="115"/>
      <c r="BO1304" s="115"/>
      <c r="BP1304" s="115"/>
      <c r="BQ1304" s="115"/>
      <c r="BR1304" s="115"/>
      <c r="BS1304" s="115"/>
      <c r="BT1304" s="115"/>
      <c r="BU1304" s="26"/>
      <c r="BV1304" s="13"/>
      <c r="BY1304" s="114"/>
    </row>
    <row r="1305" spans="51:77" x14ac:dyDescent="0.4">
      <c r="AY1305" s="115"/>
      <c r="AZ1305" s="115"/>
      <c r="BA1305" s="115"/>
      <c r="BB1305" s="115"/>
      <c r="BC1305" s="115"/>
      <c r="BD1305" s="122"/>
      <c r="BE1305" s="122"/>
      <c r="BF1305" s="122"/>
      <c r="BG1305" s="115"/>
      <c r="BH1305" s="115"/>
      <c r="BI1305" s="115"/>
      <c r="BJ1305" s="115"/>
      <c r="BK1305" s="115"/>
      <c r="BL1305" s="115"/>
      <c r="BM1305" s="115"/>
      <c r="BN1305" s="115"/>
      <c r="BO1305" s="115"/>
      <c r="BP1305" s="115"/>
      <c r="BQ1305" s="115"/>
      <c r="BR1305" s="115"/>
      <c r="BS1305" s="115"/>
      <c r="BT1305" s="115"/>
      <c r="BU1305" s="26"/>
      <c r="BV1305" s="13"/>
      <c r="BY1305" s="114"/>
    </row>
    <row r="1306" spans="51:77" x14ac:dyDescent="0.4">
      <c r="AY1306" s="115"/>
      <c r="AZ1306" s="115"/>
      <c r="BA1306" s="115"/>
      <c r="BB1306" s="115"/>
      <c r="BC1306" s="115"/>
      <c r="BD1306" s="122"/>
      <c r="BE1306" s="122"/>
      <c r="BF1306" s="122"/>
      <c r="BG1306" s="115"/>
      <c r="BH1306" s="115"/>
      <c r="BI1306" s="115"/>
      <c r="BJ1306" s="115"/>
      <c r="BK1306" s="115"/>
      <c r="BL1306" s="115"/>
      <c r="BM1306" s="115"/>
      <c r="BN1306" s="115"/>
      <c r="BO1306" s="115"/>
      <c r="BP1306" s="115"/>
      <c r="BQ1306" s="115"/>
      <c r="BR1306" s="115"/>
      <c r="BS1306" s="115"/>
      <c r="BT1306" s="115"/>
      <c r="BU1306" s="17"/>
      <c r="BV1306" s="13"/>
      <c r="BY1306" s="114"/>
    </row>
    <row r="1307" spans="51:77" x14ac:dyDescent="0.4">
      <c r="AY1307" s="115"/>
      <c r="AZ1307" s="115"/>
      <c r="BA1307" s="115"/>
      <c r="BB1307" s="115"/>
      <c r="BC1307" s="115"/>
      <c r="BD1307" s="122"/>
      <c r="BE1307" s="122"/>
      <c r="BF1307" s="122"/>
      <c r="BG1307" s="115"/>
      <c r="BH1307" s="115"/>
      <c r="BI1307" s="115"/>
      <c r="BJ1307" s="115"/>
      <c r="BK1307" s="115"/>
      <c r="BL1307" s="115"/>
      <c r="BM1307" s="115"/>
      <c r="BN1307" s="115"/>
      <c r="BO1307" s="115"/>
      <c r="BP1307" s="115"/>
      <c r="BQ1307" s="115"/>
      <c r="BR1307" s="115"/>
      <c r="BS1307" s="115"/>
      <c r="BT1307" s="115"/>
      <c r="BU1307" s="26"/>
      <c r="BV1307" s="13"/>
      <c r="BY1307" s="114"/>
    </row>
    <row r="1308" spans="51:77" x14ac:dyDescent="0.4">
      <c r="AY1308" s="115"/>
      <c r="AZ1308" s="115"/>
      <c r="BA1308" s="115"/>
      <c r="BB1308" s="115"/>
      <c r="BC1308" s="115"/>
      <c r="BD1308" s="122"/>
      <c r="BE1308" s="122"/>
      <c r="BF1308" s="122"/>
      <c r="BG1308" s="115"/>
      <c r="BH1308" s="115"/>
      <c r="BI1308" s="115"/>
      <c r="BJ1308" s="115"/>
      <c r="BK1308" s="115"/>
      <c r="BL1308" s="115"/>
      <c r="BM1308" s="115"/>
      <c r="BN1308" s="115"/>
      <c r="BO1308" s="115"/>
      <c r="BP1308" s="115"/>
      <c r="BQ1308" s="115"/>
      <c r="BR1308" s="115"/>
      <c r="BS1308" s="115"/>
      <c r="BT1308" s="115"/>
      <c r="BU1308" s="26"/>
      <c r="BV1308" s="13"/>
      <c r="BY1308" s="114"/>
    </row>
    <row r="1309" spans="51:77" x14ac:dyDescent="0.4">
      <c r="AY1309" s="115"/>
      <c r="AZ1309" s="115"/>
      <c r="BA1309" s="115"/>
      <c r="BB1309" s="115"/>
      <c r="BC1309" s="115"/>
      <c r="BD1309" s="122"/>
      <c r="BE1309" s="122"/>
      <c r="BF1309" s="122"/>
      <c r="BG1309" s="115"/>
      <c r="BH1309" s="115"/>
      <c r="BI1309" s="115"/>
      <c r="BJ1309" s="115"/>
      <c r="BK1309" s="115"/>
      <c r="BL1309" s="115"/>
      <c r="BM1309" s="115"/>
      <c r="BN1309" s="115"/>
      <c r="BO1309" s="115"/>
      <c r="BP1309" s="115"/>
      <c r="BQ1309" s="115"/>
      <c r="BR1309" s="115"/>
      <c r="BS1309" s="115"/>
      <c r="BT1309" s="115"/>
      <c r="BU1309" s="26"/>
      <c r="BV1309" s="13"/>
      <c r="BY1309" s="114"/>
    </row>
    <row r="1310" spans="51:77" x14ac:dyDescent="0.4">
      <c r="AY1310" s="115"/>
      <c r="AZ1310" s="115"/>
      <c r="BA1310" s="115"/>
      <c r="BB1310" s="115"/>
      <c r="BC1310" s="115"/>
      <c r="BD1310" s="122"/>
      <c r="BE1310" s="122"/>
      <c r="BF1310" s="122"/>
      <c r="BG1310" s="115"/>
      <c r="BH1310" s="115"/>
      <c r="BI1310" s="115"/>
      <c r="BJ1310" s="115"/>
      <c r="BK1310" s="115"/>
      <c r="BL1310" s="115"/>
      <c r="BM1310" s="115"/>
      <c r="BN1310" s="115"/>
      <c r="BO1310" s="115"/>
      <c r="BP1310" s="115"/>
      <c r="BQ1310" s="115"/>
      <c r="BR1310" s="115"/>
      <c r="BS1310" s="115"/>
      <c r="BT1310" s="115"/>
      <c r="BU1310" s="17"/>
      <c r="BV1310" s="13"/>
      <c r="BY1310" s="114"/>
    </row>
    <row r="1311" spans="51:77" x14ac:dyDescent="0.4">
      <c r="AY1311" s="115"/>
      <c r="AZ1311" s="115"/>
      <c r="BA1311" s="115"/>
      <c r="BB1311" s="115"/>
      <c r="BC1311" s="115"/>
      <c r="BD1311" s="122"/>
      <c r="BE1311" s="122"/>
      <c r="BF1311" s="122"/>
      <c r="BG1311" s="115"/>
      <c r="BH1311" s="115"/>
      <c r="BI1311" s="115"/>
      <c r="BJ1311" s="115"/>
      <c r="BK1311" s="115"/>
      <c r="BL1311" s="115"/>
      <c r="BM1311" s="115"/>
      <c r="BN1311" s="115"/>
      <c r="BO1311" s="115"/>
      <c r="BP1311" s="115"/>
      <c r="BQ1311" s="115"/>
      <c r="BR1311" s="115"/>
      <c r="BS1311" s="115"/>
      <c r="BT1311" s="115"/>
      <c r="BU1311" s="26"/>
      <c r="BV1311" s="13"/>
      <c r="BY1311" s="114"/>
    </row>
    <row r="1312" spans="51:77" x14ac:dyDescent="0.4">
      <c r="AY1312" s="115"/>
      <c r="AZ1312" s="115"/>
      <c r="BA1312" s="115"/>
      <c r="BB1312" s="115"/>
      <c r="BC1312" s="115"/>
      <c r="BD1312" s="122"/>
      <c r="BE1312" s="122"/>
      <c r="BF1312" s="122"/>
      <c r="BG1312" s="115"/>
      <c r="BH1312" s="115"/>
      <c r="BI1312" s="115"/>
      <c r="BJ1312" s="115"/>
      <c r="BK1312" s="115"/>
      <c r="BL1312" s="115"/>
      <c r="BM1312" s="115"/>
      <c r="BN1312" s="115"/>
      <c r="BO1312" s="115"/>
      <c r="BP1312" s="115"/>
      <c r="BQ1312" s="115"/>
      <c r="BR1312" s="115"/>
      <c r="BS1312" s="115"/>
      <c r="BT1312" s="115"/>
      <c r="BU1312" s="17"/>
      <c r="BV1312" s="13"/>
      <c r="BY1312" s="114"/>
    </row>
    <row r="1313" spans="50:77" x14ac:dyDescent="0.4">
      <c r="AY1313" s="115"/>
      <c r="AZ1313" s="115"/>
      <c r="BA1313" s="115"/>
      <c r="BB1313" s="115"/>
      <c r="BC1313" s="115"/>
      <c r="BD1313" s="122"/>
      <c r="BE1313" s="122"/>
      <c r="BF1313" s="122"/>
      <c r="BG1313" s="115"/>
      <c r="BH1313" s="115"/>
      <c r="BI1313" s="115"/>
      <c r="BJ1313" s="115"/>
      <c r="BK1313" s="115"/>
      <c r="BL1313" s="115"/>
      <c r="BM1313" s="115"/>
      <c r="BN1313" s="115"/>
      <c r="BO1313" s="115"/>
      <c r="BP1313" s="115"/>
      <c r="BQ1313" s="115"/>
      <c r="BR1313" s="115"/>
      <c r="BS1313" s="115"/>
      <c r="BT1313" s="115"/>
      <c r="BU1313" s="26"/>
      <c r="BV1313" s="13"/>
      <c r="BY1313" s="114"/>
    </row>
    <row r="1314" spans="50:77" x14ac:dyDescent="0.4">
      <c r="AY1314" s="115"/>
      <c r="AZ1314" s="115"/>
      <c r="BA1314" s="115"/>
      <c r="BB1314" s="115"/>
      <c r="BC1314" s="115"/>
      <c r="BD1314" s="122"/>
      <c r="BE1314" s="122"/>
      <c r="BF1314" s="122"/>
      <c r="BG1314" s="115"/>
      <c r="BH1314" s="115"/>
      <c r="BI1314" s="115"/>
      <c r="BJ1314" s="115"/>
      <c r="BK1314" s="115"/>
      <c r="BL1314" s="115"/>
      <c r="BM1314" s="115"/>
      <c r="BN1314" s="115"/>
      <c r="BO1314" s="115"/>
      <c r="BP1314" s="115"/>
      <c r="BQ1314" s="115"/>
      <c r="BR1314" s="115"/>
      <c r="BS1314" s="115"/>
      <c r="BT1314" s="115"/>
      <c r="BU1314" s="26"/>
      <c r="BV1314" s="15"/>
      <c r="BY1314" s="114"/>
    </row>
    <row r="1315" spans="50:77" x14ac:dyDescent="0.4">
      <c r="AY1315" s="115"/>
      <c r="AZ1315" s="115"/>
      <c r="BA1315" s="115"/>
      <c r="BB1315" s="115"/>
      <c r="BC1315" s="115"/>
      <c r="BD1315" s="122"/>
      <c r="BE1315" s="122"/>
      <c r="BF1315" s="122"/>
      <c r="BG1315" s="115"/>
      <c r="BH1315" s="115"/>
      <c r="BI1315" s="115"/>
      <c r="BJ1315" s="115"/>
      <c r="BK1315" s="115"/>
      <c r="BL1315" s="115"/>
      <c r="BM1315" s="115"/>
      <c r="BN1315" s="115"/>
      <c r="BO1315" s="115"/>
      <c r="BP1315" s="115"/>
      <c r="BQ1315" s="115"/>
      <c r="BR1315" s="115"/>
      <c r="BS1315" s="115"/>
      <c r="BT1315" s="115"/>
      <c r="BU1315" s="17"/>
      <c r="BV1315" s="15"/>
      <c r="BY1315" s="114"/>
    </row>
    <row r="1316" spans="50:77" x14ac:dyDescent="0.4">
      <c r="AY1316" s="115"/>
      <c r="AZ1316" s="115"/>
      <c r="BA1316" s="115"/>
      <c r="BB1316" s="115"/>
      <c r="BC1316" s="115"/>
      <c r="BD1316" s="122"/>
      <c r="BE1316" s="122"/>
      <c r="BF1316" s="122"/>
      <c r="BG1316" s="115"/>
      <c r="BH1316" s="115"/>
      <c r="BI1316" s="115"/>
      <c r="BJ1316" s="115"/>
      <c r="BK1316" s="115"/>
      <c r="BL1316" s="115"/>
      <c r="BM1316" s="115"/>
      <c r="BN1316" s="115"/>
      <c r="BO1316" s="115"/>
      <c r="BP1316" s="115"/>
      <c r="BQ1316" s="115"/>
      <c r="BR1316" s="115"/>
      <c r="BS1316" s="115"/>
      <c r="BT1316" s="115"/>
      <c r="BU1316" s="17"/>
      <c r="BV1316" s="15"/>
      <c r="BY1316" s="114"/>
    </row>
    <row r="1317" spans="50:77" x14ac:dyDescent="0.4">
      <c r="AX1317" s="115"/>
      <c r="AY1317" s="115"/>
      <c r="AZ1317" s="115"/>
      <c r="BA1317" s="115"/>
      <c r="BB1317" s="115"/>
      <c r="BC1317" s="115"/>
      <c r="BD1317" s="122"/>
      <c r="BE1317" s="122"/>
      <c r="BF1317" s="122"/>
      <c r="BG1317" s="115"/>
      <c r="BH1317" s="115"/>
      <c r="BI1317" s="115"/>
      <c r="BJ1317" s="115"/>
      <c r="BK1317" s="115"/>
      <c r="BL1317" s="115"/>
      <c r="BM1317" s="115"/>
      <c r="BN1317" s="115"/>
      <c r="BO1317" s="115"/>
      <c r="BP1317" s="115"/>
      <c r="BQ1317" s="115"/>
      <c r="BR1317" s="115"/>
      <c r="BS1317" s="115"/>
      <c r="BT1317" s="115"/>
      <c r="BU1317" s="26"/>
      <c r="BV1317" s="15"/>
      <c r="BY1317" s="114"/>
    </row>
    <row r="1318" spans="50:77" x14ac:dyDescent="0.4">
      <c r="AX1318" s="115"/>
      <c r="AY1318" s="115"/>
      <c r="AZ1318" s="115"/>
      <c r="BA1318" s="115"/>
      <c r="BB1318" s="115"/>
      <c r="BC1318" s="115"/>
      <c r="BD1318" s="122"/>
      <c r="BE1318" s="122"/>
      <c r="BF1318" s="122"/>
      <c r="BG1318" s="115"/>
      <c r="BH1318" s="115"/>
      <c r="BI1318" s="115"/>
      <c r="BJ1318" s="115"/>
      <c r="BK1318" s="115"/>
      <c r="BL1318" s="115"/>
      <c r="BM1318" s="115"/>
      <c r="BN1318" s="115"/>
      <c r="BO1318" s="115"/>
      <c r="BP1318" s="115"/>
      <c r="BQ1318" s="115"/>
      <c r="BR1318" s="115"/>
      <c r="BS1318" s="115"/>
      <c r="BT1318" s="115"/>
      <c r="BU1318" s="17"/>
      <c r="BV1318" s="15"/>
      <c r="BY1318" s="114"/>
    </row>
    <row r="1319" spans="50:77" x14ac:dyDescent="0.4">
      <c r="AX1319" s="115"/>
      <c r="AY1319" s="115"/>
      <c r="AZ1319" s="115"/>
      <c r="BA1319" s="115"/>
      <c r="BB1319" s="115"/>
      <c r="BC1319" s="115"/>
      <c r="BD1319" s="122"/>
      <c r="BE1319" s="122"/>
      <c r="BF1319" s="122"/>
      <c r="BG1319" s="115"/>
      <c r="BH1319" s="115"/>
      <c r="BI1319" s="115"/>
      <c r="BJ1319" s="115"/>
      <c r="BK1319" s="115"/>
      <c r="BL1319" s="115"/>
      <c r="BM1319" s="115"/>
      <c r="BN1319" s="115"/>
      <c r="BO1319" s="115"/>
      <c r="BP1319" s="115"/>
      <c r="BQ1319" s="115"/>
      <c r="BR1319" s="115"/>
      <c r="BS1319" s="115"/>
      <c r="BT1319" s="115"/>
      <c r="BU1319" s="26"/>
      <c r="BV1319" s="15"/>
      <c r="BY1319" s="114"/>
    </row>
    <row r="1320" spans="50:77" x14ac:dyDescent="0.4">
      <c r="AX1320" s="115"/>
      <c r="AY1320" s="115"/>
      <c r="AZ1320" s="115"/>
      <c r="BA1320" s="115"/>
      <c r="BB1320" s="115"/>
      <c r="BC1320" s="115"/>
      <c r="BD1320" s="122"/>
      <c r="BE1320" s="122"/>
      <c r="BF1320" s="122"/>
      <c r="BG1320" s="115"/>
      <c r="BH1320" s="115"/>
      <c r="BI1320" s="115"/>
      <c r="BJ1320" s="115"/>
      <c r="BK1320" s="115"/>
      <c r="BL1320" s="115"/>
      <c r="BM1320" s="115"/>
      <c r="BN1320" s="115"/>
      <c r="BO1320" s="115"/>
      <c r="BP1320" s="115"/>
      <c r="BQ1320" s="115"/>
      <c r="BR1320" s="115"/>
      <c r="BS1320" s="115"/>
      <c r="BT1320" s="115"/>
      <c r="BU1320" s="26"/>
      <c r="BV1320" s="15"/>
      <c r="BY1320" s="114"/>
    </row>
    <row r="1321" spans="50:77" x14ac:dyDescent="0.4">
      <c r="AX1321" s="115"/>
      <c r="AY1321" s="115"/>
      <c r="AZ1321" s="115"/>
      <c r="BA1321" s="115"/>
      <c r="BB1321" s="115"/>
      <c r="BC1321" s="115"/>
      <c r="BD1321" s="122"/>
      <c r="BE1321" s="122"/>
      <c r="BF1321" s="122"/>
      <c r="BG1321" s="115"/>
      <c r="BH1321" s="115"/>
      <c r="BI1321" s="115"/>
      <c r="BJ1321" s="115"/>
      <c r="BK1321" s="115"/>
      <c r="BL1321" s="115"/>
      <c r="BM1321" s="115"/>
      <c r="BN1321" s="115"/>
      <c r="BO1321" s="115"/>
      <c r="BP1321" s="115"/>
      <c r="BQ1321" s="115"/>
      <c r="BR1321" s="115"/>
      <c r="BS1321" s="115"/>
      <c r="BT1321" s="115"/>
      <c r="BU1321" s="17"/>
      <c r="BV1321" s="15"/>
      <c r="BY1321" s="114"/>
    </row>
    <row r="1322" spans="50:77" x14ac:dyDescent="0.4">
      <c r="AX1322" s="115"/>
      <c r="AY1322" s="115"/>
      <c r="AZ1322" s="115"/>
      <c r="BA1322" s="115"/>
      <c r="BB1322" s="115"/>
      <c r="BC1322" s="115"/>
      <c r="BD1322" s="122"/>
      <c r="BE1322" s="122"/>
      <c r="BF1322" s="122"/>
      <c r="BG1322" s="115"/>
      <c r="BH1322" s="115"/>
      <c r="BI1322" s="115"/>
      <c r="BJ1322" s="115"/>
      <c r="BK1322" s="115"/>
      <c r="BL1322" s="115"/>
      <c r="BM1322" s="115"/>
      <c r="BN1322" s="115"/>
      <c r="BO1322" s="115"/>
      <c r="BP1322" s="115"/>
      <c r="BQ1322" s="115"/>
      <c r="BR1322" s="115"/>
      <c r="BS1322" s="115"/>
      <c r="BT1322" s="115"/>
      <c r="BU1322" s="26"/>
      <c r="BV1322" s="15"/>
      <c r="BY1322" s="114"/>
    </row>
    <row r="1323" spans="50:77" x14ac:dyDescent="0.4">
      <c r="AX1323" s="115"/>
      <c r="AY1323" s="115"/>
      <c r="AZ1323" s="115"/>
      <c r="BA1323" s="115"/>
      <c r="BB1323" s="115"/>
      <c r="BC1323" s="115"/>
      <c r="BD1323" s="122"/>
      <c r="BE1323" s="122"/>
      <c r="BF1323" s="122"/>
      <c r="BG1323" s="115"/>
      <c r="BH1323" s="115"/>
      <c r="BI1323" s="115"/>
      <c r="BJ1323" s="115"/>
      <c r="BK1323" s="115"/>
      <c r="BL1323" s="115"/>
      <c r="BM1323" s="115"/>
      <c r="BN1323" s="115"/>
      <c r="BO1323" s="115"/>
      <c r="BP1323" s="115"/>
      <c r="BQ1323" s="115"/>
      <c r="BR1323" s="115"/>
      <c r="BS1323" s="115"/>
      <c r="BT1323" s="115"/>
      <c r="BU1323" s="17"/>
      <c r="BV1323" s="15"/>
      <c r="BY1323" s="114"/>
    </row>
    <row r="1324" spans="50:77" x14ac:dyDescent="0.4">
      <c r="AX1324" s="115"/>
      <c r="AY1324" s="115"/>
      <c r="AZ1324" s="115"/>
      <c r="BA1324" s="115"/>
      <c r="BB1324" s="115"/>
      <c r="BC1324" s="115"/>
      <c r="BD1324" s="122"/>
      <c r="BE1324" s="122"/>
      <c r="BF1324" s="122"/>
      <c r="BG1324" s="115"/>
      <c r="BH1324" s="115"/>
      <c r="BI1324" s="115"/>
      <c r="BJ1324" s="115"/>
      <c r="BK1324" s="115"/>
      <c r="BL1324" s="115"/>
      <c r="BM1324" s="115"/>
      <c r="BN1324" s="115"/>
      <c r="BO1324" s="115"/>
      <c r="BP1324" s="115"/>
      <c r="BQ1324" s="115"/>
      <c r="BR1324" s="115"/>
      <c r="BS1324" s="115"/>
      <c r="BT1324" s="115"/>
      <c r="BU1324" s="17"/>
      <c r="BV1324" s="15"/>
      <c r="BY1324" s="114"/>
    </row>
    <row r="1325" spans="50:77" x14ac:dyDescent="0.4">
      <c r="AX1325" s="115"/>
      <c r="AY1325" s="115"/>
      <c r="AZ1325" s="115"/>
      <c r="BA1325" s="115"/>
      <c r="BB1325" s="115"/>
      <c r="BC1325" s="115"/>
      <c r="BD1325" s="122"/>
      <c r="BE1325" s="122"/>
      <c r="BF1325" s="122"/>
      <c r="BG1325" s="115"/>
      <c r="BH1325" s="115"/>
      <c r="BI1325" s="115"/>
      <c r="BJ1325" s="115"/>
      <c r="BK1325" s="115"/>
      <c r="BL1325" s="115"/>
      <c r="BM1325" s="115"/>
      <c r="BN1325" s="115"/>
      <c r="BO1325" s="115"/>
      <c r="BP1325" s="115"/>
      <c r="BQ1325" s="115"/>
      <c r="BR1325" s="115"/>
      <c r="BS1325" s="115"/>
      <c r="BT1325" s="115"/>
      <c r="BU1325" s="26"/>
      <c r="BV1325" s="15"/>
      <c r="BY1325" s="114"/>
    </row>
    <row r="1326" spans="50:77" x14ac:dyDescent="0.4">
      <c r="AX1326" s="115"/>
      <c r="AY1326" s="115"/>
      <c r="AZ1326" s="115"/>
      <c r="BA1326" s="115"/>
      <c r="BB1326" s="115"/>
      <c r="BC1326" s="115"/>
      <c r="BD1326" s="122"/>
      <c r="BE1326" s="122"/>
      <c r="BF1326" s="122"/>
      <c r="BG1326" s="115"/>
      <c r="BH1326" s="115"/>
      <c r="BI1326" s="115"/>
      <c r="BJ1326" s="115"/>
      <c r="BK1326" s="115"/>
      <c r="BL1326" s="115"/>
      <c r="BM1326" s="115"/>
      <c r="BN1326" s="115"/>
      <c r="BO1326" s="115"/>
      <c r="BP1326" s="115"/>
      <c r="BQ1326" s="115"/>
      <c r="BR1326" s="115"/>
      <c r="BS1326" s="115"/>
      <c r="BT1326" s="115"/>
      <c r="BU1326" s="26"/>
      <c r="BV1326" s="15"/>
      <c r="BY1326" s="114"/>
    </row>
    <row r="1327" spans="50:77" x14ac:dyDescent="0.4">
      <c r="AX1327" s="115"/>
      <c r="AY1327" s="115"/>
      <c r="AZ1327" s="115"/>
      <c r="BA1327" s="115"/>
      <c r="BB1327" s="115"/>
      <c r="BC1327" s="115"/>
      <c r="BD1327" s="122"/>
      <c r="BE1327" s="122"/>
      <c r="BF1327" s="122"/>
      <c r="BG1327" s="115"/>
      <c r="BH1327" s="115"/>
      <c r="BI1327" s="115"/>
      <c r="BJ1327" s="115"/>
      <c r="BK1327" s="115"/>
      <c r="BL1327" s="115"/>
      <c r="BM1327" s="115"/>
      <c r="BN1327" s="115"/>
      <c r="BO1327" s="115"/>
      <c r="BP1327" s="115"/>
      <c r="BQ1327" s="115"/>
      <c r="BR1327" s="115"/>
      <c r="BS1327" s="115"/>
      <c r="BT1327" s="115"/>
      <c r="BU1327" s="26"/>
      <c r="BV1327" s="15"/>
      <c r="BY1327" s="114"/>
    </row>
    <row r="1328" spans="50:77" x14ac:dyDescent="0.4">
      <c r="AX1328" s="115"/>
      <c r="AY1328" s="115"/>
      <c r="AZ1328" s="115"/>
      <c r="BA1328" s="115"/>
      <c r="BB1328" s="115"/>
      <c r="BC1328" s="115"/>
      <c r="BD1328" s="122"/>
      <c r="BE1328" s="122"/>
      <c r="BF1328" s="122"/>
      <c r="BG1328" s="115"/>
      <c r="BH1328" s="115"/>
      <c r="BI1328" s="115"/>
      <c r="BJ1328" s="115"/>
      <c r="BK1328" s="115"/>
      <c r="BL1328" s="115"/>
      <c r="BM1328" s="115"/>
      <c r="BN1328" s="115"/>
      <c r="BO1328" s="115"/>
      <c r="BP1328" s="115"/>
      <c r="BQ1328" s="115"/>
      <c r="BR1328" s="115"/>
      <c r="BS1328" s="115"/>
      <c r="BT1328" s="115"/>
      <c r="BU1328" s="26"/>
      <c r="BV1328" s="15"/>
      <c r="BY1328" s="114"/>
    </row>
    <row r="1329" spans="50:77" x14ac:dyDescent="0.4">
      <c r="AX1329" s="115"/>
      <c r="AY1329" s="115"/>
      <c r="AZ1329" s="115"/>
      <c r="BA1329" s="115"/>
      <c r="BB1329" s="115"/>
      <c r="BC1329" s="115"/>
      <c r="BD1329" s="122"/>
      <c r="BE1329" s="122"/>
      <c r="BF1329" s="122"/>
      <c r="BG1329" s="115"/>
      <c r="BH1329" s="115"/>
      <c r="BI1329" s="115"/>
      <c r="BJ1329" s="115"/>
      <c r="BK1329" s="115"/>
      <c r="BL1329" s="115"/>
      <c r="BM1329" s="115"/>
      <c r="BN1329" s="115"/>
      <c r="BO1329" s="115"/>
      <c r="BP1329" s="115"/>
      <c r="BQ1329" s="115"/>
      <c r="BR1329" s="115"/>
      <c r="BS1329" s="115"/>
      <c r="BT1329" s="115"/>
      <c r="BU1329" s="26"/>
      <c r="BV1329" s="15"/>
      <c r="BY1329" s="114"/>
    </row>
    <row r="1330" spans="50:77" x14ac:dyDescent="0.4">
      <c r="AX1330" s="115"/>
      <c r="AY1330" s="115"/>
      <c r="AZ1330" s="115"/>
      <c r="BA1330" s="115"/>
      <c r="BB1330" s="115"/>
      <c r="BC1330" s="115"/>
      <c r="BD1330" s="122"/>
      <c r="BE1330" s="122"/>
      <c r="BF1330" s="122"/>
      <c r="BG1330" s="115"/>
      <c r="BH1330" s="115"/>
      <c r="BI1330" s="115"/>
      <c r="BJ1330" s="115"/>
      <c r="BK1330" s="115"/>
      <c r="BL1330" s="115"/>
      <c r="BM1330" s="115"/>
      <c r="BN1330" s="115"/>
      <c r="BO1330" s="115"/>
      <c r="BP1330" s="115"/>
      <c r="BQ1330" s="115"/>
      <c r="BR1330" s="115"/>
      <c r="BS1330" s="115"/>
      <c r="BT1330" s="115"/>
      <c r="BU1330" s="26"/>
      <c r="BV1330" s="15"/>
      <c r="BY1330" s="114"/>
    </row>
    <row r="1331" spans="50:77" x14ac:dyDescent="0.4">
      <c r="AX1331" s="115"/>
      <c r="AY1331" s="115"/>
      <c r="AZ1331" s="115"/>
      <c r="BA1331" s="115"/>
      <c r="BB1331" s="115"/>
      <c r="BC1331" s="115"/>
      <c r="BD1331" s="122"/>
      <c r="BE1331" s="122"/>
      <c r="BF1331" s="122"/>
      <c r="BG1331" s="115"/>
      <c r="BH1331" s="115"/>
      <c r="BI1331" s="115"/>
      <c r="BJ1331" s="115"/>
      <c r="BK1331" s="115"/>
      <c r="BL1331" s="115"/>
      <c r="BM1331" s="115"/>
      <c r="BN1331" s="115"/>
      <c r="BO1331" s="115"/>
      <c r="BP1331" s="115"/>
      <c r="BQ1331" s="115"/>
      <c r="BR1331" s="115"/>
      <c r="BS1331" s="115"/>
      <c r="BT1331" s="115"/>
      <c r="BU1331" s="26"/>
      <c r="BV1331" s="15"/>
      <c r="BY1331" s="114"/>
    </row>
    <row r="1332" spans="50:77" x14ac:dyDescent="0.4">
      <c r="AX1332" s="115"/>
      <c r="AY1332" s="115"/>
      <c r="AZ1332" s="115"/>
      <c r="BA1332" s="115"/>
      <c r="BB1332" s="115"/>
      <c r="BC1332" s="115"/>
      <c r="BD1332" s="122"/>
      <c r="BE1332" s="122"/>
      <c r="BF1332" s="122"/>
      <c r="BG1332" s="115"/>
      <c r="BH1332" s="115"/>
      <c r="BI1332" s="115"/>
      <c r="BJ1332" s="115"/>
      <c r="BK1332" s="115"/>
      <c r="BL1332" s="115"/>
      <c r="BM1332" s="115"/>
      <c r="BN1332" s="115"/>
      <c r="BO1332" s="115"/>
      <c r="BP1332" s="115"/>
      <c r="BQ1332" s="115"/>
      <c r="BR1332" s="115"/>
      <c r="BS1332" s="115"/>
      <c r="BT1332" s="115"/>
      <c r="BU1332" s="17"/>
      <c r="BV1332" s="15"/>
      <c r="BY1332" s="114"/>
    </row>
    <row r="1333" spans="50:77" x14ac:dyDescent="0.4">
      <c r="AX1333" s="115"/>
      <c r="AY1333" s="115"/>
      <c r="AZ1333" s="115"/>
      <c r="BA1333" s="115"/>
      <c r="BB1333" s="115"/>
      <c r="BC1333" s="115"/>
      <c r="BD1333" s="122"/>
      <c r="BE1333" s="122"/>
      <c r="BF1333" s="122"/>
      <c r="BG1333" s="115"/>
      <c r="BH1333" s="115"/>
      <c r="BI1333" s="115"/>
      <c r="BJ1333" s="115"/>
      <c r="BK1333" s="115"/>
      <c r="BL1333" s="115"/>
      <c r="BM1333" s="115"/>
      <c r="BN1333" s="115"/>
      <c r="BO1333" s="115"/>
      <c r="BP1333" s="115"/>
      <c r="BQ1333" s="115"/>
      <c r="BR1333" s="115"/>
      <c r="BS1333" s="115"/>
      <c r="BT1333" s="115"/>
      <c r="BU1333" s="26"/>
      <c r="BV1333" s="15"/>
      <c r="BY1333" s="114"/>
    </row>
    <row r="1334" spans="50:77" x14ac:dyDescent="0.4">
      <c r="AX1334" s="115"/>
      <c r="AY1334" s="115"/>
      <c r="AZ1334" s="115"/>
      <c r="BA1334" s="115"/>
      <c r="BB1334" s="115"/>
      <c r="BC1334" s="115"/>
      <c r="BD1334" s="122"/>
      <c r="BE1334" s="122"/>
      <c r="BF1334" s="122"/>
      <c r="BG1334" s="115"/>
      <c r="BH1334" s="115"/>
      <c r="BI1334" s="115"/>
      <c r="BJ1334" s="115"/>
      <c r="BK1334" s="115"/>
      <c r="BL1334" s="115"/>
      <c r="BM1334" s="115"/>
      <c r="BN1334" s="115"/>
      <c r="BO1334" s="115"/>
      <c r="BP1334" s="115"/>
      <c r="BQ1334" s="115"/>
      <c r="BR1334" s="115"/>
      <c r="BS1334" s="115"/>
      <c r="BT1334" s="115"/>
      <c r="BU1334" s="26"/>
      <c r="BV1334" s="15"/>
      <c r="BY1334" s="114"/>
    </row>
    <row r="1335" spans="50:77" x14ac:dyDescent="0.4">
      <c r="AX1335" s="115"/>
      <c r="AY1335" s="115"/>
      <c r="AZ1335" s="115"/>
      <c r="BA1335" s="115"/>
      <c r="BB1335" s="115"/>
      <c r="BC1335" s="115"/>
      <c r="BD1335" s="122"/>
      <c r="BE1335" s="122"/>
      <c r="BF1335" s="122"/>
      <c r="BG1335" s="115"/>
      <c r="BH1335" s="115"/>
      <c r="BI1335" s="115"/>
      <c r="BJ1335" s="115"/>
      <c r="BK1335" s="115"/>
      <c r="BL1335" s="115"/>
      <c r="BM1335" s="115"/>
      <c r="BN1335" s="115"/>
      <c r="BO1335" s="115"/>
      <c r="BP1335" s="115"/>
      <c r="BQ1335" s="115"/>
      <c r="BR1335" s="115"/>
      <c r="BS1335" s="115"/>
      <c r="BT1335" s="115"/>
      <c r="BU1335" s="26"/>
      <c r="BV1335" s="15"/>
      <c r="BY1335" s="114"/>
    </row>
    <row r="1336" spans="50:77" x14ac:dyDescent="0.4">
      <c r="AX1336" s="115"/>
      <c r="AY1336" s="115"/>
      <c r="AZ1336" s="115"/>
      <c r="BA1336" s="115"/>
      <c r="BB1336" s="115"/>
      <c r="BC1336" s="115"/>
      <c r="BD1336" s="122"/>
      <c r="BE1336" s="122"/>
      <c r="BF1336" s="122"/>
      <c r="BG1336" s="115"/>
      <c r="BH1336" s="115"/>
      <c r="BI1336" s="115"/>
      <c r="BJ1336" s="115"/>
      <c r="BK1336" s="115"/>
      <c r="BL1336" s="115"/>
      <c r="BM1336" s="115"/>
      <c r="BN1336" s="115"/>
      <c r="BO1336" s="115"/>
      <c r="BP1336" s="115"/>
      <c r="BQ1336" s="115"/>
      <c r="BR1336" s="115"/>
      <c r="BS1336" s="115"/>
      <c r="BT1336" s="115"/>
      <c r="BU1336" s="26"/>
      <c r="BV1336" s="13"/>
      <c r="BY1336" s="114"/>
    </row>
    <row r="1337" spans="50:77" x14ac:dyDescent="0.4">
      <c r="AX1337" s="115"/>
      <c r="AY1337" s="115"/>
      <c r="AZ1337" s="115"/>
      <c r="BA1337" s="115"/>
      <c r="BB1337" s="115"/>
      <c r="BC1337" s="115"/>
      <c r="BD1337" s="122"/>
      <c r="BE1337" s="122"/>
      <c r="BF1337" s="122"/>
      <c r="BG1337" s="115"/>
      <c r="BH1337" s="115"/>
      <c r="BI1337" s="115"/>
      <c r="BJ1337" s="115"/>
      <c r="BK1337" s="115"/>
      <c r="BL1337" s="115"/>
      <c r="BM1337" s="115"/>
      <c r="BN1337" s="115"/>
      <c r="BO1337" s="115"/>
      <c r="BP1337" s="115"/>
      <c r="BQ1337" s="115"/>
      <c r="BR1337" s="115"/>
      <c r="BS1337" s="115"/>
      <c r="BT1337" s="115"/>
      <c r="BU1337" s="17"/>
      <c r="BV1337" s="13"/>
      <c r="BY1337" s="114"/>
    </row>
    <row r="1338" spans="50:77" x14ac:dyDescent="0.4">
      <c r="AX1338" s="115"/>
      <c r="AY1338" s="115"/>
      <c r="AZ1338" s="115"/>
      <c r="BA1338" s="115"/>
      <c r="BB1338" s="115"/>
      <c r="BC1338" s="115"/>
      <c r="BD1338" s="122"/>
      <c r="BE1338" s="122"/>
      <c r="BF1338" s="122"/>
      <c r="BG1338" s="115"/>
      <c r="BH1338" s="115"/>
      <c r="BI1338" s="115"/>
      <c r="BJ1338" s="115"/>
      <c r="BK1338" s="115"/>
      <c r="BL1338" s="115"/>
      <c r="BM1338" s="115"/>
      <c r="BN1338" s="115"/>
      <c r="BO1338" s="115"/>
      <c r="BP1338" s="115"/>
      <c r="BQ1338" s="115"/>
      <c r="BR1338" s="115"/>
      <c r="BS1338" s="115"/>
      <c r="BT1338" s="115"/>
      <c r="BU1338" s="26"/>
      <c r="BV1338" s="13"/>
      <c r="BY1338" s="114"/>
    </row>
    <row r="1339" spans="50:77" x14ac:dyDescent="0.4">
      <c r="AX1339" s="115"/>
      <c r="AY1339" s="115"/>
      <c r="AZ1339" s="115"/>
      <c r="BA1339" s="115"/>
      <c r="BB1339" s="115"/>
      <c r="BC1339" s="115"/>
      <c r="BD1339" s="122"/>
      <c r="BE1339" s="122"/>
      <c r="BF1339" s="122"/>
      <c r="BG1339" s="115"/>
      <c r="BH1339" s="115"/>
      <c r="BI1339" s="115"/>
      <c r="BJ1339" s="115"/>
      <c r="BK1339" s="115"/>
      <c r="BL1339" s="115"/>
      <c r="BM1339" s="115"/>
      <c r="BN1339" s="115"/>
      <c r="BO1339" s="115"/>
      <c r="BP1339" s="115"/>
      <c r="BQ1339" s="115"/>
      <c r="BR1339" s="115"/>
      <c r="BS1339" s="115"/>
      <c r="BT1339" s="115"/>
      <c r="BU1339" s="26"/>
      <c r="BV1339" s="13"/>
      <c r="BY1339" s="114"/>
    </row>
    <row r="1340" spans="50:77" x14ac:dyDescent="0.4">
      <c r="AX1340" s="115"/>
      <c r="AY1340" s="115"/>
      <c r="AZ1340" s="115"/>
      <c r="BA1340" s="115"/>
      <c r="BB1340" s="115"/>
      <c r="BC1340" s="115"/>
      <c r="BD1340" s="122"/>
      <c r="BE1340" s="122"/>
      <c r="BF1340" s="122"/>
      <c r="BG1340" s="115"/>
      <c r="BH1340" s="115"/>
      <c r="BI1340" s="115"/>
      <c r="BJ1340" s="115"/>
      <c r="BK1340" s="115"/>
      <c r="BL1340" s="115"/>
      <c r="BM1340" s="115"/>
      <c r="BN1340" s="115"/>
      <c r="BO1340" s="115"/>
      <c r="BP1340" s="115"/>
      <c r="BQ1340" s="115"/>
      <c r="BR1340" s="115"/>
      <c r="BS1340" s="115"/>
      <c r="BT1340" s="115"/>
      <c r="BU1340" s="26"/>
      <c r="BV1340" s="13"/>
      <c r="BY1340" s="114"/>
    </row>
    <row r="1341" spans="50:77" x14ac:dyDescent="0.4">
      <c r="AX1341" s="115"/>
      <c r="AY1341" s="115"/>
      <c r="AZ1341" s="115"/>
      <c r="BA1341" s="115"/>
      <c r="BB1341" s="115"/>
      <c r="BC1341" s="115"/>
      <c r="BD1341" s="122"/>
      <c r="BE1341" s="122"/>
      <c r="BF1341" s="122"/>
      <c r="BG1341" s="115"/>
      <c r="BH1341" s="115"/>
      <c r="BI1341" s="115"/>
      <c r="BJ1341" s="115"/>
      <c r="BK1341" s="115"/>
      <c r="BL1341" s="115"/>
      <c r="BM1341" s="115"/>
      <c r="BN1341" s="115"/>
      <c r="BO1341" s="115"/>
      <c r="BP1341" s="115"/>
      <c r="BQ1341" s="115"/>
      <c r="BR1341" s="115"/>
      <c r="BS1341" s="115"/>
      <c r="BT1341" s="115"/>
      <c r="BU1341" s="26"/>
      <c r="BV1341" s="13"/>
      <c r="BY1341" s="114"/>
    </row>
    <row r="1342" spans="50:77" x14ac:dyDescent="0.4">
      <c r="AX1342" s="115"/>
      <c r="AY1342" s="115"/>
      <c r="AZ1342" s="115"/>
      <c r="BA1342" s="115"/>
      <c r="BB1342" s="115"/>
      <c r="BC1342" s="115"/>
      <c r="BD1342" s="122"/>
      <c r="BE1342" s="122"/>
      <c r="BF1342" s="122"/>
      <c r="BG1342" s="115"/>
      <c r="BH1342" s="115"/>
      <c r="BI1342" s="115"/>
      <c r="BJ1342" s="115"/>
      <c r="BK1342" s="115"/>
      <c r="BL1342" s="115"/>
      <c r="BM1342" s="115"/>
      <c r="BN1342" s="115"/>
      <c r="BO1342" s="115"/>
      <c r="BP1342" s="115"/>
      <c r="BQ1342" s="115"/>
      <c r="BR1342" s="115"/>
      <c r="BS1342" s="115"/>
      <c r="BT1342" s="115"/>
      <c r="BU1342" s="26"/>
      <c r="BV1342" s="13"/>
      <c r="BY1342" s="114"/>
    </row>
    <row r="1343" spans="50:77" x14ac:dyDescent="0.4">
      <c r="AX1343" s="115"/>
      <c r="AY1343" s="115"/>
      <c r="AZ1343" s="115"/>
      <c r="BA1343" s="115"/>
      <c r="BB1343" s="115"/>
      <c r="BC1343" s="115"/>
      <c r="BD1343" s="122"/>
      <c r="BE1343" s="122"/>
      <c r="BF1343" s="122"/>
      <c r="BG1343" s="115"/>
      <c r="BH1343" s="115"/>
      <c r="BI1343" s="115"/>
      <c r="BJ1343" s="115"/>
      <c r="BK1343" s="115"/>
      <c r="BL1343" s="115"/>
      <c r="BM1343" s="115"/>
      <c r="BN1343" s="115"/>
      <c r="BO1343" s="115"/>
      <c r="BP1343" s="115"/>
      <c r="BQ1343" s="115"/>
      <c r="BR1343" s="115"/>
      <c r="BS1343" s="115"/>
      <c r="BT1343" s="115"/>
      <c r="BU1343" s="26"/>
      <c r="BV1343" s="13"/>
      <c r="BY1343" s="114"/>
    </row>
    <row r="1344" spans="50:77" x14ac:dyDescent="0.4">
      <c r="AX1344" s="115"/>
      <c r="AY1344" s="115"/>
      <c r="AZ1344" s="115"/>
      <c r="BA1344" s="115"/>
      <c r="BB1344" s="115"/>
      <c r="BC1344" s="115"/>
      <c r="BD1344" s="122"/>
      <c r="BE1344" s="122"/>
      <c r="BF1344" s="122"/>
      <c r="BG1344" s="115"/>
      <c r="BH1344" s="115"/>
      <c r="BI1344" s="115"/>
      <c r="BJ1344" s="115"/>
      <c r="BK1344" s="115"/>
      <c r="BL1344" s="115"/>
      <c r="BM1344" s="115"/>
      <c r="BN1344" s="115"/>
      <c r="BO1344" s="115"/>
      <c r="BP1344" s="115"/>
      <c r="BQ1344" s="115"/>
      <c r="BR1344" s="115"/>
      <c r="BS1344" s="115"/>
      <c r="BT1344" s="115"/>
      <c r="BU1344" s="17"/>
      <c r="BV1344" s="13"/>
      <c r="BY1344" s="114"/>
    </row>
    <row r="1345" spans="5:77" x14ac:dyDescent="0.4">
      <c r="AX1345" s="115"/>
      <c r="AY1345" s="115"/>
      <c r="AZ1345" s="115"/>
      <c r="BA1345" s="115"/>
      <c r="BB1345" s="115"/>
      <c r="BC1345" s="115"/>
      <c r="BD1345" s="122"/>
      <c r="BE1345" s="122"/>
      <c r="BF1345" s="122"/>
      <c r="BG1345" s="115"/>
      <c r="BH1345" s="115"/>
      <c r="BI1345" s="115"/>
      <c r="BJ1345" s="115"/>
      <c r="BK1345" s="115"/>
      <c r="BL1345" s="115"/>
      <c r="BM1345" s="115"/>
      <c r="BN1345" s="115"/>
      <c r="BO1345" s="115"/>
      <c r="BP1345" s="115"/>
      <c r="BQ1345" s="115"/>
      <c r="BR1345" s="115"/>
      <c r="BS1345" s="115"/>
      <c r="BT1345" s="115"/>
      <c r="BU1345" s="26"/>
      <c r="BV1345" s="13"/>
      <c r="BY1345" s="114"/>
    </row>
    <row r="1346" spans="5:77" x14ac:dyDescent="0.4">
      <c r="AX1346" s="115"/>
      <c r="AY1346" s="115"/>
      <c r="AZ1346" s="115"/>
      <c r="BA1346" s="115"/>
      <c r="BB1346" s="115"/>
      <c r="BC1346" s="115"/>
      <c r="BD1346" s="122"/>
      <c r="BE1346" s="122"/>
      <c r="BF1346" s="122"/>
      <c r="BG1346" s="115"/>
      <c r="BH1346" s="115"/>
      <c r="BI1346" s="115"/>
      <c r="BJ1346" s="115"/>
      <c r="BK1346" s="115"/>
      <c r="BL1346" s="115"/>
      <c r="BM1346" s="115"/>
      <c r="BN1346" s="115"/>
      <c r="BO1346" s="115"/>
      <c r="BP1346" s="115"/>
      <c r="BQ1346" s="115"/>
      <c r="BR1346" s="115"/>
      <c r="BS1346" s="115"/>
      <c r="BT1346" s="115"/>
      <c r="BU1346" s="26"/>
      <c r="BV1346" s="13"/>
      <c r="BY1346" s="114"/>
    </row>
    <row r="1347" spans="5:77" x14ac:dyDescent="0.4"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15"/>
      <c r="AY1347" s="115"/>
      <c r="AZ1347" s="115"/>
      <c r="BA1347" s="115"/>
      <c r="BB1347" s="115"/>
      <c r="BC1347" s="115"/>
      <c r="BD1347" s="122"/>
      <c r="BE1347" s="122"/>
      <c r="BF1347" s="122"/>
      <c r="BG1347" s="115"/>
      <c r="BH1347" s="115"/>
      <c r="BI1347" s="115"/>
      <c r="BJ1347" s="115"/>
      <c r="BK1347" s="115"/>
      <c r="BL1347" s="115"/>
      <c r="BM1347" s="115"/>
      <c r="BN1347" s="115"/>
      <c r="BO1347" s="115"/>
      <c r="BP1347" s="115"/>
      <c r="BQ1347" s="115"/>
      <c r="BR1347" s="115"/>
      <c r="BS1347" s="115"/>
      <c r="BT1347" s="115"/>
      <c r="BU1347" s="26"/>
      <c r="BV1347" s="13"/>
      <c r="BY1347" s="114"/>
    </row>
    <row r="1348" spans="5:77" x14ac:dyDescent="0.4"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22"/>
      <c r="BE1348" s="122"/>
      <c r="BF1348" s="122"/>
      <c r="BG1348" s="115"/>
      <c r="BH1348" s="115"/>
      <c r="BI1348" s="115"/>
      <c r="BJ1348" s="115"/>
      <c r="BK1348" s="115"/>
      <c r="BL1348" s="115"/>
      <c r="BM1348" s="115"/>
      <c r="BN1348" s="115"/>
      <c r="BO1348" s="115"/>
      <c r="BP1348" s="115"/>
      <c r="BQ1348" s="115"/>
      <c r="BR1348" s="115"/>
      <c r="BS1348" s="115"/>
      <c r="BT1348" s="115"/>
      <c r="BU1348" s="26"/>
      <c r="BV1348" s="13"/>
      <c r="BY1348" s="114"/>
    </row>
    <row r="1349" spans="5:77" x14ac:dyDescent="0.4"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15"/>
      <c r="BC1349" s="115"/>
      <c r="BD1349" s="122"/>
      <c r="BE1349" s="122"/>
      <c r="BF1349" s="122"/>
      <c r="BG1349" s="115"/>
      <c r="BH1349" s="115"/>
      <c r="BI1349" s="115"/>
      <c r="BJ1349" s="115"/>
      <c r="BK1349" s="115"/>
      <c r="BL1349" s="115"/>
      <c r="BM1349" s="115"/>
      <c r="BN1349" s="115"/>
      <c r="BO1349" s="115"/>
      <c r="BP1349" s="115"/>
      <c r="BQ1349" s="115"/>
      <c r="BR1349" s="115"/>
      <c r="BS1349" s="115"/>
      <c r="BT1349" s="115"/>
      <c r="BU1349" s="26"/>
      <c r="BV1349" s="13"/>
      <c r="BY1349" s="114"/>
    </row>
    <row r="1350" spans="5:77" x14ac:dyDescent="0.4"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15"/>
      <c r="AZ1350" s="115"/>
      <c r="BA1350" s="115"/>
      <c r="BB1350" s="115"/>
      <c r="BC1350" s="115"/>
      <c r="BD1350" s="122"/>
      <c r="BE1350" s="122"/>
      <c r="BF1350" s="122"/>
      <c r="BG1350" s="115"/>
      <c r="BH1350" s="115"/>
      <c r="BI1350" s="115"/>
      <c r="BJ1350" s="115"/>
      <c r="BK1350" s="115"/>
      <c r="BL1350" s="115"/>
      <c r="BM1350" s="115"/>
      <c r="BN1350" s="115"/>
      <c r="BO1350" s="115"/>
      <c r="BP1350" s="115"/>
      <c r="BQ1350" s="115"/>
      <c r="BR1350" s="115"/>
      <c r="BS1350" s="115"/>
      <c r="BT1350" s="115"/>
      <c r="BU1350" s="26"/>
      <c r="BV1350" s="13"/>
      <c r="BY1350" s="114"/>
    </row>
    <row r="1351" spans="5:77" x14ac:dyDescent="0.4"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115"/>
      <c r="BD1351" s="122"/>
      <c r="BE1351" s="122"/>
      <c r="BF1351" s="122"/>
      <c r="BG1351" s="115"/>
      <c r="BH1351" s="115"/>
      <c r="BI1351" s="115"/>
      <c r="BJ1351" s="115"/>
      <c r="BK1351" s="115"/>
      <c r="BL1351" s="115"/>
      <c r="BM1351" s="115"/>
      <c r="BN1351" s="115"/>
      <c r="BO1351" s="115"/>
      <c r="BP1351" s="115"/>
      <c r="BQ1351" s="115"/>
      <c r="BR1351" s="115"/>
      <c r="BS1351" s="115"/>
      <c r="BT1351" s="115"/>
      <c r="BU1351" s="26"/>
      <c r="BV1351" s="13"/>
      <c r="BY1351" s="114"/>
    </row>
    <row r="1352" spans="5:77" x14ac:dyDescent="0.4"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15"/>
      <c r="AY1352" s="115"/>
      <c r="AZ1352" s="115"/>
      <c r="BA1352" s="115"/>
      <c r="BB1352" s="115"/>
      <c r="BC1352" s="115"/>
      <c r="BD1352" s="122"/>
      <c r="BE1352" s="122"/>
      <c r="BF1352" s="122"/>
      <c r="BG1352" s="115"/>
      <c r="BH1352" s="115"/>
      <c r="BI1352" s="115"/>
      <c r="BJ1352" s="115"/>
      <c r="BK1352" s="115"/>
      <c r="BL1352" s="115"/>
      <c r="BM1352" s="115"/>
      <c r="BN1352" s="115"/>
      <c r="BO1352" s="115"/>
      <c r="BP1352" s="115"/>
      <c r="BQ1352" s="115"/>
      <c r="BR1352" s="115"/>
      <c r="BS1352" s="115"/>
      <c r="BT1352" s="115"/>
      <c r="BU1352" s="26"/>
      <c r="BV1352" s="13"/>
      <c r="BY1352" s="114"/>
    </row>
    <row r="1353" spans="5:77" x14ac:dyDescent="0.4"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15"/>
      <c r="AP1353" s="115"/>
      <c r="AQ1353" s="115"/>
      <c r="AR1353" s="115"/>
      <c r="AS1353" s="115"/>
      <c r="AT1353" s="115"/>
      <c r="AU1353" s="115"/>
      <c r="AV1353" s="115"/>
      <c r="AW1353" s="115"/>
      <c r="AX1353" s="115"/>
      <c r="AY1353" s="115"/>
      <c r="AZ1353" s="115"/>
      <c r="BA1353" s="115"/>
      <c r="BB1353" s="115"/>
      <c r="BC1353" s="115"/>
      <c r="BD1353" s="122"/>
      <c r="BE1353" s="122"/>
      <c r="BF1353" s="122"/>
      <c r="BG1353" s="115"/>
      <c r="BH1353" s="115"/>
      <c r="BI1353" s="115"/>
      <c r="BJ1353" s="115"/>
      <c r="BK1353" s="115"/>
      <c r="BL1353" s="115"/>
      <c r="BM1353" s="115"/>
      <c r="BN1353" s="115"/>
      <c r="BO1353" s="115"/>
      <c r="BP1353" s="115"/>
      <c r="BQ1353" s="115"/>
      <c r="BR1353" s="115"/>
      <c r="BS1353" s="115"/>
      <c r="BT1353" s="115"/>
      <c r="BU1353" s="26"/>
      <c r="BV1353" s="13"/>
      <c r="BY1353" s="114"/>
    </row>
    <row r="1354" spans="5:77" x14ac:dyDescent="0.4"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15"/>
      <c r="AY1354" s="115"/>
      <c r="AZ1354" s="115"/>
      <c r="BA1354" s="115"/>
      <c r="BB1354" s="115"/>
      <c r="BC1354" s="115"/>
      <c r="BD1354" s="122"/>
      <c r="BE1354" s="122"/>
      <c r="BF1354" s="122"/>
      <c r="BG1354" s="115"/>
      <c r="BH1354" s="115"/>
      <c r="BI1354" s="115"/>
      <c r="BJ1354" s="115"/>
      <c r="BK1354" s="115"/>
      <c r="BL1354" s="115"/>
      <c r="BM1354" s="115"/>
      <c r="BN1354" s="115"/>
      <c r="BO1354" s="115"/>
      <c r="BP1354" s="115"/>
      <c r="BQ1354" s="115"/>
      <c r="BR1354" s="115"/>
      <c r="BS1354" s="115"/>
      <c r="BT1354" s="115"/>
      <c r="BU1354" s="26"/>
      <c r="BV1354" s="13"/>
      <c r="BY1354" s="114"/>
    </row>
    <row r="1355" spans="5:77" x14ac:dyDescent="0.4"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115"/>
      <c r="AY1355" s="115"/>
      <c r="AZ1355" s="115"/>
      <c r="BA1355" s="115"/>
      <c r="BB1355" s="115"/>
      <c r="BC1355" s="115"/>
      <c r="BD1355" s="122"/>
      <c r="BE1355" s="122"/>
      <c r="BF1355" s="122"/>
      <c r="BG1355" s="115"/>
      <c r="BH1355" s="115"/>
      <c r="BI1355" s="115"/>
      <c r="BJ1355" s="115"/>
      <c r="BK1355" s="115"/>
      <c r="BL1355" s="115"/>
      <c r="BM1355" s="115"/>
      <c r="BN1355" s="115"/>
      <c r="BO1355" s="115"/>
      <c r="BP1355" s="115"/>
      <c r="BQ1355" s="115"/>
      <c r="BR1355" s="115"/>
      <c r="BS1355" s="115"/>
      <c r="BT1355" s="115"/>
      <c r="BU1355" s="26"/>
      <c r="BV1355" s="13"/>
      <c r="BY1355" s="114"/>
    </row>
    <row r="1356" spans="5:77" x14ac:dyDescent="0.4"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115"/>
      <c r="AZ1356" s="115"/>
      <c r="BA1356" s="115"/>
      <c r="BB1356" s="115"/>
      <c r="BC1356" s="115"/>
      <c r="BD1356" s="122"/>
      <c r="BE1356" s="122"/>
      <c r="BF1356" s="122"/>
      <c r="BG1356" s="115"/>
      <c r="BH1356" s="115"/>
      <c r="BI1356" s="115"/>
      <c r="BJ1356" s="115"/>
      <c r="BK1356" s="115"/>
      <c r="BL1356" s="115"/>
      <c r="BM1356" s="115"/>
      <c r="BN1356" s="115"/>
      <c r="BO1356" s="115"/>
      <c r="BP1356" s="115"/>
      <c r="BQ1356" s="115"/>
      <c r="BR1356" s="115"/>
      <c r="BS1356" s="115"/>
      <c r="BT1356" s="115"/>
      <c r="BU1356" s="26"/>
      <c r="BV1356" s="13"/>
      <c r="BY1356" s="114"/>
    </row>
    <row r="1357" spans="5:77" x14ac:dyDescent="0.4"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115"/>
      <c r="AX1357" s="115"/>
      <c r="AY1357" s="115"/>
      <c r="AZ1357" s="115"/>
      <c r="BA1357" s="115"/>
      <c r="BB1357" s="115"/>
      <c r="BC1357" s="115"/>
      <c r="BD1357" s="122"/>
      <c r="BE1357" s="122"/>
      <c r="BF1357" s="122"/>
      <c r="BG1357" s="115"/>
      <c r="BH1357" s="115"/>
      <c r="BI1357" s="115"/>
      <c r="BJ1357" s="115"/>
      <c r="BK1357" s="115"/>
      <c r="BL1357" s="115"/>
      <c r="BM1357" s="115"/>
      <c r="BN1357" s="115"/>
      <c r="BO1357" s="115"/>
      <c r="BP1357" s="115"/>
      <c r="BQ1357" s="115"/>
      <c r="BR1357" s="115"/>
      <c r="BS1357" s="115"/>
      <c r="BT1357" s="115"/>
      <c r="BU1357" s="26"/>
      <c r="BV1357" s="13"/>
      <c r="BY1357" s="114"/>
    </row>
    <row r="1358" spans="5:77" x14ac:dyDescent="0.4"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115"/>
      <c r="BD1358" s="122"/>
      <c r="BE1358" s="122"/>
      <c r="BF1358" s="122"/>
      <c r="BG1358" s="115"/>
      <c r="BH1358" s="115"/>
      <c r="BI1358" s="115"/>
      <c r="BJ1358" s="115"/>
      <c r="BK1358" s="115"/>
      <c r="BL1358" s="115"/>
      <c r="BM1358" s="115"/>
      <c r="BN1358" s="115"/>
      <c r="BO1358" s="115"/>
      <c r="BP1358" s="115"/>
      <c r="BQ1358" s="115"/>
      <c r="BR1358" s="115"/>
      <c r="BS1358" s="115"/>
      <c r="BT1358" s="115"/>
      <c r="BU1358" s="26"/>
      <c r="BV1358" s="13"/>
      <c r="BY1358" s="114"/>
    </row>
    <row r="1359" spans="5:77" x14ac:dyDescent="0.4"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115"/>
      <c r="AZ1359" s="115"/>
      <c r="BA1359" s="115"/>
      <c r="BB1359" s="115"/>
      <c r="BC1359" s="115"/>
      <c r="BD1359" s="122"/>
      <c r="BE1359" s="122"/>
      <c r="BF1359" s="122"/>
      <c r="BG1359" s="115"/>
      <c r="BH1359" s="115"/>
      <c r="BI1359" s="115"/>
      <c r="BJ1359" s="115"/>
      <c r="BK1359" s="115"/>
      <c r="BL1359" s="115"/>
      <c r="BM1359" s="115"/>
      <c r="BN1359" s="115"/>
      <c r="BO1359" s="115"/>
      <c r="BP1359" s="115"/>
      <c r="BQ1359" s="115"/>
      <c r="BR1359" s="115"/>
      <c r="BS1359" s="115"/>
      <c r="BT1359" s="115"/>
      <c r="BU1359" s="26"/>
      <c r="BV1359" s="13"/>
      <c r="BY1359" s="114"/>
    </row>
    <row r="1360" spans="5:77" x14ac:dyDescent="0.4"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15"/>
      <c r="AO1360" s="115"/>
      <c r="AP1360" s="115"/>
      <c r="AQ1360" s="115"/>
      <c r="AR1360" s="115"/>
      <c r="AS1360" s="115"/>
      <c r="AT1360" s="115"/>
      <c r="AU1360" s="115"/>
      <c r="AV1360" s="115"/>
      <c r="AW1360" s="115"/>
      <c r="AX1360" s="115"/>
      <c r="AY1360" s="115"/>
      <c r="AZ1360" s="115"/>
      <c r="BA1360" s="115"/>
      <c r="BB1360" s="115"/>
      <c r="BC1360" s="115"/>
      <c r="BD1360" s="122"/>
      <c r="BE1360" s="122"/>
      <c r="BF1360" s="122"/>
      <c r="BG1360" s="115"/>
      <c r="BH1360" s="115"/>
      <c r="BI1360" s="115"/>
      <c r="BJ1360" s="115"/>
      <c r="BK1360" s="115"/>
      <c r="BL1360" s="115"/>
      <c r="BM1360" s="115"/>
      <c r="BN1360" s="115"/>
      <c r="BO1360" s="115"/>
      <c r="BP1360" s="115"/>
      <c r="BQ1360" s="115"/>
      <c r="BR1360" s="115"/>
      <c r="BS1360" s="115"/>
      <c r="BT1360" s="115"/>
      <c r="BU1360" s="26"/>
      <c r="BV1360" s="13"/>
      <c r="BY1360" s="114"/>
    </row>
    <row r="1361" spans="3:77" x14ac:dyDescent="0.4"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15"/>
      <c r="AX1361" s="115"/>
      <c r="AY1361" s="115"/>
      <c r="AZ1361" s="115"/>
      <c r="BA1361" s="115"/>
      <c r="BB1361" s="115"/>
      <c r="BC1361" s="115"/>
      <c r="BD1361" s="122"/>
      <c r="BE1361" s="122"/>
      <c r="BF1361" s="122"/>
      <c r="BG1361" s="115"/>
      <c r="BH1361" s="115"/>
      <c r="BI1361" s="115"/>
      <c r="BJ1361" s="115"/>
      <c r="BK1361" s="115"/>
      <c r="BL1361" s="115"/>
      <c r="BM1361" s="115"/>
      <c r="BN1361" s="115"/>
      <c r="BO1361" s="115"/>
      <c r="BP1361" s="115"/>
      <c r="BQ1361" s="115"/>
      <c r="BR1361" s="115"/>
      <c r="BS1361" s="115"/>
      <c r="BT1361" s="115"/>
      <c r="BU1361" s="26"/>
      <c r="BV1361" s="13"/>
      <c r="BY1361" s="114"/>
    </row>
    <row r="1362" spans="3:77" x14ac:dyDescent="0.4"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15"/>
      <c r="AK1362" s="115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15"/>
      <c r="AY1362" s="115"/>
      <c r="AZ1362" s="115"/>
      <c r="BA1362" s="115"/>
      <c r="BB1362" s="115"/>
      <c r="BC1362" s="115"/>
      <c r="BD1362" s="122"/>
      <c r="BE1362" s="122"/>
      <c r="BF1362" s="122"/>
      <c r="BG1362" s="115"/>
      <c r="BH1362" s="115"/>
      <c r="BI1362" s="115"/>
      <c r="BJ1362" s="115"/>
      <c r="BK1362" s="115"/>
      <c r="BL1362" s="115"/>
      <c r="BM1362" s="115"/>
      <c r="BN1362" s="115"/>
      <c r="BO1362" s="115"/>
      <c r="BP1362" s="115"/>
      <c r="BQ1362" s="115"/>
      <c r="BR1362" s="115"/>
      <c r="BS1362" s="115"/>
      <c r="BT1362" s="115"/>
      <c r="BU1362" s="26"/>
      <c r="BV1362" s="13"/>
      <c r="BY1362" s="114"/>
    </row>
    <row r="1363" spans="3:77" x14ac:dyDescent="0.4"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15"/>
      <c r="AR1363" s="115"/>
      <c r="AS1363" s="115"/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22"/>
      <c r="BE1363" s="122"/>
      <c r="BF1363" s="122"/>
      <c r="BG1363" s="115"/>
      <c r="BH1363" s="115"/>
      <c r="BI1363" s="115"/>
      <c r="BJ1363" s="115"/>
      <c r="BK1363" s="115"/>
      <c r="BL1363" s="115"/>
      <c r="BM1363" s="115"/>
      <c r="BN1363" s="115"/>
      <c r="BO1363" s="115"/>
      <c r="BP1363" s="115"/>
      <c r="BQ1363" s="115"/>
      <c r="BR1363" s="115"/>
      <c r="BS1363" s="115"/>
      <c r="BT1363" s="115"/>
      <c r="BU1363" s="17"/>
      <c r="BV1363" s="13"/>
      <c r="BY1363" s="114"/>
    </row>
    <row r="1364" spans="3:77" x14ac:dyDescent="0.4"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22"/>
      <c r="BE1364" s="122"/>
      <c r="BF1364" s="122"/>
      <c r="BG1364" s="115"/>
      <c r="BH1364" s="115"/>
      <c r="BI1364" s="115"/>
      <c r="BJ1364" s="115"/>
      <c r="BK1364" s="115"/>
      <c r="BL1364" s="115"/>
      <c r="BM1364" s="115"/>
      <c r="BN1364" s="115"/>
      <c r="BO1364" s="115"/>
      <c r="BP1364" s="115"/>
      <c r="BQ1364" s="115"/>
      <c r="BR1364" s="115"/>
      <c r="BS1364" s="115"/>
      <c r="BT1364" s="115"/>
      <c r="BU1364" s="26"/>
      <c r="BV1364" s="13"/>
      <c r="BY1364" s="114"/>
    </row>
    <row r="1365" spans="3:77" x14ac:dyDescent="0.4"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22"/>
      <c r="BE1365" s="122"/>
      <c r="BF1365" s="122"/>
      <c r="BG1365" s="115"/>
      <c r="BH1365" s="115"/>
      <c r="BI1365" s="115"/>
      <c r="BJ1365" s="115"/>
      <c r="BK1365" s="115"/>
      <c r="BL1365" s="115"/>
      <c r="BM1365" s="115"/>
      <c r="BN1365" s="115"/>
      <c r="BO1365" s="115"/>
      <c r="BP1365" s="115"/>
      <c r="BQ1365" s="115"/>
      <c r="BR1365" s="115"/>
      <c r="BS1365" s="115"/>
      <c r="BT1365" s="115"/>
      <c r="BU1365" s="26"/>
      <c r="BV1365" s="13"/>
      <c r="BY1365" s="114"/>
    </row>
    <row r="1366" spans="3:77" x14ac:dyDescent="0.4"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15"/>
      <c r="AS1366" s="115"/>
      <c r="AT1366" s="115"/>
      <c r="AU1366" s="115"/>
      <c r="AV1366" s="115"/>
      <c r="AW1366" s="115"/>
      <c r="AX1366" s="115"/>
      <c r="AY1366" s="115"/>
      <c r="AZ1366" s="115"/>
      <c r="BA1366" s="115"/>
      <c r="BB1366" s="115"/>
      <c r="BC1366" s="115"/>
      <c r="BD1366" s="122"/>
      <c r="BE1366" s="122"/>
      <c r="BF1366" s="122"/>
      <c r="BG1366" s="115"/>
      <c r="BH1366" s="115"/>
      <c r="BI1366" s="115"/>
      <c r="BJ1366" s="115"/>
      <c r="BK1366" s="115"/>
      <c r="BL1366" s="115"/>
      <c r="BM1366" s="115"/>
      <c r="BN1366" s="115"/>
      <c r="BO1366" s="115"/>
      <c r="BP1366" s="115"/>
      <c r="BQ1366" s="115"/>
      <c r="BR1366" s="115"/>
      <c r="BS1366" s="115"/>
      <c r="BT1366" s="115"/>
      <c r="BU1366" s="26"/>
      <c r="BV1366" s="13"/>
      <c r="BY1366" s="114"/>
    </row>
    <row r="1367" spans="3:77" x14ac:dyDescent="0.4"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15"/>
      <c r="AR1367" s="115"/>
      <c r="AS1367" s="115"/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22"/>
      <c r="BE1367" s="122"/>
      <c r="BF1367" s="122"/>
      <c r="BG1367" s="115"/>
      <c r="BH1367" s="115"/>
      <c r="BI1367" s="115"/>
      <c r="BJ1367" s="115"/>
      <c r="BK1367" s="115"/>
      <c r="BL1367" s="115"/>
      <c r="BM1367" s="115"/>
      <c r="BN1367" s="115"/>
      <c r="BO1367" s="115"/>
      <c r="BP1367" s="115"/>
      <c r="BQ1367" s="115"/>
      <c r="BR1367" s="115"/>
      <c r="BS1367" s="115"/>
      <c r="BT1367" s="115"/>
      <c r="BU1367" s="26"/>
      <c r="BV1367" s="15"/>
      <c r="BY1367" s="114"/>
    </row>
    <row r="1368" spans="3:77" x14ac:dyDescent="0.4"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15"/>
      <c r="AY1368" s="115"/>
      <c r="AZ1368" s="115"/>
      <c r="BA1368" s="115"/>
      <c r="BB1368" s="115"/>
      <c r="BC1368" s="115"/>
      <c r="BD1368" s="122"/>
      <c r="BE1368" s="122"/>
      <c r="BF1368" s="122"/>
      <c r="BG1368" s="115"/>
      <c r="BH1368" s="115"/>
      <c r="BI1368" s="115"/>
      <c r="BJ1368" s="115"/>
      <c r="BK1368" s="115"/>
      <c r="BL1368" s="115"/>
      <c r="BM1368" s="115"/>
      <c r="BN1368" s="115"/>
      <c r="BO1368" s="115"/>
      <c r="BP1368" s="115"/>
      <c r="BQ1368" s="115"/>
      <c r="BR1368" s="115"/>
      <c r="BS1368" s="115"/>
      <c r="BT1368" s="115"/>
      <c r="BU1368" s="26"/>
      <c r="BV1368" s="15"/>
      <c r="BY1368" s="114"/>
    </row>
    <row r="1369" spans="3:77" x14ac:dyDescent="0.4"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15"/>
      <c r="BA1369" s="115"/>
      <c r="BB1369" s="115"/>
      <c r="BC1369" s="115"/>
      <c r="BD1369" s="122"/>
      <c r="BE1369" s="122"/>
      <c r="BF1369" s="122"/>
      <c r="BG1369" s="115"/>
      <c r="BH1369" s="115"/>
      <c r="BI1369" s="115"/>
      <c r="BJ1369" s="115"/>
      <c r="BK1369" s="115"/>
      <c r="BL1369" s="115"/>
      <c r="BM1369" s="115"/>
      <c r="BN1369" s="115"/>
      <c r="BO1369" s="115"/>
      <c r="BP1369" s="115"/>
      <c r="BQ1369" s="115"/>
      <c r="BR1369" s="115"/>
      <c r="BS1369" s="115"/>
      <c r="BT1369" s="115"/>
      <c r="BU1369" s="26"/>
      <c r="BV1369" s="15"/>
      <c r="BY1369" s="114"/>
    </row>
    <row r="1370" spans="3:77" x14ac:dyDescent="0.4"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15"/>
      <c r="AS1370" s="115"/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22"/>
      <c r="BE1370" s="122"/>
      <c r="BF1370" s="122"/>
      <c r="BG1370" s="115"/>
      <c r="BH1370" s="115"/>
      <c r="BI1370" s="115"/>
      <c r="BJ1370" s="115"/>
      <c r="BK1370" s="115"/>
      <c r="BL1370" s="115"/>
      <c r="BM1370" s="115"/>
      <c r="BN1370" s="115"/>
      <c r="BO1370" s="115"/>
      <c r="BP1370" s="115"/>
      <c r="BQ1370" s="115"/>
      <c r="BR1370" s="115"/>
      <c r="BS1370" s="115"/>
      <c r="BT1370" s="115"/>
      <c r="BU1370" s="26"/>
      <c r="BV1370" s="13"/>
      <c r="BY1370" s="114"/>
    </row>
    <row r="1371" spans="3:77" x14ac:dyDescent="0.4"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15"/>
      <c r="AR1371" s="115"/>
      <c r="AS1371" s="115"/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22"/>
      <c r="BE1371" s="122"/>
      <c r="BF1371" s="122"/>
      <c r="BG1371" s="115"/>
      <c r="BH1371" s="115"/>
      <c r="BI1371" s="115"/>
      <c r="BJ1371" s="115"/>
      <c r="BK1371" s="115"/>
      <c r="BL1371" s="115"/>
      <c r="BM1371" s="115"/>
      <c r="BN1371" s="115"/>
      <c r="BO1371" s="115"/>
      <c r="BP1371" s="115"/>
      <c r="BQ1371" s="115"/>
      <c r="BR1371" s="115"/>
      <c r="BS1371" s="115"/>
      <c r="BT1371" s="115"/>
      <c r="BU1371" s="26"/>
      <c r="BV1371" s="13"/>
      <c r="BY1371" s="114"/>
    </row>
    <row r="1372" spans="3:77" x14ac:dyDescent="0.4"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22"/>
      <c r="BE1372" s="122"/>
      <c r="BF1372" s="122"/>
      <c r="BG1372" s="115"/>
      <c r="BH1372" s="115"/>
      <c r="BI1372" s="115"/>
      <c r="BJ1372" s="115"/>
      <c r="BK1372" s="115"/>
      <c r="BL1372" s="115"/>
      <c r="BM1372" s="115"/>
      <c r="BN1372" s="115"/>
      <c r="BO1372" s="115"/>
      <c r="BP1372" s="115"/>
      <c r="BQ1372" s="115"/>
      <c r="BR1372" s="115"/>
      <c r="BS1372" s="115"/>
      <c r="BT1372" s="115"/>
      <c r="BU1372" s="26"/>
      <c r="BV1372" s="13"/>
      <c r="BY1372" s="114"/>
    </row>
    <row r="1373" spans="3:77" x14ac:dyDescent="0.4"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115"/>
      <c r="AY1373" s="115"/>
      <c r="AZ1373" s="115"/>
      <c r="BA1373" s="115"/>
      <c r="BB1373" s="115"/>
      <c r="BC1373" s="115"/>
      <c r="BD1373" s="122"/>
      <c r="BE1373" s="122"/>
      <c r="BF1373" s="122"/>
      <c r="BG1373" s="115"/>
      <c r="BH1373" s="115"/>
      <c r="BI1373" s="115"/>
      <c r="BJ1373" s="115"/>
      <c r="BK1373" s="115"/>
      <c r="BL1373" s="115"/>
      <c r="BM1373" s="115"/>
      <c r="BN1373" s="115"/>
      <c r="BO1373" s="115"/>
      <c r="BP1373" s="115"/>
      <c r="BQ1373" s="115"/>
      <c r="BR1373" s="115"/>
      <c r="BS1373" s="115"/>
      <c r="BT1373" s="115"/>
      <c r="BU1373" s="17"/>
      <c r="BV1373" s="13"/>
      <c r="BY1373" s="114"/>
    </row>
    <row r="1374" spans="3:77" x14ac:dyDescent="0.4"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15"/>
      <c r="AS1374" s="115"/>
      <c r="AT1374" s="115"/>
      <c r="AU1374" s="115"/>
      <c r="AV1374" s="115"/>
      <c r="AW1374" s="115"/>
      <c r="AX1374" s="115"/>
      <c r="AY1374" s="115"/>
      <c r="AZ1374" s="115"/>
      <c r="BA1374" s="115"/>
      <c r="BB1374" s="115"/>
      <c r="BC1374" s="115"/>
      <c r="BD1374" s="122"/>
      <c r="BE1374" s="122"/>
      <c r="BF1374" s="122"/>
      <c r="BG1374" s="115"/>
      <c r="BH1374" s="115"/>
      <c r="BI1374" s="115"/>
      <c r="BJ1374" s="115"/>
      <c r="BK1374" s="115"/>
      <c r="BL1374" s="115"/>
      <c r="BM1374" s="115"/>
      <c r="BN1374" s="115"/>
      <c r="BO1374" s="115"/>
      <c r="BP1374" s="115"/>
      <c r="BQ1374" s="115"/>
      <c r="BR1374" s="115"/>
      <c r="BS1374" s="115"/>
      <c r="BT1374" s="115"/>
      <c r="BU1374" s="26"/>
      <c r="BV1374" s="13"/>
      <c r="BY1374" s="114"/>
    </row>
    <row r="1375" spans="3:77" x14ac:dyDescent="0.4"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115"/>
      <c r="BB1375" s="115"/>
      <c r="BC1375" s="115"/>
      <c r="BD1375" s="122"/>
      <c r="BE1375" s="122"/>
      <c r="BF1375" s="122"/>
      <c r="BG1375" s="115"/>
      <c r="BH1375" s="115"/>
      <c r="BI1375" s="115"/>
      <c r="BJ1375" s="115"/>
      <c r="BK1375" s="115"/>
      <c r="BL1375" s="115"/>
      <c r="BM1375" s="115"/>
      <c r="BN1375" s="115"/>
      <c r="BO1375" s="115"/>
      <c r="BP1375" s="115"/>
      <c r="BQ1375" s="115"/>
      <c r="BR1375" s="115"/>
      <c r="BS1375" s="115"/>
      <c r="BT1375" s="115"/>
      <c r="BU1375" s="26"/>
      <c r="BV1375" s="25"/>
      <c r="BY1375" s="114"/>
    </row>
    <row r="1376" spans="3:77" x14ac:dyDescent="0.4"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115"/>
      <c r="AZ1376" s="115"/>
      <c r="BA1376" s="115"/>
      <c r="BB1376" s="115"/>
      <c r="BC1376" s="115"/>
      <c r="BD1376" s="122"/>
      <c r="BE1376" s="122"/>
      <c r="BF1376" s="122"/>
      <c r="BG1376" s="115"/>
      <c r="BH1376" s="115"/>
      <c r="BI1376" s="115"/>
      <c r="BJ1376" s="115"/>
      <c r="BK1376" s="115"/>
      <c r="BL1376" s="115"/>
      <c r="BM1376" s="115"/>
      <c r="BN1376" s="115"/>
      <c r="BO1376" s="115"/>
      <c r="BP1376" s="115"/>
      <c r="BQ1376" s="115"/>
      <c r="BR1376" s="115"/>
      <c r="BS1376" s="115"/>
      <c r="BT1376" s="115"/>
      <c r="BU1376" s="26"/>
      <c r="BV1376" s="13"/>
      <c r="BY1376" s="114"/>
    </row>
    <row r="1377" spans="1:77" x14ac:dyDescent="0.4"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22"/>
      <c r="BE1377" s="122"/>
      <c r="BF1377" s="122"/>
      <c r="BG1377" s="115"/>
      <c r="BH1377" s="115"/>
      <c r="BI1377" s="115"/>
      <c r="BJ1377" s="115"/>
      <c r="BK1377" s="115"/>
      <c r="BL1377" s="115"/>
      <c r="BM1377" s="115"/>
      <c r="BN1377" s="115"/>
      <c r="BO1377" s="115"/>
      <c r="BP1377" s="115"/>
      <c r="BQ1377" s="115"/>
      <c r="BR1377" s="115"/>
      <c r="BS1377" s="115"/>
      <c r="BT1377" s="115"/>
      <c r="BU1377" s="26"/>
      <c r="BV1377" s="13"/>
      <c r="BY1377" s="114"/>
    </row>
    <row r="1378" spans="1:77" x14ac:dyDescent="0.4"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15"/>
      <c r="BD1378" s="122"/>
      <c r="BE1378" s="122"/>
      <c r="BF1378" s="122"/>
      <c r="BG1378" s="115"/>
      <c r="BH1378" s="115"/>
      <c r="BI1378" s="115"/>
      <c r="BJ1378" s="115"/>
      <c r="BK1378" s="115"/>
      <c r="BL1378" s="115"/>
      <c r="BM1378" s="115"/>
      <c r="BN1378" s="115"/>
      <c r="BO1378" s="115"/>
      <c r="BP1378" s="115"/>
      <c r="BQ1378" s="115"/>
      <c r="BR1378" s="115"/>
      <c r="BS1378" s="115"/>
      <c r="BT1378" s="115"/>
      <c r="BU1378" s="26"/>
      <c r="BV1378" s="13"/>
      <c r="BY1378" s="114"/>
    </row>
    <row r="1379" spans="1:77" x14ac:dyDescent="0.4"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15"/>
      <c r="BB1379" s="115"/>
      <c r="BC1379" s="115"/>
      <c r="BD1379" s="122"/>
      <c r="BE1379" s="122"/>
      <c r="BF1379" s="122"/>
      <c r="BG1379" s="115"/>
      <c r="BH1379" s="115"/>
      <c r="BI1379" s="115"/>
      <c r="BJ1379" s="115"/>
      <c r="BK1379" s="115"/>
      <c r="BL1379" s="115"/>
      <c r="BM1379" s="115"/>
      <c r="BN1379" s="115"/>
      <c r="BO1379" s="115"/>
      <c r="BP1379" s="115"/>
      <c r="BQ1379" s="115"/>
      <c r="BR1379" s="115"/>
      <c r="BS1379" s="115"/>
      <c r="BT1379" s="115"/>
      <c r="BU1379" s="26"/>
      <c r="BV1379" s="13"/>
      <c r="BY1379" s="114"/>
    </row>
    <row r="1380" spans="1:77" x14ac:dyDescent="0.4"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22"/>
      <c r="BE1380" s="122"/>
      <c r="BF1380" s="122"/>
      <c r="BG1380" s="115"/>
      <c r="BH1380" s="115"/>
      <c r="BI1380" s="115"/>
      <c r="BJ1380" s="115"/>
      <c r="BU1380" s="26"/>
      <c r="BV1380" s="13"/>
      <c r="BY1380" s="114"/>
    </row>
    <row r="1381" spans="1:77" x14ac:dyDescent="0.4"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22"/>
      <c r="BE1381" s="122"/>
      <c r="BF1381" s="122"/>
      <c r="BG1381" s="115"/>
      <c r="BH1381" s="115"/>
      <c r="BI1381" s="115"/>
      <c r="BJ1381" s="115"/>
      <c r="BK1381" s="115"/>
      <c r="BL1381" s="115"/>
      <c r="BM1381" s="115"/>
      <c r="BN1381" s="115"/>
      <c r="BO1381" s="115"/>
      <c r="BP1381" s="115"/>
      <c r="BQ1381" s="115"/>
      <c r="BR1381" s="115"/>
      <c r="BS1381" s="115"/>
      <c r="BT1381" s="115"/>
      <c r="BU1381" s="26"/>
      <c r="BV1381" s="13"/>
      <c r="BY1381" s="114"/>
    </row>
    <row r="1382" spans="1:77" x14ac:dyDescent="0.4"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15"/>
      <c r="AZ1382" s="115"/>
      <c r="BA1382" s="115"/>
      <c r="BB1382" s="115"/>
      <c r="BC1382" s="115"/>
      <c r="BD1382" s="122"/>
      <c r="BE1382" s="122"/>
      <c r="BF1382" s="122"/>
      <c r="BG1382" s="115"/>
      <c r="BH1382" s="115"/>
      <c r="BI1382" s="115"/>
      <c r="BJ1382" s="115"/>
      <c r="BK1382" s="115"/>
      <c r="BL1382" s="115"/>
      <c r="BM1382" s="115"/>
      <c r="BN1382" s="115"/>
      <c r="BO1382" s="115"/>
      <c r="BP1382" s="115"/>
      <c r="BQ1382" s="115"/>
      <c r="BR1382" s="115"/>
      <c r="BS1382" s="115"/>
      <c r="BT1382" s="115"/>
      <c r="BU1382" s="17"/>
      <c r="BV1382" s="13"/>
      <c r="BY1382" s="114"/>
    </row>
    <row r="1383" spans="1:77" x14ac:dyDescent="0.4"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15"/>
      <c r="BA1383" s="115"/>
      <c r="BB1383" s="115"/>
      <c r="BC1383" s="115"/>
      <c r="BD1383" s="122"/>
      <c r="BE1383" s="122"/>
      <c r="BF1383" s="122"/>
      <c r="BG1383" s="115"/>
      <c r="BH1383" s="115"/>
      <c r="BI1383" s="115"/>
      <c r="BJ1383" s="115"/>
      <c r="BK1383" s="115"/>
      <c r="BL1383" s="115"/>
      <c r="BM1383" s="115"/>
      <c r="BN1383" s="115"/>
      <c r="BO1383" s="115"/>
      <c r="BP1383" s="115"/>
      <c r="BQ1383" s="115"/>
      <c r="BR1383" s="115"/>
      <c r="BS1383" s="115"/>
      <c r="BT1383" s="115"/>
      <c r="BU1383" s="26"/>
      <c r="BV1383" s="13"/>
      <c r="BY1383" s="114"/>
    </row>
    <row r="1384" spans="1:77" x14ac:dyDescent="0.4">
      <c r="C1384" s="115"/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15"/>
      <c r="AQ1384" s="115"/>
      <c r="AR1384" s="115"/>
      <c r="AS1384" s="115"/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22"/>
      <c r="BE1384" s="122"/>
      <c r="BF1384" s="122"/>
      <c r="BG1384" s="115"/>
      <c r="BH1384" s="115"/>
      <c r="BI1384" s="115"/>
      <c r="BJ1384" s="115"/>
      <c r="BK1384" s="115"/>
      <c r="BL1384" s="115"/>
      <c r="BM1384" s="115"/>
      <c r="BN1384" s="115"/>
      <c r="BO1384" s="115"/>
      <c r="BP1384" s="115"/>
      <c r="BQ1384" s="115"/>
      <c r="BR1384" s="115"/>
      <c r="BS1384" s="115"/>
      <c r="BT1384" s="115"/>
      <c r="BU1384" s="26"/>
      <c r="BV1384" s="15"/>
      <c r="BY1384" s="114"/>
    </row>
    <row r="1385" spans="1:77" x14ac:dyDescent="0.4">
      <c r="C1385" s="115"/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115"/>
      <c r="BC1385" s="115"/>
      <c r="BD1385" s="122"/>
      <c r="BE1385" s="122"/>
      <c r="BF1385" s="122"/>
      <c r="BG1385" s="115"/>
      <c r="BH1385" s="115"/>
      <c r="BI1385" s="115"/>
      <c r="BJ1385" s="115"/>
      <c r="BK1385" s="115"/>
      <c r="BL1385" s="115"/>
      <c r="BM1385" s="115"/>
      <c r="BN1385" s="115"/>
      <c r="BO1385" s="115"/>
      <c r="BP1385" s="115"/>
      <c r="BQ1385" s="115"/>
      <c r="BR1385" s="115"/>
      <c r="BS1385" s="115"/>
      <c r="BT1385" s="115"/>
      <c r="BU1385" s="17"/>
      <c r="BV1385" s="15"/>
      <c r="BY1385" s="114"/>
    </row>
    <row r="1386" spans="1:77" x14ac:dyDescent="0.4"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15"/>
      <c r="AZ1386" s="115"/>
      <c r="BA1386" s="115"/>
      <c r="BB1386" s="115"/>
      <c r="BC1386" s="115"/>
      <c r="BD1386" s="122"/>
      <c r="BE1386" s="122"/>
      <c r="BF1386" s="122"/>
      <c r="BG1386" s="115"/>
      <c r="BH1386" s="115"/>
      <c r="BI1386" s="115"/>
      <c r="BJ1386" s="115"/>
      <c r="BK1386" s="115"/>
      <c r="BL1386" s="115"/>
      <c r="BM1386" s="115"/>
      <c r="BN1386" s="115"/>
      <c r="BO1386" s="115"/>
      <c r="BP1386" s="115"/>
      <c r="BQ1386" s="115"/>
      <c r="BR1386" s="115"/>
      <c r="BS1386" s="115"/>
      <c r="BT1386" s="115"/>
      <c r="BU1386" s="26"/>
      <c r="BV1386" s="15"/>
      <c r="BY1386" s="114"/>
    </row>
    <row r="1387" spans="1:77" x14ac:dyDescent="0.4">
      <c r="A1387" s="115"/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22"/>
      <c r="BE1387" s="122"/>
      <c r="BF1387" s="122"/>
      <c r="BG1387" s="115"/>
      <c r="BH1387" s="115"/>
      <c r="BI1387" s="115"/>
      <c r="BJ1387" s="115"/>
      <c r="BK1387" s="115"/>
      <c r="BL1387" s="115"/>
      <c r="BM1387" s="115"/>
      <c r="BN1387" s="115"/>
      <c r="BO1387" s="115"/>
      <c r="BP1387" s="115"/>
      <c r="BQ1387" s="115"/>
      <c r="BR1387" s="115"/>
      <c r="BS1387" s="115"/>
      <c r="BT1387" s="115"/>
      <c r="BU1387" s="26"/>
      <c r="BV1387" s="15"/>
      <c r="BY1387" s="114"/>
    </row>
    <row r="1388" spans="1:77" x14ac:dyDescent="0.4">
      <c r="A1388" s="115"/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22"/>
      <c r="BE1388" s="122"/>
      <c r="BF1388" s="122"/>
      <c r="BG1388" s="115"/>
      <c r="BH1388" s="115"/>
      <c r="BI1388" s="115"/>
      <c r="BJ1388" s="115"/>
      <c r="BK1388" s="115"/>
      <c r="BL1388" s="115"/>
      <c r="BM1388" s="115"/>
      <c r="BN1388" s="115"/>
      <c r="BO1388" s="115"/>
      <c r="BP1388" s="115"/>
      <c r="BQ1388" s="115"/>
      <c r="BR1388" s="115"/>
      <c r="BS1388" s="115"/>
      <c r="BT1388" s="115"/>
      <c r="BU1388" s="17"/>
      <c r="BV1388" s="13"/>
      <c r="BY1388" s="114"/>
    </row>
    <row r="1389" spans="1:77" x14ac:dyDescent="0.4">
      <c r="A1389" s="115"/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15"/>
      <c r="AV1389" s="115"/>
      <c r="AW1389" s="115"/>
      <c r="AX1389" s="115"/>
      <c r="AY1389" s="115"/>
      <c r="AZ1389" s="115"/>
      <c r="BA1389" s="115"/>
      <c r="BB1389" s="115"/>
      <c r="BC1389" s="115"/>
      <c r="BD1389" s="122"/>
      <c r="BE1389" s="122"/>
      <c r="BF1389" s="122"/>
      <c r="BG1389" s="115"/>
      <c r="BH1389" s="115"/>
      <c r="BI1389" s="115"/>
      <c r="BJ1389" s="115"/>
      <c r="BK1389" s="115"/>
      <c r="BL1389" s="115"/>
      <c r="BM1389" s="115"/>
      <c r="BN1389" s="115"/>
      <c r="BO1389" s="115"/>
      <c r="BP1389" s="115"/>
      <c r="BQ1389" s="115"/>
      <c r="BR1389" s="115"/>
      <c r="BS1389" s="115"/>
      <c r="BT1389" s="115"/>
      <c r="BU1389" s="17"/>
      <c r="BV1389" s="13"/>
      <c r="BY1389" s="114"/>
    </row>
    <row r="1390" spans="1:77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115"/>
      <c r="BB1390" s="115"/>
      <c r="BC1390" s="115"/>
      <c r="BD1390" s="122"/>
      <c r="BE1390" s="122"/>
      <c r="BF1390" s="122"/>
      <c r="BG1390" s="115"/>
      <c r="BH1390" s="115"/>
      <c r="BI1390" s="115"/>
      <c r="BJ1390" s="115"/>
      <c r="BK1390" s="115"/>
      <c r="BL1390" s="115"/>
      <c r="BM1390" s="115"/>
      <c r="BN1390" s="115"/>
      <c r="BO1390" s="115"/>
      <c r="BP1390" s="115"/>
      <c r="BQ1390" s="115"/>
      <c r="BR1390" s="115"/>
      <c r="BS1390" s="115"/>
      <c r="BT1390" s="115"/>
      <c r="BU1390" s="26"/>
      <c r="BV1390" s="13"/>
      <c r="BY1390" s="114"/>
    </row>
    <row r="1391" spans="1:77" x14ac:dyDescent="0.4">
      <c r="A1391" s="115"/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15"/>
      <c r="AS1391" s="115"/>
      <c r="AT1391" s="115"/>
      <c r="AU1391" s="115"/>
      <c r="AV1391" s="115"/>
      <c r="AW1391" s="115"/>
      <c r="AX1391" s="115"/>
      <c r="AY1391" s="115"/>
      <c r="AZ1391" s="115"/>
      <c r="BA1391" s="115"/>
      <c r="BB1391" s="115"/>
      <c r="BC1391" s="115"/>
      <c r="BD1391" s="122"/>
      <c r="BE1391" s="122"/>
      <c r="BF1391" s="122"/>
      <c r="BG1391" s="115"/>
      <c r="BH1391" s="115"/>
      <c r="BI1391" s="115"/>
      <c r="BJ1391" s="115"/>
      <c r="BK1391" s="115"/>
      <c r="BL1391" s="115"/>
      <c r="BM1391" s="115"/>
      <c r="BN1391" s="115"/>
      <c r="BO1391" s="115"/>
      <c r="BP1391" s="115"/>
      <c r="BQ1391" s="115"/>
      <c r="BR1391" s="115"/>
      <c r="BS1391" s="115"/>
      <c r="BT1391" s="115"/>
      <c r="BU1391" s="26"/>
      <c r="BV1391" s="13"/>
      <c r="BY1391" s="114"/>
    </row>
    <row r="1392" spans="1:77" x14ac:dyDescent="0.4">
      <c r="A1392" s="115"/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115"/>
      <c r="BB1392" s="115"/>
      <c r="BC1392" s="115"/>
      <c r="BD1392" s="122"/>
      <c r="BE1392" s="122"/>
      <c r="BF1392" s="122"/>
      <c r="BG1392" s="115"/>
      <c r="BH1392" s="115"/>
      <c r="BI1392" s="115"/>
      <c r="BJ1392" s="115"/>
      <c r="BK1392" s="115"/>
      <c r="BL1392" s="115"/>
      <c r="BM1392" s="115"/>
      <c r="BN1392" s="115"/>
      <c r="BO1392" s="115"/>
      <c r="BP1392" s="115"/>
      <c r="BQ1392" s="115"/>
      <c r="BR1392" s="115"/>
      <c r="BS1392" s="115"/>
      <c r="BT1392" s="115"/>
      <c r="BU1392" s="17"/>
      <c r="BV1392" s="13"/>
      <c r="BY1392" s="114"/>
    </row>
    <row r="1393" spans="1:77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15"/>
      <c r="AS1393" s="115"/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22"/>
      <c r="BE1393" s="122"/>
      <c r="BF1393" s="122"/>
      <c r="BG1393" s="115"/>
      <c r="BH1393" s="115"/>
      <c r="BI1393" s="115"/>
      <c r="BJ1393" s="115"/>
      <c r="BK1393" s="115"/>
      <c r="BL1393" s="115"/>
      <c r="BM1393" s="115"/>
      <c r="BN1393" s="115"/>
      <c r="BO1393" s="115"/>
      <c r="BP1393" s="115"/>
      <c r="BQ1393" s="115"/>
      <c r="BR1393" s="115"/>
      <c r="BS1393" s="115"/>
      <c r="BT1393" s="115"/>
      <c r="BU1393" s="26"/>
      <c r="BV1393" s="15"/>
      <c r="BY1393" s="114"/>
    </row>
    <row r="1394" spans="1:77" x14ac:dyDescent="0.4">
      <c r="A1394" s="115"/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22"/>
      <c r="BE1394" s="122"/>
      <c r="BF1394" s="122"/>
      <c r="BG1394" s="115"/>
      <c r="BH1394" s="115"/>
      <c r="BI1394" s="115"/>
      <c r="BJ1394" s="115"/>
      <c r="BK1394" s="115"/>
      <c r="BL1394" s="115"/>
      <c r="BM1394" s="115"/>
      <c r="BN1394" s="115"/>
      <c r="BO1394" s="115"/>
      <c r="BP1394" s="115"/>
      <c r="BQ1394" s="115"/>
      <c r="BR1394" s="115"/>
      <c r="BS1394" s="115"/>
      <c r="BT1394" s="115"/>
      <c r="BU1394" s="26"/>
      <c r="BV1394" s="15"/>
      <c r="BY1394" s="114"/>
    </row>
    <row r="1395" spans="1:77" x14ac:dyDescent="0.4">
      <c r="A1395" s="115"/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22"/>
      <c r="BE1395" s="122"/>
      <c r="BF1395" s="122"/>
      <c r="BG1395" s="115"/>
      <c r="BH1395" s="115"/>
      <c r="BI1395" s="115"/>
      <c r="BJ1395" s="115"/>
      <c r="BK1395" s="115"/>
      <c r="BL1395" s="115"/>
      <c r="BM1395" s="115"/>
      <c r="BN1395" s="115"/>
      <c r="BO1395" s="115"/>
      <c r="BP1395" s="115"/>
      <c r="BQ1395" s="115"/>
      <c r="BR1395" s="115"/>
      <c r="BS1395" s="115"/>
      <c r="BT1395" s="115"/>
      <c r="BU1395" s="26"/>
      <c r="BV1395" s="15"/>
      <c r="BY1395" s="114"/>
    </row>
    <row r="1396" spans="1:77" x14ac:dyDescent="0.4">
      <c r="A1396" s="115"/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22"/>
      <c r="BE1396" s="122"/>
      <c r="BF1396" s="122"/>
      <c r="BG1396" s="115"/>
      <c r="BH1396" s="115"/>
      <c r="BI1396" s="115"/>
      <c r="BJ1396" s="115"/>
      <c r="BK1396" s="115"/>
      <c r="BL1396" s="115"/>
      <c r="BM1396" s="115"/>
      <c r="BN1396" s="115"/>
      <c r="BO1396" s="115"/>
      <c r="BP1396" s="115"/>
      <c r="BQ1396" s="115"/>
      <c r="BR1396" s="115"/>
      <c r="BS1396" s="115"/>
      <c r="BT1396" s="115"/>
      <c r="BU1396" s="26"/>
      <c r="BV1396" s="13"/>
      <c r="BY1396" s="114"/>
    </row>
    <row r="1397" spans="1:77" x14ac:dyDescent="0.4">
      <c r="A1397" s="115"/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15"/>
      <c r="AT1397" s="115"/>
      <c r="AU1397" s="115"/>
      <c r="AV1397" s="115"/>
      <c r="AW1397" s="115"/>
      <c r="AX1397" s="115"/>
      <c r="AY1397" s="115"/>
      <c r="AZ1397" s="115"/>
      <c r="BA1397" s="115"/>
      <c r="BB1397" s="115"/>
      <c r="BC1397" s="115"/>
      <c r="BD1397" s="122"/>
      <c r="BE1397" s="122"/>
      <c r="BF1397" s="122"/>
      <c r="BG1397" s="115"/>
      <c r="BH1397" s="115"/>
      <c r="BI1397" s="115"/>
      <c r="BJ1397" s="115"/>
      <c r="BK1397" s="115"/>
      <c r="BL1397" s="115"/>
      <c r="BM1397" s="115"/>
      <c r="BN1397" s="115"/>
      <c r="BO1397" s="115"/>
      <c r="BP1397" s="115"/>
      <c r="BQ1397" s="115"/>
      <c r="BR1397" s="115"/>
      <c r="BS1397" s="115"/>
      <c r="BT1397" s="115"/>
      <c r="BU1397" s="26"/>
      <c r="BV1397" s="25"/>
      <c r="BY1397" s="114"/>
    </row>
    <row r="1398" spans="1:77" x14ac:dyDescent="0.4">
      <c r="A1398" s="115"/>
      <c r="B1398" s="115"/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15"/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22"/>
      <c r="BE1398" s="122"/>
      <c r="BF1398" s="122"/>
      <c r="BG1398" s="115"/>
      <c r="BH1398" s="115"/>
      <c r="BI1398" s="115"/>
      <c r="BJ1398" s="115"/>
      <c r="BK1398" s="115"/>
      <c r="BL1398" s="115"/>
      <c r="BM1398" s="115"/>
      <c r="BN1398" s="115"/>
      <c r="BO1398" s="115"/>
      <c r="BP1398" s="115"/>
      <c r="BQ1398" s="115"/>
      <c r="BR1398" s="115"/>
      <c r="BS1398" s="115"/>
      <c r="BT1398" s="115"/>
      <c r="BU1398" s="26"/>
      <c r="BV1398" s="13"/>
      <c r="BY1398" s="114"/>
    </row>
    <row r="1399" spans="1:77" x14ac:dyDescent="0.4">
      <c r="A1399" s="115"/>
      <c r="B1399" s="115"/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15"/>
      <c r="AZ1399" s="115"/>
      <c r="BA1399" s="115"/>
      <c r="BB1399" s="115"/>
      <c r="BC1399" s="115"/>
      <c r="BD1399" s="122"/>
      <c r="BE1399" s="122"/>
      <c r="BF1399" s="122"/>
      <c r="BG1399" s="115"/>
      <c r="BH1399" s="115"/>
      <c r="BI1399" s="115"/>
      <c r="BJ1399" s="115"/>
      <c r="BK1399" s="115"/>
      <c r="BL1399" s="115"/>
      <c r="BM1399" s="115"/>
      <c r="BN1399" s="115"/>
      <c r="BO1399" s="115"/>
      <c r="BP1399" s="115"/>
      <c r="BQ1399" s="115"/>
      <c r="BR1399" s="115"/>
      <c r="BS1399" s="115"/>
      <c r="BT1399" s="115"/>
      <c r="BU1399" s="26"/>
      <c r="BV1399" s="13"/>
      <c r="BY1399" s="114"/>
    </row>
    <row r="1400" spans="1:77" x14ac:dyDescent="0.4">
      <c r="A1400" s="115"/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15"/>
      <c r="AZ1400" s="115"/>
      <c r="BA1400" s="115"/>
      <c r="BB1400" s="115"/>
      <c r="BC1400" s="115"/>
      <c r="BD1400" s="122"/>
      <c r="BE1400" s="122"/>
      <c r="BF1400" s="122"/>
      <c r="BG1400" s="115"/>
      <c r="BH1400" s="115"/>
      <c r="BI1400" s="115"/>
      <c r="BJ1400" s="115"/>
      <c r="BK1400" s="115"/>
      <c r="BL1400" s="115"/>
      <c r="BM1400" s="115"/>
      <c r="BN1400" s="115"/>
      <c r="BO1400" s="115"/>
      <c r="BP1400" s="115"/>
      <c r="BQ1400" s="115"/>
      <c r="BR1400" s="115"/>
      <c r="BS1400" s="115"/>
      <c r="BT1400" s="115"/>
      <c r="BU1400" s="26"/>
      <c r="BV1400" s="13"/>
      <c r="BY1400" s="114"/>
    </row>
    <row r="1401" spans="1:77" x14ac:dyDescent="0.4">
      <c r="A1401" s="115"/>
      <c r="B1401" s="115"/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15"/>
      <c r="AQ1401" s="115"/>
      <c r="AR1401" s="115"/>
      <c r="AS1401" s="115"/>
      <c r="AT1401" s="115"/>
      <c r="AU1401" s="115"/>
      <c r="AV1401" s="115"/>
      <c r="AW1401" s="115"/>
      <c r="AX1401" s="115"/>
      <c r="AY1401" s="115"/>
      <c r="AZ1401" s="115"/>
      <c r="BA1401" s="115"/>
      <c r="BB1401" s="115"/>
      <c r="BC1401" s="115"/>
      <c r="BD1401" s="122"/>
      <c r="BE1401" s="122"/>
      <c r="BF1401" s="122"/>
      <c r="BG1401" s="115"/>
      <c r="BH1401" s="115"/>
      <c r="BI1401" s="115"/>
      <c r="BJ1401" s="115"/>
      <c r="BK1401" s="115"/>
      <c r="BL1401" s="115"/>
      <c r="BM1401" s="115"/>
      <c r="BN1401" s="115"/>
      <c r="BO1401" s="115"/>
      <c r="BP1401" s="115"/>
      <c r="BQ1401" s="115"/>
      <c r="BR1401" s="115"/>
      <c r="BS1401" s="115"/>
      <c r="BT1401" s="115"/>
      <c r="BU1401" s="26"/>
      <c r="BV1401" s="13"/>
      <c r="BY1401" s="114"/>
    </row>
    <row r="1402" spans="1:77" x14ac:dyDescent="0.4">
      <c r="A1402" s="115"/>
      <c r="B1402" s="115"/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22"/>
      <c r="BE1402" s="122"/>
      <c r="BF1402" s="122"/>
      <c r="BG1402" s="115"/>
      <c r="BH1402" s="115"/>
      <c r="BI1402" s="115"/>
      <c r="BJ1402" s="115"/>
      <c r="BK1402" s="115"/>
      <c r="BL1402" s="115"/>
      <c r="BM1402" s="115"/>
      <c r="BN1402" s="115"/>
      <c r="BO1402" s="115"/>
      <c r="BP1402" s="115"/>
      <c r="BQ1402" s="115"/>
      <c r="BR1402" s="115"/>
      <c r="BS1402" s="115"/>
      <c r="BT1402" s="115"/>
      <c r="BU1402" s="26"/>
      <c r="BV1402" s="13"/>
      <c r="BY1402" s="114"/>
    </row>
    <row r="1403" spans="1:77" x14ac:dyDescent="0.4">
      <c r="A1403" s="115"/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22"/>
      <c r="BE1403" s="122"/>
      <c r="BF1403" s="122"/>
      <c r="BG1403" s="115"/>
      <c r="BH1403" s="115"/>
      <c r="BI1403" s="115"/>
      <c r="BJ1403" s="115"/>
      <c r="BK1403" s="115"/>
      <c r="BL1403" s="115"/>
      <c r="BM1403" s="115"/>
      <c r="BN1403" s="115"/>
      <c r="BO1403" s="115"/>
      <c r="BP1403" s="115"/>
      <c r="BQ1403" s="115"/>
      <c r="BR1403" s="115"/>
      <c r="BS1403" s="115"/>
      <c r="BT1403" s="115"/>
      <c r="BU1403" s="26"/>
      <c r="BV1403" s="13"/>
      <c r="BY1403" s="114"/>
    </row>
    <row r="1404" spans="1:77" x14ac:dyDescent="0.4">
      <c r="A1404" s="115"/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22"/>
      <c r="BE1404" s="122"/>
      <c r="BF1404" s="122"/>
      <c r="BG1404" s="115"/>
      <c r="BH1404" s="115"/>
      <c r="BI1404" s="115"/>
      <c r="BJ1404" s="115"/>
      <c r="BK1404" s="115"/>
      <c r="BL1404" s="115"/>
      <c r="BM1404" s="115"/>
      <c r="BN1404" s="115"/>
      <c r="BO1404" s="115"/>
      <c r="BP1404" s="115"/>
      <c r="BQ1404" s="115"/>
      <c r="BR1404" s="115"/>
      <c r="BS1404" s="115"/>
      <c r="BT1404" s="115"/>
      <c r="BU1404" s="26"/>
      <c r="BV1404" s="13"/>
      <c r="BY1404" s="114"/>
    </row>
    <row r="1405" spans="1:77" x14ac:dyDescent="0.4">
      <c r="A1405" s="115"/>
      <c r="B1405" s="115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22"/>
      <c r="BE1405" s="122"/>
      <c r="BF1405" s="122"/>
      <c r="BG1405" s="115"/>
      <c r="BH1405" s="115"/>
      <c r="BI1405" s="115"/>
      <c r="BJ1405" s="115"/>
      <c r="BK1405" s="115"/>
      <c r="BL1405" s="115"/>
      <c r="BM1405" s="115"/>
      <c r="BN1405" s="115"/>
      <c r="BO1405" s="115"/>
      <c r="BP1405" s="115"/>
      <c r="BQ1405" s="115"/>
      <c r="BR1405" s="115"/>
      <c r="BS1405" s="115"/>
      <c r="BT1405" s="115"/>
      <c r="BU1405" s="26"/>
      <c r="BV1405" s="13"/>
      <c r="BY1405" s="114"/>
    </row>
    <row r="1406" spans="1:77" x14ac:dyDescent="0.4">
      <c r="A1406" s="115"/>
      <c r="B1406" s="115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22"/>
      <c r="BE1406" s="122"/>
      <c r="BF1406" s="122"/>
      <c r="BG1406" s="115"/>
      <c r="BH1406" s="115"/>
      <c r="BI1406" s="115"/>
      <c r="BJ1406" s="115"/>
      <c r="BK1406" s="115"/>
      <c r="BL1406" s="115"/>
      <c r="BM1406" s="115"/>
      <c r="BN1406" s="115"/>
      <c r="BO1406" s="115"/>
      <c r="BP1406" s="115"/>
      <c r="BQ1406" s="115"/>
      <c r="BR1406" s="115"/>
      <c r="BS1406" s="115"/>
      <c r="BT1406" s="115"/>
      <c r="BU1406" s="26"/>
      <c r="BV1406" s="13"/>
      <c r="BY1406" s="114"/>
    </row>
    <row r="1407" spans="1:77" x14ac:dyDescent="0.4">
      <c r="A1407" s="115"/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22"/>
      <c r="BE1407" s="122"/>
      <c r="BF1407" s="122"/>
      <c r="BG1407" s="115"/>
      <c r="BH1407" s="115"/>
      <c r="BI1407" s="115"/>
      <c r="BJ1407" s="115"/>
      <c r="BK1407" s="115"/>
      <c r="BL1407" s="115"/>
      <c r="BM1407" s="115"/>
      <c r="BN1407" s="115"/>
      <c r="BO1407" s="115"/>
      <c r="BP1407" s="115"/>
      <c r="BQ1407" s="115"/>
      <c r="BR1407" s="115"/>
      <c r="BS1407" s="115"/>
      <c r="BT1407" s="115"/>
      <c r="BU1407" s="26"/>
      <c r="BV1407" s="13"/>
      <c r="BY1407" s="114"/>
    </row>
    <row r="1408" spans="1:77" x14ac:dyDescent="0.4">
      <c r="A1408" s="115"/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115"/>
      <c r="BC1408" s="115"/>
      <c r="BD1408" s="122"/>
      <c r="BE1408" s="122"/>
      <c r="BF1408" s="122"/>
      <c r="BG1408" s="115"/>
      <c r="BH1408" s="115"/>
      <c r="BI1408" s="115"/>
      <c r="BJ1408" s="115"/>
      <c r="BK1408" s="115"/>
      <c r="BL1408" s="115"/>
      <c r="BM1408" s="115"/>
      <c r="BN1408" s="115"/>
      <c r="BO1408" s="115"/>
      <c r="BP1408" s="115"/>
      <c r="BQ1408" s="115"/>
      <c r="BR1408" s="115"/>
      <c r="BS1408" s="115"/>
      <c r="BT1408" s="115"/>
      <c r="BU1408" s="26"/>
      <c r="BV1408" s="15"/>
      <c r="BY1408" s="114"/>
    </row>
    <row r="1409" spans="1:77" x14ac:dyDescent="0.4">
      <c r="A1409" s="115"/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15"/>
      <c r="BB1409" s="115"/>
      <c r="BC1409" s="115"/>
      <c r="BD1409" s="122"/>
      <c r="BE1409" s="122"/>
      <c r="BF1409" s="122"/>
      <c r="BG1409" s="115"/>
      <c r="BH1409" s="115"/>
      <c r="BI1409" s="115"/>
      <c r="BJ1409" s="115"/>
      <c r="BK1409" s="115"/>
      <c r="BL1409" s="115"/>
      <c r="BM1409" s="115"/>
      <c r="BN1409" s="115"/>
      <c r="BO1409" s="115"/>
      <c r="BP1409" s="115"/>
      <c r="BQ1409" s="115"/>
      <c r="BR1409" s="115"/>
      <c r="BS1409" s="115"/>
      <c r="BT1409" s="115"/>
      <c r="BU1409" s="26"/>
      <c r="BV1409" s="15"/>
      <c r="BY1409" s="114"/>
    </row>
    <row r="1410" spans="1:77" x14ac:dyDescent="0.4">
      <c r="A1410" s="115"/>
      <c r="B1410" s="115"/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115"/>
      <c r="BC1410" s="115"/>
      <c r="BD1410" s="122"/>
      <c r="BE1410" s="122"/>
      <c r="BF1410" s="122"/>
      <c r="BG1410" s="115"/>
      <c r="BH1410" s="115"/>
      <c r="BI1410" s="115"/>
      <c r="BJ1410" s="115"/>
      <c r="BK1410" s="115"/>
      <c r="BL1410" s="115"/>
      <c r="BM1410" s="115"/>
      <c r="BN1410" s="115"/>
      <c r="BO1410" s="115"/>
      <c r="BP1410" s="115"/>
      <c r="BQ1410" s="115"/>
      <c r="BR1410" s="115"/>
      <c r="BS1410" s="115"/>
      <c r="BT1410" s="115"/>
      <c r="BU1410" s="26"/>
      <c r="BV1410" s="15"/>
      <c r="BY1410" s="114"/>
    </row>
    <row r="1411" spans="1:77" x14ac:dyDescent="0.4">
      <c r="A1411" s="115"/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115"/>
      <c r="BA1411" s="115"/>
      <c r="BB1411" s="115"/>
      <c r="BC1411" s="115"/>
      <c r="BD1411" s="122"/>
      <c r="BE1411" s="122"/>
      <c r="BF1411" s="122"/>
      <c r="BG1411" s="115"/>
      <c r="BH1411" s="115"/>
      <c r="BI1411" s="115"/>
      <c r="BJ1411" s="115"/>
      <c r="BK1411" s="115"/>
      <c r="BL1411" s="115"/>
      <c r="BM1411" s="115"/>
      <c r="BN1411" s="115"/>
      <c r="BO1411" s="115"/>
      <c r="BP1411" s="115"/>
      <c r="BQ1411" s="115"/>
      <c r="BR1411" s="115"/>
      <c r="BS1411" s="115"/>
      <c r="BT1411" s="115"/>
      <c r="BU1411" s="26"/>
      <c r="BV1411" s="15"/>
      <c r="BY1411" s="114"/>
    </row>
    <row r="1412" spans="1:77" x14ac:dyDescent="0.4">
      <c r="A1412" s="115"/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115"/>
      <c r="AZ1412" s="115"/>
      <c r="BA1412" s="115"/>
      <c r="BB1412" s="115"/>
      <c r="BC1412" s="115"/>
      <c r="BD1412" s="122"/>
      <c r="BE1412" s="122"/>
      <c r="BF1412" s="122"/>
      <c r="BG1412" s="115"/>
      <c r="BH1412" s="115"/>
      <c r="BI1412" s="115"/>
      <c r="BJ1412" s="115"/>
      <c r="BK1412" s="115"/>
      <c r="BL1412" s="115"/>
      <c r="BM1412" s="115"/>
      <c r="BN1412" s="115"/>
      <c r="BO1412" s="115"/>
      <c r="BP1412" s="115"/>
      <c r="BQ1412" s="115"/>
      <c r="BR1412" s="115"/>
      <c r="BS1412" s="115"/>
      <c r="BT1412" s="115"/>
      <c r="BU1412" s="26"/>
      <c r="BV1412" s="13"/>
      <c r="BY1412" s="114"/>
    </row>
    <row r="1413" spans="1:77" x14ac:dyDescent="0.4">
      <c r="A1413" s="115"/>
      <c r="B1413" s="115"/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115"/>
      <c r="BA1413" s="115"/>
      <c r="BB1413" s="115"/>
      <c r="BC1413" s="115"/>
      <c r="BD1413" s="122"/>
      <c r="BE1413" s="122"/>
      <c r="BF1413" s="122"/>
      <c r="BG1413" s="115"/>
      <c r="BH1413" s="115"/>
      <c r="BI1413" s="115"/>
      <c r="BJ1413" s="115"/>
      <c r="BK1413" s="115"/>
      <c r="BL1413" s="115"/>
      <c r="BM1413" s="115"/>
      <c r="BN1413" s="115"/>
      <c r="BO1413" s="115"/>
      <c r="BP1413" s="115"/>
      <c r="BQ1413" s="115"/>
      <c r="BR1413" s="115"/>
      <c r="BS1413" s="115"/>
      <c r="BT1413" s="115"/>
      <c r="BU1413" s="26"/>
      <c r="BV1413" s="15"/>
      <c r="BY1413" s="114"/>
    </row>
    <row r="1414" spans="1:77" x14ac:dyDescent="0.4">
      <c r="A1414" s="115"/>
      <c r="B1414" s="115"/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15"/>
      <c r="AV1414" s="115"/>
      <c r="AW1414" s="115"/>
      <c r="AX1414" s="115"/>
      <c r="AY1414" s="115"/>
      <c r="AZ1414" s="115"/>
      <c r="BA1414" s="115"/>
      <c r="BB1414" s="115"/>
      <c r="BC1414" s="115"/>
      <c r="BD1414" s="122"/>
      <c r="BE1414" s="122"/>
      <c r="BF1414" s="122"/>
      <c r="BG1414" s="115"/>
      <c r="BH1414" s="115"/>
      <c r="BI1414" s="115"/>
      <c r="BJ1414" s="115"/>
      <c r="BK1414" s="115"/>
      <c r="BL1414" s="115"/>
      <c r="BM1414" s="115"/>
      <c r="BN1414" s="115"/>
      <c r="BO1414" s="115"/>
      <c r="BP1414" s="115"/>
      <c r="BQ1414" s="115"/>
      <c r="BR1414" s="115"/>
      <c r="BS1414" s="115"/>
      <c r="BT1414" s="115"/>
      <c r="BU1414" s="26"/>
      <c r="BV1414" s="15"/>
      <c r="BY1414" s="114"/>
    </row>
    <row r="1415" spans="1:77" x14ac:dyDescent="0.4">
      <c r="A1415" s="115"/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15"/>
      <c r="BA1415" s="115"/>
      <c r="BB1415" s="115"/>
      <c r="BC1415" s="115"/>
      <c r="BD1415" s="122"/>
      <c r="BE1415" s="122"/>
      <c r="BF1415" s="122"/>
      <c r="BG1415" s="115"/>
      <c r="BH1415" s="115"/>
      <c r="BI1415" s="115"/>
      <c r="BJ1415" s="115"/>
      <c r="BK1415" s="115"/>
      <c r="BL1415" s="115"/>
      <c r="BM1415" s="115"/>
      <c r="BN1415" s="115"/>
      <c r="BO1415" s="115"/>
      <c r="BP1415" s="115"/>
      <c r="BQ1415" s="115"/>
      <c r="BR1415" s="115"/>
      <c r="BS1415" s="115"/>
      <c r="BT1415" s="115"/>
      <c r="BU1415" s="26"/>
      <c r="BV1415" s="15"/>
      <c r="BY1415" s="114"/>
    </row>
    <row r="1416" spans="1:77" x14ac:dyDescent="0.4">
      <c r="A1416" s="115"/>
      <c r="B1416" s="115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15"/>
      <c r="AS1416" s="115"/>
      <c r="AT1416" s="115"/>
      <c r="AU1416" s="115"/>
      <c r="AV1416" s="115"/>
      <c r="AW1416" s="115"/>
      <c r="AX1416" s="115"/>
      <c r="AY1416" s="115"/>
      <c r="AZ1416" s="115"/>
      <c r="BA1416" s="115"/>
      <c r="BB1416" s="115"/>
      <c r="BC1416" s="115"/>
      <c r="BD1416" s="122"/>
      <c r="BE1416" s="122"/>
      <c r="BF1416" s="122"/>
      <c r="BG1416" s="115"/>
      <c r="BH1416" s="115"/>
      <c r="BI1416" s="115"/>
      <c r="BJ1416" s="115"/>
      <c r="BK1416" s="115"/>
      <c r="BL1416" s="115"/>
      <c r="BM1416" s="115"/>
      <c r="BN1416" s="115"/>
      <c r="BO1416" s="115"/>
      <c r="BP1416" s="115"/>
      <c r="BQ1416" s="115"/>
      <c r="BR1416" s="115"/>
      <c r="BS1416" s="115"/>
      <c r="BT1416" s="115"/>
      <c r="BU1416" s="26"/>
      <c r="BV1416" s="15"/>
      <c r="BY1416" s="114"/>
    </row>
    <row r="1417" spans="1:77" x14ac:dyDescent="0.4">
      <c r="A1417" s="115"/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115"/>
      <c r="BB1417" s="115"/>
      <c r="BC1417" s="115"/>
      <c r="BD1417" s="122"/>
      <c r="BE1417" s="122"/>
      <c r="BF1417" s="122"/>
      <c r="BG1417" s="115"/>
      <c r="BH1417" s="115"/>
      <c r="BI1417" s="115"/>
      <c r="BJ1417" s="115"/>
      <c r="BK1417" s="115"/>
      <c r="BL1417" s="115"/>
      <c r="BM1417" s="115"/>
      <c r="BN1417" s="115"/>
      <c r="BO1417" s="115"/>
      <c r="BP1417" s="115"/>
      <c r="BQ1417" s="115"/>
      <c r="BR1417" s="115"/>
      <c r="BS1417" s="115"/>
      <c r="BT1417" s="115"/>
      <c r="BU1417" s="26"/>
      <c r="BV1417" s="15"/>
      <c r="BY1417" s="114"/>
    </row>
    <row r="1418" spans="1:77" x14ac:dyDescent="0.4">
      <c r="A1418" s="115"/>
      <c r="B1418" s="115"/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15"/>
      <c r="BB1418" s="115"/>
      <c r="BC1418" s="115"/>
      <c r="BD1418" s="122"/>
      <c r="BE1418" s="122"/>
      <c r="BF1418" s="122"/>
      <c r="BG1418" s="115"/>
      <c r="BH1418" s="115"/>
      <c r="BI1418" s="115"/>
      <c r="BJ1418" s="115"/>
      <c r="BK1418" s="115"/>
      <c r="BL1418" s="115"/>
      <c r="BM1418" s="115"/>
      <c r="BN1418" s="115"/>
      <c r="BO1418" s="115"/>
      <c r="BP1418" s="115"/>
      <c r="BQ1418" s="115"/>
      <c r="BR1418" s="115"/>
      <c r="BS1418" s="115"/>
      <c r="BT1418" s="115"/>
      <c r="BU1418" s="26"/>
      <c r="BV1418" s="105"/>
      <c r="BY1418" s="114"/>
    </row>
    <row r="1419" spans="1:77" x14ac:dyDescent="0.4">
      <c r="A1419" s="115"/>
      <c r="B1419" s="115"/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15"/>
      <c r="AT1419" s="115"/>
      <c r="AU1419" s="115"/>
      <c r="AV1419" s="115"/>
      <c r="AW1419" s="115"/>
      <c r="AX1419" s="115"/>
      <c r="AY1419" s="115"/>
      <c r="AZ1419" s="115"/>
      <c r="BA1419" s="115"/>
      <c r="BB1419" s="115"/>
      <c r="BC1419" s="115"/>
      <c r="BD1419" s="122"/>
      <c r="BE1419" s="122"/>
      <c r="BF1419" s="122"/>
      <c r="BG1419" s="115"/>
      <c r="BH1419" s="115"/>
      <c r="BI1419" s="115"/>
      <c r="BJ1419" s="115"/>
      <c r="BK1419" s="115"/>
      <c r="BL1419" s="115"/>
      <c r="BM1419" s="115"/>
      <c r="BN1419" s="115"/>
      <c r="BO1419" s="115"/>
      <c r="BP1419" s="115"/>
      <c r="BQ1419" s="115"/>
      <c r="BR1419" s="115"/>
      <c r="BS1419" s="115"/>
      <c r="BT1419" s="115"/>
      <c r="BU1419" s="17"/>
      <c r="BV1419" s="15"/>
      <c r="BY1419" s="114"/>
    </row>
    <row r="1420" spans="1:77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115"/>
      <c r="BC1420" s="115"/>
      <c r="BD1420" s="122"/>
      <c r="BE1420" s="122"/>
      <c r="BF1420" s="122"/>
      <c r="BG1420" s="115"/>
      <c r="BH1420" s="115"/>
      <c r="BI1420" s="115"/>
      <c r="BJ1420" s="115"/>
      <c r="BK1420" s="115"/>
      <c r="BL1420" s="115"/>
      <c r="BM1420" s="115"/>
      <c r="BN1420" s="115"/>
      <c r="BO1420" s="115"/>
      <c r="BP1420" s="115"/>
      <c r="BQ1420" s="115"/>
      <c r="BR1420" s="115"/>
      <c r="BS1420" s="115"/>
      <c r="BT1420" s="115"/>
      <c r="BU1420" s="26"/>
      <c r="BV1420" s="15"/>
      <c r="BY1420" s="114"/>
    </row>
    <row r="1421" spans="1:77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15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15"/>
      <c r="BA1421" s="115"/>
      <c r="BB1421" s="115"/>
      <c r="BC1421" s="115"/>
      <c r="BD1421" s="122"/>
      <c r="BE1421" s="122"/>
      <c r="BF1421" s="122"/>
      <c r="BG1421" s="115"/>
      <c r="BH1421" s="115"/>
      <c r="BI1421" s="115"/>
      <c r="BJ1421" s="115"/>
      <c r="BK1421" s="115"/>
      <c r="BL1421" s="115"/>
      <c r="BM1421" s="115"/>
      <c r="BN1421" s="115"/>
      <c r="BO1421" s="115"/>
      <c r="BP1421" s="115"/>
      <c r="BQ1421" s="115"/>
      <c r="BR1421" s="115"/>
      <c r="BS1421" s="115"/>
      <c r="BT1421" s="115"/>
      <c r="BU1421" s="26"/>
      <c r="BV1421" s="15"/>
      <c r="BY1421" s="114"/>
    </row>
    <row r="1422" spans="1:77" x14ac:dyDescent="0.4">
      <c r="A1422" s="115"/>
      <c r="B1422" s="115"/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15"/>
      <c r="AN1422" s="115"/>
      <c r="AO1422" s="115"/>
      <c r="AP1422" s="115"/>
      <c r="AQ1422" s="115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15"/>
      <c r="BB1422" s="115"/>
      <c r="BC1422" s="115"/>
      <c r="BD1422" s="122"/>
      <c r="BE1422" s="122"/>
      <c r="BF1422" s="122"/>
      <c r="BG1422" s="115"/>
      <c r="BH1422" s="115"/>
      <c r="BI1422" s="115"/>
      <c r="BJ1422" s="115"/>
      <c r="BK1422" s="115"/>
      <c r="BL1422" s="115"/>
      <c r="BM1422" s="115"/>
      <c r="BN1422" s="115"/>
      <c r="BO1422" s="115"/>
      <c r="BP1422" s="115"/>
      <c r="BQ1422" s="115"/>
      <c r="BR1422" s="115"/>
      <c r="BS1422" s="115"/>
      <c r="BT1422" s="115"/>
      <c r="BU1422" s="26"/>
      <c r="BV1422" s="105"/>
      <c r="BY1422" s="114"/>
    </row>
    <row r="1423" spans="1:77" x14ac:dyDescent="0.4">
      <c r="BU1423" s="26"/>
      <c r="BV1423" s="15"/>
      <c r="BY1423" s="114"/>
    </row>
    <row r="1424" spans="1:77" x14ac:dyDescent="0.4">
      <c r="BE1424" s="122"/>
      <c r="BF1424" s="122"/>
      <c r="BG1424" s="115"/>
      <c r="BH1424" s="115"/>
      <c r="BI1424" s="115"/>
      <c r="BJ1424" s="115"/>
      <c r="BK1424" s="115"/>
      <c r="BL1424" s="115"/>
      <c r="BM1424" s="115"/>
      <c r="BN1424" s="115"/>
      <c r="BO1424" s="115"/>
      <c r="BP1424" s="115"/>
      <c r="BQ1424" s="115"/>
      <c r="BR1424" s="115"/>
      <c r="BS1424" s="115"/>
      <c r="BT1424" s="115"/>
      <c r="BU1424" s="26"/>
      <c r="BV1424" s="15"/>
      <c r="BY1424" s="114"/>
    </row>
    <row r="1425" spans="2:77" x14ac:dyDescent="0.4">
      <c r="BA1425" s="115"/>
      <c r="BB1425" s="115"/>
      <c r="BC1425" s="115"/>
      <c r="BD1425" s="122"/>
      <c r="BE1425" s="122"/>
      <c r="BF1425" s="122"/>
      <c r="BG1425" s="115"/>
      <c r="BH1425" s="115"/>
      <c r="BI1425" s="115"/>
      <c r="BJ1425" s="115"/>
      <c r="BK1425" s="115"/>
      <c r="BL1425" s="115"/>
      <c r="BM1425" s="115"/>
      <c r="BN1425" s="115"/>
      <c r="BO1425" s="115"/>
      <c r="BP1425" s="115"/>
      <c r="BQ1425" s="115"/>
      <c r="BR1425" s="115"/>
      <c r="BS1425" s="115"/>
      <c r="BT1425" s="115"/>
      <c r="BU1425" s="26"/>
      <c r="BV1425" s="15"/>
      <c r="BY1425" s="114"/>
    </row>
    <row r="1426" spans="2:77" x14ac:dyDescent="0.4">
      <c r="B1426" s="115"/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115"/>
      <c r="BD1426" s="122"/>
      <c r="BE1426" s="122"/>
      <c r="BF1426" s="122"/>
      <c r="BG1426" s="115"/>
      <c r="BH1426" s="115"/>
      <c r="BI1426" s="115"/>
      <c r="BJ1426" s="115"/>
      <c r="BK1426" s="115"/>
      <c r="BL1426" s="115"/>
      <c r="BM1426" s="115"/>
      <c r="BN1426" s="115"/>
      <c r="BO1426" s="115"/>
      <c r="BP1426" s="115"/>
      <c r="BQ1426" s="115"/>
      <c r="BR1426" s="115"/>
      <c r="BS1426" s="115"/>
      <c r="BT1426" s="115"/>
      <c r="BU1426" s="26"/>
      <c r="BV1426" s="15"/>
      <c r="BY1426" s="114"/>
    </row>
    <row r="1427" spans="2:77" x14ac:dyDescent="0.4"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15"/>
      <c r="BA1427" s="115"/>
      <c r="BB1427" s="115"/>
      <c r="BC1427" s="115"/>
      <c r="BD1427" s="122"/>
      <c r="BE1427" s="122"/>
      <c r="BF1427" s="122"/>
      <c r="BG1427" s="115"/>
      <c r="BH1427" s="115"/>
      <c r="BI1427" s="115"/>
      <c r="BJ1427" s="115"/>
      <c r="BK1427" s="115"/>
      <c r="BL1427" s="115"/>
      <c r="BM1427" s="115"/>
      <c r="BN1427" s="115"/>
      <c r="BO1427" s="115"/>
      <c r="BP1427" s="115"/>
      <c r="BQ1427" s="115"/>
      <c r="BR1427" s="115"/>
      <c r="BS1427" s="115"/>
      <c r="BT1427" s="115"/>
      <c r="BU1427" s="17"/>
      <c r="BV1427" s="15"/>
      <c r="BY1427" s="114"/>
    </row>
    <row r="1428" spans="2:77" x14ac:dyDescent="0.4"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115"/>
      <c r="BD1428" s="122"/>
      <c r="BE1428" s="122"/>
      <c r="BF1428" s="122"/>
      <c r="BG1428" s="115"/>
      <c r="BH1428" s="115"/>
      <c r="BI1428" s="115"/>
      <c r="BJ1428" s="115"/>
      <c r="BK1428" s="115"/>
      <c r="BL1428" s="115"/>
      <c r="BM1428" s="115"/>
      <c r="BN1428" s="115"/>
      <c r="BO1428" s="115"/>
      <c r="BP1428" s="115"/>
      <c r="BQ1428" s="115"/>
      <c r="BR1428" s="115"/>
      <c r="BS1428" s="115"/>
      <c r="BT1428" s="115"/>
      <c r="BU1428" s="26"/>
      <c r="BV1428" s="15"/>
      <c r="BY1428" s="114"/>
    </row>
    <row r="1429" spans="2:77" x14ac:dyDescent="0.4"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115"/>
      <c r="BD1429" s="122"/>
      <c r="BE1429" s="122"/>
      <c r="BF1429" s="122"/>
      <c r="BG1429" s="115"/>
      <c r="BH1429" s="115"/>
      <c r="BI1429" s="115"/>
      <c r="BJ1429" s="115"/>
      <c r="BK1429" s="115"/>
      <c r="BL1429" s="115"/>
      <c r="BM1429" s="115"/>
      <c r="BN1429" s="115"/>
      <c r="BO1429" s="115"/>
      <c r="BP1429" s="115"/>
      <c r="BQ1429" s="115"/>
      <c r="BR1429" s="115"/>
      <c r="BS1429" s="115"/>
      <c r="BT1429" s="115"/>
      <c r="BU1429" s="26"/>
      <c r="BV1429" s="15"/>
      <c r="BY1429" s="114"/>
    </row>
    <row r="1430" spans="2:77" x14ac:dyDescent="0.4">
      <c r="B1430" s="115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15"/>
      <c r="BA1430" s="115"/>
      <c r="BB1430" s="115"/>
      <c r="BC1430" s="115"/>
      <c r="BD1430" s="122"/>
      <c r="BE1430" s="122"/>
      <c r="BF1430" s="122"/>
      <c r="BG1430" s="115"/>
      <c r="BH1430" s="115"/>
      <c r="BI1430" s="115"/>
      <c r="BJ1430" s="115"/>
      <c r="BK1430" s="115"/>
      <c r="BL1430" s="115"/>
      <c r="BM1430" s="115"/>
      <c r="BN1430" s="115"/>
      <c r="BO1430" s="115"/>
      <c r="BP1430" s="115"/>
      <c r="BQ1430" s="115"/>
      <c r="BR1430" s="115"/>
      <c r="BS1430" s="115"/>
      <c r="BT1430" s="115"/>
      <c r="BU1430" s="26"/>
      <c r="BV1430" s="15"/>
      <c r="BY1430" s="114"/>
    </row>
    <row r="1431" spans="2:77" x14ac:dyDescent="0.4">
      <c r="B1431" s="115"/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122"/>
      <c r="BE1431" s="122"/>
      <c r="BF1431" s="122"/>
      <c r="BG1431" s="115"/>
      <c r="BH1431" s="115"/>
      <c r="BI1431" s="115"/>
      <c r="BJ1431" s="115"/>
      <c r="BK1431" s="115"/>
      <c r="BL1431" s="115"/>
      <c r="BM1431" s="115"/>
      <c r="BN1431" s="115"/>
      <c r="BO1431" s="115"/>
      <c r="BP1431" s="115"/>
      <c r="BQ1431" s="115"/>
      <c r="BR1431" s="115"/>
      <c r="BS1431" s="115"/>
      <c r="BT1431" s="115"/>
      <c r="BU1431" s="26"/>
      <c r="BV1431" s="15"/>
      <c r="BY1431" s="114"/>
    </row>
    <row r="1432" spans="2:77" x14ac:dyDescent="0.4">
      <c r="B1432" s="115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15"/>
      <c r="BB1432" s="115"/>
      <c r="BC1432" s="115"/>
      <c r="BD1432" s="122"/>
      <c r="BE1432" s="122"/>
      <c r="BF1432" s="122"/>
      <c r="BG1432" s="115"/>
      <c r="BH1432" s="115"/>
      <c r="BI1432" s="115"/>
      <c r="BJ1432" s="115"/>
      <c r="BK1432" s="115"/>
      <c r="BL1432" s="115"/>
      <c r="BM1432" s="115"/>
      <c r="BN1432" s="115"/>
      <c r="BO1432" s="115"/>
      <c r="BP1432" s="115"/>
      <c r="BQ1432" s="115"/>
      <c r="BR1432" s="115"/>
      <c r="BS1432" s="115"/>
      <c r="BT1432" s="115"/>
      <c r="BU1432" s="26"/>
      <c r="BV1432" s="15"/>
      <c r="BY1432" s="114"/>
    </row>
    <row r="1433" spans="2:77" x14ac:dyDescent="0.4">
      <c r="B1433" s="115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115"/>
      <c r="BD1433" s="122"/>
      <c r="BE1433" s="122"/>
      <c r="BF1433" s="122"/>
      <c r="BG1433" s="115"/>
      <c r="BH1433" s="115"/>
      <c r="BI1433" s="115"/>
      <c r="BJ1433" s="115"/>
      <c r="BK1433" s="115"/>
      <c r="BL1433" s="115"/>
      <c r="BM1433" s="115"/>
      <c r="BN1433" s="115"/>
      <c r="BO1433" s="115"/>
      <c r="BP1433" s="115"/>
      <c r="BQ1433" s="115"/>
      <c r="BR1433" s="115"/>
      <c r="BS1433" s="115"/>
      <c r="BT1433" s="115"/>
      <c r="BU1433" s="26"/>
      <c r="BV1433" s="15"/>
      <c r="BY1433" s="114"/>
    </row>
    <row r="1434" spans="2:77" x14ac:dyDescent="0.4">
      <c r="B1434" s="115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15"/>
      <c r="AY1434" s="115"/>
      <c r="AZ1434" s="115"/>
      <c r="BA1434" s="115"/>
      <c r="BB1434" s="115"/>
      <c r="BC1434" s="115"/>
      <c r="BD1434" s="122"/>
      <c r="BE1434" s="122"/>
      <c r="BF1434" s="122"/>
      <c r="BG1434" s="115"/>
      <c r="BH1434" s="115"/>
      <c r="BI1434" s="115"/>
      <c r="BJ1434" s="115"/>
      <c r="BK1434" s="115"/>
      <c r="BL1434" s="115"/>
      <c r="BM1434" s="115"/>
      <c r="BN1434" s="115"/>
      <c r="BO1434" s="115"/>
      <c r="BP1434" s="115"/>
      <c r="BQ1434" s="115"/>
      <c r="BR1434" s="115"/>
      <c r="BS1434" s="115"/>
      <c r="BT1434" s="115"/>
      <c r="BU1434" s="26"/>
      <c r="BV1434" s="15"/>
      <c r="BY1434" s="114"/>
    </row>
    <row r="1435" spans="2:77" x14ac:dyDescent="0.4">
      <c r="B1435" s="115"/>
      <c r="C1435" s="115"/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15"/>
      <c r="BA1435" s="115"/>
      <c r="BB1435" s="115"/>
      <c r="BC1435" s="115"/>
      <c r="BD1435" s="122"/>
      <c r="BE1435" s="122"/>
      <c r="BF1435" s="122"/>
      <c r="BG1435" s="115"/>
      <c r="BH1435" s="115"/>
      <c r="BI1435" s="115"/>
      <c r="BJ1435" s="115"/>
      <c r="BK1435" s="115"/>
      <c r="BL1435" s="115"/>
      <c r="BM1435" s="115"/>
      <c r="BN1435" s="115"/>
      <c r="BO1435" s="115"/>
      <c r="BP1435" s="115"/>
      <c r="BQ1435" s="115"/>
      <c r="BR1435" s="115"/>
      <c r="BS1435" s="115"/>
      <c r="BT1435" s="115"/>
      <c r="BU1435" s="17"/>
      <c r="BV1435" s="15"/>
      <c r="BY1435" s="114"/>
    </row>
    <row r="1436" spans="2:77" x14ac:dyDescent="0.4">
      <c r="B1436" s="115"/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122"/>
      <c r="BE1436" s="122"/>
      <c r="BF1436" s="122"/>
      <c r="BG1436" s="115"/>
      <c r="BH1436" s="115"/>
      <c r="BI1436" s="115"/>
      <c r="BJ1436" s="115"/>
      <c r="BK1436" s="115"/>
      <c r="BL1436" s="115"/>
      <c r="BM1436" s="115"/>
      <c r="BN1436" s="115"/>
      <c r="BO1436" s="115"/>
      <c r="BP1436" s="115"/>
      <c r="BQ1436" s="115"/>
      <c r="BR1436" s="115"/>
      <c r="BS1436" s="115"/>
      <c r="BT1436" s="115"/>
      <c r="BU1436" s="26"/>
      <c r="BV1436" s="15"/>
      <c r="BY1436" s="114"/>
    </row>
    <row r="1437" spans="2:77" x14ac:dyDescent="0.4">
      <c r="B1437" s="115"/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15"/>
      <c r="AY1437" s="115"/>
      <c r="AZ1437" s="115"/>
      <c r="BA1437" s="115"/>
      <c r="BB1437" s="115"/>
      <c r="BC1437" s="115"/>
      <c r="BD1437" s="122"/>
      <c r="BE1437" s="122"/>
      <c r="BF1437" s="122"/>
      <c r="BG1437" s="115"/>
      <c r="BH1437" s="115"/>
      <c r="BI1437" s="115"/>
      <c r="BJ1437" s="115"/>
      <c r="BK1437" s="115"/>
      <c r="BL1437" s="115"/>
      <c r="BM1437" s="115"/>
      <c r="BN1437" s="115"/>
      <c r="BO1437" s="115"/>
      <c r="BP1437" s="115"/>
      <c r="BQ1437" s="115"/>
      <c r="BR1437" s="115"/>
      <c r="BS1437" s="115"/>
      <c r="BT1437" s="115"/>
      <c r="BU1437" s="26"/>
      <c r="BV1437" s="15"/>
      <c r="BY1437" s="114"/>
    </row>
    <row r="1438" spans="2:77" x14ac:dyDescent="0.4">
      <c r="B1438" s="115"/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15"/>
      <c r="AV1438" s="115"/>
      <c r="AW1438" s="115"/>
      <c r="AX1438" s="115"/>
      <c r="AY1438" s="115"/>
      <c r="AZ1438" s="115"/>
      <c r="BA1438" s="115"/>
      <c r="BB1438" s="115"/>
      <c r="BC1438" s="115"/>
      <c r="BD1438" s="122"/>
      <c r="BE1438" s="122"/>
      <c r="BF1438" s="122"/>
      <c r="BG1438" s="115"/>
      <c r="BH1438" s="115"/>
      <c r="BI1438" s="115"/>
      <c r="BJ1438" s="115"/>
      <c r="BK1438" s="115"/>
      <c r="BL1438" s="115"/>
      <c r="BM1438" s="115"/>
      <c r="BN1438" s="115"/>
      <c r="BO1438" s="115"/>
      <c r="BP1438" s="115"/>
      <c r="BQ1438" s="115"/>
      <c r="BR1438" s="115"/>
      <c r="BS1438" s="115"/>
      <c r="BT1438" s="115"/>
      <c r="BU1438" s="26"/>
      <c r="BV1438" s="15"/>
      <c r="BY1438" s="114"/>
    </row>
    <row r="1439" spans="2:77" x14ac:dyDescent="0.4">
      <c r="B1439" s="115"/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122"/>
      <c r="BE1439" s="122"/>
      <c r="BF1439" s="122"/>
      <c r="BG1439" s="115"/>
      <c r="BH1439" s="115"/>
      <c r="BI1439" s="115"/>
      <c r="BJ1439" s="115"/>
      <c r="BK1439" s="115"/>
      <c r="BL1439" s="115"/>
      <c r="BM1439" s="115"/>
      <c r="BN1439" s="115"/>
      <c r="BO1439" s="115"/>
      <c r="BP1439" s="115"/>
      <c r="BQ1439" s="115"/>
      <c r="BR1439" s="115"/>
      <c r="BS1439" s="115"/>
      <c r="BT1439" s="115"/>
      <c r="BU1439" s="26"/>
      <c r="BV1439" s="15"/>
      <c r="BY1439" s="114"/>
    </row>
    <row r="1440" spans="2:77" x14ac:dyDescent="0.4"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115"/>
      <c r="BC1440" s="115"/>
      <c r="BD1440" s="122"/>
      <c r="BE1440" s="122"/>
      <c r="BF1440" s="122"/>
      <c r="BG1440" s="115"/>
      <c r="BH1440" s="115"/>
      <c r="BI1440" s="115"/>
      <c r="BJ1440" s="115"/>
      <c r="BK1440" s="115"/>
      <c r="BL1440" s="115"/>
      <c r="BM1440" s="115"/>
      <c r="BN1440" s="115"/>
      <c r="BO1440" s="115"/>
      <c r="BP1440" s="115"/>
      <c r="BQ1440" s="115"/>
      <c r="BR1440" s="115"/>
      <c r="BS1440" s="115"/>
      <c r="BT1440" s="115"/>
      <c r="BU1440" s="26"/>
      <c r="BV1440" s="15"/>
      <c r="BY1440" s="114"/>
    </row>
    <row r="1441" spans="2:77" x14ac:dyDescent="0.4"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5"/>
      <c r="AZ1441" s="115"/>
      <c r="BA1441" s="115"/>
      <c r="BB1441" s="115"/>
      <c r="BC1441" s="115"/>
      <c r="BD1441" s="122"/>
      <c r="BE1441" s="122"/>
      <c r="BF1441" s="122"/>
      <c r="BG1441" s="115"/>
      <c r="BH1441" s="115"/>
      <c r="BI1441" s="115"/>
      <c r="BJ1441" s="115"/>
      <c r="BK1441" s="115"/>
      <c r="BL1441" s="115"/>
      <c r="BM1441" s="115"/>
      <c r="BN1441" s="115"/>
      <c r="BO1441" s="115"/>
      <c r="BP1441" s="115"/>
      <c r="BQ1441" s="115"/>
      <c r="BR1441" s="115"/>
      <c r="BS1441" s="115"/>
      <c r="BT1441" s="115"/>
      <c r="BU1441" s="26"/>
      <c r="BV1441" s="15"/>
      <c r="BY1441" s="114"/>
    </row>
    <row r="1442" spans="2:77" x14ac:dyDescent="0.4"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15"/>
      <c r="AV1442" s="115"/>
      <c r="AW1442" s="115"/>
      <c r="AX1442" s="115"/>
      <c r="AY1442" s="115"/>
      <c r="AZ1442" s="115"/>
      <c r="BA1442" s="115"/>
      <c r="BB1442" s="115"/>
      <c r="BC1442" s="115"/>
      <c r="BD1442" s="122"/>
      <c r="BE1442" s="122"/>
      <c r="BF1442" s="122"/>
      <c r="BG1442" s="115"/>
      <c r="BH1442" s="115"/>
      <c r="BI1442" s="115"/>
      <c r="BJ1442" s="115"/>
      <c r="BK1442" s="115"/>
      <c r="BL1442" s="115"/>
      <c r="BM1442" s="115"/>
      <c r="BN1442" s="115"/>
      <c r="BO1442" s="115"/>
      <c r="BP1442" s="115"/>
      <c r="BQ1442" s="115"/>
      <c r="BR1442" s="115"/>
      <c r="BS1442" s="115"/>
      <c r="BT1442" s="115"/>
      <c r="BU1442" s="26"/>
      <c r="BV1442" s="15"/>
      <c r="BY1442" s="114"/>
    </row>
    <row r="1443" spans="2:77" x14ac:dyDescent="0.4"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15"/>
      <c r="BB1443" s="115"/>
      <c r="BC1443" s="115"/>
      <c r="BD1443" s="122"/>
      <c r="BE1443" s="122"/>
      <c r="BF1443" s="122"/>
      <c r="BG1443" s="115"/>
      <c r="BH1443" s="115"/>
      <c r="BI1443" s="115"/>
      <c r="BJ1443" s="115"/>
      <c r="BK1443" s="115"/>
      <c r="BL1443" s="115"/>
      <c r="BM1443" s="115"/>
      <c r="BN1443" s="115"/>
      <c r="BO1443" s="115"/>
      <c r="BP1443" s="115"/>
      <c r="BQ1443" s="115"/>
      <c r="BR1443" s="115"/>
      <c r="BS1443" s="115"/>
      <c r="BT1443" s="115"/>
      <c r="BU1443" s="17"/>
      <c r="BV1443" s="15"/>
      <c r="BY1443" s="114"/>
    </row>
    <row r="1444" spans="2:77" x14ac:dyDescent="0.4"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115"/>
      <c r="BC1444" s="115"/>
      <c r="BD1444" s="122"/>
      <c r="BE1444" s="122"/>
      <c r="BF1444" s="122"/>
      <c r="BG1444" s="115"/>
      <c r="BH1444" s="115"/>
      <c r="BI1444" s="115"/>
      <c r="BJ1444" s="115"/>
      <c r="BK1444" s="115"/>
      <c r="BL1444" s="115"/>
      <c r="BM1444" s="115"/>
      <c r="BN1444" s="115"/>
      <c r="BO1444" s="115"/>
      <c r="BP1444" s="115"/>
      <c r="BQ1444" s="115"/>
      <c r="BR1444" s="115"/>
      <c r="BS1444" s="115"/>
      <c r="BT1444" s="115"/>
      <c r="BU1444" s="26"/>
      <c r="BV1444" s="15"/>
      <c r="BY1444" s="114"/>
    </row>
    <row r="1445" spans="2:77" x14ac:dyDescent="0.4">
      <c r="B1445" s="115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15"/>
      <c r="BC1445" s="115"/>
      <c r="BD1445" s="122"/>
      <c r="BE1445" s="122"/>
      <c r="BF1445" s="122"/>
      <c r="BG1445" s="115"/>
      <c r="BH1445" s="115"/>
      <c r="BI1445" s="115"/>
      <c r="BJ1445" s="115"/>
      <c r="BK1445" s="115"/>
      <c r="BL1445" s="115"/>
      <c r="BM1445" s="115"/>
      <c r="BN1445" s="115"/>
      <c r="BO1445" s="115"/>
      <c r="BP1445" s="115"/>
      <c r="BQ1445" s="115"/>
      <c r="BR1445" s="115"/>
      <c r="BS1445" s="115"/>
      <c r="BT1445" s="115"/>
      <c r="BU1445" s="26"/>
      <c r="BV1445" s="15"/>
      <c r="BY1445" s="114"/>
    </row>
    <row r="1446" spans="2:77" x14ac:dyDescent="0.4"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122"/>
      <c r="BE1446" s="122"/>
      <c r="BF1446" s="122"/>
      <c r="BG1446" s="115"/>
      <c r="BH1446" s="115"/>
      <c r="BI1446" s="115"/>
      <c r="BJ1446" s="115"/>
      <c r="BK1446" s="115"/>
      <c r="BL1446" s="115"/>
      <c r="BM1446" s="115"/>
      <c r="BN1446" s="115"/>
      <c r="BO1446" s="115"/>
      <c r="BP1446" s="115"/>
      <c r="BQ1446" s="115"/>
      <c r="BR1446" s="115"/>
      <c r="BS1446" s="115"/>
      <c r="BT1446" s="115"/>
      <c r="BU1446" s="26"/>
      <c r="BV1446" s="15"/>
      <c r="BY1446" s="114"/>
    </row>
    <row r="1447" spans="2:77" x14ac:dyDescent="0.4"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115"/>
      <c r="BD1447" s="122"/>
      <c r="BE1447" s="122"/>
      <c r="BF1447" s="122"/>
      <c r="BG1447" s="115"/>
      <c r="BH1447" s="115"/>
      <c r="BI1447" s="115"/>
      <c r="BJ1447" s="115"/>
      <c r="BK1447" s="115"/>
      <c r="BL1447" s="115"/>
      <c r="BM1447" s="115"/>
      <c r="BN1447" s="115"/>
      <c r="BO1447" s="115"/>
      <c r="BP1447" s="115"/>
      <c r="BQ1447" s="115"/>
      <c r="BR1447" s="115"/>
      <c r="BS1447" s="115"/>
      <c r="BT1447" s="115"/>
      <c r="BU1447" s="26"/>
      <c r="BV1447" s="15"/>
      <c r="BY1447" s="114"/>
    </row>
    <row r="1448" spans="2:77" x14ac:dyDescent="0.4">
      <c r="B1448" s="115"/>
      <c r="C1448" s="115"/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115"/>
      <c r="BA1448" s="115"/>
      <c r="BB1448" s="115"/>
      <c r="BC1448" s="115"/>
      <c r="BD1448" s="122"/>
      <c r="BE1448" s="122"/>
      <c r="BF1448" s="122"/>
      <c r="BG1448" s="115"/>
      <c r="BH1448" s="115"/>
      <c r="BI1448" s="115"/>
      <c r="BJ1448" s="115"/>
      <c r="BK1448" s="115"/>
      <c r="BL1448" s="115"/>
      <c r="BM1448" s="115"/>
      <c r="BN1448" s="115"/>
      <c r="BO1448" s="115"/>
      <c r="BP1448" s="115"/>
      <c r="BQ1448" s="115"/>
      <c r="BR1448" s="115"/>
      <c r="BS1448" s="115"/>
      <c r="BT1448" s="115"/>
      <c r="BU1448" s="26"/>
      <c r="BV1448" s="15"/>
      <c r="BY1448" s="114"/>
    </row>
    <row r="1449" spans="2:77" x14ac:dyDescent="0.4">
      <c r="B1449" s="115"/>
      <c r="C1449" s="115"/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122"/>
      <c r="BE1449" s="122"/>
      <c r="BF1449" s="122"/>
      <c r="BG1449" s="115"/>
      <c r="BH1449" s="115"/>
      <c r="BI1449" s="115"/>
      <c r="BJ1449" s="115"/>
      <c r="BK1449" s="115"/>
      <c r="BL1449" s="115"/>
      <c r="BM1449" s="115"/>
      <c r="BN1449" s="115"/>
      <c r="BO1449" s="115"/>
      <c r="BP1449" s="115"/>
      <c r="BQ1449" s="115"/>
      <c r="BR1449" s="115"/>
      <c r="BS1449" s="115"/>
      <c r="BT1449" s="115"/>
      <c r="BU1449" s="26"/>
      <c r="BV1449" s="15"/>
      <c r="BY1449" s="114"/>
    </row>
    <row r="1450" spans="2:77" x14ac:dyDescent="0.4">
      <c r="B1450" s="115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122"/>
      <c r="BE1450" s="122"/>
      <c r="BF1450" s="122"/>
      <c r="BG1450" s="115"/>
      <c r="BH1450" s="115"/>
      <c r="BI1450" s="115"/>
      <c r="BJ1450" s="115"/>
      <c r="BK1450" s="115"/>
      <c r="BL1450" s="115"/>
      <c r="BM1450" s="115"/>
      <c r="BN1450" s="115"/>
      <c r="BO1450" s="115"/>
      <c r="BP1450" s="115"/>
      <c r="BQ1450" s="115"/>
      <c r="BR1450" s="115"/>
      <c r="BS1450" s="115"/>
      <c r="BT1450" s="115"/>
      <c r="BU1450" s="26"/>
      <c r="BV1450" s="15"/>
      <c r="BY1450" s="114"/>
    </row>
    <row r="1451" spans="2:77" x14ac:dyDescent="0.4">
      <c r="B1451" s="115"/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115"/>
      <c r="BC1451" s="115"/>
      <c r="BD1451" s="122"/>
      <c r="BE1451" s="122"/>
      <c r="BF1451" s="122"/>
      <c r="BG1451" s="115"/>
      <c r="BH1451" s="115"/>
      <c r="BI1451" s="115"/>
      <c r="BJ1451" s="115"/>
      <c r="BK1451" s="115"/>
      <c r="BL1451" s="115"/>
      <c r="BM1451" s="115"/>
      <c r="BN1451" s="115"/>
      <c r="BO1451" s="115"/>
      <c r="BP1451" s="115"/>
      <c r="BQ1451" s="115"/>
      <c r="BR1451" s="115"/>
      <c r="BS1451" s="115"/>
      <c r="BT1451" s="115"/>
      <c r="BU1451" s="26"/>
      <c r="BV1451" s="15"/>
      <c r="BY1451" s="114"/>
    </row>
    <row r="1452" spans="2:77" x14ac:dyDescent="0.4">
      <c r="B1452" s="115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15"/>
      <c r="BC1452" s="115"/>
      <c r="BD1452" s="122"/>
      <c r="BE1452" s="122"/>
      <c r="BF1452" s="122"/>
      <c r="BG1452" s="115"/>
      <c r="BH1452" s="115"/>
      <c r="BI1452" s="115"/>
      <c r="BJ1452" s="115"/>
      <c r="BK1452" s="115"/>
      <c r="BL1452" s="115"/>
      <c r="BM1452" s="115"/>
      <c r="BN1452" s="115"/>
      <c r="BO1452" s="115"/>
      <c r="BP1452" s="115"/>
      <c r="BQ1452" s="115"/>
      <c r="BR1452" s="115"/>
      <c r="BS1452" s="115"/>
      <c r="BT1452" s="115"/>
      <c r="BU1452" s="17"/>
      <c r="BV1452" s="15"/>
      <c r="BY1452" s="114"/>
    </row>
    <row r="1453" spans="2:77" x14ac:dyDescent="0.4">
      <c r="B1453" s="115"/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115"/>
      <c r="BC1453" s="115"/>
      <c r="BD1453" s="122"/>
      <c r="BE1453" s="122"/>
      <c r="BF1453" s="122"/>
      <c r="BG1453" s="115"/>
      <c r="BH1453" s="115"/>
      <c r="BI1453" s="115"/>
      <c r="BJ1453" s="115"/>
      <c r="BK1453" s="115"/>
      <c r="BL1453" s="115"/>
      <c r="BM1453" s="115"/>
      <c r="BN1453" s="115"/>
      <c r="BO1453" s="115"/>
      <c r="BP1453" s="115"/>
      <c r="BQ1453" s="115"/>
      <c r="BR1453" s="115"/>
      <c r="BS1453" s="115"/>
      <c r="BT1453" s="115"/>
      <c r="BU1453" s="26"/>
      <c r="BV1453" s="15"/>
      <c r="BY1453" s="114"/>
    </row>
    <row r="1454" spans="2:77" x14ac:dyDescent="0.4"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122"/>
      <c r="BE1454" s="122"/>
      <c r="BF1454" s="122"/>
      <c r="BG1454" s="115"/>
      <c r="BH1454" s="115"/>
      <c r="BI1454" s="115"/>
      <c r="BJ1454" s="115"/>
      <c r="BK1454" s="115"/>
      <c r="BL1454" s="115"/>
      <c r="BM1454" s="115"/>
      <c r="BN1454" s="115"/>
      <c r="BO1454" s="115"/>
      <c r="BP1454" s="115"/>
      <c r="BQ1454" s="115"/>
      <c r="BR1454" s="115"/>
      <c r="BS1454" s="115"/>
      <c r="BT1454" s="115"/>
      <c r="BU1454" s="17"/>
      <c r="BV1454" s="15"/>
      <c r="BY1454" s="114"/>
    </row>
    <row r="1455" spans="2:77" x14ac:dyDescent="0.4">
      <c r="B1455" s="115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115"/>
      <c r="BD1455" s="122"/>
      <c r="BE1455" s="122"/>
      <c r="BF1455" s="122"/>
      <c r="BG1455" s="115"/>
      <c r="BH1455" s="115"/>
      <c r="BI1455" s="115"/>
      <c r="BJ1455" s="115"/>
      <c r="BK1455" s="115"/>
      <c r="BL1455" s="115"/>
      <c r="BM1455" s="115"/>
      <c r="BN1455" s="115"/>
      <c r="BO1455" s="115"/>
      <c r="BP1455" s="115"/>
      <c r="BQ1455" s="115"/>
      <c r="BR1455" s="115"/>
      <c r="BS1455" s="115"/>
      <c r="BT1455" s="115"/>
      <c r="BU1455" s="26"/>
      <c r="BV1455" s="15"/>
      <c r="BY1455" s="114"/>
    </row>
    <row r="1456" spans="2:77" x14ac:dyDescent="0.4">
      <c r="B1456" s="115"/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22"/>
      <c r="BE1456" s="122"/>
      <c r="BF1456" s="122"/>
      <c r="BG1456" s="115"/>
      <c r="BH1456" s="115"/>
      <c r="BI1456" s="115"/>
      <c r="BJ1456" s="115"/>
      <c r="BK1456" s="115"/>
      <c r="BL1456" s="115"/>
      <c r="BM1456" s="115"/>
      <c r="BN1456" s="115"/>
      <c r="BO1456" s="115"/>
      <c r="BP1456" s="115"/>
      <c r="BQ1456" s="115"/>
      <c r="BR1456" s="115"/>
      <c r="BS1456" s="115"/>
      <c r="BT1456" s="115"/>
      <c r="BU1456" s="17"/>
      <c r="BV1456" s="15"/>
      <c r="BY1456" s="114"/>
    </row>
    <row r="1457" spans="1:77" x14ac:dyDescent="0.4">
      <c r="B1457" s="115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15"/>
      <c r="BD1457" s="122"/>
      <c r="BE1457" s="122"/>
      <c r="BF1457" s="122"/>
      <c r="BG1457" s="115"/>
      <c r="BH1457" s="115"/>
      <c r="BI1457" s="115"/>
      <c r="BJ1457" s="115"/>
      <c r="BK1457" s="115"/>
      <c r="BL1457" s="115"/>
      <c r="BM1457" s="115"/>
      <c r="BN1457" s="115"/>
      <c r="BO1457" s="115"/>
      <c r="BP1457" s="115"/>
      <c r="BQ1457" s="115"/>
      <c r="BR1457" s="115"/>
      <c r="BS1457" s="115"/>
      <c r="BT1457" s="115"/>
      <c r="BU1457" s="26"/>
      <c r="BV1457" s="15"/>
      <c r="BY1457" s="114"/>
    </row>
    <row r="1458" spans="1:77" x14ac:dyDescent="0.4">
      <c r="B1458" s="115"/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22"/>
      <c r="BE1458" s="122"/>
      <c r="BF1458" s="122"/>
      <c r="BG1458" s="115"/>
      <c r="BH1458" s="115"/>
      <c r="BI1458" s="115"/>
      <c r="BJ1458" s="115"/>
      <c r="BK1458" s="115"/>
      <c r="BL1458" s="115"/>
      <c r="BM1458" s="115"/>
      <c r="BN1458" s="115"/>
      <c r="BO1458" s="115"/>
      <c r="BP1458" s="115"/>
      <c r="BQ1458" s="115"/>
      <c r="BR1458" s="115"/>
      <c r="BS1458" s="115"/>
      <c r="BT1458" s="115"/>
      <c r="BU1458" s="26"/>
      <c r="BV1458" s="15"/>
      <c r="BY1458" s="114"/>
    </row>
    <row r="1459" spans="1:77" x14ac:dyDescent="0.4"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15"/>
      <c r="AY1459" s="115"/>
      <c r="AZ1459" s="115"/>
      <c r="BA1459" s="115"/>
      <c r="BB1459" s="115"/>
      <c r="BC1459" s="115"/>
      <c r="BD1459" s="122"/>
      <c r="BE1459" s="122"/>
      <c r="BF1459" s="122"/>
      <c r="BG1459" s="115"/>
      <c r="BH1459" s="115"/>
      <c r="BI1459" s="115"/>
      <c r="BJ1459" s="115"/>
      <c r="BK1459" s="115"/>
      <c r="BL1459" s="115"/>
      <c r="BM1459" s="115"/>
      <c r="BN1459" s="115"/>
      <c r="BO1459" s="115"/>
      <c r="BP1459" s="115"/>
      <c r="BQ1459" s="115"/>
      <c r="BR1459" s="115"/>
      <c r="BS1459" s="115"/>
      <c r="BT1459" s="115"/>
      <c r="BU1459" s="17"/>
      <c r="BV1459" s="15"/>
      <c r="BY1459" s="114"/>
    </row>
    <row r="1460" spans="1:77" x14ac:dyDescent="0.4"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115"/>
      <c r="BD1460" s="122"/>
      <c r="BE1460" s="122"/>
      <c r="BF1460" s="122"/>
      <c r="BG1460" s="115"/>
      <c r="BH1460" s="115"/>
      <c r="BI1460" s="115"/>
      <c r="BJ1460" s="115"/>
      <c r="BK1460" s="115"/>
      <c r="BL1460" s="115"/>
      <c r="BM1460" s="115"/>
      <c r="BN1460" s="115"/>
      <c r="BO1460" s="115"/>
      <c r="BP1460" s="115"/>
      <c r="BQ1460" s="115"/>
      <c r="BR1460" s="115"/>
      <c r="BS1460" s="115"/>
      <c r="BT1460" s="115"/>
      <c r="BU1460" s="26"/>
      <c r="BV1460" s="15"/>
      <c r="BY1460" s="114"/>
    </row>
    <row r="1461" spans="1:77" x14ac:dyDescent="0.4"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15"/>
      <c r="BC1461" s="115"/>
      <c r="BD1461" s="122"/>
      <c r="BE1461" s="122"/>
      <c r="BF1461" s="122"/>
      <c r="BG1461" s="115"/>
      <c r="BH1461" s="115"/>
      <c r="BI1461" s="115"/>
      <c r="BJ1461" s="115"/>
      <c r="BK1461" s="115"/>
      <c r="BL1461" s="115"/>
      <c r="BM1461" s="115"/>
      <c r="BN1461" s="115"/>
      <c r="BO1461" s="115"/>
      <c r="BP1461" s="115"/>
      <c r="BQ1461" s="115"/>
      <c r="BR1461" s="115"/>
      <c r="BS1461" s="115"/>
      <c r="BT1461" s="115"/>
      <c r="BU1461" s="26"/>
      <c r="BV1461" s="15"/>
      <c r="BY1461" s="114"/>
    </row>
    <row r="1462" spans="1:77" x14ac:dyDescent="0.4">
      <c r="A1462" s="115"/>
      <c r="B1462" s="115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22"/>
      <c r="BE1462" s="122"/>
      <c r="BF1462" s="122"/>
      <c r="BG1462" s="115"/>
      <c r="BH1462" s="115"/>
      <c r="BI1462" s="115"/>
      <c r="BJ1462" s="115"/>
      <c r="BK1462" s="115"/>
      <c r="BL1462" s="115"/>
      <c r="BM1462" s="115"/>
      <c r="BN1462" s="115"/>
      <c r="BO1462" s="115"/>
      <c r="BP1462" s="115"/>
      <c r="BQ1462" s="115"/>
      <c r="BR1462" s="115"/>
      <c r="BS1462" s="115"/>
      <c r="BT1462" s="115"/>
      <c r="BU1462" s="26"/>
      <c r="BV1462" s="105"/>
      <c r="BY1462" s="114"/>
    </row>
    <row r="1463" spans="1:77" x14ac:dyDescent="0.4">
      <c r="A1463" s="115"/>
      <c r="B1463" s="115"/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15"/>
      <c r="AO1463" s="115"/>
      <c r="AP1463" s="115"/>
      <c r="AQ1463" s="115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115"/>
      <c r="BD1463" s="122"/>
      <c r="BE1463" s="122"/>
      <c r="BF1463" s="122"/>
      <c r="BG1463" s="115"/>
      <c r="BH1463" s="115"/>
      <c r="BI1463" s="115"/>
      <c r="BJ1463" s="115"/>
      <c r="BK1463" s="115"/>
      <c r="BL1463" s="115"/>
      <c r="BM1463" s="115"/>
      <c r="BN1463" s="115"/>
      <c r="BO1463" s="115"/>
      <c r="BP1463" s="115"/>
      <c r="BQ1463" s="115"/>
      <c r="BR1463" s="115"/>
      <c r="BS1463" s="115"/>
      <c r="BT1463" s="115"/>
      <c r="BU1463" s="17"/>
      <c r="BV1463" s="15"/>
      <c r="BY1463" s="114"/>
    </row>
    <row r="1464" spans="1:77" x14ac:dyDescent="0.4">
      <c r="A1464" s="115"/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15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115"/>
      <c r="BC1464" s="115"/>
      <c r="BD1464" s="122"/>
      <c r="BE1464" s="122"/>
      <c r="BF1464" s="122"/>
      <c r="BG1464" s="115"/>
      <c r="BH1464" s="115"/>
      <c r="BI1464" s="115"/>
      <c r="BJ1464" s="115"/>
      <c r="BK1464" s="115"/>
      <c r="BL1464" s="115"/>
      <c r="BM1464" s="115"/>
      <c r="BN1464" s="115"/>
      <c r="BO1464" s="115"/>
      <c r="BP1464" s="115"/>
      <c r="BQ1464" s="115"/>
      <c r="BR1464" s="115"/>
      <c r="BS1464" s="115"/>
      <c r="BT1464" s="115"/>
      <c r="BU1464" s="17"/>
      <c r="BV1464" s="15"/>
      <c r="BY1464" s="114"/>
    </row>
    <row r="1465" spans="1:77" x14ac:dyDescent="0.4">
      <c r="A1465" s="115"/>
      <c r="B1465" s="115"/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15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15"/>
      <c r="BC1465" s="115"/>
      <c r="BD1465" s="122"/>
      <c r="BE1465" s="122"/>
      <c r="BF1465" s="122"/>
      <c r="BG1465" s="115"/>
      <c r="BH1465" s="115"/>
      <c r="BI1465" s="115"/>
      <c r="BJ1465" s="115"/>
      <c r="BK1465" s="115"/>
      <c r="BL1465" s="115"/>
      <c r="BM1465" s="115"/>
      <c r="BN1465" s="115"/>
      <c r="BO1465" s="115"/>
      <c r="BP1465" s="115"/>
      <c r="BQ1465" s="115"/>
      <c r="BR1465" s="115"/>
      <c r="BS1465" s="115"/>
      <c r="BT1465" s="115"/>
      <c r="BU1465" s="26"/>
      <c r="BV1465" s="15"/>
      <c r="BY1465" s="114"/>
    </row>
    <row r="1466" spans="1:77" x14ac:dyDescent="0.4">
      <c r="A1466" s="115"/>
      <c r="B1466" s="115"/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15"/>
      <c r="BC1466" s="115"/>
      <c r="BD1466" s="122"/>
      <c r="BE1466" s="122"/>
      <c r="BF1466" s="122"/>
      <c r="BG1466" s="115"/>
      <c r="BH1466" s="115"/>
      <c r="BI1466" s="115"/>
      <c r="BJ1466" s="115"/>
      <c r="BK1466" s="115"/>
      <c r="BL1466" s="115"/>
      <c r="BM1466" s="115"/>
      <c r="BN1466" s="115"/>
      <c r="BO1466" s="115"/>
      <c r="BP1466" s="115"/>
      <c r="BQ1466" s="115"/>
      <c r="BR1466" s="115"/>
      <c r="BS1466" s="115"/>
      <c r="BT1466" s="115"/>
      <c r="BU1466" s="26"/>
      <c r="BV1466" s="15"/>
      <c r="BY1466" s="114"/>
    </row>
    <row r="1467" spans="1:77" x14ac:dyDescent="0.4">
      <c r="A1467" s="115"/>
      <c r="B1467" s="115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15"/>
      <c r="AZ1467" s="115"/>
      <c r="BA1467" s="115"/>
      <c r="BB1467" s="115"/>
      <c r="BC1467" s="115"/>
      <c r="BD1467" s="122"/>
      <c r="BE1467" s="122"/>
      <c r="BF1467" s="122"/>
      <c r="BG1467" s="115"/>
      <c r="BH1467" s="115"/>
      <c r="BI1467" s="115"/>
      <c r="BJ1467" s="115"/>
      <c r="BK1467" s="115"/>
      <c r="BL1467" s="115"/>
      <c r="BM1467" s="115"/>
      <c r="BN1467" s="115"/>
      <c r="BO1467" s="115"/>
      <c r="BP1467" s="115"/>
      <c r="BQ1467" s="115"/>
      <c r="BR1467" s="115"/>
      <c r="BS1467" s="115"/>
      <c r="BT1467" s="115"/>
      <c r="BU1467" s="26"/>
      <c r="BV1467" s="15"/>
      <c r="BY1467" s="114"/>
    </row>
    <row r="1468" spans="1:77" x14ac:dyDescent="0.4">
      <c r="A1468" s="115"/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115"/>
      <c r="BB1468" s="115"/>
      <c r="BC1468" s="115"/>
      <c r="BD1468" s="122"/>
      <c r="BE1468" s="122"/>
      <c r="BF1468" s="122"/>
      <c r="BG1468" s="115"/>
      <c r="BH1468" s="115"/>
      <c r="BI1468" s="115"/>
      <c r="BJ1468" s="115"/>
      <c r="BK1468" s="115"/>
      <c r="BL1468" s="115"/>
      <c r="BM1468" s="115"/>
      <c r="BN1468" s="115"/>
      <c r="BO1468" s="115"/>
      <c r="BP1468" s="115"/>
      <c r="BQ1468" s="115"/>
      <c r="BR1468" s="115"/>
      <c r="BS1468" s="115"/>
      <c r="BT1468" s="115"/>
      <c r="BU1468" s="26"/>
      <c r="BV1468" s="15"/>
      <c r="BY1468" s="114"/>
    </row>
    <row r="1469" spans="1:77" x14ac:dyDescent="0.4">
      <c r="A1469" s="115"/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22"/>
      <c r="BE1469" s="122"/>
      <c r="BF1469" s="122"/>
      <c r="BG1469" s="115"/>
      <c r="BH1469" s="115"/>
      <c r="BI1469" s="115"/>
      <c r="BJ1469" s="115"/>
      <c r="BK1469" s="115"/>
      <c r="BL1469" s="115"/>
      <c r="BM1469" s="115"/>
      <c r="BN1469" s="115"/>
      <c r="BO1469" s="115"/>
      <c r="BP1469" s="115"/>
      <c r="BQ1469" s="115"/>
      <c r="BR1469" s="115"/>
      <c r="BS1469" s="115"/>
      <c r="BT1469" s="115"/>
      <c r="BU1469" s="26"/>
      <c r="BV1469" s="15"/>
      <c r="BY1469" s="114"/>
    </row>
    <row r="1470" spans="1:77" x14ac:dyDescent="0.4">
      <c r="A1470" s="115"/>
      <c r="B1470" s="115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15"/>
      <c r="AV1470" s="115"/>
      <c r="AW1470" s="115"/>
      <c r="AX1470" s="115"/>
      <c r="AY1470" s="115"/>
      <c r="AZ1470" s="115"/>
      <c r="BA1470" s="115"/>
      <c r="BB1470" s="115"/>
      <c r="BC1470" s="115"/>
      <c r="BD1470" s="122"/>
      <c r="BE1470" s="122"/>
      <c r="BF1470" s="122"/>
      <c r="BG1470" s="115"/>
      <c r="BH1470" s="115"/>
      <c r="BI1470" s="115"/>
      <c r="BJ1470" s="115"/>
      <c r="BK1470" s="115"/>
      <c r="BL1470" s="115"/>
      <c r="BM1470" s="115"/>
      <c r="BN1470" s="115"/>
      <c r="BO1470" s="115"/>
      <c r="BP1470" s="115"/>
      <c r="BQ1470" s="115"/>
      <c r="BR1470" s="115"/>
      <c r="BS1470" s="115"/>
      <c r="BT1470" s="115"/>
      <c r="BU1470" s="26"/>
      <c r="BV1470" s="15"/>
      <c r="BY1470" s="114"/>
    </row>
    <row r="1471" spans="1:77" x14ac:dyDescent="0.4">
      <c r="A1471" s="115"/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115"/>
      <c r="BD1471" s="122"/>
      <c r="BE1471" s="122"/>
      <c r="BF1471" s="122"/>
      <c r="BG1471" s="115"/>
      <c r="BH1471" s="115"/>
      <c r="BI1471" s="115"/>
      <c r="BJ1471" s="115"/>
      <c r="BK1471" s="115"/>
      <c r="BL1471" s="115"/>
      <c r="BM1471" s="115"/>
      <c r="BN1471" s="115"/>
      <c r="BO1471" s="115"/>
      <c r="BP1471" s="115"/>
      <c r="BQ1471" s="115"/>
      <c r="BR1471" s="115"/>
      <c r="BS1471" s="115"/>
      <c r="BT1471" s="115"/>
      <c r="BU1471" s="26"/>
      <c r="BV1471" s="15"/>
      <c r="BY1471" s="114"/>
    </row>
    <row r="1472" spans="1:77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22"/>
      <c r="BE1472" s="122"/>
      <c r="BF1472" s="122"/>
      <c r="BG1472" s="115"/>
      <c r="BH1472" s="115"/>
      <c r="BI1472" s="115"/>
      <c r="BJ1472" s="115"/>
      <c r="BK1472" s="115"/>
      <c r="BL1472" s="115"/>
      <c r="BM1472" s="115"/>
      <c r="BN1472" s="115"/>
      <c r="BO1472" s="115"/>
      <c r="BP1472" s="115"/>
      <c r="BQ1472" s="115"/>
      <c r="BR1472" s="115"/>
      <c r="BS1472" s="115"/>
      <c r="BT1472" s="115"/>
      <c r="BU1472" s="26"/>
      <c r="BV1472" s="15"/>
      <c r="BY1472" s="114"/>
    </row>
    <row r="1473" spans="1:77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115"/>
      <c r="BD1473" s="122"/>
      <c r="BE1473" s="122"/>
      <c r="BF1473" s="122"/>
      <c r="BG1473" s="115"/>
      <c r="BH1473" s="115"/>
      <c r="BI1473" s="115"/>
      <c r="BJ1473" s="115"/>
      <c r="BK1473" s="115"/>
      <c r="BL1473" s="115"/>
      <c r="BM1473" s="115"/>
      <c r="BN1473" s="115"/>
      <c r="BO1473" s="115"/>
      <c r="BP1473" s="115"/>
      <c r="BQ1473" s="115"/>
      <c r="BR1473" s="115"/>
      <c r="BS1473" s="115"/>
      <c r="BT1473" s="115"/>
      <c r="BU1473" s="26"/>
      <c r="BV1473" s="105"/>
      <c r="BY1473" s="114"/>
    </row>
    <row r="1474" spans="1:77" x14ac:dyDescent="0.4">
      <c r="A1474" s="115"/>
      <c r="B1474" s="115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22"/>
      <c r="BE1474" s="122"/>
      <c r="BF1474" s="122"/>
      <c r="BG1474" s="115"/>
      <c r="BH1474" s="115"/>
      <c r="BI1474" s="115"/>
      <c r="BJ1474" s="115"/>
      <c r="BK1474" s="115"/>
      <c r="BL1474" s="115"/>
      <c r="BM1474" s="115"/>
      <c r="BN1474" s="115"/>
      <c r="BO1474" s="115"/>
      <c r="BP1474" s="115"/>
      <c r="BQ1474" s="115"/>
      <c r="BR1474" s="115"/>
      <c r="BS1474" s="115"/>
      <c r="BT1474" s="115"/>
      <c r="BU1474" s="26"/>
      <c r="BV1474" s="15"/>
      <c r="BY1474" s="114"/>
    </row>
    <row r="1475" spans="1:77" x14ac:dyDescent="0.4">
      <c r="A1475" s="115"/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22"/>
      <c r="BE1475" s="122"/>
      <c r="BF1475" s="122"/>
      <c r="BG1475" s="115"/>
      <c r="BH1475" s="115"/>
      <c r="BI1475" s="115"/>
      <c r="BJ1475" s="115"/>
      <c r="BK1475" s="115"/>
      <c r="BL1475" s="115"/>
      <c r="BM1475" s="115"/>
      <c r="BN1475" s="115"/>
      <c r="BO1475" s="115"/>
      <c r="BP1475" s="115"/>
      <c r="BQ1475" s="115"/>
      <c r="BR1475" s="115"/>
      <c r="BS1475" s="115"/>
      <c r="BT1475" s="115"/>
      <c r="BU1475" s="26"/>
      <c r="BV1475" s="15"/>
      <c r="BY1475" s="114"/>
    </row>
    <row r="1476" spans="1:77" x14ac:dyDescent="0.4">
      <c r="A1476" s="115"/>
      <c r="B1476" s="115"/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122"/>
      <c r="BE1476" s="122"/>
      <c r="BF1476" s="122"/>
      <c r="BG1476" s="115"/>
      <c r="BH1476" s="115"/>
      <c r="BI1476" s="115"/>
      <c r="BJ1476" s="115"/>
      <c r="BK1476" s="115"/>
      <c r="BL1476" s="115"/>
      <c r="BM1476" s="115"/>
      <c r="BN1476" s="115"/>
      <c r="BO1476" s="115"/>
      <c r="BP1476" s="115"/>
      <c r="BQ1476" s="115"/>
      <c r="BR1476" s="115"/>
      <c r="BS1476" s="115"/>
      <c r="BT1476" s="115"/>
      <c r="BU1476" s="26"/>
      <c r="BV1476" s="13"/>
      <c r="BY1476" s="114"/>
    </row>
    <row r="1477" spans="1:77" x14ac:dyDescent="0.4">
      <c r="A1477" s="115"/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22"/>
      <c r="BE1477" s="122"/>
      <c r="BF1477" s="122"/>
      <c r="BG1477" s="115"/>
      <c r="BH1477" s="115"/>
      <c r="BI1477" s="115"/>
      <c r="BJ1477" s="115"/>
      <c r="BK1477" s="115"/>
      <c r="BL1477" s="115"/>
      <c r="BM1477" s="115"/>
      <c r="BN1477" s="115"/>
      <c r="BO1477" s="115"/>
      <c r="BP1477" s="115"/>
      <c r="BQ1477" s="115"/>
      <c r="BR1477" s="115"/>
      <c r="BS1477" s="115"/>
      <c r="BT1477" s="115"/>
      <c r="BU1477" s="17"/>
      <c r="BV1477" s="13"/>
      <c r="BY1477" s="114"/>
    </row>
    <row r="1478" spans="1:77" x14ac:dyDescent="0.4">
      <c r="A1478" s="115"/>
      <c r="B1478" s="115"/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22"/>
      <c r="BE1478" s="122"/>
      <c r="BF1478" s="122"/>
      <c r="BG1478" s="115"/>
      <c r="BH1478" s="115"/>
      <c r="BI1478" s="115"/>
      <c r="BJ1478" s="115"/>
      <c r="BK1478" s="115"/>
      <c r="BL1478" s="115"/>
      <c r="BM1478" s="115"/>
      <c r="BN1478" s="115"/>
      <c r="BO1478" s="115"/>
      <c r="BP1478" s="115"/>
      <c r="BQ1478" s="115"/>
      <c r="BR1478" s="115"/>
      <c r="BS1478" s="115"/>
      <c r="BT1478" s="115"/>
      <c r="BU1478" s="26"/>
      <c r="BV1478" s="13"/>
      <c r="BY1478" s="114"/>
    </row>
    <row r="1479" spans="1:77" x14ac:dyDescent="0.4">
      <c r="A1479" s="115"/>
      <c r="B1479" s="115"/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22"/>
      <c r="BE1479" s="122"/>
      <c r="BF1479" s="122"/>
      <c r="BG1479" s="115"/>
      <c r="BH1479" s="115"/>
      <c r="BI1479" s="115"/>
      <c r="BJ1479" s="115"/>
      <c r="BK1479" s="115"/>
      <c r="BL1479" s="115"/>
      <c r="BM1479" s="115"/>
      <c r="BN1479" s="115"/>
      <c r="BO1479" s="115"/>
      <c r="BP1479" s="115"/>
      <c r="BQ1479" s="115"/>
      <c r="BR1479" s="115"/>
      <c r="BS1479" s="115"/>
      <c r="BT1479" s="115"/>
      <c r="BU1479" s="26"/>
      <c r="BV1479" s="13"/>
      <c r="BY1479" s="114"/>
    </row>
    <row r="1480" spans="1:77" x14ac:dyDescent="0.4">
      <c r="A1480" s="115"/>
      <c r="B1480" s="115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15"/>
      <c r="BA1480" s="115"/>
      <c r="BB1480" s="115"/>
      <c r="BC1480" s="115"/>
      <c r="BD1480" s="122"/>
      <c r="BE1480" s="122"/>
      <c r="BF1480" s="122"/>
      <c r="BG1480" s="115"/>
      <c r="BH1480" s="115"/>
      <c r="BI1480" s="115"/>
      <c r="BJ1480" s="115"/>
      <c r="BK1480" s="115"/>
      <c r="BL1480" s="115"/>
      <c r="BM1480" s="115"/>
      <c r="BN1480" s="115"/>
      <c r="BO1480" s="115"/>
      <c r="BP1480" s="115"/>
      <c r="BQ1480" s="115"/>
      <c r="BR1480" s="115"/>
      <c r="BS1480" s="115"/>
      <c r="BT1480" s="115"/>
      <c r="BU1480" s="26"/>
      <c r="BV1480" s="13"/>
      <c r="BY1480" s="114"/>
    </row>
    <row r="1481" spans="1:77" x14ac:dyDescent="0.4">
      <c r="A1481" s="115"/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22"/>
      <c r="BE1481" s="122"/>
      <c r="BF1481" s="122"/>
      <c r="BG1481" s="115"/>
      <c r="BH1481" s="115"/>
      <c r="BI1481" s="115"/>
      <c r="BJ1481" s="115"/>
      <c r="BK1481" s="115"/>
      <c r="BL1481" s="115"/>
      <c r="BM1481" s="115"/>
      <c r="BN1481" s="115"/>
      <c r="BO1481" s="115"/>
      <c r="BP1481" s="115"/>
      <c r="BQ1481" s="115"/>
      <c r="BR1481" s="115"/>
      <c r="BS1481" s="115"/>
      <c r="BT1481" s="115"/>
      <c r="BU1481" s="26"/>
      <c r="BV1481" s="13"/>
      <c r="BY1481" s="114"/>
    </row>
    <row r="1482" spans="1:77" x14ac:dyDescent="0.4">
      <c r="A1482" s="115"/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22"/>
      <c r="BE1482" s="122"/>
      <c r="BF1482" s="122"/>
      <c r="BG1482" s="115"/>
      <c r="BH1482" s="115"/>
      <c r="BI1482" s="115"/>
      <c r="BJ1482" s="115"/>
      <c r="BK1482" s="115"/>
      <c r="BL1482" s="115"/>
      <c r="BM1482" s="115"/>
      <c r="BN1482" s="115"/>
      <c r="BO1482" s="115"/>
      <c r="BP1482" s="115"/>
      <c r="BQ1482" s="115"/>
      <c r="BR1482" s="115"/>
      <c r="BS1482" s="115"/>
      <c r="BT1482" s="115"/>
      <c r="BU1482" s="26"/>
      <c r="BV1482" s="13"/>
      <c r="BY1482" s="114"/>
    </row>
    <row r="1483" spans="1:77" x14ac:dyDescent="0.4">
      <c r="A1483" s="115"/>
      <c r="B1483" s="115"/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22"/>
      <c r="BE1483" s="122"/>
      <c r="BF1483" s="122"/>
      <c r="BG1483" s="115"/>
      <c r="BH1483" s="115"/>
      <c r="BI1483" s="115"/>
      <c r="BJ1483" s="115"/>
      <c r="BK1483" s="115"/>
      <c r="BL1483" s="115"/>
      <c r="BM1483" s="115"/>
      <c r="BN1483" s="115"/>
      <c r="BO1483" s="115"/>
      <c r="BP1483" s="115"/>
      <c r="BQ1483" s="115"/>
      <c r="BR1483" s="115"/>
      <c r="BS1483" s="115"/>
      <c r="BT1483" s="115"/>
      <c r="BU1483" s="26"/>
      <c r="BV1483" s="13"/>
      <c r="BY1483" s="114"/>
    </row>
    <row r="1484" spans="1:77" x14ac:dyDescent="0.4">
      <c r="A1484" s="115"/>
      <c r="B1484" s="115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22"/>
      <c r="BE1484" s="122"/>
      <c r="BF1484" s="122"/>
      <c r="BG1484" s="115"/>
      <c r="BH1484" s="115"/>
      <c r="BI1484" s="115"/>
      <c r="BJ1484" s="115"/>
      <c r="BK1484" s="115"/>
      <c r="BL1484" s="115"/>
      <c r="BM1484" s="115"/>
      <c r="BN1484" s="115"/>
      <c r="BO1484" s="115"/>
      <c r="BP1484" s="115"/>
      <c r="BQ1484" s="115"/>
      <c r="BR1484" s="115"/>
      <c r="BS1484" s="115"/>
      <c r="BT1484" s="115"/>
      <c r="BU1484" s="17"/>
      <c r="BV1484" s="13"/>
      <c r="BY1484" s="114"/>
    </row>
    <row r="1485" spans="1:77" x14ac:dyDescent="0.4">
      <c r="A1485" s="115"/>
      <c r="B1485" s="115"/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122"/>
      <c r="BE1485" s="122"/>
      <c r="BF1485" s="122"/>
      <c r="BG1485" s="115"/>
      <c r="BH1485" s="115"/>
      <c r="BI1485" s="115"/>
      <c r="BJ1485" s="115"/>
      <c r="BK1485" s="115"/>
      <c r="BL1485" s="115"/>
      <c r="BM1485" s="115"/>
      <c r="BN1485" s="115"/>
      <c r="BO1485" s="115"/>
      <c r="BP1485" s="115"/>
      <c r="BQ1485" s="115"/>
      <c r="BR1485" s="115"/>
      <c r="BS1485" s="115"/>
      <c r="BT1485" s="115"/>
      <c r="BU1485" s="26"/>
      <c r="BV1485" s="13"/>
      <c r="BY1485" s="114"/>
    </row>
    <row r="1486" spans="1:77" x14ac:dyDescent="0.4">
      <c r="A1486" s="115"/>
      <c r="B1486" s="115"/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15"/>
      <c r="AP1486" s="115"/>
      <c r="AQ1486" s="115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15"/>
      <c r="BD1486" s="122"/>
      <c r="BE1486" s="122"/>
      <c r="BF1486" s="122"/>
      <c r="BG1486" s="115"/>
      <c r="BH1486" s="115"/>
      <c r="BI1486" s="115"/>
      <c r="BJ1486" s="115"/>
      <c r="BK1486" s="115"/>
      <c r="BL1486" s="115"/>
      <c r="BM1486" s="115"/>
      <c r="BN1486" s="115"/>
      <c r="BO1486" s="115"/>
      <c r="BP1486" s="115"/>
      <c r="BQ1486" s="115"/>
      <c r="BR1486" s="115"/>
      <c r="BS1486" s="115"/>
      <c r="BT1486" s="115"/>
      <c r="BU1486" s="26"/>
      <c r="BV1486" s="13"/>
      <c r="BY1486" s="114"/>
    </row>
    <row r="1487" spans="1:77" x14ac:dyDescent="0.4">
      <c r="A1487" s="115"/>
      <c r="B1487" s="115"/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15"/>
      <c r="AP1487" s="115"/>
      <c r="AQ1487" s="115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22"/>
      <c r="BE1487" s="122"/>
      <c r="BF1487" s="122"/>
      <c r="BG1487" s="115"/>
      <c r="BH1487" s="115"/>
      <c r="BI1487" s="115"/>
      <c r="BJ1487" s="115"/>
      <c r="BK1487" s="115"/>
      <c r="BL1487" s="115"/>
      <c r="BM1487" s="115"/>
      <c r="BN1487" s="115"/>
      <c r="BO1487" s="115"/>
      <c r="BP1487" s="115"/>
      <c r="BQ1487" s="115"/>
      <c r="BR1487" s="115"/>
      <c r="BS1487" s="115"/>
      <c r="BT1487" s="115"/>
      <c r="BU1487" s="26"/>
      <c r="BV1487" s="13"/>
      <c r="BY1487" s="114"/>
    </row>
    <row r="1488" spans="1:77" x14ac:dyDescent="0.4">
      <c r="A1488" s="115"/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22"/>
      <c r="BE1488" s="122"/>
      <c r="BF1488" s="122"/>
      <c r="BG1488" s="115"/>
      <c r="BH1488" s="115"/>
      <c r="BI1488" s="115"/>
      <c r="BJ1488" s="115"/>
      <c r="BK1488" s="115"/>
      <c r="BL1488" s="115"/>
      <c r="BM1488" s="115"/>
      <c r="BN1488" s="115"/>
      <c r="BO1488" s="115"/>
      <c r="BP1488" s="115"/>
      <c r="BQ1488" s="115"/>
      <c r="BR1488" s="115"/>
      <c r="BS1488" s="115"/>
      <c r="BT1488" s="115"/>
      <c r="BU1488" s="26"/>
      <c r="BV1488" s="13"/>
      <c r="BY1488" s="114"/>
    </row>
    <row r="1489" spans="1:77" x14ac:dyDescent="0.4">
      <c r="A1489" s="115"/>
      <c r="B1489" s="115"/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15"/>
      <c r="AX1489" s="115"/>
      <c r="AY1489" s="115"/>
      <c r="AZ1489" s="115"/>
      <c r="BA1489" s="115"/>
      <c r="BB1489" s="115"/>
      <c r="BC1489" s="115"/>
      <c r="BD1489" s="122"/>
      <c r="BE1489" s="122"/>
      <c r="BF1489" s="122"/>
      <c r="BG1489" s="115"/>
      <c r="BH1489" s="115"/>
      <c r="BI1489" s="115"/>
      <c r="BJ1489" s="115"/>
      <c r="BK1489" s="115"/>
      <c r="BL1489" s="115"/>
      <c r="BM1489" s="115"/>
      <c r="BN1489" s="115"/>
      <c r="BO1489" s="115"/>
      <c r="BP1489" s="115"/>
      <c r="BQ1489" s="115"/>
      <c r="BR1489" s="115"/>
      <c r="BS1489" s="115"/>
      <c r="BT1489" s="115"/>
      <c r="BU1489" s="26"/>
      <c r="BV1489" s="25"/>
      <c r="BY1489" s="114"/>
    </row>
    <row r="1490" spans="1:77" x14ac:dyDescent="0.4">
      <c r="A1490" s="115"/>
      <c r="B1490" s="115"/>
      <c r="C1490" s="115"/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22"/>
      <c r="BE1490" s="122"/>
      <c r="BF1490" s="122"/>
      <c r="BG1490" s="115"/>
      <c r="BH1490" s="115"/>
      <c r="BI1490" s="115"/>
      <c r="BJ1490" s="115"/>
      <c r="BK1490" s="115"/>
      <c r="BL1490" s="115"/>
      <c r="BM1490" s="115"/>
      <c r="BN1490" s="115"/>
      <c r="BO1490" s="115"/>
      <c r="BP1490" s="115"/>
      <c r="BQ1490" s="115"/>
      <c r="BR1490" s="115"/>
      <c r="BS1490" s="115"/>
      <c r="BT1490" s="115"/>
      <c r="BU1490" s="17"/>
      <c r="BV1490" s="13"/>
      <c r="BY1490" s="114"/>
    </row>
    <row r="1491" spans="1:77" x14ac:dyDescent="0.4">
      <c r="A1491" s="115"/>
      <c r="B1491" s="115"/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15"/>
      <c r="BD1491" s="122"/>
      <c r="BE1491" s="122"/>
      <c r="BF1491" s="122"/>
      <c r="BG1491" s="115"/>
      <c r="BH1491" s="115"/>
      <c r="BI1491" s="115"/>
      <c r="BJ1491" s="115"/>
      <c r="BK1491" s="115"/>
      <c r="BL1491" s="115"/>
      <c r="BM1491" s="115"/>
      <c r="BN1491" s="115"/>
      <c r="BO1491" s="115"/>
      <c r="BP1491" s="115"/>
      <c r="BQ1491" s="115"/>
      <c r="BR1491" s="115"/>
      <c r="BS1491" s="115"/>
      <c r="BT1491" s="115"/>
      <c r="BU1491" s="26"/>
      <c r="BV1491" s="15"/>
      <c r="BY1491" s="114"/>
    </row>
    <row r="1492" spans="1:77" x14ac:dyDescent="0.4">
      <c r="A1492" s="115"/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22"/>
      <c r="BE1492" s="122"/>
      <c r="BF1492" s="122"/>
      <c r="BG1492" s="115"/>
      <c r="BH1492" s="115"/>
      <c r="BI1492" s="115"/>
      <c r="BJ1492" s="115"/>
      <c r="BK1492" s="115"/>
      <c r="BL1492" s="115"/>
      <c r="BM1492" s="115"/>
      <c r="BN1492" s="115"/>
      <c r="BO1492" s="115"/>
      <c r="BP1492" s="115"/>
      <c r="BQ1492" s="115"/>
      <c r="BR1492" s="115"/>
      <c r="BS1492" s="115"/>
      <c r="BT1492" s="115"/>
      <c r="BU1492" s="26"/>
      <c r="BV1492" s="15"/>
      <c r="BY1492" s="114"/>
    </row>
    <row r="1493" spans="1:77" x14ac:dyDescent="0.4">
      <c r="A1493" s="115"/>
      <c r="B1493" s="115"/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15"/>
      <c r="BA1493" s="115"/>
      <c r="BB1493" s="115"/>
      <c r="BC1493" s="115"/>
      <c r="BD1493" s="122"/>
      <c r="BE1493" s="122"/>
      <c r="BF1493" s="122"/>
      <c r="BG1493" s="115"/>
      <c r="BH1493" s="115"/>
      <c r="BI1493" s="115"/>
      <c r="BJ1493" s="115"/>
      <c r="BK1493" s="115"/>
      <c r="BL1493" s="115"/>
      <c r="BM1493" s="115"/>
      <c r="BN1493" s="115"/>
      <c r="BO1493" s="115"/>
      <c r="BP1493" s="115"/>
      <c r="BQ1493" s="115"/>
      <c r="BR1493" s="115"/>
      <c r="BS1493" s="115"/>
      <c r="BT1493" s="115"/>
      <c r="BU1493" s="17"/>
      <c r="BV1493" s="15"/>
      <c r="BY1493" s="114"/>
    </row>
    <row r="1494" spans="1:77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22"/>
      <c r="BE1494" s="122"/>
      <c r="BF1494" s="122"/>
      <c r="BG1494" s="115"/>
      <c r="BH1494" s="115"/>
      <c r="BI1494" s="115"/>
      <c r="BJ1494" s="115"/>
      <c r="BK1494" s="115"/>
      <c r="BL1494" s="115"/>
      <c r="BM1494" s="115"/>
      <c r="BN1494" s="115"/>
      <c r="BO1494" s="115"/>
      <c r="BP1494" s="115"/>
      <c r="BQ1494" s="115"/>
      <c r="BR1494" s="115"/>
      <c r="BS1494" s="115"/>
      <c r="BT1494" s="115"/>
      <c r="BU1494" s="26"/>
      <c r="BV1494" s="15"/>
      <c r="BY1494" s="114"/>
    </row>
    <row r="1495" spans="1:77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22"/>
      <c r="BE1495" s="122"/>
      <c r="BF1495" s="122"/>
      <c r="BG1495" s="115"/>
      <c r="BH1495" s="115"/>
      <c r="BI1495" s="115"/>
      <c r="BJ1495" s="115"/>
      <c r="BK1495" s="115"/>
      <c r="BL1495" s="115"/>
      <c r="BM1495" s="115"/>
      <c r="BN1495" s="115"/>
      <c r="BO1495" s="115"/>
      <c r="BP1495" s="115"/>
      <c r="BQ1495" s="115"/>
      <c r="BR1495" s="115"/>
      <c r="BS1495" s="115"/>
      <c r="BT1495" s="115"/>
      <c r="BU1495" s="26"/>
      <c r="BV1495" s="15"/>
      <c r="BY1495" s="114"/>
    </row>
    <row r="1496" spans="1:77" x14ac:dyDescent="0.4">
      <c r="A1496" s="115"/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122"/>
      <c r="BE1496" s="122"/>
      <c r="BF1496" s="122"/>
      <c r="BG1496" s="115"/>
      <c r="BH1496" s="115"/>
      <c r="BI1496" s="115"/>
      <c r="BJ1496" s="115"/>
      <c r="BK1496" s="115"/>
      <c r="BL1496" s="115"/>
      <c r="BM1496" s="115"/>
      <c r="BN1496" s="115"/>
      <c r="BO1496" s="115"/>
      <c r="BP1496" s="115"/>
      <c r="BQ1496" s="115"/>
      <c r="BR1496" s="115"/>
      <c r="BS1496" s="115"/>
      <c r="BT1496" s="115"/>
      <c r="BU1496" s="26"/>
      <c r="BV1496" s="13"/>
      <c r="BY1496" s="114"/>
    </row>
    <row r="1497" spans="1:77" x14ac:dyDescent="0.4">
      <c r="A1497" s="115"/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115"/>
      <c r="BD1497" s="122"/>
      <c r="BE1497" s="122"/>
      <c r="BF1497" s="122"/>
      <c r="BG1497" s="115"/>
      <c r="BH1497" s="115"/>
      <c r="BI1497" s="115"/>
      <c r="BJ1497" s="115"/>
      <c r="BK1497" s="115"/>
      <c r="BL1497" s="115"/>
      <c r="BM1497" s="115"/>
      <c r="BN1497" s="115"/>
      <c r="BO1497" s="115"/>
      <c r="BP1497" s="115"/>
      <c r="BQ1497" s="115"/>
      <c r="BR1497" s="115"/>
      <c r="BS1497" s="115"/>
      <c r="BT1497" s="115"/>
      <c r="BU1497" s="26"/>
      <c r="BV1497" s="13"/>
      <c r="BY1497" s="114"/>
    </row>
    <row r="1498" spans="1:77" x14ac:dyDescent="0.4">
      <c r="A1498" s="115"/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122"/>
      <c r="BE1498" s="122"/>
      <c r="BF1498" s="122"/>
      <c r="BG1498" s="115"/>
      <c r="BH1498" s="115"/>
      <c r="BI1498" s="115"/>
      <c r="BJ1498" s="115"/>
      <c r="BK1498" s="115"/>
      <c r="BL1498" s="115"/>
      <c r="BM1498" s="115"/>
      <c r="BN1498" s="115"/>
      <c r="BO1498" s="115"/>
      <c r="BP1498" s="115"/>
      <c r="BQ1498" s="115"/>
      <c r="BR1498" s="115"/>
      <c r="BS1498" s="115"/>
      <c r="BT1498" s="115"/>
      <c r="BU1498" s="26"/>
      <c r="BV1498" s="13"/>
      <c r="BY1498" s="114"/>
    </row>
    <row r="1499" spans="1:77" x14ac:dyDescent="0.4">
      <c r="A1499" s="115"/>
      <c r="B1499" s="115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15"/>
      <c r="AY1499" s="115"/>
      <c r="AZ1499" s="115"/>
      <c r="BA1499" s="115"/>
      <c r="BB1499" s="115"/>
      <c r="BC1499" s="115"/>
      <c r="BD1499" s="122"/>
      <c r="BE1499" s="122"/>
      <c r="BF1499" s="122"/>
      <c r="BG1499" s="115"/>
      <c r="BH1499" s="115"/>
      <c r="BI1499" s="115"/>
      <c r="BJ1499" s="115"/>
      <c r="BK1499" s="115"/>
      <c r="BL1499" s="115"/>
      <c r="BM1499" s="115"/>
      <c r="BN1499" s="115"/>
      <c r="BO1499" s="115"/>
      <c r="BP1499" s="115"/>
      <c r="BQ1499" s="115"/>
      <c r="BR1499" s="115"/>
      <c r="BS1499" s="115"/>
      <c r="BT1499" s="115"/>
      <c r="BU1499" s="26"/>
      <c r="BV1499" s="13"/>
      <c r="BY1499" s="114"/>
    </row>
    <row r="1500" spans="1:77" x14ac:dyDescent="0.4">
      <c r="A1500" s="115"/>
      <c r="B1500" s="115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15"/>
      <c r="BC1500" s="115"/>
      <c r="BD1500" s="122"/>
      <c r="BE1500" s="122"/>
      <c r="BF1500" s="122"/>
      <c r="BG1500" s="115"/>
      <c r="BH1500" s="115"/>
      <c r="BI1500" s="115"/>
      <c r="BJ1500" s="115"/>
      <c r="BK1500" s="115"/>
      <c r="BL1500" s="115"/>
      <c r="BM1500" s="115"/>
      <c r="BN1500" s="115"/>
      <c r="BO1500" s="115"/>
      <c r="BP1500" s="115"/>
      <c r="BQ1500" s="115"/>
      <c r="BR1500" s="115"/>
      <c r="BS1500" s="115"/>
      <c r="BT1500" s="115"/>
      <c r="BU1500" s="26"/>
      <c r="BV1500" s="13"/>
      <c r="BY1500" s="114"/>
    </row>
    <row r="1501" spans="1:77" x14ac:dyDescent="0.4">
      <c r="A1501" s="115"/>
      <c r="B1501" s="115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15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22"/>
      <c r="BE1501" s="122"/>
      <c r="BF1501" s="122"/>
      <c r="BG1501" s="115"/>
      <c r="BH1501" s="115"/>
      <c r="BI1501" s="115"/>
      <c r="BJ1501" s="115"/>
      <c r="BK1501" s="115"/>
      <c r="BL1501" s="115"/>
      <c r="BM1501" s="115"/>
      <c r="BN1501" s="115"/>
      <c r="BO1501" s="115"/>
      <c r="BP1501" s="115"/>
      <c r="BQ1501" s="115"/>
      <c r="BR1501" s="115"/>
      <c r="BS1501" s="115"/>
      <c r="BT1501" s="115"/>
      <c r="BU1501" s="26"/>
      <c r="BV1501" s="13"/>
      <c r="BY1501" s="114"/>
    </row>
    <row r="1502" spans="1:77" x14ac:dyDescent="0.4">
      <c r="A1502" s="115"/>
      <c r="B1502" s="115"/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15"/>
      <c r="AQ1502" s="115"/>
      <c r="AR1502" s="115"/>
      <c r="AS1502" s="115"/>
      <c r="AT1502" s="115"/>
      <c r="AU1502" s="115"/>
      <c r="AV1502" s="115"/>
      <c r="AW1502" s="115"/>
      <c r="AX1502" s="115"/>
      <c r="AY1502" s="115"/>
      <c r="AZ1502" s="115"/>
      <c r="BA1502" s="115"/>
      <c r="BB1502" s="115"/>
      <c r="BC1502" s="115"/>
      <c r="BD1502" s="122"/>
      <c r="BE1502" s="122"/>
      <c r="BF1502" s="122"/>
      <c r="BG1502" s="115"/>
      <c r="BH1502" s="115"/>
      <c r="BI1502" s="115"/>
      <c r="BJ1502" s="115"/>
      <c r="BK1502" s="115"/>
      <c r="BL1502" s="115"/>
      <c r="BM1502" s="115"/>
      <c r="BN1502" s="115"/>
      <c r="BO1502" s="115"/>
      <c r="BP1502" s="115"/>
      <c r="BQ1502" s="115"/>
      <c r="BR1502" s="115"/>
      <c r="BS1502" s="115"/>
      <c r="BT1502" s="115"/>
      <c r="BU1502" s="26"/>
      <c r="BV1502" s="13"/>
      <c r="BY1502" s="114"/>
    </row>
    <row r="1503" spans="1:77" x14ac:dyDescent="0.4">
      <c r="A1503" s="115"/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22"/>
      <c r="BE1503" s="122"/>
      <c r="BF1503" s="122"/>
      <c r="BG1503" s="115"/>
      <c r="BH1503" s="115"/>
      <c r="BI1503" s="115"/>
      <c r="BJ1503" s="115"/>
      <c r="BK1503" s="115"/>
      <c r="BL1503" s="115"/>
      <c r="BM1503" s="115"/>
      <c r="BN1503" s="115"/>
      <c r="BO1503" s="115"/>
      <c r="BP1503" s="115"/>
      <c r="BQ1503" s="115"/>
      <c r="BR1503" s="115"/>
      <c r="BS1503" s="115"/>
      <c r="BT1503" s="115"/>
      <c r="BU1503" s="26"/>
      <c r="BV1503" s="13"/>
      <c r="BY1503" s="114"/>
    </row>
    <row r="1504" spans="1:77" x14ac:dyDescent="0.4">
      <c r="A1504" s="115"/>
      <c r="B1504" s="115"/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15"/>
      <c r="AV1504" s="115"/>
      <c r="AW1504" s="115"/>
      <c r="AX1504" s="115"/>
      <c r="AY1504" s="115"/>
      <c r="AZ1504" s="115"/>
      <c r="BA1504" s="115"/>
      <c r="BB1504" s="115"/>
      <c r="BC1504" s="115"/>
      <c r="BD1504" s="122"/>
      <c r="BE1504" s="122"/>
      <c r="BF1504" s="122"/>
      <c r="BG1504" s="115"/>
      <c r="BH1504" s="115"/>
      <c r="BI1504" s="115"/>
      <c r="BJ1504" s="115"/>
      <c r="BK1504" s="115"/>
      <c r="BL1504" s="115"/>
      <c r="BM1504" s="115"/>
      <c r="BN1504" s="115"/>
      <c r="BO1504" s="115"/>
      <c r="BP1504" s="115"/>
      <c r="BQ1504" s="115"/>
      <c r="BR1504" s="115"/>
      <c r="BS1504" s="115"/>
      <c r="BT1504" s="115"/>
      <c r="BU1504" s="17"/>
      <c r="BV1504" s="13"/>
      <c r="BY1504" s="114"/>
    </row>
    <row r="1505" spans="1:78" x14ac:dyDescent="0.4">
      <c r="A1505" s="115"/>
      <c r="B1505" s="115"/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22"/>
      <c r="BE1505" s="122"/>
      <c r="BF1505" s="122"/>
      <c r="BG1505" s="115"/>
      <c r="BH1505" s="115"/>
      <c r="BI1505" s="115"/>
      <c r="BJ1505" s="115"/>
      <c r="BK1505" s="115"/>
      <c r="BL1505" s="115"/>
      <c r="BM1505" s="115"/>
      <c r="BN1505" s="115"/>
      <c r="BO1505" s="115"/>
      <c r="BP1505" s="115"/>
      <c r="BQ1505" s="115"/>
      <c r="BR1505" s="115"/>
      <c r="BS1505" s="115"/>
      <c r="BT1505" s="115"/>
      <c r="BU1505" s="26"/>
      <c r="BV1505" s="13"/>
      <c r="BY1505" s="114"/>
    </row>
    <row r="1506" spans="1:78" x14ac:dyDescent="0.4">
      <c r="A1506" s="115"/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22"/>
      <c r="BE1506" s="122"/>
      <c r="BF1506" s="122"/>
      <c r="BG1506" s="115"/>
      <c r="BH1506" s="115"/>
      <c r="BI1506" s="115"/>
      <c r="BJ1506" s="115"/>
      <c r="BK1506" s="115"/>
      <c r="BL1506" s="115"/>
      <c r="BM1506" s="115"/>
      <c r="BN1506" s="115"/>
      <c r="BO1506" s="115"/>
      <c r="BP1506" s="115"/>
      <c r="BQ1506" s="115"/>
      <c r="BR1506" s="115"/>
      <c r="BS1506" s="115"/>
      <c r="BT1506" s="115"/>
      <c r="BU1506" s="17"/>
      <c r="BV1506" s="13"/>
      <c r="BY1506" s="114"/>
    </row>
    <row r="1507" spans="1:78" x14ac:dyDescent="0.4">
      <c r="A1507" s="115"/>
      <c r="B1507" s="115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15"/>
      <c r="AX1507" s="115"/>
      <c r="AY1507" s="115"/>
      <c r="AZ1507" s="115"/>
      <c r="BA1507" s="115"/>
      <c r="BB1507" s="115"/>
      <c r="BC1507" s="115"/>
      <c r="BD1507" s="122"/>
      <c r="BE1507" s="122"/>
      <c r="BF1507" s="122"/>
      <c r="BG1507" s="115"/>
      <c r="BH1507" s="115"/>
      <c r="BI1507" s="115"/>
      <c r="BJ1507" s="115"/>
      <c r="BK1507" s="115"/>
      <c r="BL1507" s="115"/>
      <c r="BM1507" s="115"/>
      <c r="BN1507" s="115"/>
      <c r="BO1507" s="115"/>
      <c r="BP1507" s="115"/>
      <c r="BQ1507" s="115"/>
      <c r="BR1507" s="115"/>
      <c r="BS1507" s="115"/>
      <c r="BT1507" s="115"/>
      <c r="BU1507" s="26"/>
      <c r="BV1507" s="13"/>
      <c r="BY1507" s="114"/>
    </row>
    <row r="1508" spans="1:78" x14ac:dyDescent="0.4">
      <c r="A1508" s="115"/>
      <c r="B1508" s="115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22"/>
      <c r="BE1508" s="122"/>
      <c r="BF1508" s="122"/>
      <c r="BG1508" s="115"/>
      <c r="BH1508" s="115"/>
      <c r="BI1508" s="115"/>
      <c r="BJ1508" s="115"/>
      <c r="BK1508" s="115"/>
      <c r="BL1508" s="115"/>
      <c r="BM1508" s="115"/>
      <c r="BN1508" s="115"/>
      <c r="BO1508" s="115"/>
      <c r="BP1508" s="115"/>
      <c r="BQ1508" s="115"/>
      <c r="BR1508" s="115"/>
      <c r="BS1508" s="115"/>
      <c r="BT1508" s="115"/>
      <c r="BU1508" s="26"/>
      <c r="BV1508" s="13"/>
      <c r="BY1508" s="114"/>
    </row>
    <row r="1509" spans="1:78" x14ac:dyDescent="0.4">
      <c r="A1509" s="115"/>
      <c r="B1509" s="115"/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115"/>
      <c r="BD1509" s="122"/>
      <c r="BE1509" s="122"/>
      <c r="BF1509" s="122"/>
      <c r="BG1509" s="115"/>
      <c r="BH1509" s="115"/>
      <c r="BI1509" s="115"/>
      <c r="BJ1509" s="115"/>
      <c r="BK1509" s="115"/>
      <c r="BL1509" s="115"/>
      <c r="BM1509" s="115"/>
      <c r="BN1509" s="115"/>
      <c r="BO1509" s="115"/>
      <c r="BP1509" s="115"/>
      <c r="BQ1509" s="115"/>
      <c r="BR1509" s="115"/>
      <c r="BS1509" s="115"/>
      <c r="BT1509" s="115"/>
      <c r="BU1509" s="26"/>
      <c r="BV1509" s="13"/>
      <c r="BY1509" s="114"/>
    </row>
    <row r="1510" spans="1:78" x14ac:dyDescent="0.4">
      <c r="A1510" s="115"/>
      <c r="B1510" s="115"/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22"/>
      <c r="BE1510" s="122"/>
      <c r="BF1510" s="122"/>
      <c r="BG1510" s="115"/>
      <c r="BH1510" s="115"/>
      <c r="BI1510" s="115"/>
      <c r="BJ1510" s="115"/>
      <c r="BK1510" s="115"/>
      <c r="BL1510" s="115"/>
      <c r="BM1510" s="115"/>
      <c r="BN1510" s="115"/>
      <c r="BO1510" s="115"/>
      <c r="BP1510" s="115"/>
      <c r="BQ1510" s="115"/>
      <c r="BR1510" s="115"/>
      <c r="BS1510" s="115"/>
      <c r="BT1510" s="115"/>
      <c r="BU1510" s="26"/>
      <c r="BV1510" s="15"/>
      <c r="BY1510" s="114"/>
    </row>
    <row r="1511" spans="1:78" x14ac:dyDescent="0.4">
      <c r="A1511" s="115"/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15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22"/>
      <c r="BE1511" s="122"/>
      <c r="BF1511" s="122"/>
      <c r="BG1511" s="115"/>
      <c r="BH1511" s="115"/>
      <c r="BI1511" s="115"/>
      <c r="BJ1511" s="115"/>
      <c r="BK1511" s="115"/>
      <c r="BL1511" s="115"/>
      <c r="BM1511" s="115"/>
      <c r="BN1511" s="115"/>
      <c r="BO1511" s="115"/>
      <c r="BP1511" s="115"/>
      <c r="BQ1511" s="115"/>
      <c r="BR1511" s="115"/>
      <c r="BS1511" s="115"/>
      <c r="BT1511" s="115"/>
      <c r="BU1511" s="26"/>
      <c r="BV1511" s="15"/>
      <c r="BY1511" s="114"/>
    </row>
    <row r="1512" spans="1:78" x14ac:dyDescent="0.4">
      <c r="A1512" s="115"/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22"/>
      <c r="BE1512" s="122"/>
      <c r="BF1512" s="122"/>
      <c r="BG1512" s="115"/>
      <c r="BH1512" s="115"/>
      <c r="BI1512" s="115"/>
      <c r="BJ1512" s="115"/>
      <c r="BK1512" s="115"/>
      <c r="BL1512" s="115"/>
      <c r="BM1512" s="115"/>
      <c r="BN1512" s="115"/>
      <c r="BO1512" s="115"/>
      <c r="BP1512" s="115"/>
      <c r="BQ1512" s="115"/>
      <c r="BR1512" s="115"/>
      <c r="BS1512" s="115"/>
      <c r="BT1512" s="115"/>
      <c r="BU1512" s="26"/>
      <c r="BV1512" s="15"/>
      <c r="BY1512" s="114"/>
    </row>
    <row r="1513" spans="1:78" x14ac:dyDescent="0.4">
      <c r="A1513" s="115"/>
      <c r="B1513" s="115"/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22"/>
      <c r="BE1513" s="122"/>
      <c r="BF1513" s="122"/>
      <c r="BG1513" s="115"/>
      <c r="BH1513" s="115"/>
      <c r="BI1513" s="115"/>
      <c r="BJ1513" s="115"/>
      <c r="BK1513" s="115"/>
      <c r="BL1513" s="115"/>
      <c r="BM1513" s="115"/>
      <c r="BN1513" s="115"/>
      <c r="BO1513" s="115"/>
      <c r="BP1513" s="115"/>
      <c r="BQ1513" s="115"/>
      <c r="BR1513" s="115"/>
      <c r="BS1513" s="115"/>
      <c r="BT1513" s="115"/>
      <c r="BU1513" s="26"/>
      <c r="BV1513" s="13"/>
      <c r="BY1513" s="114"/>
    </row>
    <row r="1514" spans="1:78" x14ac:dyDescent="0.4">
      <c r="A1514" s="115"/>
      <c r="B1514" s="115"/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15"/>
      <c r="AV1514" s="115"/>
      <c r="AW1514" s="115"/>
      <c r="AX1514" s="115"/>
      <c r="AY1514" s="115"/>
      <c r="AZ1514" s="115"/>
      <c r="BA1514" s="115"/>
      <c r="BB1514" s="115"/>
      <c r="BC1514" s="115"/>
      <c r="BD1514" s="122"/>
      <c r="BE1514" s="122"/>
      <c r="BF1514" s="122"/>
      <c r="BG1514" s="115"/>
      <c r="BH1514" s="115"/>
      <c r="BI1514" s="115"/>
      <c r="BJ1514" s="115"/>
      <c r="BK1514" s="115"/>
      <c r="BL1514" s="115"/>
      <c r="BM1514" s="115"/>
      <c r="BN1514" s="115"/>
      <c r="BO1514" s="115"/>
      <c r="BP1514" s="115"/>
      <c r="BQ1514" s="115"/>
      <c r="BR1514" s="115"/>
      <c r="BS1514" s="115"/>
      <c r="BT1514" s="115"/>
      <c r="BU1514" s="26"/>
      <c r="BV1514" s="15"/>
      <c r="BY1514" s="114"/>
    </row>
    <row r="1515" spans="1:78" x14ac:dyDescent="0.4">
      <c r="A1515" s="115"/>
      <c r="B1515" s="115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22"/>
      <c r="BE1515" s="122"/>
      <c r="BF1515" s="122"/>
      <c r="BG1515" s="115"/>
      <c r="BH1515" s="115"/>
      <c r="BI1515" s="115"/>
      <c r="BJ1515" s="115"/>
      <c r="BK1515" s="115"/>
      <c r="BL1515" s="115"/>
      <c r="BM1515" s="115"/>
      <c r="BN1515" s="115"/>
      <c r="BO1515" s="115"/>
      <c r="BP1515" s="115"/>
      <c r="BQ1515" s="115"/>
      <c r="BR1515" s="115"/>
      <c r="BS1515" s="115"/>
      <c r="BT1515" s="115"/>
      <c r="BU1515" s="26"/>
      <c r="BV1515" s="15"/>
      <c r="BY1515" s="114"/>
      <c r="BZ1515" s="120"/>
    </row>
    <row r="1516" spans="1:78" x14ac:dyDescent="0.4">
      <c r="A1516" s="115"/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15"/>
      <c r="BD1516" s="122"/>
      <c r="BE1516" s="122"/>
      <c r="BF1516" s="122"/>
      <c r="BG1516" s="115"/>
      <c r="BH1516" s="115"/>
      <c r="BI1516" s="115"/>
      <c r="BJ1516" s="115"/>
      <c r="BK1516" s="115"/>
      <c r="BL1516" s="115"/>
      <c r="BM1516" s="115"/>
      <c r="BN1516" s="115"/>
      <c r="BO1516" s="115"/>
      <c r="BP1516" s="115"/>
      <c r="BQ1516" s="115"/>
      <c r="BR1516" s="115"/>
      <c r="BS1516" s="115"/>
      <c r="BT1516" s="115"/>
      <c r="BU1516" s="26"/>
      <c r="BV1516" s="15"/>
      <c r="BY1516" s="114"/>
      <c r="BZ1516" s="120"/>
    </row>
    <row r="1517" spans="1:78" x14ac:dyDescent="0.4">
      <c r="A1517" s="115"/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22"/>
      <c r="BE1517" s="122"/>
      <c r="BF1517" s="122"/>
      <c r="BG1517" s="115"/>
      <c r="BH1517" s="115"/>
      <c r="BI1517" s="115"/>
      <c r="BJ1517" s="115"/>
      <c r="BK1517" s="115"/>
      <c r="BL1517" s="115"/>
      <c r="BM1517" s="115"/>
      <c r="BN1517" s="115"/>
      <c r="BO1517" s="115"/>
      <c r="BP1517" s="115"/>
      <c r="BQ1517" s="115"/>
      <c r="BR1517" s="115"/>
      <c r="BS1517" s="115"/>
      <c r="BT1517" s="115"/>
      <c r="BU1517" s="26"/>
      <c r="BV1517" s="15"/>
      <c r="BY1517" s="114"/>
      <c r="BZ1517" s="120"/>
    </row>
    <row r="1518" spans="1:78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122"/>
      <c r="BE1518" s="122"/>
      <c r="BF1518" s="122"/>
      <c r="BG1518" s="115"/>
      <c r="BH1518" s="115"/>
      <c r="BI1518" s="115"/>
      <c r="BJ1518" s="115"/>
      <c r="BK1518" s="115"/>
      <c r="BL1518" s="115"/>
      <c r="BM1518" s="115"/>
      <c r="BN1518" s="115"/>
      <c r="BO1518" s="115"/>
      <c r="BP1518" s="115"/>
      <c r="BQ1518" s="115"/>
      <c r="BR1518" s="115"/>
      <c r="BS1518" s="115"/>
      <c r="BT1518" s="115"/>
      <c r="BU1518" s="26"/>
      <c r="BV1518" s="15"/>
      <c r="BY1518" s="114"/>
      <c r="BZ1518" s="120"/>
    </row>
    <row r="1519" spans="1:78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15"/>
      <c r="BA1519" s="115"/>
      <c r="BB1519" s="115"/>
      <c r="BC1519" s="115"/>
      <c r="BD1519" s="122"/>
      <c r="BE1519" s="122"/>
      <c r="BF1519" s="122"/>
      <c r="BG1519" s="115"/>
      <c r="BH1519" s="115"/>
      <c r="BI1519" s="115"/>
      <c r="BJ1519" s="115"/>
      <c r="BK1519" s="115"/>
      <c r="BL1519" s="115"/>
      <c r="BM1519" s="115"/>
      <c r="BN1519" s="115"/>
      <c r="BO1519" s="115"/>
      <c r="BP1519" s="115"/>
      <c r="BQ1519" s="115"/>
      <c r="BR1519" s="115"/>
      <c r="BS1519" s="115"/>
      <c r="BT1519" s="115"/>
      <c r="BU1519" s="26"/>
      <c r="BV1519" s="15"/>
      <c r="BY1519" s="114"/>
      <c r="BZ1519" s="120"/>
    </row>
    <row r="1520" spans="1:78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22"/>
      <c r="BE1520" s="122"/>
      <c r="BF1520" s="122"/>
      <c r="BG1520" s="115"/>
      <c r="BH1520" s="115"/>
      <c r="BI1520" s="115"/>
      <c r="BJ1520" s="115"/>
      <c r="BK1520" s="115"/>
      <c r="BL1520" s="115"/>
      <c r="BM1520" s="115"/>
      <c r="BN1520" s="115"/>
      <c r="BO1520" s="115"/>
      <c r="BP1520" s="115"/>
      <c r="BQ1520" s="115"/>
      <c r="BR1520" s="115"/>
      <c r="BS1520" s="115"/>
      <c r="BT1520" s="115"/>
      <c r="BU1520" s="26"/>
      <c r="BV1520" s="15"/>
      <c r="BY1520" s="114"/>
      <c r="BZ1520" s="120"/>
    </row>
    <row r="1521" spans="1:78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22"/>
      <c r="BE1521" s="122"/>
      <c r="BF1521" s="122"/>
      <c r="BG1521" s="115"/>
      <c r="BH1521" s="115"/>
      <c r="BI1521" s="115"/>
      <c r="BJ1521" s="115"/>
      <c r="BK1521" s="115"/>
      <c r="BL1521" s="115"/>
      <c r="BM1521" s="115"/>
      <c r="BN1521" s="115"/>
      <c r="BO1521" s="115"/>
      <c r="BP1521" s="115"/>
      <c r="BQ1521" s="115"/>
      <c r="BR1521" s="115"/>
      <c r="BS1521" s="115"/>
      <c r="BT1521" s="115"/>
      <c r="BU1521" s="26"/>
      <c r="BV1521" s="15"/>
      <c r="BY1521" s="114"/>
      <c r="BZ1521" s="120"/>
    </row>
    <row r="1522" spans="1:78" x14ac:dyDescent="0.4">
      <c r="A1522" s="115"/>
      <c r="B1522" s="115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22"/>
      <c r="BE1522" s="122"/>
      <c r="BF1522" s="122"/>
      <c r="BG1522" s="115"/>
      <c r="BH1522" s="115"/>
      <c r="BI1522" s="115"/>
      <c r="BJ1522" s="115"/>
      <c r="BK1522" s="115"/>
      <c r="BL1522" s="115"/>
      <c r="BM1522" s="115"/>
      <c r="BN1522" s="115"/>
      <c r="BO1522" s="115"/>
      <c r="BP1522" s="115"/>
      <c r="BQ1522" s="115"/>
      <c r="BR1522" s="115"/>
      <c r="BS1522" s="115"/>
      <c r="BT1522" s="115"/>
      <c r="BU1522" s="17"/>
      <c r="BV1522" s="15"/>
      <c r="BY1522" s="114"/>
      <c r="BZ1522" s="120"/>
    </row>
    <row r="1523" spans="1:78" x14ac:dyDescent="0.4">
      <c r="A1523" s="115"/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22"/>
      <c r="BE1523" s="122"/>
      <c r="BF1523" s="122"/>
      <c r="BG1523" s="115"/>
      <c r="BH1523" s="115"/>
      <c r="BI1523" s="115"/>
      <c r="BJ1523" s="115"/>
      <c r="BK1523" s="115"/>
      <c r="BL1523" s="115"/>
      <c r="BM1523" s="115"/>
      <c r="BN1523" s="115"/>
      <c r="BO1523" s="115"/>
      <c r="BP1523" s="115"/>
      <c r="BQ1523" s="115"/>
      <c r="BR1523" s="115"/>
      <c r="BS1523" s="115"/>
      <c r="BT1523" s="115"/>
      <c r="BU1523" s="26"/>
      <c r="BV1523" s="15"/>
      <c r="BY1523" s="114"/>
      <c r="BZ1523" s="120"/>
    </row>
    <row r="1524" spans="1:78" x14ac:dyDescent="0.4">
      <c r="A1524" s="115"/>
      <c r="B1524" s="115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122"/>
      <c r="BE1524" s="122"/>
      <c r="BF1524" s="122"/>
      <c r="BG1524" s="115"/>
      <c r="BH1524" s="115"/>
      <c r="BI1524" s="115"/>
      <c r="BJ1524" s="115"/>
      <c r="BK1524" s="115"/>
      <c r="BL1524" s="115"/>
      <c r="BM1524" s="115"/>
      <c r="BN1524" s="115"/>
      <c r="BO1524" s="115"/>
      <c r="BP1524" s="115"/>
      <c r="BQ1524" s="115"/>
      <c r="BR1524" s="115"/>
      <c r="BS1524" s="115"/>
      <c r="BT1524" s="115"/>
      <c r="BU1524" s="26"/>
      <c r="BV1524" s="15"/>
      <c r="BY1524" s="114"/>
    </row>
    <row r="1525" spans="1:78" x14ac:dyDescent="0.4">
      <c r="BU1525" s="26"/>
      <c r="BV1525" s="15"/>
      <c r="BY1525" s="114"/>
    </row>
    <row r="1526" spans="1:78" x14ac:dyDescent="0.4">
      <c r="BH1526" s="115"/>
      <c r="BI1526" s="115"/>
      <c r="BJ1526" s="115"/>
      <c r="BK1526" s="115"/>
      <c r="BL1526" s="115"/>
      <c r="BM1526" s="115"/>
      <c r="BN1526" s="115"/>
      <c r="BO1526" s="115"/>
      <c r="BP1526" s="115"/>
      <c r="BQ1526" s="115"/>
      <c r="BR1526" s="115"/>
      <c r="BS1526" s="115"/>
      <c r="BT1526" s="115"/>
      <c r="BU1526" s="17"/>
      <c r="BV1526" s="15"/>
      <c r="BY1526" s="114"/>
    </row>
    <row r="1527" spans="1:78" x14ac:dyDescent="0.4">
      <c r="BH1527" s="115"/>
      <c r="BI1527" s="115"/>
      <c r="BJ1527" s="115"/>
      <c r="BK1527" s="115"/>
      <c r="BL1527" s="115"/>
      <c r="BM1527" s="115"/>
      <c r="BN1527" s="115"/>
      <c r="BO1527" s="115"/>
      <c r="BP1527" s="115"/>
      <c r="BQ1527" s="115"/>
      <c r="BR1527" s="115"/>
      <c r="BS1527" s="115"/>
      <c r="BT1527" s="115"/>
      <c r="BU1527" s="17"/>
      <c r="BV1527" s="15"/>
      <c r="BY1527" s="114"/>
    </row>
    <row r="1528" spans="1:78" x14ac:dyDescent="0.4">
      <c r="BF1528" s="122"/>
      <c r="BG1528" s="115"/>
      <c r="BH1528" s="115"/>
      <c r="BI1528" s="115"/>
      <c r="BJ1528" s="115"/>
      <c r="BK1528" s="115"/>
      <c r="BL1528" s="115"/>
      <c r="BM1528" s="115"/>
      <c r="BN1528" s="115"/>
      <c r="BO1528" s="115"/>
      <c r="BP1528" s="115"/>
      <c r="BQ1528" s="115"/>
      <c r="BR1528" s="115"/>
      <c r="BS1528" s="115"/>
      <c r="BT1528" s="115"/>
      <c r="BU1528" s="17"/>
      <c r="BV1528" s="15"/>
      <c r="BY1528" s="114"/>
    </row>
    <row r="1529" spans="1:78" x14ac:dyDescent="0.4">
      <c r="BA1529" s="115"/>
      <c r="BB1529" s="115"/>
      <c r="BC1529" s="115"/>
      <c r="BD1529" s="122"/>
      <c r="BE1529" s="122"/>
      <c r="BF1529" s="122"/>
      <c r="BG1529" s="115"/>
      <c r="BH1529" s="115"/>
      <c r="BI1529" s="115"/>
      <c r="BJ1529" s="115"/>
      <c r="BK1529" s="115"/>
      <c r="BL1529" s="115"/>
      <c r="BM1529" s="115"/>
      <c r="BN1529" s="115"/>
      <c r="BO1529" s="115"/>
      <c r="BP1529" s="115"/>
      <c r="BQ1529" s="115"/>
      <c r="BR1529" s="115"/>
      <c r="BS1529" s="115"/>
      <c r="BT1529" s="115"/>
      <c r="BU1529" s="26"/>
      <c r="BV1529" s="15"/>
      <c r="BY1529" s="114"/>
    </row>
    <row r="1530" spans="1:78" x14ac:dyDescent="0.4">
      <c r="BA1530" s="115"/>
      <c r="BB1530" s="115"/>
      <c r="BC1530" s="115"/>
      <c r="BD1530" s="122"/>
      <c r="BE1530" s="122"/>
      <c r="BF1530" s="122"/>
      <c r="BG1530" s="115"/>
      <c r="BH1530" s="115"/>
      <c r="BI1530" s="115"/>
      <c r="BJ1530" s="115"/>
      <c r="BK1530" s="115"/>
      <c r="BL1530" s="115"/>
      <c r="BM1530" s="115"/>
      <c r="BN1530" s="115"/>
      <c r="BO1530" s="115"/>
      <c r="BP1530" s="115"/>
      <c r="BQ1530" s="115"/>
      <c r="BR1530" s="115"/>
      <c r="BS1530" s="115"/>
      <c r="BT1530" s="115"/>
      <c r="BU1530" s="17"/>
      <c r="BV1530" s="15"/>
      <c r="BY1530" s="114"/>
    </row>
    <row r="1531" spans="1:78" x14ac:dyDescent="0.4">
      <c r="AZ1531" s="115"/>
      <c r="BA1531" s="115"/>
      <c r="BB1531" s="115"/>
      <c r="BC1531" s="115"/>
      <c r="BD1531" s="122"/>
      <c r="BE1531" s="122"/>
      <c r="BF1531" s="122"/>
      <c r="BG1531" s="115"/>
      <c r="BH1531" s="115"/>
      <c r="BI1531" s="115"/>
      <c r="BJ1531" s="115"/>
      <c r="BK1531" s="115"/>
      <c r="BL1531" s="115"/>
      <c r="BM1531" s="115"/>
      <c r="BN1531" s="115"/>
      <c r="BO1531" s="115"/>
      <c r="BP1531" s="115"/>
      <c r="BQ1531" s="115"/>
      <c r="BR1531" s="115"/>
      <c r="BS1531" s="115"/>
      <c r="BT1531" s="115"/>
      <c r="BU1531" s="26"/>
      <c r="BV1531" s="15"/>
      <c r="BY1531" s="114"/>
    </row>
    <row r="1532" spans="1:78" x14ac:dyDescent="0.4">
      <c r="AZ1532" s="115"/>
      <c r="BA1532" s="115"/>
      <c r="BB1532" s="115"/>
      <c r="BC1532" s="115"/>
      <c r="BD1532" s="122"/>
      <c r="BE1532" s="122"/>
      <c r="BF1532" s="122"/>
      <c r="BG1532" s="115"/>
      <c r="BH1532" s="115"/>
      <c r="BI1532" s="115"/>
      <c r="BJ1532" s="115"/>
      <c r="BK1532" s="115"/>
      <c r="BL1532" s="115"/>
      <c r="BM1532" s="115"/>
      <c r="BN1532" s="115"/>
      <c r="BO1532" s="115"/>
      <c r="BP1532" s="115"/>
      <c r="BQ1532" s="115"/>
      <c r="BR1532" s="115"/>
      <c r="BS1532" s="115"/>
      <c r="BT1532" s="115"/>
      <c r="BU1532" s="17"/>
      <c r="BV1532" s="15"/>
      <c r="BY1532" s="114"/>
    </row>
    <row r="1533" spans="1:78" x14ac:dyDescent="0.4">
      <c r="AZ1533" s="115"/>
      <c r="BA1533" s="115"/>
      <c r="BB1533" s="115"/>
      <c r="BC1533" s="115"/>
      <c r="BD1533" s="122"/>
      <c r="BE1533" s="122"/>
      <c r="BF1533" s="122"/>
      <c r="BG1533" s="115"/>
      <c r="BH1533" s="115"/>
      <c r="BI1533" s="115"/>
      <c r="BJ1533" s="115"/>
      <c r="BK1533" s="115"/>
      <c r="BL1533" s="115"/>
      <c r="BM1533" s="115"/>
      <c r="BN1533" s="115"/>
      <c r="BO1533" s="115"/>
      <c r="BP1533" s="115"/>
      <c r="BQ1533" s="115"/>
      <c r="BR1533" s="115"/>
      <c r="BS1533" s="115"/>
      <c r="BT1533" s="115"/>
      <c r="BU1533" s="17"/>
      <c r="BV1533" s="15"/>
      <c r="BY1533" s="114"/>
    </row>
    <row r="1534" spans="1:78" x14ac:dyDescent="0.4">
      <c r="AZ1534" s="115"/>
      <c r="BA1534" s="115"/>
      <c r="BB1534" s="115"/>
      <c r="BC1534" s="115"/>
      <c r="BD1534" s="122"/>
      <c r="BE1534" s="122"/>
      <c r="BF1534" s="122"/>
      <c r="BG1534" s="115"/>
      <c r="BH1534" s="115"/>
      <c r="BI1534" s="115"/>
      <c r="BJ1534" s="115"/>
      <c r="BK1534" s="115"/>
      <c r="BL1534" s="115"/>
      <c r="BM1534" s="115"/>
      <c r="BN1534" s="115"/>
      <c r="BO1534" s="115"/>
      <c r="BP1534" s="115"/>
      <c r="BQ1534" s="115"/>
      <c r="BR1534" s="115"/>
      <c r="BS1534" s="115"/>
      <c r="BT1534" s="115"/>
      <c r="BU1534" s="17"/>
      <c r="BV1534" s="15"/>
      <c r="BY1534" s="114"/>
    </row>
    <row r="1535" spans="1:78" x14ac:dyDescent="0.4">
      <c r="AZ1535" s="115"/>
      <c r="BA1535" s="115"/>
      <c r="BB1535" s="115"/>
      <c r="BC1535" s="115"/>
      <c r="BD1535" s="122"/>
      <c r="BE1535" s="122"/>
      <c r="BF1535" s="122"/>
      <c r="BG1535" s="115"/>
      <c r="BH1535" s="115"/>
      <c r="BI1535" s="115"/>
      <c r="BJ1535" s="115"/>
      <c r="BK1535" s="115"/>
      <c r="BL1535" s="115"/>
      <c r="BM1535" s="115"/>
      <c r="BN1535" s="115"/>
      <c r="BO1535" s="115"/>
      <c r="BP1535" s="115"/>
      <c r="BQ1535" s="115"/>
      <c r="BR1535" s="115"/>
      <c r="BS1535" s="115"/>
      <c r="BT1535" s="115"/>
      <c r="BU1535" s="26"/>
      <c r="BV1535" s="15"/>
      <c r="BY1535" s="114"/>
    </row>
    <row r="1536" spans="1:78" x14ac:dyDescent="0.4">
      <c r="AZ1536" s="115"/>
      <c r="BA1536" s="115"/>
      <c r="BB1536" s="115"/>
      <c r="BC1536" s="115"/>
      <c r="BD1536" s="122"/>
      <c r="BE1536" s="122"/>
      <c r="BF1536" s="122"/>
      <c r="BG1536" s="115"/>
      <c r="BH1536" s="115"/>
      <c r="BI1536" s="115"/>
      <c r="BJ1536" s="115"/>
      <c r="BK1536" s="115"/>
      <c r="BL1536" s="115"/>
      <c r="BM1536" s="115"/>
      <c r="BN1536" s="115"/>
      <c r="BO1536" s="115"/>
      <c r="BP1536" s="115"/>
      <c r="BQ1536" s="115"/>
      <c r="BR1536" s="115"/>
      <c r="BS1536" s="115"/>
      <c r="BT1536" s="115"/>
      <c r="BU1536" s="17"/>
      <c r="BV1536" s="15"/>
      <c r="BY1536" s="114"/>
    </row>
    <row r="1537" spans="1:81" ht="19.5" x14ac:dyDescent="0.4">
      <c r="BU1537" s="26"/>
      <c r="BV1537" s="15"/>
      <c r="BZ1537" s="116"/>
      <c r="CA1537" s="116"/>
      <c r="CB1537" s="116"/>
      <c r="CC1537" s="116"/>
    </row>
    <row r="1538" spans="1:81" ht="19.5" x14ac:dyDescent="0.4">
      <c r="BE1538" s="122"/>
      <c r="BF1538" s="122"/>
      <c r="BG1538" s="115"/>
      <c r="BH1538" s="115"/>
      <c r="BI1538" s="115"/>
      <c r="BJ1538" s="115"/>
      <c r="BK1538" s="115"/>
      <c r="BL1538" s="115"/>
      <c r="BM1538" s="115"/>
      <c r="BN1538" s="115"/>
      <c r="BO1538" s="115"/>
      <c r="BP1538" s="115"/>
      <c r="BQ1538" s="115"/>
      <c r="BR1538" s="115"/>
      <c r="BS1538" s="115"/>
      <c r="BT1538" s="115"/>
      <c r="BU1538" s="17"/>
      <c r="BV1538" s="15"/>
      <c r="BZ1538" s="117"/>
      <c r="CA1538" s="116"/>
      <c r="CB1538" s="116"/>
      <c r="CC1538" s="116"/>
    </row>
    <row r="1539" spans="1:81" ht="19.5" x14ac:dyDescent="0.4">
      <c r="AW1539" s="115"/>
      <c r="AX1539" s="115"/>
      <c r="AY1539" s="115"/>
      <c r="AZ1539" s="115"/>
      <c r="BA1539" s="115"/>
      <c r="BB1539" s="115"/>
      <c r="BC1539" s="115"/>
      <c r="BD1539" s="122"/>
      <c r="BE1539" s="122"/>
      <c r="BF1539" s="122"/>
      <c r="BG1539" s="115"/>
      <c r="BH1539" s="115"/>
      <c r="BI1539" s="115"/>
      <c r="BJ1539" s="115"/>
      <c r="BK1539" s="115"/>
      <c r="BL1539" s="115"/>
      <c r="BM1539" s="115"/>
      <c r="BN1539" s="115"/>
      <c r="BO1539" s="115"/>
      <c r="BP1539" s="115"/>
      <c r="BQ1539" s="115"/>
      <c r="BR1539" s="115"/>
      <c r="BS1539" s="115"/>
      <c r="BT1539" s="115"/>
      <c r="BU1539" s="26"/>
      <c r="BV1539" s="15"/>
      <c r="BZ1539" s="117"/>
      <c r="CA1539" s="116"/>
      <c r="CB1539" s="116"/>
      <c r="CC1539" s="116"/>
    </row>
    <row r="1540" spans="1:81" ht="19.5" x14ac:dyDescent="0.4"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22"/>
      <c r="BE1540" s="122"/>
      <c r="BF1540" s="122"/>
      <c r="BG1540" s="115"/>
      <c r="BH1540" s="115"/>
      <c r="BI1540" s="115"/>
      <c r="BJ1540" s="115"/>
      <c r="BK1540" s="115"/>
      <c r="BL1540" s="115"/>
      <c r="BM1540" s="115"/>
      <c r="BN1540" s="115"/>
      <c r="BO1540" s="115"/>
      <c r="BP1540" s="115"/>
      <c r="BQ1540" s="115"/>
      <c r="BR1540" s="115"/>
      <c r="BS1540" s="115"/>
      <c r="BT1540" s="115"/>
      <c r="BU1540" s="26"/>
      <c r="BV1540" s="13"/>
      <c r="BZ1540" s="117"/>
      <c r="CA1540" s="116"/>
      <c r="CB1540" s="116"/>
      <c r="CC1540" s="116"/>
    </row>
    <row r="1541" spans="1:81" ht="19.5" x14ac:dyDescent="0.4"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22"/>
      <c r="BE1541" s="122"/>
      <c r="BF1541" s="122"/>
      <c r="BG1541" s="115"/>
      <c r="BH1541" s="115"/>
      <c r="BI1541" s="115"/>
      <c r="BJ1541" s="115"/>
      <c r="BK1541" s="115"/>
      <c r="BL1541" s="115"/>
      <c r="BM1541" s="115"/>
      <c r="BN1541" s="115"/>
      <c r="BO1541" s="115"/>
      <c r="BP1541" s="115"/>
      <c r="BQ1541" s="115"/>
      <c r="BR1541" s="115"/>
      <c r="BS1541" s="115"/>
      <c r="BT1541" s="115"/>
      <c r="BU1541" s="26"/>
      <c r="BV1541" s="15"/>
      <c r="BZ1541" s="117"/>
      <c r="CA1541" s="116"/>
      <c r="CB1541" s="116"/>
      <c r="CC1541" s="116"/>
    </row>
    <row r="1542" spans="1:81" ht="19.5" x14ac:dyDescent="0.4"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22"/>
      <c r="BE1542" s="122"/>
      <c r="BF1542" s="122"/>
      <c r="BG1542" s="115"/>
      <c r="BH1542" s="115"/>
      <c r="BI1542" s="115"/>
      <c r="BJ1542" s="115"/>
      <c r="BK1542" s="115"/>
      <c r="BL1542" s="115"/>
      <c r="BM1542" s="115"/>
      <c r="BN1542" s="115"/>
      <c r="BO1542" s="115"/>
      <c r="BP1542" s="115"/>
      <c r="BQ1542" s="115"/>
      <c r="BR1542" s="115"/>
      <c r="BS1542" s="115"/>
      <c r="BT1542" s="115"/>
      <c r="BU1542" s="17"/>
      <c r="BV1542" s="15"/>
      <c r="BZ1542" s="117"/>
      <c r="CA1542" s="116"/>
      <c r="CB1542" s="116"/>
      <c r="CC1542" s="116"/>
    </row>
    <row r="1543" spans="1:81" ht="19.5" x14ac:dyDescent="0.4"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22"/>
      <c r="BE1543" s="122"/>
      <c r="BF1543" s="122"/>
      <c r="BG1543" s="115"/>
      <c r="BH1543" s="115"/>
      <c r="BI1543" s="115"/>
      <c r="BJ1543" s="115"/>
      <c r="BK1543" s="115"/>
      <c r="BL1543" s="115"/>
      <c r="BM1543" s="115"/>
      <c r="BN1543" s="115"/>
      <c r="BO1543" s="115"/>
      <c r="BP1543" s="115"/>
      <c r="BQ1543" s="115"/>
      <c r="BR1543" s="115"/>
      <c r="BS1543" s="115"/>
      <c r="BT1543" s="115"/>
      <c r="BU1543" s="26"/>
      <c r="BV1543" s="15"/>
      <c r="BZ1543" s="117"/>
      <c r="CA1543" s="116"/>
      <c r="CB1543" s="116"/>
      <c r="CC1543" s="116"/>
    </row>
    <row r="1544" spans="1:81" ht="19.5" x14ac:dyDescent="0.4"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22"/>
      <c r="BE1544" s="122"/>
      <c r="BF1544" s="122"/>
      <c r="BG1544" s="115"/>
      <c r="BH1544" s="115"/>
      <c r="BI1544" s="115"/>
      <c r="BJ1544" s="115"/>
      <c r="BK1544" s="115"/>
      <c r="BL1544" s="115"/>
      <c r="BM1544" s="115"/>
      <c r="BN1544" s="115"/>
      <c r="BO1544" s="115"/>
      <c r="BP1544" s="115"/>
      <c r="BQ1544" s="115"/>
      <c r="BR1544" s="115"/>
      <c r="BS1544" s="115"/>
      <c r="BT1544" s="115"/>
      <c r="BU1544" s="26"/>
      <c r="BV1544" s="15"/>
      <c r="BZ1544" s="117"/>
      <c r="CA1544" s="116"/>
      <c r="CB1544" s="116"/>
      <c r="CC1544" s="116"/>
    </row>
    <row r="1545" spans="1:81" ht="19.5" x14ac:dyDescent="0.4"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15"/>
      <c r="BA1545" s="115"/>
      <c r="BB1545" s="115"/>
      <c r="BC1545" s="115"/>
      <c r="BD1545" s="122"/>
      <c r="BE1545" s="122"/>
      <c r="BF1545" s="122"/>
      <c r="BG1545" s="115"/>
      <c r="BH1545" s="115"/>
      <c r="BI1545" s="115"/>
      <c r="BJ1545" s="115"/>
      <c r="BK1545" s="115"/>
      <c r="BL1545" s="115"/>
      <c r="BM1545" s="115"/>
      <c r="BN1545" s="115"/>
      <c r="BO1545" s="115"/>
      <c r="BP1545" s="115"/>
      <c r="BQ1545" s="115"/>
      <c r="BR1545" s="115"/>
      <c r="BS1545" s="115"/>
      <c r="BT1545" s="115"/>
      <c r="BU1545" s="17"/>
      <c r="BV1545" s="15"/>
      <c r="BZ1545" s="117"/>
      <c r="CA1545" s="116"/>
      <c r="CB1545" s="116"/>
      <c r="CC1545" s="116"/>
    </row>
    <row r="1546" spans="1:81" ht="19.5" x14ac:dyDescent="0.4"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22"/>
      <c r="BE1546" s="122"/>
      <c r="BF1546" s="122"/>
      <c r="BG1546" s="115"/>
      <c r="BH1546" s="115"/>
      <c r="BI1546" s="115"/>
      <c r="BJ1546" s="115"/>
      <c r="BK1546" s="115"/>
      <c r="BL1546" s="115"/>
      <c r="BM1546" s="115"/>
      <c r="BN1546" s="115"/>
      <c r="BO1546" s="115"/>
      <c r="BP1546" s="115"/>
      <c r="BQ1546" s="115"/>
      <c r="BR1546" s="115"/>
      <c r="BS1546" s="115"/>
      <c r="BT1546" s="115"/>
      <c r="BU1546" s="26"/>
      <c r="BV1546" s="15"/>
      <c r="BZ1546" s="117"/>
      <c r="CA1546" s="116"/>
      <c r="CB1546" s="116"/>
      <c r="CC1546" s="116"/>
    </row>
    <row r="1547" spans="1:81" ht="19.5" x14ac:dyDescent="0.4">
      <c r="BU1547" s="26"/>
      <c r="BV1547" s="15"/>
      <c r="BZ1547" s="117"/>
      <c r="CA1547" s="116"/>
      <c r="CB1547" s="116"/>
      <c r="CC1547" s="116"/>
    </row>
    <row r="1548" spans="1:81" ht="19.5" x14ac:dyDescent="0.4">
      <c r="BE1548" s="122"/>
      <c r="BF1548" s="122"/>
      <c r="BG1548" s="115"/>
      <c r="BH1548" s="115"/>
      <c r="BI1548" s="115"/>
      <c r="BJ1548" s="115"/>
      <c r="BK1548" s="115"/>
      <c r="BL1548" s="115"/>
      <c r="BM1548" s="115"/>
      <c r="BN1548" s="115"/>
      <c r="BO1548" s="115"/>
      <c r="BP1548" s="115"/>
      <c r="BQ1548" s="115"/>
      <c r="BR1548" s="115"/>
      <c r="BS1548" s="115"/>
      <c r="BT1548" s="115"/>
      <c r="BU1548" s="17"/>
      <c r="BV1548" s="15"/>
      <c r="BZ1548" s="117"/>
      <c r="CA1548" s="116"/>
      <c r="CB1548" s="116"/>
      <c r="CC1548" s="116"/>
    </row>
    <row r="1549" spans="1:81" ht="19.5" x14ac:dyDescent="0.4">
      <c r="BB1549" s="115"/>
      <c r="BC1549" s="115"/>
      <c r="BD1549" s="122"/>
      <c r="BE1549" s="122"/>
      <c r="BF1549" s="122"/>
      <c r="BG1549" s="115"/>
      <c r="BH1549" s="115"/>
      <c r="BI1549" s="115"/>
      <c r="BJ1549" s="115"/>
      <c r="BK1549" s="115"/>
      <c r="BL1549" s="115"/>
      <c r="BM1549" s="115"/>
      <c r="BN1549" s="115"/>
      <c r="BO1549" s="115"/>
      <c r="BP1549" s="115"/>
      <c r="BQ1549" s="115"/>
      <c r="BR1549" s="115"/>
      <c r="BS1549" s="115"/>
      <c r="BT1549" s="115"/>
      <c r="BU1549" s="26"/>
      <c r="BV1549" s="15"/>
      <c r="BZ1549" s="117"/>
      <c r="CA1549" s="116"/>
      <c r="CB1549" s="116"/>
      <c r="CC1549" s="116"/>
    </row>
    <row r="1550" spans="1:81" ht="19.5" x14ac:dyDescent="0.4">
      <c r="BB1550" s="115"/>
      <c r="BC1550" s="115"/>
      <c r="BD1550" s="122"/>
      <c r="BE1550" s="122"/>
      <c r="BF1550" s="122"/>
      <c r="BG1550" s="115"/>
      <c r="BH1550" s="115"/>
      <c r="BI1550" s="115"/>
      <c r="BJ1550" s="115"/>
      <c r="BK1550" s="115"/>
      <c r="BL1550" s="115"/>
      <c r="BM1550" s="115"/>
      <c r="BN1550" s="115"/>
      <c r="BO1550" s="115"/>
      <c r="BP1550" s="115"/>
      <c r="BQ1550" s="115"/>
      <c r="BR1550" s="115"/>
      <c r="BS1550" s="115"/>
      <c r="BT1550" s="115"/>
      <c r="BU1550" s="17"/>
      <c r="BV1550" s="15"/>
      <c r="BZ1550" s="117"/>
      <c r="CA1550" s="116"/>
      <c r="CB1550" s="116"/>
      <c r="CC1550" s="116"/>
    </row>
    <row r="1551" spans="1:81" ht="19.5" x14ac:dyDescent="0.4">
      <c r="BA1551" s="115"/>
      <c r="BB1551" s="115"/>
      <c r="BC1551" s="115"/>
      <c r="BD1551" s="122"/>
      <c r="BE1551" s="122"/>
      <c r="BF1551" s="122"/>
      <c r="BG1551" s="115"/>
      <c r="BH1551" s="115"/>
      <c r="BI1551" s="115"/>
      <c r="BJ1551" s="115"/>
      <c r="BK1551" s="115"/>
      <c r="BL1551" s="115"/>
      <c r="BM1551" s="115"/>
      <c r="BN1551" s="115"/>
      <c r="BO1551" s="115"/>
      <c r="BP1551" s="115"/>
      <c r="BQ1551" s="115"/>
      <c r="BR1551" s="115"/>
      <c r="BS1551" s="115"/>
      <c r="BT1551" s="115"/>
      <c r="BU1551" s="26"/>
      <c r="BV1551" s="15"/>
      <c r="BZ1551" s="117"/>
      <c r="CA1551" s="116"/>
      <c r="CB1551" s="116"/>
      <c r="CC1551" s="116"/>
    </row>
    <row r="1552" spans="1:81" ht="19.5" x14ac:dyDescent="0.4">
      <c r="A1552" s="115"/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22"/>
      <c r="BE1552" s="122"/>
      <c r="BF1552" s="122"/>
      <c r="BG1552" s="115"/>
      <c r="BH1552" s="115"/>
      <c r="BI1552" s="115"/>
      <c r="BJ1552" s="115"/>
      <c r="BK1552" s="115"/>
      <c r="BL1552" s="115"/>
      <c r="BM1552" s="115"/>
      <c r="BN1552" s="115"/>
      <c r="BO1552" s="115"/>
      <c r="BP1552" s="115"/>
      <c r="BQ1552" s="115"/>
      <c r="BR1552" s="115"/>
      <c r="BS1552" s="115"/>
      <c r="BT1552" s="115"/>
      <c r="BU1552" s="26"/>
      <c r="BV1552" s="15"/>
      <c r="BZ1552" s="117"/>
      <c r="CA1552" s="116"/>
      <c r="CB1552" s="116"/>
      <c r="CC1552" s="116"/>
    </row>
    <row r="1553" spans="1:81" ht="19.5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22"/>
      <c r="BE1553" s="122"/>
      <c r="BF1553" s="122"/>
      <c r="BG1553" s="115"/>
      <c r="BH1553" s="115"/>
      <c r="BI1553" s="115"/>
      <c r="BJ1553" s="115"/>
      <c r="BK1553" s="115"/>
      <c r="BL1553" s="115"/>
      <c r="BM1553" s="115"/>
      <c r="BN1553" s="115"/>
      <c r="BO1553" s="115"/>
      <c r="BP1553" s="115"/>
      <c r="BQ1553" s="115"/>
      <c r="BR1553" s="115"/>
      <c r="BS1553" s="115"/>
      <c r="BT1553" s="115"/>
      <c r="BU1553" s="26"/>
      <c r="BV1553" s="15"/>
      <c r="BZ1553" s="117"/>
      <c r="CA1553" s="116"/>
      <c r="CB1553" s="116"/>
      <c r="CC1553" s="116"/>
    </row>
    <row r="1554" spans="1:81" ht="19.5" x14ac:dyDescent="0.4">
      <c r="A1554" s="115"/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22"/>
      <c r="BE1554" s="122"/>
      <c r="BF1554" s="122"/>
      <c r="BG1554" s="115"/>
      <c r="BH1554" s="115"/>
      <c r="BI1554" s="115"/>
      <c r="BJ1554" s="115"/>
      <c r="BK1554" s="115"/>
      <c r="BL1554" s="115"/>
      <c r="BM1554" s="115"/>
      <c r="BN1554" s="115"/>
      <c r="BO1554" s="115"/>
      <c r="BP1554" s="115"/>
      <c r="BQ1554" s="115"/>
      <c r="BR1554" s="115"/>
      <c r="BS1554" s="115"/>
      <c r="BT1554" s="115"/>
      <c r="BU1554" s="26"/>
      <c r="BV1554" s="15"/>
      <c r="BZ1554" s="117"/>
      <c r="CA1554" s="116"/>
      <c r="CB1554" s="116"/>
      <c r="CC1554" s="116"/>
    </row>
    <row r="1555" spans="1:81" ht="19.5" x14ac:dyDescent="0.4">
      <c r="A1555" s="115"/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22"/>
      <c r="BE1555" s="122"/>
      <c r="BF1555" s="122"/>
      <c r="BG1555" s="115"/>
      <c r="BH1555" s="115"/>
      <c r="BI1555" s="115"/>
      <c r="BJ1555" s="115"/>
      <c r="BK1555" s="115"/>
      <c r="BL1555" s="115"/>
      <c r="BM1555" s="115"/>
      <c r="BN1555" s="115"/>
      <c r="BO1555" s="115"/>
      <c r="BP1555" s="115"/>
      <c r="BQ1555" s="115"/>
      <c r="BR1555" s="115"/>
      <c r="BS1555" s="115"/>
      <c r="BT1555" s="115"/>
      <c r="BU1555" s="26"/>
      <c r="BV1555" s="105"/>
      <c r="BZ1555" s="117"/>
      <c r="CA1555" s="116"/>
      <c r="CB1555" s="116"/>
      <c r="CC1555" s="116"/>
    </row>
    <row r="1556" spans="1:81" ht="19.5" x14ac:dyDescent="0.4">
      <c r="A1556" s="115"/>
      <c r="B1556" s="115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22"/>
      <c r="BE1556" s="122"/>
      <c r="BF1556" s="122"/>
      <c r="BG1556" s="115"/>
      <c r="BH1556" s="115"/>
      <c r="BI1556" s="115"/>
      <c r="BJ1556" s="115"/>
      <c r="BK1556" s="115"/>
      <c r="BL1556" s="115"/>
      <c r="BM1556" s="115"/>
      <c r="BN1556" s="115"/>
      <c r="BO1556" s="115"/>
      <c r="BP1556" s="115"/>
      <c r="BQ1556" s="115"/>
      <c r="BR1556" s="115"/>
      <c r="BS1556" s="115"/>
      <c r="BT1556" s="115"/>
      <c r="BU1556" s="26"/>
      <c r="BV1556" s="105"/>
      <c r="BZ1556" s="117"/>
      <c r="CA1556" s="116"/>
      <c r="CB1556" s="116"/>
      <c r="CC1556" s="116"/>
    </row>
    <row r="1557" spans="1:81" ht="19.5" x14ac:dyDescent="0.4">
      <c r="BU1557" s="26"/>
      <c r="BV1557" s="13"/>
      <c r="BZ1557" s="117"/>
      <c r="CA1557" s="116"/>
      <c r="CB1557" s="116"/>
      <c r="CC1557" s="116"/>
    </row>
    <row r="1558" spans="1:81" ht="19.5" x14ac:dyDescent="0.4">
      <c r="BB1558" s="115"/>
      <c r="BC1558" s="115"/>
      <c r="BD1558" s="122"/>
      <c r="BE1558" s="122"/>
      <c r="BF1558" s="122"/>
      <c r="BG1558" s="115"/>
      <c r="BH1558" s="115"/>
      <c r="BI1558" s="115"/>
      <c r="BJ1558" s="115"/>
      <c r="BK1558" s="115"/>
      <c r="BL1558" s="115"/>
      <c r="BM1558" s="115"/>
      <c r="BN1558" s="115"/>
      <c r="BO1558" s="115"/>
      <c r="BP1558" s="115"/>
      <c r="BQ1558" s="115"/>
      <c r="BR1558" s="115"/>
      <c r="BS1558" s="115"/>
      <c r="BT1558" s="115"/>
      <c r="BU1558" s="26"/>
      <c r="BV1558" s="13"/>
      <c r="BZ1558" s="117"/>
      <c r="CA1558" s="116"/>
      <c r="CB1558" s="116"/>
      <c r="CC1558" s="116"/>
    </row>
    <row r="1559" spans="1:81" ht="19.5" x14ac:dyDescent="0.4">
      <c r="AW1559" s="115"/>
      <c r="AX1559" s="115"/>
      <c r="AY1559" s="115"/>
      <c r="AZ1559" s="115"/>
      <c r="BA1559" s="115"/>
      <c r="BB1559" s="115"/>
      <c r="BC1559" s="115"/>
      <c r="BD1559" s="122"/>
      <c r="BE1559" s="122"/>
      <c r="BF1559" s="122"/>
      <c r="BG1559" s="115"/>
      <c r="BH1559" s="115"/>
      <c r="BI1559" s="115"/>
      <c r="BJ1559" s="115"/>
      <c r="BK1559" s="115"/>
      <c r="BL1559" s="115"/>
      <c r="BM1559" s="115"/>
      <c r="BN1559" s="115"/>
      <c r="BO1559" s="115"/>
      <c r="BP1559" s="115"/>
      <c r="BQ1559" s="115"/>
      <c r="BR1559" s="115"/>
      <c r="BS1559" s="115"/>
      <c r="BT1559" s="115"/>
      <c r="BU1559" s="26"/>
      <c r="BV1559" s="13"/>
      <c r="BZ1559" s="117"/>
      <c r="CA1559" s="116"/>
      <c r="CB1559" s="116"/>
      <c r="CC1559" s="116"/>
    </row>
    <row r="1560" spans="1:81" ht="19.5" x14ac:dyDescent="0.4">
      <c r="BU1560" s="26"/>
      <c r="BV1560" s="13"/>
      <c r="BZ1560" s="117"/>
      <c r="CA1560" s="116"/>
      <c r="CB1560" s="116"/>
      <c r="CC1560" s="116"/>
    </row>
    <row r="1561" spans="1:81" ht="19.5" x14ac:dyDescent="0.4"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22"/>
      <c r="BE1561" s="122"/>
      <c r="BF1561" s="122"/>
      <c r="BG1561" s="115"/>
      <c r="BH1561" s="115"/>
      <c r="BI1561" s="115"/>
      <c r="BJ1561" s="115"/>
      <c r="BK1561" s="115"/>
      <c r="BL1561" s="115"/>
      <c r="BM1561" s="115"/>
      <c r="BN1561" s="115"/>
      <c r="BO1561" s="115"/>
      <c r="BP1561" s="115"/>
      <c r="BQ1561" s="115"/>
      <c r="BR1561" s="115"/>
      <c r="BS1561" s="115"/>
      <c r="BT1561" s="115"/>
      <c r="BU1561" s="26"/>
      <c r="BV1561" s="13"/>
      <c r="BZ1561" s="117"/>
      <c r="CA1561" s="116"/>
      <c r="CB1561" s="116"/>
      <c r="CC1561" s="116"/>
    </row>
    <row r="1562" spans="1:81" ht="19.5" x14ac:dyDescent="0.4"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22"/>
      <c r="BE1562" s="122"/>
      <c r="BF1562" s="122"/>
      <c r="BG1562" s="115"/>
      <c r="BH1562" s="115"/>
      <c r="BI1562" s="115"/>
      <c r="BJ1562" s="115"/>
      <c r="BK1562" s="115"/>
      <c r="BL1562" s="115"/>
      <c r="BM1562" s="115"/>
      <c r="BN1562" s="115"/>
      <c r="BO1562" s="115"/>
      <c r="BP1562" s="115"/>
      <c r="BQ1562" s="115"/>
      <c r="BR1562" s="115"/>
      <c r="BS1562" s="115"/>
      <c r="BT1562" s="115"/>
      <c r="BU1562" s="26"/>
      <c r="BV1562" s="13"/>
      <c r="BZ1562" s="117"/>
      <c r="CA1562" s="116"/>
      <c r="CB1562" s="116"/>
      <c r="CC1562" s="116"/>
    </row>
    <row r="1563" spans="1:81" ht="19.5" x14ac:dyDescent="0.4"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22"/>
      <c r="BE1563" s="122"/>
      <c r="BF1563" s="122"/>
      <c r="BG1563" s="115"/>
      <c r="BH1563" s="115"/>
      <c r="BI1563" s="115"/>
      <c r="BJ1563" s="115"/>
      <c r="BK1563" s="115"/>
      <c r="BL1563" s="115"/>
      <c r="BM1563" s="115"/>
      <c r="BN1563" s="115"/>
      <c r="BO1563" s="115"/>
      <c r="BP1563" s="115"/>
      <c r="BQ1563" s="115"/>
      <c r="BR1563" s="115"/>
      <c r="BS1563" s="115"/>
      <c r="BT1563" s="115"/>
      <c r="BU1563" s="26"/>
      <c r="BV1563" s="13"/>
      <c r="BZ1563" s="117"/>
      <c r="CA1563" s="116"/>
      <c r="CB1563" s="116"/>
      <c r="CC1563" s="116"/>
    </row>
    <row r="1564" spans="1:81" ht="19.5" x14ac:dyDescent="0.4"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22"/>
      <c r="BE1564" s="122"/>
      <c r="BF1564" s="122"/>
      <c r="BG1564" s="115"/>
      <c r="BH1564" s="115"/>
      <c r="BI1564" s="115"/>
      <c r="BJ1564" s="115"/>
      <c r="BK1564" s="115"/>
      <c r="BL1564" s="115"/>
      <c r="BM1564" s="115"/>
      <c r="BN1564" s="115"/>
      <c r="BO1564" s="115"/>
      <c r="BP1564" s="115"/>
      <c r="BQ1564" s="115"/>
      <c r="BR1564" s="115"/>
      <c r="BS1564" s="115"/>
      <c r="BT1564" s="115"/>
      <c r="BU1564" s="26"/>
      <c r="BV1564" s="13"/>
      <c r="BZ1564" s="117"/>
      <c r="CA1564" s="116"/>
      <c r="CB1564" s="116"/>
      <c r="CC1564" s="116"/>
    </row>
    <row r="1565" spans="1:81" ht="19.5" x14ac:dyDescent="0.4"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22"/>
      <c r="BE1565" s="122"/>
      <c r="BF1565" s="122"/>
      <c r="BG1565" s="115"/>
      <c r="BH1565" s="115"/>
      <c r="BI1565" s="115"/>
      <c r="BJ1565" s="115"/>
      <c r="BK1565" s="115"/>
      <c r="BL1565" s="115"/>
      <c r="BM1565" s="115"/>
      <c r="BN1565" s="115"/>
      <c r="BO1565" s="115"/>
      <c r="BP1565" s="115"/>
      <c r="BQ1565" s="115"/>
      <c r="BR1565" s="115"/>
      <c r="BS1565" s="115"/>
      <c r="BT1565" s="115"/>
      <c r="BU1565" s="26"/>
      <c r="BV1565" s="13"/>
      <c r="BZ1565" s="117"/>
      <c r="CA1565" s="116"/>
      <c r="CB1565" s="116"/>
      <c r="CC1565" s="116"/>
    </row>
    <row r="1566" spans="1:81" ht="19.5" x14ac:dyDescent="0.4"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22"/>
      <c r="BE1566" s="122"/>
      <c r="BF1566" s="122"/>
      <c r="BG1566" s="115"/>
      <c r="BH1566" s="115"/>
      <c r="BI1566" s="115"/>
      <c r="BJ1566" s="115"/>
      <c r="BK1566" s="115"/>
      <c r="BL1566" s="115"/>
      <c r="BM1566" s="115"/>
      <c r="BN1566" s="115"/>
      <c r="BO1566" s="115"/>
      <c r="BP1566" s="115"/>
      <c r="BQ1566" s="115"/>
      <c r="BR1566" s="115"/>
      <c r="BS1566" s="115"/>
      <c r="BT1566" s="115"/>
      <c r="BU1566" s="26"/>
      <c r="BV1566" s="13"/>
      <c r="BZ1566" s="117"/>
      <c r="CA1566" s="116"/>
      <c r="CB1566" s="116"/>
      <c r="CC1566" s="116"/>
    </row>
    <row r="1567" spans="1:81" ht="19.5" x14ac:dyDescent="0.4"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22"/>
      <c r="BE1567" s="122"/>
      <c r="BF1567" s="122"/>
      <c r="BG1567" s="115"/>
      <c r="BH1567" s="115"/>
      <c r="BI1567" s="115"/>
      <c r="BJ1567" s="115"/>
      <c r="BK1567" s="115"/>
      <c r="BL1567" s="115"/>
      <c r="BM1567" s="115"/>
      <c r="BN1567" s="115"/>
      <c r="BO1567" s="115"/>
      <c r="BP1567" s="115"/>
      <c r="BQ1567" s="115"/>
      <c r="BR1567" s="115"/>
      <c r="BS1567" s="115"/>
      <c r="BT1567" s="115"/>
      <c r="BU1567" s="26"/>
      <c r="BV1567" s="13"/>
      <c r="BZ1567" s="117"/>
      <c r="CA1567" s="116"/>
      <c r="CB1567" s="116"/>
      <c r="CC1567" s="116"/>
    </row>
    <row r="1568" spans="1:81" ht="19.5" x14ac:dyDescent="0.4">
      <c r="C1568" s="115"/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22"/>
      <c r="BE1568" s="122"/>
      <c r="BF1568" s="122"/>
      <c r="BG1568" s="115"/>
      <c r="BH1568" s="115"/>
      <c r="BI1568" s="115"/>
      <c r="BJ1568" s="115"/>
      <c r="BK1568" s="115"/>
      <c r="BL1568" s="115"/>
      <c r="BM1568" s="115"/>
      <c r="BN1568" s="115"/>
      <c r="BO1568" s="115"/>
      <c r="BP1568" s="115"/>
      <c r="BQ1568" s="115"/>
      <c r="BR1568" s="115"/>
      <c r="BS1568" s="115"/>
      <c r="BT1568" s="115"/>
      <c r="BU1568" s="26"/>
      <c r="BV1568" s="13"/>
      <c r="BZ1568" s="117"/>
      <c r="CA1568" s="116"/>
      <c r="CB1568" s="116"/>
      <c r="CC1568" s="116"/>
    </row>
    <row r="1569" spans="1:81" ht="19.5" x14ac:dyDescent="0.4">
      <c r="BU1569" s="26"/>
      <c r="BV1569" s="15"/>
      <c r="BZ1569" s="117"/>
      <c r="CA1569" s="116"/>
      <c r="CB1569" s="116"/>
      <c r="CC1569" s="116"/>
    </row>
    <row r="1570" spans="1:81" ht="19.5" x14ac:dyDescent="0.4"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22"/>
      <c r="BE1570" s="122"/>
      <c r="BF1570" s="122"/>
      <c r="BG1570" s="115"/>
      <c r="BH1570" s="115"/>
      <c r="BI1570" s="115"/>
      <c r="BJ1570" s="115"/>
      <c r="BK1570" s="115"/>
      <c r="BL1570" s="115"/>
      <c r="BM1570" s="115"/>
      <c r="BN1570" s="115"/>
      <c r="BO1570" s="115"/>
      <c r="BP1570" s="115"/>
      <c r="BQ1570" s="115"/>
      <c r="BR1570" s="115"/>
      <c r="BS1570" s="115"/>
      <c r="BT1570" s="115"/>
      <c r="BU1570" s="26"/>
      <c r="BV1570" s="15"/>
      <c r="BZ1570" s="117"/>
      <c r="CA1570" s="116"/>
      <c r="CB1570" s="116"/>
      <c r="CC1570" s="116"/>
    </row>
    <row r="1571" spans="1:81" ht="19.5" x14ac:dyDescent="0.4"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22"/>
      <c r="BE1571" s="122"/>
      <c r="BF1571" s="122"/>
      <c r="BG1571" s="115"/>
      <c r="BH1571" s="115"/>
      <c r="BI1571" s="115"/>
      <c r="BJ1571" s="115"/>
      <c r="BK1571" s="115"/>
      <c r="BL1571" s="115"/>
      <c r="BM1571" s="115"/>
      <c r="BN1571" s="115"/>
      <c r="BO1571" s="115"/>
      <c r="BP1571" s="115"/>
      <c r="BQ1571" s="115"/>
      <c r="BR1571" s="115"/>
      <c r="BS1571" s="115"/>
      <c r="BT1571" s="115"/>
      <c r="BU1571" s="17"/>
      <c r="BV1571" s="15"/>
      <c r="BZ1571" s="117"/>
      <c r="CA1571" s="116"/>
      <c r="CB1571" s="116"/>
      <c r="CC1571" s="116"/>
    </row>
    <row r="1572" spans="1:81" ht="19.5" x14ac:dyDescent="0.4">
      <c r="BU1572" s="26"/>
      <c r="BV1572" s="15"/>
      <c r="BZ1572" s="117"/>
      <c r="CA1572" s="116"/>
      <c r="CB1572" s="116"/>
      <c r="CC1572" s="116"/>
    </row>
    <row r="1573" spans="1:81" ht="19.5" x14ac:dyDescent="0.4">
      <c r="BU1573" s="26"/>
      <c r="BV1573" s="13"/>
      <c r="BZ1573" s="117"/>
      <c r="CA1573" s="116"/>
      <c r="CB1573" s="116"/>
      <c r="CC1573" s="116"/>
    </row>
    <row r="1574" spans="1:81" ht="19.5" x14ac:dyDescent="0.4">
      <c r="BA1574" s="115"/>
      <c r="BB1574" s="115"/>
      <c r="BC1574" s="115"/>
      <c r="BD1574" s="122"/>
      <c r="BE1574" s="122"/>
      <c r="BF1574" s="122"/>
      <c r="BG1574" s="115"/>
      <c r="BH1574" s="115"/>
      <c r="BI1574" s="115"/>
      <c r="BJ1574" s="115"/>
      <c r="BK1574" s="115"/>
      <c r="BL1574" s="115"/>
      <c r="BM1574" s="115"/>
      <c r="BN1574" s="115"/>
      <c r="BO1574" s="115"/>
      <c r="BP1574" s="115"/>
      <c r="BQ1574" s="115"/>
      <c r="BR1574" s="115"/>
      <c r="BS1574" s="115"/>
      <c r="BT1574" s="115"/>
      <c r="BU1574" s="26"/>
      <c r="BV1574" s="13"/>
      <c r="BZ1574" s="117"/>
      <c r="CA1574" s="116"/>
      <c r="CB1574" s="116"/>
      <c r="CC1574" s="116"/>
    </row>
    <row r="1575" spans="1:81" ht="19.5" x14ac:dyDescent="0.4"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22"/>
      <c r="BE1575" s="122"/>
      <c r="BF1575" s="122"/>
      <c r="BG1575" s="115"/>
      <c r="BH1575" s="115"/>
      <c r="BI1575" s="115"/>
      <c r="BJ1575" s="115"/>
      <c r="BK1575" s="115"/>
      <c r="BL1575" s="115"/>
      <c r="BM1575" s="115"/>
      <c r="BN1575" s="115"/>
      <c r="BO1575" s="115"/>
      <c r="BP1575" s="115"/>
      <c r="BQ1575" s="115"/>
      <c r="BR1575" s="115"/>
      <c r="BS1575" s="115"/>
      <c r="BT1575" s="115"/>
      <c r="BU1575" s="26"/>
      <c r="BV1575" s="13"/>
      <c r="BZ1575" s="117"/>
      <c r="CA1575" s="116"/>
      <c r="CB1575" s="116"/>
      <c r="CC1575" s="116"/>
    </row>
    <row r="1576" spans="1:81" ht="19.5" x14ac:dyDescent="0.4"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22"/>
      <c r="BE1576" s="122"/>
      <c r="BF1576" s="122"/>
      <c r="BG1576" s="115"/>
      <c r="BH1576" s="115"/>
      <c r="BI1576" s="115"/>
      <c r="BJ1576" s="115"/>
      <c r="BK1576" s="115"/>
      <c r="BL1576" s="115"/>
      <c r="BM1576" s="115"/>
      <c r="BN1576" s="115"/>
      <c r="BO1576" s="115"/>
      <c r="BP1576" s="115"/>
      <c r="BQ1576" s="115"/>
      <c r="BR1576" s="115"/>
      <c r="BS1576" s="115"/>
      <c r="BT1576" s="115"/>
      <c r="BU1576" s="17"/>
      <c r="BV1576" s="13"/>
      <c r="BZ1576" s="117"/>
      <c r="CA1576" s="116"/>
      <c r="CB1576" s="116"/>
      <c r="CC1576" s="116"/>
    </row>
    <row r="1577" spans="1:81" ht="19.5" x14ac:dyDescent="0.4"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22"/>
      <c r="BE1577" s="122"/>
      <c r="BF1577" s="122"/>
      <c r="BG1577" s="115"/>
      <c r="BH1577" s="115"/>
      <c r="BI1577" s="115"/>
      <c r="BJ1577" s="115"/>
      <c r="BK1577" s="115"/>
      <c r="BL1577" s="115"/>
      <c r="BM1577" s="115"/>
      <c r="BN1577" s="115"/>
      <c r="BO1577" s="115"/>
      <c r="BP1577" s="115"/>
      <c r="BQ1577" s="115"/>
      <c r="BR1577" s="115"/>
      <c r="BS1577" s="115"/>
      <c r="BT1577" s="115"/>
      <c r="BU1577" s="26"/>
      <c r="BV1577" s="25"/>
      <c r="BZ1577" s="117"/>
      <c r="CA1577" s="116"/>
      <c r="CB1577" s="116"/>
      <c r="CC1577" s="116"/>
    </row>
    <row r="1578" spans="1:81" ht="19.5" x14ac:dyDescent="0.4"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22"/>
      <c r="BE1578" s="122"/>
      <c r="BF1578" s="122"/>
      <c r="BG1578" s="115"/>
      <c r="BH1578" s="115"/>
      <c r="BI1578" s="115"/>
      <c r="BJ1578" s="115"/>
      <c r="BK1578" s="115"/>
      <c r="BL1578" s="115"/>
      <c r="BM1578" s="115"/>
      <c r="BN1578" s="115"/>
      <c r="BO1578" s="115"/>
      <c r="BP1578" s="115"/>
      <c r="BQ1578" s="115"/>
      <c r="BR1578" s="115"/>
      <c r="BS1578" s="115"/>
      <c r="BT1578" s="115"/>
      <c r="BU1578" s="17"/>
      <c r="BV1578" s="13"/>
      <c r="BZ1578" s="117"/>
      <c r="CA1578" s="116"/>
      <c r="CB1578" s="116"/>
      <c r="CC1578" s="116"/>
    </row>
    <row r="1579" spans="1:81" ht="19.5" x14ac:dyDescent="0.4"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22"/>
      <c r="BE1579" s="122"/>
      <c r="BF1579" s="122"/>
      <c r="BG1579" s="115"/>
      <c r="BH1579" s="115"/>
      <c r="BI1579" s="115"/>
      <c r="BJ1579" s="115"/>
      <c r="BK1579" s="115"/>
      <c r="BL1579" s="115"/>
      <c r="BM1579" s="115"/>
      <c r="BN1579" s="115"/>
      <c r="BO1579" s="115"/>
      <c r="BP1579" s="115"/>
      <c r="BQ1579" s="115"/>
      <c r="BR1579" s="115"/>
      <c r="BS1579" s="115"/>
      <c r="BT1579" s="115"/>
      <c r="BU1579" s="26"/>
      <c r="BV1579" s="13"/>
      <c r="BZ1579" s="117"/>
      <c r="CA1579" s="116"/>
      <c r="CB1579" s="116"/>
      <c r="CC1579" s="116"/>
    </row>
    <row r="1580" spans="1:81" ht="19.5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22"/>
      <c r="BE1580" s="122"/>
      <c r="BF1580" s="122"/>
      <c r="BG1580" s="115"/>
      <c r="BH1580" s="115"/>
      <c r="BI1580" s="115"/>
      <c r="BJ1580" s="115"/>
      <c r="BK1580" s="115"/>
      <c r="BL1580" s="115"/>
      <c r="BM1580" s="115"/>
      <c r="BN1580" s="115"/>
      <c r="BO1580" s="115"/>
      <c r="BP1580" s="115"/>
      <c r="BQ1580" s="115"/>
      <c r="BR1580" s="115"/>
      <c r="BS1580" s="115"/>
      <c r="BT1580" s="115"/>
      <c r="BU1580" s="26"/>
      <c r="BV1580" s="13"/>
      <c r="BZ1580" s="117"/>
      <c r="CA1580" s="116"/>
      <c r="CB1580" s="116"/>
      <c r="CC1580" s="116"/>
    </row>
    <row r="1581" spans="1:81" ht="19.5" x14ac:dyDescent="0.4">
      <c r="A1581" s="115"/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22"/>
      <c r="BE1581" s="122"/>
      <c r="BF1581" s="122"/>
      <c r="BG1581" s="115"/>
      <c r="BH1581" s="115"/>
      <c r="BI1581" s="115"/>
      <c r="BJ1581" s="115"/>
      <c r="BK1581" s="115"/>
      <c r="BL1581" s="115"/>
      <c r="BM1581" s="115"/>
      <c r="BN1581" s="115"/>
      <c r="BO1581" s="115"/>
      <c r="BP1581" s="115"/>
      <c r="BQ1581" s="115"/>
      <c r="BR1581" s="115"/>
      <c r="BS1581" s="115"/>
      <c r="BT1581" s="115"/>
      <c r="BU1581" s="26"/>
      <c r="BV1581" s="13"/>
      <c r="BZ1581" s="117"/>
      <c r="CA1581" s="116"/>
      <c r="CB1581" s="116"/>
      <c r="CC1581" s="116"/>
    </row>
    <row r="1582" spans="1:81" ht="19.5" x14ac:dyDescent="0.4">
      <c r="A1582" s="115"/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22"/>
      <c r="BE1582" s="122"/>
      <c r="BF1582" s="122"/>
      <c r="BG1582" s="115"/>
      <c r="BH1582" s="115"/>
      <c r="BI1582" s="115"/>
      <c r="BJ1582" s="115"/>
      <c r="BK1582" s="115"/>
      <c r="BL1582" s="115"/>
      <c r="BM1582" s="115"/>
      <c r="BN1582" s="115"/>
      <c r="BO1582" s="115"/>
      <c r="BP1582" s="115"/>
      <c r="BQ1582" s="115"/>
      <c r="BR1582" s="115"/>
      <c r="BS1582" s="115"/>
      <c r="BT1582" s="115"/>
      <c r="BU1582" s="26"/>
      <c r="BV1582" s="13"/>
      <c r="BZ1582" s="117"/>
      <c r="CA1582" s="116"/>
      <c r="CB1582" s="116"/>
      <c r="CC1582" s="116"/>
    </row>
    <row r="1583" spans="1:81" ht="19.5" x14ac:dyDescent="0.4">
      <c r="A1583" s="115"/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22"/>
      <c r="BE1583" s="122"/>
      <c r="BF1583" s="122"/>
      <c r="BG1583" s="115"/>
      <c r="BH1583" s="115"/>
      <c r="BI1583" s="115"/>
      <c r="BJ1583" s="115"/>
      <c r="BK1583" s="115"/>
      <c r="BL1583" s="115"/>
      <c r="BM1583" s="115"/>
      <c r="BN1583" s="115"/>
      <c r="BO1583" s="115"/>
      <c r="BP1583" s="115"/>
      <c r="BQ1583" s="115"/>
      <c r="BR1583" s="115"/>
      <c r="BS1583" s="115"/>
      <c r="BT1583" s="115"/>
      <c r="BU1583" s="26"/>
      <c r="BV1583" s="13"/>
      <c r="BZ1583" s="117"/>
      <c r="CA1583" s="116"/>
      <c r="CB1583" s="116"/>
      <c r="CC1583" s="116"/>
    </row>
    <row r="1584" spans="1:81" ht="19.5" x14ac:dyDescent="0.4">
      <c r="A1584" s="115"/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22"/>
      <c r="BE1584" s="122"/>
      <c r="BF1584" s="122"/>
      <c r="BG1584" s="115"/>
      <c r="BH1584" s="115"/>
      <c r="BI1584" s="115"/>
      <c r="BJ1584" s="115"/>
      <c r="BK1584" s="115"/>
      <c r="BL1584" s="115"/>
      <c r="BM1584" s="115"/>
      <c r="BN1584" s="115"/>
      <c r="BO1584" s="115"/>
      <c r="BP1584" s="115"/>
      <c r="BQ1584" s="115"/>
      <c r="BR1584" s="115"/>
      <c r="BS1584" s="115"/>
      <c r="BT1584" s="115"/>
      <c r="BU1584" s="26"/>
      <c r="BV1584" s="13"/>
      <c r="BZ1584" s="117"/>
      <c r="CA1584" s="116"/>
      <c r="CB1584" s="116"/>
      <c r="CC1584" s="116"/>
    </row>
    <row r="1585" spans="1:81" ht="19.5" x14ac:dyDescent="0.4">
      <c r="A1585" s="115"/>
      <c r="B1585" s="115"/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22"/>
      <c r="BE1585" s="122"/>
      <c r="BF1585" s="122"/>
      <c r="BG1585" s="115"/>
      <c r="BH1585" s="115"/>
      <c r="BI1585" s="115"/>
      <c r="BJ1585" s="115"/>
      <c r="BK1585" s="115"/>
      <c r="BL1585" s="115"/>
      <c r="BM1585" s="115"/>
      <c r="BN1585" s="115"/>
      <c r="BO1585" s="115"/>
      <c r="BP1585" s="115"/>
      <c r="BQ1585" s="115"/>
      <c r="BR1585" s="115"/>
      <c r="BS1585" s="115"/>
      <c r="BT1585" s="115"/>
      <c r="BU1585" s="26"/>
      <c r="BV1585" s="13"/>
      <c r="BZ1585" s="117"/>
      <c r="CA1585" s="116"/>
      <c r="CB1585" s="116"/>
      <c r="CC1585" s="116"/>
    </row>
    <row r="1586" spans="1:81" ht="19.5" x14ac:dyDescent="0.4">
      <c r="A1586" s="115"/>
      <c r="B1586" s="115"/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22"/>
      <c r="BE1586" s="122"/>
      <c r="BF1586" s="122"/>
      <c r="BG1586" s="115"/>
      <c r="BH1586" s="115"/>
      <c r="BI1586" s="115"/>
      <c r="BJ1586" s="115"/>
      <c r="BK1586" s="115"/>
      <c r="BL1586" s="115"/>
      <c r="BM1586" s="115"/>
      <c r="BN1586" s="115"/>
      <c r="BO1586" s="115"/>
      <c r="BP1586" s="115"/>
      <c r="BQ1586" s="115"/>
      <c r="BR1586" s="115"/>
      <c r="BS1586" s="115"/>
      <c r="BT1586" s="115"/>
      <c r="BU1586" s="26"/>
      <c r="BV1586" s="13"/>
      <c r="BZ1586" s="117"/>
      <c r="CA1586" s="116"/>
      <c r="CB1586" s="116"/>
      <c r="CC1586" s="116"/>
    </row>
    <row r="1587" spans="1:81" ht="19.5" x14ac:dyDescent="0.4">
      <c r="A1587" s="115"/>
      <c r="B1587" s="115"/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22"/>
      <c r="BE1587" s="122"/>
      <c r="BF1587" s="122"/>
      <c r="BG1587" s="115"/>
      <c r="BH1587" s="115"/>
      <c r="BI1587" s="115"/>
      <c r="BJ1587" s="115"/>
      <c r="BK1587" s="115"/>
      <c r="BL1587" s="115"/>
      <c r="BM1587" s="115"/>
      <c r="BN1587" s="115"/>
      <c r="BO1587" s="115"/>
      <c r="BP1587" s="115"/>
      <c r="BQ1587" s="115"/>
      <c r="BR1587" s="115"/>
      <c r="BS1587" s="115"/>
      <c r="BT1587" s="115"/>
      <c r="BU1587" s="26"/>
      <c r="BV1587" s="15"/>
      <c r="BZ1587" s="117"/>
      <c r="CA1587" s="116"/>
      <c r="CB1587" s="116"/>
      <c r="CC1587" s="116"/>
    </row>
    <row r="1588" spans="1:81" ht="19.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22"/>
      <c r="BE1588" s="122"/>
      <c r="BF1588" s="122"/>
      <c r="BG1588" s="115"/>
      <c r="BH1588" s="115"/>
      <c r="BI1588" s="115"/>
      <c r="BJ1588" s="115"/>
      <c r="BK1588" s="115"/>
      <c r="BL1588" s="115"/>
      <c r="BM1588" s="115"/>
      <c r="BN1588" s="115"/>
      <c r="BO1588" s="115"/>
      <c r="BP1588" s="115"/>
      <c r="BQ1588" s="115"/>
      <c r="BR1588" s="115"/>
      <c r="BS1588" s="115"/>
      <c r="BT1588" s="115"/>
      <c r="BU1588" s="26"/>
      <c r="BV1588" s="15"/>
      <c r="BZ1588" s="117"/>
      <c r="CA1588" s="116"/>
      <c r="CB1588" s="116"/>
      <c r="CC1588" s="116"/>
    </row>
    <row r="1589" spans="1:81" ht="19.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22"/>
      <c r="BE1589" s="122"/>
      <c r="BF1589" s="122"/>
      <c r="BG1589" s="115"/>
      <c r="BH1589" s="115"/>
      <c r="BI1589" s="115"/>
      <c r="BJ1589" s="115"/>
      <c r="BK1589" s="115"/>
      <c r="BL1589" s="115"/>
      <c r="BM1589" s="115"/>
      <c r="BN1589" s="115"/>
      <c r="BO1589" s="115"/>
      <c r="BP1589" s="115"/>
      <c r="BQ1589" s="115"/>
      <c r="BR1589" s="115"/>
      <c r="BS1589" s="115"/>
      <c r="BT1589" s="115"/>
      <c r="BU1589" s="26"/>
      <c r="BV1589" s="15"/>
      <c r="BZ1589" s="117"/>
      <c r="CA1589" s="116"/>
      <c r="CB1589" s="116"/>
      <c r="CC1589" s="116"/>
    </row>
    <row r="1590" spans="1:81" ht="19.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22"/>
      <c r="BE1590" s="122"/>
      <c r="BF1590" s="122"/>
      <c r="BG1590" s="115"/>
      <c r="BH1590" s="115"/>
      <c r="BI1590" s="115"/>
      <c r="BJ1590" s="115"/>
      <c r="BK1590" s="115"/>
      <c r="BL1590" s="115"/>
      <c r="BM1590" s="115"/>
      <c r="BN1590" s="115"/>
      <c r="BO1590" s="115"/>
      <c r="BP1590" s="115"/>
      <c r="BQ1590" s="115"/>
      <c r="BR1590" s="115"/>
      <c r="BS1590" s="115"/>
      <c r="BT1590" s="115"/>
      <c r="BU1590" s="26"/>
      <c r="BV1590" s="15"/>
      <c r="BZ1590" s="117"/>
      <c r="CA1590" s="116"/>
      <c r="CB1590" s="116"/>
      <c r="CC1590" s="116"/>
    </row>
    <row r="1591" spans="1:81" ht="19.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22"/>
      <c r="BE1591" s="122"/>
      <c r="BF1591" s="122"/>
      <c r="BG1591" s="115"/>
      <c r="BH1591" s="115"/>
      <c r="BI1591" s="115"/>
      <c r="BJ1591" s="115"/>
      <c r="BK1591" s="115"/>
      <c r="BL1591" s="115"/>
      <c r="BM1591" s="115"/>
      <c r="BN1591" s="115"/>
      <c r="BO1591" s="115"/>
      <c r="BP1591" s="115"/>
      <c r="BQ1591" s="115"/>
      <c r="BR1591" s="115"/>
      <c r="BS1591" s="115"/>
      <c r="BT1591" s="115"/>
      <c r="BU1591" s="26"/>
      <c r="BV1591" s="25"/>
      <c r="BZ1591" s="117"/>
      <c r="CA1591" s="116"/>
      <c r="CB1591" s="116"/>
      <c r="CC1591" s="116"/>
    </row>
    <row r="1592" spans="1:81" ht="19.5" x14ac:dyDescent="0.4">
      <c r="BU1592" s="26"/>
      <c r="BV1592" s="15"/>
      <c r="BZ1592" s="117"/>
      <c r="CA1592" s="116"/>
      <c r="CB1592" s="116"/>
      <c r="CC1592" s="116"/>
    </row>
    <row r="1593" spans="1:81" ht="19.5" x14ac:dyDescent="0.4">
      <c r="BC1593" s="115"/>
      <c r="BD1593" s="122"/>
      <c r="BE1593" s="122"/>
      <c r="BF1593" s="122"/>
      <c r="BG1593" s="115"/>
      <c r="BH1593" s="115"/>
      <c r="BI1593" s="115"/>
      <c r="BJ1593" s="115"/>
      <c r="BK1593" s="115"/>
      <c r="BL1593" s="115"/>
      <c r="BM1593" s="115"/>
      <c r="BN1593" s="115"/>
      <c r="BO1593" s="115"/>
      <c r="BP1593" s="115"/>
      <c r="BQ1593" s="115"/>
      <c r="BR1593" s="115"/>
      <c r="BS1593" s="115"/>
      <c r="BT1593" s="115"/>
      <c r="BU1593" s="26"/>
      <c r="BV1593" s="15"/>
      <c r="BZ1593" s="117"/>
      <c r="CA1593" s="116"/>
      <c r="CB1593" s="116"/>
      <c r="CC1593" s="116"/>
    </row>
    <row r="1594" spans="1:81" ht="19.5" x14ac:dyDescent="0.4">
      <c r="BA1594" s="115"/>
      <c r="BB1594" s="115"/>
      <c r="BC1594" s="115"/>
      <c r="BD1594" s="122"/>
      <c r="BE1594" s="122"/>
      <c r="BF1594" s="122"/>
      <c r="BG1594" s="115"/>
      <c r="BH1594" s="115"/>
      <c r="BI1594" s="115"/>
      <c r="BJ1594" s="115"/>
      <c r="BK1594" s="115"/>
      <c r="BL1594" s="115"/>
      <c r="BM1594" s="115"/>
      <c r="BN1594" s="115"/>
      <c r="BO1594" s="115"/>
      <c r="BP1594" s="115"/>
      <c r="BQ1594" s="115"/>
      <c r="BR1594" s="115"/>
      <c r="BS1594" s="115"/>
      <c r="BT1594" s="115"/>
      <c r="BU1594" s="26"/>
      <c r="BV1594" s="15"/>
      <c r="BZ1594" s="117"/>
      <c r="CA1594" s="116"/>
      <c r="CB1594" s="116"/>
      <c r="CC1594" s="116"/>
    </row>
    <row r="1595" spans="1:81" ht="19.5" x14ac:dyDescent="0.4">
      <c r="BA1595" s="115"/>
      <c r="BB1595" s="115"/>
      <c r="BC1595" s="115"/>
      <c r="BD1595" s="122"/>
      <c r="BE1595" s="122"/>
      <c r="BF1595" s="122"/>
      <c r="BG1595" s="115"/>
      <c r="BH1595" s="115"/>
      <c r="BI1595" s="115"/>
      <c r="BJ1595" s="115"/>
      <c r="BK1595" s="115"/>
      <c r="BL1595" s="115"/>
      <c r="BM1595" s="115"/>
      <c r="BN1595" s="115"/>
      <c r="BO1595" s="115"/>
      <c r="BP1595" s="115"/>
      <c r="BQ1595" s="115"/>
      <c r="BR1595" s="115"/>
      <c r="BS1595" s="115"/>
      <c r="BT1595" s="115"/>
      <c r="BU1595" s="17"/>
      <c r="BV1595" s="15"/>
      <c r="BZ1595" s="117"/>
      <c r="CA1595" s="116"/>
      <c r="CB1595" s="116"/>
      <c r="CC1595" s="116"/>
    </row>
    <row r="1596" spans="1:81" ht="19.5" x14ac:dyDescent="0.4">
      <c r="AX1596" s="115"/>
      <c r="AY1596" s="115"/>
      <c r="AZ1596" s="115"/>
      <c r="BA1596" s="115"/>
      <c r="BB1596" s="115"/>
      <c r="BC1596" s="115"/>
      <c r="BD1596" s="122"/>
      <c r="BE1596" s="122"/>
      <c r="BF1596" s="122"/>
      <c r="BG1596" s="115"/>
      <c r="BH1596" s="115"/>
      <c r="BI1596" s="115"/>
      <c r="BJ1596" s="115"/>
      <c r="BK1596" s="115"/>
      <c r="BL1596" s="115"/>
      <c r="BM1596" s="115"/>
      <c r="BN1596" s="115"/>
      <c r="BO1596" s="115"/>
      <c r="BP1596" s="115"/>
      <c r="BQ1596" s="115"/>
      <c r="BR1596" s="115"/>
      <c r="BS1596" s="115"/>
      <c r="BT1596" s="115"/>
      <c r="BU1596" s="26"/>
      <c r="BV1596" s="15"/>
      <c r="BZ1596" s="117"/>
      <c r="CA1596" s="116"/>
      <c r="CB1596" s="116"/>
      <c r="CC1596" s="116"/>
    </row>
    <row r="1597" spans="1:81" ht="19.5" x14ac:dyDescent="0.4">
      <c r="AX1597" s="115"/>
      <c r="AY1597" s="115"/>
      <c r="AZ1597" s="115"/>
      <c r="BA1597" s="115"/>
      <c r="BB1597" s="115"/>
      <c r="BC1597" s="115"/>
      <c r="BD1597" s="122"/>
      <c r="BE1597" s="122"/>
      <c r="BF1597" s="122"/>
      <c r="BG1597" s="115"/>
      <c r="BH1597" s="115"/>
      <c r="BI1597" s="115"/>
      <c r="BJ1597" s="115"/>
      <c r="BK1597" s="115"/>
      <c r="BL1597" s="115"/>
      <c r="BM1597" s="115"/>
      <c r="BN1597" s="115"/>
      <c r="BO1597" s="115"/>
      <c r="BP1597" s="115"/>
      <c r="BQ1597" s="115"/>
      <c r="BR1597" s="115"/>
      <c r="BS1597" s="115"/>
      <c r="BT1597" s="115"/>
      <c r="BU1597" s="17"/>
      <c r="BV1597" s="15"/>
      <c r="BZ1597" s="117"/>
      <c r="CA1597" s="116"/>
      <c r="CB1597" s="116"/>
      <c r="CC1597" s="116"/>
    </row>
    <row r="1598" spans="1:81" ht="19.5" x14ac:dyDescent="0.4">
      <c r="AX1598" s="115"/>
      <c r="AY1598" s="115"/>
      <c r="AZ1598" s="115"/>
      <c r="BA1598" s="115"/>
      <c r="BB1598" s="115"/>
      <c r="BC1598" s="115"/>
      <c r="BD1598" s="122"/>
      <c r="BE1598" s="122"/>
      <c r="BF1598" s="122"/>
      <c r="BG1598" s="115"/>
      <c r="BH1598" s="115"/>
      <c r="BI1598" s="115"/>
      <c r="BJ1598" s="115"/>
      <c r="BK1598" s="115"/>
      <c r="BL1598" s="115"/>
      <c r="BM1598" s="115"/>
      <c r="BN1598" s="115"/>
      <c r="BO1598" s="115"/>
      <c r="BP1598" s="115"/>
      <c r="BQ1598" s="115"/>
      <c r="BR1598" s="115"/>
      <c r="BS1598" s="115"/>
      <c r="BT1598" s="115"/>
      <c r="BU1598" s="26"/>
      <c r="BV1598" s="15"/>
      <c r="BZ1598" s="117"/>
      <c r="CA1598" s="116"/>
      <c r="CB1598" s="116"/>
      <c r="CC1598" s="116"/>
    </row>
    <row r="1599" spans="1:81" ht="19.5" x14ac:dyDescent="0.4">
      <c r="AX1599" s="115"/>
      <c r="AY1599" s="115"/>
      <c r="AZ1599" s="115"/>
      <c r="BA1599" s="115"/>
      <c r="BB1599" s="115"/>
      <c r="BC1599" s="115"/>
      <c r="BD1599" s="122"/>
      <c r="BE1599" s="122"/>
      <c r="BF1599" s="122"/>
      <c r="BG1599" s="115"/>
      <c r="BH1599" s="115"/>
      <c r="BI1599" s="115"/>
      <c r="BJ1599" s="115"/>
      <c r="BK1599" s="115"/>
      <c r="BL1599" s="115"/>
      <c r="BM1599" s="115"/>
      <c r="BN1599" s="115"/>
      <c r="BO1599" s="115"/>
      <c r="BP1599" s="115"/>
      <c r="BQ1599" s="115"/>
      <c r="BR1599" s="115"/>
      <c r="BS1599" s="115"/>
      <c r="BT1599" s="115"/>
      <c r="BU1599" s="17"/>
      <c r="BV1599" s="13"/>
      <c r="BZ1599" s="117"/>
      <c r="CA1599" s="116"/>
      <c r="CB1599" s="116"/>
      <c r="CC1599" s="116"/>
    </row>
    <row r="1600" spans="1:81" ht="19.5" x14ac:dyDescent="0.4">
      <c r="AX1600" s="115"/>
      <c r="AY1600" s="115"/>
      <c r="AZ1600" s="115"/>
      <c r="BA1600" s="115"/>
      <c r="BB1600" s="115"/>
      <c r="BC1600" s="115"/>
      <c r="BD1600" s="122"/>
      <c r="BE1600" s="122"/>
      <c r="BF1600" s="122"/>
      <c r="BG1600" s="115"/>
      <c r="BH1600" s="115"/>
      <c r="BI1600" s="115"/>
      <c r="BJ1600" s="115"/>
      <c r="BK1600" s="115"/>
      <c r="BL1600" s="115"/>
      <c r="BM1600" s="115"/>
      <c r="BN1600" s="115"/>
      <c r="BO1600" s="115"/>
      <c r="BP1600" s="115"/>
      <c r="BQ1600" s="115"/>
      <c r="BR1600" s="115"/>
      <c r="BS1600" s="115"/>
      <c r="BT1600" s="115"/>
      <c r="BU1600" s="17"/>
      <c r="BV1600" s="13"/>
      <c r="BZ1600" s="117"/>
      <c r="CA1600" s="116"/>
      <c r="CB1600" s="116"/>
      <c r="CC1600" s="116"/>
    </row>
    <row r="1601" spans="1:81" ht="19.5" x14ac:dyDescent="0.4">
      <c r="BU1601" s="26"/>
      <c r="BV1601" s="13"/>
      <c r="BZ1601" s="117"/>
      <c r="CA1601" s="116"/>
      <c r="CB1601" s="116"/>
      <c r="CC1601" s="116"/>
    </row>
    <row r="1602" spans="1:81" ht="19.5" x14ac:dyDescent="0.4">
      <c r="BC1602" s="115"/>
      <c r="BD1602" s="122"/>
      <c r="BE1602" s="122"/>
      <c r="BF1602" s="122"/>
      <c r="BG1602" s="115"/>
      <c r="BH1602" s="115"/>
      <c r="BI1602" s="115"/>
      <c r="BJ1602" s="115"/>
      <c r="BK1602" s="115"/>
      <c r="BL1602" s="115"/>
      <c r="BM1602" s="115"/>
      <c r="BN1602" s="115"/>
      <c r="BO1602" s="115"/>
      <c r="BP1602" s="115"/>
      <c r="BQ1602" s="115"/>
      <c r="BR1602" s="115"/>
      <c r="BS1602" s="115"/>
      <c r="BT1602" s="115"/>
      <c r="BU1602" s="17"/>
      <c r="BV1602" s="13"/>
      <c r="BZ1602" s="117"/>
      <c r="CA1602" s="116"/>
      <c r="CB1602" s="116"/>
      <c r="CC1602" s="116"/>
    </row>
    <row r="1603" spans="1:81" ht="19.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22"/>
      <c r="BE1603" s="122"/>
      <c r="BF1603" s="122"/>
      <c r="BG1603" s="115"/>
      <c r="BH1603" s="115"/>
      <c r="BI1603" s="115"/>
      <c r="BJ1603" s="115"/>
      <c r="BK1603" s="115"/>
      <c r="BL1603" s="115"/>
      <c r="BM1603" s="115"/>
      <c r="BN1603" s="115"/>
      <c r="BO1603" s="115"/>
      <c r="BP1603" s="115"/>
      <c r="BQ1603" s="115"/>
      <c r="BR1603" s="115"/>
      <c r="BS1603" s="115"/>
      <c r="BT1603" s="115"/>
      <c r="BU1603" s="26"/>
      <c r="BV1603" s="13"/>
      <c r="BZ1603" s="117"/>
      <c r="CA1603" s="116"/>
      <c r="CB1603" s="116"/>
      <c r="CC1603" s="116"/>
    </row>
    <row r="1604" spans="1:81" ht="19.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22"/>
      <c r="BE1604" s="122"/>
      <c r="BF1604" s="122"/>
      <c r="BG1604" s="115"/>
      <c r="BH1604" s="115"/>
      <c r="BI1604" s="115"/>
      <c r="BJ1604" s="115"/>
      <c r="BK1604" s="115"/>
      <c r="BL1604" s="115"/>
      <c r="BM1604" s="115"/>
      <c r="BN1604" s="115"/>
      <c r="BO1604" s="115"/>
      <c r="BP1604" s="115"/>
      <c r="BQ1604" s="115"/>
      <c r="BR1604" s="115"/>
      <c r="BS1604" s="115"/>
      <c r="BT1604" s="115"/>
      <c r="BU1604" s="26"/>
      <c r="BV1604" s="13"/>
      <c r="BZ1604" s="117"/>
      <c r="CA1604" s="116"/>
      <c r="CB1604" s="116"/>
      <c r="CC1604" s="116"/>
    </row>
    <row r="1605" spans="1:81" ht="19.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22"/>
      <c r="BE1605" s="122"/>
      <c r="BF1605" s="122"/>
      <c r="BG1605" s="115"/>
      <c r="BH1605" s="115"/>
      <c r="BI1605" s="115"/>
      <c r="BJ1605" s="115"/>
      <c r="BK1605" s="115"/>
      <c r="BL1605" s="115"/>
      <c r="BM1605" s="115"/>
      <c r="BN1605" s="115"/>
      <c r="BO1605" s="115"/>
      <c r="BP1605" s="115"/>
      <c r="BQ1605" s="115"/>
      <c r="BR1605" s="115"/>
      <c r="BS1605" s="115"/>
      <c r="BT1605" s="115"/>
      <c r="BU1605" s="26"/>
      <c r="BV1605" s="13"/>
      <c r="BZ1605" s="117"/>
      <c r="CA1605" s="116"/>
      <c r="CB1605" s="116"/>
      <c r="CC1605" s="116"/>
    </row>
    <row r="1606" spans="1:81" ht="19.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22"/>
      <c r="BE1606" s="122"/>
      <c r="BF1606" s="122"/>
      <c r="BG1606" s="115"/>
      <c r="BH1606" s="115"/>
      <c r="BI1606" s="115"/>
      <c r="BJ1606" s="115"/>
      <c r="BK1606" s="115"/>
      <c r="BL1606" s="115"/>
      <c r="BM1606" s="115"/>
      <c r="BN1606" s="115"/>
      <c r="BO1606" s="115"/>
      <c r="BP1606" s="115"/>
      <c r="BQ1606" s="115"/>
      <c r="BR1606" s="115"/>
      <c r="BS1606" s="115"/>
      <c r="BT1606" s="115"/>
      <c r="BU1606" s="26"/>
      <c r="BV1606" s="13"/>
      <c r="BZ1606" s="117"/>
      <c r="CA1606" s="116"/>
      <c r="CB1606" s="116"/>
      <c r="CC1606" s="116"/>
    </row>
    <row r="1607" spans="1:81" ht="19.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22"/>
      <c r="BE1607" s="122"/>
      <c r="BF1607" s="122"/>
      <c r="BG1607" s="115"/>
      <c r="BH1607" s="115"/>
      <c r="BI1607" s="115"/>
      <c r="BJ1607" s="115"/>
      <c r="BK1607" s="115"/>
      <c r="BL1607" s="115"/>
      <c r="BM1607" s="115"/>
      <c r="BN1607" s="115"/>
      <c r="BO1607" s="115"/>
      <c r="BP1607" s="115"/>
      <c r="BQ1607" s="115"/>
      <c r="BR1607" s="115"/>
      <c r="BS1607" s="115"/>
      <c r="BT1607" s="115"/>
      <c r="BU1607" s="17"/>
      <c r="BV1607" s="13"/>
      <c r="BZ1607" s="117"/>
      <c r="CA1607" s="116"/>
      <c r="CB1607" s="116"/>
      <c r="CC1607" s="116"/>
    </row>
    <row r="1608" spans="1:81" ht="19.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22"/>
      <c r="BE1608" s="122"/>
      <c r="BF1608" s="122"/>
      <c r="BG1608" s="115"/>
      <c r="BH1608" s="115"/>
      <c r="BI1608" s="115"/>
      <c r="BJ1608" s="115"/>
      <c r="BK1608" s="115"/>
      <c r="BL1608" s="115"/>
      <c r="BM1608" s="115"/>
      <c r="BN1608" s="115"/>
      <c r="BO1608" s="115"/>
      <c r="BP1608" s="115"/>
      <c r="BQ1608" s="115"/>
      <c r="BR1608" s="115"/>
      <c r="BS1608" s="115"/>
      <c r="BT1608" s="115"/>
      <c r="BU1608" s="26"/>
      <c r="BV1608" s="13"/>
      <c r="BZ1608" s="117"/>
      <c r="CA1608" s="116"/>
      <c r="CB1608" s="116"/>
      <c r="CC1608" s="116"/>
    </row>
    <row r="1609" spans="1:81" ht="19.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22"/>
      <c r="BE1609" s="122"/>
      <c r="BF1609" s="122"/>
      <c r="BG1609" s="115"/>
      <c r="BH1609" s="115"/>
      <c r="BI1609" s="115"/>
      <c r="BJ1609" s="115"/>
      <c r="BK1609" s="115"/>
      <c r="BL1609" s="115"/>
      <c r="BM1609" s="115"/>
      <c r="BN1609" s="115"/>
      <c r="BO1609" s="115"/>
      <c r="BP1609" s="115"/>
      <c r="BQ1609" s="115"/>
      <c r="BR1609" s="115"/>
      <c r="BS1609" s="115"/>
      <c r="BT1609" s="115"/>
      <c r="BU1609" s="26"/>
      <c r="BV1609" s="15"/>
      <c r="BZ1609" s="117"/>
      <c r="CA1609" s="116"/>
      <c r="CB1609" s="116"/>
      <c r="CC1609" s="116"/>
    </row>
    <row r="1610" spans="1:81" ht="19.5" x14ac:dyDescent="0.4">
      <c r="BU1610" s="26"/>
      <c r="BV1610" s="15"/>
      <c r="BZ1610" s="117"/>
      <c r="CA1610" s="116"/>
      <c r="CB1610" s="116"/>
      <c r="CC1610" s="116"/>
    </row>
    <row r="1611" spans="1:81" ht="19.5" x14ac:dyDescent="0.4">
      <c r="BB1611" s="115"/>
      <c r="BC1611" s="115"/>
      <c r="BD1611" s="122"/>
      <c r="BE1611" s="122"/>
      <c r="BF1611" s="122"/>
      <c r="BG1611" s="115"/>
      <c r="BH1611" s="115"/>
      <c r="BI1611" s="115"/>
      <c r="BJ1611" s="115"/>
      <c r="BK1611" s="115"/>
      <c r="BL1611" s="115"/>
      <c r="BM1611" s="115"/>
      <c r="BN1611" s="115"/>
      <c r="BO1611" s="115"/>
      <c r="BP1611" s="115"/>
      <c r="BQ1611" s="115"/>
      <c r="BR1611" s="115"/>
      <c r="BS1611" s="115"/>
      <c r="BT1611" s="115"/>
      <c r="BU1611" s="26"/>
      <c r="BV1611" s="13"/>
      <c r="BZ1611" s="117"/>
      <c r="CA1611" s="116"/>
      <c r="CB1611" s="116"/>
      <c r="CC1611" s="116"/>
    </row>
    <row r="1612" spans="1:81" ht="19.5" x14ac:dyDescent="0.4">
      <c r="AZ1612" s="115"/>
      <c r="BA1612" s="115"/>
      <c r="BB1612" s="115"/>
      <c r="BC1612" s="115"/>
      <c r="BD1612" s="122"/>
      <c r="BE1612" s="122"/>
      <c r="BF1612" s="122"/>
      <c r="BG1612" s="115"/>
      <c r="BH1612" s="115"/>
      <c r="BI1612" s="115"/>
      <c r="BJ1612" s="115"/>
      <c r="BK1612" s="115"/>
      <c r="BL1612" s="115"/>
      <c r="BM1612" s="115"/>
      <c r="BN1612" s="115"/>
      <c r="BO1612" s="115"/>
      <c r="BP1612" s="115"/>
      <c r="BQ1612" s="115"/>
      <c r="BR1612" s="115"/>
      <c r="BS1612" s="115"/>
      <c r="BT1612" s="115"/>
      <c r="BU1612" s="26"/>
      <c r="BV1612" s="15"/>
      <c r="BZ1612" s="117"/>
      <c r="CA1612" s="116"/>
      <c r="CB1612" s="116"/>
      <c r="CC1612" s="116"/>
    </row>
    <row r="1613" spans="1:81" ht="19.5" x14ac:dyDescent="0.4">
      <c r="AZ1613" s="115"/>
      <c r="BA1613" s="115"/>
      <c r="BB1613" s="115"/>
      <c r="BC1613" s="115"/>
      <c r="BD1613" s="122"/>
      <c r="BE1613" s="122"/>
      <c r="BF1613" s="122"/>
      <c r="BG1613" s="115"/>
      <c r="BH1613" s="115"/>
      <c r="BI1613" s="115"/>
      <c r="BJ1613" s="115"/>
      <c r="BK1613" s="115"/>
      <c r="BL1613" s="115"/>
      <c r="BM1613" s="115"/>
      <c r="BN1613" s="115"/>
      <c r="BO1613" s="115"/>
      <c r="BP1613" s="115"/>
      <c r="BQ1613" s="115"/>
      <c r="BR1613" s="115"/>
      <c r="BS1613" s="115"/>
      <c r="BT1613" s="115"/>
      <c r="BU1613" s="26"/>
      <c r="BV1613" s="15"/>
      <c r="BZ1613" s="117"/>
      <c r="CA1613" s="116"/>
      <c r="CB1613" s="116"/>
      <c r="CC1613" s="116"/>
    </row>
    <row r="1614" spans="1:81" ht="19.5" x14ac:dyDescent="0.4">
      <c r="AZ1614" s="115"/>
      <c r="BA1614" s="115"/>
      <c r="BB1614" s="115"/>
      <c r="BC1614" s="115"/>
      <c r="BD1614" s="122"/>
      <c r="BE1614" s="122"/>
      <c r="BF1614" s="122"/>
      <c r="BG1614" s="115"/>
      <c r="BH1614" s="115"/>
      <c r="BI1614" s="115"/>
      <c r="BJ1614" s="115"/>
      <c r="BK1614" s="115"/>
      <c r="BL1614" s="115"/>
      <c r="BM1614" s="115"/>
      <c r="BN1614" s="115"/>
      <c r="BO1614" s="115"/>
      <c r="BP1614" s="115"/>
      <c r="BQ1614" s="115"/>
      <c r="BR1614" s="115"/>
      <c r="BS1614" s="115"/>
      <c r="BT1614" s="115"/>
      <c r="BU1614" s="17"/>
      <c r="BV1614" s="15"/>
      <c r="BZ1614" s="117"/>
      <c r="CA1614" s="116"/>
      <c r="CB1614" s="116"/>
      <c r="CC1614" s="116"/>
    </row>
    <row r="1615" spans="1:81" ht="19.5" x14ac:dyDescent="0.4">
      <c r="AY1615" s="115"/>
      <c r="AZ1615" s="115"/>
      <c r="BA1615" s="115"/>
      <c r="BB1615" s="115"/>
      <c r="BC1615" s="115"/>
      <c r="BD1615" s="122"/>
      <c r="BE1615" s="122"/>
      <c r="BF1615" s="122"/>
      <c r="BG1615" s="115"/>
      <c r="BH1615" s="115"/>
      <c r="BI1615" s="115"/>
      <c r="BJ1615" s="115"/>
      <c r="BK1615" s="115"/>
      <c r="BL1615" s="115"/>
      <c r="BM1615" s="115"/>
      <c r="BN1615" s="115"/>
      <c r="BO1615" s="115"/>
      <c r="BP1615" s="115"/>
      <c r="BQ1615" s="115"/>
      <c r="BR1615" s="115"/>
      <c r="BS1615" s="115"/>
      <c r="BT1615" s="115"/>
      <c r="BU1615" s="26"/>
      <c r="BV1615" s="15"/>
      <c r="BZ1615" s="117"/>
      <c r="CA1615" s="116"/>
      <c r="CB1615" s="116"/>
      <c r="CC1615" s="116"/>
    </row>
    <row r="1616" spans="1:81" ht="19.5" x14ac:dyDescent="0.4">
      <c r="AY1616" s="115"/>
      <c r="AZ1616" s="115"/>
      <c r="BA1616" s="115"/>
      <c r="BB1616" s="115"/>
      <c r="BC1616" s="115"/>
      <c r="BD1616" s="122"/>
      <c r="BE1616" s="122"/>
      <c r="BF1616" s="122"/>
      <c r="BG1616" s="115"/>
      <c r="BH1616" s="115"/>
      <c r="BI1616" s="115"/>
      <c r="BJ1616" s="115"/>
      <c r="BK1616" s="115"/>
      <c r="BL1616" s="115"/>
      <c r="BM1616" s="115"/>
      <c r="BN1616" s="115"/>
      <c r="BO1616" s="115"/>
      <c r="BP1616" s="115"/>
      <c r="BQ1616" s="115"/>
      <c r="BR1616" s="115"/>
      <c r="BS1616" s="115"/>
      <c r="BT1616" s="115"/>
      <c r="BU1616" s="26"/>
      <c r="BV1616" s="15"/>
      <c r="BZ1616" s="117"/>
      <c r="CA1616" s="116"/>
      <c r="CB1616" s="116"/>
      <c r="CC1616" s="116"/>
    </row>
    <row r="1617" spans="1:81" ht="19.5" x14ac:dyDescent="0.4">
      <c r="AY1617" s="115"/>
      <c r="AZ1617" s="115"/>
      <c r="BA1617" s="115"/>
      <c r="BB1617" s="115"/>
      <c r="BC1617" s="115"/>
      <c r="BD1617" s="122"/>
      <c r="BE1617" s="122"/>
      <c r="BF1617" s="122"/>
      <c r="BG1617" s="115"/>
      <c r="BH1617" s="115"/>
      <c r="BI1617" s="115"/>
      <c r="BJ1617" s="115"/>
      <c r="BK1617" s="115"/>
      <c r="BL1617" s="115"/>
      <c r="BM1617" s="115"/>
      <c r="BN1617" s="115"/>
      <c r="BO1617" s="115"/>
      <c r="BP1617" s="115"/>
      <c r="BQ1617" s="115"/>
      <c r="BR1617" s="115"/>
      <c r="BS1617" s="115"/>
      <c r="BT1617" s="115"/>
      <c r="BU1617" s="26"/>
      <c r="BV1617" s="105"/>
      <c r="BZ1617" s="117"/>
      <c r="CA1617" s="116"/>
      <c r="CB1617" s="116"/>
      <c r="CC1617" s="116"/>
    </row>
    <row r="1618" spans="1:81" ht="19.5" x14ac:dyDescent="0.4">
      <c r="AY1618" s="115"/>
      <c r="AZ1618" s="115"/>
      <c r="BA1618" s="115"/>
      <c r="BB1618" s="115"/>
      <c r="BC1618" s="115"/>
      <c r="BD1618" s="122"/>
      <c r="BE1618" s="122"/>
      <c r="BF1618" s="122"/>
      <c r="BG1618" s="115"/>
      <c r="BH1618" s="115"/>
      <c r="BI1618" s="115"/>
      <c r="BJ1618" s="115"/>
      <c r="BK1618" s="115"/>
      <c r="BL1618" s="115"/>
      <c r="BM1618" s="115"/>
      <c r="BN1618" s="115"/>
      <c r="BO1618" s="115"/>
      <c r="BP1618" s="115"/>
      <c r="BQ1618" s="115"/>
      <c r="BR1618" s="115"/>
      <c r="BS1618" s="115"/>
      <c r="BT1618" s="115"/>
      <c r="BU1618" s="17"/>
      <c r="BV1618" s="15"/>
      <c r="BZ1618" s="117"/>
      <c r="CA1618" s="116"/>
      <c r="CB1618" s="116"/>
      <c r="CC1618" s="116"/>
    </row>
    <row r="1619" spans="1:81" ht="19.5" x14ac:dyDescent="0.4">
      <c r="AY1619" s="115"/>
      <c r="AZ1619" s="115"/>
      <c r="BA1619" s="115"/>
      <c r="BB1619" s="115"/>
      <c r="BC1619" s="115"/>
      <c r="BD1619" s="122"/>
      <c r="BE1619" s="122"/>
      <c r="BF1619" s="122"/>
      <c r="BG1619" s="115"/>
      <c r="BH1619" s="115"/>
      <c r="BI1619" s="115"/>
      <c r="BJ1619" s="115"/>
      <c r="BK1619" s="115"/>
      <c r="BL1619" s="115"/>
      <c r="BM1619" s="115"/>
      <c r="BN1619" s="115"/>
      <c r="BO1619" s="115"/>
      <c r="BP1619" s="115"/>
      <c r="BQ1619" s="115"/>
      <c r="BR1619" s="115"/>
      <c r="BS1619" s="115"/>
      <c r="BT1619" s="115"/>
      <c r="BU1619" s="26"/>
      <c r="BV1619" s="15"/>
      <c r="BZ1619" s="117"/>
      <c r="CA1619" s="116"/>
      <c r="CB1619" s="116"/>
      <c r="CC1619" s="116"/>
    </row>
    <row r="1620" spans="1:81" ht="19.5" x14ac:dyDescent="0.4">
      <c r="AY1620" s="115"/>
      <c r="AZ1620" s="115"/>
      <c r="BA1620" s="115"/>
      <c r="BB1620" s="115"/>
      <c r="BC1620" s="115"/>
      <c r="BD1620" s="122"/>
      <c r="BE1620" s="122"/>
      <c r="BF1620" s="122"/>
      <c r="BG1620" s="115"/>
      <c r="BH1620" s="115"/>
      <c r="BI1620" s="115"/>
      <c r="BJ1620" s="115"/>
      <c r="BK1620" s="115"/>
      <c r="BL1620" s="115"/>
      <c r="BM1620" s="115"/>
      <c r="BN1620" s="115"/>
      <c r="BO1620" s="115"/>
      <c r="BP1620" s="115"/>
      <c r="BQ1620" s="115"/>
      <c r="BR1620" s="115"/>
      <c r="BS1620" s="115"/>
      <c r="BT1620" s="115"/>
      <c r="BU1620" s="17"/>
      <c r="BV1620" s="15"/>
      <c r="BZ1620" s="117"/>
      <c r="CA1620" s="116"/>
      <c r="CB1620" s="116"/>
      <c r="CC1620" s="116"/>
    </row>
    <row r="1621" spans="1:81" ht="19.5" x14ac:dyDescent="0.4"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22"/>
      <c r="BE1621" s="122"/>
      <c r="BF1621" s="122"/>
      <c r="BG1621" s="115"/>
      <c r="BH1621" s="115"/>
      <c r="BI1621" s="115"/>
      <c r="BJ1621" s="115"/>
      <c r="BK1621" s="115"/>
      <c r="BL1621" s="115"/>
      <c r="BM1621" s="115"/>
      <c r="BN1621" s="115"/>
      <c r="BO1621" s="115"/>
      <c r="BP1621" s="115"/>
      <c r="BQ1621" s="115"/>
      <c r="BR1621" s="115"/>
      <c r="BS1621" s="115"/>
      <c r="BT1621" s="115"/>
      <c r="BU1621" s="26"/>
      <c r="BV1621" s="15"/>
      <c r="BZ1621" s="117"/>
      <c r="CA1621" s="116"/>
      <c r="CB1621" s="116"/>
      <c r="CC1621" s="116"/>
    </row>
    <row r="1622" spans="1:81" ht="19.5" x14ac:dyDescent="0.4"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22"/>
      <c r="BE1622" s="122"/>
      <c r="BF1622" s="122"/>
      <c r="BG1622" s="115"/>
      <c r="BH1622" s="115"/>
      <c r="BI1622" s="115"/>
      <c r="BJ1622" s="115"/>
      <c r="BK1622" s="115"/>
      <c r="BL1622" s="115"/>
      <c r="BM1622" s="115"/>
      <c r="BN1622" s="115"/>
      <c r="BO1622" s="115"/>
      <c r="BP1622" s="115"/>
      <c r="BQ1622" s="115"/>
      <c r="BR1622" s="115"/>
      <c r="BS1622" s="115"/>
      <c r="BT1622" s="115"/>
      <c r="BU1622" s="17"/>
      <c r="BV1622" s="15"/>
      <c r="BZ1622" s="117"/>
      <c r="CA1622" s="116"/>
      <c r="CB1622" s="116"/>
      <c r="CC1622" s="116"/>
    </row>
    <row r="1623" spans="1:81" ht="19.5" x14ac:dyDescent="0.4"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22"/>
      <c r="BE1623" s="122"/>
      <c r="BF1623" s="122"/>
      <c r="BG1623" s="115"/>
      <c r="BH1623" s="115"/>
      <c r="BI1623" s="115"/>
      <c r="BJ1623" s="115"/>
      <c r="BK1623" s="115"/>
      <c r="BL1623" s="115"/>
      <c r="BM1623" s="115"/>
      <c r="BN1623" s="115"/>
      <c r="BO1623" s="115"/>
      <c r="BP1623" s="115"/>
      <c r="BQ1623" s="115"/>
      <c r="BR1623" s="115"/>
      <c r="BS1623" s="115"/>
      <c r="BT1623" s="115"/>
      <c r="BU1623" s="26"/>
      <c r="BV1623" s="15"/>
      <c r="BZ1623" s="117"/>
      <c r="CA1623" s="116"/>
      <c r="CB1623" s="116"/>
      <c r="CC1623" s="116"/>
    </row>
    <row r="1624" spans="1:81" ht="19.5" x14ac:dyDescent="0.4"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15"/>
      <c r="AR1624" s="115"/>
      <c r="AS1624" s="115"/>
      <c r="AT1624" s="115"/>
      <c r="AU1624" s="115"/>
      <c r="AV1624" s="115"/>
      <c r="AW1624" s="115"/>
      <c r="AX1624" s="115"/>
      <c r="AY1624" s="115"/>
      <c r="AZ1624" s="115"/>
      <c r="BA1624" s="115"/>
      <c r="BB1624" s="115"/>
      <c r="BC1624" s="115"/>
      <c r="BD1624" s="122"/>
      <c r="BE1624" s="122"/>
      <c r="BF1624" s="122"/>
      <c r="BG1624" s="115"/>
      <c r="BH1624" s="115"/>
      <c r="BI1624" s="115"/>
      <c r="BJ1624" s="115"/>
      <c r="BK1624" s="115"/>
      <c r="BL1624" s="115"/>
      <c r="BM1624" s="115"/>
      <c r="BN1624" s="115"/>
      <c r="BO1624" s="115"/>
      <c r="BP1624" s="115"/>
      <c r="BQ1624" s="115"/>
      <c r="BR1624" s="115"/>
      <c r="BS1624" s="115"/>
      <c r="BT1624" s="115"/>
      <c r="BU1624" s="17"/>
      <c r="BV1624" s="15"/>
      <c r="BZ1624" s="117"/>
      <c r="CA1624" s="116"/>
      <c r="CB1624" s="116"/>
      <c r="CC1624" s="116"/>
    </row>
    <row r="1625" spans="1:81" ht="19.5" x14ac:dyDescent="0.4">
      <c r="A1625" s="115"/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15"/>
      <c r="AY1625" s="115"/>
      <c r="AZ1625" s="115"/>
      <c r="BA1625" s="115"/>
      <c r="BB1625" s="115"/>
      <c r="BC1625" s="115"/>
      <c r="BD1625" s="122"/>
      <c r="BE1625" s="122"/>
      <c r="BF1625" s="122"/>
      <c r="BG1625" s="115"/>
      <c r="BH1625" s="115"/>
      <c r="BI1625" s="115"/>
      <c r="BJ1625" s="115"/>
      <c r="BK1625" s="115"/>
      <c r="BL1625" s="115"/>
      <c r="BM1625" s="115"/>
      <c r="BN1625" s="115"/>
      <c r="BO1625" s="115"/>
      <c r="BP1625" s="115"/>
      <c r="BQ1625" s="115"/>
      <c r="BR1625" s="115"/>
      <c r="BS1625" s="115"/>
      <c r="BT1625" s="115"/>
      <c r="BU1625" s="26"/>
      <c r="BV1625" s="15"/>
      <c r="BZ1625" s="117"/>
      <c r="CA1625" s="116"/>
      <c r="CB1625" s="116"/>
      <c r="CC1625" s="116"/>
    </row>
    <row r="1626" spans="1:81" ht="19.5" x14ac:dyDescent="0.4">
      <c r="A1626" s="115"/>
      <c r="B1626" s="115"/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15"/>
      <c r="AV1626" s="115"/>
      <c r="AW1626" s="115"/>
      <c r="AX1626" s="115"/>
      <c r="AY1626" s="115"/>
      <c r="AZ1626" s="115"/>
      <c r="BA1626" s="115"/>
      <c r="BB1626" s="115"/>
      <c r="BC1626" s="115"/>
      <c r="BD1626" s="122"/>
      <c r="BE1626" s="122"/>
      <c r="BF1626" s="122"/>
      <c r="BG1626" s="115"/>
      <c r="BH1626" s="115"/>
      <c r="BI1626" s="115"/>
      <c r="BJ1626" s="115"/>
      <c r="BK1626" s="115"/>
      <c r="BL1626" s="115"/>
      <c r="BM1626" s="115"/>
      <c r="BN1626" s="115"/>
      <c r="BO1626" s="115"/>
      <c r="BP1626" s="115"/>
      <c r="BQ1626" s="115"/>
      <c r="BR1626" s="115"/>
      <c r="BS1626" s="115"/>
      <c r="BT1626" s="115"/>
      <c r="BU1626" s="26"/>
      <c r="BV1626" s="15"/>
      <c r="BZ1626" s="117"/>
      <c r="CA1626" s="116"/>
      <c r="CB1626" s="116"/>
      <c r="CC1626" s="116"/>
    </row>
    <row r="1627" spans="1:81" ht="19.5" x14ac:dyDescent="0.4">
      <c r="A1627" s="115"/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22"/>
      <c r="BE1627" s="122"/>
      <c r="BF1627" s="122"/>
      <c r="BG1627" s="115"/>
      <c r="BH1627" s="115"/>
      <c r="BI1627" s="115"/>
      <c r="BJ1627" s="115"/>
      <c r="BK1627" s="115"/>
      <c r="BL1627" s="115"/>
      <c r="BM1627" s="115"/>
      <c r="BN1627" s="115"/>
      <c r="BO1627" s="115"/>
      <c r="BP1627" s="115"/>
      <c r="BQ1627" s="115"/>
      <c r="BR1627" s="115"/>
      <c r="BS1627" s="115"/>
      <c r="BT1627" s="115"/>
      <c r="BU1627" s="26"/>
      <c r="BV1627" s="15"/>
      <c r="BZ1627" s="117"/>
      <c r="CA1627" s="116"/>
      <c r="CB1627" s="116"/>
      <c r="CC1627" s="116"/>
    </row>
    <row r="1628" spans="1:81" ht="19.5" x14ac:dyDescent="0.4">
      <c r="A1628" s="115"/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22"/>
      <c r="BE1628" s="122"/>
      <c r="BF1628" s="122"/>
      <c r="BG1628" s="115"/>
      <c r="BH1628" s="115"/>
      <c r="BI1628" s="115"/>
      <c r="BJ1628" s="115"/>
      <c r="BK1628" s="115"/>
      <c r="BL1628" s="115"/>
      <c r="BM1628" s="115"/>
      <c r="BN1628" s="115"/>
      <c r="BO1628" s="115"/>
      <c r="BP1628" s="115"/>
      <c r="BQ1628" s="115"/>
      <c r="BR1628" s="115"/>
      <c r="BS1628" s="115"/>
      <c r="BT1628" s="115"/>
      <c r="BU1628" s="26"/>
      <c r="BV1628" s="15"/>
      <c r="BZ1628" s="117"/>
      <c r="CA1628" s="116"/>
      <c r="CB1628" s="116"/>
      <c r="CC1628" s="116"/>
    </row>
    <row r="1629" spans="1:81" ht="19.5" x14ac:dyDescent="0.4">
      <c r="A1629" s="115"/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22"/>
      <c r="BE1629" s="122"/>
      <c r="BF1629" s="122"/>
      <c r="BG1629" s="115"/>
      <c r="BH1629" s="115"/>
      <c r="BI1629" s="115"/>
      <c r="BJ1629" s="115"/>
      <c r="BK1629" s="115"/>
      <c r="BL1629" s="115"/>
      <c r="BM1629" s="115"/>
      <c r="BN1629" s="115"/>
      <c r="BO1629" s="115"/>
      <c r="BP1629" s="115"/>
      <c r="BQ1629" s="115"/>
      <c r="BR1629" s="115"/>
      <c r="BS1629" s="115"/>
      <c r="BT1629" s="115"/>
      <c r="BU1629" s="26"/>
      <c r="BV1629" s="15"/>
      <c r="BZ1629" s="117"/>
      <c r="CA1629" s="116"/>
      <c r="CB1629" s="116"/>
      <c r="CC1629" s="116"/>
    </row>
    <row r="1630" spans="1:81" ht="19.5" x14ac:dyDescent="0.4">
      <c r="A1630" s="115"/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22"/>
      <c r="BE1630" s="122"/>
      <c r="BF1630" s="122"/>
      <c r="BG1630" s="115"/>
      <c r="BH1630" s="115"/>
      <c r="BI1630" s="115"/>
      <c r="BJ1630" s="115"/>
      <c r="BK1630" s="115"/>
      <c r="BL1630" s="115"/>
      <c r="BM1630" s="115"/>
      <c r="BN1630" s="115"/>
      <c r="BO1630" s="115"/>
      <c r="BP1630" s="115"/>
      <c r="BQ1630" s="115"/>
      <c r="BR1630" s="115"/>
      <c r="BS1630" s="115"/>
      <c r="BT1630" s="115"/>
      <c r="BU1630" s="26"/>
      <c r="BV1630" s="15"/>
      <c r="BZ1630" s="117"/>
      <c r="CA1630" s="116"/>
      <c r="CB1630" s="116"/>
      <c r="CC1630" s="116"/>
    </row>
    <row r="1631" spans="1:81" ht="19.5" x14ac:dyDescent="0.4">
      <c r="A1631" s="115"/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22"/>
      <c r="BE1631" s="122"/>
      <c r="BF1631" s="122"/>
      <c r="BG1631" s="115"/>
      <c r="BH1631" s="115"/>
      <c r="BI1631" s="115"/>
      <c r="BJ1631" s="115"/>
      <c r="BK1631" s="115"/>
      <c r="BL1631" s="115"/>
      <c r="BM1631" s="115"/>
      <c r="BN1631" s="115"/>
      <c r="BO1631" s="115"/>
      <c r="BP1631" s="115"/>
      <c r="BQ1631" s="115"/>
      <c r="BR1631" s="115"/>
      <c r="BS1631" s="115"/>
      <c r="BT1631" s="115"/>
      <c r="BU1631" s="17"/>
      <c r="BV1631" s="15"/>
      <c r="BZ1631" s="117"/>
      <c r="CA1631" s="116"/>
      <c r="CB1631" s="116"/>
      <c r="CC1631" s="116"/>
    </row>
    <row r="1632" spans="1:81" ht="19.5" x14ac:dyDescent="0.4">
      <c r="A1632" s="115"/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22"/>
      <c r="BE1632" s="122"/>
      <c r="BF1632" s="122"/>
      <c r="BG1632" s="115"/>
      <c r="BH1632" s="115"/>
      <c r="BI1632" s="115"/>
      <c r="BJ1632" s="115"/>
      <c r="BK1632" s="115"/>
      <c r="BL1632" s="115"/>
      <c r="BM1632" s="115"/>
      <c r="BN1632" s="115"/>
      <c r="BO1632" s="115"/>
      <c r="BP1632" s="115"/>
      <c r="BQ1632" s="115"/>
      <c r="BR1632" s="115"/>
      <c r="BS1632" s="115"/>
      <c r="BT1632" s="115"/>
      <c r="BU1632" s="26"/>
      <c r="BV1632" s="15"/>
      <c r="BZ1632" s="117"/>
      <c r="CA1632" s="116"/>
      <c r="CB1632" s="116"/>
      <c r="CC1632" s="116"/>
    </row>
    <row r="1633" spans="1:81" ht="19.5" x14ac:dyDescent="0.4">
      <c r="A1633" s="115"/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22"/>
      <c r="BE1633" s="122"/>
      <c r="BF1633" s="122"/>
      <c r="BG1633" s="115"/>
      <c r="BH1633" s="115"/>
      <c r="BI1633" s="115"/>
      <c r="BJ1633" s="115"/>
      <c r="BK1633" s="115"/>
      <c r="BL1633" s="115"/>
      <c r="BM1633" s="115"/>
      <c r="BN1633" s="115"/>
      <c r="BO1633" s="115"/>
      <c r="BP1633" s="115"/>
      <c r="BQ1633" s="115"/>
      <c r="BR1633" s="115"/>
      <c r="BS1633" s="115"/>
      <c r="BT1633" s="115"/>
      <c r="BU1633" s="17"/>
      <c r="BV1633" s="15"/>
      <c r="BZ1633" s="117"/>
      <c r="CA1633" s="116"/>
      <c r="CB1633" s="116"/>
      <c r="CC1633" s="116"/>
    </row>
    <row r="1634" spans="1:81" ht="19.5" x14ac:dyDescent="0.4">
      <c r="A1634" s="115"/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22"/>
      <c r="BE1634" s="122"/>
      <c r="BF1634" s="122"/>
      <c r="BG1634" s="115"/>
      <c r="BH1634" s="115"/>
      <c r="BI1634" s="115"/>
      <c r="BJ1634" s="115"/>
      <c r="BK1634" s="115"/>
      <c r="BL1634" s="115"/>
      <c r="BM1634" s="115"/>
      <c r="BN1634" s="115"/>
      <c r="BO1634" s="115"/>
      <c r="BP1634" s="115"/>
      <c r="BQ1634" s="115"/>
      <c r="BR1634" s="115"/>
      <c r="BS1634" s="115"/>
      <c r="BT1634" s="115"/>
      <c r="BU1634" s="26"/>
      <c r="BV1634" s="15"/>
      <c r="BZ1634" s="117"/>
      <c r="CA1634" s="116"/>
      <c r="CB1634" s="116"/>
      <c r="CC1634" s="116"/>
    </row>
    <row r="1635" spans="1:81" ht="19.5" x14ac:dyDescent="0.4">
      <c r="A1635" s="115"/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22"/>
      <c r="BE1635" s="122"/>
      <c r="BF1635" s="122"/>
      <c r="BG1635" s="115"/>
      <c r="BH1635" s="115"/>
      <c r="BI1635" s="115"/>
      <c r="BJ1635" s="115"/>
      <c r="BK1635" s="115"/>
      <c r="BL1635" s="115"/>
      <c r="BM1635" s="115"/>
      <c r="BN1635" s="115"/>
      <c r="BO1635" s="115"/>
      <c r="BP1635" s="115"/>
      <c r="BQ1635" s="115"/>
      <c r="BR1635" s="115"/>
      <c r="BS1635" s="115"/>
      <c r="BT1635" s="115"/>
      <c r="BU1635" s="20"/>
      <c r="BV1635" s="15"/>
      <c r="BZ1635" s="117"/>
      <c r="CA1635" s="116"/>
      <c r="CB1635" s="116"/>
      <c r="CC1635" s="116"/>
    </row>
    <row r="1636" spans="1:81" ht="19.5" x14ac:dyDescent="0.4">
      <c r="A1636" s="115"/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22"/>
      <c r="BE1636" s="122"/>
      <c r="BF1636" s="122"/>
      <c r="BG1636" s="115"/>
      <c r="BH1636" s="115"/>
      <c r="BI1636" s="115"/>
      <c r="BJ1636" s="115"/>
      <c r="BK1636" s="115"/>
      <c r="BL1636" s="115"/>
      <c r="BM1636" s="115"/>
      <c r="BN1636" s="115"/>
      <c r="BO1636" s="115"/>
      <c r="BP1636" s="115"/>
      <c r="BQ1636" s="115"/>
      <c r="BR1636" s="115"/>
      <c r="BS1636" s="115"/>
      <c r="BT1636" s="115"/>
      <c r="BU1636" s="20"/>
      <c r="BV1636" s="15"/>
      <c r="BZ1636" s="117"/>
      <c r="CA1636" s="116"/>
      <c r="CB1636" s="116"/>
      <c r="CC1636" s="116"/>
    </row>
    <row r="1637" spans="1:81" ht="19.5" x14ac:dyDescent="0.4">
      <c r="A1637" s="115"/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22"/>
      <c r="BE1637" s="122"/>
      <c r="BF1637" s="122"/>
      <c r="BG1637" s="115"/>
      <c r="BH1637" s="115"/>
      <c r="BI1637" s="115"/>
      <c r="BJ1637" s="115"/>
      <c r="BK1637" s="115"/>
      <c r="BL1637" s="115"/>
      <c r="BM1637" s="115"/>
      <c r="BN1637" s="115"/>
      <c r="BO1637" s="115"/>
      <c r="BP1637" s="115"/>
      <c r="BQ1637" s="115"/>
      <c r="BR1637" s="115"/>
      <c r="BS1637" s="115"/>
      <c r="BT1637" s="115"/>
      <c r="BU1637" s="20"/>
      <c r="BV1637" s="15"/>
      <c r="BZ1637" s="117"/>
      <c r="CA1637" s="116"/>
      <c r="CB1637" s="116"/>
      <c r="CC1637" s="116"/>
    </row>
    <row r="1638" spans="1:81" ht="19.5" x14ac:dyDescent="0.4">
      <c r="A1638" s="115"/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22"/>
      <c r="BE1638" s="122"/>
      <c r="BF1638" s="122"/>
      <c r="BG1638" s="115"/>
      <c r="BH1638" s="115"/>
      <c r="BI1638" s="115"/>
      <c r="BJ1638" s="115"/>
      <c r="BK1638" s="115"/>
      <c r="BL1638" s="115"/>
      <c r="BM1638" s="115"/>
      <c r="BN1638" s="115"/>
      <c r="BO1638" s="115"/>
      <c r="BP1638" s="115"/>
      <c r="BQ1638" s="115"/>
      <c r="BR1638" s="115"/>
      <c r="BS1638" s="115"/>
      <c r="BT1638" s="115"/>
      <c r="BU1638" s="20"/>
      <c r="BV1638" s="15"/>
      <c r="BZ1638" s="117"/>
      <c r="CA1638" s="116"/>
      <c r="CB1638" s="116"/>
      <c r="CC1638" s="116"/>
    </row>
    <row r="1639" spans="1:81" ht="19.5" x14ac:dyDescent="0.4">
      <c r="A1639" s="115"/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22"/>
      <c r="BE1639" s="122"/>
      <c r="BF1639" s="122"/>
      <c r="BG1639" s="115"/>
      <c r="BH1639" s="115"/>
      <c r="BI1639" s="115"/>
      <c r="BJ1639" s="115"/>
      <c r="BK1639" s="115"/>
      <c r="BL1639" s="115"/>
      <c r="BM1639" s="115"/>
      <c r="BN1639" s="115"/>
      <c r="BO1639" s="115"/>
      <c r="BP1639" s="115"/>
      <c r="BQ1639" s="115"/>
      <c r="BR1639" s="115"/>
      <c r="BS1639" s="115"/>
      <c r="BT1639" s="115"/>
      <c r="BU1639" s="25"/>
      <c r="BV1639" s="15"/>
      <c r="BZ1639" s="117"/>
      <c r="CA1639" s="116"/>
      <c r="CB1639" s="116"/>
      <c r="CC1639" s="116"/>
    </row>
    <row r="1640" spans="1:81" ht="19.5" x14ac:dyDescent="0.4">
      <c r="A1640" s="115"/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22"/>
      <c r="BE1640" s="122"/>
      <c r="BF1640" s="122"/>
      <c r="BG1640" s="115"/>
      <c r="BH1640" s="115"/>
      <c r="BI1640" s="115"/>
      <c r="BJ1640" s="115"/>
      <c r="BK1640" s="115"/>
      <c r="BL1640" s="115"/>
      <c r="BM1640" s="115"/>
      <c r="BN1640" s="115"/>
      <c r="BO1640" s="115"/>
      <c r="BP1640" s="115"/>
      <c r="BQ1640" s="115"/>
      <c r="BR1640" s="115"/>
      <c r="BS1640" s="115"/>
      <c r="BT1640" s="115"/>
      <c r="BU1640" s="13"/>
      <c r="BV1640" s="15"/>
      <c r="BZ1640" s="117"/>
      <c r="CA1640" s="116"/>
      <c r="CB1640" s="116"/>
      <c r="CC1640" s="116"/>
    </row>
    <row r="1641" spans="1:81" ht="19.5" x14ac:dyDescent="0.4">
      <c r="BU1641" s="25"/>
      <c r="BV1641" s="15"/>
      <c r="BZ1641" s="117"/>
      <c r="CA1641" s="116"/>
      <c r="CB1641" s="116"/>
      <c r="CC1641" s="116"/>
    </row>
    <row r="1642" spans="1:81" ht="19.5" x14ac:dyDescent="0.4">
      <c r="BA1642" s="115"/>
      <c r="BB1642" s="115"/>
      <c r="BC1642" s="115"/>
      <c r="BD1642" s="122"/>
      <c r="BE1642" s="122"/>
      <c r="BF1642" s="122"/>
      <c r="BG1642" s="115"/>
      <c r="BH1642" s="115"/>
      <c r="BI1642" s="115"/>
      <c r="BJ1642" s="115"/>
      <c r="BK1642" s="115"/>
      <c r="BL1642" s="115"/>
      <c r="BM1642" s="115"/>
      <c r="BN1642" s="115"/>
      <c r="BO1642" s="115"/>
      <c r="BP1642" s="115"/>
      <c r="BQ1642" s="115"/>
      <c r="BR1642" s="115"/>
      <c r="BS1642" s="115"/>
      <c r="BT1642" s="115"/>
      <c r="BU1642" s="13"/>
      <c r="BV1642" s="15"/>
      <c r="BZ1642" s="117"/>
      <c r="CA1642" s="116"/>
      <c r="CB1642" s="116"/>
      <c r="CC1642" s="116"/>
    </row>
    <row r="1643" spans="1:81" ht="19.5" x14ac:dyDescent="0.4"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22"/>
      <c r="BE1643" s="122"/>
      <c r="BF1643" s="122"/>
      <c r="BG1643" s="115"/>
      <c r="BH1643" s="115"/>
      <c r="BI1643" s="115"/>
      <c r="BJ1643" s="115"/>
      <c r="BK1643" s="115"/>
      <c r="BL1643" s="115"/>
      <c r="BM1643" s="115"/>
      <c r="BN1643" s="115"/>
      <c r="BO1643" s="115"/>
      <c r="BP1643" s="115"/>
      <c r="BQ1643" s="115"/>
      <c r="BR1643" s="115"/>
      <c r="BS1643" s="115"/>
      <c r="BT1643" s="115"/>
      <c r="BU1643" s="25"/>
      <c r="BV1643" s="15"/>
      <c r="BZ1643" s="117"/>
      <c r="CA1643" s="116"/>
      <c r="CB1643" s="116"/>
      <c r="CC1643" s="116"/>
    </row>
    <row r="1644" spans="1:81" ht="19.5" x14ac:dyDescent="0.4">
      <c r="A1644" s="115"/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22"/>
      <c r="BE1644" s="122"/>
      <c r="BF1644" s="122"/>
      <c r="BG1644" s="115"/>
      <c r="BH1644" s="115"/>
      <c r="BI1644" s="115"/>
      <c r="BJ1644" s="115"/>
      <c r="BK1644" s="115"/>
      <c r="BL1644" s="115"/>
      <c r="BM1644" s="115"/>
      <c r="BN1644" s="115"/>
      <c r="BO1644" s="115"/>
      <c r="BP1644" s="115"/>
      <c r="BQ1644" s="115"/>
      <c r="BR1644" s="115"/>
      <c r="BS1644" s="115"/>
      <c r="BT1644" s="115"/>
      <c r="BU1644" s="25"/>
      <c r="BV1644" s="15"/>
      <c r="BZ1644" s="117"/>
      <c r="CA1644" s="116"/>
      <c r="CB1644" s="116"/>
      <c r="CC1644" s="116"/>
    </row>
    <row r="1645" spans="1:81" ht="19.5" x14ac:dyDescent="0.4">
      <c r="A1645" s="115"/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22"/>
      <c r="BE1645" s="122"/>
      <c r="BF1645" s="122"/>
      <c r="BG1645" s="115"/>
      <c r="BH1645" s="115"/>
      <c r="BI1645" s="115"/>
      <c r="BJ1645" s="115"/>
      <c r="BK1645" s="115"/>
      <c r="BL1645" s="115"/>
      <c r="BM1645" s="115"/>
      <c r="BN1645" s="115"/>
      <c r="BO1645" s="115"/>
      <c r="BP1645" s="115"/>
      <c r="BQ1645" s="115"/>
      <c r="BR1645" s="115"/>
      <c r="BS1645" s="115"/>
      <c r="BT1645" s="115"/>
      <c r="BU1645" s="13"/>
      <c r="BV1645" s="15"/>
      <c r="BZ1645" s="117"/>
      <c r="CA1645" s="116"/>
      <c r="CB1645" s="116"/>
      <c r="CC1645" s="116"/>
    </row>
    <row r="1646" spans="1:81" ht="19.5" x14ac:dyDescent="0.4">
      <c r="A1646" s="115"/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22"/>
      <c r="BE1646" s="122"/>
      <c r="BF1646" s="122"/>
      <c r="BG1646" s="115"/>
      <c r="BH1646" s="115"/>
      <c r="BI1646" s="115"/>
      <c r="BJ1646" s="115"/>
      <c r="BK1646" s="115"/>
      <c r="BL1646" s="115"/>
      <c r="BM1646" s="115"/>
      <c r="BN1646" s="115"/>
      <c r="BO1646" s="115"/>
      <c r="BP1646" s="115"/>
      <c r="BQ1646" s="115"/>
      <c r="BR1646" s="115"/>
      <c r="BS1646" s="115"/>
      <c r="BT1646" s="115"/>
      <c r="BU1646" s="25"/>
      <c r="BV1646" s="15"/>
      <c r="BZ1646" s="117"/>
      <c r="CA1646" s="116"/>
      <c r="CB1646" s="116"/>
      <c r="CC1646" s="116"/>
    </row>
    <row r="1647" spans="1:81" ht="19.5" x14ac:dyDescent="0.4">
      <c r="A1647" s="115"/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22"/>
      <c r="BE1647" s="122"/>
      <c r="BF1647" s="122"/>
      <c r="BG1647" s="115"/>
      <c r="BH1647" s="115"/>
      <c r="BI1647" s="115"/>
      <c r="BJ1647" s="115"/>
      <c r="BK1647" s="115"/>
      <c r="BL1647" s="115"/>
      <c r="BM1647" s="115"/>
      <c r="BN1647" s="115"/>
      <c r="BO1647" s="115"/>
      <c r="BP1647" s="115"/>
      <c r="BQ1647" s="115"/>
      <c r="BR1647" s="115"/>
      <c r="BS1647" s="115"/>
      <c r="BT1647" s="115"/>
      <c r="BU1647" s="13"/>
      <c r="BV1647" s="15"/>
      <c r="BZ1647" s="117"/>
      <c r="CA1647" s="116"/>
      <c r="CB1647" s="116"/>
      <c r="CC1647" s="116"/>
    </row>
    <row r="1648" spans="1:81" ht="19.5" x14ac:dyDescent="0.4">
      <c r="A1648" s="115"/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22"/>
      <c r="BE1648" s="122"/>
      <c r="BF1648" s="122"/>
      <c r="BG1648" s="115"/>
      <c r="BH1648" s="115"/>
      <c r="BI1648" s="115"/>
      <c r="BJ1648" s="115"/>
      <c r="BK1648" s="115"/>
      <c r="BL1648" s="115"/>
      <c r="BM1648" s="115"/>
      <c r="BN1648" s="115"/>
      <c r="BO1648" s="115"/>
      <c r="BP1648" s="115"/>
      <c r="BQ1648" s="115"/>
      <c r="BR1648" s="115"/>
      <c r="BS1648" s="115"/>
      <c r="BT1648" s="115"/>
      <c r="BU1648" s="25"/>
      <c r="BV1648" s="15"/>
      <c r="BZ1648" s="117"/>
      <c r="CA1648" s="116"/>
      <c r="CB1648" s="116"/>
      <c r="CC1648" s="116"/>
    </row>
    <row r="1649" spans="1:81" ht="19.5" x14ac:dyDescent="0.4">
      <c r="A1649" s="115"/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22"/>
      <c r="BE1649" s="122"/>
      <c r="BF1649" s="122"/>
      <c r="BG1649" s="115"/>
      <c r="BH1649" s="115"/>
      <c r="BI1649" s="115"/>
      <c r="BJ1649" s="115"/>
      <c r="BK1649" s="115"/>
      <c r="BL1649" s="115"/>
      <c r="BM1649" s="115"/>
      <c r="BN1649" s="115"/>
      <c r="BO1649" s="115"/>
      <c r="BP1649" s="115"/>
      <c r="BQ1649" s="115"/>
      <c r="BR1649" s="115"/>
      <c r="BS1649" s="115"/>
      <c r="BT1649" s="115"/>
      <c r="BU1649" s="26"/>
      <c r="BV1649" s="15"/>
      <c r="BZ1649" s="117"/>
      <c r="CA1649" s="116"/>
      <c r="CB1649" s="116"/>
      <c r="CC1649" s="116"/>
    </row>
    <row r="1650" spans="1:81" ht="19.5" x14ac:dyDescent="0.4">
      <c r="A1650" s="115"/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22"/>
      <c r="BE1650" s="122"/>
      <c r="BF1650" s="122"/>
      <c r="BG1650" s="115"/>
      <c r="BH1650" s="115"/>
      <c r="BI1650" s="115"/>
      <c r="BJ1650" s="115"/>
      <c r="BK1650" s="115"/>
      <c r="BL1650" s="115"/>
      <c r="BM1650" s="115"/>
      <c r="BN1650" s="115"/>
      <c r="BO1650" s="115"/>
      <c r="BP1650" s="115"/>
      <c r="BQ1650" s="115"/>
      <c r="BR1650" s="115"/>
      <c r="BS1650" s="115"/>
      <c r="BT1650" s="115"/>
      <c r="BU1650" s="17"/>
      <c r="BV1650" s="13"/>
      <c r="BZ1650" s="117"/>
      <c r="CA1650" s="116"/>
      <c r="CB1650" s="116"/>
      <c r="CC1650" s="116"/>
    </row>
    <row r="1651" spans="1:81" ht="19.5" x14ac:dyDescent="0.4">
      <c r="A1651" s="115"/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22"/>
      <c r="BE1651" s="122"/>
      <c r="BF1651" s="122"/>
      <c r="BG1651" s="115"/>
      <c r="BH1651" s="115"/>
      <c r="BI1651" s="115"/>
      <c r="BJ1651" s="115"/>
      <c r="BK1651" s="115"/>
      <c r="BL1651" s="115"/>
      <c r="BM1651" s="115"/>
      <c r="BN1651" s="115"/>
      <c r="BO1651" s="115"/>
      <c r="BP1651" s="115"/>
      <c r="BQ1651" s="115"/>
      <c r="BR1651" s="115"/>
      <c r="BS1651" s="115"/>
      <c r="BT1651" s="115"/>
      <c r="BU1651" s="26"/>
      <c r="BV1651" s="13"/>
      <c r="BZ1651" s="117"/>
      <c r="CA1651" s="116"/>
      <c r="CB1651" s="116"/>
      <c r="CC1651" s="116"/>
    </row>
    <row r="1652" spans="1:81" ht="19.5" x14ac:dyDescent="0.4">
      <c r="A1652" s="115"/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22"/>
      <c r="BE1652" s="122"/>
      <c r="BF1652" s="122"/>
      <c r="BG1652" s="115"/>
      <c r="BH1652" s="115"/>
      <c r="BI1652" s="115"/>
      <c r="BJ1652" s="115"/>
      <c r="BK1652" s="115"/>
      <c r="BL1652" s="115"/>
      <c r="BM1652" s="115"/>
      <c r="BN1652" s="115"/>
      <c r="BO1652" s="115"/>
      <c r="BP1652" s="115"/>
      <c r="BQ1652" s="115"/>
      <c r="BR1652" s="115"/>
      <c r="BS1652" s="115"/>
      <c r="BT1652" s="115"/>
      <c r="BU1652" s="17"/>
      <c r="BV1652" s="13"/>
      <c r="BZ1652" s="117"/>
      <c r="CA1652" s="116"/>
      <c r="CB1652" s="116"/>
      <c r="CC1652" s="116"/>
    </row>
    <row r="1653" spans="1:81" ht="19.5" x14ac:dyDescent="0.4">
      <c r="A1653" s="115"/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22"/>
      <c r="BE1653" s="122"/>
      <c r="BF1653" s="122"/>
      <c r="BG1653" s="115"/>
      <c r="BH1653" s="115"/>
      <c r="BI1653" s="115"/>
      <c r="BJ1653" s="115"/>
      <c r="BK1653" s="115"/>
      <c r="BL1653" s="115"/>
      <c r="BM1653" s="115"/>
      <c r="BN1653" s="115"/>
      <c r="BO1653" s="115"/>
      <c r="BP1653" s="115"/>
      <c r="BQ1653" s="115"/>
      <c r="BR1653" s="115"/>
      <c r="BS1653" s="115"/>
      <c r="BT1653" s="115"/>
      <c r="BU1653" s="26"/>
      <c r="BV1653" s="15"/>
      <c r="BZ1653" s="117"/>
      <c r="CA1653" s="116"/>
      <c r="CB1653" s="116"/>
      <c r="CC1653" s="116"/>
    </row>
    <row r="1654" spans="1:81" ht="19.5" x14ac:dyDescent="0.4">
      <c r="A1654" s="115"/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22"/>
      <c r="BE1654" s="122"/>
      <c r="BF1654" s="122"/>
      <c r="BG1654" s="115"/>
      <c r="BH1654" s="115"/>
      <c r="BI1654" s="115"/>
      <c r="BJ1654" s="115"/>
      <c r="BK1654" s="115"/>
      <c r="BL1654" s="115"/>
      <c r="BM1654" s="115"/>
      <c r="BN1654" s="115"/>
      <c r="BO1654" s="115"/>
      <c r="BP1654" s="115"/>
      <c r="BQ1654" s="115"/>
      <c r="BR1654" s="115"/>
      <c r="BS1654" s="115"/>
      <c r="BT1654" s="115"/>
      <c r="BU1654" s="17"/>
      <c r="BV1654" s="15"/>
      <c r="BZ1654" s="117"/>
      <c r="CA1654" s="116"/>
      <c r="CB1654" s="116"/>
      <c r="CC1654" s="116"/>
    </row>
    <row r="1655" spans="1:81" ht="19.5" x14ac:dyDescent="0.4">
      <c r="BU1655" s="26"/>
      <c r="BV1655" s="105"/>
      <c r="BZ1655" s="117"/>
      <c r="CA1655" s="116"/>
      <c r="CB1655" s="116"/>
      <c r="CC1655" s="116"/>
    </row>
    <row r="1656" spans="1:81" ht="19.5" x14ac:dyDescent="0.4">
      <c r="BA1656" s="115"/>
      <c r="BB1656" s="115"/>
      <c r="BC1656" s="115"/>
      <c r="BD1656" s="122"/>
      <c r="BE1656" s="122"/>
      <c r="BF1656" s="122"/>
      <c r="BG1656" s="115"/>
      <c r="BH1656" s="115"/>
      <c r="BI1656" s="115"/>
      <c r="BJ1656" s="115"/>
      <c r="BK1656" s="115"/>
      <c r="BL1656" s="115"/>
      <c r="BM1656" s="115"/>
      <c r="BN1656" s="115"/>
      <c r="BO1656" s="115"/>
      <c r="BP1656" s="115"/>
      <c r="BQ1656" s="115"/>
      <c r="BR1656" s="115"/>
      <c r="BS1656" s="115"/>
      <c r="BT1656" s="115"/>
      <c r="BU1656" s="17"/>
      <c r="BV1656" s="15"/>
      <c r="BZ1656" s="117"/>
      <c r="CA1656" s="116"/>
      <c r="CB1656" s="116"/>
      <c r="CC1656" s="116"/>
    </row>
    <row r="1657" spans="1:81" ht="19.5" x14ac:dyDescent="0.4">
      <c r="AX1657" s="115"/>
      <c r="AY1657" s="115"/>
      <c r="AZ1657" s="115"/>
      <c r="BA1657" s="115"/>
      <c r="BB1657" s="115"/>
      <c r="BC1657" s="115"/>
      <c r="BD1657" s="122"/>
      <c r="BE1657" s="122"/>
      <c r="BF1657" s="122"/>
      <c r="BG1657" s="115"/>
      <c r="BH1657" s="115"/>
      <c r="BI1657" s="115"/>
      <c r="BJ1657" s="115"/>
      <c r="BK1657" s="115"/>
      <c r="BL1657" s="115"/>
      <c r="BM1657" s="115"/>
      <c r="BN1657" s="115"/>
      <c r="BO1657" s="115"/>
      <c r="BP1657" s="115"/>
      <c r="BQ1657" s="115"/>
      <c r="BR1657" s="115"/>
      <c r="BS1657" s="115"/>
      <c r="BT1657" s="115"/>
      <c r="BU1657" s="26"/>
      <c r="BV1657" s="15"/>
      <c r="BZ1657" s="117"/>
      <c r="CA1657" s="116"/>
      <c r="CB1657" s="116"/>
      <c r="CC1657" s="116"/>
    </row>
    <row r="1658" spans="1:81" ht="19.5" x14ac:dyDescent="0.4">
      <c r="AX1658" s="115"/>
      <c r="AY1658" s="115"/>
      <c r="AZ1658" s="115"/>
      <c r="BA1658" s="115"/>
      <c r="BB1658" s="115"/>
      <c r="BC1658" s="115"/>
      <c r="BD1658" s="122"/>
      <c r="BE1658" s="122"/>
      <c r="BF1658" s="122"/>
      <c r="BG1658" s="115"/>
      <c r="BH1658" s="115"/>
      <c r="BI1658" s="115"/>
      <c r="BJ1658" s="115"/>
      <c r="BK1658" s="115"/>
      <c r="BL1658" s="115"/>
      <c r="BM1658" s="115"/>
      <c r="BN1658" s="115"/>
      <c r="BO1658" s="115"/>
      <c r="BP1658" s="115"/>
      <c r="BQ1658" s="115"/>
      <c r="BR1658" s="115"/>
      <c r="BS1658" s="115"/>
      <c r="BT1658" s="115"/>
      <c r="BU1658" s="17"/>
      <c r="BV1658" s="15"/>
      <c r="BZ1658" s="117"/>
      <c r="CA1658" s="116"/>
      <c r="CB1658" s="116"/>
      <c r="CC1658" s="116"/>
    </row>
    <row r="1659" spans="1:81" ht="19.5" x14ac:dyDescent="0.4"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22"/>
      <c r="BE1659" s="122"/>
      <c r="BF1659" s="122"/>
      <c r="BG1659" s="115"/>
      <c r="BH1659" s="115"/>
      <c r="BI1659" s="115"/>
      <c r="BJ1659" s="115"/>
      <c r="BK1659" s="115"/>
      <c r="BL1659" s="115"/>
      <c r="BM1659" s="115"/>
      <c r="BN1659" s="115"/>
      <c r="BO1659" s="115"/>
      <c r="BP1659" s="115"/>
      <c r="BQ1659" s="115"/>
      <c r="BR1659" s="115"/>
      <c r="BS1659" s="115"/>
      <c r="BT1659" s="115"/>
      <c r="BU1659" s="26"/>
      <c r="BV1659" s="15"/>
      <c r="BZ1659" s="117"/>
      <c r="CA1659" s="116"/>
      <c r="CB1659" s="116"/>
      <c r="CC1659" s="116"/>
    </row>
    <row r="1660" spans="1:81" ht="19.5" x14ac:dyDescent="0.4"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22"/>
      <c r="BE1660" s="122"/>
      <c r="BF1660" s="122"/>
      <c r="BG1660" s="115"/>
      <c r="BH1660" s="115"/>
      <c r="BI1660" s="115"/>
      <c r="BJ1660" s="115"/>
      <c r="BK1660" s="115"/>
      <c r="BL1660" s="115"/>
      <c r="BM1660" s="115"/>
      <c r="BN1660" s="115"/>
      <c r="BO1660" s="115"/>
      <c r="BP1660" s="115"/>
      <c r="BQ1660" s="115"/>
      <c r="BR1660" s="115"/>
      <c r="BS1660" s="115"/>
      <c r="BT1660" s="115"/>
      <c r="BU1660" s="17"/>
      <c r="BV1660" s="15"/>
      <c r="BZ1660" s="117"/>
      <c r="CA1660" s="116"/>
      <c r="CB1660" s="116"/>
      <c r="CC1660" s="116"/>
    </row>
    <row r="1661" spans="1:81" ht="19.5" x14ac:dyDescent="0.4">
      <c r="A1661" s="115"/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22"/>
      <c r="BE1661" s="122"/>
      <c r="BF1661" s="122"/>
      <c r="BG1661" s="115"/>
      <c r="BH1661" s="115"/>
      <c r="BI1661" s="115"/>
      <c r="BJ1661" s="115"/>
      <c r="BK1661" s="115"/>
      <c r="BL1661" s="115"/>
      <c r="BM1661" s="115"/>
      <c r="BN1661" s="115"/>
      <c r="BO1661" s="115"/>
      <c r="BP1661" s="115"/>
      <c r="BQ1661" s="115"/>
      <c r="BR1661" s="115"/>
      <c r="BS1661" s="115"/>
      <c r="BT1661" s="115"/>
      <c r="BU1661" s="26"/>
      <c r="BV1661" s="15"/>
      <c r="BZ1661" s="117"/>
      <c r="CA1661" s="116"/>
      <c r="CB1661" s="116"/>
      <c r="CC1661" s="116"/>
    </row>
    <row r="1662" spans="1:81" ht="19.5" x14ac:dyDescent="0.4">
      <c r="A1662" s="115"/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22"/>
      <c r="BE1662" s="122"/>
      <c r="BF1662" s="122"/>
      <c r="BG1662" s="115"/>
      <c r="BH1662" s="115"/>
      <c r="BI1662" s="115"/>
      <c r="BJ1662" s="115"/>
      <c r="BK1662" s="115"/>
      <c r="BL1662" s="115"/>
      <c r="BM1662" s="115"/>
      <c r="BN1662" s="115"/>
      <c r="BO1662" s="115"/>
      <c r="BP1662" s="115"/>
      <c r="BQ1662" s="115"/>
      <c r="BR1662" s="115"/>
      <c r="BS1662" s="115"/>
      <c r="BT1662" s="115"/>
      <c r="BU1662" s="26"/>
      <c r="BV1662" s="15"/>
      <c r="BZ1662" s="117"/>
      <c r="CA1662" s="116"/>
      <c r="CB1662" s="116"/>
      <c r="CC1662" s="116"/>
    </row>
    <row r="1663" spans="1:81" ht="19.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22"/>
      <c r="BE1663" s="122"/>
      <c r="BF1663" s="122"/>
      <c r="BG1663" s="115"/>
      <c r="BH1663" s="115"/>
      <c r="BI1663" s="115"/>
      <c r="BJ1663" s="115"/>
      <c r="BK1663" s="115"/>
      <c r="BL1663" s="115"/>
      <c r="BM1663" s="115"/>
      <c r="BN1663" s="115"/>
      <c r="BO1663" s="115"/>
      <c r="BP1663" s="115"/>
      <c r="BQ1663" s="115"/>
      <c r="BR1663" s="115"/>
      <c r="BS1663" s="115"/>
      <c r="BT1663" s="115"/>
      <c r="BU1663" s="17"/>
      <c r="BV1663" s="15"/>
      <c r="BZ1663" s="117"/>
      <c r="CA1663" s="116"/>
      <c r="CB1663" s="116"/>
      <c r="CC1663" s="116"/>
    </row>
    <row r="1664" spans="1:81" ht="19.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22"/>
      <c r="BE1664" s="122"/>
      <c r="BF1664" s="122"/>
      <c r="BG1664" s="115"/>
      <c r="BH1664" s="115"/>
      <c r="BI1664" s="115"/>
      <c r="BJ1664" s="115"/>
      <c r="BK1664" s="115"/>
      <c r="BL1664" s="115"/>
      <c r="BM1664" s="115"/>
      <c r="BN1664" s="115"/>
      <c r="BO1664" s="115"/>
      <c r="BP1664" s="115"/>
      <c r="BQ1664" s="115"/>
      <c r="BR1664" s="115"/>
      <c r="BS1664" s="115"/>
      <c r="BT1664" s="115"/>
      <c r="BU1664" s="26"/>
      <c r="BV1664" s="15"/>
      <c r="BZ1664" s="117"/>
      <c r="CA1664" s="116"/>
      <c r="CB1664" s="116"/>
      <c r="CC1664" s="116"/>
    </row>
    <row r="1665" spans="1:81" ht="19.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22"/>
      <c r="BE1665" s="122"/>
      <c r="BF1665" s="122"/>
      <c r="BG1665" s="115"/>
      <c r="BH1665" s="115"/>
      <c r="BI1665" s="115"/>
      <c r="BJ1665" s="115"/>
      <c r="BK1665" s="115"/>
      <c r="BL1665" s="115"/>
      <c r="BM1665" s="115"/>
      <c r="BN1665" s="115"/>
      <c r="BO1665" s="115"/>
      <c r="BP1665" s="115"/>
      <c r="BQ1665" s="115"/>
      <c r="BR1665" s="115"/>
      <c r="BS1665" s="115"/>
      <c r="BT1665" s="115"/>
      <c r="BU1665" s="17"/>
      <c r="BV1665" s="15"/>
      <c r="BZ1665" s="117"/>
      <c r="CA1665" s="116"/>
      <c r="CB1665" s="116"/>
      <c r="CC1665" s="116"/>
    </row>
    <row r="1666" spans="1:81" ht="19.5" x14ac:dyDescent="0.4">
      <c r="BU1666" s="26"/>
      <c r="BV1666" s="15"/>
      <c r="BZ1666" s="117"/>
      <c r="CA1666" s="116"/>
      <c r="CB1666" s="116"/>
      <c r="CC1666" s="116"/>
    </row>
    <row r="1667" spans="1:81" ht="19.5" x14ac:dyDescent="0.4">
      <c r="BA1667" s="115"/>
      <c r="BB1667" s="115"/>
      <c r="BC1667" s="115"/>
      <c r="BD1667" s="122"/>
      <c r="BE1667" s="122"/>
      <c r="BF1667" s="122"/>
      <c r="BG1667" s="115"/>
      <c r="BH1667" s="115"/>
      <c r="BI1667" s="115"/>
      <c r="BJ1667" s="115"/>
      <c r="BK1667" s="115"/>
      <c r="BL1667" s="115"/>
      <c r="BM1667" s="115"/>
      <c r="BN1667" s="115"/>
      <c r="BO1667" s="115"/>
      <c r="BP1667" s="115"/>
      <c r="BQ1667" s="115"/>
      <c r="BR1667" s="115"/>
      <c r="BS1667" s="115"/>
      <c r="BT1667" s="115"/>
      <c r="BU1667" s="17"/>
      <c r="BV1667" s="15"/>
      <c r="BZ1667" s="117"/>
      <c r="CA1667" s="116"/>
      <c r="CB1667" s="116"/>
      <c r="CC1667" s="116"/>
    </row>
    <row r="1668" spans="1:81" ht="19.5" x14ac:dyDescent="0.4">
      <c r="BU1668" s="26"/>
      <c r="BV1668" s="15"/>
      <c r="BZ1668" s="117"/>
      <c r="CA1668" s="116"/>
      <c r="CB1668" s="116"/>
      <c r="CC1668" s="116"/>
    </row>
    <row r="1669" spans="1:81" ht="19.5" x14ac:dyDescent="0.4">
      <c r="BA1669" s="115"/>
      <c r="BB1669" s="115"/>
      <c r="BC1669" s="115"/>
      <c r="BD1669" s="122"/>
      <c r="BE1669" s="122"/>
      <c r="BF1669" s="122"/>
      <c r="BG1669" s="115"/>
      <c r="BH1669" s="115"/>
      <c r="BI1669" s="115"/>
      <c r="BJ1669" s="115"/>
      <c r="BK1669" s="115"/>
      <c r="BL1669" s="115"/>
      <c r="BM1669" s="115"/>
      <c r="BN1669" s="115"/>
      <c r="BO1669" s="115"/>
      <c r="BP1669" s="115"/>
      <c r="BQ1669" s="115"/>
      <c r="BR1669" s="115"/>
      <c r="BS1669" s="115"/>
      <c r="BT1669" s="115"/>
      <c r="BU1669" s="17"/>
      <c r="BV1669" s="15"/>
      <c r="BZ1669" s="117"/>
      <c r="CA1669" s="116"/>
      <c r="CB1669" s="116"/>
      <c r="CC1669" s="116"/>
    </row>
    <row r="1670" spans="1:81" ht="19.5" x14ac:dyDescent="0.4">
      <c r="BU1670" s="26"/>
      <c r="BV1670" s="15"/>
      <c r="BZ1670" s="117"/>
      <c r="CA1670" s="116"/>
      <c r="CB1670" s="116"/>
      <c r="CC1670" s="116"/>
    </row>
    <row r="1671" spans="1:81" ht="19.5" x14ac:dyDescent="0.4">
      <c r="BA1671" s="115"/>
      <c r="BB1671" s="115"/>
      <c r="BC1671" s="115"/>
      <c r="BD1671" s="122"/>
      <c r="BE1671" s="122"/>
      <c r="BF1671" s="122"/>
      <c r="BG1671" s="115"/>
      <c r="BH1671" s="115"/>
      <c r="BI1671" s="115"/>
      <c r="BJ1671" s="115"/>
      <c r="BK1671" s="115"/>
      <c r="BL1671" s="115"/>
      <c r="BM1671" s="115"/>
      <c r="BN1671" s="115"/>
      <c r="BO1671" s="115"/>
      <c r="BP1671" s="115"/>
      <c r="BQ1671" s="115"/>
      <c r="BR1671" s="115"/>
      <c r="BS1671" s="115"/>
      <c r="BT1671" s="115"/>
      <c r="BU1671" s="17"/>
      <c r="BV1671" s="15"/>
      <c r="BZ1671" s="117"/>
      <c r="CA1671" s="116"/>
      <c r="CB1671" s="116"/>
      <c r="CC1671" s="116"/>
    </row>
    <row r="1672" spans="1:81" ht="19.5" x14ac:dyDescent="0.4"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22"/>
      <c r="BE1672" s="122"/>
      <c r="BF1672" s="122"/>
      <c r="BG1672" s="115"/>
      <c r="BH1672" s="115"/>
      <c r="BI1672" s="115"/>
      <c r="BJ1672" s="115"/>
      <c r="BK1672" s="115"/>
      <c r="BL1672" s="115"/>
      <c r="BM1672" s="115"/>
      <c r="BN1672" s="115"/>
      <c r="BO1672" s="115"/>
      <c r="BP1672" s="115"/>
      <c r="BQ1672" s="115"/>
      <c r="BR1672" s="115"/>
      <c r="BS1672" s="115"/>
      <c r="BT1672" s="115"/>
      <c r="BU1672" s="26"/>
      <c r="BV1672" s="15"/>
      <c r="BZ1672" s="117"/>
      <c r="CA1672" s="116"/>
      <c r="CB1672" s="116"/>
      <c r="CC1672" s="116"/>
    </row>
    <row r="1673" spans="1:81" ht="19.5" x14ac:dyDescent="0.4"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22"/>
      <c r="BE1673" s="122"/>
      <c r="BF1673" s="122"/>
      <c r="BG1673" s="115"/>
      <c r="BH1673" s="115"/>
      <c r="BI1673" s="115"/>
      <c r="BJ1673" s="115"/>
      <c r="BK1673" s="115"/>
      <c r="BL1673" s="115"/>
      <c r="BM1673" s="115"/>
      <c r="BN1673" s="115"/>
      <c r="BO1673" s="115"/>
      <c r="BP1673" s="115"/>
      <c r="BQ1673" s="115"/>
      <c r="BR1673" s="115"/>
      <c r="BS1673" s="115"/>
      <c r="BT1673" s="115"/>
      <c r="BU1673" s="17"/>
      <c r="BV1673" s="15"/>
      <c r="BZ1673" s="117"/>
      <c r="CA1673" s="116"/>
      <c r="CB1673" s="116"/>
      <c r="CC1673" s="116"/>
    </row>
    <row r="1674" spans="1:81" ht="19.5" x14ac:dyDescent="0.4"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22"/>
      <c r="BE1674" s="122"/>
      <c r="BF1674" s="122"/>
      <c r="BG1674" s="115"/>
      <c r="BH1674" s="115"/>
      <c r="BI1674" s="115"/>
      <c r="BJ1674" s="115"/>
      <c r="BK1674" s="115"/>
      <c r="BL1674" s="115"/>
      <c r="BM1674" s="115"/>
      <c r="BN1674" s="115"/>
      <c r="BO1674" s="115"/>
      <c r="BP1674" s="115"/>
      <c r="BQ1674" s="115"/>
      <c r="BR1674" s="115"/>
      <c r="BS1674" s="115"/>
      <c r="BT1674" s="115"/>
      <c r="BU1674" s="26"/>
      <c r="BV1674" s="15"/>
      <c r="BZ1674" s="117"/>
      <c r="CA1674" s="116"/>
      <c r="CB1674" s="116"/>
      <c r="CC1674" s="116"/>
    </row>
    <row r="1675" spans="1:81" ht="19.5" x14ac:dyDescent="0.4">
      <c r="BU1675" s="26"/>
      <c r="BV1675" s="15"/>
      <c r="BZ1675" s="117"/>
      <c r="CA1675" s="116"/>
      <c r="CB1675" s="116"/>
      <c r="CC1675" s="116"/>
    </row>
    <row r="1676" spans="1:81" ht="19.5" x14ac:dyDescent="0.4">
      <c r="BA1676" s="115"/>
      <c r="BB1676" s="115"/>
      <c r="BC1676" s="115"/>
      <c r="BD1676" s="122"/>
      <c r="BE1676" s="122"/>
      <c r="BF1676" s="122"/>
      <c r="BG1676" s="115"/>
      <c r="BH1676" s="115"/>
      <c r="BI1676" s="115"/>
      <c r="BJ1676" s="115"/>
      <c r="BK1676" s="115"/>
      <c r="BL1676" s="115"/>
      <c r="BM1676" s="115"/>
      <c r="BN1676" s="115"/>
      <c r="BO1676" s="115"/>
      <c r="BP1676" s="115"/>
      <c r="BQ1676" s="115"/>
      <c r="BR1676" s="115"/>
      <c r="BS1676" s="115"/>
      <c r="BT1676" s="115"/>
      <c r="BU1676" s="17"/>
      <c r="BV1676" s="15"/>
      <c r="BZ1676" s="117"/>
      <c r="CA1676" s="116"/>
      <c r="CB1676" s="116"/>
      <c r="CC1676" s="116"/>
    </row>
    <row r="1677" spans="1:81" ht="19.5" x14ac:dyDescent="0.4">
      <c r="AY1677" s="115"/>
      <c r="AZ1677" s="115"/>
      <c r="BA1677" s="115"/>
      <c r="BB1677" s="115"/>
      <c r="BC1677" s="115"/>
      <c r="BD1677" s="122"/>
      <c r="BE1677" s="122"/>
      <c r="BF1677" s="122"/>
      <c r="BG1677" s="115"/>
      <c r="BH1677" s="115"/>
      <c r="BI1677" s="115"/>
      <c r="BJ1677" s="115"/>
      <c r="BK1677" s="115"/>
      <c r="BL1677" s="115"/>
      <c r="BM1677" s="115"/>
      <c r="BN1677" s="115"/>
      <c r="BO1677" s="115"/>
      <c r="BP1677" s="115"/>
      <c r="BQ1677" s="115"/>
      <c r="BR1677" s="115"/>
      <c r="BS1677" s="115"/>
      <c r="BT1677" s="115"/>
      <c r="BU1677" s="26"/>
      <c r="BV1677" s="15"/>
      <c r="BZ1677" s="117"/>
      <c r="CA1677" s="116"/>
      <c r="CB1677" s="116"/>
      <c r="CC1677" s="116"/>
    </row>
    <row r="1678" spans="1:81" ht="19.5" x14ac:dyDescent="0.4">
      <c r="AY1678" s="115"/>
      <c r="AZ1678" s="115"/>
      <c r="BA1678" s="115"/>
      <c r="BB1678" s="115"/>
      <c r="BC1678" s="115"/>
      <c r="BD1678" s="122"/>
      <c r="BE1678" s="122"/>
      <c r="BF1678" s="122"/>
      <c r="BG1678" s="115"/>
      <c r="BH1678" s="115"/>
      <c r="BI1678" s="115"/>
      <c r="BJ1678" s="115"/>
      <c r="BK1678" s="115"/>
      <c r="BL1678" s="115"/>
      <c r="BM1678" s="115"/>
      <c r="BN1678" s="115"/>
      <c r="BO1678" s="115"/>
      <c r="BP1678" s="115"/>
      <c r="BQ1678" s="115"/>
      <c r="BR1678" s="115"/>
      <c r="BS1678" s="115"/>
      <c r="BT1678" s="115"/>
      <c r="BU1678" s="17"/>
      <c r="BV1678" s="13"/>
      <c r="BZ1678" s="117"/>
      <c r="CA1678" s="116"/>
      <c r="CB1678" s="116"/>
      <c r="CC1678" s="116"/>
    </row>
    <row r="1679" spans="1:81" ht="19.5" x14ac:dyDescent="0.4">
      <c r="AX1679" s="115"/>
      <c r="AY1679" s="115"/>
      <c r="AZ1679" s="115"/>
      <c r="BA1679" s="115"/>
      <c r="BB1679" s="115"/>
      <c r="BC1679" s="115"/>
      <c r="BD1679" s="122"/>
      <c r="BE1679" s="122"/>
      <c r="BF1679" s="122"/>
      <c r="BG1679" s="115"/>
      <c r="BH1679" s="115"/>
      <c r="BI1679" s="115"/>
      <c r="BJ1679" s="115"/>
      <c r="BK1679" s="115"/>
      <c r="BL1679" s="115"/>
      <c r="BM1679" s="115"/>
      <c r="BN1679" s="115"/>
      <c r="BO1679" s="115"/>
      <c r="BP1679" s="115"/>
      <c r="BQ1679" s="115"/>
      <c r="BR1679" s="115"/>
      <c r="BS1679" s="115"/>
      <c r="BT1679" s="115"/>
      <c r="BU1679" s="26"/>
      <c r="BV1679" s="13"/>
      <c r="BZ1679" s="117"/>
      <c r="CA1679" s="116"/>
      <c r="CB1679" s="116"/>
      <c r="CC1679" s="116"/>
    </row>
    <row r="1680" spans="1:81" ht="19.5" x14ac:dyDescent="0.4">
      <c r="AX1680" s="115"/>
      <c r="AY1680" s="115"/>
      <c r="AZ1680" s="115"/>
      <c r="BA1680" s="115"/>
      <c r="BB1680" s="115"/>
      <c r="BC1680" s="115"/>
      <c r="BD1680" s="122"/>
      <c r="BE1680" s="122"/>
      <c r="BF1680" s="122"/>
      <c r="BG1680" s="115"/>
      <c r="BH1680" s="115"/>
      <c r="BI1680" s="115"/>
      <c r="BJ1680" s="115"/>
      <c r="BK1680" s="115"/>
      <c r="BL1680" s="115"/>
      <c r="BM1680" s="115"/>
      <c r="BN1680" s="115"/>
      <c r="BO1680" s="115"/>
      <c r="BP1680" s="115"/>
      <c r="BQ1680" s="115"/>
      <c r="BR1680" s="115"/>
      <c r="BS1680" s="115"/>
      <c r="BT1680" s="115"/>
      <c r="BU1680" s="17"/>
      <c r="BV1680" s="13"/>
      <c r="BZ1680" s="117"/>
      <c r="CA1680" s="116"/>
      <c r="CB1680" s="116"/>
      <c r="CC1680" s="116"/>
    </row>
    <row r="1681" spans="1:81" ht="19.5" x14ac:dyDescent="0.4"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22"/>
      <c r="BE1681" s="122"/>
      <c r="BF1681" s="122"/>
      <c r="BG1681" s="115"/>
      <c r="BH1681" s="115"/>
      <c r="BI1681" s="115"/>
      <c r="BJ1681" s="115"/>
      <c r="BK1681" s="115"/>
      <c r="BL1681" s="115"/>
      <c r="BM1681" s="115"/>
      <c r="BN1681" s="115"/>
      <c r="BO1681" s="115"/>
      <c r="BP1681" s="115"/>
      <c r="BQ1681" s="115"/>
      <c r="BR1681" s="115"/>
      <c r="BS1681" s="115"/>
      <c r="BT1681" s="115"/>
      <c r="BU1681" s="26"/>
      <c r="BV1681" s="15"/>
      <c r="BZ1681" s="117"/>
      <c r="CA1681" s="116"/>
      <c r="CB1681" s="116"/>
      <c r="CC1681" s="116"/>
    </row>
    <row r="1682" spans="1:81" ht="19.5" x14ac:dyDescent="0.4"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22"/>
      <c r="BE1682" s="122"/>
      <c r="BF1682" s="122"/>
      <c r="BG1682" s="115"/>
      <c r="BH1682" s="115"/>
      <c r="BI1682" s="115"/>
      <c r="BJ1682" s="115"/>
      <c r="BK1682" s="115"/>
      <c r="BL1682" s="115"/>
      <c r="BM1682" s="115"/>
      <c r="BN1682" s="115"/>
      <c r="BO1682" s="115"/>
      <c r="BP1682" s="115"/>
      <c r="BQ1682" s="115"/>
      <c r="BR1682" s="115"/>
      <c r="BS1682" s="115"/>
      <c r="BT1682" s="115"/>
      <c r="BU1682" s="17"/>
      <c r="BV1682" s="15"/>
      <c r="BZ1682" s="117"/>
      <c r="CA1682" s="116"/>
      <c r="CB1682" s="116"/>
      <c r="CC1682" s="116"/>
    </row>
    <row r="1683" spans="1:81" ht="19.5" x14ac:dyDescent="0.4"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22"/>
      <c r="BE1683" s="122"/>
      <c r="BF1683" s="122"/>
      <c r="BG1683" s="115"/>
      <c r="BH1683" s="115"/>
      <c r="BI1683" s="115"/>
      <c r="BJ1683" s="115"/>
      <c r="BK1683" s="115"/>
      <c r="BL1683" s="115"/>
      <c r="BM1683" s="115"/>
      <c r="BN1683" s="115"/>
      <c r="BO1683" s="115"/>
      <c r="BP1683" s="115"/>
      <c r="BQ1683" s="115"/>
      <c r="BR1683" s="115"/>
      <c r="BS1683" s="115"/>
      <c r="BT1683" s="115"/>
      <c r="BU1683" s="26"/>
      <c r="BV1683" s="105"/>
      <c r="BZ1683" s="117"/>
      <c r="CA1683" s="116"/>
      <c r="CB1683" s="116"/>
      <c r="CC1683" s="116"/>
    </row>
    <row r="1684" spans="1:81" ht="19.5" x14ac:dyDescent="0.4"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22"/>
      <c r="BE1684" s="122"/>
      <c r="BF1684" s="122"/>
      <c r="BG1684" s="115"/>
      <c r="BH1684" s="115"/>
      <c r="BI1684" s="115"/>
      <c r="BJ1684" s="115"/>
      <c r="BK1684" s="115"/>
      <c r="BL1684" s="115"/>
      <c r="BM1684" s="115"/>
      <c r="BN1684" s="115"/>
      <c r="BO1684" s="115"/>
      <c r="BP1684" s="115"/>
      <c r="BQ1684" s="115"/>
      <c r="BR1684" s="115"/>
      <c r="BS1684" s="115"/>
      <c r="BT1684" s="115"/>
      <c r="BU1684" s="17"/>
      <c r="BV1684" s="15"/>
      <c r="BZ1684" s="117"/>
      <c r="CA1684" s="116"/>
      <c r="CB1684" s="116"/>
      <c r="CC1684" s="116"/>
    </row>
    <row r="1685" spans="1:81" ht="19.5" x14ac:dyDescent="0.4"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22"/>
      <c r="BE1685" s="122"/>
      <c r="BF1685" s="122"/>
      <c r="BG1685" s="115"/>
      <c r="BH1685" s="115"/>
      <c r="BI1685" s="115"/>
      <c r="BJ1685" s="115"/>
      <c r="BK1685" s="115"/>
      <c r="BL1685" s="115"/>
      <c r="BM1685" s="115"/>
      <c r="BN1685" s="115"/>
      <c r="BO1685" s="115"/>
      <c r="BP1685" s="115"/>
      <c r="BQ1685" s="115"/>
      <c r="BR1685" s="115"/>
      <c r="BS1685" s="115"/>
      <c r="BT1685" s="115"/>
      <c r="BU1685" s="26"/>
      <c r="BV1685" s="15"/>
      <c r="BZ1685" s="117"/>
      <c r="CA1685" s="116"/>
      <c r="CB1685" s="116"/>
      <c r="CC1685" s="116"/>
    </row>
    <row r="1686" spans="1:81" ht="19.5" x14ac:dyDescent="0.4"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22"/>
      <c r="BE1686" s="122"/>
      <c r="BF1686" s="122"/>
      <c r="BG1686" s="115"/>
      <c r="BH1686" s="115"/>
      <c r="BI1686" s="115"/>
      <c r="BJ1686" s="115"/>
      <c r="BK1686" s="115"/>
      <c r="BL1686" s="115"/>
      <c r="BM1686" s="115"/>
      <c r="BN1686" s="115"/>
      <c r="BO1686" s="115"/>
      <c r="BP1686" s="115"/>
      <c r="BQ1686" s="115"/>
      <c r="BR1686" s="115"/>
      <c r="BS1686" s="115"/>
      <c r="BT1686" s="115"/>
      <c r="BU1686" s="26"/>
      <c r="BV1686" s="15"/>
      <c r="BZ1686" s="117"/>
      <c r="CA1686" s="116"/>
      <c r="CB1686" s="116"/>
      <c r="CC1686" s="116"/>
    </row>
    <row r="1687" spans="1:81" ht="19.5" x14ac:dyDescent="0.4">
      <c r="BU1687" s="26"/>
      <c r="BV1687" s="15"/>
      <c r="BZ1687" s="117"/>
      <c r="CA1687" s="116"/>
      <c r="CB1687" s="116"/>
      <c r="CC1687" s="116"/>
    </row>
    <row r="1688" spans="1:81" ht="19.5" x14ac:dyDescent="0.4">
      <c r="AZ1688" s="115"/>
      <c r="BA1688" s="115"/>
      <c r="BB1688" s="115"/>
      <c r="BC1688" s="115"/>
      <c r="BD1688" s="122"/>
      <c r="BE1688" s="122"/>
      <c r="BF1688" s="122"/>
      <c r="BG1688" s="115"/>
      <c r="BH1688" s="115"/>
      <c r="BI1688" s="115"/>
      <c r="BJ1688" s="115"/>
      <c r="BK1688" s="115"/>
      <c r="BL1688" s="115"/>
      <c r="BM1688" s="115"/>
      <c r="BN1688" s="115"/>
      <c r="BO1688" s="115"/>
      <c r="BP1688" s="115"/>
      <c r="BQ1688" s="115"/>
      <c r="BR1688" s="115"/>
      <c r="BS1688" s="115"/>
      <c r="BT1688" s="115"/>
      <c r="BU1688" s="26"/>
      <c r="BV1688" s="15"/>
      <c r="BZ1688" s="117"/>
      <c r="CA1688" s="116"/>
      <c r="CB1688" s="116"/>
      <c r="CC1688" s="116"/>
    </row>
    <row r="1689" spans="1:81" ht="19.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22"/>
      <c r="BE1689" s="122"/>
      <c r="BF1689" s="122"/>
      <c r="BG1689" s="115"/>
      <c r="BH1689" s="115"/>
      <c r="BI1689" s="115"/>
      <c r="BJ1689" s="115"/>
      <c r="BK1689" s="115"/>
      <c r="BL1689" s="115"/>
      <c r="BM1689" s="115"/>
      <c r="BN1689" s="115"/>
      <c r="BO1689" s="115"/>
      <c r="BP1689" s="115"/>
      <c r="BQ1689" s="115"/>
      <c r="BR1689" s="115"/>
      <c r="BS1689" s="115"/>
      <c r="BT1689" s="115"/>
      <c r="BU1689" s="26"/>
      <c r="BV1689" s="15"/>
      <c r="BZ1689" s="117"/>
      <c r="CA1689" s="116"/>
      <c r="CB1689" s="116"/>
      <c r="CC1689" s="116"/>
    </row>
    <row r="1690" spans="1:81" ht="19.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22"/>
      <c r="BE1690" s="122"/>
      <c r="BF1690" s="122"/>
      <c r="BG1690" s="115"/>
      <c r="BH1690" s="115"/>
      <c r="BI1690" s="115"/>
      <c r="BJ1690" s="115"/>
      <c r="BK1690" s="115"/>
      <c r="BL1690" s="115"/>
      <c r="BM1690" s="115"/>
      <c r="BN1690" s="115"/>
      <c r="BO1690" s="115"/>
      <c r="BP1690" s="115"/>
      <c r="BQ1690" s="115"/>
      <c r="BR1690" s="115"/>
      <c r="BS1690" s="115"/>
      <c r="BT1690" s="115"/>
      <c r="BU1690" s="26"/>
      <c r="BV1690" s="15"/>
      <c r="BZ1690" s="117"/>
      <c r="CA1690" s="116"/>
      <c r="CB1690" s="116"/>
      <c r="CC1690" s="116"/>
    </row>
    <row r="1691" spans="1:81" ht="19.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22"/>
      <c r="BE1691" s="122"/>
      <c r="BF1691" s="122"/>
      <c r="BG1691" s="115"/>
      <c r="BH1691" s="115"/>
      <c r="BI1691" s="115"/>
      <c r="BJ1691" s="115"/>
      <c r="BK1691" s="115"/>
      <c r="BL1691" s="115"/>
      <c r="BM1691" s="115"/>
      <c r="BN1691" s="115"/>
      <c r="BO1691" s="115"/>
      <c r="BP1691" s="115"/>
      <c r="BQ1691" s="115"/>
      <c r="BR1691" s="115"/>
      <c r="BS1691" s="115"/>
      <c r="BT1691" s="115"/>
      <c r="BU1691" s="17"/>
      <c r="BV1691" s="15"/>
      <c r="BZ1691" s="117"/>
      <c r="CA1691" s="116"/>
      <c r="CB1691" s="116"/>
      <c r="CC1691" s="116"/>
    </row>
    <row r="1692" spans="1:81" ht="19.5" x14ac:dyDescent="0.4">
      <c r="BU1692" s="26"/>
      <c r="BV1692" s="15"/>
      <c r="BZ1692" s="117"/>
      <c r="CA1692" s="116"/>
      <c r="CB1692" s="116"/>
      <c r="CC1692" s="116"/>
    </row>
    <row r="1693" spans="1:81" ht="19.5" x14ac:dyDescent="0.4">
      <c r="BA1693" s="115"/>
      <c r="BB1693" s="115"/>
      <c r="BC1693" s="115"/>
      <c r="BD1693" s="122"/>
      <c r="BE1693" s="122"/>
      <c r="BF1693" s="122"/>
      <c r="BG1693" s="115"/>
      <c r="BH1693" s="115"/>
      <c r="BI1693" s="115"/>
      <c r="BJ1693" s="115"/>
      <c r="BK1693" s="115"/>
      <c r="BL1693" s="115"/>
      <c r="BM1693" s="115"/>
      <c r="BN1693" s="115"/>
      <c r="BO1693" s="115"/>
      <c r="BP1693" s="115"/>
      <c r="BQ1693" s="115"/>
      <c r="BR1693" s="115"/>
      <c r="BS1693" s="115"/>
      <c r="BT1693" s="115"/>
      <c r="BU1693" s="17"/>
      <c r="BV1693" s="15"/>
      <c r="BZ1693" s="117"/>
      <c r="CA1693" s="116"/>
      <c r="CB1693" s="116"/>
      <c r="CC1693" s="116"/>
    </row>
    <row r="1694" spans="1:81" ht="19.5" x14ac:dyDescent="0.4">
      <c r="AZ1694" s="115"/>
      <c r="BA1694" s="115"/>
      <c r="BB1694" s="115"/>
      <c r="BC1694" s="115"/>
      <c r="BD1694" s="122"/>
      <c r="BE1694" s="122"/>
      <c r="BF1694" s="122"/>
      <c r="BG1694" s="115"/>
      <c r="BH1694" s="115"/>
      <c r="BI1694" s="115"/>
      <c r="BJ1694" s="115"/>
      <c r="BK1694" s="115"/>
      <c r="BL1694" s="115"/>
      <c r="BM1694" s="115"/>
      <c r="BN1694" s="115"/>
      <c r="BO1694" s="115"/>
      <c r="BP1694" s="115"/>
      <c r="BQ1694" s="115"/>
      <c r="BR1694" s="115"/>
      <c r="BS1694" s="115"/>
      <c r="BT1694" s="115"/>
      <c r="BU1694" s="26"/>
      <c r="BV1694" s="15"/>
      <c r="BZ1694" s="117"/>
      <c r="CA1694" s="116"/>
      <c r="CB1694" s="116"/>
      <c r="CC1694" s="116"/>
    </row>
    <row r="1695" spans="1:81" ht="19.5" x14ac:dyDescent="0.4"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22"/>
      <c r="BE1695" s="122"/>
      <c r="BF1695" s="122"/>
      <c r="BG1695" s="115"/>
      <c r="BH1695" s="115"/>
      <c r="BI1695" s="115"/>
      <c r="BJ1695" s="115"/>
      <c r="BK1695" s="115"/>
      <c r="BL1695" s="115"/>
      <c r="BM1695" s="115"/>
      <c r="BN1695" s="115"/>
      <c r="BO1695" s="115"/>
      <c r="BP1695" s="115"/>
      <c r="BQ1695" s="115"/>
      <c r="BR1695" s="115"/>
      <c r="BS1695" s="115"/>
      <c r="BT1695" s="115"/>
      <c r="BU1695" s="26"/>
      <c r="BV1695" s="15"/>
      <c r="BZ1695" s="117"/>
      <c r="CA1695" s="116"/>
      <c r="CB1695" s="116"/>
      <c r="CC1695" s="116"/>
    </row>
    <row r="1696" spans="1:81" ht="19.5" x14ac:dyDescent="0.4"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22"/>
      <c r="BE1696" s="122"/>
      <c r="BF1696" s="122"/>
      <c r="BG1696" s="115"/>
      <c r="BH1696" s="115"/>
      <c r="BI1696" s="115"/>
      <c r="BJ1696" s="115"/>
      <c r="BK1696" s="115"/>
      <c r="BL1696" s="115"/>
      <c r="BM1696" s="115"/>
      <c r="BN1696" s="115"/>
      <c r="BO1696" s="115"/>
      <c r="BP1696" s="115"/>
      <c r="BQ1696" s="115"/>
      <c r="BR1696" s="115"/>
      <c r="BS1696" s="115"/>
      <c r="BT1696" s="115"/>
      <c r="BU1696" s="26"/>
      <c r="BV1696" s="15"/>
      <c r="BZ1696" s="117"/>
      <c r="CA1696" s="116"/>
      <c r="CB1696" s="116"/>
      <c r="CC1696" s="116"/>
    </row>
    <row r="1697" spans="1:81" ht="19.5" x14ac:dyDescent="0.4"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22"/>
      <c r="BE1697" s="122"/>
      <c r="BF1697" s="122"/>
      <c r="BG1697" s="115"/>
      <c r="BH1697" s="115"/>
      <c r="BI1697" s="115"/>
      <c r="BJ1697" s="115"/>
      <c r="BK1697" s="115"/>
      <c r="BL1697" s="115"/>
      <c r="BM1697" s="115"/>
      <c r="BN1697" s="115"/>
      <c r="BO1697" s="115"/>
      <c r="BP1697" s="115"/>
      <c r="BQ1697" s="115"/>
      <c r="BR1697" s="115"/>
      <c r="BS1697" s="115"/>
      <c r="BT1697" s="115"/>
      <c r="BU1697" s="26"/>
      <c r="BV1697" s="15"/>
      <c r="BZ1697" s="117"/>
      <c r="CA1697" s="116"/>
      <c r="CB1697" s="116"/>
      <c r="CC1697" s="116"/>
    </row>
    <row r="1698" spans="1:81" ht="19.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22"/>
      <c r="BE1698" s="122"/>
      <c r="BF1698" s="122"/>
      <c r="BG1698" s="115"/>
      <c r="BH1698" s="115"/>
      <c r="BI1698" s="115"/>
      <c r="BJ1698" s="115"/>
      <c r="BK1698" s="115"/>
      <c r="BL1698" s="115"/>
      <c r="BM1698" s="115"/>
      <c r="BN1698" s="115"/>
      <c r="BO1698" s="115"/>
      <c r="BP1698" s="115"/>
      <c r="BQ1698" s="115"/>
      <c r="BR1698" s="115"/>
      <c r="BS1698" s="115"/>
      <c r="BT1698" s="115"/>
      <c r="BU1698" s="26"/>
      <c r="BV1698" s="15"/>
      <c r="BZ1698" s="117"/>
      <c r="CA1698" s="116"/>
      <c r="CB1698" s="116"/>
      <c r="CC1698" s="116"/>
    </row>
    <row r="1699" spans="1:81" ht="19.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22"/>
      <c r="BE1699" s="122"/>
      <c r="BF1699" s="122"/>
      <c r="BG1699" s="115"/>
      <c r="BH1699" s="115"/>
      <c r="BI1699" s="115"/>
      <c r="BJ1699" s="115"/>
      <c r="BK1699" s="115"/>
      <c r="BL1699" s="115"/>
      <c r="BM1699" s="115"/>
      <c r="BN1699" s="115"/>
      <c r="BO1699" s="115"/>
      <c r="BP1699" s="115"/>
      <c r="BQ1699" s="115"/>
      <c r="BR1699" s="115"/>
      <c r="BS1699" s="115"/>
      <c r="BT1699" s="115"/>
      <c r="BU1699" s="26"/>
      <c r="BV1699" s="15"/>
      <c r="BZ1699" s="117"/>
      <c r="CA1699" s="116"/>
      <c r="CB1699" s="116"/>
      <c r="CC1699" s="116"/>
    </row>
    <row r="1700" spans="1:81" ht="19.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22"/>
      <c r="BE1700" s="122"/>
      <c r="BF1700" s="122"/>
      <c r="BG1700" s="115"/>
      <c r="BH1700" s="115"/>
      <c r="BI1700" s="115"/>
      <c r="BJ1700" s="115"/>
      <c r="BK1700" s="115"/>
      <c r="BL1700" s="115"/>
      <c r="BM1700" s="115"/>
      <c r="BN1700" s="115"/>
      <c r="BO1700" s="115"/>
      <c r="BP1700" s="115"/>
      <c r="BQ1700" s="115"/>
      <c r="BR1700" s="115"/>
      <c r="BS1700" s="115"/>
      <c r="BT1700" s="115"/>
      <c r="BU1700" s="17"/>
      <c r="BV1700" s="15"/>
      <c r="BZ1700" s="117"/>
      <c r="CA1700" s="116"/>
      <c r="CB1700" s="116"/>
      <c r="CC1700" s="116"/>
    </row>
    <row r="1701" spans="1:81" ht="19.5" x14ac:dyDescent="0.4">
      <c r="BU1701" s="26"/>
      <c r="BV1701" s="15"/>
      <c r="BZ1701" s="117"/>
      <c r="CA1701" s="116"/>
      <c r="CB1701" s="116"/>
      <c r="CC1701" s="116"/>
    </row>
    <row r="1702" spans="1:81" ht="19.5" x14ac:dyDescent="0.4">
      <c r="BA1702" s="115"/>
      <c r="BB1702" s="115"/>
      <c r="BC1702" s="115"/>
      <c r="BD1702" s="122"/>
      <c r="BE1702" s="122"/>
      <c r="BF1702" s="122"/>
      <c r="BG1702" s="115"/>
      <c r="BH1702" s="115"/>
      <c r="BI1702" s="115"/>
      <c r="BJ1702" s="115"/>
      <c r="BK1702" s="115"/>
      <c r="BL1702" s="115"/>
      <c r="BM1702" s="115"/>
      <c r="BN1702" s="115"/>
      <c r="BO1702" s="115"/>
      <c r="BP1702" s="115"/>
      <c r="BQ1702" s="115"/>
      <c r="BR1702" s="115"/>
      <c r="BS1702" s="115"/>
      <c r="BT1702" s="115"/>
      <c r="BU1702" s="17"/>
      <c r="BV1702" s="13"/>
      <c r="BZ1702" s="117"/>
      <c r="CA1702" s="116"/>
      <c r="CB1702" s="116"/>
      <c r="CC1702" s="116"/>
    </row>
    <row r="1703" spans="1:81" ht="19.5" x14ac:dyDescent="0.4">
      <c r="BA1703" s="115"/>
      <c r="BB1703" s="115"/>
      <c r="BC1703" s="115"/>
      <c r="BD1703" s="122"/>
      <c r="BE1703" s="122"/>
      <c r="BF1703" s="122"/>
      <c r="BG1703" s="115"/>
      <c r="BH1703" s="115"/>
      <c r="BI1703" s="115"/>
      <c r="BJ1703" s="115"/>
      <c r="BK1703" s="115"/>
      <c r="BL1703" s="115"/>
      <c r="BM1703" s="115"/>
      <c r="BN1703" s="115"/>
      <c r="BO1703" s="115"/>
      <c r="BP1703" s="115"/>
      <c r="BQ1703" s="115"/>
      <c r="BR1703" s="115"/>
      <c r="BS1703" s="115"/>
      <c r="BT1703" s="115"/>
      <c r="BU1703" s="17"/>
      <c r="BV1703" s="13"/>
      <c r="BZ1703" s="117"/>
      <c r="CA1703" s="116"/>
      <c r="CB1703" s="116"/>
      <c r="CC1703" s="116"/>
    </row>
    <row r="1704" spans="1:81" ht="19.5" x14ac:dyDescent="0.4">
      <c r="BU1704" s="26"/>
      <c r="BV1704" s="13"/>
      <c r="BZ1704" s="117"/>
      <c r="CA1704" s="116"/>
      <c r="CB1704" s="116"/>
      <c r="CC1704" s="116"/>
    </row>
    <row r="1705" spans="1:81" ht="19.5" x14ac:dyDescent="0.4">
      <c r="BU1705" s="26"/>
      <c r="BV1705" s="13"/>
      <c r="BZ1705" s="116"/>
      <c r="CA1705" s="116"/>
      <c r="CB1705" s="116"/>
      <c r="CC1705" s="116"/>
    </row>
    <row r="1706" spans="1:81" ht="19.5" x14ac:dyDescent="0.4"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22"/>
      <c r="BE1706" s="122"/>
      <c r="BF1706" s="122"/>
      <c r="BG1706" s="115"/>
      <c r="BH1706" s="115"/>
      <c r="BI1706" s="115"/>
      <c r="BJ1706" s="115"/>
      <c r="BK1706" s="115"/>
      <c r="BL1706" s="115"/>
      <c r="BM1706" s="115"/>
      <c r="BN1706" s="115"/>
      <c r="BO1706" s="115"/>
      <c r="BP1706" s="115"/>
      <c r="BQ1706" s="115"/>
      <c r="BR1706" s="115"/>
      <c r="BS1706" s="115"/>
      <c r="BT1706" s="115"/>
      <c r="BU1706" s="26"/>
      <c r="BV1706" s="13"/>
      <c r="BZ1706" s="118"/>
      <c r="CA1706" s="118"/>
      <c r="CB1706" s="118"/>
      <c r="CC1706" s="118"/>
    </row>
    <row r="1707" spans="1:81" ht="19.5" x14ac:dyDescent="0.4"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22"/>
      <c r="BE1707" s="122"/>
      <c r="BF1707" s="122"/>
      <c r="BG1707" s="115"/>
      <c r="BH1707" s="115"/>
      <c r="BI1707" s="115"/>
      <c r="BJ1707" s="115"/>
      <c r="BK1707" s="115"/>
      <c r="BL1707" s="115"/>
      <c r="BM1707" s="115"/>
      <c r="BN1707" s="115"/>
      <c r="BO1707" s="115"/>
      <c r="BP1707" s="115"/>
      <c r="BQ1707" s="115"/>
      <c r="BR1707" s="115"/>
      <c r="BS1707" s="115"/>
      <c r="BT1707" s="115"/>
      <c r="BU1707" s="26"/>
      <c r="BV1707" s="13"/>
      <c r="BZ1707" s="118"/>
      <c r="CA1707" s="118"/>
      <c r="CB1707" s="118"/>
      <c r="CC1707" s="118"/>
    </row>
    <row r="1708" spans="1:81" ht="19.5" x14ac:dyDescent="0.4"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22"/>
      <c r="BE1708" s="122"/>
      <c r="BF1708" s="122"/>
      <c r="BG1708" s="115"/>
      <c r="BH1708" s="115"/>
      <c r="BI1708" s="115"/>
      <c r="BJ1708" s="115"/>
      <c r="BK1708" s="115"/>
      <c r="BL1708" s="115"/>
      <c r="BM1708" s="115"/>
      <c r="BN1708" s="115"/>
      <c r="BO1708" s="115"/>
      <c r="BP1708" s="115"/>
      <c r="BQ1708" s="115"/>
      <c r="BR1708" s="115"/>
      <c r="BS1708" s="115"/>
      <c r="BT1708" s="115"/>
      <c r="BU1708" s="26"/>
      <c r="BV1708" s="13"/>
      <c r="BZ1708" s="118"/>
      <c r="CA1708" s="118"/>
      <c r="CB1708" s="118"/>
      <c r="CC1708" s="118"/>
    </row>
    <row r="1709" spans="1:81" ht="19.5" x14ac:dyDescent="0.4"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22"/>
      <c r="BE1709" s="122"/>
      <c r="BF1709" s="122"/>
      <c r="BG1709" s="115"/>
      <c r="BH1709" s="115"/>
      <c r="BI1709" s="115"/>
      <c r="BJ1709" s="115"/>
      <c r="BK1709" s="115"/>
      <c r="BL1709" s="115"/>
      <c r="BM1709" s="115"/>
      <c r="BN1709" s="115"/>
      <c r="BO1709" s="115"/>
      <c r="BP1709" s="115"/>
      <c r="BQ1709" s="115"/>
      <c r="BR1709" s="115"/>
      <c r="BS1709" s="115"/>
      <c r="BT1709" s="115"/>
      <c r="BU1709" s="26"/>
      <c r="BV1709" s="15"/>
      <c r="BZ1709" s="118"/>
      <c r="CA1709" s="118"/>
      <c r="CB1709" s="118"/>
      <c r="CC1709" s="118"/>
    </row>
    <row r="1710" spans="1:81" ht="19.5" x14ac:dyDescent="0.4"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22"/>
      <c r="BE1710" s="122"/>
      <c r="BF1710" s="122"/>
      <c r="BG1710" s="115"/>
      <c r="BH1710" s="115"/>
      <c r="BI1710" s="115"/>
      <c r="BJ1710" s="115"/>
      <c r="BK1710" s="115"/>
      <c r="BL1710" s="115"/>
      <c r="BM1710" s="115"/>
      <c r="BN1710" s="115"/>
      <c r="BO1710" s="115"/>
      <c r="BP1710" s="115"/>
      <c r="BQ1710" s="115"/>
      <c r="BR1710" s="115"/>
      <c r="BS1710" s="115"/>
      <c r="BT1710" s="115"/>
      <c r="BU1710" s="26"/>
      <c r="BV1710" s="15"/>
      <c r="BZ1710" s="118"/>
      <c r="CA1710" s="118"/>
      <c r="CB1710" s="118"/>
      <c r="CC1710" s="118"/>
    </row>
    <row r="1711" spans="1:81" ht="19.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22"/>
      <c r="BE1711" s="122"/>
      <c r="BF1711" s="122"/>
      <c r="BG1711" s="115"/>
      <c r="BH1711" s="115"/>
      <c r="BI1711" s="115"/>
      <c r="BJ1711" s="115"/>
      <c r="BK1711" s="115"/>
      <c r="BL1711" s="115"/>
      <c r="BM1711" s="115"/>
      <c r="BN1711" s="115"/>
      <c r="BO1711" s="115"/>
      <c r="BP1711" s="115"/>
      <c r="BQ1711" s="115"/>
      <c r="BR1711" s="115"/>
      <c r="BS1711" s="115"/>
      <c r="BT1711" s="115"/>
      <c r="BU1711" s="26"/>
      <c r="BV1711" s="15"/>
      <c r="BZ1711" s="118"/>
      <c r="CA1711" s="118"/>
      <c r="CB1711" s="118"/>
      <c r="CC1711" s="118"/>
    </row>
    <row r="1712" spans="1:81" ht="19.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22"/>
      <c r="BE1712" s="122"/>
      <c r="BF1712" s="122"/>
      <c r="BG1712" s="115"/>
      <c r="BH1712" s="115"/>
      <c r="BI1712" s="115"/>
      <c r="BJ1712" s="115"/>
      <c r="BK1712" s="115"/>
      <c r="BL1712" s="115"/>
      <c r="BM1712" s="115"/>
      <c r="BN1712" s="115"/>
      <c r="BO1712" s="115"/>
      <c r="BP1712" s="115"/>
      <c r="BQ1712" s="115"/>
      <c r="BR1712" s="115"/>
      <c r="BS1712" s="115"/>
      <c r="BT1712" s="115"/>
      <c r="BU1712" s="26"/>
      <c r="BV1712" s="15"/>
      <c r="BZ1712" s="118"/>
      <c r="CA1712" s="118"/>
      <c r="CB1712" s="118"/>
      <c r="CC1712" s="118"/>
    </row>
    <row r="1713" spans="1:81" ht="20.25" customHeight="1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22"/>
      <c r="BE1713" s="122"/>
      <c r="BF1713" s="122"/>
      <c r="BG1713" s="115"/>
      <c r="BH1713" s="115"/>
      <c r="BI1713" s="115"/>
      <c r="BJ1713" s="115"/>
      <c r="BK1713" s="115"/>
      <c r="BL1713" s="115"/>
      <c r="BM1713" s="115"/>
      <c r="BN1713" s="115"/>
      <c r="BO1713" s="115"/>
      <c r="BP1713" s="115"/>
      <c r="BQ1713" s="115"/>
      <c r="BR1713" s="115"/>
      <c r="BS1713" s="115"/>
      <c r="BT1713" s="115"/>
      <c r="BU1713" s="26"/>
      <c r="BV1713" s="15"/>
      <c r="BZ1713" s="118"/>
      <c r="CA1713" s="118"/>
      <c r="CB1713" s="118"/>
      <c r="CC1713" s="118"/>
    </row>
    <row r="1714" spans="1:81" x14ac:dyDescent="0.4">
      <c r="BU1714" s="26"/>
      <c r="BV1714" s="15"/>
    </row>
    <row r="1715" spans="1:81" x14ac:dyDescent="0.4">
      <c r="BU1715" s="26"/>
      <c r="BV1715" s="13"/>
    </row>
    <row r="1716" spans="1:81" x14ac:dyDescent="0.4">
      <c r="AY1716" s="115"/>
      <c r="AZ1716" s="115"/>
      <c r="BA1716" s="115"/>
      <c r="BB1716" s="115"/>
      <c r="BC1716" s="115"/>
      <c r="BD1716" s="122"/>
      <c r="BE1716" s="122"/>
      <c r="BF1716" s="122"/>
      <c r="BG1716" s="115"/>
      <c r="BH1716" s="115"/>
      <c r="BI1716" s="115"/>
      <c r="BJ1716" s="115"/>
      <c r="BK1716" s="115"/>
      <c r="BL1716" s="115"/>
      <c r="BM1716" s="115"/>
      <c r="BN1716" s="115"/>
      <c r="BO1716" s="115"/>
      <c r="BP1716" s="115"/>
      <c r="BQ1716" s="115"/>
      <c r="BR1716" s="115"/>
      <c r="BS1716" s="115"/>
      <c r="BT1716" s="115"/>
      <c r="BU1716" s="26"/>
      <c r="BV1716" s="13"/>
    </row>
    <row r="1717" spans="1:81" x14ac:dyDescent="0.4">
      <c r="AY1717" s="115"/>
      <c r="AZ1717" s="115"/>
      <c r="BA1717" s="115"/>
      <c r="BB1717" s="115"/>
      <c r="BC1717" s="115"/>
      <c r="BD1717" s="122"/>
      <c r="BE1717" s="122"/>
      <c r="BF1717" s="122"/>
      <c r="BG1717" s="115"/>
      <c r="BH1717" s="115"/>
      <c r="BI1717" s="115"/>
      <c r="BJ1717" s="115"/>
      <c r="BK1717" s="115"/>
      <c r="BL1717" s="115"/>
      <c r="BM1717" s="115"/>
      <c r="BN1717" s="115"/>
      <c r="BO1717" s="115"/>
      <c r="BP1717" s="115"/>
      <c r="BQ1717" s="115"/>
      <c r="BR1717" s="115"/>
      <c r="BS1717" s="115"/>
      <c r="BT1717" s="115"/>
      <c r="BU1717" s="17"/>
      <c r="BV1717" s="13"/>
    </row>
    <row r="1718" spans="1:81" x14ac:dyDescent="0.4"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22"/>
      <c r="BE1718" s="122"/>
      <c r="BF1718" s="122"/>
      <c r="BG1718" s="115"/>
      <c r="BH1718" s="115"/>
      <c r="BI1718" s="115"/>
      <c r="BJ1718" s="115"/>
      <c r="BK1718" s="115"/>
      <c r="BL1718" s="115"/>
      <c r="BM1718" s="115"/>
      <c r="BN1718" s="115"/>
      <c r="BO1718" s="115"/>
      <c r="BP1718" s="115"/>
      <c r="BQ1718" s="115"/>
      <c r="BR1718" s="115"/>
      <c r="BS1718" s="115"/>
      <c r="BT1718" s="115"/>
      <c r="BU1718" s="26"/>
      <c r="BV1718" s="13"/>
    </row>
    <row r="1719" spans="1:81" x14ac:dyDescent="0.4"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22"/>
      <c r="BE1719" s="122"/>
      <c r="BF1719" s="122"/>
      <c r="BG1719" s="115"/>
      <c r="BH1719" s="115"/>
      <c r="BI1719" s="115"/>
      <c r="BJ1719" s="115"/>
      <c r="BK1719" s="115"/>
      <c r="BL1719" s="115"/>
      <c r="BM1719" s="115"/>
      <c r="BN1719" s="115"/>
      <c r="BO1719" s="115"/>
      <c r="BP1719" s="115"/>
      <c r="BQ1719" s="115"/>
      <c r="BR1719" s="115"/>
      <c r="BS1719" s="115"/>
      <c r="BT1719" s="115"/>
      <c r="BU1719" s="26"/>
      <c r="BV1719" s="13"/>
    </row>
    <row r="1720" spans="1:81" x14ac:dyDescent="0.4">
      <c r="BU1720" s="26"/>
      <c r="BV1720" s="13"/>
    </row>
    <row r="1721" spans="1:81" x14ac:dyDescent="0.4"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22"/>
      <c r="BE1721" s="122"/>
      <c r="BF1721" s="122"/>
      <c r="BG1721" s="115"/>
      <c r="BH1721" s="115"/>
      <c r="BI1721" s="115"/>
      <c r="BJ1721" s="115"/>
      <c r="BK1721" s="115"/>
      <c r="BL1721" s="115"/>
      <c r="BM1721" s="115"/>
      <c r="BN1721" s="115"/>
      <c r="BO1721" s="115"/>
      <c r="BP1721" s="115"/>
      <c r="BQ1721" s="115"/>
      <c r="BR1721" s="115"/>
      <c r="BS1721" s="115"/>
      <c r="BT1721" s="115"/>
      <c r="BU1721" s="26"/>
      <c r="BV1721" s="13"/>
    </row>
    <row r="1722" spans="1:81" x14ac:dyDescent="0.4"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22"/>
      <c r="BE1722" s="122"/>
      <c r="BF1722" s="122"/>
      <c r="BG1722" s="115"/>
      <c r="BH1722" s="115"/>
      <c r="BI1722" s="115"/>
      <c r="BJ1722" s="115"/>
      <c r="BK1722" s="115"/>
      <c r="BL1722" s="115"/>
      <c r="BM1722" s="115"/>
      <c r="BN1722" s="115"/>
      <c r="BO1722" s="115"/>
      <c r="BP1722" s="115"/>
      <c r="BQ1722" s="115"/>
      <c r="BR1722" s="115"/>
      <c r="BS1722" s="115"/>
      <c r="BT1722" s="115"/>
      <c r="BU1722" s="26"/>
      <c r="BV1722" s="13"/>
    </row>
    <row r="1723" spans="1:81" x14ac:dyDescent="0.4">
      <c r="BU1723" s="26"/>
      <c r="BV1723" s="13"/>
    </row>
    <row r="1724" spans="1:81" x14ac:dyDescent="0.4"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22"/>
      <c r="BE1724" s="122"/>
      <c r="BF1724" s="122"/>
      <c r="BG1724" s="115"/>
      <c r="BH1724" s="115"/>
      <c r="BI1724" s="115"/>
      <c r="BJ1724" s="115"/>
      <c r="BK1724" s="115"/>
      <c r="BL1724" s="115"/>
      <c r="BM1724" s="115"/>
      <c r="BN1724" s="115"/>
      <c r="BO1724" s="115"/>
      <c r="BP1724" s="115"/>
      <c r="BQ1724" s="115"/>
      <c r="BR1724" s="115"/>
      <c r="BS1724" s="115"/>
      <c r="BT1724" s="115"/>
      <c r="BU1724" s="26"/>
      <c r="BV1724" s="13"/>
    </row>
    <row r="1725" spans="1:81" x14ac:dyDescent="0.4">
      <c r="BU1725" s="26"/>
      <c r="BV1725" s="13"/>
    </row>
    <row r="1726" spans="1:81" x14ac:dyDescent="0.4">
      <c r="AX1726" s="115"/>
      <c r="AY1726" s="115"/>
      <c r="AZ1726" s="115"/>
      <c r="BA1726" s="115"/>
      <c r="BB1726" s="115"/>
      <c r="BC1726" s="115"/>
      <c r="BD1726" s="122"/>
      <c r="BE1726" s="122"/>
      <c r="BF1726" s="122"/>
      <c r="BG1726" s="115"/>
      <c r="BH1726" s="115"/>
      <c r="BI1726" s="115"/>
      <c r="BJ1726" s="115"/>
      <c r="BK1726" s="115"/>
      <c r="BL1726" s="115"/>
      <c r="BM1726" s="115"/>
      <c r="BN1726" s="115"/>
      <c r="BO1726" s="115"/>
      <c r="BP1726" s="115"/>
      <c r="BQ1726" s="115"/>
      <c r="BR1726" s="115"/>
      <c r="BS1726" s="115"/>
      <c r="BT1726" s="115"/>
      <c r="BU1726" s="26"/>
      <c r="BV1726" s="13"/>
    </row>
    <row r="1727" spans="1:81" x14ac:dyDescent="0.4">
      <c r="BU1727" s="26"/>
      <c r="BV1727" s="13"/>
    </row>
    <row r="1728" spans="1:81" x14ac:dyDescent="0.4"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15"/>
      <c r="AY1728" s="115"/>
      <c r="AZ1728" s="115"/>
      <c r="BA1728" s="115"/>
      <c r="BB1728" s="115"/>
      <c r="BC1728" s="115"/>
      <c r="BD1728" s="122"/>
      <c r="BE1728" s="122"/>
      <c r="BF1728" s="122"/>
      <c r="BG1728" s="115"/>
      <c r="BH1728" s="115"/>
      <c r="BI1728" s="115"/>
      <c r="BJ1728" s="115"/>
      <c r="BK1728" s="115"/>
      <c r="BL1728" s="115"/>
      <c r="BM1728" s="115"/>
      <c r="BN1728" s="115"/>
      <c r="BO1728" s="115"/>
      <c r="BP1728" s="115"/>
      <c r="BQ1728" s="115"/>
      <c r="BR1728" s="115"/>
      <c r="BS1728" s="115"/>
      <c r="BT1728" s="115"/>
      <c r="BU1728" s="26"/>
      <c r="BV1728" s="15"/>
    </row>
    <row r="1729" spans="1:74" x14ac:dyDescent="0.4">
      <c r="D1729" s="115"/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15"/>
      <c r="AV1729" s="115"/>
      <c r="AW1729" s="115"/>
      <c r="AX1729" s="115"/>
      <c r="AY1729" s="115"/>
      <c r="AZ1729" s="115"/>
      <c r="BA1729" s="115"/>
      <c r="BB1729" s="115"/>
      <c r="BC1729" s="115"/>
      <c r="BD1729" s="122"/>
      <c r="BE1729" s="122"/>
      <c r="BF1729" s="122"/>
      <c r="BG1729" s="115"/>
      <c r="BH1729" s="115"/>
      <c r="BI1729" s="115"/>
      <c r="BJ1729" s="115"/>
      <c r="BK1729" s="115"/>
      <c r="BL1729" s="115"/>
      <c r="BM1729" s="115"/>
      <c r="BN1729" s="115"/>
      <c r="BO1729" s="115"/>
      <c r="BP1729" s="115"/>
      <c r="BQ1729" s="115"/>
      <c r="BR1729" s="115"/>
      <c r="BS1729" s="115"/>
      <c r="BT1729" s="115"/>
      <c r="BU1729" s="26"/>
      <c r="BV1729" s="15"/>
    </row>
    <row r="1730" spans="1:74" x14ac:dyDescent="0.4">
      <c r="D1730" s="115"/>
      <c r="E1730" s="115"/>
      <c r="F1730" s="115"/>
      <c r="G1730" s="115"/>
      <c r="H1730" s="115"/>
      <c r="I1730" s="115"/>
      <c r="J1730" s="115"/>
      <c r="K1730" s="115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  <c r="AI1730" s="115"/>
      <c r="AJ1730" s="115"/>
      <c r="AK1730" s="115"/>
      <c r="AL1730" s="115"/>
      <c r="AM1730" s="115"/>
      <c r="AN1730" s="115"/>
      <c r="AO1730" s="115"/>
      <c r="AP1730" s="115"/>
      <c r="AQ1730" s="115"/>
      <c r="AR1730" s="115"/>
      <c r="AS1730" s="115"/>
      <c r="AT1730" s="115"/>
      <c r="AU1730" s="115"/>
      <c r="AV1730" s="115"/>
      <c r="AW1730" s="115"/>
      <c r="AX1730" s="115"/>
      <c r="AY1730" s="115"/>
      <c r="AZ1730" s="115"/>
      <c r="BA1730" s="115"/>
      <c r="BB1730" s="115"/>
      <c r="BC1730" s="115"/>
      <c r="BD1730" s="122"/>
      <c r="BE1730" s="122"/>
      <c r="BF1730" s="122"/>
      <c r="BG1730" s="115"/>
      <c r="BH1730" s="115"/>
      <c r="BI1730" s="115"/>
      <c r="BJ1730" s="115"/>
      <c r="BK1730" s="115"/>
      <c r="BL1730" s="115"/>
      <c r="BM1730" s="115"/>
      <c r="BN1730" s="115"/>
      <c r="BO1730" s="115"/>
      <c r="BP1730" s="115"/>
      <c r="BQ1730" s="115"/>
      <c r="BR1730" s="115"/>
      <c r="BS1730" s="115"/>
      <c r="BT1730" s="115"/>
      <c r="BU1730" s="26"/>
      <c r="BV1730" s="15"/>
    </row>
    <row r="1731" spans="1:74" x14ac:dyDescent="0.4">
      <c r="BU1731" s="26"/>
      <c r="BV1731" s="13"/>
    </row>
    <row r="1732" spans="1:74" x14ac:dyDescent="0.4">
      <c r="A1732" s="115"/>
      <c r="B1732" s="115"/>
      <c r="C1732" s="115"/>
      <c r="D1732" s="115"/>
      <c r="E1732" s="115"/>
      <c r="F1732" s="115"/>
      <c r="G1732" s="115"/>
      <c r="H1732" s="115"/>
      <c r="I1732" s="115"/>
      <c r="J1732" s="115"/>
      <c r="K1732" s="115"/>
      <c r="L1732" s="115"/>
      <c r="M1732" s="115"/>
      <c r="N1732" s="115"/>
      <c r="O1732" s="115"/>
      <c r="P1732" s="115"/>
      <c r="Q1732" s="115"/>
      <c r="R1732" s="115"/>
      <c r="S1732" s="115"/>
      <c r="T1732" s="115"/>
      <c r="U1732" s="115"/>
      <c r="V1732" s="115"/>
      <c r="W1732" s="115"/>
      <c r="X1732" s="115"/>
      <c r="Y1732" s="115"/>
      <c r="Z1732" s="115"/>
      <c r="AA1732" s="115"/>
      <c r="AB1732" s="115"/>
      <c r="AC1732" s="115"/>
      <c r="AD1732" s="115"/>
      <c r="AE1732" s="115"/>
      <c r="AF1732" s="115"/>
      <c r="AG1732" s="115"/>
      <c r="AH1732" s="115"/>
      <c r="AI1732" s="115"/>
      <c r="AJ1732" s="115"/>
      <c r="AK1732" s="115"/>
      <c r="AL1732" s="115"/>
      <c r="AM1732" s="115"/>
      <c r="AN1732" s="115"/>
      <c r="AO1732" s="115"/>
      <c r="AP1732" s="115"/>
      <c r="AQ1732" s="115"/>
      <c r="AR1732" s="115"/>
      <c r="AS1732" s="115"/>
      <c r="AT1732" s="115"/>
      <c r="AU1732" s="115"/>
      <c r="AV1732" s="115"/>
      <c r="AW1732" s="115"/>
      <c r="AX1732" s="115"/>
      <c r="AY1732" s="115"/>
      <c r="AZ1732" s="115"/>
      <c r="BA1732" s="115"/>
      <c r="BB1732" s="115"/>
      <c r="BC1732" s="115"/>
      <c r="BD1732" s="122"/>
      <c r="BE1732" s="122"/>
      <c r="BF1732" s="122"/>
      <c r="BG1732" s="115"/>
      <c r="BH1732" s="115"/>
      <c r="BI1732" s="115"/>
      <c r="BJ1732" s="115"/>
      <c r="BK1732" s="115"/>
      <c r="BL1732" s="115"/>
      <c r="BM1732" s="115"/>
      <c r="BN1732" s="115"/>
      <c r="BO1732" s="115"/>
      <c r="BP1732" s="115"/>
      <c r="BQ1732" s="115"/>
      <c r="BR1732" s="115"/>
      <c r="BS1732" s="115"/>
      <c r="BT1732" s="115"/>
      <c r="BU1732" s="26"/>
      <c r="BV1732" s="15"/>
    </row>
    <row r="1733" spans="1:74" x14ac:dyDescent="0.4">
      <c r="BU1733" s="26"/>
      <c r="BV1733" s="15"/>
    </row>
    <row r="1734" spans="1:74" x14ac:dyDescent="0.4">
      <c r="BU1734" s="26"/>
      <c r="BV1734" s="15"/>
    </row>
    <row r="1735" spans="1:74" x14ac:dyDescent="0.4">
      <c r="E1735" s="115"/>
      <c r="F1735" s="115"/>
      <c r="G1735" s="115"/>
      <c r="H1735" s="115"/>
      <c r="I1735" s="115"/>
      <c r="J1735" s="115"/>
      <c r="K1735" s="115"/>
      <c r="L1735" s="115"/>
      <c r="M1735" s="115"/>
      <c r="N1735" s="115"/>
      <c r="O1735" s="115"/>
      <c r="P1735" s="115"/>
      <c r="Q1735" s="115"/>
      <c r="R1735" s="115"/>
      <c r="S1735" s="115"/>
      <c r="T1735" s="115"/>
      <c r="U1735" s="115"/>
      <c r="V1735" s="115"/>
      <c r="W1735" s="115"/>
      <c r="X1735" s="115"/>
      <c r="Y1735" s="115"/>
      <c r="Z1735" s="115"/>
      <c r="AA1735" s="115"/>
      <c r="AB1735" s="115"/>
      <c r="AC1735" s="115"/>
      <c r="AD1735" s="115"/>
      <c r="AE1735" s="115"/>
      <c r="AF1735" s="115"/>
      <c r="AG1735" s="115"/>
      <c r="AH1735" s="115"/>
      <c r="AI1735" s="115"/>
      <c r="AJ1735" s="115"/>
      <c r="AK1735" s="115"/>
      <c r="AL1735" s="115"/>
      <c r="AM1735" s="115"/>
      <c r="AN1735" s="115"/>
      <c r="AO1735" s="115"/>
      <c r="AP1735" s="115"/>
      <c r="AQ1735" s="115"/>
      <c r="AR1735" s="115"/>
      <c r="AS1735" s="115"/>
      <c r="AT1735" s="115"/>
      <c r="AU1735" s="115"/>
      <c r="AV1735" s="115"/>
      <c r="AW1735" s="115"/>
      <c r="AX1735" s="115"/>
      <c r="AY1735" s="115"/>
      <c r="AZ1735" s="115"/>
      <c r="BA1735" s="115"/>
      <c r="BB1735" s="115"/>
      <c r="BC1735" s="115"/>
      <c r="BD1735" s="122"/>
      <c r="BE1735" s="122"/>
      <c r="BF1735" s="122"/>
      <c r="BG1735" s="115"/>
      <c r="BH1735" s="115"/>
      <c r="BI1735" s="115"/>
      <c r="BJ1735" s="115"/>
      <c r="BK1735" s="115"/>
      <c r="BL1735" s="115"/>
      <c r="BM1735" s="115"/>
      <c r="BN1735" s="115"/>
      <c r="BO1735" s="115"/>
      <c r="BP1735" s="115"/>
      <c r="BQ1735" s="115"/>
      <c r="BR1735" s="115"/>
      <c r="BS1735" s="115"/>
      <c r="BT1735" s="115"/>
      <c r="BU1735" s="26"/>
      <c r="BV1735" s="15"/>
    </row>
    <row r="1736" spans="1:74" x14ac:dyDescent="0.4">
      <c r="C1736" s="115"/>
      <c r="D1736" s="115"/>
      <c r="E1736" s="115"/>
      <c r="F1736" s="115"/>
      <c r="G1736" s="115"/>
      <c r="H1736" s="115"/>
      <c r="I1736" s="115"/>
      <c r="J1736" s="115"/>
      <c r="K1736" s="115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  <c r="AI1736" s="115"/>
      <c r="AJ1736" s="115"/>
      <c r="AK1736" s="115"/>
      <c r="AL1736" s="115"/>
      <c r="AM1736" s="115"/>
      <c r="AN1736" s="115"/>
      <c r="AO1736" s="115"/>
      <c r="AP1736" s="115"/>
      <c r="AQ1736" s="115"/>
      <c r="AR1736" s="115"/>
      <c r="AS1736" s="115"/>
      <c r="AT1736" s="115"/>
      <c r="AU1736" s="115"/>
      <c r="AV1736" s="115"/>
      <c r="AW1736" s="115"/>
      <c r="AX1736" s="115"/>
      <c r="AY1736" s="115"/>
      <c r="AZ1736" s="115"/>
      <c r="BA1736" s="115"/>
      <c r="BB1736" s="115"/>
      <c r="BC1736" s="115"/>
      <c r="BD1736" s="122"/>
      <c r="BE1736" s="122"/>
      <c r="BF1736" s="122"/>
      <c r="BG1736" s="115"/>
      <c r="BH1736" s="115"/>
      <c r="BI1736" s="115"/>
      <c r="BJ1736" s="115"/>
      <c r="BK1736" s="115"/>
      <c r="BL1736" s="115"/>
      <c r="BM1736" s="115"/>
      <c r="BN1736" s="115"/>
      <c r="BO1736" s="115"/>
      <c r="BP1736" s="115"/>
      <c r="BQ1736" s="115"/>
      <c r="BR1736" s="115"/>
      <c r="BS1736" s="115"/>
      <c r="BT1736" s="115"/>
      <c r="BU1736" s="26"/>
      <c r="BV1736" s="15"/>
    </row>
    <row r="1737" spans="1:74" x14ac:dyDescent="0.4">
      <c r="BU1737" s="26"/>
      <c r="BV1737" s="15"/>
    </row>
    <row r="1738" spans="1:74" x14ac:dyDescent="0.4">
      <c r="AW1738" s="115"/>
      <c r="AX1738" s="115"/>
      <c r="AY1738" s="115"/>
      <c r="AZ1738" s="115"/>
      <c r="BA1738" s="115"/>
      <c r="BB1738" s="115"/>
      <c r="BC1738" s="115"/>
      <c r="BD1738" s="122"/>
      <c r="BE1738" s="122"/>
      <c r="BF1738" s="122"/>
      <c r="BG1738" s="115"/>
      <c r="BH1738" s="115"/>
      <c r="BI1738" s="115"/>
      <c r="BJ1738" s="115"/>
      <c r="BK1738" s="115"/>
      <c r="BL1738" s="115"/>
      <c r="BM1738" s="115"/>
      <c r="BN1738" s="115"/>
      <c r="BO1738" s="115"/>
      <c r="BP1738" s="115"/>
      <c r="BQ1738" s="115"/>
      <c r="BR1738" s="115"/>
      <c r="BS1738" s="115"/>
      <c r="BT1738" s="115"/>
      <c r="BU1738" s="26"/>
      <c r="BV1738" s="15"/>
    </row>
    <row r="1739" spans="1:74" x14ac:dyDescent="0.4">
      <c r="D1739" s="115"/>
      <c r="E1739" s="115"/>
      <c r="F1739" s="115"/>
      <c r="G1739" s="115"/>
      <c r="H1739" s="115"/>
      <c r="I1739" s="115"/>
      <c r="J1739" s="115"/>
      <c r="K1739" s="115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  <c r="AI1739" s="115"/>
      <c r="AJ1739" s="115"/>
      <c r="AK1739" s="115"/>
      <c r="AL1739" s="115"/>
      <c r="AM1739" s="115"/>
      <c r="AN1739" s="115"/>
      <c r="AO1739" s="115"/>
      <c r="AP1739" s="115"/>
      <c r="AQ1739" s="115"/>
      <c r="AR1739" s="115"/>
      <c r="AS1739" s="115"/>
      <c r="AT1739" s="115"/>
      <c r="AU1739" s="115"/>
      <c r="AV1739" s="115"/>
      <c r="AW1739" s="115"/>
      <c r="AX1739" s="115"/>
      <c r="AY1739" s="115"/>
      <c r="AZ1739" s="115"/>
      <c r="BA1739" s="115"/>
      <c r="BB1739" s="115"/>
      <c r="BC1739" s="115"/>
      <c r="BD1739" s="122"/>
      <c r="BE1739" s="122"/>
      <c r="BF1739" s="122"/>
      <c r="BG1739" s="115"/>
      <c r="BH1739" s="115"/>
      <c r="BI1739" s="115"/>
      <c r="BJ1739" s="115"/>
      <c r="BK1739" s="115"/>
      <c r="BL1739" s="115"/>
      <c r="BM1739" s="115"/>
      <c r="BN1739" s="115"/>
      <c r="BO1739" s="115"/>
      <c r="BP1739" s="115"/>
      <c r="BQ1739" s="115"/>
      <c r="BR1739" s="115"/>
      <c r="BS1739" s="115"/>
      <c r="BT1739" s="115"/>
      <c r="BU1739" s="26"/>
      <c r="BV1739" s="15"/>
    </row>
    <row r="1740" spans="1:74" x14ac:dyDescent="0.4"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15"/>
      <c r="AY1740" s="115"/>
      <c r="AZ1740" s="115"/>
      <c r="BA1740" s="115"/>
      <c r="BB1740" s="115"/>
      <c r="BC1740" s="115"/>
      <c r="BD1740" s="122"/>
      <c r="BE1740" s="122"/>
      <c r="BF1740" s="122"/>
      <c r="BG1740" s="115"/>
      <c r="BH1740" s="115"/>
      <c r="BI1740" s="115"/>
      <c r="BJ1740" s="115"/>
      <c r="BK1740" s="115"/>
      <c r="BL1740" s="115"/>
      <c r="BM1740" s="115"/>
      <c r="BN1740" s="115"/>
      <c r="BO1740" s="115"/>
      <c r="BP1740" s="115"/>
      <c r="BQ1740" s="115"/>
      <c r="BR1740" s="115"/>
      <c r="BS1740" s="115"/>
      <c r="BT1740" s="115"/>
      <c r="BU1740" s="26"/>
      <c r="BV1740" s="15"/>
    </row>
    <row r="1741" spans="1:74" x14ac:dyDescent="0.4"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22"/>
      <c r="BE1741" s="122"/>
      <c r="BF1741" s="122"/>
      <c r="BG1741" s="115"/>
      <c r="BH1741" s="115"/>
      <c r="BI1741" s="115"/>
      <c r="BJ1741" s="115"/>
      <c r="BK1741" s="115"/>
      <c r="BL1741" s="115"/>
      <c r="BM1741" s="115"/>
      <c r="BN1741" s="115"/>
      <c r="BO1741" s="115"/>
      <c r="BP1741" s="115"/>
      <c r="BQ1741" s="115"/>
      <c r="BR1741" s="115"/>
      <c r="BS1741" s="115"/>
      <c r="BT1741" s="115"/>
      <c r="BU1741" s="26"/>
      <c r="BV1741" s="15"/>
    </row>
    <row r="1742" spans="1:74" x14ac:dyDescent="0.4">
      <c r="C1742" s="115"/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22"/>
      <c r="BE1742" s="122"/>
      <c r="BF1742" s="122"/>
      <c r="BG1742" s="115"/>
      <c r="BH1742" s="115"/>
      <c r="BI1742" s="115"/>
      <c r="BJ1742" s="115"/>
      <c r="BK1742" s="115"/>
      <c r="BL1742" s="115"/>
      <c r="BM1742" s="115"/>
      <c r="BN1742" s="115"/>
      <c r="BO1742" s="115"/>
      <c r="BP1742" s="115"/>
      <c r="BQ1742" s="115"/>
      <c r="BR1742" s="115"/>
      <c r="BS1742" s="115"/>
      <c r="BT1742" s="115"/>
      <c r="BU1742" s="26"/>
      <c r="BV1742" s="15"/>
    </row>
    <row r="1743" spans="1:74" x14ac:dyDescent="0.4">
      <c r="BU1743" s="26"/>
      <c r="BV1743" s="15"/>
    </row>
    <row r="1744" spans="1:74" x14ac:dyDescent="0.4">
      <c r="AZ1744" s="115"/>
      <c r="BA1744" s="115"/>
      <c r="BB1744" s="115"/>
      <c r="BC1744" s="115"/>
      <c r="BD1744" s="122"/>
      <c r="BE1744" s="122"/>
      <c r="BF1744" s="122"/>
      <c r="BG1744" s="115"/>
      <c r="BH1744" s="115"/>
      <c r="BI1744" s="115"/>
      <c r="BJ1744" s="115"/>
      <c r="BK1744" s="115"/>
      <c r="BL1744" s="115"/>
      <c r="BM1744" s="115"/>
      <c r="BN1744" s="115"/>
      <c r="BO1744" s="115"/>
      <c r="BP1744" s="115"/>
      <c r="BQ1744" s="115"/>
      <c r="BR1744" s="115"/>
      <c r="BS1744" s="115"/>
      <c r="BT1744" s="115"/>
      <c r="BU1744" s="17"/>
      <c r="BV1744" s="15"/>
    </row>
    <row r="1745" spans="1:74" x14ac:dyDescent="0.4">
      <c r="BU1745" s="26"/>
      <c r="BV1745" s="15"/>
    </row>
    <row r="1746" spans="1:74" x14ac:dyDescent="0.4">
      <c r="AX1746" s="115"/>
      <c r="AY1746" s="115"/>
      <c r="AZ1746" s="115"/>
      <c r="BA1746" s="115"/>
      <c r="BB1746" s="115"/>
      <c r="BC1746" s="115"/>
      <c r="BD1746" s="122"/>
      <c r="BE1746" s="122"/>
      <c r="BF1746" s="122"/>
      <c r="BG1746" s="115"/>
      <c r="BH1746" s="115"/>
      <c r="BI1746" s="115"/>
      <c r="BJ1746" s="115"/>
      <c r="BK1746" s="115"/>
      <c r="BL1746" s="115"/>
      <c r="BM1746" s="115"/>
      <c r="BN1746" s="115"/>
      <c r="BO1746" s="115"/>
      <c r="BP1746" s="115"/>
      <c r="BQ1746" s="115"/>
      <c r="BR1746" s="115"/>
      <c r="BS1746" s="115"/>
      <c r="BT1746" s="115"/>
      <c r="BU1746" s="26"/>
      <c r="BV1746" s="15"/>
    </row>
    <row r="1747" spans="1:74" x14ac:dyDescent="0.4">
      <c r="BU1747" s="26"/>
      <c r="BV1747" s="15"/>
    </row>
    <row r="1748" spans="1:74" x14ac:dyDescent="0.4">
      <c r="BU1748" s="26"/>
      <c r="BV1748" s="15"/>
    </row>
    <row r="1749" spans="1:74" x14ac:dyDescent="0.4">
      <c r="E1749" s="115"/>
      <c r="F1749" s="115"/>
      <c r="G1749" s="115"/>
      <c r="H1749" s="115"/>
      <c r="I1749" s="115"/>
      <c r="J1749" s="115"/>
      <c r="K1749" s="115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  <c r="AI1749" s="115"/>
      <c r="AJ1749" s="115"/>
      <c r="AK1749" s="115"/>
      <c r="AL1749" s="115"/>
      <c r="AM1749" s="115"/>
      <c r="AN1749" s="115"/>
      <c r="AO1749" s="115"/>
      <c r="AP1749" s="115"/>
      <c r="AQ1749" s="115"/>
      <c r="AR1749" s="115"/>
      <c r="AS1749" s="115"/>
      <c r="AT1749" s="115"/>
      <c r="AU1749" s="115"/>
      <c r="AV1749" s="115"/>
      <c r="AW1749" s="115"/>
      <c r="AX1749" s="115"/>
      <c r="AY1749" s="115"/>
      <c r="AZ1749" s="115"/>
      <c r="BA1749" s="115"/>
      <c r="BB1749" s="115"/>
      <c r="BC1749" s="115"/>
      <c r="BD1749" s="122"/>
      <c r="BE1749" s="122"/>
      <c r="BF1749" s="122"/>
      <c r="BG1749" s="115"/>
      <c r="BH1749" s="115"/>
      <c r="BI1749" s="115"/>
      <c r="BJ1749" s="115"/>
      <c r="BK1749" s="115"/>
      <c r="BL1749" s="115"/>
      <c r="BM1749" s="115"/>
      <c r="BN1749" s="115"/>
      <c r="BO1749" s="115"/>
      <c r="BP1749" s="115"/>
      <c r="BQ1749" s="115"/>
      <c r="BR1749" s="115"/>
      <c r="BS1749" s="115"/>
      <c r="BT1749" s="115"/>
      <c r="BU1749" s="26"/>
      <c r="BV1749" s="15"/>
    </row>
    <row r="1750" spans="1:74" x14ac:dyDescent="0.4"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15"/>
      <c r="AZ1750" s="115"/>
      <c r="BA1750" s="115"/>
      <c r="BB1750" s="115"/>
      <c r="BC1750" s="115"/>
      <c r="BD1750" s="122"/>
      <c r="BE1750" s="122"/>
      <c r="BF1750" s="122"/>
      <c r="BG1750" s="115"/>
      <c r="BH1750" s="115"/>
      <c r="BI1750" s="115"/>
      <c r="BJ1750" s="115"/>
      <c r="BK1750" s="115"/>
      <c r="BL1750" s="115"/>
      <c r="BM1750" s="115"/>
      <c r="BN1750" s="115"/>
      <c r="BO1750" s="115"/>
      <c r="BP1750" s="115"/>
      <c r="BQ1750" s="115"/>
      <c r="BR1750" s="115"/>
      <c r="BS1750" s="115"/>
      <c r="BT1750" s="115"/>
      <c r="BU1750" s="26"/>
      <c r="BV1750" s="15"/>
    </row>
    <row r="1751" spans="1:74" x14ac:dyDescent="0.4">
      <c r="A1751" s="115"/>
      <c r="B1751" s="115"/>
      <c r="C1751" s="115"/>
      <c r="D1751" s="115"/>
      <c r="E1751" s="115"/>
      <c r="F1751" s="115"/>
      <c r="G1751" s="115"/>
      <c r="H1751" s="115"/>
      <c r="I1751" s="115"/>
      <c r="J1751" s="115"/>
      <c r="K1751" s="115"/>
      <c r="L1751" s="115"/>
      <c r="M1751" s="115"/>
      <c r="N1751" s="115"/>
      <c r="O1751" s="115"/>
      <c r="P1751" s="115"/>
      <c r="Q1751" s="115"/>
      <c r="R1751" s="115"/>
      <c r="S1751" s="115"/>
      <c r="T1751" s="115"/>
      <c r="U1751" s="115"/>
      <c r="V1751" s="115"/>
      <c r="W1751" s="115"/>
      <c r="X1751" s="115"/>
      <c r="Y1751" s="115"/>
      <c r="Z1751" s="115"/>
      <c r="AA1751" s="115"/>
      <c r="AB1751" s="115"/>
      <c r="AC1751" s="115"/>
      <c r="AD1751" s="115"/>
      <c r="AE1751" s="115"/>
      <c r="AF1751" s="115"/>
      <c r="AG1751" s="115"/>
      <c r="AH1751" s="115"/>
      <c r="AI1751" s="115"/>
      <c r="AJ1751" s="115"/>
      <c r="AK1751" s="115"/>
      <c r="AL1751" s="115"/>
      <c r="AM1751" s="115"/>
      <c r="AN1751" s="115"/>
      <c r="AO1751" s="115"/>
      <c r="AP1751" s="115"/>
      <c r="AQ1751" s="115"/>
      <c r="AR1751" s="115"/>
      <c r="AS1751" s="115"/>
      <c r="AT1751" s="115"/>
      <c r="AU1751" s="115"/>
      <c r="AV1751" s="115"/>
      <c r="AW1751" s="115"/>
      <c r="AX1751" s="115"/>
      <c r="AY1751" s="115"/>
      <c r="AZ1751" s="115"/>
      <c r="BA1751" s="115"/>
      <c r="BB1751" s="115"/>
      <c r="BC1751" s="115"/>
      <c r="BD1751" s="122"/>
      <c r="BE1751" s="122"/>
      <c r="BF1751" s="122"/>
      <c r="BG1751" s="115"/>
      <c r="BH1751" s="115"/>
      <c r="BI1751" s="115"/>
      <c r="BJ1751" s="115"/>
      <c r="BK1751" s="115"/>
      <c r="BL1751" s="115"/>
      <c r="BM1751" s="115"/>
      <c r="BN1751" s="115"/>
      <c r="BO1751" s="115"/>
      <c r="BP1751" s="115"/>
      <c r="BQ1751" s="115"/>
      <c r="BR1751" s="115"/>
      <c r="BS1751" s="115"/>
      <c r="BT1751" s="115"/>
      <c r="BU1751" s="26"/>
      <c r="BV1751" s="15"/>
    </row>
    <row r="1752" spans="1:74" x14ac:dyDescent="0.4">
      <c r="A1752" s="115"/>
      <c r="B1752" s="115"/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15"/>
      <c r="AX1752" s="115"/>
      <c r="AY1752" s="115"/>
      <c r="AZ1752" s="115"/>
      <c r="BA1752" s="115"/>
      <c r="BB1752" s="115"/>
      <c r="BC1752" s="115"/>
      <c r="BD1752" s="122"/>
      <c r="BE1752" s="122"/>
      <c r="BF1752" s="122"/>
      <c r="BG1752" s="115"/>
      <c r="BH1752" s="115"/>
      <c r="BI1752" s="115"/>
      <c r="BJ1752" s="115"/>
      <c r="BK1752" s="115"/>
      <c r="BL1752" s="115"/>
      <c r="BM1752" s="115"/>
      <c r="BN1752" s="115"/>
      <c r="BO1752" s="115"/>
      <c r="BP1752" s="115"/>
      <c r="BQ1752" s="115"/>
      <c r="BR1752" s="115"/>
      <c r="BS1752" s="115"/>
      <c r="BT1752" s="115"/>
      <c r="BU1752" s="26"/>
      <c r="BV1752" s="15"/>
    </row>
    <row r="1753" spans="1:74" x14ac:dyDescent="0.4">
      <c r="BU1753" s="26"/>
      <c r="BV1753" s="15"/>
    </row>
    <row r="1754" spans="1:74" x14ac:dyDescent="0.4">
      <c r="AZ1754" s="115"/>
      <c r="BA1754" s="115"/>
      <c r="BB1754" s="115"/>
      <c r="BC1754" s="115"/>
      <c r="BD1754" s="122"/>
      <c r="BE1754" s="122"/>
      <c r="BF1754" s="122"/>
      <c r="BG1754" s="115"/>
      <c r="BH1754" s="115"/>
      <c r="BI1754" s="115"/>
      <c r="BJ1754" s="115"/>
      <c r="BK1754" s="115"/>
      <c r="BL1754" s="115"/>
      <c r="BM1754" s="115"/>
      <c r="BN1754" s="115"/>
      <c r="BO1754" s="115"/>
      <c r="BP1754" s="115"/>
      <c r="BQ1754" s="115"/>
      <c r="BR1754" s="115"/>
      <c r="BS1754" s="115"/>
      <c r="BT1754" s="115"/>
      <c r="BU1754" s="17"/>
      <c r="BV1754" s="15"/>
    </row>
    <row r="1755" spans="1:74" x14ac:dyDescent="0.4">
      <c r="BU1755" s="26"/>
      <c r="BV1755" s="15"/>
    </row>
    <row r="1756" spans="1:74" x14ac:dyDescent="0.4"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22"/>
      <c r="BE1756" s="122"/>
      <c r="BF1756" s="122"/>
      <c r="BG1756" s="115"/>
      <c r="BH1756" s="115"/>
      <c r="BI1756" s="115"/>
      <c r="BJ1756" s="115"/>
      <c r="BK1756" s="115"/>
      <c r="BL1756" s="115"/>
      <c r="BM1756" s="115"/>
      <c r="BN1756" s="115"/>
      <c r="BO1756" s="115"/>
      <c r="BP1756" s="115"/>
      <c r="BQ1756" s="115"/>
      <c r="BR1756" s="115"/>
      <c r="BS1756" s="115"/>
      <c r="BT1756" s="115"/>
      <c r="BU1756" s="26"/>
      <c r="BV1756" s="15"/>
    </row>
    <row r="1757" spans="1:74" x14ac:dyDescent="0.4"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22"/>
      <c r="BE1757" s="122"/>
      <c r="BF1757" s="122"/>
      <c r="BG1757" s="115"/>
      <c r="BH1757" s="115"/>
      <c r="BI1757" s="115"/>
      <c r="BJ1757" s="115"/>
      <c r="BK1757" s="115"/>
      <c r="BL1757" s="115"/>
      <c r="BM1757" s="115"/>
      <c r="BN1757" s="115"/>
      <c r="BO1757" s="115"/>
      <c r="BP1757" s="115"/>
      <c r="BQ1757" s="115"/>
      <c r="BR1757" s="115"/>
      <c r="BS1757" s="115"/>
      <c r="BT1757" s="115"/>
      <c r="BU1757" s="26"/>
      <c r="BV1757" s="15"/>
    </row>
    <row r="1758" spans="1:74" x14ac:dyDescent="0.4">
      <c r="C1758" s="115"/>
      <c r="D1758" s="115"/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15"/>
      <c r="AW1758" s="115"/>
      <c r="AX1758" s="115"/>
      <c r="AY1758" s="115"/>
      <c r="AZ1758" s="115"/>
      <c r="BA1758" s="115"/>
      <c r="BB1758" s="115"/>
      <c r="BC1758" s="115"/>
      <c r="BD1758" s="122"/>
      <c r="BE1758" s="122"/>
      <c r="BF1758" s="122"/>
      <c r="BG1758" s="115"/>
      <c r="BH1758" s="115"/>
      <c r="BI1758" s="115"/>
      <c r="BJ1758" s="115"/>
      <c r="BK1758" s="115"/>
      <c r="BL1758" s="115"/>
      <c r="BM1758" s="115"/>
      <c r="BN1758" s="115"/>
      <c r="BO1758" s="115"/>
      <c r="BP1758" s="115"/>
      <c r="BQ1758" s="115"/>
      <c r="BR1758" s="115"/>
      <c r="BS1758" s="115"/>
      <c r="BT1758" s="115"/>
      <c r="BU1758" s="17"/>
      <c r="BV1758" s="15"/>
    </row>
    <row r="1759" spans="1:74" x14ac:dyDescent="0.4">
      <c r="BU1759" s="26"/>
      <c r="BV1759" s="15"/>
    </row>
    <row r="1760" spans="1:74" x14ac:dyDescent="0.4">
      <c r="D1760" s="115"/>
      <c r="E1760" s="115"/>
      <c r="F1760" s="115"/>
      <c r="G1760" s="115"/>
      <c r="H1760" s="115"/>
      <c r="I1760" s="115"/>
      <c r="J1760" s="115"/>
      <c r="K1760" s="115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  <c r="AI1760" s="115"/>
      <c r="AJ1760" s="115"/>
      <c r="AK1760" s="115"/>
      <c r="AL1760" s="115"/>
      <c r="AM1760" s="115"/>
      <c r="AN1760" s="115"/>
      <c r="AO1760" s="115"/>
      <c r="AP1760" s="115"/>
      <c r="AQ1760" s="115"/>
      <c r="AR1760" s="115"/>
      <c r="AS1760" s="115"/>
      <c r="AT1760" s="115"/>
      <c r="AU1760" s="115"/>
      <c r="AV1760" s="115"/>
      <c r="AW1760" s="115"/>
      <c r="AX1760" s="115"/>
      <c r="AY1760" s="115"/>
      <c r="AZ1760" s="115"/>
      <c r="BA1760" s="115"/>
      <c r="BB1760" s="115"/>
      <c r="BC1760" s="115"/>
      <c r="BD1760" s="122"/>
      <c r="BE1760" s="122"/>
      <c r="BF1760" s="122"/>
      <c r="BG1760" s="115"/>
      <c r="BH1760" s="115"/>
      <c r="BI1760" s="115"/>
      <c r="BJ1760" s="115"/>
      <c r="BK1760" s="115"/>
      <c r="BL1760" s="115"/>
      <c r="BM1760" s="115"/>
      <c r="BN1760" s="115"/>
      <c r="BO1760" s="115"/>
      <c r="BP1760" s="115"/>
      <c r="BQ1760" s="115"/>
      <c r="BR1760" s="115"/>
      <c r="BS1760" s="115"/>
      <c r="BT1760" s="115"/>
      <c r="BU1760" s="26"/>
      <c r="BV1760" s="15"/>
    </row>
    <row r="1761" spans="3:74" x14ac:dyDescent="0.4">
      <c r="D1761" s="115"/>
      <c r="E1761" s="115"/>
      <c r="F1761" s="115"/>
      <c r="G1761" s="115"/>
      <c r="H1761" s="115"/>
      <c r="I1761" s="115"/>
      <c r="J1761" s="115"/>
      <c r="K1761" s="115"/>
      <c r="L1761" s="115"/>
      <c r="M1761" s="115"/>
      <c r="N1761" s="115"/>
      <c r="O1761" s="115"/>
      <c r="P1761" s="115"/>
      <c r="Q1761" s="115"/>
      <c r="R1761" s="115"/>
      <c r="S1761" s="115"/>
      <c r="T1761" s="115"/>
      <c r="U1761" s="115"/>
      <c r="V1761" s="115"/>
      <c r="W1761" s="115"/>
      <c r="X1761" s="115"/>
      <c r="Y1761" s="115"/>
      <c r="Z1761" s="115"/>
      <c r="AA1761" s="115"/>
      <c r="AB1761" s="115"/>
      <c r="AC1761" s="115"/>
      <c r="AD1761" s="115"/>
      <c r="AE1761" s="115"/>
      <c r="AF1761" s="115"/>
      <c r="AG1761" s="115"/>
      <c r="AH1761" s="115"/>
      <c r="AI1761" s="115"/>
      <c r="AJ1761" s="115"/>
      <c r="AK1761" s="115"/>
      <c r="AL1761" s="115"/>
      <c r="AM1761" s="115"/>
      <c r="AN1761" s="115"/>
      <c r="AO1761" s="115"/>
      <c r="AP1761" s="115"/>
      <c r="AQ1761" s="115"/>
      <c r="AR1761" s="115"/>
      <c r="AS1761" s="115"/>
      <c r="AT1761" s="115"/>
      <c r="AU1761" s="115"/>
      <c r="AV1761" s="115"/>
      <c r="AW1761" s="115"/>
      <c r="AX1761" s="115"/>
      <c r="AY1761" s="115"/>
      <c r="AZ1761" s="115"/>
      <c r="BA1761" s="115"/>
      <c r="BB1761" s="115"/>
      <c r="BC1761" s="115"/>
      <c r="BD1761" s="122"/>
      <c r="BE1761" s="122"/>
      <c r="BF1761" s="122"/>
      <c r="BG1761" s="115"/>
      <c r="BH1761" s="115"/>
      <c r="BI1761" s="115"/>
      <c r="BJ1761" s="115"/>
      <c r="BK1761" s="115"/>
      <c r="BL1761" s="115"/>
      <c r="BM1761" s="115"/>
      <c r="BN1761" s="115"/>
      <c r="BO1761" s="115"/>
      <c r="BP1761" s="115"/>
      <c r="BQ1761" s="115"/>
      <c r="BR1761" s="115"/>
      <c r="BS1761" s="115"/>
      <c r="BT1761" s="115"/>
      <c r="BU1761" s="17"/>
      <c r="BV1761" s="15"/>
    </row>
    <row r="1762" spans="3:74" x14ac:dyDescent="0.4">
      <c r="BU1762" s="26"/>
      <c r="BV1762" s="15"/>
    </row>
    <row r="1763" spans="3:74" x14ac:dyDescent="0.4">
      <c r="AZ1763" s="115"/>
      <c r="BA1763" s="115"/>
      <c r="BB1763" s="115"/>
      <c r="BC1763" s="115"/>
      <c r="BD1763" s="122"/>
      <c r="BE1763" s="122"/>
      <c r="BF1763" s="122"/>
      <c r="BG1763" s="115"/>
      <c r="BH1763" s="115"/>
      <c r="BI1763" s="115"/>
      <c r="BJ1763" s="115"/>
      <c r="BK1763" s="115"/>
      <c r="BL1763" s="115"/>
      <c r="BM1763" s="115"/>
      <c r="BN1763" s="115"/>
      <c r="BO1763" s="115"/>
      <c r="BP1763" s="115"/>
      <c r="BQ1763" s="115"/>
      <c r="BR1763" s="115"/>
      <c r="BS1763" s="115"/>
      <c r="BT1763" s="115"/>
      <c r="BU1763" s="17"/>
      <c r="BV1763" s="15"/>
    </row>
    <row r="1764" spans="3:74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22"/>
      <c r="BE1764" s="122"/>
      <c r="BF1764" s="122"/>
      <c r="BG1764" s="115"/>
      <c r="BH1764" s="115"/>
      <c r="BI1764" s="115"/>
      <c r="BJ1764" s="115"/>
      <c r="BK1764" s="115"/>
      <c r="BL1764" s="115"/>
      <c r="BM1764" s="115"/>
      <c r="BN1764" s="115"/>
      <c r="BO1764" s="115"/>
      <c r="BP1764" s="115"/>
      <c r="BQ1764" s="115"/>
      <c r="BR1764" s="115"/>
      <c r="BS1764" s="115"/>
      <c r="BT1764" s="115"/>
      <c r="BU1764" s="26"/>
      <c r="BV1764" s="15"/>
    </row>
    <row r="1765" spans="3:74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22"/>
      <c r="BE1765" s="122"/>
      <c r="BF1765" s="122"/>
      <c r="BG1765" s="115"/>
      <c r="BH1765" s="115"/>
      <c r="BI1765" s="115"/>
      <c r="BJ1765" s="115"/>
      <c r="BK1765" s="115"/>
      <c r="BL1765" s="115"/>
      <c r="BM1765" s="115"/>
      <c r="BN1765" s="115"/>
      <c r="BO1765" s="115"/>
      <c r="BP1765" s="115"/>
      <c r="BQ1765" s="115"/>
      <c r="BR1765" s="115"/>
      <c r="BS1765" s="115"/>
      <c r="BT1765" s="115"/>
      <c r="BU1765" s="17"/>
      <c r="BV1765" s="15"/>
    </row>
    <row r="1766" spans="3:74" x14ac:dyDescent="0.4">
      <c r="BU1766" s="26"/>
      <c r="BV1766" s="15"/>
    </row>
    <row r="1767" spans="3:74" x14ac:dyDescent="0.4">
      <c r="BU1767" s="26"/>
      <c r="BV1767" s="15"/>
    </row>
    <row r="1768" spans="3:74" x14ac:dyDescent="0.4">
      <c r="AY1768" s="115"/>
      <c r="AZ1768" s="115"/>
      <c r="BA1768" s="115"/>
      <c r="BB1768" s="115"/>
      <c r="BC1768" s="115"/>
      <c r="BD1768" s="122"/>
      <c r="BE1768" s="122"/>
      <c r="BF1768" s="122"/>
      <c r="BG1768" s="115"/>
      <c r="BH1768" s="115"/>
      <c r="BI1768" s="115"/>
      <c r="BJ1768" s="115"/>
      <c r="BK1768" s="115"/>
      <c r="BL1768" s="115"/>
      <c r="BM1768" s="115"/>
      <c r="BN1768" s="115"/>
      <c r="BO1768" s="115"/>
      <c r="BP1768" s="115"/>
      <c r="BQ1768" s="115"/>
      <c r="BR1768" s="115"/>
      <c r="BS1768" s="115"/>
      <c r="BT1768" s="115"/>
      <c r="BU1768" s="26"/>
      <c r="BV1768" s="15"/>
    </row>
    <row r="1769" spans="3:74" x14ac:dyDescent="0.4">
      <c r="AW1769" s="115"/>
      <c r="AX1769" s="115"/>
      <c r="AY1769" s="115"/>
      <c r="AZ1769" s="115"/>
      <c r="BA1769" s="115"/>
      <c r="BB1769" s="115"/>
      <c r="BC1769" s="115"/>
      <c r="BD1769" s="122"/>
      <c r="BE1769" s="122"/>
      <c r="BF1769" s="122"/>
      <c r="BG1769" s="115"/>
      <c r="BH1769" s="115"/>
      <c r="BI1769" s="115"/>
      <c r="BJ1769" s="115"/>
      <c r="BK1769" s="115"/>
      <c r="BL1769" s="115"/>
      <c r="BM1769" s="115"/>
      <c r="BN1769" s="115"/>
      <c r="BO1769" s="115"/>
      <c r="BP1769" s="115"/>
      <c r="BQ1769" s="115"/>
      <c r="BR1769" s="115"/>
      <c r="BS1769" s="115"/>
      <c r="BT1769" s="115"/>
      <c r="BU1769" s="26"/>
      <c r="BV1769" s="15"/>
    </row>
    <row r="1770" spans="3:74" x14ac:dyDescent="0.4">
      <c r="AW1770" s="115"/>
      <c r="AX1770" s="115"/>
      <c r="AY1770" s="115"/>
      <c r="AZ1770" s="115"/>
      <c r="BA1770" s="115"/>
      <c r="BB1770" s="115"/>
      <c r="BC1770" s="115"/>
      <c r="BD1770" s="122"/>
      <c r="BE1770" s="122"/>
      <c r="BF1770" s="122"/>
      <c r="BG1770" s="115"/>
      <c r="BH1770" s="115"/>
      <c r="BI1770" s="115"/>
      <c r="BJ1770" s="115"/>
      <c r="BK1770" s="115"/>
      <c r="BL1770" s="115"/>
      <c r="BM1770" s="115"/>
      <c r="BN1770" s="115"/>
      <c r="BO1770" s="115"/>
      <c r="BP1770" s="115"/>
      <c r="BQ1770" s="115"/>
      <c r="BR1770" s="115"/>
      <c r="BS1770" s="115"/>
      <c r="BT1770" s="115"/>
      <c r="BU1770" s="26"/>
      <c r="BV1770" s="15"/>
    </row>
    <row r="1771" spans="3:74" x14ac:dyDescent="0.4"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22"/>
      <c r="BE1771" s="122"/>
      <c r="BF1771" s="122"/>
      <c r="BG1771" s="115"/>
      <c r="BH1771" s="115"/>
      <c r="BI1771" s="115"/>
      <c r="BJ1771" s="115"/>
      <c r="BK1771" s="115"/>
      <c r="BL1771" s="115"/>
      <c r="BM1771" s="115"/>
      <c r="BN1771" s="115"/>
      <c r="BO1771" s="115"/>
      <c r="BP1771" s="115"/>
      <c r="BQ1771" s="115"/>
      <c r="BR1771" s="115"/>
      <c r="BS1771" s="115"/>
      <c r="BT1771" s="115"/>
      <c r="BU1771" s="26"/>
      <c r="BV1771" s="15"/>
    </row>
    <row r="1772" spans="3:74" x14ac:dyDescent="0.4"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22"/>
      <c r="BE1772" s="122"/>
      <c r="BF1772" s="122"/>
      <c r="BG1772" s="115"/>
      <c r="BH1772" s="115"/>
      <c r="BI1772" s="115"/>
      <c r="BJ1772" s="115"/>
      <c r="BK1772" s="115"/>
      <c r="BL1772" s="115"/>
      <c r="BM1772" s="115"/>
      <c r="BN1772" s="115"/>
      <c r="BO1772" s="115"/>
      <c r="BP1772" s="115"/>
      <c r="BQ1772" s="115"/>
      <c r="BR1772" s="115"/>
      <c r="BS1772" s="115"/>
      <c r="BT1772" s="115"/>
      <c r="BU1772" s="26"/>
      <c r="BV1772" s="15"/>
    </row>
    <row r="1773" spans="3:74" x14ac:dyDescent="0.4">
      <c r="BU1773" s="26"/>
      <c r="BV1773" s="15"/>
    </row>
    <row r="1774" spans="3:74" x14ac:dyDescent="0.4">
      <c r="AY1774" s="115"/>
      <c r="AZ1774" s="115"/>
      <c r="BA1774" s="115"/>
      <c r="BB1774" s="115"/>
      <c r="BC1774" s="115"/>
      <c r="BD1774" s="122"/>
      <c r="BE1774" s="122"/>
      <c r="BF1774" s="122"/>
      <c r="BG1774" s="115"/>
      <c r="BH1774" s="115"/>
      <c r="BI1774" s="115"/>
      <c r="BJ1774" s="115"/>
      <c r="BK1774" s="115"/>
      <c r="BL1774" s="115"/>
      <c r="BM1774" s="115"/>
      <c r="BN1774" s="115"/>
      <c r="BO1774" s="115"/>
      <c r="BP1774" s="115"/>
      <c r="BQ1774" s="115"/>
      <c r="BR1774" s="115"/>
      <c r="BS1774" s="115"/>
      <c r="BT1774" s="115"/>
      <c r="BU1774" s="26"/>
      <c r="BV1774" s="15"/>
    </row>
    <row r="1775" spans="3:74" x14ac:dyDescent="0.4">
      <c r="BU1775" s="26"/>
      <c r="BV1775" s="15"/>
    </row>
    <row r="1776" spans="3:74" x14ac:dyDescent="0.4">
      <c r="AZ1776" s="115"/>
      <c r="BA1776" s="115"/>
      <c r="BB1776" s="115"/>
      <c r="BC1776" s="115"/>
      <c r="BD1776" s="122"/>
      <c r="BE1776" s="122"/>
      <c r="BF1776" s="122"/>
      <c r="BG1776" s="115"/>
      <c r="BH1776" s="115"/>
      <c r="BI1776" s="115"/>
      <c r="BJ1776" s="115"/>
      <c r="BK1776" s="115"/>
      <c r="BL1776" s="115"/>
      <c r="BM1776" s="115"/>
      <c r="BN1776" s="115"/>
      <c r="BO1776" s="115"/>
      <c r="BP1776" s="115"/>
      <c r="BQ1776" s="115"/>
      <c r="BR1776" s="115"/>
      <c r="BS1776" s="115"/>
      <c r="BT1776" s="115"/>
      <c r="BU1776" s="17"/>
      <c r="BV1776" s="15"/>
    </row>
    <row r="1777" spans="3:74" x14ac:dyDescent="0.4">
      <c r="AY1777" s="115"/>
      <c r="AZ1777" s="115"/>
      <c r="BA1777" s="115"/>
      <c r="BB1777" s="115"/>
      <c r="BC1777" s="115"/>
      <c r="BD1777" s="122"/>
      <c r="BE1777" s="122"/>
      <c r="BF1777" s="122"/>
      <c r="BG1777" s="115"/>
      <c r="BH1777" s="115"/>
      <c r="BI1777" s="115"/>
      <c r="BJ1777" s="115"/>
      <c r="BK1777" s="115"/>
      <c r="BL1777" s="115"/>
      <c r="BM1777" s="115"/>
      <c r="BN1777" s="115"/>
      <c r="BO1777" s="115"/>
      <c r="BP1777" s="115"/>
      <c r="BQ1777" s="115"/>
      <c r="BR1777" s="115"/>
      <c r="BS1777" s="115"/>
      <c r="BT1777" s="115"/>
      <c r="BU1777" s="26"/>
      <c r="BV1777" s="15"/>
    </row>
    <row r="1778" spans="3:74" x14ac:dyDescent="0.4">
      <c r="C1778" s="115"/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22"/>
      <c r="BE1778" s="122"/>
      <c r="BF1778" s="122"/>
      <c r="BG1778" s="115"/>
      <c r="BH1778" s="115"/>
      <c r="BI1778" s="115"/>
      <c r="BJ1778" s="115"/>
      <c r="BK1778" s="115"/>
      <c r="BL1778" s="115"/>
      <c r="BM1778" s="115"/>
      <c r="BN1778" s="115"/>
      <c r="BO1778" s="115"/>
      <c r="BP1778" s="115"/>
      <c r="BQ1778" s="115"/>
      <c r="BR1778" s="115"/>
      <c r="BS1778" s="115"/>
      <c r="BT1778" s="115"/>
      <c r="BU1778" s="26"/>
      <c r="BV1778" s="15"/>
    </row>
    <row r="1779" spans="3:74" x14ac:dyDescent="0.4">
      <c r="C1779" s="115"/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22"/>
      <c r="BE1779" s="122"/>
      <c r="BF1779" s="122"/>
      <c r="BG1779" s="115"/>
      <c r="BH1779" s="115"/>
      <c r="BI1779" s="115"/>
      <c r="BJ1779" s="115"/>
      <c r="BK1779" s="115"/>
      <c r="BL1779" s="115"/>
      <c r="BM1779" s="115"/>
      <c r="BN1779" s="115"/>
      <c r="BO1779" s="115"/>
      <c r="BP1779" s="115"/>
      <c r="BQ1779" s="115"/>
      <c r="BR1779" s="115"/>
      <c r="BS1779" s="115"/>
      <c r="BT1779" s="115"/>
      <c r="BU1779" s="17"/>
      <c r="BV1779" s="15"/>
    </row>
    <row r="1780" spans="3:74" x14ac:dyDescent="0.4">
      <c r="BU1780" s="26"/>
      <c r="BV1780" s="15"/>
    </row>
    <row r="1781" spans="3:74" x14ac:dyDescent="0.4">
      <c r="AZ1781" s="115"/>
      <c r="BA1781" s="115"/>
      <c r="BB1781" s="115"/>
      <c r="BC1781" s="115"/>
      <c r="BD1781" s="122"/>
      <c r="BE1781" s="122"/>
      <c r="BF1781" s="122"/>
      <c r="BG1781" s="115"/>
      <c r="BH1781" s="115"/>
      <c r="BI1781" s="115"/>
      <c r="BJ1781" s="115"/>
      <c r="BK1781" s="115"/>
      <c r="BL1781" s="115"/>
      <c r="BM1781" s="115"/>
      <c r="BN1781" s="115"/>
      <c r="BO1781" s="115"/>
      <c r="BP1781" s="115"/>
      <c r="BQ1781" s="115"/>
      <c r="BR1781" s="115"/>
      <c r="BS1781" s="115"/>
      <c r="BT1781" s="115"/>
      <c r="BU1781" s="17"/>
      <c r="BV1781" s="15"/>
    </row>
    <row r="1782" spans="3:74" x14ac:dyDescent="0.4">
      <c r="AY1782" s="115"/>
      <c r="AZ1782" s="115"/>
      <c r="BA1782" s="115"/>
      <c r="BB1782" s="115"/>
      <c r="BC1782" s="115"/>
      <c r="BD1782" s="122"/>
      <c r="BE1782" s="122"/>
      <c r="BF1782" s="122"/>
      <c r="BG1782" s="115"/>
      <c r="BH1782" s="115"/>
      <c r="BI1782" s="115"/>
      <c r="BJ1782" s="115"/>
      <c r="BK1782" s="115"/>
      <c r="BL1782" s="115"/>
      <c r="BM1782" s="115"/>
      <c r="BN1782" s="115"/>
      <c r="BO1782" s="115"/>
      <c r="BP1782" s="115"/>
      <c r="BQ1782" s="115"/>
      <c r="BR1782" s="115"/>
      <c r="BS1782" s="115"/>
      <c r="BT1782" s="115"/>
      <c r="BU1782" s="26"/>
      <c r="BV1782" s="15"/>
    </row>
    <row r="1783" spans="3:74" x14ac:dyDescent="0.4">
      <c r="AY1783" s="115"/>
      <c r="AZ1783" s="115"/>
      <c r="BA1783" s="115"/>
      <c r="BB1783" s="115"/>
      <c r="BC1783" s="115"/>
      <c r="BD1783" s="122"/>
      <c r="BE1783" s="122"/>
      <c r="BF1783" s="122"/>
      <c r="BG1783" s="115"/>
      <c r="BH1783" s="115"/>
      <c r="BI1783" s="115"/>
      <c r="BJ1783" s="115"/>
      <c r="BK1783" s="115"/>
      <c r="BL1783" s="115"/>
      <c r="BM1783" s="115"/>
      <c r="BN1783" s="115"/>
      <c r="BO1783" s="115"/>
      <c r="BP1783" s="115"/>
      <c r="BQ1783" s="115"/>
      <c r="BR1783" s="115"/>
      <c r="BS1783" s="115"/>
      <c r="BT1783" s="115"/>
      <c r="BU1783" s="17"/>
      <c r="BV1783" s="15"/>
    </row>
    <row r="1784" spans="3:74" x14ac:dyDescent="0.4">
      <c r="AY1784" s="115"/>
      <c r="AZ1784" s="115"/>
      <c r="BA1784" s="115"/>
      <c r="BB1784" s="115"/>
      <c r="BC1784" s="115"/>
      <c r="BD1784" s="122"/>
      <c r="BE1784" s="122"/>
      <c r="BF1784" s="122"/>
      <c r="BG1784" s="115"/>
      <c r="BH1784" s="115"/>
      <c r="BI1784" s="115"/>
      <c r="BJ1784" s="115"/>
      <c r="BK1784" s="115"/>
      <c r="BL1784" s="115"/>
      <c r="BM1784" s="115"/>
      <c r="BN1784" s="115"/>
      <c r="BO1784" s="115"/>
      <c r="BP1784" s="115"/>
      <c r="BQ1784" s="115"/>
      <c r="BR1784" s="115"/>
      <c r="BS1784" s="115"/>
      <c r="BT1784" s="115"/>
      <c r="BU1784" s="17"/>
      <c r="BV1784" s="15"/>
    </row>
    <row r="1785" spans="3:74" x14ac:dyDescent="0.4"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22"/>
      <c r="BE1785" s="122"/>
      <c r="BF1785" s="122"/>
      <c r="BG1785" s="115"/>
      <c r="BH1785" s="115"/>
      <c r="BI1785" s="115"/>
      <c r="BJ1785" s="115"/>
      <c r="BK1785" s="115"/>
      <c r="BL1785" s="115"/>
      <c r="BM1785" s="115"/>
      <c r="BN1785" s="115"/>
      <c r="BO1785" s="115"/>
      <c r="BP1785" s="115"/>
      <c r="BQ1785" s="115"/>
      <c r="BR1785" s="115"/>
      <c r="BS1785" s="115"/>
      <c r="BT1785" s="115"/>
      <c r="BU1785" s="26"/>
      <c r="BV1785" s="15"/>
    </row>
    <row r="1786" spans="3:74" x14ac:dyDescent="0.4"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22"/>
      <c r="BE1786" s="122"/>
      <c r="BF1786" s="122"/>
      <c r="BG1786" s="115"/>
      <c r="BH1786" s="115"/>
      <c r="BI1786" s="115"/>
      <c r="BJ1786" s="115"/>
      <c r="BK1786" s="115"/>
      <c r="BL1786" s="115"/>
      <c r="BM1786" s="115"/>
      <c r="BN1786" s="115"/>
      <c r="BO1786" s="115"/>
      <c r="BP1786" s="115"/>
      <c r="BQ1786" s="115"/>
      <c r="BR1786" s="115"/>
      <c r="BS1786" s="115"/>
      <c r="BT1786" s="115"/>
      <c r="BU1786" s="26"/>
      <c r="BV1786" s="15"/>
    </row>
    <row r="1787" spans="3:74" x14ac:dyDescent="0.4"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22"/>
      <c r="BE1787" s="122"/>
      <c r="BF1787" s="122"/>
      <c r="BG1787" s="115"/>
      <c r="BH1787" s="115"/>
      <c r="BI1787" s="115"/>
      <c r="BJ1787" s="115"/>
      <c r="BK1787" s="115"/>
      <c r="BL1787" s="115"/>
      <c r="BM1787" s="115"/>
      <c r="BN1787" s="115"/>
      <c r="BO1787" s="115"/>
      <c r="BP1787" s="115"/>
      <c r="BQ1787" s="115"/>
      <c r="BR1787" s="115"/>
      <c r="BS1787" s="115"/>
      <c r="BT1787" s="115"/>
      <c r="BU1787" s="26"/>
      <c r="BV1787" s="15"/>
    </row>
    <row r="1788" spans="3:74" x14ac:dyDescent="0.4"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22"/>
      <c r="BE1788" s="122"/>
      <c r="BF1788" s="122"/>
      <c r="BG1788" s="115"/>
      <c r="BH1788" s="115"/>
      <c r="BI1788" s="115"/>
      <c r="BJ1788" s="115"/>
      <c r="BK1788" s="115"/>
      <c r="BL1788" s="115"/>
      <c r="BM1788" s="115"/>
      <c r="BN1788" s="115"/>
      <c r="BO1788" s="115"/>
      <c r="BP1788" s="115"/>
      <c r="BQ1788" s="115"/>
      <c r="BR1788" s="115"/>
      <c r="BS1788" s="115"/>
      <c r="BT1788" s="115"/>
      <c r="BU1788" s="26"/>
      <c r="BV1788" s="15"/>
    </row>
    <row r="1789" spans="3:74" x14ac:dyDescent="0.4"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22"/>
      <c r="BE1789" s="122"/>
      <c r="BF1789" s="122"/>
      <c r="BG1789" s="115"/>
      <c r="BH1789" s="115"/>
      <c r="BI1789" s="115"/>
      <c r="BJ1789" s="115"/>
      <c r="BK1789" s="115"/>
      <c r="BL1789" s="115"/>
      <c r="BM1789" s="115"/>
      <c r="BN1789" s="115"/>
      <c r="BO1789" s="115"/>
      <c r="BP1789" s="115"/>
      <c r="BQ1789" s="115"/>
      <c r="BR1789" s="115"/>
      <c r="BS1789" s="115"/>
      <c r="BT1789" s="115"/>
      <c r="BU1789" s="26"/>
      <c r="BV1789" s="15"/>
    </row>
    <row r="1790" spans="3:74" x14ac:dyDescent="0.4"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22"/>
      <c r="BE1790" s="122"/>
      <c r="BF1790" s="122"/>
      <c r="BG1790" s="115"/>
      <c r="BH1790" s="115"/>
      <c r="BI1790" s="115"/>
      <c r="BJ1790" s="115"/>
      <c r="BK1790" s="115"/>
      <c r="BL1790" s="115"/>
      <c r="BM1790" s="115"/>
      <c r="BN1790" s="115"/>
      <c r="BO1790" s="115"/>
      <c r="BP1790" s="115"/>
      <c r="BQ1790" s="115"/>
      <c r="BR1790" s="115"/>
      <c r="BS1790" s="115"/>
      <c r="BT1790" s="115"/>
      <c r="BU1790" s="17"/>
      <c r="BV1790" s="15"/>
    </row>
    <row r="1791" spans="3:74" x14ac:dyDescent="0.4">
      <c r="BU1791" s="26"/>
      <c r="BV1791" s="15"/>
    </row>
    <row r="1792" spans="3:74" x14ac:dyDescent="0.4">
      <c r="AY1792" s="115"/>
      <c r="AZ1792" s="115"/>
      <c r="BA1792" s="115"/>
      <c r="BB1792" s="115"/>
      <c r="BC1792" s="115"/>
      <c r="BD1792" s="122"/>
      <c r="BE1792" s="122"/>
      <c r="BF1792" s="122"/>
      <c r="BG1792" s="115"/>
      <c r="BH1792" s="115"/>
      <c r="BI1792" s="115"/>
      <c r="BJ1792" s="115"/>
      <c r="BK1792" s="115"/>
      <c r="BL1792" s="115"/>
      <c r="BM1792" s="115"/>
      <c r="BN1792" s="115"/>
      <c r="BO1792" s="115"/>
      <c r="BP1792" s="115"/>
      <c r="BQ1792" s="115"/>
      <c r="BR1792" s="115"/>
      <c r="BS1792" s="115"/>
      <c r="BT1792" s="115"/>
      <c r="BU1792" s="17"/>
      <c r="BV1792" s="13"/>
    </row>
    <row r="1793" spans="3:74" x14ac:dyDescent="0.4">
      <c r="AY1793" s="115"/>
      <c r="AZ1793" s="115"/>
      <c r="BA1793" s="115"/>
      <c r="BB1793" s="115"/>
      <c r="BC1793" s="115"/>
      <c r="BD1793" s="122"/>
      <c r="BE1793" s="122"/>
      <c r="BF1793" s="122"/>
      <c r="BG1793" s="115"/>
      <c r="BH1793" s="115"/>
      <c r="BI1793" s="115"/>
      <c r="BJ1793" s="115"/>
      <c r="BK1793" s="115"/>
      <c r="BL1793" s="115"/>
      <c r="BM1793" s="115"/>
      <c r="BN1793" s="115"/>
      <c r="BO1793" s="115"/>
      <c r="BP1793" s="115"/>
      <c r="BQ1793" s="115"/>
      <c r="BR1793" s="115"/>
      <c r="BS1793" s="115"/>
      <c r="BT1793" s="115"/>
      <c r="BU1793" s="17"/>
      <c r="BV1793" s="13"/>
    </row>
    <row r="1794" spans="3:74" x14ac:dyDescent="0.4">
      <c r="AW1794" s="115"/>
      <c r="AX1794" s="115"/>
      <c r="AY1794" s="115"/>
      <c r="AZ1794" s="115"/>
      <c r="BA1794" s="115"/>
      <c r="BB1794" s="115"/>
      <c r="BC1794" s="115"/>
      <c r="BD1794" s="122"/>
      <c r="BE1794" s="122"/>
      <c r="BF1794" s="122"/>
      <c r="BG1794" s="115"/>
      <c r="BH1794" s="115"/>
      <c r="BI1794" s="115"/>
      <c r="BJ1794" s="115"/>
      <c r="BK1794" s="115"/>
      <c r="BL1794" s="115"/>
      <c r="BM1794" s="115"/>
      <c r="BN1794" s="115"/>
      <c r="BO1794" s="115"/>
      <c r="BP1794" s="115"/>
      <c r="BQ1794" s="115"/>
      <c r="BR1794" s="115"/>
      <c r="BS1794" s="115"/>
      <c r="BT1794" s="115"/>
      <c r="BU1794" s="26"/>
      <c r="BV1794" s="13"/>
    </row>
    <row r="1795" spans="3:74" x14ac:dyDescent="0.4">
      <c r="AW1795" s="115"/>
      <c r="AX1795" s="115"/>
      <c r="AY1795" s="115"/>
      <c r="AZ1795" s="115"/>
      <c r="BA1795" s="115"/>
      <c r="BB1795" s="115"/>
      <c r="BC1795" s="115"/>
      <c r="BD1795" s="122"/>
      <c r="BE1795" s="122"/>
      <c r="BF1795" s="122"/>
      <c r="BG1795" s="115"/>
      <c r="BH1795" s="115"/>
      <c r="BI1795" s="115"/>
      <c r="BJ1795" s="115"/>
      <c r="BK1795" s="115"/>
      <c r="BL1795" s="115"/>
      <c r="BM1795" s="115"/>
      <c r="BN1795" s="115"/>
      <c r="BO1795" s="115"/>
      <c r="BP1795" s="115"/>
      <c r="BQ1795" s="115"/>
      <c r="BR1795" s="115"/>
      <c r="BS1795" s="115"/>
      <c r="BT1795" s="115"/>
      <c r="BU1795" s="17"/>
      <c r="BV1795" s="13"/>
    </row>
    <row r="1796" spans="3:74" x14ac:dyDescent="0.4">
      <c r="BU1796" s="26"/>
      <c r="BV1796" s="13"/>
    </row>
    <row r="1797" spans="3:74" x14ac:dyDescent="0.4">
      <c r="AX1797" s="115"/>
      <c r="AY1797" s="115"/>
      <c r="AZ1797" s="115"/>
      <c r="BA1797" s="115"/>
      <c r="BB1797" s="115"/>
      <c r="BC1797" s="115"/>
      <c r="BD1797" s="122"/>
      <c r="BE1797" s="122"/>
      <c r="BF1797" s="122"/>
      <c r="BG1797" s="115"/>
      <c r="BH1797" s="115"/>
      <c r="BI1797" s="115"/>
      <c r="BJ1797" s="115"/>
      <c r="BK1797" s="115"/>
      <c r="BL1797" s="115"/>
      <c r="BM1797" s="115"/>
      <c r="BN1797" s="115"/>
      <c r="BO1797" s="115"/>
      <c r="BP1797" s="115"/>
      <c r="BQ1797" s="115"/>
      <c r="BR1797" s="115"/>
      <c r="BS1797" s="115"/>
      <c r="BT1797" s="115"/>
      <c r="BU1797" s="17"/>
      <c r="BV1797" s="13"/>
    </row>
    <row r="1798" spans="3:74" x14ac:dyDescent="0.4">
      <c r="BU1798" s="26"/>
      <c r="BV1798" s="13"/>
    </row>
    <row r="1799" spans="3:74" x14ac:dyDescent="0.4">
      <c r="BU1799" s="26"/>
      <c r="BV1799" s="13"/>
    </row>
    <row r="1800" spans="3:74" x14ac:dyDescent="0.4">
      <c r="D1800" s="115"/>
      <c r="E1800" s="115"/>
      <c r="F1800" s="115"/>
      <c r="G1800" s="115"/>
      <c r="H1800" s="115"/>
      <c r="I1800" s="115"/>
      <c r="J1800" s="115"/>
      <c r="K1800" s="115"/>
      <c r="L1800" s="115"/>
      <c r="M1800" s="115"/>
      <c r="N1800" s="115"/>
      <c r="O1800" s="115"/>
      <c r="P1800" s="115"/>
      <c r="Q1800" s="115"/>
      <c r="R1800" s="115"/>
      <c r="S1800" s="115"/>
      <c r="T1800" s="115"/>
      <c r="U1800" s="115"/>
      <c r="V1800" s="115"/>
      <c r="W1800" s="115"/>
      <c r="X1800" s="115"/>
      <c r="Y1800" s="115"/>
      <c r="Z1800" s="115"/>
      <c r="AA1800" s="115"/>
      <c r="AB1800" s="115"/>
      <c r="AC1800" s="115"/>
      <c r="AD1800" s="115"/>
      <c r="AE1800" s="115"/>
      <c r="AF1800" s="115"/>
      <c r="AG1800" s="115"/>
      <c r="AH1800" s="115"/>
      <c r="AI1800" s="115"/>
      <c r="AJ1800" s="115"/>
      <c r="AK1800" s="115"/>
      <c r="AL1800" s="115"/>
      <c r="AM1800" s="115"/>
      <c r="AN1800" s="115"/>
      <c r="AO1800" s="115"/>
      <c r="AP1800" s="115"/>
      <c r="AQ1800" s="115"/>
      <c r="AR1800" s="115"/>
      <c r="AS1800" s="115"/>
      <c r="AT1800" s="115"/>
      <c r="AU1800" s="115"/>
      <c r="AV1800" s="115"/>
      <c r="AW1800" s="115"/>
      <c r="AX1800" s="115"/>
      <c r="AY1800" s="115"/>
      <c r="AZ1800" s="115"/>
      <c r="BA1800" s="115"/>
      <c r="BB1800" s="115"/>
      <c r="BC1800" s="115"/>
      <c r="BD1800" s="122"/>
      <c r="BE1800" s="122"/>
      <c r="BF1800" s="122"/>
      <c r="BG1800" s="115"/>
      <c r="BH1800" s="115"/>
      <c r="BI1800" s="115"/>
      <c r="BJ1800" s="115"/>
      <c r="BK1800" s="115"/>
      <c r="BL1800" s="115"/>
      <c r="BM1800" s="115"/>
      <c r="BN1800" s="115"/>
      <c r="BO1800" s="115"/>
      <c r="BP1800" s="115"/>
      <c r="BQ1800" s="115"/>
      <c r="BR1800" s="115"/>
      <c r="BS1800" s="115"/>
      <c r="BT1800" s="115"/>
      <c r="BU1800" s="26"/>
      <c r="BV1800" s="13"/>
    </row>
    <row r="1801" spans="3:74" x14ac:dyDescent="0.4">
      <c r="C1801" s="115"/>
      <c r="D1801" s="115"/>
      <c r="E1801" s="115"/>
      <c r="F1801" s="115"/>
      <c r="G1801" s="115"/>
      <c r="H1801" s="115"/>
      <c r="I1801" s="115"/>
      <c r="J1801" s="115"/>
      <c r="K1801" s="115"/>
      <c r="L1801" s="115"/>
      <c r="M1801" s="115"/>
      <c r="N1801" s="115"/>
      <c r="O1801" s="115"/>
      <c r="P1801" s="115"/>
      <c r="Q1801" s="115"/>
      <c r="R1801" s="115"/>
      <c r="S1801" s="115"/>
      <c r="T1801" s="115"/>
      <c r="U1801" s="115"/>
      <c r="V1801" s="115"/>
      <c r="W1801" s="115"/>
      <c r="X1801" s="115"/>
      <c r="Y1801" s="115"/>
      <c r="Z1801" s="115"/>
      <c r="AA1801" s="115"/>
      <c r="AB1801" s="115"/>
      <c r="AC1801" s="115"/>
      <c r="AD1801" s="115"/>
      <c r="AE1801" s="115"/>
      <c r="AF1801" s="115"/>
      <c r="AG1801" s="115"/>
      <c r="AH1801" s="115"/>
      <c r="AI1801" s="115"/>
      <c r="AJ1801" s="115"/>
      <c r="AK1801" s="115"/>
      <c r="AL1801" s="115"/>
      <c r="AM1801" s="115"/>
      <c r="AN1801" s="115"/>
      <c r="AO1801" s="115"/>
      <c r="AP1801" s="115"/>
      <c r="AQ1801" s="115"/>
      <c r="AR1801" s="115"/>
      <c r="AS1801" s="115"/>
      <c r="AT1801" s="115"/>
      <c r="AU1801" s="115"/>
      <c r="AV1801" s="115"/>
      <c r="AW1801" s="115"/>
      <c r="AX1801" s="115"/>
      <c r="AY1801" s="115"/>
      <c r="AZ1801" s="115"/>
      <c r="BA1801" s="115"/>
      <c r="BB1801" s="115"/>
      <c r="BC1801" s="115"/>
      <c r="BD1801" s="122"/>
      <c r="BE1801" s="122"/>
      <c r="BF1801" s="122"/>
      <c r="BG1801" s="115"/>
      <c r="BH1801" s="115"/>
      <c r="BI1801" s="115"/>
      <c r="BJ1801" s="115"/>
      <c r="BK1801" s="115"/>
      <c r="BL1801" s="115"/>
      <c r="BM1801" s="115"/>
      <c r="BN1801" s="115"/>
      <c r="BO1801" s="115"/>
      <c r="BP1801" s="115"/>
      <c r="BQ1801" s="115"/>
      <c r="BR1801" s="115"/>
      <c r="BS1801" s="115"/>
      <c r="BT1801" s="115"/>
      <c r="BU1801" s="26"/>
      <c r="BV1801" s="13"/>
    </row>
    <row r="1802" spans="3:74" x14ac:dyDescent="0.4">
      <c r="BU1802" s="26"/>
      <c r="BV1802" s="13"/>
    </row>
    <row r="1803" spans="3:74" x14ac:dyDescent="0.4">
      <c r="BU1803" s="26"/>
      <c r="BV1803" s="13"/>
    </row>
    <row r="1804" spans="3:74" x14ac:dyDescent="0.4"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22"/>
      <c r="BE1804" s="122"/>
      <c r="BF1804" s="122"/>
      <c r="BG1804" s="115"/>
      <c r="BH1804" s="115"/>
      <c r="BI1804" s="115"/>
      <c r="BJ1804" s="115"/>
      <c r="BK1804" s="115"/>
      <c r="BL1804" s="115"/>
      <c r="BM1804" s="115"/>
      <c r="BN1804" s="115"/>
      <c r="BO1804" s="115"/>
      <c r="BP1804" s="115"/>
      <c r="BQ1804" s="115"/>
      <c r="BR1804" s="115"/>
      <c r="BS1804" s="115"/>
      <c r="BT1804" s="115"/>
      <c r="BU1804" s="26"/>
      <c r="BV1804" s="13"/>
    </row>
    <row r="1805" spans="3:74" x14ac:dyDescent="0.4">
      <c r="BU1805" s="26"/>
      <c r="BV1805" s="105"/>
    </row>
    <row r="1806" spans="3:74" x14ac:dyDescent="0.4"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22"/>
      <c r="BE1806" s="122"/>
      <c r="BF1806" s="122"/>
      <c r="BG1806" s="115"/>
      <c r="BH1806" s="115"/>
      <c r="BI1806" s="115"/>
      <c r="BJ1806" s="115"/>
      <c r="BK1806" s="115"/>
      <c r="BL1806" s="115"/>
      <c r="BM1806" s="115"/>
      <c r="BN1806" s="115"/>
      <c r="BO1806" s="115"/>
      <c r="BP1806" s="115"/>
      <c r="BQ1806" s="115"/>
      <c r="BR1806" s="115"/>
      <c r="BS1806" s="115"/>
      <c r="BT1806" s="115"/>
      <c r="BU1806" s="26"/>
      <c r="BV1806" s="15"/>
    </row>
    <row r="1807" spans="3:74" x14ac:dyDescent="0.4"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22"/>
      <c r="BE1807" s="122"/>
      <c r="BF1807" s="122"/>
      <c r="BG1807" s="115"/>
      <c r="BH1807" s="115"/>
      <c r="BI1807" s="115"/>
      <c r="BJ1807" s="115"/>
      <c r="BK1807" s="115"/>
      <c r="BL1807" s="115"/>
      <c r="BM1807" s="115"/>
      <c r="BN1807" s="115"/>
      <c r="BO1807" s="115"/>
      <c r="BP1807" s="115"/>
      <c r="BQ1807" s="115"/>
      <c r="BR1807" s="115"/>
      <c r="BS1807" s="115"/>
      <c r="BT1807" s="115"/>
      <c r="BU1807" s="17"/>
      <c r="BV1807" s="15"/>
    </row>
    <row r="1808" spans="3:74" x14ac:dyDescent="0.4">
      <c r="BU1808" s="26"/>
      <c r="BV1808" s="15"/>
    </row>
    <row r="1809" spans="2:74" x14ac:dyDescent="0.4"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22"/>
      <c r="BE1809" s="122"/>
      <c r="BF1809" s="122"/>
      <c r="BG1809" s="115"/>
      <c r="BH1809" s="115"/>
      <c r="BI1809" s="115"/>
      <c r="BJ1809" s="115"/>
      <c r="BK1809" s="115"/>
      <c r="BL1809" s="115"/>
      <c r="BM1809" s="115"/>
      <c r="BN1809" s="115"/>
      <c r="BO1809" s="115"/>
      <c r="BP1809" s="115"/>
      <c r="BQ1809" s="115"/>
      <c r="BR1809" s="115"/>
      <c r="BS1809" s="115"/>
      <c r="BT1809" s="115"/>
      <c r="BU1809" s="26"/>
      <c r="BV1809" s="15"/>
    </row>
    <row r="1810" spans="2:74" x14ac:dyDescent="0.4"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22"/>
      <c r="BE1810" s="122"/>
      <c r="BF1810" s="122"/>
      <c r="BG1810" s="115"/>
      <c r="BH1810" s="115"/>
      <c r="BI1810" s="115"/>
      <c r="BJ1810" s="115"/>
      <c r="BK1810" s="115"/>
      <c r="BL1810" s="115"/>
      <c r="BM1810" s="115"/>
      <c r="BN1810" s="115"/>
      <c r="BO1810" s="115"/>
      <c r="BP1810" s="115"/>
      <c r="BQ1810" s="115"/>
      <c r="BR1810" s="115"/>
      <c r="BS1810" s="115"/>
      <c r="BT1810" s="115"/>
      <c r="BU1810" s="26"/>
      <c r="BV1810" s="15"/>
    </row>
    <row r="1811" spans="2:74" x14ac:dyDescent="0.4">
      <c r="C1811" s="115"/>
      <c r="D1811" s="115"/>
      <c r="E1811" s="115"/>
      <c r="F1811" s="115"/>
      <c r="G1811" s="115"/>
      <c r="H1811" s="115"/>
      <c r="I1811" s="115"/>
      <c r="J1811" s="115"/>
      <c r="K1811" s="115"/>
      <c r="L1811" s="115"/>
      <c r="M1811" s="115"/>
      <c r="N1811" s="115"/>
      <c r="O1811" s="115"/>
      <c r="P1811" s="115"/>
      <c r="Q1811" s="115"/>
      <c r="R1811" s="115"/>
      <c r="S1811" s="115"/>
      <c r="T1811" s="115"/>
      <c r="U1811" s="115"/>
      <c r="V1811" s="115"/>
      <c r="W1811" s="115"/>
      <c r="X1811" s="115"/>
      <c r="Y1811" s="115"/>
      <c r="Z1811" s="115"/>
      <c r="AA1811" s="115"/>
      <c r="AB1811" s="115"/>
      <c r="AC1811" s="115"/>
      <c r="AD1811" s="115"/>
      <c r="AE1811" s="115"/>
      <c r="AF1811" s="115"/>
      <c r="AG1811" s="115"/>
      <c r="AH1811" s="115"/>
      <c r="AI1811" s="115"/>
      <c r="AJ1811" s="115"/>
      <c r="AK1811" s="115"/>
      <c r="AL1811" s="115"/>
      <c r="AM1811" s="115"/>
      <c r="AN1811" s="115"/>
      <c r="AO1811" s="115"/>
      <c r="AP1811" s="115"/>
      <c r="AQ1811" s="115"/>
      <c r="AR1811" s="115"/>
      <c r="AS1811" s="115"/>
      <c r="AT1811" s="115"/>
      <c r="AU1811" s="115"/>
      <c r="AV1811" s="115"/>
      <c r="AW1811" s="115"/>
      <c r="AX1811" s="115"/>
      <c r="AY1811" s="115"/>
      <c r="AZ1811" s="115"/>
      <c r="BA1811" s="115"/>
      <c r="BB1811" s="115"/>
      <c r="BC1811" s="115"/>
      <c r="BD1811" s="122"/>
      <c r="BE1811" s="122"/>
      <c r="BF1811" s="122"/>
      <c r="BG1811" s="115"/>
      <c r="BH1811" s="115"/>
      <c r="BI1811" s="115"/>
      <c r="BJ1811" s="115"/>
      <c r="BK1811" s="115"/>
      <c r="BL1811" s="115"/>
      <c r="BM1811" s="115"/>
      <c r="BN1811" s="115"/>
      <c r="BO1811" s="115"/>
      <c r="BP1811" s="115"/>
      <c r="BQ1811" s="115"/>
      <c r="BR1811" s="115"/>
      <c r="BS1811" s="115"/>
      <c r="BT1811" s="115"/>
      <c r="BU1811" s="26"/>
      <c r="BV1811" s="13"/>
    </row>
    <row r="1812" spans="2:74" x14ac:dyDescent="0.4">
      <c r="BU1812" s="26"/>
      <c r="BV1812" s="15"/>
    </row>
    <row r="1813" spans="2:74" x14ac:dyDescent="0.4">
      <c r="E1813" s="115"/>
      <c r="F1813" s="115"/>
      <c r="G1813" s="115"/>
      <c r="H1813" s="115"/>
      <c r="I1813" s="115"/>
      <c r="J1813" s="115"/>
      <c r="K1813" s="115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  <c r="AI1813" s="115"/>
      <c r="AJ1813" s="115"/>
      <c r="AK1813" s="115"/>
      <c r="AL1813" s="115"/>
      <c r="AM1813" s="115"/>
      <c r="AN1813" s="115"/>
      <c r="AO1813" s="115"/>
      <c r="AP1813" s="115"/>
      <c r="AQ1813" s="115"/>
      <c r="AR1813" s="115"/>
      <c r="AS1813" s="115"/>
      <c r="AT1813" s="115"/>
      <c r="AU1813" s="115"/>
      <c r="AV1813" s="115"/>
      <c r="AW1813" s="115"/>
      <c r="AX1813" s="115"/>
      <c r="AY1813" s="115"/>
      <c r="AZ1813" s="115"/>
      <c r="BA1813" s="115"/>
      <c r="BB1813" s="115"/>
      <c r="BC1813" s="115"/>
      <c r="BD1813" s="122"/>
      <c r="BE1813" s="122"/>
      <c r="BF1813" s="122"/>
      <c r="BG1813" s="115"/>
      <c r="BH1813" s="115"/>
      <c r="BI1813" s="115"/>
      <c r="BJ1813" s="115"/>
      <c r="BK1813" s="115"/>
      <c r="BL1813" s="115"/>
      <c r="BM1813" s="115"/>
      <c r="BN1813" s="115"/>
      <c r="BO1813" s="115"/>
      <c r="BP1813" s="115"/>
      <c r="BQ1813" s="115"/>
      <c r="BR1813" s="115"/>
      <c r="BS1813" s="115"/>
      <c r="BT1813" s="115"/>
      <c r="BU1813" s="26"/>
      <c r="BV1813" s="15"/>
    </row>
    <row r="1814" spans="2:74" x14ac:dyDescent="0.4">
      <c r="E1814" s="115"/>
      <c r="F1814" s="115"/>
      <c r="G1814" s="115"/>
      <c r="H1814" s="115"/>
      <c r="I1814" s="115"/>
      <c r="J1814" s="115"/>
      <c r="K1814" s="115"/>
      <c r="L1814" s="115"/>
      <c r="M1814" s="115"/>
      <c r="N1814" s="115"/>
      <c r="O1814" s="115"/>
      <c r="P1814" s="115"/>
      <c r="Q1814" s="115"/>
      <c r="R1814" s="115"/>
      <c r="S1814" s="115"/>
      <c r="T1814" s="115"/>
      <c r="U1814" s="115"/>
      <c r="V1814" s="115"/>
      <c r="W1814" s="115"/>
      <c r="X1814" s="115"/>
      <c r="Y1814" s="115"/>
      <c r="Z1814" s="115"/>
      <c r="AA1814" s="115"/>
      <c r="AB1814" s="115"/>
      <c r="AC1814" s="115"/>
      <c r="AD1814" s="115"/>
      <c r="AE1814" s="115"/>
      <c r="AF1814" s="115"/>
      <c r="AG1814" s="115"/>
      <c r="AH1814" s="115"/>
      <c r="AI1814" s="115"/>
      <c r="AJ1814" s="115"/>
      <c r="AK1814" s="115"/>
      <c r="AL1814" s="115"/>
      <c r="AM1814" s="115"/>
      <c r="AN1814" s="115"/>
      <c r="AO1814" s="115"/>
      <c r="AP1814" s="115"/>
      <c r="AQ1814" s="115"/>
      <c r="AR1814" s="115"/>
      <c r="AS1814" s="115"/>
      <c r="AT1814" s="115"/>
      <c r="AU1814" s="115"/>
      <c r="AV1814" s="115"/>
      <c r="AW1814" s="115"/>
      <c r="AX1814" s="115"/>
      <c r="AY1814" s="115"/>
      <c r="AZ1814" s="115"/>
      <c r="BA1814" s="115"/>
      <c r="BB1814" s="115"/>
      <c r="BC1814" s="115"/>
      <c r="BD1814" s="122"/>
      <c r="BE1814" s="122"/>
      <c r="BF1814" s="122"/>
      <c r="BG1814" s="115"/>
      <c r="BH1814" s="115"/>
      <c r="BI1814" s="115"/>
      <c r="BJ1814" s="115"/>
      <c r="BK1814" s="115"/>
      <c r="BL1814" s="115"/>
      <c r="BM1814" s="115"/>
      <c r="BN1814" s="115"/>
      <c r="BO1814" s="115"/>
      <c r="BP1814" s="115"/>
      <c r="BQ1814" s="115"/>
      <c r="BR1814" s="115"/>
      <c r="BS1814" s="115"/>
      <c r="BT1814" s="115"/>
      <c r="BU1814" s="26"/>
      <c r="BV1814" s="15"/>
    </row>
    <row r="1815" spans="2:74" x14ac:dyDescent="0.4">
      <c r="D1815" s="115"/>
      <c r="E1815" s="115"/>
      <c r="F1815" s="115"/>
      <c r="G1815" s="115"/>
      <c r="H1815" s="115"/>
      <c r="I1815" s="115"/>
      <c r="J1815" s="115"/>
      <c r="K1815" s="115"/>
      <c r="L1815" s="115"/>
      <c r="M1815" s="115"/>
      <c r="N1815" s="115"/>
      <c r="O1815" s="115"/>
      <c r="P1815" s="115"/>
      <c r="Q1815" s="115"/>
      <c r="R1815" s="115"/>
      <c r="S1815" s="115"/>
      <c r="T1815" s="115"/>
      <c r="U1815" s="115"/>
      <c r="V1815" s="115"/>
      <c r="W1815" s="115"/>
      <c r="X1815" s="115"/>
      <c r="Y1815" s="115"/>
      <c r="Z1815" s="115"/>
      <c r="AA1815" s="115"/>
      <c r="AB1815" s="115"/>
      <c r="AC1815" s="115"/>
      <c r="AD1815" s="115"/>
      <c r="AE1815" s="115"/>
      <c r="AF1815" s="115"/>
      <c r="AG1815" s="115"/>
      <c r="AH1815" s="115"/>
      <c r="AI1815" s="115"/>
      <c r="AJ1815" s="115"/>
      <c r="AK1815" s="115"/>
      <c r="AL1815" s="115"/>
      <c r="AM1815" s="115"/>
      <c r="AN1815" s="115"/>
      <c r="AO1815" s="115"/>
      <c r="AP1815" s="115"/>
      <c r="AQ1815" s="115"/>
      <c r="AR1815" s="115"/>
      <c r="AS1815" s="115"/>
      <c r="AT1815" s="115"/>
      <c r="AU1815" s="115"/>
      <c r="AV1815" s="115"/>
      <c r="AW1815" s="115"/>
      <c r="AX1815" s="115"/>
      <c r="AY1815" s="115"/>
      <c r="AZ1815" s="115"/>
      <c r="BA1815" s="115"/>
      <c r="BB1815" s="115"/>
      <c r="BC1815" s="115"/>
      <c r="BD1815" s="122"/>
      <c r="BE1815" s="122"/>
      <c r="BF1815" s="122"/>
      <c r="BG1815" s="115"/>
      <c r="BH1815" s="115"/>
      <c r="BI1815" s="115"/>
      <c r="BJ1815" s="115"/>
      <c r="BK1815" s="115"/>
      <c r="BL1815" s="115"/>
      <c r="BM1815" s="115"/>
      <c r="BN1815" s="115"/>
      <c r="BO1815" s="115"/>
      <c r="BP1815" s="115"/>
      <c r="BQ1815" s="115"/>
      <c r="BR1815" s="115"/>
      <c r="BS1815" s="115"/>
      <c r="BT1815" s="115"/>
      <c r="BU1815" s="26"/>
      <c r="BV1815" s="15"/>
    </row>
    <row r="1816" spans="2:74" x14ac:dyDescent="0.4">
      <c r="D1816" s="115"/>
      <c r="E1816" s="115"/>
      <c r="F1816" s="115"/>
      <c r="G1816" s="115"/>
      <c r="H1816" s="115"/>
      <c r="I1816" s="115"/>
      <c r="J1816" s="115"/>
      <c r="K1816" s="115"/>
      <c r="L1816" s="115"/>
      <c r="M1816" s="115"/>
      <c r="N1816" s="115"/>
      <c r="O1816" s="115"/>
      <c r="P1816" s="115"/>
      <c r="Q1816" s="115"/>
      <c r="R1816" s="115"/>
      <c r="S1816" s="115"/>
      <c r="T1816" s="115"/>
      <c r="U1816" s="115"/>
      <c r="V1816" s="115"/>
      <c r="W1816" s="115"/>
      <c r="X1816" s="115"/>
      <c r="Y1816" s="115"/>
      <c r="Z1816" s="115"/>
      <c r="AA1816" s="115"/>
      <c r="AB1816" s="115"/>
      <c r="AC1816" s="115"/>
      <c r="AD1816" s="115"/>
      <c r="AE1816" s="115"/>
      <c r="AF1816" s="115"/>
      <c r="AG1816" s="115"/>
      <c r="AH1816" s="115"/>
      <c r="AI1816" s="115"/>
      <c r="AJ1816" s="115"/>
      <c r="AK1816" s="115"/>
      <c r="AL1816" s="115"/>
      <c r="AM1816" s="115"/>
      <c r="AN1816" s="115"/>
      <c r="AO1816" s="115"/>
      <c r="AP1816" s="115"/>
      <c r="AQ1816" s="115"/>
      <c r="AR1816" s="115"/>
      <c r="AS1816" s="115"/>
      <c r="AT1816" s="115"/>
      <c r="AU1816" s="115"/>
      <c r="AV1816" s="115"/>
      <c r="AW1816" s="115"/>
      <c r="AX1816" s="115"/>
      <c r="AY1816" s="115"/>
      <c r="AZ1816" s="115"/>
      <c r="BA1816" s="115"/>
      <c r="BB1816" s="115"/>
      <c r="BC1816" s="115"/>
      <c r="BD1816" s="122"/>
      <c r="BE1816" s="122"/>
      <c r="BF1816" s="122"/>
      <c r="BG1816" s="115"/>
      <c r="BH1816" s="115"/>
      <c r="BI1816" s="115"/>
      <c r="BJ1816" s="115"/>
      <c r="BK1816" s="115"/>
      <c r="BL1816" s="115"/>
      <c r="BM1816" s="115"/>
      <c r="BN1816" s="115"/>
      <c r="BO1816" s="115"/>
      <c r="BP1816" s="115"/>
      <c r="BQ1816" s="115"/>
      <c r="BR1816" s="115"/>
      <c r="BS1816" s="115"/>
      <c r="BT1816" s="115"/>
      <c r="BU1816" s="26"/>
      <c r="BV1816" s="15"/>
    </row>
    <row r="1817" spans="2:74" x14ac:dyDescent="0.4">
      <c r="D1817" s="115"/>
      <c r="E1817" s="115"/>
      <c r="F1817" s="115"/>
      <c r="G1817" s="115"/>
      <c r="H1817" s="115"/>
      <c r="I1817" s="115"/>
      <c r="J1817" s="115"/>
      <c r="K1817" s="115"/>
      <c r="L1817" s="115"/>
      <c r="M1817" s="115"/>
      <c r="N1817" s="115"/>
      <c r="O1817" s="115"/>
      <c r="P1817" s="115"/>
      <c r="Q1817" s="115"/>
      <c r="R1817" s="115"/>
      <c r="S1817" s="115"/>
      <c r="T1817" s="115"/>
      <c r="U1817" s="115"/>
      <c r="V1817" s="115"/>
      <c r="W1817" s="115"/>
      <c r="X1817" s="115"/>
      <c r="Y1817" s="115"/>
      <c r="Z1817" s="115"/>
      <c r="AA1817" s="115"/>
      <c r="AB1817" s="115"/>
      <c r="AC1817" s="115"/>
      <c r="AD1817" s="115"/>
      <c r="AE1817" s="115"/>
      <c r="AF1817" s="115"/>
      <c r="AG1817" s="115"/>
      <c r="AH1817" s="115"/>
      <c r="AI1817" s="115"/>
      <c r="AJ1817" s="115"/>
      <c r="AK1817" s="115"/>
      <c r="AL1817" s="115"/>
      <c r="AM1817" s="115"/>
      <c r="AN1817" s="115"/>
      <c r="AO1817" s="115"/>
      <c r="AP1817" s="115"/>
      <c r="AQ1817" s="115"/>
      <c r="AR1817" s="115"/>
      <c r="AS1817" s="115"/>
      <c r="AT1817" s="115"/>
      <c r="AU1817" s="115"/>
      <c r="AV1817" s="115"/>
      <c r="AW1817" s="115"/>
      <c r="AX1817" s="115"/>
      <c r="AY1817" s="115"/>
      <c r="AZ1817" s="115"/>
      <c r="BA1817" s="115"/>
      <c r="BB1817" s="115"/>
      <c r="BC1817" s="115"/>
      <c r="BD1817" s="122"/>
      <c r="BE1817" s="122"/>
      <c r="BF1817" s="122"/>
      <c r="BG1817" s="115"/>
      <c r="BH1817" s="115"/>
      <c r="BI1817" s="115"/>
      <c r="BJ1817" s="115"/>
      <c r="BK1817" s="115"/>
      <c r="BL1817" s="115"/>
      <c r="BM1817" s="115"/>
      <c r="BN1817" s="115"/>
      <c r="BO1817" s="115"/>
      <c r="BP1817" s="115"/>
      <c r="BQ1817" s="115"/>
      <c r="BR1817" s="115"/>
      <c r="BS1817" s="115"/>
      <c r="BT1817" s="115"/>
      <c r="BU1817" s="26"/>
      <c r="BV1817" s="15"/>
    </row>
    <row r="1818" spans="2:74" x14ac:dyDescent="0.4">
      <c r="C1818" s="115"/>
      <c r="D1818" s="115"/>
      <c r="E1818" s="115"/>
      <c r="F1818" s="115"/>
      <c r="G1818" s="115"/>
      <c r="H1818" s="115"/>
      <c r="I1818" s="115"/>
      <c r="J1818" s="115"/>
      <c r="K1818" s="115"/>
      <c r="L1818" s="115"/>
      <c r="M1818" s="115"/>
      <c r="N1818" s="115"/>
      <c r="O1818" s="115"/>
      <c r="P1818" s="115"/>
      <c r="Q1818" s="115"/>
      <c r="R1818" s="115"/>
      <c r="S1818" s="115"/>
      <c r="T1818" s="115"/>
      <c r="U1818" s="115"/>
      <c r="V1818" s="115"/>
      <c r="W1818" s="115"/>
      <c r="X1818" s="115"/>
      <c r="Y1818" s="115"/>
      <c r="Z1818" s="115"/>
      <c r="AA1818" s="115"/>
      <c r="AB1818" s="115"/>
      <c r="AC1818" s="115"/>
      <c r="AD1818" s="115"/>
      <c r="AE1818" s="115"/>
      <c r="AF1818" s="115"/>
      <c r="AG1818" s="115"/>
      <c r="AH1818" s="115"/>
      <c r="AI1818" s="115"/>
      <c r="AJ1818" s="115"/>
      <c r="AK1818" s="115"/>
      <c r="AL1818" s="115"/>
      <c r="AM1818" s="115"/>
      <c r="AN1818" s="115"/>
      <c r="AO1818" s="115"/>
      <c r="AP1818" s="115"/>
      <c r="AQ1818" s="115"/>
      <c r="AR1818" s="115"/>
      <c r="AS1818" s="115"/>
      <c r="AT1818" s="115"/>
      <c r="AU1818" s="115"/>
      <c r="AV1818" s="115"/>
      <c r="AW1818" s="115"/>
      <c r="AX1818" s="115"/>
      <c r="AY1818" s="115"/>
      <c r="AZ1818" s="115"/>
      <c r="BA1818" s="115"/>
      <c r="BB1818" s="115"/>
      <c r="BC1818" s="115"/>
      <c r="BD1818" s="122"/>
      <c r="BE1818" s="122"/>
      <c r="BF1818" s="122"/>
      <c r="BG1818" s="115"/>
      <c r="BH1818" s="115"/>
      <c r="BI1818" s="115"/>
      <c r="BJ1818" s="115"/>
      <c r="BK1818" s="115"/>
      <c r="BL1818" s="115"/>
      <c r="BM1818" s="115"/>
      <c r="BN1818" s="115"/>
      <c r="BO1818" s="115"/>
      <c r="BP1818" s="115"/>
      <c r="BQ1818" s="115"/>
      <c r="BR1818" s="115"/>
      <c r="BS1818" s="115"/>
      <c r="BT1818" s="115"/>
      <c r="BU1818" s="26"/>
      <c r="BV1818" s="15"/>
    </row>
    <row r="1819" spans="2:74" ht="19.5" customHeight="1" x14ac:dyDescent="0.4">
      <c r="B1819" s="115"/>
      <c r="C1819" s="115"/>
      <c r="D1819" s="115"/>
      <c r="E1819" s="115"/>
      <c r="F1819" s="115"/>
      <c r="G1819" s="115"/>
      <c r="H1819" s="115"/>
      <c r="I1819" s="115"/>
      <c r="J1819" s="115"/>
      <c r="K1819" s="115"/>
      <c r="L1819" s="115"/>
      <c r="M1819" s="115"/>
      <c r="N1819" s="115"/>
      <c r="O1819" s="115"/>
      <c r="P1819" s="115"/>
      <c r="Q1819" s="115"/>
      <c r="R1819" s="115"/>
      <c r="S1819" s="115"/>
      <c r="T1819" s="115"/>
      <c r="U1819" s="115"/>
      <c r="V1819" s="115"/>
      <c r="W1819" s="115"/>
      <c r="X1819" s="115"/>
      <c r="Y1819" s="115"/>
      <c r="Z1819" s="115"/>
      <c r="AA1819" s="115"/>
      <c r="AB1819" s="115"/>
      <c r="AC1819" s="115"/>
      <c r="AD1819" s="115"/>
      <c r="AE1819" s="115"/>
      <c r="AF1819" s="115"/>
      <c r="AG1819" s="115"/>
      <c r="AH1819" s="115"/>
      <c r="AI1819" s="115"/>
      <c r="AJ1819" s="115"/>
      <c r="AK1819" s="115"/>
      <c r="AL1819" s="115"/>
      <c r="AM1819" s="115"/>
      <c r="AN1819" s="115"/>
      <c r="AO1819" s="115"/>
      <c r="AP1819" s="115"/>
      <c r="AQ1819" s="115"/>
      <c r="AR1819" s="115"/>
      <c r="AS1819" s="115"/>
      <c r="AT1819" s="115"/>
      <c r="AU1819" s="115"/>
      <c r="AV1819" s="115"/>
      <c r="AW1819" s="115"/>
      <c r="AX1819" s="115"/>
      <c r="AY1819" s="115"/>
      <c r="AZ1819" s="115"/>
      <c r="BA1819" s="115"/>
      <c r="BB1819" s="115"/>
      <c r="BC1819" s="115"/>
      <c r="BD1819" s="122"/>
      <c r="BE1819" s="122"/>
      <c r="BF1819" s="122"/>
      <c r="BG1819" s="115"/>
      <c r="BH1819" s="115"/>
      <c r="BI1819" s="115"/>
      <c r="BJ1819" s="115"/>
      <c r="BK1819" s="115"/>
      <c r="BL1819" s="115"/>
      <c r="BM1819" s="115"/>
      <c r="BN1819" s="115"/>
      <c r="BO1819" s="115"/>
      <c r="BP1819" s="115"/>
      <c r="BQ1819" s="115"/>
      <c r="BR1819" s="115"/>
      <c r="BS1819" s="115"/>
      <c r="BT1819" s="115"/>
      <c r="BU1819" s="26"/>
      <c r="BV1819" s="15"/>
    </row>
    <row r="1820" spans="2:74" ht="19.5" customHeight="1" x14ac:dyDescent="0.4">
      <c r="B1820" s="115"/>
      <c r="C1820" s="115"/>
      <c r="D1820" s="115"/>
      <c r="E1820" s="115"/>
      <c r="F1820" s="115"/>
      <c r="G1820" s="115"/>
      <c r="H1820" s="115"/>
      <c r="I1820" s="115"/>
      <c r="J1820" s="115"/>
      <c r="K1820" s="115"/>
      <c r="L1820" s="115"/>
      <c r="M1820" s="115"/>
      <c r="N1820" s="115"/>
      <c r="O1820" s="115"/>
      <c r="P1820" s="115"/>
      <c r="Q1820" s="115"/>
      <c r="R1820" s="115"/>
      <c r="S1820" s="115"/>
      <c r="T1820" s="115"/>
      <c r="U1820" s="115"/>
      <c r="V1820" s="115"/>
      <c r="W1820" s="115"/>
      <c r="X1820" s="115"/>
      <c r="Y1820" s="115"/>
      <c r="Z1820" s="115"/>
      <c r="AA1820" s="115"/>
      <c r="AB1820" s="115"/>
      <c r="AC1820" s="115"/>
      <c r="AD1820" s="115"/>
      <c r="AE1820" s="115"/>
      <c r="AF1820" s="115"/>
      <c r="AG1820" s="115"/>
      <c r="AH1820" s="115"/>
      <c r="AI1820" s="115"/>
      <c r="AJ1820" s="115"/>
      <c r="AK1820" s="115"/>
      <c r="AL1820" s="115"/>
      <c r="AM1820" s="115"/>
      <c r="AN1820" s="115"/>
      <c r="AO1820" s="115"/>
      <c r="AP1820" s="115"/>
      <c r="AQ1820" s="115"/>
      <c r="AR1820" s="115"/>
      <c r="AS1820" s="115"/>
      <c r="AT1820" s="115"/>
      <c r="AU1820" s="115"/>
      <c r="AV1820" s="115"/>
      <c r="AW1820" s="115"/>
      <c r="AX1820" s="115"/>
      <c r="AY1820" s="115"/>
      <c r="AZ1820" s="115"/>
      <c r="BA1820" s="115"/>
      <c r="BB1820" s="115"/>
      <c r="BC1820" s="115"/>
      <c r="BD1820" s="122"/>
      <c r="BE1820" s="122"/>
      <c r="BF1820" s="122"/>
      <c r="BG1820" s="115"/>
      <c r="BH1820" s="115"/>
      <c r="BI1820" s="115"/>
      <c r="BJ1820" s="115"/>
      <c r="BK1820" s="115"/>
      <c r="BL1820" s="115"/>
      <c r="BM1820" s="115"/>
      <c r="BN1820" s="115"/>
      <c r="BO1820" s="115"/>
      <c r="BP1820" s="115"/>
      <c r="BQ1820" s="115"/>
      <c r="BR1820" s="115"/>
      <c r="BS1820" s="115"/>
      <c r="BT1820" s="115"/>
      <c r="BU1820" s="26"/>
      <c r="BV1820" s="15"/>
    </row>
    <row r="1821" spans="2:74" x14ac:dyDescent="0.4">
      <c r="BU1821" s="26"/>
      <c r="BV1821" s="15"/>
    </row>
    <row r="1822" spans="2:74" x14ac:dyDescent="0.4">
      <c r="D1822" s="115"/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22"/>
      <c r="BE1822" s="122"/>
      <c r="BF1822" s="122"/>
      <c r="BG1822" s="115"/>
      <c r="BH1822" s="115"/>
      <c r="BI1822" s="115"/>
      <c r="BJ1822" s="115"/>
      <c r="BK1822" s="115"/>
      <c r="BL1822" s="115"/>
      <c r="BM1822" s="115"/>
      <c r="BN1822" s="115"/>
      <c r="BO1822" s="115"/>
      <c r="BP1822" s="115"/>
      <c r="BQ1822" s="115"/>
      <c r="BR1822" s="115"/>
      <c r="BS1822" s="115"/>
      <c r="BT1822" s="115"/>
      <c r="BU1822" s="26"/>
      <c r="BV1822" s="15"/>
    </row>
    <row r="1823" spans="2:74" x14ac:dyDescent="0.4">
      <c r="C1823" s="115"/>
      <c r="D1823" s="115"/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22"/>
      <c r="BE1823" s="122"/>
      <c r="BF1823" s="122"/>
      <c r="BG1823" s="115"/>
      <c r="BH1823" s="115"/>
      <c r="BI1823" s="115"/>
      <c r="BJ1823" s="115"/>
      <c r="BK1823" s="115"/>
      <c r="BL1823" s="115"/>
      <c r="BM1823" s="115"/>
      <c r="BN1823" s="115"/>
      <c r="BO1823" s="115"/>
      <c r="BP1823" s="115"/>
      <c r="BQ1823" s="115"/>
      <c r="BR1823" s="115"/>
      <c r="BS1823" s="115"/>
      <c r="BT1823" s="115"/>
      <c r="BU1823" s="26"/>
      <c r="BV1823" s="15"/>
    </row>
    <row r="1824" spans="2:74" x14ac:dyDescent="0.4">
      <c r="C1824" s="115"/>
      <c r="D1824" s="115"/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22"/>
      <c r="BE1824" s="122"/>
      <c r="BF1824" s="122"/>
      <c r="BG1824" s="115"/>
      <c r="BH1824" s="115"/>
      <c r="BI1824" s="115"/>
      <c r="BJ1824" s="115"/>
      <c r="BK1824" s="115"/>
      <c r="BL1824" s="115"/>
      <c r="BM1824" s="115"/>
      <c r="BN1824" s="115"/>
      <c r="BO1824" s="115"/>
      <c r="BP1824" s="115"/>
      <c r="BQ1824" s="115"/>
      <c r="BR1824" s="115"/>
      <c r="BS1824" s="115"/>
      <c r="BT1824" s="115"/>
      <c r="BU1824" s="17"/>
      <c r="BV1824" s="15"/>
    </row>
    <row r="1825" spans="1:74" x14ac:dyDescent="0.4">
      <c r="BU1825" s="26"/>
      <c r="BV1825" s="15"/>
    </row>
    <row r="1826" spans="1:74" x14ac:dyDescent="0.4">
      <c r="AX1826" s="115"/>
      <c r="AY1826" s="115"/>
      <c r="AZ1826" s="115"/>
      <c r="BA1826" s="115"/>
      <c r="BB1826" s="115"/>
      <c r="BC1826" s="115"/>
      <c r="BD1826" s="122"/>
      <c r="BE1826" s="122"/>
      <c r="BF1826" s="122"/>
      <c r="BG1826" s="115"/>
      <c r="BH1826" s="115"/>
      <c r="BI1826" s="115"/>
      <c r="BJ1826" s="115"/>
      <c r="BK1826" s="115"/>
      <c r="BL1826" s="115"/>
      <c r="BM1826" s="115"/>
      <c r="BN1826" s="115"/>
      <c r="BO1826" s="115"/>
      <c r="BP1826" s="115"/>
      <c r="BQ1826" s="115"/>
      <c r="BR1826" s="115"/>
      <c r="BS1826" s="115"/>
      <c r="BT1826" s="115"/>
      <c r="BU1826" s="17"/>
      <c r="BV1826" s="15"/>
    </row>
    <row r="1827" spans="1:74" x14ac:dyDescent="0.4"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22"/>
      <c r="BE1827" s="122"/>
      <c r="BF1827" s="122"/>
      <c r="BG1827" s="115"/>
      <c r="BH1827" s="115"/>
      <c r="BI1827" s="115"/>
      <c r="BJ1827" s="115"/>
      <c r="BK1827" s="115"/>
      <c r="BL1827" s="115"/>
      <c r="BM1827" s="115"/>
      <c r="BN1827" s="115"/>
      <c r="BO1827" s="115"/>
      <c r="BP1827" s="115"/>
      <c r="BQ1827" s="115"/>
      <c r="BR1827" s="115"/>
      <c r="BS1827" s="115"/>
      <c r="BT1827" s="115"/>
      <c r="BU1827" s="26"/>
      <c r="BV1827" s="15"/>
    </row>
    <row r="1828" spans="1:74" x14ac:dyDescent="0.4">
      <c r="BU1828" s="26"/>
      <c r="BV1828" s="15"/>
    </row>
    <row r="1829" spans="1:74" x14ac:dyDescent="0.4">
      <c r="BU1829" s="26"/>
      <c r="BV1829" s="15"/>
    </row>
    <row r="1830" spans="1:74" x14ac:dyDescent="0.4">
      <c r="AW1830" s="115"/>
      <c r="AX1830" s="115"/>
      <c r="AY1830" s="115"/>
      <c r="AZ1830" s="115"/>
      <c r="BA1830" s="115"/>
      <c r="BB1830" s="115"/>
      <c r="BC1830" s="115"/>
      <c r="BD1830" s="122"/>
      <c r="BE1830" s="122"/>
      <c r="BF1830" s="122"/>
      <c r="BG1830" s="115"/>
      <c r="BH1830" s="115"/>
      <c r="BI1830" s="115"/>
      <c r="BJ1830" s="115"/>
      <c r="BK1830" s="115"/>
      <c r="BL1830" s="115"/>
      <c r="BM1830" s="115"/>
      <c r="BN1830" s="115"/>
      <c r="BO1830" s="115"/>
      <c r="BP1830" s="115"/>
      <c r="BQ1830" s="115"/>
      <c r="BR1830" s="115"/>
      <c r="BS1830" s="115"/>
      <c r="BT1830" s="115"/>
      <c r="BU1830" s="26"/>
      <c r="BV1830" s="15"/>
    </row>
    <row r="1831" spans="1:74" x14ac:dyDescent="0.4">
      <c r="BU1831" s="26"/>
      <c r="BV1831" s="15"/>
    </row>
    <row r="1832" spans="1:74" x14ac:dyDescent="0.4">
      <c r="AX1832" s="115"/>
      <c r="AY1832" s="115"/>
      <c r="AZ1832" s="115"/>
      <c r="BA1832" s="115"/>
      <c r="BB1832" s="115"/>
      <c r="BC1832" s="115"/>
      <c r="BD1832" s="122"/>
      <c r="BE1832" s="122"/>
      <c r="BF1832" s="122"/>
      <c r="BG1832" s="115"/>
      <c r="BH1832" s="115"/>
      <c r="BI1832" s="115"/>
      <c r="BJ1832" s="115"/>
      <c r="BK1832" s="115"/>
      <c r="BL1832" s="115"/>
      <c r="BM1832" s="115"/>
      <c r="BN1832" s="115"/>
      <c r="BO1832" s="115"/>
      <c r="BP1832" s="115"/>
      <c r="BQ1832" s="115"/>
      <c r="BR1832" s="115"/>
      <c r="BS1832" s="115"/>
      <c r="BT1832" s="115"/>
      <c r="BU1832" s="17"/>
      <c r="BV1832" s="15"/>
    </row>
    <row r="1833" spans="1:74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22"/>
      <c r="BE1833" s="122"/>
      <c r="BF1833" s="122"/>
      <c r="BG1833" s="115"/>
      <c r="BH1833" s="115"/>
      <c r="BI1833" s="115"/>
      <c r="BJ1833" s="115"/>
      <c r="BK1833" s="115"/>
      <c r="BL1833" s="115"/>
      <c r="BM1833" s="115"/>
      <c r="BN1833" s="115"/>
      <c r="BO1833" s="115"/>
      <c r="BP1833" s="115"/>
      <c r="BQ1833" s="115"/>
      <c r="BR1833" s="115"/>
      <c r="BS1833" s="115"/>
      <c r="BT1833" s="115"/>
      <c r="BU1833" s="26"/>
      <c r="BV1833" s="15"/>
    </row>
    <row r="1834" spans="1:74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22"/>
      <c r="BE1834" s="122"/>
      <c r="BF1834" s="122"/>
      <c r="BG1834" s="115"/>
      <c r="BH1834" s="115"/>
      <c r="BI1834" s="115"/>
      <c r="BJ1834" s="115"/>
      <c r="BK1834" s="115"/>
      <c r="BL1834" s="115"/>
      <c r="BM1834" s="115"/>
      <c r="BN1834" s="115"/>
      <c r="BO1834" s="115"/>
      <c r="BP1834" s="115"/>
      <c r="BQ1834" s="115"/>
      <c r="BR1834" s="115"/>
      <c r="BS1834" s="115"/>
      <c r="BT1834" s="115"/>
      <c r="BU1834" s="17"/>
      <c r="BV1834" s="13"/>
    </row>
    <row r="1835" spans="1:74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22"/>
      <c r="BE1835" s="122"/>
      <c r="BF1835" s="122"/>
      <c r="BG1835" s="115"/>
      <c r="BH1835" s="115"/>
      <c r="BI1835" s="115"/>
      <c r="BJ1835" s="115"/>
      <c r="BK1835" s="115"/>
      <c r="BL1835" s="115"/>
      <c r="BM1835" s="115"/>
      <c r="BN1835" s="115"/>
      <c r="BO1835" s="115"/>
      <c r="BP1835" s="115"/>
      <c r="BQ1835" s="115"/>
      <c r="BR1835" s="115"/>
      <c r="BS1835" s="115"/>
      <c r="BT1835" s="115"/>
      <c r="BU1835" s="17"/>
      <c r="BV1835" s="13"/>
    </row>
    <row r="1836" spans="1:74" x14ac:dyDescent="0.4">
      <c r="BU1836" s="26"/>
      <c r="BV1836" s="13"/>
    </row>
    <row r="1837" spans="1:74" x14ac:dyDescent="0.4"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22"/>
      <c r="BE1837" s="122"/>
      <c r="BF1837" s="122"/>
      <c r="BG1837" s="115"/>
      <c r="BH1837" s="115"/>
      <c r="BI1837" s="115"/>
      <c r="BJ1837" s="115"/>
      <c r="BK1837" s="115"/>
      <c r="BL1837" s="115"/>
      <c r="BM1837" s="115"/>
      <c r="BN1837" s="115"/>
      <c r="BO1837" s="115"/>
      <c r="BP1837" s="115"/>
      <c r="BQ1837" s="115"/>
      <c r="BR1837" s="115"/>
      <c r="BS1837" s="115"/>
      <c r="BT1837" s="115"/>
      <c r="BU1837" s="26"/>
      <c r="BV1837" s="15"/>
    </row>
    <row r="1838" spans="1:74" x14ac:dyDescent="0.4"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22"/>
      <c r="BE1838" s="122"/>
      <c r="BF1838" s="122"/>
      <c r="BG1838" s="115"/>
      <c r="BH1838" s="115"/>
      <c r="BI1838" s="115"/>
      <c r="BJ1838" s="115"/>
      <c r="BK1838" s="115"/>
      <c r="BL1838" s="115"/>
      <c r="BM1838" s="115"/>
      <c r="BN1838" s="115"/>
      <c r="BO1838" s="115"/>
      <c r="BP1838" s="115"/>
      <c r="BQ1838" s="115"/>
      <c r="BR1838" s="115"/>
      <c r="BS1838" s="115"/>
      <c r="BT1838" s="115"/>
      <c r="BU1838" s="26"/>
      <c r="BV1838" s="15"/>
    </row>
    <row r="1839" spans="1:74" x14ac:dyDescent="0.4">
      <c r="BU1839" s="26"/>
      <c r="BV1839" s="15"/>
    </row>
    <row r="1840" spans="1:74" x14ac:dyDescent="0.4"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22"/>
      <c r="BE1840" s="122"/>
      <c r="BF1840" s="122"/>
      <c r="BG1840" s="115"/>
      <c r="BH1840" s="115"/>
      <c r="BI1840" s="115"/>
      <c r="BJ1840" s="115"/>
      <c r="BK1840" s="115"/>
      <c r="BL1840" s="115"/>
      <c r="BM1840" s="115"/>
      <c r="BN1840" s="115"/>
      <c r="BO1840" s="115"/>
      <c r="BP1840" s="115"/>
      <c r="BQ1840" s="115"/>
      <c r="BR1840" s="115"/>
      <c r="BS1840" s="115"/>
      <c r="BT1840" s="115"/>
      <c r="BU1840" s="26"/>
      <c r="BV1840" s="15"/>
    </row>
    <row r="1841" spans="1:74" x14ac:dyDescent="0.4"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22"/>
      <c r="BE1841" s="122"/>
      <c r="BF1841" s="122"/>
      <c r="BG1841" s="115"/>
      <c r="BH1841" s="115"/>
      <c r="BI1841" s="115"/>
      <c r="BJ1841" s="115"/>
      <c r="BK1841" s="115"/>
      <c r="BL1841" s="115"/>
      <c r="BM1841" s="115"/>
      <c r="BN1841" s="115"/>
      <c r="BO1841" s="115"/>
      <c r="BP1841" s="115"/>
      <c r="BQ1841" s="115"/>
      <c r="BR1841" s="115"/>
      <c r="BS1841" s="115"/>
      <c r="BT1841" s="115"/>
      <c r="BU1841" s="26"/>
      <c r="BV1841" s="15"/>
    </row>
    <row r="1842" spans="1:74" x14ac:dyDescent="0.4">
      <c r="C1842" s="115"/>
      <c r="D1842" s="115"/>
      <c r="E1842" s="115"/>
      <c r="F1842" s="115"/>
      <c r="G1842" s="115"/>
      <c r="H1842" s="115"/>
      <c r="I1842" s="115"/>
      <c r="J1842" s="115"/>
      <c r="K1842" s="115"/>
      <c r="L1842" s="115"/>
      <c r="M1842" s="115"/>
      <c r="N1842" s="115"/>
      <c r="O1842" s="115"/>
      <c r="P1842" s="115"/>
      <c r="Q1842" s="115"/>
      <c r="R1842" s="115"/>
      <c r="S1842" s="115"/>
      <c r="T1842" s="115"/>
      <c r="U1842" s="115"/>
      <c r="V1842" s="115"/>
      <c r="W1842" s="115"/>
      <c r="X1842" s="115"/>
      <c r="Y1842" s="115"/>
      <c r="Z1842" s="115"/>
      <c r="AA1842" s="115"/>
      <c r="AB1842" s="115"/>
      <c r="AC1842" s="115"/>
      <c r="AD1842" s="115"/>
      <c r="AE1842" s="115"/>
      <c r="AF1842" s="115"/>
      <c r="AG1842" s="115"/>
      <c r="AH1842" s="115"/>
      <c r="AI1842" s="115"/>
      <c r="AJ1842" s="115"/>
      <c r="AK1842" s="115"/>
      <c r="AL1842" s="115"/>
      <c r="AM1842" s="115"/>
      <c r="AN1842" s="115"/>
      <c r="AO1842" s="115"/>
      <c r="AP1842" s="115"/>
      <c r="AQ1842" s="115"/>
      <c r="AR1842" s="115"/>
      <c r="AS1842" s="115"/>
      <c r="AT1842" s="115"/>
      <c r="AU1842" s="115"/>
      <c r="AV1842" s="115"/>
      <c r="AW1842" s="115"/>
      <c r="AX1842" s="115"/>
      <c r="AY1842" s="115"/>
      <c r="AZ1842" s="115"/>
      <c r="BA1842" s="115"/>
      <c r="BB1842" s="115"/>
      <c r="BC1842" s="115"/>
      <c r="BD1842" s="122"/>
      <c r="BE1842" s="122"/>
      <c r="BF1842" s="122"/>
      <c r="BG1842" s="115"/>
      <c r="BH1842" s="115"/>
      <c r="BI1842" s="115"/>
      <c r="BJ1842" s="115"/>
      <c r="BK1842" s="115"/>
      <c r="BL1842" s="115"/>
      <c r="BM1842" s="115"/>
      <c r="BN1842" s="115"/>
      <c r="BO1842" s="115"/>
      <c r="BP1842" s="115"/>
      <c r="BQ1842" s="115"/>
      <c r="BR1842" s="115"/>
      <c r="BS1842" s="115"/>
      <c r="BT1842" s="115"/>
      <c r="BU1842" s="26"/>
      <c r="BV1842" s="15"/>
    </row>
    <row r="1843" spans="1:74" x14ac:dyDescent="0.4">
      <c r="C1843" s="115"/>
      <c r="D1843" s="115"/>
      <c r="E1843" s="115"/>
      <c r="F1843" s="115"/>
      <c r="G1843" s="115"/>
      <c r="H1843" s="115"/>
      <c r="I1843" s="115"/>
      <c r="J1843" s="115"/>
      <c r="K1843" s="115"/>
      <c r="L1843" s="115"/>
      <c r="M1843" s="115"/>
      <c r="N1843" s="115"/>
      <c r="O1843" s="115"/>
      <c r="P1843" s="115"/>
      <c r="Q1843" s="115"/>
      <c r="R1843" s="115"/>
      <c r="S1843" s="115"/>
      <c r="T1843" s="115"/>
      <c r="U1843" s="115"/>
      <c r="V1843" s="115"/>
      <c r="W1843" s="115"/>
      <c r="X1843" s="115"/>
      <c r="Y1843" s="115"/>
      <c r="Z1843" s="115"/>
      <c r="AA1843" s="115"/>
      <c r="AB1843" s="115"/>
      <c r="AC1843" s="115"/>
      <c r="AD1843" s="115"/>
      <c r="AE1843" s="115"/>
      <c r="AF1843" s="115"/>
      <c r="AG1843" s="115"/>
      <c r="AH1843" s="115"/>
      <c r="AI1843" s="115"/>
      <c r="AJ1843" s="115"/>
      <c r="AK1843" s="115"/>
      <c r="AL1843" s="115"/>
      <c r="AM1843" s="115"/>
      <c r="AN1843" s="115"/>
      <c r="AO1843" s="115"/>
      <c r="AP1843" s="115"/>
      <c r="AQ1843" s="115"/>
      <c r="AR1843" s="115"/>
      <c r="AS1843" s="115"/>
      <c r="AT1843" s="115"/>
      <c r="AU1843" s="115"/>
      <c r="AV1843" s="115"/>
      <c r="AW1843" s="115"/>
      <c r="AX1843" s="115"/>
      <c r="AY1843" s="115"/>
      <c r="AZ1843" s="115"/>
      <c r="BA1843" s="115"/>
      <c r="BB1843" s="115"/>
      <c r="BC1843" s="115"/>
      <c r="BD1843" s="122"/>
      <c r="BE1843" s="122"/>
      <c r="BF1843" s="122"/>
      <c r="BG1843" s="115"/>
      <c r="BH1843" s="115"/>
      <c r="BI1843" s="115"/>
      <c r="BJ1843" s="115"/>
      <c r="BK1843" s="115"/>
      <c r="BL1843" s="115"/>
      <c r="BM1843" s="115"/>
      <c r="BN1843" s="115"/>
      <c r="BO1843" s="115"/>
      <c r="BP1843" s="115"/>
      <c r="BQ1843" s="115"/>
      <c r="BR1843" s="115"/>
      <c r="BS1843" s="115"/>
      <c r="BT1843" s="115"/>
      <c r="BU1843" s="26"/>
      <c r="BV1843" s="15"/>
    </row>
    <row r="1844" spans="1:74" x14ac:dyDescent="0.4">
      <c r="BU1844" s="26"/>
      <c r="BV1844" s="15"/>
    </row>
    <row r="1845" spans="1:74" x14ac:dyDescent="0.4"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22"/>
      <c r="BE1845" s="122"/>
      <c r="BF1845" s="122"/>
      <c r="BG1845" s="115"/>
      <c r="BH1845" s="115"/>
      <c r="BI1845" s="115"/>
      <c r="BJ1845" s="115"/>
      <c r="BK1845" s="115"/>
      <c r="BL1845" s="115"/>
      <c r="BM1845" s="115"/>
      <c r="BN1845" s="115"/>
      <c r="BO1845" s="115"/>
      <c r="BP1845" s="115"/>
      <c r="BQ1845" s="115"/>
      <c r="BR1845" s="115"/>
      <c r="BS1845" s="115"/>
      <c r="BT1845" s="115"/>
      <c r="BU1845" s="26"/>
      <c r="BV1845" s="15"/>
    </row>
    <row r="1846" spans="1:74" x14ac:dyDescent="0.4">
      <c r="BU1846" s="26"/>
      <c r="BV1846" s="15"/>
    </row>
    <row r="1847" spans="1:74" x14ac:dyDescent="0.4"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22"/>
      <c r="BE1847" s="122"/>
      <c r="BF1847" s="122"/>
      <c r="BG1847" s="115"/>
      <c r="BH1847" s="115"/>
      <c r="BI1847" s="115"/>
      <c r="BJ1847" s="115"/>
      <c r="BK1847" s="115"/>
      <c r="BL1847" s="115"/>
      <c r="BM1847" s="115"/>
      <c r="BN1847" s="115"/>
      <c r="BO1847" s="115"/>
      <c r="BP1847" s="115"/>
      <c r="BQ1847" s="115"/>
      <c r="BR1847" s="115"/>
      <c r="BS1847" s="115"/>
      <c r="BT1847" s="115"/>
      <c r="BU1847" s="26"/>
      <c r="BV1847" s="15"/>
    </row>
    <row r="1848" spans="1:74" x14ac:dyDescent="0.4"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22"/>
      <c r="BE1848" s="122"/>
      <c r="BF1848" s="122"/>
      <c r="BG1848" s="115"/>
      <c r="BH1848" s="115"/>
      <c r="BI1848" s="115"/>
      <c r="BJ1848" s="115"/>
      <c r="BK1848" s="115"/>
      <c r="BL1848" s="115"/>
      <c r="BM1848" s="115"/>
      <c r="BN1848" s="115"/>
      <c r="BO1848" s="115"/>
      <c r="BP1848" s="115"/>
      <c r="BQ1848" s="115"/>
      <c r="BR1848" s="115"/>
      <c r="BS1848" s="115"/>
      <c r="BT1848" s="115"/>
      <c r="BU1848" s="26"/>
      <c r="BV1848" s="15"/>
    </row>
    <row r="1849" spans="1:74" x14ac:dyDescent="0.4"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22"/>
      <c r="BE1849" s="122"/>
      <c r="BF1849" s="122"/>
      <c r="BG1849" s="115"/>
      <c r="BH1849" s="115"/>
      <c r="BI1849" s="115"/>
      <c r="BJ1849" s="115"/>
      <c r="BK1849" s="115"/>
      <c r="BL1849" s="115"/>
      <c r="BM1849" s="115"/>
      <c r="BN1849" s="115"/>
      <c r="BO1849" s="115"/>
      <c r="BP1849" s="115"/>
      <c r="BQ1849" s="115"/>
      <c r="BR1849" s="115"/>
      <c r="BS1849" s="115"/>
      <c r="BT1849" s="115"/>
      <c r="BU1849" s="17"/>
      <c r="BV1849" s="15"/>
    </row>
    <row r="1850" spans="1:74" x14ac:dyDescent="0.4">
      <c r="BU1850" s="26"/>
      <c r="BV1850" s="15"/>
    </row>
    <row r="1851" spans="1:74" x14ac:dyDescent="0.4">
      <c r="BU1851" s="26"/>
      <c r="BV1851" s="15"/>
    </row>
    <row r="1852" spans="1:74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22"/>
      <c r="BE1852" s="122"/>
      <c r="BF1852" s="122"/>
      <c r="BG1852" s="115"/>
      <c r="BH1852" s="115"/>
      <c r="BI1852" s="115"/>
      <c r="BJ1852" s="115"/>
      <c r="BK1852" s="115"/>
      <c r="BL1852" s="115"/>
      <c r="BM1852" s="115"/>
      <c r="BN1852" s="115"/>
      <c r="BO1852" s="115"/>
      <c r="BP1852" s="115"/>
      <c r="BQ1852" s="115"/>
      <c r="BR1852" s="115"/>
      <c r="BS1852" s="115"/>
      <c r="BT1852" s="115"/>
      <c r="BU1852" s="26"/>
      <c r="BV1852" s="15"/>
    </row>
    <row r="1853" spans="1:74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22"/>
      <c r="BE1853" s="122"/>
      <c r="BF1853" s="122"/>
      <c r="BG1853" s="115"/>
      <c r="BH1853" s="115"/>
      <c r="BI1853" s="115"/>
      <c r="BJ1853" s="115"/>
      <c r="BK1853" s="115"/>
      <c r="BL1853" s="115"/>
      <c r="BM1853" s="115"/>
      <c r="BN1853" s="115"/>
      <c r="BO1853" s="115"/>
      <c r="BP1853" s="115"/>
      <c r="BQ1853" s="115"/>
      <c r="BR1853" s="115"/>
      <c r="BS1853" s="115"/>
      <c r="BT1853" s="115"/>
      <c r="BU1853" s="17"/>
      <c r="BV1853" s="15"/>
    </row>
    <row r="1854" spans="1:74" x14ac:dyDescent="0.4">
      <c r="BU1854" s="26"/>
      <c r="BV1854" s="15"/>
    </row>
    <row r="1855" spans="1:74" ht="17.25" customHeight="1" x14ac:dyDescent="0.4"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22"/>
      <c r="BE1855" s="122"/>
      <c r="BF1855" s="122"/>
      <c r="BG1855" s="115"/>
      <c r="BH1855" s="115"/>
      <c r="BI1855" s="115"/>
      <c r="BJ1855" s="115"/>
      <c r="BK1855" s="115"/>
      <c r="BL1855" s="115"/>
      <c r="BM1855" s="115"/>
      <c r="BN1855" s="115"/>
      <c r="BO1855" s="115"/>
      <c r="BP1855" s="115"/>
      <c r="BQ1855" s="115"/>
      <c r="BR1855" s="115"/>
      <c r="BS1855" s="115"/>
      <c r="BT1855" s="115"/>
      <c r="BU1855" s="26"/>
      <c r="BV1855" s="15"/>
    </row>
    <row r="1856" spans="1:74" x14ac:dyDescent="0.4">
      <c r="BU1856" s="26"/>
      <c r="BV1856" s="15"/>
    </row>
    <row r="1857" spans="1:74" x14ac:dyDescent="0.4">
      <c r="AW1857" s="115"/>
      <c r="AX1857" s="115"/>
      <c r="AY1857" s="115"/>
      <c r="AZ1857" s="115"/>
      <c r="BA1857" s="115"/>
      <c r="BB1857" s="115"/>
      <c r="BC1857" s="115"/>
      <c r="BD1857" s="122"/>
      <c r="BE1857" s="122"/>
      <c r="BF1857" s="122"/>
      <c r="BG1857" s="115"/>
      <c r="BH1857" s="115"/>
      <c r="BI1857" s="115"/>
      <c r="BJ1857" s="115"/>
      <c r="BK1857" s="115"/>
      <c r="BL1857" s="115"/>
      <c r="BM1857" s="115"/>
      <c r="BN1857" s="115"/>
      <c r="BO1857" s="115"/>
      <c r="BP1857" s="115"/>
      <c r="BQ1857" s="115"/>
      <c r="BR1857" s="115"/>
      <c r="BS1857" s="115"/>
      <c r="BT1857" s="115"/>
      <c r="BU1857" s="17"/>
      <c r="BV1857" s="15"/>
    </row>
    <row r="1858" spans="1:74" ht="16.5" customHeight="1" x14ac:dyDescent="0.4">
      <c r="A1858" s="115"/>
      <c r="B1858" s="115"/>
      <c r="C1858" s="115"/>
      <c r="D1858" s="115"/>
      <c r="E1858" s="115"/>
      <c r="F1858" s="115"/>
      <c r="G1858" s="115"/>
      <c r="H1858" s="115"/>
      <c r="I1858" s="115"/>
      <c r="J1858" s="115"/>
      <c r="K1858" s="115"/>
      <c r="L1858" s="115"/>
      <c r="M1858" s="115"/>
      <c r="N1858" s="115"/>
      <c r="O1858" s="115"/>
      <c r="P1858" s="115"/>
      <c r="Q1858" s="115"/>
      <c r="R1858" s="115"/>
      <c r="S1858" s="115"/>
      <c r="T1858" s="115"/>
      <c r="U1858" s="115"/>
      <c r="V1858" s="115"/>
      <c r="W1858" s="115"/>
      <c r="X1858" s="115"/>
      <c r="Y1858" s="115"/>
      <c r="Z1858" s="115"/>
      <c r="AA1858" s="115"/>
      <c r="AB1858" s="115"/>
      <c r="AC1858" s="115"/>
      <c r="AD1858" s="115"/>
      <c r="AE1858" s="115"/>
      <c r="AF1858" s="115"/>
      <c r="AG1858" s="115"/>
      <c r="AH1858" s="115"/>
      <c r="AI1858" s="115"/>
      <c r="AJ1858" s="115"/>
      <c r="AK1858" s="115"/>
      <c r="AL1858" s="115"/>
      <c r="AM1858" s="115"/>
      <c r="AN1858" s="115"/>
      <c r="AO1858" s="115"/>
      <c r="AP1858" s="115"/>
      <c r="AQ1858" s="115"/>
      <c r="AR1858" s="115"/>
      <c r="AS1858" s="115"/>
      <c r="AT1858" s="115"/>
      <c r="AU1858" s="115"/>
      <c r="AV1858" s="115"/>
      <c r="AW1858" s="115"/>
      <c r="AX1858" s="115"/>
      <c r="AY1858" s="115"/>
      <c r="AZ1858" s="115"/>
      <c r="BA1858" s="115"/>
      <c r="BB1858" s="115"/>
      <c r="BC1858" s="115"/>
      <c r="BD1858" s="122"/>
      <c r="BE1858" s="122"/>
      <c r="BF1858" s="122"/>
      <c r="BG1858" s="115"/>
      <c r="BH1858" s="115"/>
      <c r="BI1858" s="115"/>
      <c r="BJ1858" s="115"/>
      <c r="BK1858" s="115"/>
      <c r="BL1858" s="115"/>
      <c r="BM1858" s="115"/>
      <c r="BN1858" s="115"/>
      <c r="BO1858" s="115"/>
      <c r="BP1858" s="115"/>
      <c r="BQ1858" s="115"/>
      <c r="BR1858" s="115"/>
      <c r="BS1858" s="115"/>
      <c r="BT1858" s="115"/>
      <c r="BU1858" s="26"/>
      <c r="BV1858" s="15"/>
    </row>
    <row r="1859" spans="1:74" ht="22.5" customHeight="1" x14ac:dyDescent="0.4">
      <c r="A1859" s="115"/>
      <c r="B1859" s="115"/>
      <c r="C1859" s="115"/>
      <c r="D1859" s="115"/>
      <c r="E1859" s="115"/>
      <c r="F1859" s="115"/>
      <c r="G1859" s="115"/>
      <c r="H1859" s="115"/>
      <c r="I1859" s="115"/>
      <c r="J1859" s="115"/>
      <c r="K1859" s="115"/>
      <c r="L1859" s="115"/>
      <c r="M1859" s="115"/>
      <c r="N1859" s="115"/>
      <c r="O1859" s="115"/>
      <c r="P1859" s="115"/>
      <c r="Q1859" s="115"/>
      <c r="R1859" s="115"/>
      <c r="S1859" s="115"/>
      <c r="T1859" s="115"/>
      <c r="U1859" s="115"/>
      <c r="V1859" s="115"/>
      <c r="W1859" s="115"/>
      <c r="X1859" s="115"/>
      <c r="Y1859" s="115"/>
      <c r="Z1859" s="115"/>
      <c r="AA1859" s="115"/>
      <c r="AB1859" s="115"/>
      <c r="AC1859" s="115"/>
      <c r="AD1859" s="115"/>
      <c r="AE1859" s="115"/>
      <c r="AF1859" s="115"/>
      <c r="AG1859" s="115"/>
      <c r="AH1859" s="115"/>
      <c r="AI1859" s="115"/>
      <c r="AJ1859" s="115"/>
      <c r="AK1859" s="115"/>
      <c r="AL1859" s="115"/>
      <c r="AM1859" s="115"/>
      <c r="AN1859" s="115"/>
      <c r="AO1859" s="115"/>
      <c r="AP1859" s="115"/>
      <c r="AQ1859" s="115"/>
      <c r="AR1859" s="115"/>
      <c r="AS1859" s="115"/>
      <c r="AT1859" s="115"/>
      <c r="AU1859" s="115"/>
      <c r="AV1859" s="115"/>
      <c r="AW1859" s="115"/>
      <c r="AX1859" s="115"/>
      <c r="AY1859" s="115"/>
      <c r="AZ1859" s="115"/>
      <c r="BA1859" s="115"/>
      <c r="BB1859" s="115"/>
      <c r="BC1859" s="115"/>
      <c r="BD1859" s="122"/>
      <c r="BE1859" s="122"/>
      <c r="BF1859" s="122"/>
      <c r="BG1859" s="115"/>
      <c r="BH1859" s="115"/>
      <c r="BI1859" s="115"/>
      <c r="BJ1859" s="115"/>
      <c r="BK1859" s="115"/>
      <c r="BL1859" s="115"/>
      <c r="BM1859" s="115"/>
      <c r="BN1859" s="115"/>
      <c r="BO1859" s="115"/>
      <c r="BP1859" s="115"/>
      <c r="BQ1859" s="115"/>
      <c r="BR1859" s="115"/>
      <c r="BS1859" s="115"/>
      <c r="BT1859" s="115"/>
      <c r="BU1859" s="26"/>
      <c r="BV1859" s="15"/>
    </row>
    <row r="1860" spans="1:74" x14ac:dyDescent="0.4">
      <c r="BU1860" s="26"/>
      <c r="BV1860" s="15"/>
    </row>
    <row r="1861" spans="1:74" x14ac:dyDescent="0.4">
      <c r="BU1861" s="26"/>
      <c r="BV1861" s="105"/>
    </row>
    <row r="1862" spans="1:74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22"/>
      <c r="BE1862" s="122"/>
      <c r="BF1862" s="122"/>
      <c r="BG1862" s="115"/>
      <c r="BH1862" s="115"/>
      <c r="BI1862" s="115"/>
      <c r="BJ1862" s="115"/>
      <c r="BK1862" s="115"/>
      <c r="BL1862" s="115"/>
      <c r="BM1862" s="115"/>
      <c r="BN1862" s="115"/>
      <c r="BO1862" s="115"/>
      <c r="BP1862" s="115"/>
      <c r="BQ1862" s="115"/>
      <c r="BR1862" s="115"/>
      <c r="BS1862" s="115"/>
      <c r="BT1862" s="115"/>
      <c r="BU1862" s="26"/>
      <c r="BV1862" s="15"/>
    </row>
    <row r="1863" spans="1:74" x14ac:dyDescent="0.4">
      <c r="BU1863" s="26"/>
      <c r="BV1863" s="15"/>
    </row>
    <row r="1864" spans="1:74" x14ac:dyDescent="0.4">
      <c r="BU1864" s="26"/>
      <c r="BV1864" s="15"/>
    </row>
    <row r="1865" spans="1:74" x14ac:dyDescent="0.4">
      <c r="BU1865" s="26"/>
      <c r="BV1865" s="15"/>
    </row>
    <row r="1866" spans="1:74" x14ac:dyDescent="0.4">
      <c r="BU1866" s="26"/>
      <c r="BV1866" s="15"/>
    </row>
    <row r="1867" spans="1:74" x14ac:dyDescent="0.4">
      <c r="A1867" s="115"/>
      <c r="B1867" s="115"/>
      <c r="C1867" s="115"/>
      <c r="D1867" s="115"/>
      <c r="E1867" s="115"/>
      <c r="F1867" s="115"/>
      <c r="G1867" s="115"/>
      <c r="H1867" s="115"/>
      <c r="I1867" s="115"/>
      <c r="J1867" s="115"/>
      <c r="K1867" s="115"/>
      <c r="L1867" s="115"/>
      <c r="M1867" s="115"/>
      <c r="N1867" s="115"/>
      <c r="O1867" s="115"/>
      <c r="P1867" s="115"/>
      <c r="Q1867" s="115"/>
      <c r="R1867" s="115"/>
      <c r="S1867" s="115"/>
      <c r="T1867" s="115"/>
      <c r="U1867" s="115"/>
      <c r="V1867" s="115"/>
      <c r="W1867" s="115"/>
      <c r="X1867" s="115"/>
      <c r="Y1867" s="115"/>
      <c r="Z1867" s="115"/>
      <c r="AA1867" s="115"/>
      <c r="AB1867" s="115"/>
      <c r="AC1867" s="115"/>
      <c r="AD1867" s="115"/>
      <c r="AE1867" s="115"/>
      <c r="AF1867" s="115"/>
      <c r="AG1867" s="115"/>
      <c r="AH1867" s="115"/>
      <c r="AI1867" s="115"/>
      <c r="AJ1867" s="115"/>
      <c r="AK1867" s="115"/>
      <c r="AL1867" s="115"/>
      <c r="AM1867" s="115"/>
      <c r="AN1867" s="115"/>
      <c r="AO1867" s="115"/>
      <c r="AP1867" s="115"/>
      <c r="AQ1867" s="115"/>
      <c r="AR1867" s="115"/>
      <c r="AS1867" s="115"/>
      <c r="AT1867" s="115"/>
      <c r="AU1867" s="115"/>
      <c r="AV1867" s="115"/>
      <c r="AW1867" s="115"/>
      <c r="AX1867" s="115"/>
      <c r="AY1867" s="115"/>
      <c r="AZ1867" s="115"/>
      <c r="BA1867" s="115"/>
      <c r="BB1867" s="115"/>
      <c r="BC1867" s="115"/>
      <c r="BD1867" s="122"/>
      <c r="BE1867" s="122"/>
      <c r="BF1867" s="122"/>
      <c r="BG1867" s="115"/>
      <c r="BH1867" s="115"/>
      <c r="BI1867" s="115"/>
      <c r="BJ1867" s="115"/>
      <c r="BK1867" s="115"/>
      <c r="BL1867" s="115"/>
      <c r="BM1867" s="115"/>
      <c r="BN1867" s="115"/>
      <c r="BO1867" s="115"/>
      <c r="BP1867" s="115"/>
      <c r="BQ1867" s="115"/>
      <c r="BR1867" s="115"/>
      <c r="BS1867" s="115"/>
      <c r="BT1867" s="115"/>
      <c r="BU1867" s="26"/>
      <c r="BV1867" s="15"/>
    </row>
    <row r="1868" spans="1:74" x14ac:dyDescent="0.4">
      <c r="BU1868" s="26"/>
      <c r="BV1868" s="15"/>
    </row>
    <row r="1869" spans="1:74" x14ac:dyDescent="0.4">
      <c r="BU1869" s="26"/>
      <c r="BV1869" s="15"/>
    </row>
    <row r="1870" spans="1:74" x14ac:dyDescent="0.4">
      <c r="BU1870" s="26"/>
      <c r="BV1870" s="15"/>
    </row>
    <row r="1871" spans="1:74" x14ac:dyDescent="0.4">
      <c r="BU1871" s="26"/>
      <c r="BV1871" s="15"/>
    </row>
    <row r="1872" spans="1:74" ht="18.75" customHeight="1" x14ac:dyDescent="0.4">
      <c r="B1872" s="115"/>
      <c r="C1872" s="115"/>
      <c r="D1872" s="115"/>
      <c r="E1872" s="115"/>
      <c r="F1872" s="115"/>
      <c r="G1872" s="115"/>
      <c r="H1872" s="115"/>
      <c r="I1872" s="115"/>
      <c r="J1872" s="115"/>
      <c r="K1872" s="115"/>
      <c r="L1872" s="115"/>
      <c r="M1872" s="115"/>
      <c r="N1872" s="115"/>
      <c r="O1872" s="115"/>
      <c r="P1872" s="115"/>
      <c r="Q1872" s="115"/>
      <c r="R1872" s="115"/>
      <c r="S1872" s="115"/>
      <c r="T1872" s="115"/>
      <c r="U1872" s="115"/>
      <c r="V1872" s="115"/>
      <c r="W1872" s="115"/>
      <c r="X1872" s="115"/>
      <c r="Y1872" s="115"/>
      <c r="Z1872" s="115"/>
      <c r="AA1872" s="115"/>
      <c r="AB1872" s="115"/>
      <c r="AC1872" s="115"/>
      <c r="AD1872" s="115"/>
      <c r="AE1872" s="115"/>
      <c r="AF1872" s="115"/>
      <c r="AG1872" s="115"/>
      <c r="AH1872" s="115"/>
      <c r="AI1872" s="115"/>
      <c r="AJ1872" s="115"/>
      <c r="AK1872" s="115"/>
      <c r="AL1872" s="115"/>
      <c r="AM1872" s="115"/>
      <c r="AN1872" s="115"/>
      <c r="AO1872" s="115"/>
      <c r="AP1872" s="115"/>
      <c r="AQ1872" s="115"/>
      <c r="AR1872" s="115"/>
      <c r="AS1872" s="115"/>
      <c r="AT1872" s="115"/>
      <c r="AU1872" s="115"/>
      <c r="AV1872" s="115"/>
      <c r="AW1872" s="115"/>
      <c r="AX1872" s="115"/>
      <c r="AY1872" s="115"/>
      <c r="AZ1872" s="115"/>
      <c r="BA1872" s="115"/>
      <c r="BB1872" s="115"/>
      <c r="BC1872" s="115"/>
      <c r="BD1872" s="122"/>
      <c r="BE1872" s="122"/>
      <c r="BF1872" s="122"/>
      <c r="BG1872" s="115"/>
      <c r="BH1872" s="115"/>
      <c r="BI1872" s="115"/>
      <c r="BJ1872" s="115"/>
      <c r="BK1872" s="115"/>
      <c r="BL1872" s="115"/>
      <c r="BM1872" s="115"/>
      <c r="BN1872" s="115"/>
      <c r="BO1872" s="115"/>
      <c r="BP1872" s="115"/>
      <c r="BQ1872" s="115"/>
      <c r="BR1872" s="115"/>
      <c r="BS1872" s="115"/>
      <c r="BT1872" s="115"/>
      <c r="BU1872" s="26"/>
      <c r="BV1872" s="15"/>
    </row>
    <row r="1873" spans="1:74" x14ac:dyDescent="0.4">
      <c r="BU1873" s="26"/>
      <c r="BV1873" s="15"/>
    </row>
    <row r="1874" spans="1:74" x14ac:dyDescent="0.4">
      <c r="BU1874" s="26"/>
      <c r="BV1874" s="15"/>
    </row>
    <row r="1875" spans="1:74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22"/>
      <c r="BE1875" s="122"/>
      <c r="BF1875" s="122"/>
      <c r="BG1875" s="115"/>
      <c r="BH1875" s="115"/>
      <c r="BI1875" s="115"/>
      <c r="BJ1875" s="115"/>
      <c r="BK1875" s="115"/>
      <c r="BL1875" s="115"/>
      <c r="BM1875" s="115"/>
      <c r="BN1875" s="115"/>
      <c r="BO1875" s="115"/>
      <c r="BP1875" s="115"/>
      <c r="BQ1875" s="115"/>
      <c r="BR1875" s="115"/>
      <c r="BS1875" s="115"/>
      <c r="BT1875" s="115"/>
      <c r="BU1875" s="26"/>
      <c r="BV1875" s="15"/>
    </row>
    <row r="1876" spans="1:74" x14ac:dyDescent="0.4">
      <c r="A1876" s="115"/>
      <c r="B1876" s="115"/>
      <c r="C1876" s="115"/>
      <c r="D1876" s="115"/>
      <c r="E1876" s="115"/>
      <c r="F1876" s="115"/>
      <c r="G1876" s="115"/>
      <c r="H1876" s="115"/>
      <c r="I1876" s="115"/>
      <c r="J1876" s="115"/>
      <c r="K1876" s="115"/>
      <c r="L1876" s="115"/>
      <c r="M1876" s="115"/>
      <c r="N1876" s="115"/>
      <c r="O1876" s="115"/>
      <c r="P1876" s="115"/>
      <c r="Q1876" s="115"/>
      <c r="R1876" s="115"/>
      <c r="S1876" s="115"/>
      <c r="T1876" s="115"/>
      <c r="U1876" s="115"/>
      <c r="V1876" s="115"/>
      <c r="W1876" s="115"/>
      <c r="X1876" s="115"/>
      <c r="Y1876" s="115"/>
      <c r="Z1876" s="115"/>
      <c r="AA1876" s="115"/>
      <c r="AB1876" s="115"/>
      <c r="AC1876" s="115"/>
      <c r="AD1876" s="115"/>
      <c r="AE1876" s="115"/>
      <c r="AF1876" s="115"/>
      <c r="AG1876" s="115"/>
      <c r="AH1876" s="115"/>
      <c r="AI1876" s="115"/>
      <c r="AJ1876" s="115"/>
      <c r="AK1876" s="115"/>
      <c r="AL1876" s="115"/>
      <c r="AM1876" s="115"/>
      <c r="AN1876" s="115"/>
      <c r="AO1876" s="115"/>
      <c r="AP1876" s="115"/>
      <c r="AQ1876" s="115"/>
      <c r="AR1876" s="115"/>
      <c r="AS1876" s="115"/>
      <c r="AT1876" s="115"/>
      <c r="AU1876" s="115"/>
      <c r="AV1876" s="115"/>
      <c r="AW1876" s="115"/>
      <c r="AX1876" s="115"/>
      <c r="AY1876" s="115"/>
      <c r="AZ1876" s="115"/>
      <c r="BA1876" s="115"/>
      <c r="BB1876" s="115"/>
      <c r="BC1876" s="115"/>
      <c r="BD1876" s="122"/>
      <c r="BE1876" s="122"/>
      <c r="BF1876" s="122"/>
      <c r="BG1876" s="115"/>
      <c r="BH1876" s="115"/>
      <c r="BI1876" s="115"/>
      <c r="BJ1876" s="115"/>
      <c r="BK1876" s="115"/>
      <c r="BL1876" s="115"/>
      <c r="BM1876" s="115"/>
      <c r="BN1876" s="115"/>
      <c r="BO1876" s="115"/>
      <c r="BP1876" s="115"/>
      <c r="BQ1876" s="115"/>
      <c r="BR1876" s="115"/>
      <c r="BS1876" s="115"/>
      <c r="BT1876" s="115"/>
      <c r="BU1876" s="26"/>
      <c r="BV1876" s="15"/>
    </row>
    <row r="1877" spans="1:74" x14ac:dyDescent="0.4">
      <c r="BU1877" s="26"/>
      <c r="BV1877" s="15"/>
    </row>
    <row r="1878" spans="1:74" x14ac:dyDescent="0.4">
      <c r="AW1878" s="115"/>
      <c r="AX1878" s="115"/>
      <c r="AY1878" s="115"/>
      <c r="AZ1878" s="115"/>
      <c r="BA1878" s="115"/>
      <c r="BB1878" s="115"/>
      <c r="BC1878" s="115"/>
      <c r="BD1878" s="122"/>
      <c r="BE1878" s="122"/>
      <c r="BF1878" s="122"/>
      <c r="BG1878" s="115"/>
      <c r="BH1878" s="115"/>
      <c r="BI1878" s="115"/>
      <c r="BJ1878" s="115"/>
      <c r="BK1878" s="115"/>
      <c r="BL1878" s="115"/>
      <c r="BM1878" s="115"/>
      <c r="BN1878" s="115"/>
      <c r="BO1878" s="115"/>
      <c r="BP1878" s="115"/>
      <c r="BQ1878" s="115"/>
      <c r="BR1878" s="115"/>
      <c r="BS1878" s="115"/>
      <c r="BT1878" s="115"/>
      <c r="BU1878" s="17"/>
      <c r="BV1878" s="15"/>
    </row>
    <row r="1879" spans="1:74" x14ac:dyDescent="0.4">
      <c r="A1879" s="115"/>
      <c r="B1879" s="115"/>
      <c r="C1879" s="115"/>
      <c r="D1879" s="115"/>
      <c r="E1879" s="115"/>
      <c r="F1879" s="115"/>
      <c r="G1879" s="115"/>
      <c r="H1879" s="115"/>
      <c r="I1879" s="115"/>
      <c r="J1879" s="115"/>
      <c r="K1879" s="115"/>
      <c r="L1879" s="115"/>
      <c r="M1879" s="115"/>
      <c r="N1879" s="115"/>
      <c r="O1879" s="115"/>
      <c r="P1879" s="115"/>
      <c r="Q1879" s="115"/>
      <c r="R1879" s="115"/>
      <c r="S1879" s="115"/>
      <c r="T1879" s="115"/>
      <c r="U1879" s="115"/>
      <c r="V1879" s="115"/>
      <c r="W1879" s="115"/>
      <c r="X1879" s="115"/>
      <c r="Y1879" s="115"/>
      <c r="Z1879" s="115"/>
      <c r="AA1879" s="115"/>
      <c r="AB1879" s="115"/>
      <c r="AC1879" s="115"/>
      <c r="AD1879" s="115"/>
      <c r="AE1879" s="115"/>
      <c r="AF1879" s="115"/>
      <c r="AG1879" s="115"/>
      <c r="AH1879" s="115"/>
      <c r="AI1879" s="115"/>
      <c r="AJ1879" s="115"/>
      <c r="AK1879" s="115"/>
      <c r="AL1879" s="115"/>
      <c r="AM1879" s="115"/>
      <c r="AN1879" s="115"/>
      <c r="AO1879" s="115"/>
      <c r="AP1879" s="115"/>
      <c r="AQ1879" s="115"/>
      <c r="AR1879" s="115"/>
      <c r="AS1879" s="115"/>
      <c r="AT1879" s="115"/>
      <c r="AU1879" s="115"/>
      <c r="AV1879" s="115"/>
      <c r="AW1879" s="115"/>
      <c r="AX1879" s="115"/>
      <c r="AY1879" s="115"/>
      <c r="AZ1879" s="115"/>
      <c r="BA1879" s="115"/>
      <c r="BB1879" s="115"/>
      <c r="BC1879" s="115"/>
      <c r="BD1879" s="122"/>
      <c r="BE1879" s="122"/>
      <c r="BF1879" s="122"/>
      <c r="BG1879" s="115"/>
      <c r="BH1879" s="115"/>
      <c r="BI1879" s="115"/>
      <c r="BJ1879" s="115"/>
      <c r="BK1879" s="115"/>
      <c r="BL1879" s="115"/>
      <c r="BM1879" s="115"/>
      <c r="BN1879" s="115"/>
      <c r="BO1879" s="115"/>
      <c r="BP1879" s="115"/>
      <c r="BQ1879" s="115"/>
      <c r="BR1879" s="115"/>
      <c r="BS1879" s="115"/>
      <c r="BT1879" s="115"/>
      <c r="BU1879" s="26"/>
      <c r="BV1879" s="15"/>
    </row>
    <row r="1880" spans="1:74" x14ac:dyDescent="0.4">
      <c r="BU1880" s="26"/>
      <c r="BV1880" s="15"/>
    </row>
    <row r="1881" spans="1:74" x14ac:dyDescent="0.4">
      <c r="AW1881" s="115"/>
      <c r="AX1881" s="115"/>
      <c r="AY1881" s="115"/>
      <c r="AZ1881" s="115"/>
      <c r="BA1881" s="115"/>
      <c r="BB1881" s="115"/>
      <c r="BC1881" s="115"/>
      <c r="BD1881" s="122"/>
      <c r="BE1881" s="122"/>
      <c r="BF1881" s="122"/>
      <c r="BG1881" s="115"/>
      <c r="BH1881" s="115"/>
      <c r="BI1881" s="115"/>
      <c r="BJ1881" s="115"/>
      <c r="BK1881" s="115"/>
      <c r="BL1881" s="115"/>
      <c r="BM1881" s="115"/>
      <c r="BN1881" s="115"/>
      <c r="BO1881" s="115"/>
      <c r="BP1881" s="115"/>
      <c r="BQ1881" s="115"/>
      <c r="BR1881" s="115"/>
      <c r="BS1881" s="115"/>
      <c r="BT1881" s="115"/>
      <c r="BU1881" s="17"/>
      <c r="BV1881" s="15"/>
    </row>
    <row r="1882" spans="1:74" x14ac:dyDescent="0.4">
      <c r="BU1882" s="26"/>
      <c r="BV1882" s="15"/>
    </row>
    <row r="1883" spans="1:74" x14ac:dyDescent="0.4">
      <c r="B1883" s="115"/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22"/>
      <c r="BE1883" s="122"/>
      <c r="BF1883" s="122"/>
      <c r="BG1883" s="115"/>
      <c r="BH1883" s="115"/>
      <c r="BI1883" s="115"/>
      <c r="BJ1883" s="115"/>
      <c r="BK1883" s="115"/>
      <c r="BL1883" s="115"/>
      <c r="BM1883" s="115"/>
      <c r="BN1883" s="115"/>
      <c r="BO1883" s="115"/>
      <c r="BP1883" s="115"/>
      <c r="BQ1883" s="115"/>
      <c r="BR1883" s="115"/>
      <c r="BS1883" s="115"/>
      <c r="BT1883" s="115"/>
      <c r="BU1883" s="26"/>
      <c r="BV1883" s="15"/>
    </row>
    <row r="1884" spans="1:74" x14ac:dyDescent="0.4">
      <c r="A1884" s="115"/>
      <c r="B1884" s="115"/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22"/>
      <c r="BE1884" s="122"/>
      <c r="BF1884" s="122"/>
      <c r="BG1884" s="115"/>
      <c r="BH1884" s="115"/>
      <c r="BI1884" s="115"/>
      <c r="BJ1884" s="115"/>
      <c r="BK1884" s="115"/>
      <c r="BL1884" s="115"/>
      <c r="BM1884" s="115"/>
      <c r="BN1884" s="115"/>
      <c r="BO1884" s="115"/>
      <c r="BP1884" s="115"/>
      <c r="BQ1884" s="115"/>
      <c r="BR1884" s="115"/>
      <c r="BS1884" s="115"/>
      <c r="BT1884" s="115"/>
      <c r="BU1884" s="26"/>
      <c r="BV1884" s="15"/>
    </row>
    <row r="1885" spans="1:74" x14ac:dyDescent="0.4">
      <c r="A1885" s="115"/>
      <c r="B1885" s="115"/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22"/>
      <c r="BE1885" s="122"/>
      <c r="BF1885" s="122"/>
      <c r="BG1885" s="115"/>
      <c r="BH1885" s="115"/>
      <c r="BI1885" s="115"/>
      <c r="BJ1885" s="115"/>
      <c r="BK1885" s="115"/>
      <c r="BL1885" s="115"/>
      <c r="BM1885" s="115"/>
      <c r="BN1885" s="115"/>
      <c r="BO1885" s="115"/>
      <c r="BP1885" s="115"/>
      <c r="BQ1885" s="115"/>
      <c r="BR1885" s="115"/>
      <c r="BS1885" s="115"/>
      <c r="BT1885" s="115"/>
      <c r="BU1885" s="26"/>
      <c r="BV1885" s="15"/>
    </row>
    <row r="1886" spans="1:74" x14ac:dyDescent="0.4">
      <c r="BU1886" s="26"/>
      <c r="BV1886" s="15"/>
    </row>
    <row r="1887" spans="1:74" x14ac:dyDescent="0.4">
      <c r="B1887" s="115"/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22"/>
      <c r="BE1887" s="122"/>
      <c r="BF1887" s="122"/>
      <c r="BG1887" s="115"/>
      <c r="BH1887" s="115"/>
      <c r="BI1887" s="115"/>
      <c r="BJ1887" s="115"/>
      <c r="BK1887" s="115"/>
      <c r="BL1887" s="115"/>
      <c r="BM1887" s="115"/>
      <c r="BN1887" s="115"/>
      <c r="BO1887" s="115"/>
      <c r="BP1887" s="115"/>
      <c r="BQ1887" s="115"/>
      <c r="BR1887" s="115"/>
      <c r="BS1887" s="115"/>
      <c r="BT1887" s="115"/>
      <c r="BU1887" s="26"/>
      <c r="BV1887" s="15"/>
    </row>
    <row r="1888" spans="1:74" x14ac:dyDescent="0.4">
      <c r="BU1888" s="26"/>
      <c r="BV1888" s="15"/>
    </row>
    <row r="1889" spans="1:74" x14ac:dyDescent="0.4">
      <c r="B1889" s="115"/>
      <c r="C1889" s="115"/>
      <c r="D1889" s="115"/>
      <c r="E1889" s="115"/>
      <c r="F1889" s="115"/>
      <c r="G1889" s="115"/>
      <c r="H1889" s="115"/>
      <c r="I1889" s="115"/>
      <c r="J1889" s="115"/>
      <c r="K1889" s="115"/>
      <c r="L1889" s="115"/>
      <c r="M1889" s="115"/>
      <c r="N1889" s="115"/>
      <c r="O1889" s="115"/>
      <c r="P1889" s="115"/>
      <c r="Q1889" s="115"/>
      <c r="R1889" s="115"/>
      <c r="S1889" s="115"/>
      <c r="T1889" s="115"/>
      <c r="U1889" s="115"/>
      <c r="V1889" s="115"/>
      <c r="W1889" s="115"/>
      <c r="X1889" s="115"/>
      <c r="Y1889" s="115"/>
      <c r="Z1889" s="115"/>
      <c r="AA1889" s="115"/>
      <c r="AB1889" s="115"/>
      <c r="AC1889" s="115"/>
      <c r="AD1889" s="115"/>
      <c r="AE1889" s="115"/>
      <c r="AF1889" s="115"/>
      <c r="AG1889" s="115"/>
      <c r="AH1889" s="115"/>
      <c r="AI1889" s="115"/>
      <c r="AJ1889" s="115"/>
      <c r="AK1889" s="115"/>
      <c r="AL1889" s="115"/>
      <c r="AM1889" s="115"/>
      <c r="AN1889" s="115"/>
      <c r="AO1889" s="115"/>
      <c r="AP1889" s="115"/>
      <c r="AQ1889" s="115"/>
      <c r="AR1889" s="115"/>
      <c r="AS1889" s="115"/>
      <c r="AT1889" s="115"/>
      <c r="AU1889" s="115"/>
      <c r="AV1889" s="115"/>
      <c r="AW1889" s="115"/>
      <c r="AX1889" s="115"/>
      <c r="AY1889" s="115"/>
      <c r="AZ1889" s="115"/>
      <c r="BA1889" s="115"/>
      <c r="BB1889" s="115"/>
      <c r="BC1889" s="115"/>
      <c r="BD1889" s="122"/>
      <c r="BE1889" s="122"/>
      <c r="BF1889" s="122"/>
      <c r="BG1889" s="115"/>
      <c r="BH1889" s="115"/>
      <c r="BI1889" s="115"/>
      <c r="BJ1889" s="115"/>
      <c r="BK1889" s="115"/>
      <c r="BL1889" s="115"/>
      <c r="BM1889" s="115"/>
      <c r="BN1889" s="115"/>
      <c r="BO1889" s="115"/>
      <c r="BP1889" s="115"/>
      <c r="BQ1889" s="115"/>
      <c r="BR1889" s="115"/>
      <c r="BS1889" s="115"/>
      <c r="BT1889" s="115"/>
      <c r="BU1889" s="26"/>
      <c r="BV1889" s="15"/>
    </row>
    <row r="1890" spans="1:74" x14ac:dyDescent="0.4">
      <c r="BU1890" s="26"/>
      <c r="BV1890" s="15"/>
    </row>
    <row r="1891" spans="1:74" x14ac:dyDescent="0.4">
      <c r="BU1891" s="26"/>
      <c r="BV1891" s="15"/>
    </row>
    <row r="1892" spans="1:74" x14ac:dyDescent="0.4">
      <c r="BU1892" s="26"/>
      <c r="BV1892" s="15"/>
    </row>
    <row r="1893" spans="1:74" x14ac:dyDescent="0.4">
      <c r="BU1893" s="26"/>
      <c r="BV1893" s="15"/>
    </row>
    <row r="1894" spans="1:74" x14ac:dyDescent="0.4">
      <c r="BU1894" s="26"/>
      <c r="BV1894" s="15"/>
    </row>
    <row r="1895" spans="1:74" x14ac:dyDescent="0.4">
      <c r="BU1895" s="26"/>
      <c r="BV1895" s="15"/>
    </row>
    <row r="1896" spans="1:74" x14ac:dyDescent="0.4">
      <c r="A1896" s="115"/>
      <c r="B1896" s="115"/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22"/>
      <c r="BE1896" s="122"/>
      <c r="BF1896" s="122"/>
      <c r="BG1896" s="115"/>
      <c r="BH1896" s="115"/>
      <c r="BI1896" s="115"/>
      <c r="BJ1896" s="115"/>
      <c r="BK1896" s="115"/>
      <c r="BL1896" s="115"/>
      <c r="BM1896" s="115"/>
      <c r="BN1896" s="115"/>
      <c r="BO1896" s="115"/>
      <c r="BP1896" s="115"/>
      <c r="BQ1896" s="115"/>
      <c r="BR1896" s="115"/>
      <c r="BS1896" s="115"/>
      <c r="BT1896" s="115"/>
      <c r="BU1896" s="26"/>
      <c r="BV1896" s="15"/>
    </row>
    <row r="1897" spans="1:74" x14ac:dyDescent="0.4">
      <c r="BU1897" s="26"/>
      <c r="BV1897" s="15"/>
    </row>
    <row r="1898" spans="1:74" x14ac:dyDescent="0.4">
      <c r="BU1898" s="26"/>
      <c r="BV1898" s="15"/>
    </row>
    <row r="1899" spans="1:74" x14ac:dyDescent="0.4">
      <c r="BU1899" s="26"/>
      <c r="BV1899" s="15"/>
    </row>
    <row r="1900" spans="1:74" x14ac:dyDescent="0.4">
      <c r="BU1900" s="26"/>
      <c r="BV1900" s="15"/>
    </row>
    <row r="1901" spans="1:74" x14ac:dyDescent="0.4">
      <c r="BU1901" s="26"/>
      <c r="BV1901" s="15"/>
    </row>
    <row r="1902" spans="1:74" x14ac:dyDescent="0.4">
      <c r="AW1902" s="115"/>
      <c r="AX1902" s="115"/>
      <c r="AY1902" s="115"/>
      <c r="AZ1902" s="115"/>
      <c r="BA1902" s="115"/>
      <c r="BB1902" s="115"/>
      <c r="BC1902" s="115"/>
      <c r="BD1902" s="122"/>
      <c r="BE1902" s="122"/>
      <c r="BF1902" s="122"/>
      <c r="BG1902" s="115"/>
      <c r="BH1902" s="115"/>
      <c r="BI1902" s="115"/>
      <c r="BJ1902" s="115"/>
      <c r="BK1902" s="115"/>
      <c r="BL1902" s="115"/>
      <c r="BM1902" s="115"/>
      <c r="BN1902" s="115"/>
      <c r="BO1902" s="115"/>
      <c r="BP1902" s="115"/>
      <c r="BQ1902" s="115"/>
      <c r="BR1902" s="115"/>
      <c r="BS1902" s="115"/>
      <c r="BT1902" s="115"/>
      <c r="BU1902" s="17"/>
      <c r="BV1902" s="15"/>
    </row>
    <row r="1903" spans="1:74" x14ac:dyDescent="0.4">
      <c r="AW1903" s="115"/>
      <c r="AX1903" s="115"/>
      <c r="AY1903" s="115"/>
      <c r="AZ1903" s="115"/>
      <c r="BA1903" s="115"/>
      <c r="BB1903" s="115"/>
      <c r="BC1903" s="115"/>
      <c r="BD1903" s="122"/>
      <c r="BE1903" s="122"/>
      <c r="BF1903" s="122"/>
      <c r="BG1903" s="115"/>
      <c r="BH1903" s="115"/>
      <c r="BI1903" s="115"/>
      <c r="BJ1903" s="115"/>
      <c r="BK1903" s="115"/>
      <c r="BL1903" s="115"/>
      <c r="BM1903" s="115"/>
      <c r="BN1903" s="115"/>
      <c r="BO1903" s="115"/>
      <c r="BP1903" s="115"/>
      <c r="BQ1903" s="115"/>
      <c r="BR1903" s="115"/>
      <c r="BS1903" s="115"/>
      <c r="BT1903" s="115"/>
      <c r="BU1903" s="17"/>
      <c r="BV1903" s="15"/>
    </row>
    <row r="1904" spans="1:74" x14ac:dyDescent="0.4">
      <c r="BU1904" s="26"/>
      <c r="BV1904" s="15"/>
    </row>
    <row r="1905" spans="1:74" x14ac:dyDescent="0.4">
      <c r="BU1905" s="26"/>
      <c r="BV1905" s="15"/>
    </row>
    <row r="1906" spans="1:74" x14ac:dyDescent="0.4">
      <c r="A1906" s="115"/>
      <c r="B1906" s="115"/>
      <c r="C1906" s="115"/>
      <c r="D1906" s="115"/>
      <c r="E1906" s="115"/>
      <c r="F1906" s="115"/>
      <c r="G1906" s="115"/>
      <c r="H1906" s="115"/>
      <c r="I1906" s="115"/>
      <c r="J1906" s="115"/>
      <c r="K1906" s="115"/>
      <c r="L1906" s="115"/>
      <c r="M1906" s="115"/>
      <c r="N1906" s="115"/>
      <c r="O1906" s="115"/>
      <c r="P1906" s="115"/>
      <c r="Q1906" s="115"/>
      <c r="R1906" s="115"/>
      <c r="S1906" s="115"/>
      <c r="T1906" s="115"/>
      <c r="U1906" s="115"/>
      <c r="V1906" s="115"/>
      <c r="W1906" s="115"/>
      <c r="X1906" s="115"/>
      <c r="Y1906" s="115"/>
      <c r="Z1906" s="115"/>
      <c r="AA1906" s="115"/>
      <c r="AB1906" s="115"/>
      <c r="AC1906" s="115"/>
      <c r="AD1906" s="115"/>
      <c r="AE1906" s="115"/>
      <c r="AF1906" s="115"/>
      <c r="AG1906" s="115"/>
      <c r="AH1906" s="115"/>
      <c r="AI1906" s="115"/>
      <c r="AJ1906" s="115"/>
      <c r="AK1906" s="115"/>
      <c r="AL1906" s="115"/>
      <c r="AM1906" s="115"/>
      <c r="AN1906" s="115"/>
      <c r="AO1906" s="115"/>
      <c r="AP1906" s="115"/>
      <c r="AQ1906" s="115"/>
      <c r="AR1906" s="115"/>
      <c r="AS1906" s="115"/>
      <c r="AT1906" s="115"/>
      <c r="AU1906" s="115"/>
      <c r="AV1906" s="115"/>
      <c r="AW1906" s="115"/>
      <c r="AX1906" s="115"/>
      <c r="AY1906" s="115"/>
      <c r="AZ1906" s="115"/>
      <c r="BA1906" s="115"/>
      <c r="BB1906" s="115"/>
      <c r="BC1906" s="115"/>
      <c r="BD1906" s="122"/>
      <c r="BE1906" s="122"/>
      <c r="BF1906" s="122"/>
      <c r="BG1906" s="115"/>
      <c r="BH1906" s="115"/>
      <c r="BI1906" s="115"/>
      <c r="BJ1906" s="115"/>
      <c r="BK1906" s="115"/>
      <c r="BL1906" s="115"/>
      <c r="BM1906" s="115"/>
      <c r="BN1906" s="115"/>
      <c r="BO1906" s="115"/>
      <c r="BP1906" s="115"/>
      <c r="BQ1906" s="115"/>
      <c r="BR1906" s="115"/>
      <c r="BS1906" s="115"/>
      <c r="BT1906" s="115"/>
      <c r="BU1906" s="26"/>
      <c r="BV1906" s="15"/>
    </row>
    <row r="1907" spans="1:74" x14ac:dyDescent="0.4">
      <c r="A1907" s="115"/>
      <c r="B1907" s="115"/>
      <c r="C1907" s="115"/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22"/>
      <c r="BE1907" s="122"/>
      <c r="BF1907" s="122"/>
      <c r="BG1907" s="115"/>
      <c r="BH1907" s="115"/>
      <c r="BI1907" s="115"/>
      <c r="BJ1907" s="115"/>
      <c r="BK1907" s="115"/>
      <c r="BL1907" s="115"/>
      <c r="BM1907" s="115"/>
      <c r="BN1907" s="115"/>
      <c r="BO1907" s="115"/>
      <c r="BP1907" s="115"/>
      <c r="BQ1907" s="115"/>
      <c r="BR1907" s="115"/>
      <c r="BS1907" s="115"/>
      <c r="BT1907" s="115"/>
      <c r="BU1907" s="26"/>
      <c r="BV1907" s="13"/>
    </row>
    <row r="1908" spans="1:74" x14ac:dyDescent="0.4">
      <c r="BU1908" s="26"/>
      <c r="BV1908" s="15"/>
    </row>
    <row r="1909" spans="1:74" x14ac:dyDescent="0.4">
      <c r="B1909" s="115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22"/>
      <c r="BE1909" s="122"/>
      <c r="BF1909" s="122"/>
      <c r="BG1909" s="115"/>
      <c r="BH1909" s="115"/>
      <c r="BI1909" s="115"/>
      <c r="BJ1909" s="115"/>
      <c r="BK1909" s="115"/>
      <c r="BL1909" s="115"/>
      <c r="BM1909" s="115"/>
      <c r="BN1909" s="115"/>
      <c r="BO1909" s="115"/>
      <c r="BP1909" s="115"/>
      <c r="BQ1909" s="115"/>
      <c r="BR1909" s="115"/>
      <c r="BS1909" s="115"/>
      <c r="BT1909" s="115"/>
      <c r="BU1909" s="26"/>
      <c r="BV1909" s="15"/>
    </row>
    <row r="1910" spans="1:74" x14ac:dyDescent="0.4">
      <c r="BU1910" s="26"/>
      <c r="BV1910" s="15"/>
    </row>
    <row r="1911" spans="1:74" x14ac:dyDescent="0.4">
      <c r="BU1911" s="26"/>
      <c r="BV1911" s="15"/>
    </row>
    <row r="1912" spans="1:74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22"/>
      <c r="BE1912" s="122"/>
      <c r="BF1912" s="122"/>
      <c r="BG1912" s="115"/>
      <c r="BH1912" s="115"/>
      <c r="BI1912" s="115"/>
      <c r="BJ1912" s="115"/>
      <c r="BK1912" s="115"/>
      <c r="BL1912" s="115"/>
      <c r="BM1912" s="115"/>
      <c r="BN1912" s="115"/>
      <c r="BO1912" s="115"/>
      <c r="BP1912" s="115"/>
      <c r="BQ1912" s="115"/>
      <c r="BR1912" s="115"/>
      <c r="BS1912" s="115"/>
      <c r="BT1912" s="115"/>
      <c r="BU1912" s="26"/>
      <c r="BV1912" s="15"/>
    </row>
    <row r="1913" spans="1:74" x14ac:dyDescent="0.4">
      <c r="BU1913" s="26"/>
      <c r="BV1913" s="13"/>
    </row>
    <row r="1914" spans="1:74" x14ac:dyDescent="0.4">
      <c r="BU1914" s="26"/>
      <c r="BV1914" s="13"/>
    </row>
    <row r="1915" spans="1:74" x14ac:dyDescent="0.4">
      <c r="A1915" s="115"/>
      <c r="B1915" s="115"/>
      <c r="C1915" s="115"/>
      <c r="D1915" s="115"/>
      <c r="E1915" s="115"/>
      <c r="F1915" s="115"/>
      <c r="G1915" s="115"/>
      <c r="H1915" s="115"/>
      <c r="I1915" s="115"/>
      <c r="J1915" s="115"/>
      <c r="K1915" s="115"/>
      <c r="L1915" s="115"/>
      <c r="M1915" s="115"/>
      <c r="N1915" s="115"/>
      <c r="O1915" s="115"/>
      <c r="P1915" s="115"/>
      <c r="Q1915" s="115"/>
      <c r="R1915" s="115"/>
      <c r="S1915" s="115"/>
      <c r="T1915" s="115"/>
      <c r="U1915" s="115"/>
      <c r="V1915" s="115"/>
      <c r="W1915" s="115"/>
      <c r="X1915" s="115"/>
      <c r="Y1915" s="115"/>
      <c r="Z1915" s="115"/>
      <c r="AA1915" s="115"/>
      <c r="AB1915" s="115"/>
      <c r="AC1915" s="115"/>
      <c r="AD1915" s="115"/>
      <c r="AE1915" s="115"/>
      <c r="AF1915" s="115"/>
      <c r="AG1915" s="115"/>
      <c r="AH1915" s="115"/>
      <c r="AI1915" s="115"/>
      <c r="AJ1915" s="115"/>
      <c r="AK1915" s="115"/>
      <c r="AL1915" s="115"/>
      <c r="AM1915" s="115"/>
      <c r="AN1915" s="115"/>
      <c r="AO1915" s="115"/>
      <c r="AP1915" s="115"/>
      <c r="AQ1915" s="115"/>
      <c r="AR1915" s="115"/>
      <c r="AS1915" s="115"/>
      <c r="AT1915" s="115"/>
      <c r="AU1915" s="115"/>
      <c r="AV1915" s="115"/>
      <c r="AW1915" s="115"/>
      <c r="AX1915" s="115"/>
      <c r="AY1915" s="115"/>
      <c r="AZ1915" s="115"/>
      <c r="BA1915" s="115"/>
      <c r="BB1915" s="115"/>
      <c r="BC1915" s="115"/>
      <c r="BD1915" s="122"/>
      <c r="BE1915" s="122"/>
      <c r="BF1915" s="122"/>
      <c r="BG1915" s="115"/>
      <c r="BH1915" s="115"/>
      <c r="BI1915" s="115"/>
      <c r="BJ1915" s="115"/>
      <c r="BK1915" s="115"/>
      <c r="BL1915" s="115"/>
      <c r="BM1915" s="115"/>
      <c r="BN1915" s="115"/>
      <c r="BO1915" s="115"/>
      <c r="BP1915" s="115"/>
      <c r="BQ1915" s="115"/>
      <c r="BR1915" s="115"/>
      <c r="BS1915" s="115"/>
      <c r="BT1915" s="115"/>
      <c r="BU1915" s="26"/>
      <c r="BV1915" s="13"/>
    </row>
    <row r="1916" spans="1:74" x14ac:dyDescent="0.4">
      <c r="BU1916" s="26"/>
      <c r="BV1916" s="13"/>
    </row>
    <row r="1917" spans="1:74" x14ac:dyDescent="0.4">
      <c r="BU1917" s="26"/>
      <c r="BV1917" s="13"/>
    </row>
    <row r="1918" spans="1:74" x14ac:dyDescent="0.4">
      <c r="BU1918" s="26"/>
      <c r="BV1918" s="13"/>
    </row>
    <row r="1919" spans="1:74" x14ac:dyDescent="0.4">
      <c r="BU1919" s="26"/>
      <c r="BV1919" s="13"/>
    </row>
    <row r="1920" spans="1:74" x14ac:dyDescent="0.4">
      <c r="BU1920" s="26"/>
      <c r="BV1920" s="13"/>
    </row>
    <row r="1921" spans="1:74" x14ac:dyDescent="0.4">
      <c r="A1921" s="115"/>
      <c r="B1921" s="115"/>
      <c r="C1921" s="115"/>
      <c r="D1921" s="115"/>
      <c r="E1921" s="115"/>
      <c r="F1921" s="115"/>
      <c r="G1921" s="115"/>
      <c r="H1921" s="115"/>
      <c r="I1921" s="115"/>
      <c r="J1921" s="115"/>
      <c r="K1921" s="115"/>
      <c r="L1921" s="115"/>
      <c r="M1921" s="115"/>
      <c r="N1921" s="115"/>
      <c r="O1921" s="115"/>
      <c r="P1921" s="115"/>
      <c r="Q1921" s="115"/>
      <c r="R1921" s="115"/>
      <c r="S1921" s="115"/>
      <c r="T1921" s="115"/>
      <c r="U1921" s="115"/>
      <c r="V1921" s="115"/>
      <c r="W1921" s="115"/>
      <c r="X1921" s="115"/>
      <c r="Y1921" s="115"/>
      <c r="Z1921" s="115"/>
      <c r="AA1921" s="115"/>
      <c r="AB1921" s="115"/>
      <c r="AC1921" s="115"/>
      <c r="AD1921" s="115"/>
      <c r="AE1921" s="115"/>
      <c r="AF1921" s="115"/>
      <c r="AG1921" s="115"/>
      <c r="AH1921" s="115"/>
      <c r="AI1921" s="115"/>
      <c r="AJ1921" s="115"/>
      <c r="AK1921" s="115"/>
      <c r="AL1921" s="115"/>
      <c r="AM1921" s="115"/>
      <c r="AN1921" s="115"/>
      <c r="AO1921" s="115"/>
      <c r="AP1921" s="115"/>
      <c r="AQ1921" s="115"/>
      <c r="AR1921" s="115"/>
      <c r="AS1921" s="115"/>
      <c r="AT1921" s="115"/>
      <c r="AU1921" s="115"/>
      <c r="AV1921" s="115"/>
      <c r="AW1921" s="115"/>
      <c r="AX1921" s="115"/>
      <c r="AY1921" s="115"/>
      <c r="AZ1921" s="115"/>
      <c r="BA1921" s="115"/>
      <c r="BB1921" s="115"/>
      <c r="BC1921" s="115"/>
      <c r="BD1921" s="122"/>
      <c r="BE1921" s="122"/>
      <c r="BF1921" s="122"/>
      <c r="BG1921" s="115"/>
      <c r="BH1921" s="115"/>
      <c r="BI1921" s="115"/>
      <c r="BJ1921" s="115"/>
      <c r="BK1921" s="115"/>
      <c r="BL1921" s="115"/>
      <c r="BM1921" s="115"/>
      <c r="BN1921" s="115"/>
      <c r="BO1921" s="115"/>
      <c r="BP1921" s="115"/>
      <c r="BQ1921" s="115"/>
      <c r="BR1921" s="115"/>
      <c r="BS1921" s="115"/>
      <c r="BT1921" s="115"/>
      <c r="BU1921" s="26"/>
      <c r="BV1921" s="25"/>
    </row>
    <row r="1922" spans="1:74" x14ac:dyDescent="0.4">
      <c r="BU1922" s="26"/>
      <c r="BV1922" s="13"/>
    </row>
    <row r="1923" spans="1:74" x14ac:dyDescent="0.4">
      <c r="A1923" s="115"/>
      <c r="B1923" s="115"/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22"/>
      <c r="BE1923" s="122"/>
      <c r="BF1923" s="122"/>
      <c r="BG1923" s="115"/>
      <c r="BH1923" s="115"/>
      <c r="BI1923" s="115"/>
      <c r="BJ1923" s="115"/>
      <c r="BK1923" s="115"/>
      <c r="BL1923" s="115"/>
      <c r="BM1923" s="115"/>
      <c r="BN1923" s="115"/>
      <c r="BO1923" s="115"/>
      <c r="BP1923" s="115"/>
      <c r="BQ1923" s="115"/>
      <c r="BR1923" s="115"/>
      <c r="BS1923" s="115"/>
      <c r="BT1923" s="115"/>
      <c r="BU1923" s="26"/>
      <c r="BV1923" s="13"/>
    </row>
    <row r="1924" spans="1:74" x14ac:dyDescent="0.4">
      <c r="A1924" s="115"/>
      <c r="B1924" s="115"/>
      <c r="C1924" s="115"/>
      <c r="D1924" s="115"/>
      <c r="E1924" s="115"/>
      <c r="F1924" s="115"/>
      <c r="G1924" s="115"/>
      <c r="H1924" s="115"/>
      <c r="I1924" s="115"/>
      <c r="J1924" s="115"/>
      <c r="K1924" s="115"/>
      <c r="L1924" s="115"/>
      <c r="M1924" s="115"/>
      <c r="N1924" s="115"/>
      <c r="O1924" s="115"/>
      <c r="P1924" s="115"/>
      <c r="Q1924" s="115"/>
      <c r="R1924" s="115"/>
      <c r="S1924" s="115"/>
      <c r="T1924" s="115"/>
      <c r="U1924" s="115"/>
      <c r="V1924" s="115"/>
      <c r="W1924" s="115"/>
      <c r="X1924" s="115"/>
      <c r="Y1924" s="115"/>
      <c r="Z1924" s="115"/>
      <c r="AA1924" s="115"/>
      <c r="AB1924" s="115"/>
      <c r="AC1924" s="115"/>
      <c r="AD1924" s="115"/>
      <c r="AE1924" s="115"/>
      <c r="AF1924" s="115"/>
      <c r="AG1924" s="115"/>
      <c r="AH1924" s="115"/>
      <c r="AI1924" s="115"/>
      <c r="AJ1924" s="115"/>
      <c r="AK1924" s="115"/>
      <c r="AL1924" s="115"/>
      <c r="AM1924" s="115"/>
      <c r="AN1924" s="115"/>
      <c r="AO1924" s="115"/>
      <c r="AP1924" s="115"/>
      <c r="AQ1924" s="115"/>
      <c r="AR1924" s="115"/>
      <c r="AS1924" s="115"/>
      <c r="AT1924" s="115"/>
      <c r="AU1924" s="115"/>
      <c r="AV1924" s="115"/>
      <c r="AW1924" s="115"/>
      <c r="AX1924" s="115"/>
      <c r="AY1924" s="115"/>
      <c r="AZ1924" s="115"/>
      <c r="BA1924" s="115"/>
      <c r="BB1924" s="115"/>
      <c r="BC1924" s="115"/>
      <c r="BD1924" s="122"/>
      <c r="BE1924" s="122"/>
      <c r="BF1924" s="122"/>
      <c r="BG1924" s="115"/>
      <c r="BH1924" s="115"/>
      <c r="BI1924" s="115"/>
      <c r="BJ1924" s="115"/>
      <c r="BK1924" s="115"/>
      <c r="BL1924" s="115"/>
      <c r="BM1924" s="115"/>
      <c r="BN1924" s="115"/>
      <c r="BO1924" s="115"/>
      <c r="BP1924" s="115"/>
      <c r="BQ1924" s="115"/>
      <c r="BR1924" s="115"/>
      <c r="BS1924" s="115"/>
      <c r="BT1924" s="115"/>
      <c r="BU1924" s="26"/>
      <c r="BV1924" s="13"/>
    </row>
    <row r="1925" spans="1:74" x14ac:dyDescent="0.4">
      <c r="BU1925" s="26"/>
      <c r="BV1925" s="15"/>
    </row>
    <row r="1926" spans="1:74" x14ac:dyDescent="0.4">
      <c r="BU1926" s="26"/>
      <c r="BV1926" s="15"/>
    </row>
    <row r="1927" spans="1:74" x14ac:dyDescent="0.4">
      <c r="BU1927" s="26"/>
      <c r="BV1927" s="15"/>
    </row>
    <row r="1928" spans="1:74" x14ac:dyDescent="0.4">
      <c r="BU1928" s="26"/>
      <c r="BV1928" s="13"/>
    </row>
    <row r="1929" spans="1:74" x14ac:dyDescent="0.4">
      <c r="BU1929" s="26"/>
      <c r="BV1929" s="15"/>
    </row>
    <row r="1930" spans="1:74" x14ac:dyDescent="0.4">
      <c r="B1930" s="115"/>
      <c r="C1930" s="115"/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22"/>
      <c r="BE1930" s="122"/>
      <c r="BF1930" s="122"/>
      <c r="BG1930" s="115"/>
      <c r="BH1930" s="115"/>
      <c r="BI1930" s="115"/>
      <c r="BJ1930" s="115"/>
      <c r="BK1930" s="115"/>
      <c r="BL1930" s="115"/>
      <c r="BM1930" s="115"/>
      <c r="BN1930" s="115"/>
      <c r="BO1930" s="115"/>
      <c r="BP1930" s="115"/>
      <c r="BQ1930" s="115"/>
      <c r="BR1930" s="115"/>
      <c r="BS1930" s="115"/>
      <c r="BT1930" s="115"/>
      <c r="BU1930" s="17"/>
      <c r="BV1930" s="15"/>
    </row>
    <row r="1931" spans="1:74" x14ac:dyDescent="0.4">
      <c r="BU1931" s="26"/>
      <c r="BV1931" s="15"/>
    </row>
    <row r="1932" spans="1:74" x14ac:dyDescent="0.4">
      <c r="B1932" s="115"/>
      <c r="C1932" s="115"/>
      <c r="D1932" s="115"/>
      <c r="E1932" s="115"/>
      <c r="F1932" s="115"/>
      <c r="G1932" s="115"/>
      <c r="H1932" s="115"/>
      <c r="I1932" s="115"/>
      <c r="J1932" s="115"/>
      <c r="K1932" s="115"/>
      <c r="L1932" s="115"/>
      <c r="M1932" s="115"/>
      <c r="N1932" s="115"/>
      <c r="O1932" s="115"/>
      <c r="P1932" s="115"/>
      <c r="Q1932" s="115"/>
      <c r="R1932" s="115"/>
      <c r="S1932" s="115"/>
      <c r="T1932" s="115"/>
      <c r="U1932" s="115"/>
      <c r="V1932" s="115"/>
      <c r="W1932" s="115"/>
      <c r="X1932" s="115"/>
      <c r="Y1932" s="115"/>
      <c r="Z1932" s="115"/>
      <c r="AA1932" s="115"/>
      <c r="AB1932" s="115"/>
      <c r="AC1932" s="115"/>
      <c r="AD1932" s="115"/>
      <c r="AE1932" s="115"/>
      <c r="AF1932" s="115"/>
      <c r="AG1932" s="115"/>
      <c r="AH1932" s="115"/>
      <c r="AI1932" s="115"/>
      <c r="AJ1932" s="115"/>
      <c r="AK1932" s="115"/>
      <c r="AL1932" s="115"/>
      <c r="AM1932" s="115"/>
      <c r="AN1932" s="115"/>
      <c r="AO1932" s="115"/>
      <c r="AP1932" s="115"/>
      <c r="AQ1932" s="115"/>
      <c r="AR1932" s="115"/>
      <c r="AS1932" s="115"/>
      <c r="AT1932" s="115"/>
      <c r="AU1932" s="115"/>
      <c r="AV1932" s="115"/>
      <c r="AW1932" s="115"/>
      <c r="AX1932" s="115"/>
      <c r="AY1932" s="115"/>
      <c r="AZ1932" s="115"/>
      <c r="BA1932" s="115"/>
      <c r="BB1932" s="115"/>
      <c r="BC1932" s="115"/>
      <c r="BD1932" s="122"/>
      <c r="BE1932" s="122"/>
      <c r="BF1932" s="122"/>
      <c r="BG1932" s="115"/>
      <c r="BH1932" s="115"/>
      <c r="BI1932" s="115"/>
      <c r="BJ1932" s="115"/>
      <c r="BK1932" s="115"/>
      <c r="BL1932" s="115"/>
      <c r="BM1932" s="115"/>
      <c r="BN1932" s="115"/>
      <c r="BO1932" s="115"/>
      <c r="BP1932" s="115"/>
      <c r="BQ1932" s="115"/>
      <c r="BR1932" s="115"/>
      <c r="BS1932" s="115"/>
      <c r="BT1932" s="115"/>
      <c r="BU1932" s="17"/>
      <c r="BV1932" s="15"/>
    </row>
    <row r="1933" spans="1:74" x14ac:dyDescent="0.4">
      <c r="BU1933" s="26"/>
      <c r="BV1933" s="15"/>
    </row>
    <row r="1934" spans="1:74" x14ac:dyDescent="0.4">
      <c r="BU1934" s="26"/>
      <c r="BV1934" s="15"/>
    </row>
    <row r="1935" spans="1:74" x14ac:dyDescent="0.4">
      <c r="B1935" s="115"/>
      <c r="C1935" s="115"/>
      <c r="D1935" s="115"/>
      <c r="E1935" s="115"/>
      <c r="F1935" s="115"/>
      <c r="G1935" s="115"/>
      <c r="H1935" s="115"/>
      <c r="I1935" s="115"/>
      <c r="J1935" s="115"/>
      <c r="K1935" s="115"/>
      <c r="L1935" s="115"/>
      <c r="M1935" s="115"/>
      <c r="N1935" s="115"/>
      <c r="O1935" s="115"/>
      <c r="P1935" s="115"/>
      <c r="Q1935" s="115"/>
      <c r="R1935" s="115"/>
      <c r="S1935" s="115"/>
      <c r="T1935" s="115"/>
      <c r="U1935" s="115"/>
      <c r="V1935" s="115"/>
      <c r="W1935" s="115"/>
      <c r="X1935" s="115"/>
      <c r="Y1935" s="115"/>
      <c r="Z1935" s="115"/>
      <c r="AA1935" s="115"/>
      <c r="AB1935" s="115"/>
      <c r="AC1935" s="115"/>
      <c r="AD1935" s="115"/>
      <c r="AE1935" s="115"/>
      <c r="AF1935" s="115"/>
      <c r="AG1935" s="115"/>
      <c r="AH1935" s="115"/>
      <c r="AI1935" s="115"/>
      <c r="AJ1935" s="115"/>
      <c r="AK1935" s="115"/>
      <c r="AL1935" s="115"/>
      <c r="AM1935" s="115"/>
      <c r="AN1935" s="115"/>
      <c r="AO1935" s="115"/>
      <c r="AP1935" s="115"/>
      <c r="AQ1935" s="115"/>
      <c r="AR1935" s="115"/>
      <c r="AS1935" s="115"/>
      <c r="AT1935" s="115"/>
      <c r="AU1935" s="115"/>
      <c r="AV1935" s="115"/>
      <c r="AW1935" s="115"/>
      <c r="AX1935" s="115"/>
      <c r="AY1935" s="115"/>
      <c r="AZ1935" s="115"/>
      <c r="BA1935" s="115"/>
      <c r="BB1935" s="115"/>
      <c r="BC1935" s="115"/>
      <c r="BD1935" s="122"/>
      <c r="BE1935" s="122"/>
      <c r="BF1935" s="122"/>
      <c r="BG1935" s="115"/>
      <c r="BH1935" s="115"/>
      <c r="BI1935" s="115"/>
      <c r="BJ1935" s="115"/>
      <c r="BK1935" s="115"/>
      <c r="BL1935" s="115"/>
      <c r="BM1935" s="115"/>
      <c r="BN1935" s="115"/>
      <c r="BO1935" s="115"/>
      <c r="BP1935" s="115"/>
      <c r="BQ1935" s="115"/>
      <c r="BR1935" s="115"/>
      <c r="BS1935" s="115"/>
      <c r="BT1935" s="115"/>
      <c r="BU1935" s="17"/>
      <c r="BV1935" s="15"/>
    </row>
    <row r="1936" spans="1:74" x14ac:dyDescent="0.4">
      <c r="BU1936" s="26"/>
      <c r="BV1936" s="15"/>
    </row>
    <row r="1937" spans="2:74" x14ac:dyDescent="0.4">
      <c r="BU1937" s="26"/>
      <c r="BV1937" s="15"/>
    </row>
    <row r="1938" spans="2:74" x14ac:dyDescent="0.4">
      <c r="BU1938" s="26"/>
      <c r="BV1938" s="105"/>
    </row>
    <row r="1939" spans="2:74" x14ac:dyDescent="0.4">
      <c r="BU1939" s="26"/>
      <c r="BV1939" s="15"/>
    </row>
    <row r="1940" spans="2:74" x14ac:dyDescent="0.4">
      <c r="BU1940" s="26"/>
      <c r="BV1940" s="15"/>
    </row>
    <row r="1941" spans="2:74" x14ac:dyDescent="0.4">
      <c r="BU1941" s="26"/>
      <c r="BV1941" s="15"/>
    </row>
    <row r="1942" spans="2:74" x14ac:dyDescent="0.4">
      <c r="BU1942" s="26"/>
      <c r="BV1942" s="15"/>
    </row>
    <row r="1943" spans="2:74" x14ac:dyDescent="0.4">
      <c r="BU1943" s="26"/>
      <c r="BV1943" s="15"/>
    </row>
    <row r="1944" spans="2:74" x14ac:dyDescent="0.4">
      <c r="B1944" s="115"/>
      <c r="C1944" s="115"/>
      <c r="D1944" s="115"/>
      <c r="E1944" s="115"/>
      <c r="F1944" s="115"/>
      <c r="G1944" s="115"/>
      <c r="H1944" s="115"/>
      <c r="I1944" s="115"/>
      <c r="J1944" s="115"/>
      <c r="K1944" s="115"/>
      <c r="L1944" s="115"/>
      <c r="M1944" s="115"/>
      <c r="N1944" s="115"/>
      <c r="O1944" s="115"/>
      <c r="P1944" s="115"/>
      <c r="Q1944" s="115"/>
      <c r="R1944" s="115"/>
      <c r="S1944" s="115"/>
      <c r="T1944" s="115"/>
      <c r="U1944" s="115"/>
      <c r="V1944" s="115"/>
      <c r="W1944" s="115"/>
      <c r="X1944" s="115"/>
      <c r="Y1944" s="115"/>
      <c r="Z1944" s="115"/>
      <c r="AA1944" s="115"/>
      <c r="AB1944" s="115"/>
      <c r="AC1944" s="115"/>
      <c r="AD1944" s="115"/>
      <c r="AE1944" s="115"/>
      <c r="AF1944" s="115"/>
      <c r="AG1944" s="115"/>
      <c r="AH1944" s="115"/>
      <c r="AI1944" s="115"/>
      <c r="AJ1944" s="115"/>
      <c r="AK1944" s="115"/>
      <c r="AL1944" s="115"/>
      <c r="AM1944" s="115"/>
      <c r="AN1944" s="115"/>
      <c r="AO1944" s="115"/>
      <c r="AP1944" s="115"/>
      <c r="AQ1944" s="115"/>
      <c r="AR1944" s="115"/>
      <c r="AS1944" s="115"/>
      <c r="AT1944" s="115"/>
      <c r="AU1944" s="115"/>
      <c r="AV1944" s="115"/>
      <c r="AW1944" s="115"/>
      <c r="AX1944" s="115"/>
      <c r="AY1944" s="115"/>
      <c r="AZ1944" s="115"/>
      <c r="BA1944" s="115"/>
      <c r="BB1944" s="115"/>
      <c r="BC1944" s="115"/>
      <c r="BD1944" s="122"/>
      <c r="BE1944" s="122"/>
      <c r="BF1944" s="122"/>
      <c r="BG1944" s="115"/>
      <c r="BH1944" s="115"/>
      <c r="BI1944" s="115"/>
      <c r="BJ1944" s="115"/>
      <c r="BK1944" s="115"/>
      <c r="BL1944" s="115"/>
      <c r="BM1944" s="115"/>
      <c r="BN1944" s="115"/>
      <c r="BO1944" s="115"/>
      <c r="BP1944" s="115"/>
      <c r="BQ1944" s="115"/>
      <c r="BR1944" s="115"/>
      <c r="BS1944" s="115"/>
      <c r="BT1944" s="115"/>
      <c r="BU1944" s="119"/>
      <c r="BV1944" s="119"/>
    </row>
    <row r="1945" spans="2:74" x14ac:dyDescent="0.4">
      <c r="B1945" s="115"/>
      <c r="C1945" s="115"/>
      <c r="D1945" s="115"/>
      <c r="E1945" s="115"/>
      <c r="F1945" s="115"/>
      <c r="G1945" s="115"/>
      <c r="H1945" s="115"/>
      <c r="I1945" s="115"/>
      <c r="J1945" s="115"/>
      <c r="K1945" s="115"/>
      <c r="L1945" s="115"/>
      <c r="M1945" s="115"/>
      <c r="N1945" s="115"/>
      <c r="O1945" s="115"/>
      <c r="P1945" s="115"/>
      <c r="Q1945" s="115"/>
      <c r="R1945" s="115"/>
      <c r="S1945" s="115"/>
      <c r="T1945" s="115"/>
      <c r="U1945" s="115"/>
      <c r="V1945" s="115"/>
      <c r="W1945" s="115"/>
      <c r="X1945" s="115"/>
      <c r="Y1945" s="115"/>
      <c r="Z1945" s="115"/>
      <c r="AA1945" s="115"/>
      <c r="AB1945" s="115"/>
      <c r="AC1945" s="115"/>
      <c r="AD1945" s="115"/>
      <c r="AE1945" s="115"/>
      <c r="AF1945" s="115"/>
      <c r="AG1945" s="115"/>
      <c r="AH1945" s="115"/>
      <c r="AI1945" s="115"/>
      <c r="AJ1945" s="115"/>
      <c r="AK1945" s="115"/>
      <c r="AL1945" s="115"/>
      <c r="AM1945" s="115"/>
      <c r="AN1945" s="115"/>
      <c r="AO1945" s="115"/>
      <c r="AP1945" s="115"/>
      <c r="AQ1945" s="115"/>
      <c r="AR1945" s="115"/>
      <c r="AS1945" s="115"/>
      <c r="AT1945" s="115"/>
      <c r="AU1945" s="115"/>
      <c r="AV1945" s="115"/>
      <c r="AW1945" s="115"/>
      <c r="AX1945" s="115"/>
      <c r="AY1945" s="115"/>
      <c r="AZ1945" s="115"/>
      <c r="BA1945" s="115"/>
      <c r="BB1945" s="115"/>
      <c r="BC1945" s="115"/>
      <c r="BD1945" s="122"/>
      <c r="BE1945" s="122"/>
      <c r="BF1945" s="122"/>
      <c r="BG1945" s="115"/>
      <c r="BH1945" s="115"/>
      <c r="BI1945" s="115"/>
      <c r="BJ1945" s="115"/>
      <c r="BK1945" s="115"/>
      <c r="BL1945" s="115"/>
      <c r="BM1945" s="115"/>
      <c r="BN1945" s="115"/>
      <c r="BO1945" s="115"/>
      <c r="BP1945" s="115"/>
      <c r="BQ1945" s="115"/>
      <c r="BR1945" s="115"/>
      <c r="BS1945" s="115"/>
      <c r="BT1945" s="115"/>
      <c r="BU1945" s="119"/>
      <c r="BV1945" s="119"/>
    </row>
  </sheetData>
  <sortState xmlns:xlrd2="http://schemas.microsoft.com/office/spreadsheetml/2017/richdata2" ref="V2:W192">
    <sortCondition ref="V2:V192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2026-01-22T07:37:46Z</cp:lastPrinted>
  <dcterms:created xsi:type="dcterms:W3CDTF">2020-05-08T06:29:04Z</dcterms:created>
  <dcterms:modified xsi:type="dcterms:W3CDTF">2026-01-22T09:39:31Z</dcterms:modified>
</cp:coreProperties>
</file>