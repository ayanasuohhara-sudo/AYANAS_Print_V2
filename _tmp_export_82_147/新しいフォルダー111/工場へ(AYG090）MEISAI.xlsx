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D592D34-F7A0-42B1-A0FE-A44E96042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K234" i="3"/>
  <c r="J234" i="3"/>
  <c r="K231" i="3"/>
  <c r="J231" i="3"/>
  <c r="K229" i="3"/>
  <c r="J229" i="3"/>
  <c r="K227" i="3"/>
  <c r="J227" i="3"/>
  <c r="K212" i="3"/>
  <c r="J212" i="3"/>
  <c r="K209" i="3"/>
  <c r="J209" i="3"/>
  <c r="K205" i="3"/>
  <c r="J205" i="3"/>
  <c r="K203" i="3"/>
  <c r="J203" i="3"/>
  <c r="K191" i="3"/>
  <c r="J191" i="3"/>
  <c r="K185" i="3"/>
  <c r="J185" i="3"/>
  <c r="K177" i="3"/>
  <c r="J177" i="3"/>
  <c r="K153" i="3"/>
  <c r="J153" i="3"/>
  <c r="K141" i="3"/>
  <c r="J141" i="3"/>
  <c r="K139" i="3"/>
  <c r="J139" i="3"/>
  <c r="K113" i="3"/>
  <c r="J113" i="3"/>
  <c r="K96" i="3"/>
  <c r="J96" i="3"/>
  <c r="K72" i="3"/>
  <c r="J72" i="3"/>
  <c r="K51" i="3"/>
  <c r="J51" i="3"/>
  <c r="K47" i="3"/>
  <c r="J47" i="3"/>
  <c r="K45" i="3"/>
  <c r="J45" i="3"/>
  <c r="K41" i="3"/>
  <c r="J41" i="3"/>
  <c r="K21" i="3"/>
  <c r="J21" i="3"/>
  <c r="K16" i="3"/>
  <c r="J16" i="3"/>
  <c r="K13" i="3"/>
  <c r="K235" i="3" s="1"/>
  <c r="J13" i="3"/>
  <c r="K6" i="3"/>
  <c r="J6" i="3"/>
  <c r="K3" i="3"/>
  <c r="J3" i="3"/>
  <c r="J235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I280" i="3"/>
  <c r="AH280" i="3"/>
  <c r="AI275" i="3"/>
  <c r="AH275" i="3"/>
  <c r="AI273" i="3"/>
  <c r="AH273" i="3"/>
  <c r="AI259" i="3"/>
  <c r="AH259" i="3"/>
  <c r="AI241" i="3"/>
  <c r="AH241" i="3"/>
  <c r="AI230" i="3"/>
  <c r="AH230" i="3"/>
  <c r="AI196" i="3"/>
  <c r="AH196" i="3"/>
  <c r="AI186" i="3"/>
  <c r="AH186" i="3"/>
  <c r="AI157" i="3"/>
  <c r="AH157" i="3"/>
  <c r="AI149" i="3"/>
  <c r="AH149" i="3"/>
  <c r="AI136" i="3"/>
  <c r="AH136" i="3"/>
  <c r="AI106" i="3"/>
  <c r="AH106" i="3"/>
  <c r="AI74" i="3"/>
  <c r="AH74" i="3"/>
  <c r="AI69" i="3"/>
  <c r="AH69" i="3"/>
  <c r="AI57" i="3"/>
  <c r="AH57" i="3"/>
  <c r="AI53" i="3"/>
  <c r="AH53" i="3"/>
  <c r="AI46" i="3"/>
  <c r="AH46" i="3"/>
  <c r="AI42" i="3"/>
  <c r="AH42" i="3"/>
  <c r="AI35" i="3"/>
  <c r="AH35" i="3"/>
  <c r="AI27" i="3"/>
  <c r="AH27" i="3"/>
  <c r="AI24" i="3"/>
  <c r="AH24" i="3"/>
  <c r="AI11" i="3"/>
  <c r="AH11" i="3"/>
  <c r="B61" i="1"/>
  <c r="A241" i="1"/>
  <c r="A151" i="1"/>
  <c r="AB43" i="1"/>
  <c r="AH281" i="3" l="1"/>
  <c r="AI28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<sst xmlns="http://schemas.openxmlformats.org/spreadsheetml/2006/main" count="2877" uniqueCount="440">
  <si>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</si>
  <si>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</si>
  <si>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</si>
  <si>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</si>
  <si>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</si>
  <si>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</si>
  <si>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</si>
  <si>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</si>
  <si>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</si>
  <si>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</si>
  <si>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</si>
  <si>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</si>
  <si>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</si>
  <si>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</si>
  <si>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</si>
  <si>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</si>
  <si>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</si>
  <si>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</si>
  <si>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</si>
  <si>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</si>
  <si>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</si>
  <si>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</si>
  <si>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</si>
  <si>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</si>
  <si>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</si>
  <si>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</si>
  <si>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</si>
  <si>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</si>
  <si>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</si>
  <si>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</si>
  <si>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</si>
  <si>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</si>
  <si>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</si>
  <si>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</si>
  <si>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</si>
  <si>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</si>
  <si>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</si>
  <si>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</si>
  <si>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</si>
  <si>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</si>
  <si>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</si>
  <si>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</si>
  <si>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</si>
  <si>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</si>
  <si>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</si>
  <si>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</si>
  <si>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</si>
  <si>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</si>
  <si>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</si>
  <si>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</si>
  <si>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</si>
  <si>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</si>
  <si>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</si>
  <si>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</si>
  <si>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</si>
  <si>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</si>
  <si>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</si>
  <si>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</si>
  <si>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</si>
  <si>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</si>
  <si>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</si>
  <si>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</si>
  <si>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</si>
  <si>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</si>
  <si>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</si>
  <si>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</si>
  <si>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</si>
  <si>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</si>
  <si>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</si>
  <si>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</si>
  <si>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</si>
  <si>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</si>
  <si>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</si>
  <si>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</si>
  <si>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</si>
  <si>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</si>
  <si>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</si>
  <si>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</si>
  <si>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</si>
  <si>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</si>
  <si>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</si>
  <si>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</si>
  <si>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</si>
  <si>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</si>
  <si>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</si>
  <si>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</si>
  <si>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</si>
  <si>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</si>
  <si>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</si>
  <si>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</si>
  <si>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</si>
  <si>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</si>
  <si>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</si>
  <si>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</si>
  <si>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</si>
  <si>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</si>
  <si>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</si>
  <si>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</si>
  <si>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</si>
  <si>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</si>
  <si>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</si>
  <si>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</si>
  <si>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</si>
  <si>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</si>
  <si>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</si>
  <si>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</si>
  <si>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</si>
  <si>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</si>
  <si>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</si>
  <si>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</si>
  <si>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</si>
  <si>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</si>
  <si>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</si>
  <si>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</si>
  <si>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</si>
  <si>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</si>
  <si>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</si>
  <si>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</si>
  <si>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</si>
  <si>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</si>
  <si>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</si>
  <si>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</si>
  <si>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</si>
  <si>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</si>
  <si>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</si>
  <si>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</si>
  <si>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</si>
  <si>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</si>
  <si>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</si>
  <si>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</si>
  <si>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</si>
  <si>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</si>
  <si>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</si>
  <si>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</si>
  <si>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</si>
  <si>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</si>
  <si>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</si>
  <si>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</si>
  <si>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</si>
  <si>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</si>
  <si>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</si>
  <si>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</si>
  <si>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</si>
  <si>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</si>
  <si>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</si>
  <si>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</si>
  <si>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</si>
  <si>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</si>
  <si>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</si>
  <si>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</si>
  <si>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</si>
  <si>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</si>
  <si>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</si>
  <si>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</si>
  <si>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</si>
  <si>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</si>
  <si>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</si>
  <si>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</si>
  <si>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</si>
  <si>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</si>
  <si>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</si>
  <si>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</si>
  <si>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</si>
  <si>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</si>
  <si>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</si>
  <si>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</si>
  <si>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</si>
  <si>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</si>
  <si>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</si>
  <si>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</si>
  <si>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</si>
  <si>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</si>
  <si>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</si>
  <si>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</si>
  <si>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</si>
  <si>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</si>
  <si>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</si>
  <si>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2024/10/22 個数</t>
  </si>
  <si>
    <t>2024/10/23 個数</t>
  </si>
  <si>
    <t>M032</t>
    <phoneticPr fontId="1"/>
  </si>
  <si>
    <t>S</t>
    <phoneticPr fontId="1"/>
  </si>
  <si>
    <t>A623</t>
    <phoneticPr fontId="1"/>
  </si>
  <si>
    <t>A622</t>
    <phoneticPr fontId="1"/>
  </si>
  <si>
    <t>A335</t>
    <phoneticPr fontId="1"/>
  </si>
  <si>
    <t>A336</t>
    <phoneticPr fontId="1"/>
  </si>
  <si>
    <t>M079</t>
    <phoneticPr fontId="1"/>
  </si>
  <si>
    <t>M070</t>
    <phoneticPr fontId="1"/>
  </si>
  <si>
    <t>P</t>
    <phoneticPr fontId="1"/>
  </si>
  <si>
    <t>A505</t>
    <phoneticPr fontId="1"/>
  </si>
  <si>
    <t>A997</t>
    <phoneticPr fontId="1"/>
  </si>
  <si>
    <t>M015</t>
    <phoneticPr fontId="1"/>
  </si>
  <si>
    <t>C</t>
    <phoneticPr fontId="1"/>
  </si>
  <si>
    <t>M037</t>
    <phoneticPr fontId="1"/>
  </si>
  <si>
    <t>A307</t>
    <phoneticPr fontId="1"/>
  </si>
  <si>
    <t>A545</t>
    <phoneticPr fontId="1"/>
  </si>
  <si>
    <t>A913</t>
    <phoneticPr fontId="1"/>
  </si>
  <si>
    <t>M078</t>
    <phoneticPr fontId="1"/>
  </si>
  <si>
    <t>A700</t>
    <phoneticPr fontId="1"/>
  </si>
  <si>
    <t>A120</t>
    <phoneticPr fontId="1"/>
  </si>
  <si>
    <t>M074</t>
    <phoneticPr fontId="1"/>
  </si>
  <si>
    <t>E</t>
    <phoneticPr fontId="1"/>
  </si>
  <si>
    <t>A550</t>
    <phoneticPr fontId="1"/>
  </si>
  <si>
    <t>2024/10/19 個数</t>
  </si>
  <si>
    <t>2024/10/27 個数</t>
  </si>
  <si>
    <t>2024/10/28 個数</t>
  </si>
  <si>
    <t>2024/10/29 個数</t>
  </si>
  <si>
    <t>AYG090</t>
    <phoneticPr fontId="1"/>
  </si>
  <si>
    <t>06090247</t>
    <phoneticPr fontId="1"/>
  </si>
  <si>
    <t>06090279</t>
    <phoneticPr fontId="1"/>
  </si>
  <si>
    <t>06090280</t>
    <phoneticPr fontId="1"/>
  </si>
  <si>
    <t>06090299</t>
    <phoneticPr fontId="1"/>
  </si>
  <si>
    <t>06090300</t>
    <phoneticPr fontId="1"/>
  </si>
  <si>
    <t>06090301</t>
    <phoneticPr fontId="1"/>
  </si>
  <si>
    <t>06090302</t>
    <phoneticPr fontId="1"/>
  </si>
  <si>
    <t>06090326</t>
    <phoneticPr fontId="1"/>
  </si>
  <si>
    <t>06090328</t>
    <phoneticPr fontId="1"/>
  </si>
  <si>
    <t>06090336</t>
    <phoneticPr fontId="1"/>
  </si>
  <si>
    <t>06090340</t>
    <phoneticPr fontId="1"/>
  </si>
  <si>
    <t>06090341</t>
    <phoneticPr fontId="1"/>
  </si>
  <si>
    <t>06090342</t>
    <phoneticPr fontId="1"/>
  </si>
  <si>
    <t>06090343</t>
    <phoneticPr fontId="1"/>
  </si>
  <si>
    <t>06090337</t>
    <phoneticPr fontId="1"/>
  </si>
  <si>
    <t>06090338</t>
    <phoneticPr fontId="1"/>
  </si>
  <si>
    <t>06090242</t>
    <phoneticPr fontId="1"/>
  </si>
  <si>
    <t>06090339</t>
    <phoneticPr fontId="1"/>
  </si>
  <si>
    <t>06090459</t>
    <phoneticPr fontId="1"/>
  </si>
  <si>
    <t>06090467</t>
    <phoneticPr fontId="1"/>
  </si>
  <si>
    <t>06090468</t>
  </si>
  <si>
    <t>06090469</t>
  </si>
  <si>
    <t>06090470</t>
  </si>
  <si>
    <t>06090471</t>
  </si>
  <si>
    <t>06090472</t>
  </si>
  <si>
    <t>06090473</t>
  </si>
  <si>
    <t>06090474</t>
  </si>
  <si>
    <t>06090475</t>
  </si>
  <si>
    <t>06090476</t>
  </si>
  <si>
    <t>06090477</t>
    <phoneticPr fontId="1"/>
  </si>
  <si>
    <t>06090478</t>
  </si>
  <si>
    <t>06090479</t>
  </si>
  <si>
    <t>06090480</t>
  </si>
  <si>
    <t>06090481</t>
  </si>
  <si>
    <t>06090482</t>
  </si>
  <si>
    <t>06090483</t>
  </si>
  <si>
    <t>06090484</t>
  </si>
  <si>
    <t>06100037</t>
    <phoneticPr fontId="1"/>
  </si>
  <si>
    <t>06100164</t>
    <phoneticPr fontId="1"/>
  </si>
  <si>
    <t>06100170</t>
    <phoneticPr fontId="1"/>
  </si>
  <si>
    <t>06100175</t>
    <phoneticPr fontId="1"/>
  </si>
  <si>
    <t>06100176</t>
    <phoneticPr fontId="1"/>
  </si>
  <si>
    <t>06100179</t>
    <phoneticPr fontId="1"/>
  </si>
  <si>
    <t>06100148</t>
    <phoneticPr fontId="1"/>
  </si>
  <si>
    <t>06100149</t>
  </si>
  <si>
    <t>06100150</t>
  </si>
  <si>
    <t>06100151</t>
  </si>
  <si>
    <t>06100152</t>
  </si>
  <si>
    <t>06100153</t>
    <phoneticPr fontId="1"/>
  </si>
  <si>
    <t>06100154</t>
  </si>
  <si>
    <t>06100155</t>
  </si>
  <si>
    <t>06100156</t>
  </si>
  <si>
    <t>06100157</t>
  </si>
  <si>
    <t>06100171</t>
    <phoneticPr fontId="1"/>
  </si>
  <si>
    <t>06100172</t>
    <phoneticPr fontId="1"/>
  </si>
  <si>
    <t>06100173</t>
  </si>
  <si>
    <t>06100174</t>
  </si>
  <si>
    <t>06100177</t>
    <phoneticPr fontId="1"/>
  </si>
  <si>
    <t>06100178</t>
    <phoneticPr fontId="1"/>
  </si>
  <si>
    <t>06090383</t>
    <phoneticPr fontId="1"/>
  </si>
  <si>
    <t>06090384</t>
    <phoneticPr fontId="1"/>
  </si>
  <si>
    <t>06090388</t>
    <phoneticPr fontId="1"/>
  </si>
  <si>
    <t>06090393</t>
    <phoneticPr fontId="1"/>
  </si>
  <si>
    <t>06090410</t>
    <phoneticPr fontId="1"/>
  </si>
  <si>
    <t>A611</t>
    <phoneticPr fontId="1"/>
  </si>
  <si>
    <t>06090426</t>
    <phoneticPr fontId="1"/>
  </si>
  <si>
    <t>06100001</t>
    <phoneticPr fontId="1"/>
  </si>
  <si>
    <t>06100002</t>
    <phoneticPr fontId="1"/>
  </si>
  <si>
    <t>06100003</t>
    <phoneticPr fontId="1"/>
  </si>
  <si>
    <t>06100006</t>
    <phoneticPr fontId="1"/>
  </si>
  <si>
    <t>06100007</t>
    <phoneticPr fontId="1"/>
  </si>
  <si>
    <t>06100008</t>
    <phoneticPr fontId="1"/>
  </si>
  <si>
    <t>06100009</t>
    <phoneticPr fontId="1"/>
  </si>
  <si>
    <t>06100010</t>
    <phoneticPr fontId="1"/>
  </si>
  <si>
    <t>06100035</t>
    <phoneticPr fontId="1"/>
  </si>
  <si>
    <t>06100167</t>
    <phoneticPr fontId="1"/>
  </si>
  <si>
    <t>06090460</t>
    <phoneticPr fontId="1"/>
  </si>
  <si>
    <t>06090457</t>
    <phoneticPr fontId="1"/>
  </si>
  <si>
    <t>06090458</t>
    <phoneticPr fontId="1"/>
  </si>
  <si>
    <t>06100004</t>
    <phoneticPr fontId="1"/>
  </si>
  <si>
    <t>06100015</t>
    <phoneticPr fontId="1"/>
  </si>
  <si>
    <t>06100016</t>
    <phoneticPr fontId="1"/>
  </si>
  <si>
    <t>06100017</t>
    <phoneticPr fontId="1"/>
  </si>
  <si>
    <t>06100018</t>
    <phoneticPr fontId="1"/>
  </si>
  <si>
    <t>06100019</t>
  </si>
  <si>
    <t>06100020</t>
  </si>
  <si>
    <t>06100087</t>
    <phoneticPr fontId="1"/>
  </si>
  <si>
    <t>06100088</t>
    <phoneticPr fontId="1"/>
  </si>
  <si>
    <t>06100094</t>
    <phoneticPr fontId="1"/>
  </si>
  <si>
    <t>06100095</t>
    <phoneticPr fontId="1"/>
  </si>
  <si>
    <t>06100097</t>
    <phoneticPr fontId="1"/>
  </si>
  <si>
    <t>06090349</t>
    <phoneticPr fontId="1"/>
  </si>
  <si>
    <t>06090385</t>
    <phoneticPr fontId="1"/>
  </si>
  <si>
    <t>06090386</t>
    <phoneticPr fontId="1"/>
  </si>
  <si>
    <t>06090394</t>
    <phoneticPr fontId="1"/>
  </si>
  <si>
    <t>06090415</t>
    <phoneticPr fontId="1"/>
  </si>
  <si>
    <t>06090416</t>
    <phoneticPr fontId="1"/>
  </si>
  <si>
    <t>06090424</t>
    <phoneticPr fontId="1"/>
  </si>
  <si>
    <t>06090425</t>
    <phoneticPr fontId="1"/>
  </si>
  <si>
    <t>06090428</t>
    <phoneticPr fontId="1"/>
  </si>
  <si>
    <t>06090452</t>
    <phoneticPr fontId="1"/>
  </si>
  <si>
    <t>06090454</t>
    <phoneticPr fontId="1"/>
  </si>
  <si>
    <t>06100013</t>
    <phoneticPr fontId="1"/>
  </si>
  <si>
    <t>06100026</t>
    <phoneticPr fontId="1"/>
  </si>
  <si>
    <t>06100043</t>
    <phoneticPr fontId="1"/>
  </si>
  <si>
    <t>A318</t>
    <phoneticPr fontId="1"/>
  </si>
  <si>
    <t>06100044</t>
    <phoneticPr fontId="1"/>
  </si>
  <si>
    <t>06100099</t>
    <phoneticPr fontId="1"/>
  </si>
  <si>
    <t>06100134</t>
    <phoneticPr fontId="1"/>
  </si>
  <si>
    <t>06100135</t>
    <phoneticPr fontId="1"/>
  </si>
  <si>
    <t>06100136</t>
  </si>
  <si>
    <t>06100137</t>
  </si>
  <si>
    <t>06100138</t>
  </si>
  <si>
    <t>06100139</t>
  </si>
  <si>
    <t>06100140</t>
  </si>
  <si>
    <t>06100141</t>
  </si>
  <si>
    <t>06100142</t>
  </si>
  <si>
    <t>06100143</t>
  </si>
  <si>
    <t>06100144</t>
  </si>
  <si>
    <t>06100145</t>
  </si>
  <si>
    <t>06100146</t>
  </si>
  <si>
    <t>A123</t>
    <phoneticPr fontId="1"/>
  </si>
  <si>
    <t>06090256</t>
    <phoneticPr fontId="1"/>
  </si>
  <si>
    <t>06100190</t>
    <phoneticPr fontId="1"/>
  </si>
  <si>
    <t>06100191</t>
    <phoneticPr fontId="1"/>
  </si>
  <si>
    <t>06100192</t>
  </si>
  <si>
    <t>06100193</t>
  </si>
  <si>
    <t>06100194</t>
  </si>
  <si>
    <t>06100195</t>
  </si>
  <si>
    <t>06100196</t>
  </si>
  <si>
    <t>M028</t>
    <phoneticPr fontId="1"/>
  </si>
  <si>
    <t>06100200</t>
    <phoneticPr fontId="1"/>
  </si>
  <si>
    <t>06100201</t>
  </si>
  <si>
    <t>06100202</t>
  </si>
  <si>
    <t>06100203</t>
  </si>
  <si>
    <t>06100204</t>
  </si>
  <si>
    <t>06100205</t>
  </si>
  <si>
    <t>06100206</t>
  </si>
  <si>
    <t>06100211</t>
    <phoneticPr fontId="1"/>
  </si>
  <si>
    <t>06100212</t>
    <phoneticPr fontId="1"/>
  </si>
  <si>
    <t>06100014</t>
    <phoneticPr fontId="1"/>
  </si>
  <si>
    <t>06100021</t>
    <phoneticPr fontId="1"/>
  </si>
  <si>
    <t>06100022</t>
    <phoneticPr fontId="1"/>
  </si>
  <si>
    <t>06100023</t>
    <phoneticPr fontId="1"/>
  </si>
  <si>
    <t>06100024</t>
    <phoneticPr fontId="1"/>
  </si>
  <si>
    <t>06100025</t>
    <phoneticPr fontId="1"/>
  </si>
  <si>
    <t>06100027</t>
    <phoneticPr fontId="1"/>
  </si>
  <si>
    <t>06100090</t>
    <phoneticPr fontId="1"/>
  </si>
  <si>
    <t>06100091</t>
    <phoneticPr fontId="1"/>
  </si>
  <si>
    <t>06100098</t>
    <phoneticPr fontId="1"/>
  </si>
  <si>
    <t>06100100</t>
    <phoneticPr fontId="1"/>
  </si>
  <si>
    <t>06100101</t>
    <phoneticPr fontId="1"/>
  </si>
  <si>
    <t>06100165</t>
    <phoneticPr fontId="1"/>
  </si>
  <si>
    <t>06100166</t>
    <phoneticPr fontId="1"/>
  </si>
  <si>
    <t>06100168</t>
    <phoneticPr fontId="1"/>
  </si>
  <si>
    <t>06100169</t>
    <phoneticPr fontId="1"/>
  </si>
  <si>
    <t>06090396</t>
    <phoneticPr fontId="1"/>
  </si>
  <si>
    <t>M050</t>
    <phoneticPr fontId="1"/>
  </si>
  <si>
    <t>06090397</t>
    <phoneticPr fontId="1"/>
  </si>
  <si>
    <t>06090398</t>
    <phoneticPr fontId="1"/>
  </si>
  <si>
    <t>06090399</t>
    <phoneticPr fontId="1"/>
  </si>
  <si>
    <t>06090400</t>
    <phoneticPr fontId="1"/>
  </si>
  <si>
    <t>06090401</t>
  </si>
  <si>
    <t>06090402</t>
  </si>
  <si>
    <t>06090403</t>
  </si>
  <si>
    <t>06090404</t>
  </si>
  <si>
    <t>06090405</t>
  </si>
  <si>
    <t>06090406</t>
  </si>
  <si>
    <t>06090407</t>
  </si>
  <si>
    <t>06090408</t>
  </si>
  <si>
    <t>06100236</t>
    <phoneticPr fontId="1"/>
  </si>
  <si>
    <t>06100237</t>
    <phoneticPr fontId="1"/>
  </si>
  <si>
    <t>06100238</t>
    <phoneticPr fontId="1"/>
  </si>
  <si>
    <t>06100239</t>
    <phoneticPr fontId="1"/>
  </si>
  <si>
    <t>06100243</t>
    <phoneticPr fontId="1"/>
  </si>
  <si>
    <t>06100246</t>
    <phoneticPr fontId="1"/>
  </si>
  <si>
    <t>06100249</t>
    <phoneticPr fontId="1"/>
  </si>
  <si>
    <t>06100250</t>
    <phoneticPr fontId="1"/>
  </si>
  <si>
    <t>06100251</t>
    <phoneticPr fontId="1"/>
  </si>
  <si>
    <t>06100254</t>
    <phoneticPr fontId="1"/>
  </si>
  <si>
    <t>A850</t>
    <phoneticPr fontId="1"/>
  </si>
  <si>
    <t>06100255</t>
    <phoneticPr fontId="1"/>
  </si>
  <si>
    <t>06100256</t>
    <phoneticPr fontId="1"/>
  </si>
  <si>
    <t>06100257</t>
    <phoneticPr fontId="1"/>
  </si>
  <si>
    <t>06100258</t>
    <phoneticPr fontId="1"/>
  </si>
  <si>
    <t>06090164</t>
    <phoneticPr fontId="1"/>
  </si>
  <si>
    <t>06090248</t>
    <phoneticPr fontId="1"/>
  </si>
  <si>
    <t>06090461</t>
    <phoneticPr fontId="1"/>
  </si>
  <si>
    <t>06100011</t>
    <phoneticPr fontId="1"/>
  </si>
  <si>
    <t>06100012</t>
    <phoneticPr fontId="1"/>
  </si>
  <si>
    <t>06100032</t>
    <phoneticPr fontId="1"/>
  </si>
  <si>
    <t>06100041</t>
    <phoneticPr fontId="1"/>
  </si>
  <si>
    <t>06100089</t>
    <phoneticPr fontId="1"/>
  </si>
  <si>
    <t>06100092</t>
    <phoneticPr fontId="1"/>
  </si>
  <si>
    <t>06100093</t>
    <phoneticPr fontId="1"/>
  </si>
  <si>
    <t>06100096</t>
    <phoneticPr fontId="1"/>
  </si>
  <si>
    <t>06100229</t>
    <phoneticPr fontId="1"/>
  </si>
  <si>
    <t>06100231</t>
    <phoneticPr fontId="1"/>
  </si>
  <si>
    <t>06100240</t>
    <phoneticPr fontId="1"/>
  </si>
  <si>
    <t>06100241</t>
    <phoneticPr fontId="1"/>
  </si>
  <si>
    <t>06090276</t>
    <phoneticPr fontId="1"/>
  </si>
  <si>
    <t>06090294</t>
    <phoneticPr fontId="1"/>
  </si>
  <si>
    <t>06090295</t>
    <phoneticPr fontId="1"/>
  </si>
  <si>
    <t>06090316</t>
    <phoneticPr fontId="1"/>
  </si>
  <si>
    <t>06090344</t>
    <phoneticPr fontId="1"/>
  </si>
  <si>
    <t>06090345</t>
    <phoneticPr fontId="1"/>
  </si>
  <si>
    <t>06090346</t>
    <phoneticPr fontId="1"/>
  </si>
  <si>
    <t>06090347</t>
    <phoneticPr fontId="1"/>
  </si>
  <si>
    <t>06090463</t>
    <phoneticPr fontId="1"/>
  </si>
  <si>
    <t>06090464</t>
    <phoneticPr fontId="1"/>
  </si>
  <si>
    <t>06090465</t>
    <phoneticPr fontId="1"/>
  </si>
  <si>
    <t>06090466</t>
    <phoneticPr fontId="1"/>
  </si>
  <si>
    <t>06090485</t>
    <phoneticPr fontId="1"/>
  </si>
  <si>
    <t>2024/10/30 個数</t>
  </si>
  <si>
    <t>2024/10/31 個数</t>
  </si>
  <si>
    <t>2024/11/2 個数</t>
  </si>
  <si>
    <t>2024/11/3 個数</t>
  </si>
  <si>
    <t>2024/11/4 個数</t>
  </si>
  <si>
    <t>2024/11/5 個数</t>
  </si>
  <si>
    <t>2024/11/6 個数</t>
  </si>
  <si>
    <t>2024/11/8 個数</t>
  </si>
  <si>
    <t>2024/11/9 個数</t>
  </si>
  <si>
    <t>2024/11/10 個数</t>
  </si>
  <si>
    <t>2024/11/11 個数</t>
  </si>
  <si>
    <t>2024/11/12 個数</t>
  </si>
  <si>
    <t>2024/11/13 個数</t>
  </si>
  <si>
    <t>2024/11/14 個数</t>
  </si>
  <si>
    <t>2024/11/16 個数</t>
  </si>
  <si>
    <t>2024/11/18 個数</t>
  </si>
  <si>
    <t>2024/11/20 個数</t>
  </si>
  <si>
    <t>2024/11/22 個数</t>
  </si>
  <si>
    <t>2024/11/26 個数</t>
  </si>
  <si>
    <t>2024/11/30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</si>
</sst>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topLeftCell="C1" zoomScale="106" zoomScaleNormal="106" workbookViewId="0">
      <selection activeCell="F5" sqref="F5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206</v>
      </c>
      <c r="B1" s="24">
        <v>45574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2" t="s">
        <v>105</v>
      </c>
      <c r="Y2" s="13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4">
        <v>1</v>
      </c>
      <c r="B3" s="137">
        <v>23.2</v>
      </c>
      <c r="C3" s="85" t="s">
        <v>207</v>
      </c>
      <c r="D3" s="109" t="s">
        <v>179</v>
      </c>
      <c r="E3" s="15" t="s">
        <v>38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45587</v>
      </c>
      <c r="U3" s="13" t="s">
        <v>146</v>
      </c>
      <c r="V3">
        <v>1</v>
      </c>
      <c r="X3" s="51" t="s">
        <v>106</v>
      </c>
      <c r="Y3" s="52">
        <f>COUNTIF(U3:U27,"K")</f>
        <v>9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5"/>
      <c r="B4" s="138"/>
      <c r="C4" s="85" t="s">
        <v>208</v>
      </c>
      <c r="D4" s="109" t="s">
        <v>188</v>
      </c>
      <c r="E4" s="15" t="s">
        <v>38</v>
      </c>
      <c r="F4" s="16"/>
      <c r="G4" s="12" t="s">
        <v>180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45588</v>
      </c>
      <c r="U4" s="13" t="s">
        <v>146</v>
      </c>
      <c r="V4">
        <v>2</v>
      </c>
      <c r="X4" s="51" t="s">
        <v>107</v>
      </c>
      <c r="Y4" s="52">
        <f>COUNTIF(U3:U27,"R")</f>
        <v>3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5"/>
      <c r="B5" s="138"/>
      <c r="C5" s="85" t="s">
        <v>209</v>
      </c>
      <c r="D5" s="109" t="s">
        <v>188</v>
      </c>
      <c r="E5" s="15" t="s">
        <v>40</v>
      </c>
      <c r="F5" s="16"/>
      <c r="G5" s="12" t="s">
        <v>180</v>
      </c>
      <c r="H5" s="13"/>
      <c r="I5" s="13"/>
      <c r="J5" s="15"/>
      <c r="K5" s="15"/>
      <c r="L5" s="17"/>
      <c r="M5" s="17"/>
      <c r="N5" s="13"/>
      <c r="O5" s="17">
        <v>1</v>
      </c>
      <c r="P5" s="17">
        <v>1</v>
      </c>
      <c r="Q5" s="17"/>
      <c r="R5" s="17"/>
      <c r="S5" s="15"/>
      <c r="T5" s="25">
        <v>45588</v>
      </c>
      <c r="U5" s="13" t="s">
        <v>148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5"/>
      <c r="B6" s="138"/>
      <c r="C6" s="85" t="s">
        <v>210</v>
      </c>
      <c r="D6" s="109" t="s">
        <v>179</v>
      </c>
      <c r="E6" s="15" t="s">
        <v>38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45593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5"/>
      <c r="B7" s="138"/>
      <c r="C7" s="85" t="s">
        <v>211</v>
      </c>
      <c r="D7" s="109" t="s">
        <v>179</v>
      </c>
      <c r="E7" s="15" t="s">
        <v>36</v>
      </c>
      <c r="F7" s="16"/>
      <c r="G7" s="12" t="s">
        <v>180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45593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5"/>
      <c r="B8" s="138"/>
      <c r="C8" s="85" t="s">
        <v>212</v>
      </c>
      <c r="D8" s="109" t="s">
        <v>179</v>
      </c>
      <c r="E8" s="15" t="s">
        <v>40</v>
      </c>
      <c r="F8" s="16"/>
      <c r="G8" s="12" t="s">
        <v>180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/>
      <c r="R8" s="17"/>
      <c r="S8" s="15"/>
      <c r="T8" s="25">
        <v>45593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5"/>
      <c r="B9" s="138"/>
      <c r="C9" s="85" t="s">
        <v>213</v>
      </c>
      <c r="D9" s="109" t="s">
        <v>179</v>
      </c>
      <c r="E9" s="15" t="s">
        <v>36</v>
      </c>
      <c r="F9" s="16"/>
      <c r="G9" s="12" t="s">
        <v>180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45595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5"/>
      <c r="B10" s="138"/>
      <c r="C10" s="85" t="s">
        <v>214</v>
      </c>
      <c r="D10" s="109" t="s">
        <v>199</v>
      </c>
      <c r="E10" s="15" t="s">
        <v>36</v>
      </c>
      <c r="F10" s="16"/>
      <c r="G10" s="12" t="s">
        <v>180</v>
      </c>
      <c r="H10" s="15"/>
      <c r="I10" s="13"/>
      <c r="J10" s="15"/>
      <c r="K10" s="15">
        <v>1</v>
      </c>
      <c r="L10" s="17"/>
      <c r="M10" s="17">
        <v>1</v>
      </c>
      <c r="N10" s="13">
        <v>1</v>
      </c>
      <c r="O10" s="17"/>
      <c r="P10" s="17"/>
      <c r="Q10" s="17">
        <v>1</v>
      </c>
      <c r="R10" s="17"/>
      <c r="S10" s="15"/>
      <c r="T10" s="25">
        <v>45600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5"/>
      <c r="B11" s="138"/>
      <c r="C11" s="85" t="s">
        <v>215</v>
      </c>
      <c r="D11" s="109" t="s">
        <v>199</v>
      </c>
      <c r="E11" s="15" t="s">
        <v>36</v>
      </c>
      <c r="F11" s="16"/>
      <c r="G11" s="12" t="s">
        <v>180</v>
      </c>
      <c r="H11" s="15"/>
      <c r="I11" s="13"/>
      <c r="J11" s="15"/>
      <c r="K11" s="15"/>
      <c r="L11" s="17"/>
      <c r="M11" s="17">
        <v>1</v>
      </c>
      <c r="N11" s="13"/>
      <c r="O11" s="17"/>
      <c r="P11" s="17"/>
      <c r="Q11" s="17">
        <v>1</v>
      </c>
      <c r="R11" s="17"/>
      <c r="S11" s="15"/>
      <c r="T11" s="25">
        <v>45612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5"/>
      <c r="B12" s="138"/>
      <c r="C12" s="85" t="s">
        <v>216</v>
      </c>
      <c r="D12" s="109" t="s">
        <v>188</v>
      </c>
      <c r="E12" s="15" t="s">
        <v>38</v>
      </c>
      <c r="F12" s="16"/>
      <c r="G12" s="12" t="s">
        <v>180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45593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5"/>
      <c r="B13" s="138"/>
      <c r="C13" s="85" t="s">
        <v>217</v>
      </c>
      <c r="D13" s="109" t="s">
        <v>188</v>
      </c>
      <c r="E13" s="15" t="s">
        <v>58</v>
      </c>
      <c r="F13" s="16"/>
      <c r="G13" s="12" t="s">
        <v>180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>
        <v>1</v>
      </c>
      <c r="T13" s="25">
        <v>45594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5"/>
      <c r="B14" s="138"/>
      <c r="C14" s="85" t="s">
        <v>218</v>
      </c>
      <c r="D14" s="109" t="s">
        <v>188</v>
      </c>
      <c r="E14" s="15" t="s">
        <v>38</v>
      </c>
      <c r="F14" s="16"/>
      <c r="G14" s="12" t="s">
        <v>180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45594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5"/>
      <c r="B15" s="138"/>
      <c r="C15" s="85" t="s">
        <v>219</v>
      </c>
      <c r="D15" s="109" t="s">
        <v>188</v>
      </c>
      <c r="E15" s="15" t="s">
        <v>39</v>
      </c>
      <c r="F15" s="16"/>
      <c r="G15" s="12" t="s">
        <v>180</v>
      </c>
      <c r="H15" s="15"/>
      <c r="I15" s="15"/>
      <c r="J15" s="15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45594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5"/>
      <c r="B16" s="138"/>
      <c r="C16" s="85" t="s">
        <v>220</v>
      </c>
      <c r="D16" s="109" t="s">
        <v>188</v>
      </c>
      <c r="E16" s="15" t="s">
        <v>133</v>
      </c>
      <c r="F16" s="16"/>
      <c r="G16" s="12" t="s">
        <v>180</v>
      </c>
      <c r="H16" s="15"/>
      <c r="I16" s="15"/>
      <c r="J16" s="15">
        <v>1</v>
      </c>
      <c r="K16" s="15"/>
      <c r="L16" s="17"/>
      <c r="M16" s="17"/>
      <c r="N16" s="17"/>
      <c r="O16" s="17">
        <v>1</v>
      </c>
      <c r="P16" s="17">
        <v>1</v>
      </c>
      <c r="Q16" s="17"/>
      <c r="R16" s="17"/>
      <c r="S16" s="15"/>
      <c r="T16" s="25">
        <v>45594</v>
      </c>
      <c r="U16" s="13" t="s">
        <v>148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5"/>
      <c r="B17" s="138"/>
      <c r="C17" s="85" t="s">
        <v>221</v>
      </c>
      <c r="D17" s="106" t="s">
        <v>188</v>
      </c>
      <c r="E17" s="15" t="s">
        <v>39</v>
      </c>
      <c r="F17" s="16"/>
      <c r="G17" s="15" t="s">
        <v>180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45594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5"/>
      <c r="B18" s="138"/>
      <c r="C18" s="85" t="s">
        <v>222</v>
      </c>
      <c r="D18" s="110" t="s">
        <v>188</v>
      </c>
      <c r="E18" s="18" t="s">
        <v>133</v>
      </c>
      <c r="F18" s="16"/>
      <c r="G18" s="18" t="s">
        <v>180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/>
      <c r="S18" s="15"/>
      <c r="T18" s="25">
        <v>45594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5"/>
      <c r="B19" s="138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5"/>
      <c r="B20" s="13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5"/>
      <c r="B21" s="13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5"/>
      <c r="B22" s="13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5"/>
      <c r="B23" s="13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5"/>
      <c r="B24" s="13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5"/>
      <c r="B25" s="13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283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5"/>
      <c r="B26" s="13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6"/>
      <c r="B27" s="13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207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>
        <f t="shared" si="0"/>
        <v>8</v>
      </c>
      <c r="L28" s="29">
        <f t="shared" si="0"/>
        <v>0</v>
      </c>
      <c r="M28" s="29">
        <f t="shared" si="0"/>
        <v>4</v>
      </c>
      <c r="N28" s="29">
        <f t="shared" si="0"/>
        <v>3</v>
      </c>
      <c r="O28" s="29">
        <f t="shared" si="0"/>
        <v>4</v>
      </c>
      <c r="P28" s="29">
        <f t="shared" si="0"/>
        <v>4</v>
      </c>
      <c r="Q28" s="29">
        <f t="shared" si="0"/>
        <v>4</v>
      </c>
      <c r="R28" s="29">
        <f t="shared" si="0"/>
        <v>0</v>
      </c>
      <c r="S28" s="29">
        <f t="shared" si="0"/>
        <v>1</v>
      </c>
      <c r="T28" s="29" t="s">
        <v>64</v>
      </c>
      <c r="U28" s="29">
        <f>COUNTIF(H3:H27,"M")</f>
        <v>0</v>
      </c>
      <c r="AA28" s="148" t="s">
        <v>104</v>
      </c>
      <c r="AB28" s="14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36</v>
      </c>
      <c r="T29" s="29"/>
      <c r="U29" s="29"/>
      <c r="X29" t="s">
        <v>136</v>
      </c>
      <c r="AA29" s="150"/>
      <c r="AB29" s="151"/>
      <c r="AC29" s="143">
        <f>SUM(AC28:AE28)</f>
        <v>0</v>
      </c>
      <c r="AD29" s="144"/>
      <c r="AE29" s="14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AYG090</v>
      </c>
      <c r="B31" s="24">
        <f>B1</f>
        <v>45574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2" t="s">
        <v>119</v>
      </c>
      <c r="Y32" s="133"/>
      <c r="AA32" s="152" t="s">
        <v>47</v>
      </c>
      <c r="AB32" s="153"/>
    </row>
    <row r="33" spans="1:29" ht="19.5" thickTop="1" x14ac:dyDescent="0.4">
      <c r="A33" s="134">
        <v>2</v>
      </c>
      <c r="B33" s="137">
        <v>21</v>
      </c>
      <c r="C33" s="85" t="s">
        <v>223</v>
      </c>
      <c r="D33" s="109" t="s">
        <v>195</v>
      </c>
      <c r="E33" s="109" t="s">
        <v>75</v>
      </c>
      <c r="F33" s="16"/>
      <c r="G33" s="12" t="s">
        <v>180</v>
      </c>
      <c r="H33" s="15"/>
      <c r="I33" s="15"/>
      <c r="J33" s="15"/>
      <c r="K33" s="15"/>
      <c r="L33" s="17"/>
      <c r="M33" s="17"/>
      <c r="N33" s="17"/>
      <c r="O33" s="17"/>
      <c r="P33" s="17"/>
      <c r="Q33" s="17"/>
      <c r="R33" s="17"/>
      <c r="S33" s="15">
        <v>1</v>
      </c>
      <c r="T33" s="25">
        <v>45587</v>
      </c>
      <c r="U33" s="13" t="s">
        <v>147</v>
      </c>
      <c r="V33">
        <v>1</v>
      </c>
      <c r="X33" s="51" t="s">
        <v>106</v>
      </c>
      <c r="Y33" s="52">
        <f>COUNTIF(U33:U57,"K")</f>
        <v>11</v>
      </c>
      <c r="AA33" s="31" t="s">
        <v>46</v>
      </c>
      <c r="AB33" s="32">
        <f>J28+J178+J148+J118+J208+J238+J268+J298+J328+J358</f>
        <v>74</v>
      </c>
    </row>
    <row r="34" spans="1:29" x14ac:dyDescent="0.4">
      <c r="A34" s="135"/>
      <c r="B34" s="138"/>
      <c r="C34" s="85" t="s">
        <v>224</v>
      </c>
      <c r="D34" s="109" t="s">
        <v>188</v>
      </c>
      <c r="E34" s="109" t="s">
        <v>38</v>
      </c>
      <c r="F34" s="16"/>
      <c r="G34" s="12" t="s">
        <v>180</v>
      </c>
      <c r="H34" s="15"/>
      <c r="I34" s="13"/>
      <c r="J34" s="15">
        <v>1</v>
      </c>
      <c r="K34" s="15">
        <v>1</v>
      </c>
      <c r="L34" s="17"/>
      <c r="M34" s="17"/>
      <c r="N34" s="17"/>
      <c r="O34" s="17"/>
      <c r="P34" s="17"/>
      <c r="Q34" s="17"/>
      <c r="R34" s="17"/>
      <c r="S34" s="15"/>
      <c r="T34" s="25">
        <v>45588</v>
      </c>
      <c r="U34" s="13" t="s">
        <v>142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46</v>
      </c>
    </row>
    <row r="35" spans="1:29" ht="19.5" thickBot="1" x14ac:dyDescent="0.45">
      <c r="A35" s="135"/>
      <c r="B35" s="138"/>
      <c r="C35" s="85" t="s">
        <v>225</v>
      </c>
      <c r="D35" s="109" t="s">
        <v>185</v>
      </c>
      <c r="E35" s="109" t="s">
        <v>36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7"/>
      <c r="O35" s="17"/>
      <c r="P35" s="17"/>
      <c r="Q35" s="17">
        <v>1</v>
      </c>
      <c r="R35" s="17"/>
      <c r="S35" s="15"/>
      <c r="T35" s="25">
        <v>45612</v>
      </c>
      <c r="U35" s="13" t="s">
        <v>147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4</v>
      </c>
    </row>
    <row r="36" spans="1:29" x14ac:dyDescent="0.4">
      <c r="A36" s="135"/>
      <c r="B36" s="138"/>
      <c r="C36" s="85" t="s">
        <v>226</v>
      </c>
      <c r="D36" s="109" t="s">
        <v>197</v>
      </c>
      <c r="E36" s="109" t="s">
        <v>42</v>
      </c>
      <c r="F36" s="16"/>
      <c r="G36" s="12" t="s">
        <v>180</v>
      </c>
      <c r="H36" s="15"/>
      <c r="I36" s="13"/>
      <c r="J36" s="13"/>
      <c r="K36" s="15"/>
      <c r="L36" s="17"/>
      <c r="M36" s="17"/>
      <c r="N36" s="17"/>
      <c r="O36" s="17"/>
      <c r="P36" s="17"/>
      <c r="Q36" s="17"/>
      <c r="R36" s="17"/>
      <c r="S36" s="15">
        <v>1</v>
      </c>
      <c r="T36" s="25">
        <v>45606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26</v>
      </c>
    </row>
    <row r="37" spans="1:29" x14ac:dyDescent="0.4">
      <c r="A37" s="135"/>
      <c r="B37" s="138"/>
      <c r="C37" s="85" t="s">
        <v>227</v>
      </c>
      <c r="D37" s="109" t="s">
        <v>197</v>
      </c>
      <c r="E37" s="109" t="s">
        <v>41</v>
      </c>
      <c r="F37" s="16"/>
      <c r="G37" s="12" t="s">
        <v>180</v>
      </c>
      <c r="H37" s="15"/>
      <c r="I37" s="15"/>
      <c r="J37" s="15">
        <v>1</v>
      </c>
      <c r="K37" s="15"/>
      <c r="L37" s="17"/>
      <c r="M37" s="17"/>
      <c r="N37" s="17"/>
      <c r="O37" s="17"/>
      <c r="P37" s="17"/>
      <c r="Q37" s="17"/>
      <c r="R37" s="17"/>
      <c r="S37" s="15"/>
      <c r="T37" s="25">
        <v>45606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17</v>
      </c>
    </row>
    <row r="38" spans="1:29" x14ac:dyDescent="0.4">
      <c r="A38" s="135"/>
      <c r="B38" s="138"/>
      <c r="C38" s="85" t="s">
        <v>228</v>
      </c>
      <c r="D38" s="109" t="s">
        <v>197</v>
      </c>
      <c r="E38" s="109" t="s">
        <v>42</v>
      </c>
      <c r="F38" s="16"/>
      <c r="G38" s="12" t="s">
        <v>180</v>
      </c>
      <c r="H38" s="13"/>
      <c r="I38" s="15"/>
      <c r="J38" s="15"/>
      <c r="K38" s="15"/>
      <c r="L38" s="17"/>
      <c r="M38" s="17"/>
      <c r="N38" s="17"/>
      <c r="O38" s="17"/>
      <c r="P38" s="17"/>
      <c r="Q38" s="17"/>
      <c r="R38" s="17"/>
      <c r="S38" s="15">
        <v>1</v>
      </c>
      <c r="T38" s="25">
        <v>45606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19</v>
      </c>
    </row>
    <row r="39" spans="1:29" x14ac:dyDescent="0.4">
      <c r="A39" s="135"/>
      <c r="B39" s="138"/>
      <c r="C39" s="85" t="s">
        <v>229</v>
      </c>
      <c r="D39" s="109" t="s">
        <v>197</v>
      </c>
      <c r="E39" s="109" t="s">
        <v>41</v>
      </c>
      <c r="F39" s="16"/>
      <c r="G39" s="12" t="s">
        <v>180</v>
      </c>
      <c r="H39" s="15"/>
      <c r="I39" s="15"/>
      <c r="J39" s="15">
        <v>1</v>
      </c>
      <c r="K39" s="15"/>
      <c r="L39" s="17"/>
      <c r="M39" s="17"/>
      <c r="N39" s="17"/>
      <c r="O39" s="17"/>
      <c r="P39" s="17"/>
      <c r="Q39" s="17"/>
      <c r="R39" s="17"/>
      <c r="S39" s="15"/>
      <c r="T39" s="25">
        <v>45606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19</v>
      </c>
    </row>
    <row r="40" spans="1:29" x14ac:dyDescent="0.4">
      <c r="A40" s="135"/>
      <c r="B40" s="138"/>
      <c r="C40" s="85" t="s">
        <v>230</v>
      </c>
      <c r="D40" s="109" t="s">
        <v>197</v>
      </c>
      <c r="E40" s="109" t="s">
        <v>42</v>
      </c>
      <c r="F40" s="16"/>
      <c r="G40" s="12" t="s">
        <v>180</v>
      </c>
      <c r="H40" s="15"/>
      <c r="I40" s="15"/>
      <c r="J40" s="15"/>
      <c r="K40" s="15"/>
      <c r="L40" s="17"/>
      <c r="M40" s="17"/>
      <c r="N40" s="17"/>
      <c r="O40" s="17"/>
      <c r="P40" s="17"/>
      <c r="Q40" s="17"/>
      <c r="R40" s="17"/>
      <c r="S40" s="15">
        <v>1</v>
      </c>
      <c r="T40" s="25">
        <v>45606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33</v>
      </c>
    </row>
    <row r="41" spans="1:29" x14ac:dyDescent="0.4">
      <c r="A41" s="135"/>
      <c r="B41" s="138"/>
      <c r="C41" s="85" t="s">
        <v>231</v>
      </c>
      <c r="D41" s="109" t="s">
        <v>197</v>
      </c>
      <c r="E41" s="109" t="s">
        <v>41</v>
      </c>
      <c r="F41" s="16"/>
      <c r="G41" s="12" t="s">
        <v>180</v>
      </c>
      <c r="H41" s="15"/>
      <c r="I41" s="15"/>
      <c r="J41" s="15">
        <v>1</v>
      </c>
      <c r="K41" s="15"/>
      <c r="L41" s="17"/>
      <c r="M41" s="17"/>
      <c r="N41" s="17"/>
      <c r="O41" s="17"/>
      <c r="P41" s="17"/>
      <c r="Q41" s="17"/>
      <c r="R41" s="17"/>
      <c r="S41" s="15"/>
      <c r="T41" s="25">
        <v>45606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35"/>
      <c r="B42" s="138"/>
      <c r="C42" s="85" t="s">
        <v>232</v>
      </c>
      <c r="D42" s="109" t="s">
        <v>197</v>
      </c>
      <c r="E42" s="109" t="s">
        <v>42</v>
      </c>
      <c r="F42" s="16"/>
      <c r="G42" s="12" t="s">
        <v>180</v>
      </c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>
        <v>1</v>
      </c>
      <c r="T42" s="25">
        <v>45602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8</v>
      </c>
      <c r="AC42" s="73">
        <f>SUM(AB33:AB42)</f>
        <v>257</v>
      </c>
    </row>
    <row r="43" spans="1:29" ht="19.5" thickBot="1" x14ac:dyDescent="0.45">
      <c r="A43" s="135"/>
      <c r="B43" s="138"/>
      <c r="C43" s="85" t="s">
        <v>233</v>
      </c>
      <c r="D43" s="109" t="s">
        <v>197</v>
      </c>
      <c r="E43" s="109" t="s">
        <v>41</v>
      </c>
      <c r="F43" s="16"/>
      <c r="G43" s="12" t="s">
        <v>180</v>
      </c>
      <c r="H43" s="15"/>
      <c r="I43" s="15"/>
      <c r="J43" s="15">
        <v>1</v>
      </c>
      <c r="K43" s="15"/>
      <c r="L43" s="17"/>
      <c r="M43" s="17"/>
      <c r="N43" s="17"/>
      <c r="O43" s="17"/>
      <c r="P43" s="17"/>
      <c r="Q43" s="17"/>
      <c r="R43" s="17"/>
      <c r="S43" s="15"/>
      <c r="T43" s="25">
        <v>45602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5"/>
      <c r="B44" s="138"/>
      <c r="C44" s="85" t="s">
        <v>234</v>
      </c>
      <c r="D44" s="109" t="s">
        <v>197</v>
      </c>
      <c r="E44" s="109" t="s">
        <v>42</v>
      </c>
      <c r="F44" s="16"/>
      <c r="G44" s="12" t="s">
        <v>180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>
        <v>1</v>
      </c>
      <c r="T44" s="25">
        <v>45602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10</v>
      </c>
    </row>
    <row r="45" spans="1:29" x14ac:dyDescent="0.4">
      <c r="A45" s="135"/>
      <c r="B45" s="138"/>
      <c r="C45" s="85" t="s">
        <v>235</v>
      </c>
      <c r="D45" s="109" t="s">
        <v>197</v>
      </c>
      <c r="E45" s="109" t="s">
        <v>41</v>
      </c>
      <c r="F45" s="16"/>
      <c r="G45" s="12" t="s">
        <v>180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45602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35"/>
      <c r="B46" s="138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5"/>
      <c r="B47" s="138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5"/>
      <c r="B48" s="138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5"/>
      <c r="B49" s="13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149</v>
      </c>
    </row>
    <row r="50" spans="1:28" ht="19.5" thickBot="1" x14ac:dyDescent="0.45">
      <c r="A50" s="135"/>
      <c r="B50" s="13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35"/>
      <c r="B51" s="13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5"/>
      <c r="B52" s="13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4">
        <v>76</v>
      </c>
    </row>
    <row r="53" spans="1:28" ht="19.5" thickBot="1" x14ac:dyDescent="0.45">
      <c r="A53" s="135"/>
      <c r="B53" s="13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5"/>
    </row>
    <row r="54" spans="1:28" ht="19.5" thickBot="1" x14ac:dyDescent="0.45">
      <c r="A54" s="135"/>
      <c r="B54" s="13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5"/>
      <c r="B55" s="13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2" t="s">
        <v>73</v>
      </c>
      <c r="AB55" s="45"/>
    </row>
    <row r="56" spans="1:28" ht="19.5" thickBot="1" x14ac:dyDescent="0.45">
      <c r="A56" s="135"/>
      <c r="B56" s="13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7"/>
      <c r="AB56" s="46"/>
    </row>
    <row r="57" spans="1:28" ht="19.5" thickBot="1" x14ac:dyDescent="0.45">
      <c r="A57" s="136"/>
      <c r="B57" s="13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2"/>
      <c r="AB57" s="45">
        <v>7</v>
      </c>
    </row>
    <row r="58" spans="1:28" ht="19.5" thickBot="1" x14ac:dyDescent="0.45">
      <c r="A58" s="27"/>
      <c r="B58" s="28"/>
      <c r="C58" s="88">
        <f>COUNTA(C33:C57)</f>
        <v>13</v>
      </c>
      <c r="D58" s="112"/>
      <c r="E58" s="29"/>
      <c r="F58" s="29" t="s">
        <v>34</v>
      </c>
      <c r="G58" s="29">
        <f>COUNTIF(G33:G57,"S")</f>
        <v>13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1</v>
      </c>
      <c r="L58" s="29">
        <f t="shared" si="1"/>
        <v>0</v>
      </c>
      <c r="M58" s="29">
        <f t="shared" si="1"/>
        <v>1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1</v>
      </c>
      <c r="R58" s="29">
        <f t="shared" si="1"/>
        <v>0</v>
      </c>
      <c r="S58" s="29">
        <f t="shared" si="1"/>
        <v>6</v>
      </c>
      <c r="T58" s="29" t="s">
        <v>64</v>
      </c>
      <c r="U58" s="29">
        <f>COUNTIF(H33:H57,"M")</f>
        <v>0</v>
      </c>
      <c r="AA58" s="14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AYG090</v>
      </c>
      <c r="B61" s="24">
        <f>B1</f>
        <v>45574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2" t="s">
        <v>118</v>
      </c>
      <c r="Y62" s="133"/>
    </row>
    <row r="63" spans="1:28" ht="20.25" thickTop="1" thickBot="1" x14ac:dyDescent="0.45">
      <c r="A63" s="134">
        <v>3</v>
      </c>
      <c r="B63" s="140">
        <v>23</v>
      </c>
      <c r="C63" s="85" t="s">
        <v>236</v>
      </c>
      <c r="D63" s="109" t="s">
        <v>197</v>
      </c>
      <c r="E63" s="15" t="s">
        <v>42</v>
      </c>
      <c r="F63" s="14"/>
      <c r="G63" s="12" t="s">
        <v>180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>
        <v>1</v>
      </c>
      <c r="T63" s="25">
        <v>45606</v>
      </c>
      <c r="U63" s="13" t="s">
        <v>146</v>
      </c>
      <c r="V63">
        <v>1</v>
      </c>
      <c r="X63" s="51" t="s">
        <v>106</v>
      </c>
      <c r="Y63" s="52">
        <f>COUNTIF(U63:U87,"K")</f>
        <v>11</v>
      </c>
      <c r="AA63" s="59" t="s">
        <v>120</v>
      </c>
      <c r="AB63" s="60" t="s">
        <v>121</v>
      </c>
    </row>
    <row r="64" spans="1:28" x14ac:dyDescent="0.4">
      <c r="A64" s="135"/>
      <c r="B64" s="141"/>
      <c r="C64" s="85" t="s">
        <v>237</v>
      </c>
      <c r="D64" s="109" t="s">
        <v>197</v>
      </c>
      <c r="E64" s="15" t="s">
        <v>41</v>
      </c>
      <c r="F64" s="16"/>
      <c r="G64" s="12" t="s">
        <v>180</v>
      </c>
      <c r="H64" s="15"/>
      <c r="I64" s="15"/>
      <c r="J64" s="13">
        <v>1</v>
      </c>
      <c r="K64" s="15"/>
      <c r="L64" s="13"/>
      <c r="M64" s="17"/>
      <c r="N64" s="17"/>
      <c r="O64" s="17"/>
      <c r="P64" s="17"/>
      <c r="Q64" s="17"/>
      <c r="R64" s="17"/>
      <c r="S64" s="15"/>
      <c r="T64" s="25">
        <v>45606</v>
      </c>
      <c r="U64" s="13" t="s">
        <v>146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35"/>
      <c r="B65" s="141"/>
      <c r="C65" s="85" t="s">
        <v>238</v>
      </c>
      <c r="D65" s="109" t="s">
        <v>197</v>
      </c>
      <c r="E65" s="15" t="s">
        <v>42</v>
      </c>
      <c r="F65" s="16"/>
      <c r="G65" s="12" t="s">
        <v>180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>
        <v>1</v>
      </c>
      <c r="T65" s="25">
        <v>45606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35"/>
      <c r="B66" s="141"/>
      <c r="C66" s="85" t="s">
        <v>239</v>
      </c>
      <c r="D66" s="109" t="s">
        <v>197</v>
      </c>
      <c r="E66" s="15" t="s">
        <v>41</v>
      </c>
      <c r="F66" s="16"/>
      <c r="G66" s="12" t="s">
        <v>180</v>
      </c>
      <c r="H66" s="13"/>
      <c r="I66" s="15"/>
      <c r="J66" s="13">
        <v>1</v>
      </c>
      <c r="K66" s="15"/>
      <c r="L66" s="13"/>
      <c r="M66" s="17"/>
      <c r="N66" s="17"/>
      <c r="O66" s="17"/>
      <c r="P66" s="17"/>
      <c r="Q66" s="17"/>
      <c r="R66" s="17"/>
      <c r="S66" s="15"/>
      <c r="T66" s="25">
        <v>45606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5"/>
      <c r="B67" s="141"/>
      <c r="C67" s="85" t="s">
        <v>240</v>
      </c>
      <c r="D67" s="109" t="s">
        <v>197</v>
      </c>
      <c r="E67" s="15" t="s">
        <v>42</v>
      </c>
      <c r="F67" s="16"/>
      <c r="G67" s="12" t="s">
        <v>180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>
        <v>1</v>
      </c>
      <c r="T67" s="25">
        <v>45606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5"/>
      <c r="B68" s="141"/>
      <c r="C68" s="85" t="s">
        <v>241</v>
      </c>
      <c r="D68" s="109" t="s">
        <v>197</v>
      </c>
      <c r="E68" s="15" t="s">
        <v>41</v>
      </c>
      <c r="F68" s="16"/>
      <c r="G68" s="12" t="s">
        <v>180</v>
      </c>
      <c r="H68" s="15"/>
      <c r="I68" s="15"/>
      <c r="J68" s="13">
        <v>1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45606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35"/>
      <c r="B69" s="141"/>
      <c r="C69" s="85" t="s">
        <v>242</v>
      </c>
      <c r="D69" s="109" t="s">
        <v>197</v>
      </c>
      <c r="E69" s="15" t="s">
        <v>42</v>
      </c>
      <c r="F69" s="16"/>
      <c r="G69" s="12" t="s">
        <v>180</v>
      </c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>
        <v>1</v>
      </c>
      <c r="T69" s="25">
        <v>45606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35"/>
      <c r="B70" s="141"/>
      <c r="C70" s="85" t="s">
        <v>243</v>
      </c>
      <c r="D70" s="109" t="s">
        <v>197</v>
      </c>
      <c r="E70" s="15" t="s">
        <v>41</v>
      </c>
      <c r="F70" s="16"/>
      <c r="G70" s="12" t="s">
        <v>180</v>
      </c>
      <c r="H70" s="15"/>
      <c r="I70" s="15"/>
      <c r="J70" s="13">
        <v>1</v>
      </c>
      <c r="K70" s="15"/>
      <c r="L70" s="13"/>
      <c r="M70" s="17"/>
      <c r="N70" s="17"/>
      <c r="O70" s="17"/>
      <c r="P70" s="17"/>
      <c r="Q70" s="17"/>
      <c r="R70" s="17"/>
      <c r="S70" s="15"/>
      <c r="T70" s="25">
        <v>45606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5"/>
      <c r="B71" s="141"/>
      <c r="C71" s="85" t="s">
        <v>244</v>
      </c>
      <c r="D71" s="109" t="s">
        <v>199</v>
      </c>
      <c r="E71" s="15" t="s">
        <v>37</v>
      </c>
      <c r="F71" s="16"/>
      <c r="G71" s="12" t="s">
        <v>180</v>
      </c>
      <c r="H71" s="15"/>
      <c r="I71" s="15"/>
      <c r="J71" s="13"/>
      <c r="K71" s="15"/>
      <c r="L71" s="13"/>
      <c r="M71" s="17">
        <v>1</v>
      </c>
      <c r="N71" s="17"/>
      <c r="O71" s="17"/>
      <c r="P71" s="17"/>
      <c r="Q71" s="17">
        <v>1</v>
      </c>
      <c r="R71" s="17"/>
      <c r="S71" s="15"/>
      <c r="T71" s="25">
        <v>45626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35"/>
      <c r="B72" s="141"/>
      <c r="C72" s="85" t="s">
        <v>245</v>
      </c>
      <c r="D72" s="109" t="s">
        <v>179</v>
      </c>
      <c r="E72" s="15" t="s">
        <v>38</v>
      </c>
      <c r="F72" s="16"/>
      <c r="G72" s="12" t="s">
        <v>180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45600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5"/>
      <c r="B73" s="141"/>
      <c r="C73" s="85" t="s">
        <v>246</v>
      </c>
      <c r="D73" s="109" t="s">
        <v>186</v>
      </c>
      <c r="E73" s="15" t="s">
        <v>40</v>
      </c>
      <c r="F73" s="16"/>
      <c r="G73" s="15" t="s">
        <v>187</v>
      </c>
      <c r="H73" s="15"/>
      <c r="I73" s="15"/>
      <c r="J73" s="15"/>
      <c r="K73" s="15"/>
      <c r="L73" s="17"/>
      <c r="M73" s="17"/>
      <c r="N73" s="17"/>
      <c r="O73" s="17">
        <v>1</v>
      </c>
      <c r="P73" s="17">
        <v>1</v>
      </c>
      <c r="Q73" s="17"/>
      <c r="R73" s="17"/>
      <c r="S73" s="15"/>
      <c r="T73" s="25">
        <v>45595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35"/>
      <c r="B74" s="141"/>
      <c r="C74" s="85" t="s">
        <v>247</v>
      </c>
      <c r="D74" s="109" t="s">
        <v>197</v>
      </c>
      <c r="E74" s="15" t="s">
        <v>42</v>
      </c>
      <c r="F74" s="16"/>
      <c r="G74" s="15" t="s">
        <v>180</v>
      </c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>
        <v>1</v>
      </c>
      <c r="T74" s="25">
        <v>45607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5"/>
      <c r="B75" s="141"/>
      <c r="C75" s="85" t="s">
        <v>248</v>
      </c>
      <c r="D75" s="109" t="s">
        <v>197</v>
      </c>
      <c r="E75" s="15" t="s">
        <v>41</v>
      </c>
      <c r="F75" s="16"/>
      <c r="G75" s="15" t="s">
        <v>180</v>
      </c>
      <c r="H75" s="15"/>
      <c r="I75" s="15"/>
      <c r="J75" s="15">
        <v>1</v>
      </c>
      <c r="K75" s="15"/>
      <c r="L75" s="17"/>
      <c r="M75" s="17"/>
      <c r="N75" s="17"/>
      <c r="O75" s="17"/>
      <c r="P75" s="17"/>
      <c r="Q75" s="17"/>
      <c r="R75" s="17"/>
      <c r="S75" s="15"/>
      <c r="T75" s="25">
        <v>45607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35"/>
      <c r="B76" s="141"/>
      <c r="C76" s="85" t="s">
        <v>249</v>
      </c>
      <c r="D76" s="109" t="s">
        <v>184</v>
      </c>
      <c r="E76" s="15" t="s">
        <v>36</v>
      </c>
      <c r="F76" s="16"/>
      <c r="G76" s="15" t="s">
        <v>180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45609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5"/>
      <c r="B77" s="141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5"/>
      <c r="B78" s="141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5"/>
      <c r="B79" s="141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5"/>
      <c r="B80" s="14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5"/>
      <c r="B81" s="14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5"/>
      <c r="B82" s="14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5"/>
      <c r="B83" s="14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5"/>
      <c r="B84" s="14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5"/>
      <c r="B85" s="14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5"/>
      <c r="B86" s="14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6"/>
      <c r="B87" s="14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13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2</v>
      </c>
      <c r="L88" s="29">
        <f t="shared" si="2"/>
        <v>0</v>
      </c>
      <c r="M88" s="29">
        <f t="shared" si="2"/>
        <v>1</v>
      </c>
      <c r="N88" s="29">
        <f t="shared" si="2"/>
        <v>0</v>
      </c>
      <c r="O88" s="29">
        <f t="shared" si="2"/>
        <v>1</v>
      </c>
      <c r="P88" s="29">
        <f t="shared" si="2"/>
        <v>1</v>
      </c>
      <c r="Q88" s="29">
        <f t="shared" si="2"/>
        <v>1</v>
      </c>
      <c r="R88" s="29">
        <f t="shared" si="2"/>
        <v>0</v>
      </c>
      <c r="S88" s="29">
        <f t="shared" si="2"/>
        <v>5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11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AYG090</v>
      </c>
      <c r="B91" s="24">
        <f>B1</f>
        <v>45574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2" t="s">
        <v>117</v>
      </c>
      <c r="Y92" s="133"/>
    </row>
    <row r="93" spans="1:28" ht="20.25" thickTop="1" thickBot="1" x14ac:dyDescent="0.45">
      <c r="A93" s="134">
        <v>4</v>
      </c>
      <c r="B93" s="137">
        <v>18.8</v>
      </c>
      <c r="C93" s="85" t="s">
        <v>250</v>
      </c>
      <c r="D93" s="109" t="s">
        <v>197</v>
      </c>
      <c r="E93" s="15" t="s">
        <v>39</v>
      </c>
      <c r="F93" s="14"/>
      <c r="G93" s="12" t="s">
        <v>180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45605</v>
      </c>
      <c r="U93" s="13" t="s">
        <v>142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35"/>
      <c r="B94" s="138"/>
      <c r="C94" s="85" t="s">
        <v>251</v>
      </c>
      <c r="D94" s="109" t="s">
        <v>197</v>
      </c>
      <c r="E94" s="15" t="s">
        <v>39</v>
      </c>
      <c r="F94" s="16"/>
      <c r="G94" s="12" t="s">
        <v>180</v>
      </c>
      <c r="H94" s="15"/>
      <c r="I94" s="15"/>
      <c r="J94" s="15">
        <v>1</v>
      </c>
      <c r="K94" s="15"/>
      <c r="L94" s="17">
        <v>1</v>
      </c>
      <c r="M94" s="17"/>
      <c r="N94" s="17"/>
      <c r="O94" s="17"/>
      <c r="P94" s="17"/>
      <c r="Q94" s="17"/>
      <c r="R94" s="17"/>
      <c r="S94" s="15"/>
      <c r="T94" s="25">
        <v>45605</v>
      </c>
      <c r="U94" s="15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35"/>
      <c r="B95" s="138"/>
      <c r="C95" s="85" t="s">
        <v>252</v>
      </c>
      <c r="D95" s="109" t="s">
        <v>197</v>
      </c>
      <c r="E95" s="15" t="s">
        <v>39</v>
      </c>
      <c r="F95" s="16"/>
      <c r="G95" s="12" t="s">
        <v>180</v>
      </c>
      <c r="H95" s="15"/>
      <c r="I95" s="15"/>
      <c r="J95" s="15">
        <v>1</v>
      </c>
      <c r="K95" s="15"/>
      <c r="L95" s="17">
        <v>1</v>
      </c>
      <c r="M95" s="17"/>
      <c r="N95" s="17"/>
      <c r="O95" s="17"/>
      <c r="P95" s="17"/>
      <c r="Q95" s="17"/>
      <c r="R95" s="17"/>
      <c r="S95" s="15"/>
      <c r="T95" s="25">
        <v>45605</v>
      </c>
      <c r="U95" s="15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35"/>
      <c r="B96" s="138"/>
      <c r="C96" s="85" t="s">
        <v>253</v>
      </c>
      <c r="D96" s="109" t="s">
        <v>197</v>
      </c>
      <c r="E96" s="15" t="s">
        <v>59</v>
      </c>
      <c r="F96" s="16"/>
      <c r="G96" s="12" t="s">
        <v>180</v>
      </c>
      <c r="H96" s="15" t="s">
        <v>200</v>
      </c>
      <c r="I96" s="15"/>
      <c r="J96" s="15">
        <v>2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45606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35"/>
      <c r="B97" s="138"/>
      <c r="C97" s="85" t="s">
        <v>254</v>
      </c>
      <c r="D97" s="109" t="s">
        <v>197</v>
      </c>
      <c r="E97" s="15" t="s">
        <v>59</v>
      </c>
      <c r="F97" s="16"/>
      <c r="G97" s="12" t="s">
        <v>180</v>
      </c>
      <c r="H97" s="15" t="s">
        <v>200</v>
      </c>
      <c r="I97" s="15"/>
      <c r="J97" s="15">
        <v>2</v>
      </c>
      <c r="K97" s="15"/>
      <c r="L97" s="17"/>
      <c r="M97" s="17"/>
      <c r="N97" s="17"/>
      <c r="O97" s="17"/>
      <c r="P97" s="17"/>
      <c r="Q97" s="17"/>
      <c r="R97" s="17"/>
      <c r="S97" s="15"/>
      <c r="T97" s="25">
        <v>45606</v>
      </c>
      <c r="U97" s="15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35"/>
      <c r="B98" s="138"/>
      <c r="C98" s="85"/>
      <c r="D98" s="109"/>
      <c r="E98" s="15"/>
      <c r="F98" s="16"/>
      <c r="G98" s="12"/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/>
      <c r="U98" s="15"/>
      <c r="V98">
        <v>6</v>
      </c>
      <c r="AA98" s="49" t="s">
        <v>85</v>
      </c>
      <c r="AB98" s="50" t="s">
        <v>43</v>
      </c>
    </row>
    <row r="99" spans="1:28" x14ac:dyDescent="0.4">
      <c r="A99" s="135"/>
      <c r="B99" s="138"/>
      <c r="C99" s="85"/>
      <c r="D99" s="109"/>
      <c r="E99" s="15"/>
      <c r="F99" s="16"/>
      <c r="G99" s="12"/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/>
      <c r="U99" s="15"/>
      <c r="V99">
        <v>7</v>
      </c>
      <c r="AA99" s="49" t="s">
        <v>86</v>
      </c>
      <c r="AB99" s="50" t="s">
        <v>45</v>
      </c>
    </row>
    <row r="100" spans="1:28" x14ac:dyDescent="0.4">
      <c r="A100" s="135"/>
      <c r="B100" s="138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35"/>
      <c r="B101" s="138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35"/>
      <c r="B102" s="138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35"/>
      <c r="B103" s="138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35"/>
      <c r="B104" s="138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35"/>
      <c r="B105" s="138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5"/>
      <c r="V105">
        <v>13</v>
      </c>
      <c r="AA105" s="49" t="s">
        <v>92</v>
      </c>
      <c r="AB105" s="50" t="s">
        <v>40</v>
      </c>
    </row>
    <row r="106" spans="1:28" x14ac:dyDescent="0.4">
      <c r="A106" s="135"/>
      <c r="B106" s="138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35"/>
      <c r="B107" s="138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5"/>
      <c r="B108" s="138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5"/>
      <c r="B109" s="138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5"/>
      <c r="B110" s="13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5"/>
      <c r="B111" s="13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5"/>
      <c r="B112" s="13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5"/>
      <c r="B113" s="13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5"/>
      <c r="B114" s="13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5"/>
      <c r="B115" s="13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5"/>
      <c r="B116" s="13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6"/>
      <c r="B117" s="13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5</v>
      </c>
      <c r="D118" s="112"/>
      <c r="E118" s="29"/>
      <c r="F118" s="29" t="s">
        <v>34</v>
      </c>
      <c r="G118" s="29">
        <f>COUNTIF(G93:G117,"S")</f>
        <v>5</v>
      </c>
      <c r="H118" s="29">
        <f>COUNTIF(H93:H117,"E")</f>
        <v>2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0</v>
      </c>
      <c r="L118" s="29">
        <f t="shared" ref="L118" si="5">SUM(L93:L117)</f>
        <v>3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AYG090</v>
      </c>
      <c r="B121" s="24">
        <f>B1</f>
        <v>45574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2" t="s">
        <v>116</v>
      </c>
      <c r="Y122" s="133"/>
    </row>
    <row r="123" spans="1:28" ht="20.25" thickTop="1" thickBot="1" x14ac:dyDescent="0.45">
      <c r="A123" s="134">
        <v>5</v>
      </c>
      <c r="B123" s="137">
        <v>21</v>
      </c>
      <c r="C123" s="85" t="s">
        <v>255</v>
      </c>
      <c r="D123" s="106" t="s">
        <v>197</v>
      </c>
      <c r="E123" s="106" t="s">
        <v>59</v>
      </c>
      <c r="F123" s="14"/>
      <c r="G123" s="12" t="s">
        <v>180</v>
      </c>
      <c r="H123" s="13" t="s">
        <v>200</v>
      </c>
      <c r="I123" s="13"/>
      <c r="J123" s="13">
        <v>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45606</v>
      </c>
      <c r="U123" s="13" t="s">
        <v>146</v>
      </c>
      <c r="V123">
        <v>1</v>
      </c>
      <c r="X123" s="51" t="s">
        <v>106</v>
      </c>
      <c r="Y123" s="52">
        <f>COUNTIF(U123:U147,"K")</f>
        <v>5</v>
      </c>
      <c r="AA123" s="59" t="s">
        <v>120</v>
      </c>
      <c r="AB123" s="60" t="s">
        <v>121</v>
      </c>
    </row>
    <row r="124" spans="1:28" x14ac:dyDescent="0.4">
      <c r="A124" s="135"/>
      <c r="B124" s="138"/>
      <c r="C124" s="85" t="s">
        <v>256</v>
      </c>
      <c r="D124" s="106" t="s">
        <v>197</v>
      </c>
      <c r="E124" s="106" t="s">
        <v>59</v>
      </c>
      <c r="F124" s="16"/>
      <c r="G124" s="12" t="s">
        <v>180</v>
      </c>
      <c r="H124" s="15" t="s">
        <v>200</v>
      </c>
      <c r="I124" s="15"/>
      <c r="J124" s="15">
        <v>2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45606</v>
      </c>
      <c r="U124" s="13" t="s">
        <v>146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35"/>
      <c r="B125" s="138"/>
      <c r="C125" s="85" t="s">
        <v>257</v>
      </c>
      <c r="D125" s="106" t="s">
        <v>197</v>
      </c>
      <c r="E125" s="106" t="s">
        <v>59</v>
      </c>
      <c r="F125" s="16"/>
      <c r="G125" s="12" t="s">
        <v>180</v>
      </c>
      <c r="H125" s="13" t="s">
        <v>200</v>
      </c>
      <c r="I125" s="15"/>
      <c r="J125" s="15">
        <v>2</v>
      </c>
      <c r="K125" s="15"/>
      <c r="L125" s="17"/>
      <c r="M125" s="17"/>
      <c r="N125" s="17"/>
      <c r="O125" s="17"/>
      <c r="P125" s="17"/>
      <c r="Q125" s="17"/>
      <c r="R125" s="17"/>
      <c r="S125" s="15"/>
      <c r="T125" s="25">
        <v>45606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35"/>
      <c r="B126" s="138"/>
      <c r="C126" s="85" t="s">
        <v>258</v>
      </c>
      <c r="D126" s="106" t="s">
        <v>197</v>
      </c>
      <c r="E126" s="106" t="s">
        <v>59</v>
      </c>
      <c r="F126" s="16"/>
      <c r="G126" s="12" t="s">
        <v>180</v>
      </c>
      <c r="H126" s="15" t="s">
        <v>200</v>
      </c>
      <c r="I126" s="15"/>
      <c r="J126" s="15">
        <v>2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45606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5"/>
      <c r="B127" s="138"/>
      <c r="C127" s="85" t="s">
        <v>259</v>
      </c>
      <c r="D127" s="106" t="s">
        <v>197</v>
      </c>
      <c r="E127" s="106" t="s">
        <v>59</v>
      </c>
      <c r="F127" s="16"/>
      <c r="G127" s="12" t="s">
        <v>180</v>
      </c>
      <c r="H127" s="15" t="s">
        <v>200</v>
      </c>
      <c r="I127" s="15"/>
      <c r="J127" s="15">
        <v>2</v>
      </c>
      <c r="K127" s="15"/>
      <c r="L127" s="17"/>
      <c r="M127" s="17"/>
      <c r="N127" s="17"/>
      <c r="O127" s="17"/>
      <c r="P127" s="17"/>
      <c r="Q127" s="17"/>
      <c r="R127" s="17"/>
      <c r="S127" s="15"/>
      <c r="T127" s="25">
        <v>45606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35"/>
      <c r="B128" s="138"/>
      <c r="C128" s="85"/>
      <c r="D128" s="106"/>
      <c r="E128" s="106"/>
      <c r="F128" s="16"/>
      <c r="G128" s="12"/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/>
      <c r="T128" s="25"/>
      <c r="U128" s="13"/>
      <c r="V128">
        <v>6</v>
      </c>
      <c r="AA128" s="49" t="s">
        <v>85</v>
      </c>
      <c r="AB128" s="50" t="s">
        <v>43</v>
      </c>
    </row>
    <row r="129" spans="1:28" x14ac:dyDescent="0.4">
      <c r="A129" s="135"/>
      <c r="B129" s="138"/>
      <c r="C129" s="85"/>
      <c r="D129" s="106"/>
      <c r="E129" s="106"/>
      <c r="F129" s="16"/>
      <c r="G129" s="12"/>
      <c r="H129" s="15"/>
      <c r="I129" s="15"/>
      <c r="J129" s="15"/>
      <c r="K129" s="15"/>
      <c r="L129" s="17"/>
      <c r="M129" s="17"/>
      <c r="N129" s="17"/>
      <c r="O129" s="17"/>
      <c r="P129" s="17"/>
      <c r="Q129" s="17"/>
      <c r="R129" s="17"/>
      <c r="S129" s="15"/>
      <c r="T129" s="25"/>
      <c r="U129" s="13"/>
      <c r="V129">
        <v>7</v>
      </c>
      <c r="AA129" s="49" t="s">
        <v>86</v>
      </c>
      <c r="AB129" s="50" t="s">
        <v>45</v>
      </c>
    </row>
    <row r="130" spans="1:28" x14ac:dyDescent="0.4">
      <c r="A130" s="135"/>
      <c r="B130" s="138"/>
      <c r="C130" s="85"/>
      <c r="D130" s="106"/>
      <c r="E130" s="106"/>
      <c r="F130" s="16"/>
      <c r="G130" s="12"/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/>
      <c r="U130" s="13"/>
      <c r="V130">
        <v>8</v>
      </c>
      <c r="AA130" s="49" t="s">
        <v>87</v>
      </c>
      <c r="AB130" s="50" t="s">
        <v>37</v>
      </c>
    </row>
    <row r="131" spans="1:28" x14ac:dyDescent="0.4">
      <c r="A131" s="135"/>
      <c r="B131" s="138"/>
      <c r="C131" s="85"/>
      <c r="D131" s="106"/>
      <c r="E131" s="106"/>
      <c r="F131" s="16"/>
      <c r="G131" s="12"/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15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35"/>
      <c r="B132" s="138"/>
      <c r="C132" s="85"/>
      <c r="D132" s="106"/>
      <c r="E132" s="106"/>
      <c r="F132" s="10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35"/>
      <c r="B133" s="138"/>
      <c r="C133" s="85"/>
      <c r="D133" s="106"/>
      <c r="E133" s="106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35"/>
      <c r="B134" s="138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35"/>
      <c r="B135" s="138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35"/>
      <c r="B136" s="138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35"/>
      <c r="B137" s="138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35"/>
      <c r="B138" s="138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5"/>
      <c r="B139" s="138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5"/>
      <c r="B140" s="138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5"/>
      <c r="B141" s="13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5"/>
      <c r="B142" s="13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5"/>
      <c r="B143" s="13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5"/>
      <c r="B144" s="13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5"/>
      <c r="B145" s="13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5"/>
      <c r="B146" s="13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6"/>
      <c r="B147" s="13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5</v>
      </c>
      <c r="D148" s="112"/>
      <c r="E148" s="29"/>
      <c r="F148" s="29" t="s">
        <v>34</v>
      </c>
      <c r="G148" s="29">
        <f>COUNTIF(G123:G147,"S")</f>
        <v>5</v>
      </c>
      <c r="H148" s="29">
        <f>COUNTIF(H123:H147,"E")</f>
        <v>5</v>
      </c>
      <c r="I148" s="29">
        <f>SUM(I123:I147)</f>
        <v>0</v>
      </c>
      <c r="J148" s="29">
        <f t="shared" ref="J148" si="13">SUM(J123:J147)</f>
        <v>10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AYG090</v>
      </c>
      <c r="B151" s="24">
        <f>B1</f>
        <v>45574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2" t="s">
        <v>115</v>
      </c>
      <c r="Y152" s="133"/>
    </row>
    <row r="153" spans="1:28" ht="20.25" thickTop="1" thickBot="1" x14ac:dyDescent="0.45">
      <c r="A153" s="134">
        <v>6</v>
      </c>
      <c r="B153" s="140">
        <v>22</v>
      </c>
      <c r="C153" s="85" t="s">
        <v>260</v>
      </c>
      <c r="D153" s="106" t="s">
        <v>197</v>
      </c>
      <c r="E153" s="15" t="s">
        <v>39</v>
      </c>
      <c r="F153" s="14"/>
      <c r="G153" s="12" t="s">
        <v>180</v>
      </c>
      <c r="H153" s="13"/>
      <c r="I153" s="13"/>
      <c r="J153" s="13">
        <v>1</v>
      </c>
      <c r="K153" s="13"/>
      <c r="L153" s="13">
        <v>1</v>
      </c>
      <c r="M153" s="13"/>
      <c r="N153" s="13"/>
      <c r="O153" s="13"/>
      <c r="P153" s="13"/>
      <c r="Q153" s="13"/>
      <c r="R153" s="13"/>
      <c r="S153" s="13"/>
      <c r="T153" s="25">
        <v>45607</v>
      </c>
      <c r="U153" s="13" t="s">
        <v>146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35"/>
      <c r="B154" s="141"/>
      <c r="C154" s="85" t="s">
        <v>261</v>
      </c>
      <c r="D154" s="106" t="s">
        <v>197</v>
      </c>
      <c r="E154" s="15" t="s">
        <v>59</v>
      </c>
      <c r="F154" s="16"/>
      <c r="G154" s="15" t="s">
        <v>180</v>
      </c>
      <c r="H154" s="15" t="s">
        <v>200</v>
      </c>
      <c r="I154" s="15"/>
      <c r="J154" s="15">
        <v>2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45609</v>
      </c>
      <c r="U154" s="15" t="s">
        <v>146</v>
      </c>
      <c r="V154">
        <v>2</v>
      </c>
      <c r="X154" s="51" t="s">
        <v>107</v>
      </c>
      <c r="Y154" s="52">
        <f>COUNTIF(U153:U177,"R")</f>
        <v>1</v>
      </c>
      <c r="AA154" s="47" t="s">
        <v>81</v>
      </c>
      <c r="AB154" s="48" t="s">
        <v>60</v>
      </c>
    </row>
    <row r="155" spans="1:28" ht="19.5" thickBot="1" x14ac:dyDescent="0.45">
      <c r="A155" s="135"/>
      <c r="B155" s="141"/>
      <c r="C155" s="85" t="s">
        <v>262</v>
      </c>
      <c r="D155" s="106" t="s">
        <v>197</v>
      </c>
      <c r="E155" s="15" t="s">
        <v>59</v>
      </c>
      <c r="F155" s="16"/>
      <c r="G155" s="15" t="s">
        <v>180</v>
      </c>
      <c r="H155" s="13" t="s">
        <v>200</v>
      </c>
      <c r="I155" s="15"/>
      <c r="J155" s="15">
        <v>2</v>
      </c>
      <c r="K155" s="15"/>
      <c r="L155" s="17"/>
      <c r="M155" s="17"/>
      <c r="N155" s="17"/>
      <c r="O155" s="17"/>
      <c r="P155" s="17"/>
      <c r="Q155" s="17"/>
      <c r="R155" s="17"/>
      <c r="S155" s="15"/>
      <c r="T155" s="25">
        <v>45609</v>
      </c>
      <c r="U155" s="15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35"/>
      <c r="B156" s="141"/>
      <c r="C156" s="85" t="s">
        <v>263</v>
      </c>
      <c r="D156" s="106" t="s">
        <v>197</v>
      </c>
      <c r="E156" s="15" t="s">
        <v>59</v>
      </c>
      <c r="F156" s="16"/>
      <c r="G156" s="15" t="s">
        <v>180</v>
      </c>
      <c r="H156" s="15" t="s">
        <v>200</v>
      </c>
      <c r="I156" s="15"/>
      <c r="J156" s="15">
        <v>2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45609</v>
      </c>
      <c r="U156" s="15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35"/>
      <c r="B157" s="141"/>
      <c r="C157" s="85" t="s">
        <v>264</v>
      </c>
      <c r="D157" s="106" t="s">
        <v>190</v>
      </c>
      <c r="E157" s="15" t="s">
        <v>36</v>
      </c>
      <c r="F157" s="16"/>
      <c r="G157" s="15" t="s">
        <v>180</v>
      </c>
      <c r="H157" s="15"/>
      <c r="I157" s="15"/>
      <c r="J157" s="15">
        <v>1</v>
      </c>
      <c r="K157" s="15">
        <v>1</v>
      </c>
      <c r="L157" s="17"/>
      <c r="M157" s="17"/>
      <c r="N157" s="17"/>
      <c r="O157" s="17"/>
      <c r="P157" s="17"/>
      <c r="Q157" s="17"/>
      <c r="R157" s="17"/>
      <c r="S157" s="15"/>
      <c r="T157" s="25">
        <v>45605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5"/>
      <c r="B158" s="141"/>
      <c r="C158" s="85" t="s">
        <v>265</v>
      </c>
      <c r="D158" s="106" t="s">
        <v>190</v>
      </c>
      <c r="E158" s="15" t="s">
        <v>36</v>
      </c>
      <c r="F158" s="16"/>
      <c r="G158" s="13" t="s">
        <v>180</v>
      </c>
      <c r="H158" s="13"/>
      <c r="I158" s="15"/>
      <c r="J158" s="15"/>
      <c r="K158" s="15"/>
      <c r="L158" s="17"/>
      <c r="M158" s="17">
        <v>1</v>
      </c>
      <c r="N158" s="17"/>
      <c r="O158" s="17"/>
      <c r="P158" s="17"/>
      <c r="Q158" s="17"/>
      <c r="R158" s="17"/>
      <c r="S158" s="15"/>
      <c r="T158" s="25">
        <v>45605</v>
      </c>
      <c r="U158" s="15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35"/>
      <c r="B159" s="141"/>
      <c r="C159" s="85"/>
      <c r="D159" s="106"/>
      <c r="E159" s="15"/>
      <c r="F159" s="16"/>
      <c r="G159" s="15"/>
      <c r="H159" s="15"/>
      <c r="I159" s="15"/>
      <c r="J159" s="15"/>
      <c r="K159" s="15"/>
      <c r="L159" s="17"/>
      <c r="M159" s="17"/>
      <c r="N159" s="17"/>
      <c r="O159" s="17"/>
      <c r="P159" s="17"/>
      <c r="Q159" s="17"/>
      <c r="R159" s="17"/>
      <c r="S159" s="15"/>
      <c r="T159" s="25"/>
      <c r="U159" s="15"/>
      <c r="V159">
        <v>7</v>
      </c>
      <c r="AA159" s="49" t="s">
        <v>86</v>
      </c>
      <c r="AB159" s="50" t="s">
        <v>45</v>
      </c>
    </row>
    <row r="160" spans="1:28" x14ac:dyDescent="0.4">
      <c r="A160" s="135"/>
      <c r="B160" s="141"/>
      <c r="C160" s="85"/>
      <c r="D160" s="106"/>
      <c r="E160" s="15"/>
      <c r="F160" s="16"/>
      <c r="G160" s="15"/>
      <c r="H160" s="15"/>
      <c r="I160" s="15"/>
      <c r="J160" s="15"/>
      <c r="K160" s="15"/>
      <c r="L160" s="17"/>
      <c r="M160" s="17"/>
      <c r="N160" s="17"/>
      <c r="O160" s="17"/>
      <c r="P160" s="17"/>
      <c r="Q160" s="17"/>
      <c r="R160" s="17"/>
      <c r="S160" s="15"/>
      <c r="T160" s="25"/>
      <c r="U160" s="15"/>
      <c r="V160">
        <v>8</v>
      </c>
      <c r="AA160" s="49" t="s">
        <v>87</v>
      </c>
      <c r="AB160" s="50" t="s">
        <v>37</v>
      </c>
    </row>
    <row r="161" spans="1:28" x14ac:dyDescent="0.4">
      <c r="A161" s="135"/>
      <c r="B161" s="141"/>
      <c r="C161" s="85"/>
      <c r="D161" s="106"/>
      <c r="E161" s="15"/>
      <c r="F161" s="16"/>
      <c r="G161" s="15"/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15"/>
      <c r="T161" s="25"/>
      <c r="U161" s="15"/>
      <c r="V161">
        <v>9</v>
      </c>
      <c r="AA161" s="49" t="s">
        <v>88</v>
      </c>
      <c r="AB161" s="50" t="s">
        <v>74</v>
      </c>
    </row>
    <row r="162" spans="1:28" x14ac:dyDescent="0.4">
      <c r="A162" s="135"/>
      <c r="B162" s="141"/>
      <c r="C162" s="85"/>
      <c r="D162" s="106"/>
      <c r="E162" s="15"/>
      <c r="F162" s="16"/>
      <c r="G162" s="15"/>
      <c r="H162" s="15"/>
      <c r="I162" s="15"/>
      <c r="J162" s="15"/>
      <c r="K162" s="15"/>
      <c r="L162" s="17"/>
      <c r="M162" s="17"/>
      <c r="N162" s="17"/>
      <c r="O162" s="17"/>
      <c r="P162" s="17"/>
      <c r="Q162" s="17"/>
      <c r="R162" s="17"/>
      <c r="S162" s="15"/>
      <c r="T162" s="25"/>
      <c r="U162" s="15"/>
      <c r="V162">
        <v>10</v>
      </c>
      <c r="AA162" s="49" t="s">
        <v>89</v>
      </c>
      <c r="AB162" s="50" t="s">
        <v>36</v>
      </c>
    </row>
    <row r="163" spans="1:28" x14ac:dyDescent="0.4">
      <c r="A163" s="135"/>
      <c r="B163" s="141"/>
      <c r="C163" s="85"/>
      <c r="D163" s="106"/>
      <c r="E163" s="15"/>
      <c r="F163" s="16"/>
      <c r="G163" s="15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/>
      <c r="U163" s="15"/>
      <c r="V163">
        <v>11</v>
      </c>
      <c r="AA163" s="49" t="s">
        <v>90</v>
      </c>
      <c r="AB163" s="50" t="s">
        <v>58</v>
      </c>
    </row>
    <row r="164" spans="1:28" x14ac:dyDescent="0.4">
      <c r="A164" s="135"/>
      <c r="B164" s="141"/>
      <c r="C164" s="85"/>
      <c r="D164" s="106"/>
      <c r="E164" s="15"/>
      <c r="F164" s="16"/>
      <c r="G164" s="15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5"/>
      <c r="V164">
        <v>12</v>
      </c>
      <c r="AA164" s="49" t="s">
        <v>91</v>
      </c>
      <c r="AB164" s="50" t="s">
        <v>75</v>
      </c>
    </row>
    <row r="165" spans="1:28" x14ac:dyDescent="0.4">
      <c r="A165" s="135"/>
      <c r="B165" s="141"/>
      <c r="C165" s="85"/>
      <c r="D165" s="106"/>
      <c r="E165" s="15"/>
      <c r="F165" s="16"/>
      <c r="G165" s="15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05"/>
      <c r="V165">
        <v>13</v>
      </c>
      <c r="AA165" s="49" t="s">
        <v>92</v>
      </c>
      <c r="AB165" s="50" t="s">
        <v>40</v>
      </c>
    </row>
    <row r="166" spans="1:28" x14ac:dyDescent="0.4">
      <c r="A166" s="135"/>
      <c r="B166" s="141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35"/>
      <c r="B167" s="141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35"/>
      <c r="B168" s="141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5"/>
      <c r="B169" s="14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5"/>
      <c r="B170" s="14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5"/>
      <c r="B171" s="14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5"/>
      <c r="B172" s="14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5"/>
      <c r="B173" s="14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5"/>
      <c r="B174" s="14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5"/>
      <c r="B175" s="14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5"/>
      <c r="B176" s="14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6"/>
      <c r="B177" s="14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6</v>
      </c>
      <c r="D178" s="112"/>
      <c r="E178" s="29"/>
      <c r="F178" s="29" t="s">
        <v>34</v>
      </c>
      <c r="G178" s="29">
        <f>COUNTIF(G153:G177,"S")</f>
        <v>6</v>
      </c>
      <c r="H178" s="29">
        <f>COUNTIF(H153:H177,"E")</f>
        <v>3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1</v>
      </c>
      <c r="L178" s="29">
        <f t="shared" ref="L178" si="25">SUM(L153:L177)</f>
        <v>1</v>
      </c>
      <c r="M178" s="29">
        <f t="shared" ref="M178" si="26">SUM(M153:M177)</f>
        <v>1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11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2" t="s">
        <v>114</v>
      </c>
      <c r="Y182" s="133"/>
    </row>
    <row r="183" spans="1:28" ht="20.25" thickTop="1" thickBot="1" x14ac:dyDescent="0.45">
      <c r="A183" s="134">
        <v>7</v>
      </c>
      <c r="B183" s="140">
        <v>20.399999999999999</v>
      </c>
      <c r="C183" s="85" t="s">
        <v>266</v>
      </c>
      <c r="D183" s="110" t="s">
        <v>192</v>
      </c>
      <c r="E183" s="18" t="s">
        <v>36</v>
      </c>
      <c r="F183" s="16"/>
      <c r="G183" s="18" t="s">
        <v>180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45599</v>
      </c>
      <c r="U183" s="15" t="s">
        <v>146</v>
      </c>
      <c r="V183">
        <v>1</v>
      </c>
      <c r="X183" s="51" t="s">
        <v>106</v>
      </c>
      <c r="Y183" s="52">
        <f>COUNTIF(U183:U207,"K")</f>
        <v>9</v>
      </c>
      <c r="AA183" s="59" t="s">
        <v>120</v>
      </c>
      <c r="AB183" s="60" t="s">
        <v>121</v>
      </c>
    </row>
    <row r="184" spans="1:28" x14ac:dyDescent="0.4">
      <c r="A184" s="135"/>
      <c r="B184" s="141"/>
      <c r="C184" s="85" t="s">
        <v>267</v>
      </c>
      <c r="D184" s="106" t="s">
        <v>192</v>
      </c>
      <c r="E184" s="15" t="s">
        <v>36</v>
      </c>
      <c r="F184" s="16"/>
      <c r="G184" s="18" t="s">
        <v>180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5"/>
      <c r="T184" s="25">
        <v>45599</v>
      </c>
      <c r="U184" s="15" t="s">
        <v>147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35"/>
      <c r="B185" s="141"/>
      <c r="C185" s="85" t="s">
        <v>268</v>
      </c>
      <c r="D185" s="106" t="s">
        <v>192</v>
      </c>
      <c r="E185" s="15" t="s">
        <v>37</v>
      </c>
      <c r="F185" s="16"/>
      <c r="G185" s="18" t="s">
        <v>180</v>
      </c>
      <c r="H185" s="15"/>
      <c r="I185" s="15"/>
      <c r="J185" s="15"/>
      <c r="K185" s="15"/>
      <c r="L185" s="17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45596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5"/>
      <c r="B186" s="141"/>
      <c r="C186" s="85" t="s">
        <v>269</v>
      </c>
      <c r="D186" s="106" t="s">
        <v>188</v>
      </c>
      <c r="E186" s="13" t="s">
        <v>38</v>
      </c>
      <c r="F186" s="16"/>
      <c r="G186" s="18" t="s">
        <v>180</v>
      </c>
      <c r="H186" s="15"/>
      <c r="I186" s="15"/>
      <c r="J186" s="15">
        <v>1</v>
      </c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45594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35"/>
      <c r="B187" s="141"/>
      <c r="C187" s="85" t="s">
        <v>270</v>
      </c>
      <c r="D187" s="106" t="s">
        <v>179</v>
      </c>
      <c r="E187" s="13" t="s">
        <v>36</v>
      </c>
      <c r="F187" s="16"/>
      <c r="G187" s="18" t="s">
        <v>180</v>
      </c>
      <c r="H187" s="15"/>
      <c r="I187" s="15"/>
      <c r="J187" s="15"/>
      <c r="K187" s="15"/>
      <c r="L187" s="17"/>
      <c r="M187" s="17">
        <v>1</v>
      </c>
      <c r="N187" s="17">
        <v>1</v>
      </c>
      <c r="O187" s="17"/>
      <c r="P187" s="17"/>
      <c r="Q187" s="17">
        <v>1</v>
      </c>
      <c r="R187" s="17"/>
      <c r="S187" s="15"/>
      <c r="T187" s="25">
        <v>45599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5"/>
      <c r="B188" s="141"/>
      <c r="C188" s="85" t="s">
        <v>272</v>
      </c>
      <c r="D188" s="106" t="s">
        <v>271</v>
      </c>
      <c r="E188" s="13" t="s">
        <v>37</v>
      </c>
      <c r="F188" s="16"/>
      <c r="G188" s="18" t="s">
        <v>180</v>
      </c>
      <c r="H188" s="13"/>
      <c r="I188" s="15"/>
      <c r="J188" s="15">
        <v>1</v>
      </c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45598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35"/>
      <c r="B189" s="141"/>
      <c r="C189" s="85" t="s">
        <v>273</v>
      </c>
      <c r="D189" s="106" t="s">
        <v>188</v>
      </c>
      <c r="E189" s="13" t="s">
        <v>74</v>
      </c>
      <c r="F189" s="16"/>
      <c r="G189" s="18" t="s">
        <v>180</v>
      </c>
      <c r="H189" s="15"/>
      <c r="I189" s="15"/>
      <c r="J189" s="15"/>
      <c r="K189" s="15"/>
      <c r="L189" s="17"/>
      <c r="M189" s="17">
        <v>1</v>
      </c>
      <c r="N189" s="17"/>
      <c r="O189" s="17"/>
      <c r="P189" s="17"/>
      <c r="Q189" s="17">
        <v>1</v>
      </c>
      <c r="R189" s="17"/>
      <c r="S189" s="15"/>
      <c r="T189" s="25">
        <v>45600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35"/>
      <c r="B190" s="141"/>
      <c r="C190" s="85" t="s">
        <v>274</v>
      </c>
      <c r="D190" s="106" t="s">
        <v>188</v>
      </c>
      <c r="E190" s="13" t="s">
        <v>39</v>
      </c>
      <c r="F190" s="16"/>
      <c r="G190" s="18" t="s">
        <v>180</v>
      </c>
      <c r="H190" s="15"/>
      <c r="I190" s="15"/>
      <c r="J190" s="15">
        <v>1</v>
      </c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45600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5"/>
      <c r="B191" s="141"/>
      <c r="C191" s="85" t="s">
        <v>275</v>
      </c>
      <c r="D191" s="106" t="s">
        <v>188</v>
      </c>
      <c r="E191" s="13" t="s">
        <v>133</v>
      </c>
      <c r="F191" s="16"/>
      <c r="G191" s="18" t="s">
        <v>180</v>
      </c>
      <c r="H191" s="15"/>
      <c r="I191" s="15"/>
      <c r="J191" s="15"/>
      <c r="K191" s="15"/>
      <c r="L191" s="17"/>
      <c r="M191" s="17"/>
      <c r="N191" s="17"/>
      <c r="O191" s="17">
        <v>1</v>
      </c>
      <c r="P191" s="17">
        <v>1</v>
      </c>
      <c r="Q191" s="17"/>
      <c r="R191" s="17"/>
      <c r="S191" s="15"/>
      <c r="T191" s="25">
        <v>45600</v>
      </c>
      <c r="U191" s="2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35"/>
      <c r="B192" s="141"/>
      <c r="C192" s="85" t="s">
        <v>276</v>
      </c>
      <c r="D192" s="106" t="s">
        <v>188</v>
      </c>
      <c r="E192" s="13" t="s">
        <v>38</v>
      </c>
      <c r="F192" s="16"/>
      <c r="G192" s="18" t="s">
        <v>180</v>
      </c>
      <c r="H192" s="15"/>
      <c r="I192" s="15"/>
      <c r="J192" s="15"/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45600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35"/>
      <c r="B193" s="141"/>
      <c r="C193" s="85" t="s">
        <v>277</v>
      </c>
      <c r="D193" s="106" t="s">
        <v>188</v>
      </c>
      <c r="E193" s="13" t="s">
        <v>58</v>
      </c>
      <c r="F193" s="16"/>
      <c r="G193" s="18" t="s">
        <v>180</v>
      </c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>
        <v>1</v>
      </c>
      <c r="T193" s="25">
        <v>45600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35"/>
      <c r="B194" s="141"/>
      <c r="C194" s="85" t="s">
        <v>278</v>
      </c>
      <c r="D194" s="106" t="s">
        <v>188</v>
      </c>
      <c r="E194" s="13" t="s">
        <v>74</v>
      </c>
      <c r="F194" s="16"/>
      <c r="G194" s="18" t="s">
        <v>180</v>
      </c>
      <c r="H194" s="15"/>
      <c r="I194" s="15"/>
      <c r="J194" s="15">
        <v>1</v>
      </c>
      <c r="K194" s="15">
        <v>1</v>
      </c>
      <c r="L194" s="17"/>
      <c r="M194" s="17"/>
      <c r="N194" s="17"/>
      <c r="O194" s="17"/>
      <c r="P194" s="17"/>
      <c r="Q194" s="17"/>
      <c r="R194" s="17"/>
      <c r="S194" s="15"/>
      <c r="T194" s="25">
        <v>45600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35"/>
      <c r="B195" s="141"/>
      <c r="C195" s="85" t="s">
        <v>279</v>
      </c>
      <c r="D195" s="106" t="s">
        <v>188</v>
      </c>
      <c r="E195" s="15" t="s">
        <v>38</v>
      </c>
      <c r="F195" s="16"/>
      <c r="G195" s="18" t="s">
        <v>180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45600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35"/>
      <c r="B196" s="141"/>
      <c r="C196" s="85" t="s">
        <v>280</v>
      </c>
      <c r="D196" s="106" t="s">
        <v>188</v>
      </c>
      <c r="E196" s="15" t="s">
        <v>74</v>
      </c>
      <c r="F196" s="16"/>
      <c r="G196" s="18" t="s">
        <v>180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45600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35"/>
      <c r="B197" s="141"/>
      <c r="C197" s="85" t="s">
        <v>281</v>
      </c>
      <c r="D197" s="106" t="s">
        <v>199</v>
      </c>
      <c r="E197" s="15" t="s">
        <v>36</v>
      </c>
      <c r="F197" s="16"/>
      <c r="G197" s="15" t="s">
        <v>180</v>
      </c>
      <c r="H197" s="15"/>
      <c r="I197" s="15"/>
      <c r="J197" s="15"/>
      <c r="K197" s="15"/>
      <c r="L197" s="17"/>
      <c r="M197" s="17">
        <v>1</v>
      </c>
      <c r="N197" s="17"/>
      <c r="O197" s="17"/>
      <c r="P197" s="17"/>
      <c r="Q197" s="17"/>
      <c r="R197" s="17"/>
      <c r="S197" s="15"/>
      <c r="T197" s="25">
        <v>45612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35"/>
      <c r="B198" s="141"/>
      <c r="C198" s="85" t="s">
        <v>282</v>
      </c>
      <c r="D198" s="106" t="s">
        <v>179</v>
      </c>
      <c r="E198" s="15" t="s">
        <v>36</v>
      </c>
      <c r="F198" s="16"/>
      <c r="G198" s="15" t="s">
        <v>180</v>
      </c>
      <c r="H198" s="15"/>
      <c r="I198" s="15"/>
      <c r="J198" s="15">
        <v>1</v>
      </c>
      <c r="K198" s="15">
        <v>1</v>
      </c>
      <c r="L198" s="19"/>
      <c r="M198" s="19"/>
      <c r="N198" s="19"/>
      <c r="O198" s="19"/>
      <c r="P198" s="19"/>
      <c r="Q198" s="19"/>
      <c r="R198" s="19"/>
      <c r="S198" s="15"/>
      <c r="T198" s="25">
        <v>45602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35"/>
      <c r="B199" s="141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5"/>
      <c r="B200" s="14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5"/>
      <c r="B201" s="14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5"/>
      <c r="B202" s="14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5"/>
      <c r="B203" s="14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5"/>
      <c r="B204" s="14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5"/>
      <c r="B205" s="14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5"/>
      <c r="B206" s="14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6"/>
      <c r="B207" s="14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9</v>
      </c>
      <c r="L208" s="29">
        <f t="shared" ref="L208" si="35">SUM(L183:L207)</f>
        <v>0</v>
      </c>
      <c r="M208" s="29">
        <f t="shared" ref="M208" si="36">SUM(M183:M207)</f>
        <v>5</v>
      </c>
      <c r="N208" s="29">
        <f t="shared" ref="N208" si="37">SUM(N183:N207)</f>
        <v>3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4</v>
      </c>
      <c r="R208" s="29">
        <f t="shared" ref="R208" si="41">SUM(R183:R207)</f>
        <v>0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AYG090</v>
      </c>
      <c r="B211" s="24">
        <f>B1</f>
        <v>45574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2" t="s">
        <v>113</v>
      </c>
      <c r="Y212" s="133"/>
    </row>
    <row r="213" spans="1:28" ht="20.25" thickTop="1" thickBot="1" x14ac:dyDescent="0.45">
      <c r="A213" s="134">
        <v>8</v>
      </c>
      <c r="B213" s="140">
        <v>17.8</v>
      </c>
      <c r="C213" s="85" t="s">
        <v>283</v>
      </c>
      <c r="D213" s="106" t="s">
        <v>198</v>
      </c>
      <c r="E213" s="15" t="s">
        <v>37</v>
      </c>
      <c r="F213" s="16"/>
      <c r="G213" s="15" t="s">
        <v>180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45600</v>
      </c>
      <c r="U213" s="15" t="s">
        <v>147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35"/>
      <c r="B214" s="141"/>
      <c r="C214" s="85" t="s">
        <v>284</v>
      </c>
      <c r="D214" s="106" t="s">
        <v>198</v>
      </c>
      <c r="E214" s="15" t="s">
        <v>37</v>
      </c>
      <c r="F214" s="16"/>
      <c r="G214" s="15" t="s">
        <v>180</v>
      </c>
      <c r="H214" s="15"/>
      <c r="I214" s="15"/>
      <c r="J214" s="15"/>
      <c r="K214" s="15"/>
      <c r="L214" s="17"/>
      <c r="M214" s="17">
        <v>1</v>
      </c>
      <c r="N214" s="17">
        <v>1</v>
      </c>
      <c r="O214" s="17"/>
      <c r="P214" s="17"/>
      <c r="Q214" s="17">
        <v>1</v>
      </c>
      <c r="R214" s="17"/>
      <c r="S214" s="15"/>
      <c r="T214" s="25">
        <v>45600</v>
      </c>
      <c r="U214" s="15" t="s">
        <v>147</v>
      </c>
      <c r="V214">
        <v>2</v>
      </c>
      <c r="X214" s="51" t="s">
        <v>107</v>
      </c>
      <c r="Y214" s="52">
        <f>COUNTIF(U213:U237,"R")</f>
        <v>7</v>
      </c>
      <c r="AA214" s="47" t="s">
        <v>81</v>
      </c>
      <c r="AB214" s="48" t="s">
        <v>60</v>
      </c>
    </row>
    <row r="215" spans="1:28" ht="19.5" thickBot="1" x14ac:dyDescent="0.45">
      <c r="A215" s="135"/>
      <c r="B215" s="141"/>
      <c r="C215" s="85" t="s">
        <v>285</v>
      </c>
      <c r="D215" s="106" t="s">
        <v>198</v>
      </c>
      <c r="E215" s="15" t="s">
        <v>37</v>
      </c>
      <c r="F215" s="16"/>
      <c r="G215" s="15" t="s">
        <v>180</v>
      </c>
      <c r="H215" s="15"/>
      <c r="I215" s="15"/>
      <c r="J215" s="15"/>
      <c r="K215" s="15"/>
      <c r="L215" s="17"/>
      <c r="M215" s="17">
        <v>1</v>
      </c>
      <c r="N215" s="17">
        <v>1</v>
      </c>
      <c r="O215" s="17"/>
      <c r="P215" s="17"/>
      <c r="Q215" s="17"/>
      <c r="R215" s="17"/>
      <c r="S215" s="15"/>
      <c r="T215" s="25">
        <v>45600</v>
      </c>
      <c r="U215" s="15" t="s">
        <v>147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35"/>
      <c r="B216" s="141"/>
      <c r="C216" s="85" t="s">
        <v>286</v>
      </c>
      <c r="D216" s="106" t="s">
        <v>188</v>
      </c>
      <c r="E216" s="15" t="s">
        <v>40</v>
      </c>
      <c r="F216" s="16"/>
      <c r="G216" s="15" t="s">
        <v>180</v>
      </c>
      <c r="H216" s="15"/>
      <c r="I216" s="15"/>
      <c r="J216" s="15"/>
      <c r="K216" s="15"/>
      <c r="L216" s="19"/>
      <c r="M216" s="19"/>
      <c r="N216" s="19"/>
      <c r="O216" s="19">
        <v>1</v>
      </c>
      <c r="P216" s="19">
        <v>1</v>
      </c>
      <c r="Q216" s="19"/>
      <c r="R216" s="19">
        <v>1</v>
      </c>
      <c r="S216" s="15"/>
      <c r="T216" s="25">
        <v>45595</v>
      </c>
      <c r="U216" s="15" t="s">
        <v>148</v>
      </c>
      <c r="V216">
        <v>4</v>
      </c>
      <c r="AA216" s="49" t="s">
        <v>83</v>
      </c>
      <c r="AB216" s="50" t="s">
        <v>38</v>
      </c>
    </row>
    <row r="217" spans="1:28" x14ac:dyDescent="0.4">
      <c r="A217" s="135"/>
      <c r="B217" s="141"/>
      <c r="C217" s="85" t="s">
        <v>287</v>
      </c>
      <c r="D217" s="106" t="s">
        <v>195</v>
      </c>
      <c r="E217" s="15" t="s">
        <v>40</v>
      </c>
      <c r="F217" s="16"/>
      <c r="G217" s="15" t="s">
        <v>180</v>
      </c>
      <c r="H217" s="15"/>
      <c r="I217" s="15"/>
      <c r="J217" s="18"/>
      <c r="K217" s="15"/>
      <c r="L217" s="19"/>
      <c r="M217" s="19"/>
      <c r="N217" s="19"/>
      <c r="O217" s="19">
        <v>1</v>
      </c>
      <c r="P217" s="19">
        <v>1</v>
      </c>
      <c r="Q217" s="19"/>
      <c r="R217" s="19">
        <v>1</v>
      </c>
      <c r="S217" s="15"/>
      <c r="T217" s="25">
        <v>45588</v>
      </c>
      <c r="U217" s="15" t="s">
        <v>148</v>
      </c>
      <c r="V217">
        <v>5</v>
      </c>
      <c r="AA217" s="49" t="s">
        <v>84</v>
      </c>
      <c r="AB217" s="50" t="s">
        <v>44</v>
      </c>
    </row>
    <row r="218" spans="1:28" x14ac:dyDescent="0.4">
      <c r="A218" s="135"/>
      <c r="B218" s="141"/>
      <c r="C218" s="85" t="s">
        <v>288</v>
      </c>
      <c r="D218" s="106" t="s">
        <v>183</v>
      </c>
      <c r="E218" s="15" t="s">
        <v>36</v>
      </c>
      <c r="F218" s="16"/>
      <c r="G218" s="15" t="s">
        <v>180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45599</v>
      </c>
      <c r="U218" s="15" t="s">
        <v>142</v>
      </c>
      <c r="V218">
        <v>6</v>
      </c>
      <c r="AA218" s="49" t="s">
        <v>85</v>
      </c>
      <c r="AB218" s="50" t="s">
        <v>43</v>
      </c>
    </row>
    <row r="219" spans="1:28" x14ac:dyDescent="0.4">
      <c r="A219" s="135"/>
      <c r="B219" s="141"/>
      <c r="C219" s="85" t="s">
        <v>289</v>
      </c>
      <c r="D219" s="106" t="s">
        <v>183</v>
      </c>
      <c r="E219" s="15" t="s">
        <v>75</v>
      </c>
      <c r="F219" s="16"/>
      <c r="G219" s="15" t="s">
        <v>180</v>
      </c>
      <c r="H219" s="15"/>
      <c r="I219" s="15"/>
      <c r="J219" s="18"/>
      <c r="K219" s="15"/>
      <c r="L219" s="19"/>
      <c r="M219" s="19"/>
      <c r="N219" s="19"/>
      <c r="O219" s="19"/>
      <c r="P219" s="19"/>
      <c r="Q219" s="19"/>
      <c r="R219" s="19"/>
      <c r="S219" s="15">
        <v>1</v>
      </c>
      <c r="T219" s="25">
        <v>45599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5"/>
      <c r="B220" s="141"/>
      <c r="C220" s="85" t="s">
        <v>290</v>
      </c>
      <c r="D220" s="106" t="s">
        <v>183</v>
      </c>
      <c r="E220" s="15" t="s">
        <v>39</v>
      </c>
      <c r="F220" s="16"/>
      <c r="G220" s="15" t="s">
        <v>180</v>
      </c>
      <c r="H220" s="15"/>
      <c r="I220" s="15"/>
      <c r="J220" s="18"/>
      <c r="K220" s="15">
        <v>1</v>
      </c>
      <c r="L220" s="19"/>
      <c r="M220" s="19"/>
      <c r="N220" s="19"/>
      <c r="O220" s="19"/>
      <c r="P220" s="19"/>
      <c r="Q220" s="19"/>
      <c r="R220" s="19"/>
      <c r="S220" s="15"/>
      <c r="T220" s="25">
        <v>45599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5"/>
      <c r="B221" s="141"/>
      <c r="C221" s="85" t="s">
        <v>291</v>
      </c>
      <c r="D221" s="106" t="s">
        <v>183</v>
      </c>
      <c r="E221" s="15" t="s">
        <v>74</v>
      </c>
      <c r="F221" s="16"/>
      <c r="G221" s="15" t="s">
        <v>180</v>
      </c>
      <c r="H221" s="15"/>
      <c r="I221" s="15"/>
      <c r="J221" s="18">
        <v>1</v>
      </c>
      <c r="K221" s="15">
        <v>1</v>
      </c>
      <c r="L221" s="19"/>
      <c r="M221" s="19"/>
      <c r="N221" s="19"/>
      <c r="O221" s="19"/>
      <c r="P221" s="19"/>
      <c r="Q221" s="19"/>
      <c r="R221" s="19"/>
      <c r="S221" s="15"/>
      <c r="T221" s="25">
        <v>45599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35"/>
      <c r="B222" s="141"/>
      <c r="C222" s="85" t="s">
        <v>292</v>
      </c>
      <c r="D222" s="106" t="s">
        <v>183</v>
      </c>
      <c r="E222" s="15" t="s">
        <v>40</v>
      </c>
      <c r="F222" s="16"/>
      <c r="G222" s="15" t="s">
        <v>187</v>
      </c>
      <c r="H222" s="15"/>
      <c r="I222" s="15"/>
      <c r="J222" s="15"/>
      <c r="K222" s="15"/>
      <c r="L222" s="17"/>
      <c r="M222" s="17"/>
      <c r="N222" s="17"/>
      <c r="O222" s="17"/>
      <c r="P222" s="17"/>
      <c r="Q222" s="17"/>
      <c r="R222" s="17"/>
      <c r="S222" s="15"/>
      <c r="T222" s="25">
        <v>45599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35"/>
      <c r="B223" s="141"/>
      <c r="C223" s="85" t="s">
        <v>293</v>
      </c>
      <c r="D223" s="106" t="s">
        <v>186</v>
      </c>
      <c r="E223" s="15" t="s">
        <v>36</v>
      </c>
      <c r="F223" s="16"/>
      <c r="G223" s="15" t="s">
        <v>180</v>
      </c>
      <c r="H223" s="15"/>
      <c r="I223" s="15"/>
      <c r="J223" s="15"/>
      <c r="K223" s="15"/>
      <c r="L223" s="17"/>
      <c r="M223" s="17">
        <v>1</v>
      </c>
      <c r="N223" s="17">
        <v>1</v>
      </c>
      <c r="O223" s="17"/>
      <c r="P223" s="17"/>
      <c r="Q223" s="17"/>
      <c r="R223" s="17"/>
      <c r="S223" s="15"/>
      <c r="T223" s="25">
        <v>45592</v>
      </c>
      <c r="U223" s="15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35"/>
      <c r="B224" s="141"/>
      <c r="C224" s="85" t="s">
        <v>294</v>
      </c>
      <c r="D224" s="106" t="s">
        <v>186</v>
      </c>
      <c r="E224" s="15" t="s">
        <v>75</v>
      </c>
      <c r="F224" s="16"/>
      <c r="G224" s="15" t="s">
        <v>180</v>
      </c>
      <c r="H224" s="15" t="s">
        <v>147</v>
      </c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45592</v>
      </c>
      <c r="U224" s="15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35"/>
      <c r="B225" s="141"/>
      <c r="C225" s="85" t="s">
        <v>295</v>
      </c>
      <c r="D225" s="106" t="s">
        <v>195</v>
      </c>
      <c r="E225" s="13" t="s">
        <v>37</v>
      </c>
      <c r="F225" s="16"/>
      <c r="G225" s="15" t="s">
        <v>180</v>
      </c>
      <c r="H225" s="15"/>
      <c r="I225" s="15"/>
      <c r="J225" s="15"/>
      <c r="K225" s="15"/>
      <c r="L225" s="17"/>
      <c r="M225" s="17">
        <v>1</v>
      </c>
      <c r="N225" s="17">
        <v>1</v>
      </c>
      <c r="O225" s="17"/>
      <c r="P225" s="17"/>
      <c r="Q225" s="17">
        <v>1</v>
      </c>
      <c r="R225" s="17"/>
      <c r="S225" s="15"/>
      <c r="T225" s="25">
        <v>45601</v>
      </c>
      <c r="U225" s="15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35"/>
      <c r="B226" s="141"/>
      <c r="C226" s="85" t="s">
        <v>296</v>
      </c>
      <c r="D226" s="106" t="s">
        <v>195</v>
      </c>
      <c r="E226" s="13" t="s">
        <v>37</v>
      </c>
      <c r="F226" s="16"/>
      <c r="G226" s="15" t="s">
        <v>180</v>
      </c>
      <c r="H226" s="15"/>
      <c r="I226" s="15"/>
      <c r="J226" s="15"/>
      <c r="K226" s="15"/>
      <c r="L226" s="17"/>
      <c r="M226" s="17">
        <v>1</v>
      </c>
      <c r="N226" s="17">
        <v>1</v>
      </c>
      <c r="O226" s="17"/>
      <c r="P226" s="17"/>
      <c r="Q226" s="17">
        <v>1</v>
      </c>
      <c r="R226" s="17"/>
      <c r="S226" s="15"/>
      <c r="T226" s="25">
        <v>45601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35"/>
      <c r="B227" s="141"/>
      <c r="C227" s="85" t="s">
        <v>297</v>
      </c>
      <c r="D227" s="109" t="s">
        <v>193</v>
      </c>
      <c r="E227" s="15" t="s">
        <v>44</v>
      </c>
      <c r="F227" s="16"/>
      <c r="G227" s="15" t="s">
        <v>180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6">
        <v>45601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5"/>
      <c r="B228" s="141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35"/>
      <c r="B229" s="141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5"/>
      <c r="B230" s="141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5"/>
      <c r="B231" s="14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5"/>
      <c r="B232" s="14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5"/>
      <c r="B233" s="14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5"/>
      <c r="B234" s="14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5"/>
      <c r="B235" s="14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5"/>
      <c r="B236" s="14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6"/>
      <c r="B237" s="14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14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5</v>
      </c>
      <c r="L238" s="29">
        <f t="shared" ref="L238" si="45">SUM(L213:L237)</f>
        <v>0</v>
      </c>
      <c r="M238" s="29">
        <f t="shared" ref="M238" si="46">SUM(M213:M237)</f>
        <v>5</v>
      </c>
      <c r="N238" s="29">
        <f t="shared" ref="N238" si="47">SUM(N213:N237)</f>
        <v>5</v>
      </c>
      <c r="O238" s="29">
        <f t="shared" ref="O238" si="48">SUM(O213:O237)</f>
        <v>2</v>
      </c>
      <c r="P238" s="29">
        <f t="shared" ref="P238" si="49">SUM(P213:P237)</f>
        <v>2</v>
      </c>
      <c r="Q238" s="29">
        <f t="shared" ref="Q238" si="50">SUM(Q213:Q237)</f>
        <v>3</v>
      </c>
      <c r="R238" s="29">
        <f t="shared" ref="R238" si="51">SUM(R213:R237)</f>
        <v>2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1</v>
      </c>
      <c r="H239" s="29">
        <f>COUNTIF(H213:H237,"R")</f>
        <v>1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29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AYG090</v>
      </c>
      <c r="B241" s="24">
        <f>B1</f>
        <v>45574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6" t="s">
        <v>112</v>
      </c>
      <c r="Y242" s="146"/>
    </row>
    <row r="243" spans="1:28" ht="20.25" thickTop="1" thickBot="1" x14ac:dyDescent="0.45">
      <c r="A243" s="134">
        <v>9</v>
      </c>
      <c r="B243" s="140">
        <v>20</v>
      </c>
      <c r="C243" s="85" t="s">
        <v>298</v>
      </c>
      <c r="D243" s="109" t="s">
        <v>185</v>
      </c>
      <c r="E243" s="13" t="s">
        <v>75</v>
      </c>
      <c r="F243" s="14"/>
      <c r="G243" s="12" t="s">
        <v>180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45616</v>
      </c>
      <c r="U243" s="13" t="s">
        <v>147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35"/>
      <c r="B244" s="141"/>
      <c r="C244" s="85" t="s">
        <v>299</v>
      </c>
      <c r="D244" s="109" t="s">
        <v>192</v>
      </c>
      <c r="E244" s="13" t="s">
        <v>36</v>
      </c>
      <c r="F244" s="16"/>
      <c r="G244" s="12" t="s">
        <v>180</v>
      </c>
      <c r="H244" s="15"/>
      <c r="I244" s="15"/>
      <c r="J244" s="15">
        <v>1</v>
      </c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45609</v>
      </c>
      <c r="U244" s="13" t="s">
        <v>142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35"/>
      <c r="B245" s="141"/>
      <c r="C245" s="85" t="s">
        <v>300</v>
      </c>
      <c r="D245" s="109" t="s">
        <v>192</v>
      </c>
      <c r="E245" s="13" t="s">
        <v>37</v>
      </c>
      <c r="F245" s="16"/>
      <c r="G245" s="12" t="s">
        <v>180</v>
      </c>
      <c r="H245" s="15"/>
      <c r="I245" s="15"/>
      <c r="J245" s="15"/>
      <c r="K245" s="15"/>
      <c r="L245" s="17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6">
        <v>45599</v>
      </c>
      <c r="U245" s="13" t="s">
        <v>147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35"/>
      <c r="B246" s="141"/>
      <c r="C246" s="85" t="s">
        <v>301</v>
      </c>
      <c r="D246" s="109" t="s">
        <v>188</v>
      </c>
      <c r="E246" s="13" t="s">
        <v>37</v>
      </c>
      <c r="F246" s="16"/>
      <c r="G246" s="12" t="s">
        <v>180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45594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35"/>
      <c r="B247" s="141"/>
      <c r="C247" s="85" t="s">
        <v>302</v>
      </c>
      <c r="D247" s="109" t="s">
        <v>195</v>
      </c>
      <c r="E247" s="13" t="s">
        <v>58</v>
      </c>
      <c r="F247" s="16"/>
      <c r="G247" s="12" t="s">
        <v>180</v>
      </c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>
        <v>1</v>
      </c>
      <c r="T247" s="26">
        <v>45600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5"/>
      <c r="B248" s="141"/>
      <c r="C248" s="85" t="s">
        <v>303</v>
      </c>
      <c r="D248" s="109" t="s">
        <v>195</v>
      </c>
      <c r="E248" s="13" t="s">
        <v>75</v>
      </c>
      <c r="F248" s="16"/>
      <c r="G248" s="12" t="s">
        <v>180</v>
      </c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>
        <v>1</v>
      </c>
      <c r="T248" s="26">
        <v>45600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5"/>
      <c r="B249" s="141"/>
      <c r="C249" s="85" t="s">
        <v>304</v>
      </c>
      <c r="D249" s="109" t="s">
        <v>271</v>
      </c>
      <c r="E249" s="13" t="s">
        <v>39</v>
      </c>
      <c r="F249" s="16"/>
      <c r="G249" s="12" t="s">
        <v>180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45598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5"/>
      <c r="B250" s="141"/>
      <c r="C250" s="85" t="s">
        <v>305</v>
      </c>
      <c r="D250" s="109" t="s">
        <v>271</v>
      </c>
      <c r="E250" s="13" t="s">
        <v>133</v>
      </c>
      <c r="F250" s="16"/>
      <c r="G250" s="12" t="s">
        <v>180</v>
      </c>
      <c r="H250" s="15"/>
      <c r="I250" s="15"/>
      <c r="J250" s="15"/>
      <c r="K250" s="15"/>
      <c r="L250" s="17"/>
      <c r="M250" s="17"/>
      <c r="N250" s="17"/>
      <c r="O250" s="17">
        <v>1</v>
      </c>
      <c r="P250" s="17">
        <v>1</v>
      </c>
      <c r="Q250" s="17">
        <v>1</v>
      </c>
      <c r="R250" s="17"/>
      <c r="S250" s="15"/>
      <c r="T250" s="26">
        <v>45598</v>
      </c>
      <c r="U250" s="13" t="s">
        <v>148</v>
      </c>
      <c r="V250">
        <v>8</v>
      </c>
      <c r="AA250" s="49" t="s">
        <v>87</v>
      </c>
      <c r="AB250" s="50" t="s">
        <v>37</v>
      </c>
    </row>
    <row r="251" spans="1:28" x14ac:dyDescent="0.4">
      <c r="A251" s="135"/>
      <c r="B251" s="141"/>
      <c r="C251" s="85" t="s">
        <v>306</v>
      </c>
      <c r="D251" s="109" t="s">
        <v>185</v>
      </c>
      <c r="E251" s="13" t="s">
        <v>37</v>
      </c>
      <c r="F251" s="16"/>
      <c r="G251" s="12" t="s">
        <v>180</v>
      </c>
      <c r="H251" s="15"/>
      <c r="I251" s="15"/>
      <c r="J251" s="15"/>
      <c r="K251" s="15"/>
      <c r="L251" s="17"/>
      <c r="M251" s="17">
        <v>1</v>
      </c>
      <c r="N251" s="17">
        <v>1</v>
      </c>
      <c r="O251" s="17"/>
      <c r="P251" s="17"/>
      <c r="Q251" s="17">
        <v>1</v>
      </c>
      <c r="R251" s="17"/>
      <c r="S251" s="15"/>
      <c r="T251" s="26">
        <v>45588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35"/>
      <c r="B252" s="141"/>
      <c r="C252" s="85" t="s">
        <v>307</v>
      </c>
      <c r="D252" s="109" t="s">
        <v>185</v>
      </c>
      <c r="E252" s="13" t="s">
        <v>38</v>
      </c>
      <c r="F252" s="16"/>
      <c r="G252" s="12" t="s">
        <v>180</v>
      </c>
      <c r="H252" s="15"/>
      <c r="I252" s="15"/>
      <c r="J252" s="15">
        <v>1</v>
      </c>
      <c r="K252" s="15">
        <v>1</v>
      </c>
      <c r="L252" s="17"/>
      <c r="M252" s="17"/>
      <c r="N252" s="17"/>
      <c r="O252" s="17"/>
      <c r="P252" s="17"/>
      <c r="Q252" s="17"/>
      <c r="R252" s="17"/>
      <c r="S252" s="15"/>
      <c r="T252" s="26">
        <v>45600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35"/>
      <c r="B253" s="141"/>
      <c r="C253" s="85" t="s">
        <v>308</v>
      </c>
      <c r="D253" s="109" t="s">
        <v>185</v>
      </c>
      <c r="E253" s="13" t="s">
        <v>75</v>
      </c>
      <c r="F253" s="16"/>
      <c r="G253" s="12" t="s">
        <v>180</v>
      </c>
      <c r="H253" s="15"/>
      <c r="I253" s="15"/>
      <c r="J253" s="15"/>
      <c r="K253" s="15"/>
      <c r="L253" s="17"/>
      <c r="M253" s="17"/>
      <c r="N253" s="17">
        <v>1</v>
      </c>
      <c r="O253" s="17"/>
      <c r="P253" s="17"/>
      <c r="Q253" s="17"/>
      <c r="R253" s="17"/>
      <c r="S253" s="15"/>
      <c r="T253" s="26">
        <v>45600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35"/>
      <c r="B254" s="141"/>
      <c r="C254" s="85" t="s">
        <v>309</v>
      </c>
      <c r="D254" s="109" t="s">
        <v>179</v>
      </c>
      <c r="E254" s="13" t="s">
        <v>37</v>
      </c>
      <c r="F254" s="16"/>
      <c r="G254" s="12" t="s">
        <v>180</v>
      </c>
      <c r="H254" s="15"/>
      <c r="I254" s="15"/>
      <c r="J254" s="15"/>
      <c r="K254" s="15"/>
      <c r="L254" s="17"/>
      <c r="M254" s="17">
        <v>1</v>
      </c>
      <c r="N254" s="17">
        <v>1</v>
      </c>
      <c r="O254" s="17"/>
      <c r="P254" s="17"/>
      <c r="Q254" s="17">
        <v>1</v>
      </c>
      <c r="R254" s="17"/>
      <c r="S254" s="15"/>
      <c r="T254" s="26">
        <v>45601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35"/>
      <c r="B255" s="141"/>
      <c r="C255" s="85" t="s">
        <v>310</v>
      </c>
      <c r="D255" s="109" t="s">
        <v>194</v>
      </c>
      <c r="E255" s="13" t="s">
        <v>37</v>
      </c>
      <c r="F255" s="16"/>
      <c r="G255" s="12" t="s">
        <v>180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6">
        <v>45601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5"/>
      <c r="B256" s="141"/>
      <c r="C256" s="85" t="s">
        <v>311</v>
      </c>
      <c r="D256" s="109" t="s">
        <v>312</v>
      </c>
      <c r="E256" s="13" t="s">
        <v>39</v>
      </c>
      <c r="F256" s="16"/>
      <c r="G256" s="15" t="s">
        <v>180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6">
        <v>45614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35"/>
      <c r="B257" s="141"/>
      <c r="C257" s="85" t="s">
        <v>313</v>
      </c>
      <c r="D257" s="109" t="s">
        <v>312</v>
      </c>
      <c r="E257" s="13" t="s">
        <v>133</v>
      </c>
      <c r="F257" s="16"/>
      <c r="G257" s="15"/>
      <c r="H257" s="15"/>
      <c r="I257" s="15"/>
      <c r="J257" s="15"/>
      <c r="K257" s="15"/>
      <c r="L257" s="17"/>
      <c r="M257" s="17"/>
      <c r="N257" s="17"/>
      <c r="O257" s="17">
        <v>1</v>
      </c>
      <c r="P257" s="17">
        <v>1</v>
      </c>
      <c r="Q257" s="17">
        <v>1</v>
      </c>
      <c r="R257" s="17">
        <v>1</v>
      </c>
      <c r="S257" s="15"/>
      <c r="T257" s="26">
        <v>45614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35"/>
      <c r="B258" s="141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5"/>
      <c r="B259" s="141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5"/>
      <c r="B260" s="14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5"/>
      <c r="B261" s="14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5"/>
      <c r="B262" s="14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5"/>
      <c r="B263" s="14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5"/>
      <c r="B264" s="14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5"/>
      <c r="B265" s="14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5"/>
      <c r="B266" s="14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6"/>
      <c r="B267" s="14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6</v>
      </c>
      <c r="K268" s="29">
        <f t="shared" ref="K268" si="54">SUM(K243:K267)</f>
        <v>6</v>
      </c>
      <c r="L268" s="29">
        <f t="shared" ref="L268" si="55">SUM(L243:L267)</f>
        <v>0</v>
      </c>
      <c r="M268" s="29">
        <f t="shared" ref="M268" si="56">SUM(M243:M267)</f>
        <v>3</v>
      </c>
      <c r="N268" s="29">
        <f t="shared" ref="N268" si="57">SUM(N243:N267)</f>
        <v>4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5</v>
      </c>
      <c r="R268" s="29">
        <f t="shared" ref="R268" si="61">SUM(R243:R267)</f>
        <v>1</v>
      </c>
      <c r="S268" s="29">
        <f t="shared" ref="S268" si="62">SUM(S243:S267)</f>
        <v>2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31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AYG090</v>
      </c>
      <c r="B271" s="24">
        <f>B1</f>
        <v>45574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2" t="s">
        <v>111</v>
      </c>
      <c r="Y272" s="133"/>
    </row>
    <row r="273" spans="1:28" ht="20.25" thickTop="1" thickBot="1" x14ac:dyDescent="0.45">
      <c r="A273" s="134">
        <v>10</v>
      </c>
      <c r="B273" s="140">
        <v>20.6</v>
      </c>
      <c r="C273" s="85" t="s">
        <v>314</v>
      </c>
      <c r="D273" s="109" t="s">
        <v>194</v>
      </c>
      <c r="E273" s="13" t="s">
        <v>40</v>
      </c>
      <c r="F273" s="14"/>
      <c r="G273" s="12" t="s">
        <v>180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45601</v>
      </c>
      <c r="U273" s="13" t="s">
        <v>148</v>
      </c>
      <c r="V273">
        <v>1</v>
      </c>
      <c r="X273" s="51" t="s">
        <v>106</v>
      </c>
      <c r="Y273" s="52">
        <f>COUNTIF(U273:U297,"K")</f>
        <v>7</v>
      </c>
      <c r="AA273" s="59" t="s">
        <v>120</v>
      </c>
      <c r="AB273" s="60" t="s">
        <v>121</v>
      </c>
    </row>
    <row r="274" spans="1:28" x14ac:dyDescent="0.4">
      <c r="A274" s="135"/>
      <c r="B274" s="141"/>
      <c r="C274" s="85" t="s">
        <v>315</v>
      </c>
      <c r="D274" s="109" t="s">
        <v>181</v>
      </c>
      <c r="E274" s="13" t="s">
        <v>39</v>
      </c>
      <c r="F274" s="16"/>
      <c r="G274" s="12" t="s">
        <v>180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45602</v>
      </c>
      <c r="U274" s="13" t="s">
        <v>142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5"/>
      <c r="B275" s="141"/>
      <c r="C275" s="85" t="s">
        <v>316</v>
      </c>
      <c r="D275" s="109" t="s">
        <v>181</v>
      </c>
      <c r="E275" s="13" t="s">
        <v>133</v>
      </c>
      <c r="F275" s="16"/>
      <c r="G275" s="12" t="s">
        <v>180</v>
      </c>
      <c r="H275" s="15"/>
      <c r="I275" s="15"/>
      <c r="J275" s="15"/>
      <c r="K275" s="15"/>
      <c r="L275" s="17"/>
      <c r="M275" s="17"/>
      <c r="N275" s="17"/>
      <c r="O275" s="17">
        <v>1</v>
      </c>
      <c r="P275" s="17">
        <v>1</v>
      </c>
      <c r="Q275" s="17">
        <v>1</v>
      </c>
      <c r="R275" s="17">
        <v>1</v>
      </c>
      <c r="S275" s="15"/>
      <c r="T275" s="26">
        <v>45602</v>
      </c>
      <c r="U275" s="13" t="s">
        <v>148</v>
      </c>
      <c r="V275">
        <v>3</v>
      </c>
      <c r="X275" s="53" t="s">
        <v>108</v>
      </c>
      <c r="Y275" s="54">
        <f>COUNTIF(U273:U297,"J")</f>
        <v>7</v>
      </c>
      <c r="AA275" s="49" t="s">
        <v>82</v>
      </c>
      <c r="AB275" s="50" t="s">
        <v>39</v>
      </c>
    </row>
    <row r="276" spans="1:28" x14ac:dyDescent="0.4">
      <c r="A276" s="135"/>
      <c r="B276" s="141"/>
      <c r="C276" s="85" t="s">
        <v>317</v>
      </c>
      <c r="D276" s="109" t="s">
        <v>181</v>
      </c>
      <c r="E276" s="13" t="s">
        <v>39</v>
      </c>
      <c r="F276" s="16"/>
      <c r="G276" s="12" t="s">
        <v>180</v>
      </c>
      <c r="H276" s="15"/>
      <c r="I276" s="15"/>
      <c r="J276" s="15">
        <v>1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45602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5"/>
      <c r="B277" s="141"/>
      <c r="C277" s="85" t="s">
        <v>318</v>
      </c>
      <c r="D277" s="109" t="s">
        <v>181</v>
      </c>
      <c r="E277" s="13" t="s">
        <v>133</v>
      </c>
      <c r="F277" s="16"/>
      <c r="G277" s="12" t="s">
        <v>180</v>
      </c>
      <c r="H277" s="15"/>
      <c r="I277" s="15"/>
      <c r="J277" s="15"/>
      <c r="K277" s="15"/>
      <c r="L277" s="17"/>
      <c r="M277" s="17"/>
      <c r="N277" s="17"/>
      <c r="O277" s="17">
        <v>1</v>
      </c>
      <c r="P277" s="17">
        <v>1</v>
      </c>
      <c r="Q277" s="17">
        <v>1</v>
      </c>
      <c r="R277" s="17">
        <v>1</v>
      </c>
      <c r="S277" s="15"/>
      <c r="T277" s="26">
        <v>45602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35"/>
      <c r="B278" s="141"/>
      <c r="C278" s="85" t="s">
        <v>319</v>
      </c>
      <c r="D278" s="109" t="s">
        <v>181</v>
      </c>
      <c r="E278" s="13" t="s">
        <v>39</v>
      </c>
      <c r="F278" s="16"/>
      <c r="G278" s="12" t="s">
        <v>180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45602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5"/>
      <c r="B279" s="141"/>
      <c r="C279" s="85" t="s">
        <v>320</v>
      </c>
      <c r="D279" s="109" t="s">
        <v>181</v>
      </c>
      <c r="E279" s="13" t="s">
        <v>133</v>
      </c>
      <c r="F279" s="16"/>
      <c r="G279" s="12" t="s">
        <v>180</v>
      </c>
      <c r="H279" s="15"/>
      <c r="I279" s="15"/>
      <c r="J279" s="15"/>
      <c r="K279" s="15"/>
      <c r="L279" s="17"/>
      <c r="M279" s="17"/>
      <c r="N279" s="17"/>
      <c r="O279" s="17">
        <v>1</v>
      </c>
      <c r="P279" s="17">
        <v>1</v>
      </c>
      <c r="Q279" s="17">
        <v>1</v>
      </c>
      <c r="R279" s="17">
        <v>1</v>
      </c>
      <c r="S279" s="15"/>
      <c r="T279" s="26">
        <v>45602</v>
      </c>
      <c r="U279" s="13" t="s">
        <v>148</v>
      </c>
      <c r="V279">
        <v>7</v>
      </c>
      <c r="AA279" s="49" t="s">
        <v>86</v>
      </c>
      <c r="AB279" s="50" t="s">
        <v>45</v>
      </c>
    </row>
    <row r="280" spans="1:28" x14ac:dyDescent="0.4">
      <c r="A280" s="135"/>
      <c r="B280" s="141"/>
      <c r="C280" s="85" t="s">
        <v>321</v>
      </c>
      <c r="D280" s="109" t="s">
        <v>181</v>
      </c>
      <c r="E280" s="13" t="s">
        <v>39</v>
      </c>
      <c r="F280" s="16"/>
      <c r="G280" s="12" t="s">
        <v>180</v>
      </c>
      <c r="H280" s="15"/>
      <c r="I280" s="15"/>
      <c r="J280" s="15">
        <v>1</v>
      </c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45602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35"/>
      <c r="B281" s="141"/>
      <c r="C281" s="85" t="s">
        <v>322</v>
      </c>
      <c r="D281" s="109" t="s">
        <v>181</v>
      </c>
      <c r="E281" s="13" t="s">
        <v>133</v>
      </c>
      <c r="F281" s="16"/>
      <c r="G281" s="12" t="s">
        <v>180</v>
      </c>
      <c r="H281" s="15"/>
      <c r="I281" s="15"/>
      <c r="J281" s="15"/>
      <c r="K281" s="15"/>
      <c r="L281" s="17"/>
      <c r="M281" s="17"/>
      <c r="N281" s="17"/>
      <c r="O281" s="17">
        <v>1</v>
      </c>
      <c r="P281" s="17">
        <v>1</v>
      </c>
      <c r="Q281" s="17">
        <v>1</v>
      </c>
      <c r="R281" s="17">
        <v>1</v>
      </c>
      <c r="S281" s="15"/>
      <c r="T281" s="26">
        <v>45602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35"/>
      <c r="B282" s="141"/>
      <c r="C282" s="85" t="s">
        <v>323</v>
      </c>
      <c r="D282" s="109" t="s">
        <v>181</v>
      </c>
      <c r="E282" s="13" t="s">
        <v>39</v>
      </c>
      <c r="F282" s="16"/>
      <c r="G282" s="12" t="s">
        <v>180</v>
      </c>
      <c r="H282" s="15"/>
      <c r="I282" s="15"/>
      <c r="J282" s="15">
        <v>1</v>
      </c>
      <c r="K282" s="15"/>
      <c r="L282" s="17"/>
      <c r="M282" s="17"/>
      <c r="N282" s="17"/>
      <c r="O282" s="17"/>
      <c r="P282" s="17"/>
      <c r="Q282" s="17"/>
      <c r="R282" s="17"/>
      <c r="S282" s="15"/>
      <c r="T282" s="26">
        <v>45602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35"/>
      <c r="B283" s="141"/>
      <c r="C283" s="85" t="s">
        <v>324</v>
      </c>
      <c r="D283" s="109" t="s">
        <v>181</v>
      </c>
      <c r="E283" s="13" t="s">
        <v>133</v>
      </c>
      <c r="F283" s="16"/>
      <c r="G283" s="12" t="s">
        <v>180</v>
      </c>
      <c r="H283" s="15"/>
      <c r="I283" s="15"/>
      <c r="J283" s="15"/>
      <c r="K283" s="15"/>
      <c r="L283" s="17"/>
      <c r="M283" s="17"/>
      <c r="N283" s="17"/>
      <c r="O283" s="17">
        <v>1</v>
      </c>
      <c r="P283" s="17">
        <v>1</v>
      </c>
      <c r="Q283" s="17">
        <v>1</v>
      </c>
      <c r="R283" s="17">
        <v>1</v>
      </c>
      <c r="S283" s="15"/>
      <c r="T283" s="26">
        <v>45602</v>
      </c>
      <c r="U283" s="13" t="s">
        <v>148</v>
      </c>
      <c r="V283">
        <v>11</v>
      </c>
      <c r="AA283" s="49" t="s">
        <v>90</v>
      </c>
      <c r="AB283" s="50" t="s">
        <v>58</v>
      </c>
    </row>
    <row r="284" spans="1:28" x14ac:dyDescent="0.4">
      <c r="A284" s="135"/>
      <c r="B284" s="141"/>
      <c r="C284" s="85" t="s">
        <v>325</v>
      </c>
      <c r="D284" s="109" t="s">
        <v>328</v>
      </c>
      <c r="E284" s="13" t="s">
        <v>44</v>
      </c>
      <c r="F284" s="16"/>
      <c r="G284" s="12" t="s">
        <v>180</v>
      </c>
      <c r="H284" s="15"/>
      <c r="I284" s="15"/>
      <c r="J284" s="15">
        <v>1</v>
      </c>
      <c r="K284" s="15">
        <v>1</v>
      </c>
      <c r="L284" s="17"/>
      <c r="M284" s="17"/>
      <c r="N284" s="17"/>
      <c r="O284" s="17"/>
      <c r="P284" s="17"/>
      <c r="Q284" s="17"/>
      <c r="R284" s="17"/>
      <c r="S284" s="15"/>
      <c r="T284" s="26">
        <v>45600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35"/>
      <c r="B285" s="141"/>
      <c r="C285" s="85" t="s">
        <v>326</v>
      </c>
      <c r="D285" s="109" t="s">
        <v>312</v>
      </c>
      <c r="E285" s="13" t="s">
        <v>38</v>
      </c>
      <c r="F285" s="16"/>
      <c r="G285" s="12" t="s">
        <v>180</v>
      </c>
      <c r="H285" s="15"/>
      <c r="I285" s="15"/>
      <c r="J285" s="15">
        <v>1</v>
      </c>
      <c r="K285" s="15">
        <v>1</v>
      </c>
      <c r="L285" s="17"/>
      <c r="M285" s="17"/>
      <c r="N285" s="17"/>
      <c r="O285" s="17"/>
      <c r="P285" s="17"/>
      <c r="Q285" s="17"/>
      <c r="R285" s="17"/>
      <c r="S285" s="15"/>
      <c r="T285" s="26">
        <v>45609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35"/>
      <c r="B286" s="141"/>
      <c r="C286" s="85" t="s">
        <v>327</v>
      </c>
      <c r="D286" s="109" t="s">
        <v>312</v>
      </c>
      <c r="E286" s="15" t="s">
        <v>40</v>
      </c>
      <c r="F286" s="16"/>
      <c r="G286" s="12" t="s">
        <v>180</v>
      </c>
      <c r="H286" s="15"/>
      <c r="I286" s="15"/>
      <c r="J286" s="15"/>
      <c r="K286" s="15"/>
      <c r="L286" s="17"/>
      <c r="M286" s="17"/>
      <c r="N286" s="17"/>
      <c r="O286" s="17">
        <v>1</v>
      </c>
      <c r="P286" s="17">
        <v>1</v>
      </c>
      <c r="Q286" s="17">
        <v>1</v>
      </c>
      <c r="R286" s="17">
        <v>1</v>
      </c>
      <c r="S286" s="15"/>
      <c r="T286" s="26">
        <v>45609</v>
      </c>
      <c r="U286" s="15" t="s">
        <v>148</v>
      </c>
      <c r="V286">
        <v>14</v>
      </c>
      <c r="AA286" s="49" t="s">
        <v>93</v>
      </c>
      <c r="AB286" s="50" t="s">
        <v>57</v>
      </c>
    </row>
    <row r="287" spans="1:28" x14ac:dyDescent="0.4">
      <c r="A287" s="135"/>
      <c r="B287" s="141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5"/>
      <c r="B288" s="141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5"/>
      <c r="B289" s="14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5"/>
      <c r="B290" s="14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5"/>
      <c r="B291" s="14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5"/>
      <c r="B292" s="14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5"/>
      <c r="B293" s="14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5"/>
      <c r="B294" s="14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5"/>
      <c r="B295" s="14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5"/>
      <c r="B296" s="14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6"/>
      <c r="B297" s="14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14</v>
      </c>
      <c r="D298" s="112"/>
      <c r="E298" s="29"/>
      <c r="F298" s="29" t="s">
        <v>34</v>
      </c>
      <c r="G298" s="29">
        <f>COUNTIF(G273:G297,"S")</f>
        <v>14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3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6</v>
      </c>
      <c r="P298" s="29">
        <f t="shared" ref="P298" si="69">SUM(P273:P297)</f>
        <v>6</v>
      </c>
      <c r="Q298" s="29">
        <f t="shared" ref="Q298" si="70">SUM(Q273:Q297)</f>
        <v>6</v>
      </c>
      <c r="R298" s="29">
        <f t="shared" ref="R298" si="71">SUM(R273:R297)</f>
        <v>6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34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AYG090</v>
      </c>
      <c r="B301" s="24">
        <f>B1</f>
        <v>45574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2" t="s">
        <v>110</v>
      </c>
      <c r="Y302" s="133"/>
    </row>
    <row r="303" spans="1:28" ht="20.25" thickTop="1" thickBot="1" x14ac:dyDescent="0.45">
      <c r="A303" s="134">
        <v>11</v>
      </c>
      <c r="B303" s="140">
        <v>20.6</v>
      </c>
      <c r="C303" s="85" t="s">
        <v>329</v>
      </c>
      <c r="D303" s="109" t="s">
        <v>195</v>
      </c>
      <c r="E303" s="13" t="s">
        <v>58</v>
      </c>
      <c r="F303" s="14"/>
      <c r="G303" s="12" t="s">
        <v>180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>
        <v>1</v>
      </c>
      <c r="T303" s="26">
        <v>45588</v>
      </c>
      <c r="U303" s="13" t="s">
        <v>146</v>
      </c>
      <c r="V303">
        <v>1</v>
      </c>
      <c r="X303" s="51" t="s">
        <v>106</v>
      </c>
      <c r="Y303" s="52">
        <f>COUNTIF(U303:U327,"K")</f>
        <v>12</v>
      </c>
      <c r="AA303" s="59" t="s">
        <v>120</v>
      </c>
      <c r="AB303" s="60" t="s">
        <v>121</v>
      </c>
    </row>
    <row r="304" spans="1:28" x14ac:dyDescent="0.4">
      <c r="A304" s="135"/>
      <c r="B304" s="141"/>
      <c r="C304" s="85" t="s">
        <v>330</v>
      </c>
      <c r="D304" s="109" t="s">
        <v>183</v>
      </c>
      <c r="E304" s="13" t="s">
        <v>39</v>
      </c>
      <c r="F304" s="16"/>
      <c r="G304" s="12" t="s">
        <v>180</v>
      </c>
      <c r="H304" s="15"/>
      <c r="I304" s="15"/>
      <c r="J304" s="15">
        <v>1</v>
      </c>
      <c r="K304" s="15">
        <v>1</v>
      </c>
      <c r="L304" s="17"/>
      <c r="M304" s="13"/>
      <c r="N304" s="13"/>
      <c r="O304" s="17"/>
      <c r="P304" s="17"/>
      <c r="Q304" s="17"/>
      <c r="R304" s="17"/>
      <c r="S304" s="15"/>
      <c r="T304" s="26">
        <v>45599</v>
      </c>
      <c r="U304" s="13" t="s">
        <v>146</v>
      </c>
      <c r="V304">
        <v>2</v>
      </c>
      <c r="X304" s="51" t="s">
        <v>107</v>
      </c>
      <c r="Y304" s="52">
        <f>COUNTIF(U303:U327,"R")</f>
        <v>3</v>
      </c>
      <c r="AA304" s="47" t="s">
        <v>81</v>
      </c>
      <c r="AB304" s="48" t="s">
        <v>60</v>
      </c>
    </row>
    <row r="305" spans="1:28" ht="19.5" thickBot="1" x14ac:dyDescent="0.45">
      <c r="A305" s="135"/>
      <c r="B305" s="141"/>
      <c r="C305" s="85" t="s">
        <v>331</v>
      </c>
      <c r="D305" s="109" t="s">
        <v>183</v>
      </c>
      <c r="E305" s="13" t="s">
        <v>39</v>
      </c>
      <c r="F305" s="16"/>
      <c r="G305" s="12" t="s">
        <v>180</v>
      </c>
      <c r="H305" s="15"/>
      <c r="I305" s="15"/>
      <c r="J305" s="15">
        <v>1</v>
      </c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45599</v>
      </c>
      <c r="U305" s="13" t="s">
        <v>146</v>
      </c>
      <c r="V305">
        <v>3</v>
      </c>
      <c r="X305" s="53" t="s">
        <v>108</v>
      </c>
      <c r="Y305" s="54">
        <f>COUNTIF(U303:U327,"J")</f>
        <v>2</v>
      </c>
      <c r="AA305" s="49" t="s">
        <v>82</v>
      </c>
      <c r="AB305" s="50" t="s">
        <v>39</v>
      </c>
    </row>
    <row r="306" spans="1:28" x14ac:dyDescent="0.4">
      <c r="A306" s="135"/>
      <c r="B306" s="141"/>
      <c r="C306" s="85" t="s">
        <v>332</v>
      </c>
      <c r="D306" s="109" t="s">
        <v>183</v>
      </c>
      <c r="E306" s="13" t="s">
        <v>39</v>
      </c>
      <c r="F306" s="16"/>
      <c r="G306" s="12" t="s">
        <v>180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45599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35"/>
      <c r="B307" s="141"/>
      <c r="C307" s="85" t="s">
        <v>333</v>
      </c>
      <c r="D307" s="109" t="s">
        <v>183</v>
      </c>
      <c r="E307" s="13" t="s">
        <v>36</v>
      </c>
      <c r="F307" s="16"/>
      <c r="G307" s="12" t="s">
        <v>180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45599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35"/>
      <c r="B308" s="141"/>
      <c r="C308" s="85" t="s">
        <v>334</v>
      </c>
      <c r="D308" s="109" t="s">
        <v>183</v>
      </c>
      <c r="E308" s="13" t="s">
        <v>40</v>
      </c>
      <c r="F308" s="16"/>
      <c r="G308" s="12" t="s">
        <v>180</v>
      </c>
      <c r="H308" s="13"/>
      <c r="I308" s="15"/>
      <c r="J308" s="15"/>
      <c r="K308" s="15"/>
      <c r="L308" s="17"/>
      <c r="M308" s="13"/>
      <c r="N308" s="13"/>
      <c r="O308" s="17">
        <v>1</v>
      </c>
      <c r="P308" s="17">
        <v>1</v>
      </c>
      <c r="Q308" s="17"/>
      <c r="R308" s="17"/>
      <c r="S308" s="15"/>
      <c r="T308" s="26">
        <v>45599</v>
      </c>
      <c r="U308" s="13" t="s">
        <v>148</v>
      </c>
      <c r="V308">
        <v>6</v>
      </c>
      <c r="AA308" s="49" t="s">
        <v>85</v>
      </c>
      <c r="AB308" s="50" t="s">
        <v>43</v>
      </c>
    </row>
    <row r="309" spans="1:28" x14ac:dyDescent="0.4">
      <c r="A309" s="135"/>
      <c r="B309" s="141"/>
      <c r="C309" s="85" t="s">
        <v>335</v>
      </c>
      <c r="D309" s="109" t="s">
        <v>183</v>
      </c>
      <c r="E309" s="13" t="s">
        <v>39</v>
      </c>
      <c r="F309" s="16"/>
      <c r="G309" s="12" t="s">
        <v>180</v>
      </c>
      <c r="H309" s="15"/>
      <c r="I309" s="15"/>
      <c r="J309" s="15">
        <v>1</v>
      </c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45599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35"/>
      <c r="B310" s="141"/>
      <c r="C310" s="85" t="s">
        <v>336</v>
      </c>
      <c r="D310" s="109">
        <v>1101</v>
      </c>
      <c r="E310" s="13" t="s">
        <v>75</v>
      </c>
      <c r="F310" s="16"/>
      <c r="G310" s="12" t="s">
        <v>180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45601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35"/>
      <c r="B311" s="141"/>
      <c r="C311" s="85" t="s">
        <v>338</v>
      </c>
      <c r="D311" s="109" t="s">
        <v>337</v>
      </c>
      <c r="E311" s="13" t="s">
        <v>75</v>
      </c>
      <c r="F311" s="16"/>
      <c r="G311" s="12" t="s">
        <v>180</v>
      </c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>
        <v>1</v>
      </c>
      <c r="T311" s="26">
        <v>45594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35"/>
      <c r="B312" s="141"/>
      <c r="C312" s="85" t="s">
        <v>339</v>
      </c>
      <c r="D312" s="109" t="s">
        <v>337</v>
      </c>
      <c r="E312" s="13" t="s">
        <v>36</v>
      </c>
      <c r="F312" s="16"/>
      <c r="G312" s="12" t="s">
        <v>180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45594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35"/>
      <c r="B313" s="141"/>
      <c r="C313" s="85" t="s">
        <v>340</v>
      </c>
      <c r="D313" s="109" t="s">
        <v>337</v>
      </c>
      <c r="E313" s="13" t="s">
        <v>36</v>
      </c>
      <c r="F313" s="16"/>
      <c r="G313" s="12" t="s">
        <v>180</v>
      </c>
      <c r="H313" s="15"/>
      <c r="I313" s="15"/>
      <c r="J313" s="15">
        <v>1</v>
      </c>
      <c r="K313" s="15">
        <v>1</v>
      </c>
      <c r="L313" s="17"/>
      <c r="M313" s="13"/>
      <c r="N313" s="13"/>
      <c r="O313" s="17"/>
      <c r="P313" s="17"/>
      <c r="Q313" s="17"/>
      <c r="R313" s="17"/>
      <c r="S313" s="15"/>
      <c r="T313" s="26">
        <v>45594</v>
      </c>
      <c r="U313" s="13" t="s">
        <v>146</v>
      </c>
      <c r="V313">
        <v>11</v>
      </c>
      <c r="AA313" s="49" t="s">
        <v>90</v>
      </c>
      <c r="AB313" s="50" t="s">
        <v>58</v>
      </c>
    </row>
    <row r="314" spans="1:28" x14ac:dyDescent="0.4">
      <c r="A314" s="135"/>
      <c r="B314" s="141"/>
      <c r="C314" s="85" t="s">
        <v>341</v>
      </c>
      <c r="D314" s="109" t="s">
        <v>337</v>
      </c>
      <c r="E314" s="13" t="s">
        <v>36</v>
      </c>
      <c r="F314" s="16"/>
      <c r="G314" s="12" t="s">
        <v>180</v>
      </c>
      <c r="H314" s="15"/>
      <c r="I314" s="15"/>
      <c r="J314" s="15"/>
      <c r="K314" s="15"/>
      <c r="L314" s="17"/>
      <c r="M314" s="13">
        <v>1</v>
      </c>
      <c r="N314" s="13"/>
      <c r="O314" s="17"/>
      <c r="P314" s="17"/>
      <c r="Q314" s="17">
        <v>1</v>
      </c>
      <c r="R314" s="17"/>
      <c r="S314" s="15"/>
      <c r="T314" s="26">
        <v>45594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35"/>
      <c r="B315" s="141"/>
      <c r="C315" s="85" t="s">
        <v>342</v>
      </c>
      <c r="D315" s="109" t="s">
        <v>337</v>
      </c>
      <c r="E315" s="13" t="s">
        <v>36</v>
      </c>
      <c r="F315" s="16"/>
      <c r="G315" s="12" t="s">
        <v>180</v>
      </c>
      <c r="H315" s="15"/>
      <c r="I315" s="15"/>
      <c r="J315" s="15"/>
      <c r="K315" s="15"/>
      <c r="L315" s="17"/>
      <c r="M315" s="13">
        <v>1</v>
      </c>
      <c r="N315" s="13"/>
      <c r="O315" s="17"/>
      <c r="P315" s="17"/>
      <c r="Q315" s="17">
        <v>1</v>
      </c>
      <c r="R315" s="17"/>
      <c r="S315" s="15"/>
      <c r="T315" s="26">
        <v>45594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35"/>
      <c r="B316" s="141"/>
      <c r="C316" s="85" t="s">
        <v>343</v>
      </c>
      <c r="D316" s="109" t="s">
        <v>195</v>
      </c>
      <c r="E316" s="13" t="s">
        <v>43</v>
      </c>
      <c r="F316" s="16"/>
      <c r="G316" s="12" t="s">
        <v>180</v>
      </c>
      <c r="H316" s="15"/>
      <c r="I316" s="15"/>
      <c r="J316" s="15">
        <v>1</v>
      </c>
      <c r="K316" s="15">
        <v>1</v>
      </c>
      <c r="L316" s="17"/>
      <c r="M316" s="13"/>
      <c r="N316" s="13"/>
      <c r="O316" s="17"/>
      <c r="P316" s="17"/>
      <c r="Q316" s="17"/>
      <c r="R316" s="17"/>
      <c r="S316" s="15"/>
      <c r="T316" s="26">
        <v>45606</v>
      </c>
      <c r="U316" s="13" t="s">
        <v>146</v>
      </c>
      <c r="V316">
        <v>14</v>
      </c>
      <c r="AA316" s="49" t="s">
        <v>93</v>
      </c>
      <c r="AB316" s="50" t="s">
        <v>57</v>
      </c>
    </row>
    <row r="317" spans="1:28" x14ac:dyDescent="0.4">
      <c r="A317" s="135"/>
      <c r="B317" s="141"/>
      <c r="C317" s="85" t="s">
        <v>344</v>
      </c>
      <c r="D317" s="109" t="s">
        <v>194</v>
      </c>
      <c r="E317" s="13" t="s">
        <v>40</v>
      </c>
      <c r="F317" s="16"/>
      <c r="G317" s="12" t="s">
        <v>180</v>
      </c>
      <c r="H317" s="15"/>
      <c r="I317" s="15"/>
      <c r="J317" s="15"/>
      <c r="K317" s="15"/>
      <c r="L317" s="17"/>
      <c r="M317" s="13"/>
      <c r="N317" s="13"/>
      <c r="O317" s="17"/>
      <c r="P317" s="17"/>
      <c r="Q317" s="17">
        <v>1</v>
      </c>
      <c r="R317" s="17"/>
      <c r="S317" s="15"/>
      <c r="T317" s="26">
        <v>45606</v>
      </c>
      <c r="U317" s="13" t="s">
        <v>148</v>
      </c>
      <c r="V317">
        <v>15</v>
      </c>
      <c r="AA317" s="49" t="s">
        <v>94</v>
      </c>
      <c r="AB317" s="50" t="s">
        <v>41</v>
      </c>
    </row>
    <row r="318" spans="1:28" x14ac:dyDescent="0.4">
      <c r="A318" s="135"/>
      <c r="B318" s="141"/>
      <c r="C318" s="85" t="s">
        <v>345</v>
      </c>
      <c r="D318" s="109" t="s">
        <v>197</v>
      </c>
      <c r="E318" s="13" t="s">
        <v>42</v>
      </c>
      <c r="F318" s="16"/>
      <c r="G318" s="12" t="s">
        <v>180</v>
      </c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>
        <v>1</v>
      </c>
      <c r="T318" s="26">
        <v>45608</v>
      </c>
      <c r="U318" s="13" t="s">
        <v>146</v>
      </c>
      <c r="V318">
        <v>16</v>
      </c>
      <c r="AA318" s="49" t="s">
        <v>95</v>
      </c>
      <c r="AB318" s="50" t="s">
        <v>42</v>
      </c>
    </row>
    <row r="319" spans="1:28" x14ac:dyDescent="0.4">
      <c r="A319" s="135"/>
      <c r="B319" s="141"/>
      <c r="C319" s="86" t="s">
        <v>346</v>
      </c>
      <c r="D319" s="110" t="s">
        <v>197</v>
      </c>
      <c r="E319" s="18" t="s">
        <v>41</v>
      </c>
      <c r="F319" s="16"/>
      <c r="G319" s="15" t="s">
        <v>180</v>
      </c>
      <c r="H319" s="15"/>
      <c r="I319" s="15"/>
      <c r="J319" s="18">
        <v>1</v>
      </c>
      <c r="K319" s="15"/>
      <c r="L319" s="19"/>
      <c r="M319" s="19"/>
      <c r="N319" s="19"/>
      <c r="O319" s="19"/>
      <c r="P319" s="19"/>
      <c r="Q319" s="19"/>
      <c r="R319" s="19"/>
      <c r="S319" s="15"/>
      <c r="T319" s="26">
        <v>45608</v>
      </c>
      <c r="U319" s="15" t="s">
        <v>146</v>
      </c>
      <c r="V319">
        <v>17</v>
      </c>
      <c r="AA319" s="49" t="s">
        <v>96</v>
      </c>
      <c r="AB319" s="50" t="s">
        <v>61</v>
      </c>
    </row>
    <row r="320" spans="1:28" x14ac:dyDescent="0.4">
      <c r="A320" s="135"/>
      <c r="B320" s="141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5"/>
      <c r="B321" s="141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5"/>
      <c r="B322" s="141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5"/>
      <c r="B323" s="141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5"/>
      <c r="B324" s="14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5"/>
      <c r="B325" s="14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5"/>
      <c r="B326" s="14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6"/>
      <c r="B327" s="14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17</v>
      </c>
      <c r="D328" s="112"/>
      <c r="E328" s="29"/>
      <c r="F328" s="29" t="s">
        <v>34</v>
      </c>
      <c r="G328" s="29">
        <f>COUNTIF(G303:G327,"S")</f>
        <v>17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9</v>
      </c>
      <c r="K328" s="29">
        <f t="shared" ref="K328" si="74">SUM(K303:K327)</f>
        <v>8</v>
      </c>
      <c r="L328" s="29">
        <f t="shared" ref="L328" si="75">SUM(L303:L327)</f>
        <v>0</v>
      </c>
      <c r="M328" s="29">
        <f t="shared" ref="M328" si="76">SUM(M303:M327)</f>
        <v>2</v>
      </c>
      <c r="N328" s="29">
        <f t="shared" ref="N328" si="77">SUM(N303:N327)</f>
        <v>0</v>
      </c>
      <c r="O328" s="29">
        <f t="shared" ref="O328" si="78">SUM(O303:O327)</f>
        <v>1</v>
      </c>
      <c r="P328" s="29">
        <f t="shared" ref="P328" si="79">SUM(P303:P327)</f>
        <v>1</v>
      </c>
      <c r="Q328" s="29">
        <f t="shared" ref="Q328" si="80">SUM(Q303:Q327)</f>
        <v>3</v>
      </c>
      <c r="R328" s="29">
        <f t="shared" ref="R328" si="81">SUM(R303:R327)</f>
        <v>0</v>
      </c>
      <c r="S328" s="29">
        <f t="shared" ref="S328" si="82">SUM(S303:S327)</f>
        <v>3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27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AYG090</v>
      </c>
      <c r="B331" s="24">
        <f>B151</f>
        <v>45574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2" t="s">
        <v>109</v>
      </c>
      <c r="Y332" s="133"/>
    </row>
    <row r="333" spans="1:28" ht="20.25" thickTop="1" thickBot="1" x14ac:dyDescent="0.45">
      <c r="A333" s="134">
        <v>12</v>
      </c>
      <c r="B333" s="140">
        <v>18</v>
      </c>
      <c r="C333" s="86" t="s">
        <v>347</v>
      </c>
      <c r="D333" s="109" t="s">
        <v>179</v>
      </c>
      <c r="E333" s="13" t="s">
        <v>36</v>
      </c>
      <c r="F333" s="14"/>
      <c r="G333" s="12" t="s">
        <v>180</v>
      </c>
      <c r="H333" s="13"/>
      <c r="I333" s="13"/>
      <c r="J333" s="13"/>
      <c r="K333" s="13"/>
      <c r="L333" s="13"/>
      <c r="M333" s="13">
        <v>1</v>
      </c>
      <c r="N333" s="13">
        <v>1</v>
      </c>
      <c r="O333" s="13"/>
      <c r="P333" s="13"/>
      <c r="Q333" s="13">
        <v>1</v>
      </c>
      <c r="R333" s="13"/>
      <c r="S333" s="13"/>
      <c r="T333" s="26">
        <v>45599</v>
      </c>
      <c r="U333" s="13" t="s">
        <v>147</v>
      </c>
      <c r="V333">
        <v>1</v>
      </c>
      <c r="X333" s="51" t="s">
        <v>106</v>
      </c>
      <c r="Y333" s="52">
        <f>COUNTIF(U333:U356,"K")</f>
        <v>7</v>
      </c>
      <c r="AA333" s="59" t="s">
        <v>120</v>
      </c>
      <c r="AB333" s="60" t="s">
        <v>121</v>
      </c>
    </row>
    <row r="334" spans="1:28" x14ac:dyDescent="0.4">
      <c r="A334" s="135"/>
      <c r="B334" s="141"/>
      <c r="C334" s="86" t="s">
        <v>348</v>
      </c>
      <c r="D334" s="109" t="s">
        <v>194</v>
      </c>
      <c r="E334" s="15" t="s">
        <v>37</v>
      </c>
      <c r="F334" s="16"/>
      <c r="G334" s="15" t="s">
        <v>180</v>
      </c>
      <c r="H334" s="15"/>
      <c r="I334" s="15"/>
      <c r="J334" s="15">
        <v>1</v>
      </c>
      <c r="K334" s="15">
        <v>1</v>
      </c>
      <c r="L334" s="17"/>
      <c r="M334" s="17"/>
      <c r="N334" s="17"/>
      <c r="O334" s="17"/>
      <c r="P334" s="17"/>
      <c r="Q334" s="17"/>
      <c r="R334" s="17"/>
      <c r="S334" s="15"/>
      <c r="T334" s="26">
        <v>45601</v>
      </c>
      <c r="U334" s="13" t="s">
        <v>142</v>
      </c>
      <c r="V334">
        <v>2</v>
      </c>
      <c r="X334" s="51" t="s">
        <v>107</v>
      </c>
      <c r="Y334" s="52">
        <f>COUNTIF(U333:U356,"R")</f>
        <v>6</v>
      </c>
      <c r="AA334" s="47" t="s">
        <v>81</v>
      </c>
      <c r="AB334" s="48" t="s">
        <v>60</v>
      </c>
    </row>
    <row r="335" spans="1:28" ht="19.5" thickBot="1" x14ac:dyDescent="0.45">
      <c r="A335" s="135"/>
      <c r="B335" s="141"/>
      <c r="C335" s="86" t="s">
        <v>349</v>
      </c>
      <c r="D335" s="109" t="s">
        <v>194</v>
      </c>
      <c r="E335" s="15" t="s">
        <v>36</v>
      </c>
      <c r="F335" s="16"/>
      <c r="G335" s="15" t="s">
        <v>180</v>
      </c>
      <c r="H335" s="15"/>
      <c r="I335" s="15"/>
      <c r="J335" s="15">
        <v>1</v>
      </c>
      <c r="K335" s="15">
        <v>1</v>
      </c>
      <c r="L335" s="17"/>
      <c r="M335" s="17"/>
      <c r="N335" s="17"/>
      <c r="O335" s="17"/>
      <c r="P335" s="17"/>
      <c r="Q335" s="17"/>
      <c r="R335" s="17"/>
      <c r="S335" s="15"/>
      <c r="T335" s="26">
        <v>45601</v>
      </c>
      <c r="U335" s="13" t="s">
        <v>146</v>
      </c>
      <c r="V335">
        <v>3</v>
      </c>
      <c r="X335" s="53" t="s">
        <v>108</v>
      </c>
      <c r="Y335" s="54">
        <f>COUNTIF(U333:U356,"J")</f>
        <v>3</v>
      </c>
      <c r="AA335" s="49" t="s">
        <v>82</v>
      </c>
      <c r="AB335" s="50" t="s">
        <v>39</v>
      </c>
    </row>
    <row r="336" spans="1:28" x14ac:dyDescent="0.4">
      <c r="A336" s="135"/>
      <c r="B336" s="141"/>
      <c r="C336" s="86" t="s">
        <v>350</v>
      </c>
      <c r="D336" s="109" t="s">
        <v>194</v>
      </c>
      <c r="E336" s="15" t="s">
        <v>36</v>
      </c>
      <c r="F336" s="16"/>
      <c r="G336" s="15" t="s">
        <v>180</v>
      </c>
      <c r="H336" s="15"/>
      <c r="I336" s="15"/>
      <c r="J336" s="15">
        <v>1</v>
      </c>
      <c r="K336" s="15">
        <v>1</v>
      </c>
      <c r="L336" s="17"/>
      <c r="M336" s="17"/>
      <c r="N336" s="17"/>
      <c r="O336" s="17"/>
      <c r="P336" s="17"/>
      <c r="Q336" s="17"/>
      <c r="R336" s="17"/>
      <c r="S336" s="15"/>
      <c r="T336" s="26">
        <v>45601</v>
      </c>
      <c r="U336" s="13" t="s">
        <v>146</v>
      </c>
      <c r="V336">
        <v>4</v>
      </c>
      <c r="AA336" s="49" t="s">
        <v>83</v>
      </c>
      <c r="AB336" s="50" t="s">
        <v>38</v>
      </c>
    </row>
    <row r="337" spans="1:28" x14ac:dyDescent="0.4">
      <c r="A337" s="135"/>
      <c r="B337" s="141"/>
      <c r="C337" s="86" t="s">
        <v>351</v>
      </c>
      <c r="D337" s="109" t="s">
        <v>194</v>
      </c>
      <c r="E337" s="15" t="s">
        <v>36</v>
      </c>
      <c r="F337" s="16"/>
      <c r="G337" s="15" t="s">
        <v>180</v>
      </c>
      <c r="H337" s="15"/>
      <c r="I337" s="15"/>
      <c r="J337" s="15">
        <v>1</v>
      </c>
      <c r="K337" s="15">
        <v>1</v>
      </c>
      <c r="L337" s="17"/>
      <c r="M337" s="17"/>
      <c r="N337" s="17"/>
      <c r="O337" s="17"/>
      <c r="P337" s="17"/>
      <c r="Q337" s="17"/>
      <c r="R337" s="17"/>
      <c r="S337" s="15"/>
      <c r="T337" s="26">
        <v>45601</v>
      </c>
      <c r="U337" s="13" t="s">
        <v>146</v>
      </c>
      <c r="V337">
        <v>5</v>
      </c>
      <c r="AA337" s="49" t="s">
        <v>84</v>
      </c>
      <c r="AB337" s="50" t="s">
        <v>44</v>
      </c>
    </row>
    <row r="338" spans="1:28" x14ac:dyDescent="0.4">
      <c r="A338" s="135"/>
      <c r="B338" s="141"/>
      <c r="C338" s="86" t="s">
        <v>352</v>
      </c>
      <c r="D338" s="109" t="s">
        <v>194</v>
      </c>
      <c r="E338" s="15" t="s">
        <v>36</v>
      </c>
      <c r="F338" s="16"/>
      <c r="G338" s="15" t="s">
        <v>180</v>
      </c>
      <c r="H338" s="13"/>
      <c r="I338" s="15"/>
      <c r="J338" s="15"/>
      <c r="K338" s="15"/>
      <c r="L338" s="17"/>
      <c r="M338" s="17">
        <v>1</v>
      </c>
      <c r="N338" s="17"/>
      <c r="O338" s="17"/>
      <c r="P338" s="17"/>
      <c r="Q338" s="17">
        <v>1</v>
      </c>
      <c r="R338" s="17"/>
      <c r="S338" s="15"/>
      <c r="T338" s="26">
        <v>45601</v>
      </c>
      <c r="U338" s="13" t="s">
        <v>147</v>
      </c>
      <c r="V338">
        <v>6</v>
      </c>
      <c r="AA338" s="49" t="s">
        <v>85</v>
      </c>
      <c r="AB338" s="50" t="s">
        <v>43</v>
      </c>
    </row>
    <row r="339" spans="1:28" x14ac:dyDescent="0.4">
      <c r="A339" s="135"/>
      <c r="B339" s="141"/>
      <c r="C339" s="86" t="s">
        <v>353</v>
      </c>
      <c r="D339" s="109" t="s">
        <v>194</v>
      </c>
      <c r="E339" s="15" t="s">
        <v>36</v>
      </c>
      <c r="F339" s="16"/>
      <c r="G339" s="15" t="s">
        <v>180</v>
      </c>
      <c r="H339" s="15"/>
      <c r="I339" s="15"/>
      <c r="J339" s="15">
        <v>1</v>
      </c>
      <c r="K339" s="15">
        <v>1</v>
      </c>
      <c r="L339" s="17"/>
      <c r="M339" s="17"/>
      <c r="N339" s="17"/>
      <c r="O339" s="17"/>
      <c r="P339" s="17"/>
      <c r="Q339" s="17"/>
      <c r="R339" s="17"/>
      <c r="S339" s="15"/>
      <c r="T339" s="26">
        <v>45601</v>
      </c>
      <c r="U339" s="13" t="s">
        <v>146</v>
      </c>
      <c r="V339">
        <v>7</v>
      </c>
      <c r="AA339" s="49" t="s">
        <v>86</v>
      </c>
      <c r="AB339" s="50" t="s">
        <v>45</v>
      </c>
    </row>
    <row r="340" spans="1:28" x14ac:dyDescent="0.4">
      <c r="A340" s="135"/>
      <c r="B340" s="141"/>
      <c r="C340" s="86" t="s">
        <v>354</v>
      </c>
      <c r="D340" s="109" t="s">
        <v>179</v>
      </c>
      <c r="E340" s="15" t="s">
        <v>38</v>
      </c>
      <c r="F340" s="16"/>
      <c r="G340" s="15" t="s">
        <v>180</v>
      </c>
      <c r="H340" s="15"/>
      <c r="I340" s="15"/>
      <c r="J340" s="15">
        <v>1</v>
      </c>
      <c r="K340" s="15">
        <v>1</v>
      </c>
      <c r="L340" s="17"/>
      <c r="M340" s="17"/>
      <c r="N340" s="17"/>
      <c r="O340" s="17"/>
      <c r="P340" s="17"/>
      <c r="Q340" s="17"/>
      <c r="R340" s="17"/>
      <c r="S340" s="15"/>
      <c r="T340" s="26">
        <v>45605</v>
      </c>
      <c r="U340" s="13" t="s">
        <v>146</v>
      </c>
      <c r="V340">
        <v>8</v>
      </c>
      <c r="AA340" s="49" t="s">
        <v>87</v>
      </c>
      <c r="AB340" s="50" t="s">
        <v>37</v>
      </c>
    </row>
    <row r="341" spans="1:28" x14ac:dyDescent="0.4">
      <c r="A341" s="135"/>
      <c r="B341" s="141"/>
      <c r="C341" s="86" t="s">
        <v>355</v>
      </c>
      <c r="D341" s="109" t="s">
        <v>179</v>
      </c>
      <c r="E341" s="15" t="s">
        <v>40</v>
      </c>
      <c r="F341" s="16"/>
      <c r="G341" s="15" t="s">
        <v>180</v>
      </c>
      <c r="H341" s="15"/>
      <c r="I341" s="15"/>
      <c r="J341" s="15"/>
      <c r="K341" s="15"/>
      <c r="L341" s="17"/>
      <c r="M341" s="17"/>
      <c r="N341" s="17"/>
      <c r="O341" s="17">
        <v>1</v>
      </c>
      <c r="P341" s="17">
        <v>1</v>
      </c>
      <c r="Q341" s="17">
        <v>1</v>
      </c>
      <c r="R341" s="17">
        <v>1</v>
      </c>
      <c r="S341" s="15"/>
      <c r="T341" s="26">
        <v>45605</v>
      </c>
      <c r="U341" s="13" t="s">
        <v>148</v>
      </c>
      <c r="V341">
        <v>9</v>
      </c>
      <c r="AA341" s="49" t="s">
        <v>88</v>
      </c>
      <c r="AB341" s="50" t="s">
        <v>74</v>
      </c>
    </row>
    <row r="342" spans="1:28" x14ac:dyDescent="0.4">
      <c r="A342" s="135"/>
      <c r="B342" s="141"/>
      <c r="C342" s="86" t="s">
        <v>356</v>
      </c>
      <c r="D342" s="109" t="s">
        <v>194</v>
      </c>
      <c r="E342" s="15" t="s">
        <v>36</v>
      </c>
      <c r="F342" s="16"/>
      <c r="G342" s="15" t="s">
        <v>180</v>
      </c>
      <c r="H342" s="15"/>
      <c r="I342" s="15"/>
      <c r="J342" s="15"/>
      <c r="K342" s="15"/>
      <c r="L342" s="17"/>
      <c r="M342" s="17">
        <v>1</v>
      </c>
      <c r="N342" s="17"/>
      <c r="O342" s="17"/>
      <c r="P342" s="17"/>
      <c r="Q342" s="17">
        <v>1</v>
      </c>
      <c r="R342" s="17"/>
      <c r="S342" s="15"/>
      <c r="T342" s="26">
        <v>45601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35"/>
      <c r="B343" s="141"/>
      <c r="C343" s="86" t="s">
        <v>357</v>
      </c>
      <c r="D343" s="109" t="s">
        <v>194</v>
      </c>
      <c r="E343" s="15" t="s">
        <v>38</v>
      </c>
      <c r="F343" s="16"/>
      <c r="G343" s="15" t="s">
        <v>180</v>
      </c>
      <c r="H343" s="15"/>
      <c r="I343" s="15"/>
      <c r="J343" s="15"/>
      <c r="K343" s="15"/>
      <c r="L343" s="17"/>
      <c r="M343" s="17">
        <v>1</v>
      </c>
      <c r="N343" s="17"/>
      <c r="O343" s="17"/>
      <c r="P343" s="17"/>
      <c r="Q343" s="17">
        <v>1</v>
      </c>
      <c r="R343" s="17"/>
      <c r="S343" s="15"/>
      <c r="T343" s="26">
        <v>45601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35"/>
      <c r="B344" s="141"/>
      <c r="C344" s="86" t="s">
        <v>358</v>
      </c>
      <c r="D344" s="109" t="s">
        <v>194</v>
      </c>
      <c r="E344" s="15" t="s">
        <v>37</v>
      </c>
      <c r="F344" s="16"/>
      <c r="G344" s="15" t="s">
        <v>180</v>
      </c>
      <c r="H344" s="15" t="s">
        <v>147</v>
      </c>
      <c r="I344" s="15"/>
      <c r="J344" s="15"/>
      <c r="K344" s="15"/>
      <c r="L344" s="17"/>
      <c r="M344" s="17">
        <v>1</v>
      </c>
      <c r="N344" s="17"/>
      <c r="O344" s="17"/>
      <c r="P344" s="17"/>
      <c r="Q344" s="17">
        <v>1</v>
      </c>
      <c r="R344" s="17"/>
      <c r="S344" s="15"/>
      <c r="T344" s="26">
        <v>45601</v>
      </c>
      <c r="U344" s="15" t="s">
        <v>147</v>
      </c>
      <c r="V344">
        <v>12</v>
      </c>
      <c r="AA344" s="49" t="s">
        <v>91</v>
      </c>
      <c r="AB344" s="50" t="s">
        <v>75</v>
      </c>
    </row>
    <row r="345" spans="1:28" x14ac:dyDescent="0.4">
      <c r="A345" s="135"/>
      <c r="B345" s="141"/>
      <c r="C345" s="86" t="s">
        <v>359</v>
      </c>
      <c r="D345" s="109" t="s">
        <v>179</v>
      </c>
      <c r="E345" s="15" t="s">
        <v>37</v>
      </c>
      <c r="F345" s="16"/>
      <c r="G345" s="15" t="s">
        <v>180</v>
      </c>
      <c r="H345" s="15"/>
      <c r="I345" s="15"/>
      <c r="J345" s="15"/>
      <c r="K345" s="15"/>
      <c r="L345" s="17"/>
      <c r="M345" s="17">
        <v>1</v>
      </c>
      <c r="N345" s="17">
        <v>1</v>
      </c>
      <c r="O345" s="17"/>
      <c r="P345" s="17"/>
      <c r="Q345" s="17">
        <v>1</v>
      </c>
      <c r="R345" s="17"/>
      <c r="S345" s="15"/>
      <c r="T345" s="26">
        <v>45609</v>
      </c>
      <c r="U345" s="15" t="s">
        <v>147</v>
      </c>
      <c r="V345">
        <v>13</v>
      </c>
      <c r="AA345" s="49" t="s">
        <v>92</v>
      </c>
      <c r="AB345" s="50" t="s">
        <v>40</v>
      </c>
    </row>
    <row r="346" spans="1:28" x14ac:dyDescent="0.4">
      <c r="A346" s="135"/>
      <c r="B346" s="141"/>
      <c r="C346" s="86" t="s">
        <v>360</v>
      </c>
      <c r="D346" s="109" t="s">
        <v>179</v>
      </c>
      <c r="E346" s="15" t="s">
        <v>40</v>
      </c>
      <c r="F346" s="16"/>
      <c r="G346" s="15" t="s">
        <v>180</v>
      </c>
      <c r="H346" s="15"/>
      <c r="I346" s="15"/>
      <c r="J346" s="15"/>
      <c r="K346" s="15"/>
      <c r="L346" s="17"/>
      <c r="M346" s="17"/>
      <c r="N346" s="17"/>
      <c r="O346" s="17">
        <v>1</v>
      </c>
      <c r="P346" s="17">
        <v>1</v>
      </c>
      <c r="Q346" s="17"/>
      <c r="R346" s="17"/>
      <c r="S346" s="15"/>
      <c r="T346" s="26">
        <v>45609</v>
      </c>
      <c r="U346" s="15" t="s">
        <v>148</v>
      </c>
      <c r="V346">
        <v>14</v>
      </c>
      <c r="AA346" s="49" t="s">
        <v>93</v>
      </c>
      <c r="AB346" s="50" t="s">
        <v>57</v>
      </c>
    </row>
    <row r="347" spans="1:28" x14ac:dyDescent="0.4">
      <c r="A347" s="135"/>
      <c r="B347" s="141"/>
      <c r="C347" s="86" t="s">
        <v>361</v>
      </c>
      <c r="D347" s="109" t="s">
        <v>179</v>
      </c>
      <c r="E347" s="15" t="s">
        <v>38</v>
      </c>
      <c r="F347" s="16"/>
      <c r="G347" s="15" t="s">
        <v>180</v>
      </c>
      <c r="H347" s="15"/>
      <c r="I347" s="15"/>
      <c r="J347" s="15">
        <v>1</v>
      </c>
      <c r="K347" s="15"/>
      <c r="L347" s="17"/>
      <c r="M347" s="17"/>
      <c r="N347" s="17"/>
      <c r="O347" s="17"/>
      <c r="P347" s="17"/>
      <c r="Q347" s="17"/>
      <c r="R347" s="17"/>
      <c r="S347" s="15"/>
      <c r="T347" s="26">
        <v>45605</v>
      </c>
      <c r="U347" s="15" t="s">
        <v>146</v>
      </c>
      <c r="V347">
        <v>15</v>
      </c>
      <c r="AA347" s="49" t="s">
        <v>94</v>
      </c>
      <c r="AB347" s="50" t="s">
        <v>41</v>
      </c>
    </row>
    <row r="348" spans="1:28" x14ac:dyDescent="0.4">
      <c r="A348" s="135"/>
      <c r="B348" s="141"/>
      <c r="C348" s="86" t="s">
        <v>362</v>
      </c>
      <c r="D348" s="109" t="s">
        <v>179</v>
      </c>
      <c r="E348" s="15" t="s">
        <v>40</v>
      </c>
      <c r="F348" s="16"/>
      <c r="G348" s="15" t="s">
        <v>180</v>
      </c>
      <c r="H348" s="15"/>
      <c r="I348" s="15"/>
      <c r="J348" s="15"/>
      <c r="K348" s="15"/>
      <c r="L348" s="19"/>
      <c r="M348" s="19"/>
      <c r="N348" s="19"/>
      <c r="O348" s="19">
        <v>1</v>
      </c>
      <c r="P348" s="19">
        <v>1</v>
      </c>
      <c r="Q348" s="19">
        <v>1</v>
      </c>
      <c r="R348" s="19">
        <v>1</v>
      </c>
      <c r="S348" s="15"/>
      <c r="T348" s="26">
        <v>45605</v>
      </c>
      <c r="U348" s="15" t="s">
        <v>148</v>
      </c>
      <c r="V348">
        <v>16</v>
      </c>
      <c r="AA348" s="49" t="s">
        <v>95</v>
      </c>
      <c r="AB348" s="50" t="s">
        <v>42</v>
      </c>
    </row>
    <row r="349" spans="1:28" x14ac:dyDescent="0.4">
      <c r="A349" s="135"/>
      <c r="B349" s="14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5"/>
      <c r="B350" s="14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5"/>
      <c r="B351" s="14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5"/>
      <c r="B352" s="14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5"/>
      <c r="B353" s="14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5"/>
      <c r="B354" s="14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5"/>
      <c r="B355" s="14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5"/>
      <c r="B356" s="14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6"/>
      <c r="B357" s="14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16</v>
      </c>
      <c r="D358" s="112"/>
      <c r="E358" s="29"/>
      <c r="F358" s="29" t="s">
        <v>34</v>
      </c>
      <c r="G358" s="29">
        <f>COUNTIF(G333:G357,"S")</f>
        <v>16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7</v>
      </c>
      <c r="K358" s="29">
        <f t="shared" si="83"/>
        <v>6</v>
      </c>
      <c r="L358" s="29">
        <f t="shared" si="83"/>
        <v>0</v>
      </c>
      <c r="M358" s="29">
        <f t="shared" si="83"/>
        <v>6</v>
      </c>
      <c r="N358" s="29">
        <f t="shared" si="83"/>
        <v>2</v>
      </c>
      <c r="O358" s="29">
        <f t="shared" si="83"/>
        <v>3</v>
      </c>
      <c r="P358" s="29">
        <f t="shared" si="83"/>
        <v>3</v>
      </c>
      <c r="Q358" s="29">
        <f t="shared" si="83"/>
        <v>8</v>
      </c>
      <c r="R358" s="29">
        <f t="shared" si="83"/>
        <v>2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1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37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2" t="s">
        <v>138</v>
      </c>
      <c r="Y362" s="133"/>
    </row>
    <row r="363" spans="1:28" ht="19.5" thickTop="1" x14ac:dyDescent="0.4">
      <c r="A363" s="134">
        <v>13</v>
      </c>
      <c r="B363" s="140">
        <v>20.399999999999999</v>
      </c>
      <c r="C363" s="86" t="s">
        <v>363</v>
      </c>
      <c r="D363" s="109" t="s">
        <v>364</v>
      </c>
      <c r="E363" s="13" t="s">
        <v>37</v>
      </c>
      <c r="F363" s="14"/>
      <c r="G363" s="12" t="s">
        <v>180</v>
      </c>
      <c r="H363" s="13"/>
      <c r="I363" s="13"/>
      <c r="J363" s="13"/>
      <c r="K363" s="13">
        <v>1</v>
      </c>
      <c r="L363" s="13"/>
      <c r="M363" s="13"/>
      <c r="N363" s="13"/>
      <c r="O363" s="13"/>
      <c r="P363" s="13"/>
      <c r="Q363" s="13"/>
      <c r="R363" s="13"/>
      <c r="S363" s="13"/>
      <c r="T363" s="26">
        <v>45616</v>
      </c>
      <c r="U363" s="15" t="s">
        <v>142</v>
      </c>
      <c r="V363">
        <v>1</v>
      </c>
      <c r="X363" s="51" t="s">
        <v>106</v>
      </c>
      <c r="Y363" s="52">
        <f>COUNTIF(U362:U386,"K")</f>
        <v>8</v>
      </c>
    </row>
    <row r="364" spans="1:28" x14ac:dyDescent="0.4">
      <c r="A364" s="135"/>
      <c r="B364" s="141"/>
      <c r="C364" s="86" t="s">
        <v>365</v>
      </c>
      <c r="D364" s="106" t="s">
        <v>364</v>
      </c>
      <c r="E364" s="15" t="s">
        <v>37</v>
      </c>
      <c r="F364" s="16"/>
      <c r="G364" s="15" t="s">
        <v>180</v>
      </c>
      <c r="H364" s="15"/>
      <c r="I364" s="15"/>
      <c r="J364" s="15"/>
      <c r="K364" s="15">
        <v>1</v>
      </c>
      <c r="L364" s="17"/>
      <c r="M364" s="17"/>
      <c r="N364" s="17">
        <v>1</v>
      </c>
      <c r="O364" s="17"/>
      <c r="P364" s="17"/>
      <c r="Q364" s="17"/>
      <c r="R364" s="17"/>
      <c r="S364" s="15"/>
      <c r="T364" s="26">
        <v>45616</v>
      </c>
      <c r="U364" s="15" t="s">
        <v>146</v>
      </c>
      <c r="V364">
        <v>2</v>
      </c>
      <c r="X364" s="51" t="s">
        <v>107</v>
      </c>
      <c r="Y364" s="52">
        <f>COUNTIF(U362:U386,"R")</f>
        <v>5</v>
      </c>
    </row>
    <row r="365" spans="1:28" ht="19.5" thickBot="1" x14ac:dyDescent="0.45">
      <c r="A365" s="135"/>
      <c r="B365" s="141"/>
      <c r="C365" s="86" t="s">
        <v>366</v>
      </c>
      <c r="D365" s="109" t="s">
        <v>364</v>
      </c>
      <c r="E365" s="15" t="s">
        <v>44</v>
      </c>
      <c r="F365" s="16"/>
      <c r="G365" s="15" t="s">
        <v>180</v>
      </c>
      <c r="H365" s="15"/>
      <c r="I365" s="15"/>
      <c r="J365" s="15"/>
      <c r="K365" s="15"/>
      <c r="L365" s="17"/>
      <c r="M365" s="17">
        <v>1</v>
      </c>
      <c r="N365" s="17">
        <v>1</v>
      </c>
      <c r="O365" s="17"/>
      <c r="P365" s="17"/>
      <c r="Q365" s="17">
        <v>1</v>
      </c>
      <c r="R365" s="17"/>
      <c r="S365" s="15"/>
      <c r="T365" s="26">
        <v>45616</v>
      </c>
      <c r="U365" s="15" t="s">
        <v>147</v>
      </c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5"/>
      <c r="B366" s="141"/>
      <c r="C366" s="86" t="s">
        <v>367</v>
      </c>
      <c r="D366" s="109" t="s">
        <v>364</v>
      </c>
      <c r="E366" s="15" t="s">
        <v>36</v>
      </c>
      <c r="F366" s="16"/>
      <c r="G366" s="15" t="s">
        <v>180</v>
      </c>
      <c r="H366" s="15"/>
      <c r="I366" s="15"/>
      <c r="J366" s="15"/>
      <c r="K366" s="15"/>
      <c r="L366" s="17"/>
      <c r="M366" s="17">
        <v>1</v>
      </c>
      <c r="N366" s="17">
        <v>1</v>
      </c>
      <c r="O366" s="17"/>
      <c r="P366" s="17"/>
      <c r="Q366" s="17">
        <v>1</v>
      </c>
      <c r="R366" s="17"/>
      <c r="S366" s="15"/>
      <c r="T366" s="26">
        <v>45616</v>
      </c>
      <c r="U366" s="15" t="s">
        <v>147</v>
      </c>
      <c r="V366">
        <v>4</v>
      </c>
    </row>
    <row r="367" spans="1:28" x14ac:dyDescent="0.4">
      <c r="A367" s="135"/>
      <c r="B367" s="141"/>
      <c r="C367" s="86" t="s">
        <v>368</v>
      </c>
      <c r="D367" s="109" t="s">
        <v>364</v>
      </c>
      <c r="E367" s="15" t="s">
        <v>36</v>
      </c>
      <c r="F367" s="16"/>
      <c r="G367" s="15" t="s">
        <v>180</v>
      </c>
      <c r="H367" s="15"/>
      <c r="I367" s="15"/>
      <c r="J367" s="15"/>
      <c r="K367" s="15"/>
      <c r="L367" s="17"/>
      <c r="M367" s="17">
        <v>1</v>
      </c>
      <c r="N367" s="17">
        <v>1</v>
      </c>
      <c r="O367" s="17"/>
      <c r="P367" s="17"/>
      <c r="Q367" s="17">
        <v>1</v>
      </c>
      <c r="R367" s="17"/>
      <c r="S367" s="15"/>
      <c r="T367" s="26">
        <v>45616</v>
      </c>
      <c r="U367" s="15" t="s">
        <v>147</v>
      </c>
      <c r="V367">
        <v>5</v>
      </c>
    </row>
    <row r="368" spans="1:28" x14ac:dyDescent="0.4">
      <c r="A368" s="135"/>
      <c r="B368" s="141"/>
      <c r="C368" s="86" t="s">
        <v>369</v>
      </c>
      <c r="D368" s="109" t="s">
        <v>364</v>
      </c>
      <c r="E368" s="15" t="s">
        <v>36</v>
      </c>
      <c r="F368" s="16"/>
      <c r="G368" s="15" t="s">
        <v>180</v>
      </c>
      <c r="H368" s="13"/>
      <c r="I368" s="15"/>
      <c r="J368" s="15"/>
      <c r="K368" s="15"/>
      <c r="L368" s="17"/>
      <c r="M368" s="17">
        <v>1</v>
      </c>
      <c r="N368" s="17">
        <v>1</v>
      </c>
      <c r="O368" s="17"/>
      <c r="P368" s="17"/>
      <c r="Q368" s="17">
        <v>1</v>
      </c>
      <c r="R368" s="17"/>
      <c r="S368" s="15"/>
      <c r="T368" s="26">
        <v>45616</v>
      </c>
      <c r="U368" s="15" t="s">
        <v>147</v>
      </c>
      <c r="V368">
        <v>6</v>
      </c>
    </row>
    <row r="369" spans="1:22" x14ac:dyDescent="0.4">
      <c r="A369" s="135"/>
      <c r="B369" s="141"/>
      <c r="C369" s="86" t="s">
        <v>370</v>
      </c>
      <c r="D369" s="109" t="s">
        <v>364</v>
      </c>
      <c r="E369" s="15" t="s">
        <v>37</v>
      </c>
      <c r="F369" s="16"/>
      <c r="G369" s="15" t="s">
        <v>180</v>
      </c>
      <c r="H369" s="15"/>
      <c r="I369" s="15"/>
      <c r="J369" s="15"/>
      <c r="K369" s="15"/>
      <c r="L369" s="17"/>
      <c r="M369" s="17">
        <v>1</v>
      </c>
      <c r="N369" s="17">
        <v>1</v>
      </c>
      <c r="O369" s="17"/>
      <c r="P369" s="17"/>
      <c r="Q369" s="17">
        <v>1</v>
      </c>
      <c r="R369" s="17"/>
      <c r="S369" s="15"/>
      <c r="T369" s="26">
        <v>45616</v>
      </c>
      <c r="U369" s="15" t="s">
        <v>146</v>
      </c>
      <c r="V369">
        <v>7</v>
      </c>
    </row>
    <row r="370" spans="1:22" x14ac:dyDescent="0.4">
      <c r="A370" s="135"/>
      <c r="B370" s="141"/>
      <c r="C370" s="86" t="s">
        <v>371</v>
      </c>
      <c r="D370" s="109" t="s">
        <v>364</v>
      </c>
      <c r="E370" s="15" t="s">
        <v>38</v>
      </c>
      <c r="F370" s="16"/>
      <c r="G370" s="15" t="s">
        <v>180</v>
      </c>
      <c r="H370" s="15"/>
      <c r="I370" s="15"/>
      <c r="J370" s="15"/>
      <c r="K370" s="15"/>
      <c r="L370" s="17"/>
      <c r="M370" s="17">
        <v>1</v>
      </c>
      <c r="N370" s="17">
        <v>1</v>
      </c>
      <c r="O370" s="17"/>
      <c r="P370" s="17"/>
      <c r="Q370" s="17">
        <v>1</v>
      </c>
      <c r="R370" s="17"/>
      <c r="S370" s="15"/>
      <c r="T370" s="26">
        <v>45616</v>
      </c>
      <c r="U370" s="15" t="s">
        <v>147</v>
      </c>
      <c r="V370">
        <v>8</v>
      </c>
    </row>
    <row r="371" spans="1:22" x14ac:dyDescent="0.4">
      <c r="A371" s="135"/>
      <c r="B371" s="141"/>
      <c r="C371" s="86" t="s">
        <v>372</v>
      </c>
      <c r="D371" s="109" t="s">
        <v>364</v>
      </c>
      <c r="E371" s="15" t="s">
        <v>38</v>
      </c>
      <c r="F371" s="16"/>
      <c r="G371" s="15" t="s">
        <v>180</v>
      </c>
      <c r="H371" s="15"/>
      <c r="I371" s="15"/>
      <c r="J371" s="15"/>
      <c r="K371" s="15">
        <v>1</v>
      </c>
      <c r="L371" s="17"/>
      <c r="M371" s="17"/>
      <c r="N371" s="17"/>
      <c r="O371" s="17"/>
      <c r="P371" s="17"/>
      <c r="Q371" s="17"/>
      <c r="R371" s="17"/>
      <c r="S371" s="15"/>
      <c r="T371" s="26">
        <v>45616</v>
      </c>
      <c r="U371" s="15" t="s">
        <v>146</v>
      </c>
      <c r="V371">
        <v>9</v>
      </c>
    </row>
    <row r="372" spans="1:22" x14ac:dyDescent="0.4">
      <c r="A372" s="135"/>
      <c r="B372" s="141"/>
      <c r="C372" s="86" t="s">
        <v>373</v>
      </c>
      <c r="D372" s="109" t="s">
        <v>364</v>
      </c>
      <c r="E372" s="15" t="s">
        <v>36</v>
      </c>
      <c r="F372" s="16"/>
      <c r="G372" s="15" t="s">
        <v>180</v>
      </c>
      <c r="H372" s="15"/>
      <c r="I372" s="15"/>
      <c r="J372" s="15"/>
      <c r="K372" s="15">
        <v>1</v>
      </c>
      <c r="L372" s="17"/>
      <c r="M372" s="17"/>
      <c r="N372" s="17"/>
      <c r="O372" s="17"/>
      <c r="P372" s="17"/>
      <c r="Q372" s="17"/>
      <c r="R372" s="17"/>
      <c r="S372" s="15"/>
      <c r="T372" s="26">
        <v>45616</v>
      </c>
      <c r="U372" s="15" t="s">
        <v>146</v>
      </c>
      <c r="V372">
        <v>10</v>
      </c>
    </row>
    <row r="373" spans="1:22" x14ac:dyDescent="0.4">
      <c r="A373" s="135"/>
      <c r="B373" s="141"/>
      <c r="C373" s="86" t="s">
        <v>374</v>
      </c>
      <c r="D373" s="109" t="s">
        <v>364</v>
      </c>
      <c r="E373" s="15" t="s">
        <v>38</v>
      </c>
      <c r="F373" s="16"/>
      <c r="G373" s="15" t="s">
        <v>180</v>
      </c>
      <c r="H373" s="15"/>
      <c r="I373" s="15"/>
      <c r="J373" s="15"/>
      <c r="K373" s="15">
        <v>1</v>
      </c>
      <c r="L373" s="17"/>
      <c r="M373" s="17"/>
      <c r="N373" s="17"/>
      <c r="O373" s="17"/>
      <c r="P373" s="17"/>
      <c r="Q373" s="17"/>
      <c r="R373" s="17"/>
      <c r="S373" s="15"/>
      <c r="T373" s="26">
        <v>45616</v>
      </c>
      <c r="U373" s="15" t="s">
        <v>146</v>
      </c>
      <c r="V373">
        <v>11</v>
      </c>
    </row>
    <row r="374" spans="1:22" x14ac:dyDescent="0.4">
      <c r="A374" s="135"/>
      <c r="B374" s="141"/>
      <c r="C374" s="86" t="s">
        <v>375</v>
      </c>
      <c r="D374" s="109" t="s">
        <v>364</v>
      </c>
      <c r="E374" s="15" t="s">
        <v>38</v>
      </c>
      <c r="F374" s="16"/>
      <c r="G374" s="15" t="s">
        <v>180</v>
      </c>
      <c r="H374" s="15"/>
      <c r="I374" s="15"/>
      <c r="J374" s="15">
        <v>1</v>
      </c>
      <c r="K374" s="15">
        <v>1</v>
      </c>
      <c r="L374" s="17"/>
      <c r="M374" s="17"/>
      <c r="N374" s="17"/>
      <c r="O374" s="17"/>
      <c r="P374" s="17"/>
      <c r="Q374" s="17"/>
      <c r="R374" s="17"/>
      <c r="S374" s="15"/>
      <c r="T374" s="26">
        <v>45616</v>
      </c>
      <c r="U374" s="15" t="s">
        <v>146</v>
      </c>
      <c r="V374">
        <v>12</v>
      </c>
    </row>
    <row r="375" spans="1:22" x14ac:dyDescent="0.4">
      <c r="A375" s="135"/>
      <c r="B375" s="141"/>
      <c r="C375" s="86" t="s">
        <v>376</v>
      </c>
      <c r="D375" s="109" t="s">
        <v>364</v>
      </c>
      <c r="E375" s="15" t="s">
        <v>36</v>
      </c>
      <c r="F375" s="16"/>
      <c r="G375" s="15" t="s">
        <v>180</v>
      </c>
      <c r="H375" s="15"/>
      <c r="I375" s="15"/>
      <c r="J375" s="15"/>
      <c r="K375" s="15">
        <v>1</v>
      </c>
      <c r="L375" s="17"/>
      <c r="M375" s="17"/>
      <c r="N375" s="17"/>
      <c r="O375" s="17"/>
      <c r="P375" s="17"/>
      <c r="Q375" s="17"/>
      <c r="R375" s="17"/>
      <c r="S375" s="15"/>
      <c r="T375" s="26">
        <v>45616</v>
      </c>
      <c r="U375" s="15" t="s">
        <v>146</v>
      </c>
      <c r="V375">
        <v>13</v>
      </c>
    </row>
    <row r="376" spans="1:22" x14ac:dyDescent="0.4">
      <c r="A376" s="135"/>
      <c r="B376" s="14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5"/>
      <c r="B377" s="14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5"/>
      <c r="B378" s="14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5"/>
      <c r="B379" s="14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5"/>
      <c r="B380" s="14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5"/>
      <c r="B381" s="14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5"/>
      <c r="B382" s="14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5"/>
      <c r="B383" s="14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5"/>
      <c r="B384" s="14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5"/>
      <c r="B385" s="14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5"/>
      <c r="B386" s="14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6"/>
      <c r="B387" s="14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13</v>
      </c>
      <c r="D388" s="112"/>
      <c r="E388" s="29"/>
      <c r="F388" s="29" t="s">
        <v>34</v>
      </c>
      <c r="G388" s="29">
        <f>COUNTIF(G363:G387,"S")</f>
        <v>13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1</v>
      </c>
      <c r="K388" s="29">
        <f t="shared" si="84"/>
        <v>7</v>
      </c>
      <c r="L388" s="29">
        <f t="shared" si="84"/>
        <v>0</v>
      </c>
      <c r="M388" s="29">
        <f t="shared" si="84"/>
        <v>6</v>
      </c>
      <c r="N388" s="29">
        <f t="shared" si="84"/>
        <v>7</v>
      </c>
      <c r="O388" s="29">
        <f t="shared" si="84"/>
        <v>0</v>
      </c>
      <c r="P388" s="29">
        <f t="shared" si="84"/>
        <v>0</v>
      </c>
      <c r="Q388" s="29">
        <f t="shared" si="84"/>
        <v>6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2" t="s">
        <v>139</v>
      </c>
      <c r="Y392" s="133"/>
    </row>
    <row r="393" spans="1:25" ht="19.5" thickTop="1" x14ac:dyDescent="0.4">
      <c r="A393" s="134">
        <v>14</v>
      </c>
      <c r="B393" s="140">
        <v>16</v>
      </c>
      <c r="C393" s="86" t="s">
        <v>377</v>
      </c>
      <c r="D393" s="109" t="s">
        <v>194</v>
      </c>
      <c r="E393" s="13" t="s">
        <v>133</v>
      </c>
      <c r="F393" s="14"/>
      <c r="G393" s="12" t="s">
        <v>180</v>
      </c>
      <c r="H393" s="13"/>
      <c r="I393" s="13"/>
      <c r="J393" s="13"/>
      <c r="K393" s="13"/>
      <c r="L393" s="13"/>
      <c r="M393" s="13"/>
      <c r="N393" s="13"/>
      <c r="O393" s="13">
        <v>1</v>
      </c>
      <c r="P393" s="13">
        <v>1</v>
      </c>
      <c r="Q393" s="13">
        <v>1</v>
      </c>
      <c r="R393" s="13">
        <v>1</v>
      </c>
      <c r="S393" s="13"/>
      <c r="T393" s="26">
        <v>45609</v>
      </c>
      <c r="U393" s="15" t="s">
        <v>148</v>
      </c>
      <c r="V393">
        <v>1</v>
      </c>
      <c r="X393" s="51" t="s">
        <v>106</v>
      </c>
      <c r="Y393" s="52">
        <f>COUNTIF(U392:U416,"K")</f>
        <v>5</v>
      </c>
    </row>
    <row r="394" spans="1:25" x14ac:dyDescent="0.4">
      <c r="A394" s="135"/>
      <c r="B394" s="141"/>
      <c r="C394" s="86" t="s">
        <v>378</v>
      </c>
      <c r="D394" s="109" t="s">
        <v>189</v>
      </c>
      <c r="E394" s="15" t="s">
        <v>36</v>
      </c>
      <c r="F394" s="16"/>
      <c r="G394" s="15" t="s">
        <v>180</v>
      </c>
      <c r="H394" s="15"/>
      <c r="I394" s="15"/>
      <c r="J394" s="15"/>
      <c r="K394" s="15"/>
      <c r="L394" s="17"/>
      <c r="M394" s="17">
        <v>1</v>
      </c>
      <c r="N394" s="17">
        <v>1</v>
      </c>
      <c r="O394" s="17"/>
      <c r="P394" s="17"/>
      <c r="Q394" s="17">
        <v>1</v>
      </c>
      <c r="R394" s="17"/>
      <c r="S394" s="15"/>
      <c r="T394" s="26">
        <v>45599</v>
      </c>
      <c r="U394" s="15" t="s">
        <v>147</v>
      </c>
      <c r="V394">
        <v>2</v>
      </c>
      <c r="X394" s="51" t="s">
        <v>107</v>
      </c>
      <c r="Y394" s="52">
        <f>COUNTIF(U392:U416,"R")</f>
        <v>5</v>
      </c>
    </row>
    <row r="395" spans="1:25" ht="19.5" thickBot="1" x14ac:dyDescent="0.45">
      <c r="A395" s="135"/>
      <c r="B395" s="141"/>
      <c r="C395" s="86" t="s">
        <v>379</v>
      </c>
      <c r="D395" s="109" t="s">
        <v>189</v>
      </c>
      <c r="E395" s="15" t="s">
        <v>36</v>
      </c>
      <c r="F395" s="16"/>
      <c r="G395" s="15" t="s">
        <v>180</v>
      </c>
      <c r="H395" s="15"/>
      <c r="I395" s="15"/>
      <c r="J395" s="15"/>
      <c r="K395" s="15"/>
      <c r="L395" s="17"/>
      <c r="M395" s="17">
        <v>1</v>
      </c>
      <c r="N395" s="17">
        <v>1</v>
      </c>
      <c r="O395" s="17"/>
      <c r="P395" s="17"/>
      <c r="Q395" s="17">
        <v>1</v>
      </c>
      <c r="R395" s="17"/>
      <c r="S395" s="15"/>
      <c r="T395" s="26">
        <v>45599</v>
      </c>
      <c r="U395" s="15" t="s">
        <v>147</v>
      </c>
      <c r="V395">
        <v>3</v>
      </c>
      <c r="X395" s="53" t="s">
        <v>108</v>
      </c>
      <c r="Y395" s="54">
        <f>COUNTIF(U392:U416,"J")</f>
        <v>4</v>
      </c>
    </row>
    <row r="396" spans="1:25" x14ac:dyDescent="0.4">
      <c r="A396" s="135"/>
      <c r="B396" s="141"/>
      <c r="C396" s="86" t="s">
        <v>380</v>
      </c>
      <c r="D396" s="109" t="s">
        <v>328</v>
      </c>
      <c r="E396" s="15" t="s">
        <v>37</v>
      </c>
      <c r="F396" s="16"/>
      <c r="G396" s="15" t="s">
        <v>180</v>
      </c>
      <c r="H396" s="15"/>
      <c r="I396" s="15"/>
      <c r="J396" s="15"/>
      <c r="K396" s="15"/>
      <c r="L396" s="17"/>
      <c r="M396" s="17">
        <v>1</v>
      </c>
      <c r="N396" s="17">
        <v>1</v>
      </c>
      <c r="O396" s="17"/>
      <c r="P396" s="17"/>
      <c r="Q396" s="17">
        <v>1</v>
      </c>
      <c r="R396" s="17"/>
      <c r="S396" s="15"/>
      <c r="T396" s="26">
        <v>45607</v>
      </c>
      <c r="U396" s="15" t="s">
        <v>147</v>
      </c>
      <c r="V396">
        <v>4</v>
      </c>
    </row>
    <row r="397" spans="1:25" x14ac:dyDescent="0.4">
      <c r="A397" s="135"/>
      <c r="B397" s="141"/>
      <c r="C397" s="86" t="s">
        <v>381</v>
      </c>
      <c r="D397" s="109" t="s">
        <v>201</v>
      </c>
      <c r="E397" s="15" t="s">
        <v>36</v>
      </c>
      <c r="F397" s="16"/>
      <c r="G397" s="15" t="s">
        <v>180</v>
      </c>
      <c r="H397" s="15"/>
      <c r="I397" s="15"/>
      <c r="J397" s="15"/>
      <c r="K397" s="15"/>
      <c r="L397" s="17"/>
      <c r="M397" s="17"/>
      <c r="N397" s="17"/>
      <c r="O397" s="17"/>
      <c r="P397" s="17"/>
      <c r="Q397" s="17">
        <v>1</v>
      </c>
      <c r="R397" s="17"/>
      <c r="S397" s="15"/>
      <c r="T397" s="26">
        <v>45609</v>
      </c>
      <c r="U397" s="15" t="s">
        <v>147</v>
      </c>
      <c r="V397">
        <v>5</v>
      </c>
    </row>
    <row r="398" spans="1:25" x14ac:dyDescent="0.4">
      <c r="A398" s="135"/>
      <c r="B398" s="141"/>
      <c r="C398" s="86" t="s">
        <v>382</v>
      </c>
      <c r="D398" s="109" t="s">
        <v>179</v>
      </c>
      <c r="E398" s="15" t="s">
        <v>37</v>
      </c>
      <c r="F398" s="16"/>
      <c r="G398" s="15" t="s">
        <v>180</v>
      </c>
      <c r="H398" s="13"/>
      <c r="I398" s="15"/>
      <c r="J398" s="15"/>
      <c r="K398" s="15"/>
      <c r="L398" s="17"/>
      <c r="M398" s="17">
        <v>1</v>
      </c>
      <c r="N398" s="17">
        <v>1</v>
      </c>
      <c r="O398" s="17"/>
      <c r="P398" s="17"/>
      <c r="Q398" s="17">
        <v>1</v>
      </c>
      <c r="R398" s="17"/>
      <c r="S398" s="15"/>
      <c r="T398" s="26">
        <v>45605</v>
      </c>
      <c r="U398" s="15" t="s">
        <v>147</v>
      </c>
      <c r="V398">
        <v>6</v>
      </c>
    </row>
    <row r="399" spans="1:25" x14ac:dyDescent="0.4">
      <c r="A399" s="135"/>
      <c r="B399" s="141"/>
      <c r="C399" s="86" t="s">
        <v>383</v>
      </c>
      <c r="D399" s="109" t="s">
        <v>193</v>
      </c>
      <c r="E399" s="15" t="s">
        <v>39</v>
      </c>
      <c r="F399" s="16"/>
      <c r="G399" s="15" t="s">
        <v>180</v>
      </c>
      <c r="H399" s="15"/>
      <c r="I399" s="15"/>
      <c r="J399" s="15">
        <v>1</v>
      </c>
      <c r="K399" s="15">
        <v>1</v>
      </c>
      <c r="L399" s="17"/>
      <c r="M399" s="17"/>
      <c r="N399" s="17"/>
      <c r="O399" s="17"/>
      <c r="P399" s="17"/>
      <c r="Q399" s="17"/>
      <c r="R399" s="17"/>
      <c r="S399" s="15"/>
      <c r="T399" s="26">
        <v>45608</v>
      </c>
      <c r="U399" s="15" t="s">
        <v>146</v>
      </c>
      <c r="V399">
        <v>7</v>
      </c>
    </row>
    <row r="400" spans="1:25" x14ac:dyDescent="0.4">
      <c r="A400" s="135"/>
      <c r="B400" s="141"/>
      <c r="C400" s="86" t="s">
        <v>384</v>
      </c>
      <c r="D400" s="109" t="s">
        <v>193</v>
      </c>
      <c r="E400" s="15" t="s">
        <v>39</v>
      </c>
      <c r="F400" s="16"/>
      <c r="G400" s="15" t="s">
        <v>180</v>
      </c>
      <c r="H400" s="15"/>
      <c r="I400" s="15"/>
      <c r="J400" s="15">
        <v>1</v>
      </c>
      <c r="K400" s="15"/>
      <c r="L400" s="17"/>
      <c r="M400" s="17"/>
      <c r="N400" s="17"/>
      <c r="O400" s="17"/>
      <c r="P400" s="17"/>
      <c r="Q400" s="17"/>
      <c r="R400" s="17"/>
      <c r="S400" s="15"/>
      <c r="T400" s="26">
        <v>45608</v>
      </c>
      <c r="U400" s="15" t="s">
        <v>146</v>
      </c>
      <c r="V400">
        <v>8</v>
      </c>
    </row>
    <row r="401" spans="1:22" x14ac:dyDescent="0.4">
      <c r="A401" s="135"/>
      <c r="B401" s="141"/>
      <c r="C401" s="86" t="s">
        <v>385</v>
      </c>
      <c r="D401" s="109" t="s">
        <v>193</v>
      </c>
      <c r="E401" s="15" t="s">
        <v>133</v>
      </c>
      <c r="F401" s="16"/>
      <c r="G401" s="15" t="s">
        <v>187</v>
      </c>
      <c r="H401" s="15"/>
      <c r="I401" s="15"/>
      <c r="J401" s="15"/>
      <c r="K401" s="15"/>
      <c r="L401" s="17"/>
      <c r="M401" s="17"/>
      <c r="N401" s="17"/>
      <c r="O401" s="17">
        <v>1</v>
      </c>
      <c r="P401" s="17">
        <v>1</v>
      </c>
      <c r="Q401" s="17"/>
      <c r="R401" s="17">
        <v>1</v>
      </c>
      <c r="S401" s="15"/>
      <c r="T401" s="26">
        <v>45608</v>
      </c>
      <c r="U401" s="15" t="s">
        <v>148</v>
      </c>
      <c r="V401">
        <v>9</v>
      </c>
    </row>
    <row r="402" spans="1:22" x14ac:dyDescent="0.4">
      <c r="A402" s="135"/>
      <c r="B402" s="141"/>
      <c r="C402" s="86" t="s">
        <v>386</v>
      </c>
      <c r="D402" s="109" t="s">
        <v>196</v>
      </c>
      <c r="E402" s="15" t="s">
        <v>40</v>
      </c>
      <c r="F402" s="16"/>
      <c r="G402" s="15" t="s">
        <v>180</v>
      </c>
      <c r="H402" s="15"/>
      <c r="I402" s="15"/>
      <c r="J402" s="15"/>
      <c r="K402" s="15"/>
      <c r="L402" s="17"/>
      <c r="M402" s="17"/>
      <c r="N402" s="17"/>
      <c r="O402" s="17">
        <v>1</v>
      </c>
      <c r="P402" s="17">
        <v>1</v>
      </c>
      <c r="Q402" s="17"/>
      <c r="R402" s="17">
        <v>1</v>
      </c>
      <c r="S402" s="15"/>
      <c r="T402" s="26">
        <v>45602</v>
      </c>
      <c r="U402" s="15" t="s">
        <v>148</v>
      </c>
      <c r="V402">
        <v>10</v>
      </c>
    </row>
    <row r="403" spans="1:22" x14ac:dyDescent="0.4">
      <c r="A403" s="135"/>
      <c r="B403" s="141"/>
      <c r="C403" s="86" t="s">
        <v>388</v>
      </c>
      <c r="D403" s="109" t="s">
        <v>387</v>
      </c>
      <c r="E403" s="15" t="s">
        <v>39</v>
      </c>
      <c r="F403" s="16"/>
      <c r="G403" s="15" t="s">
        <v>180</v>
      </c>
      <c r="H403" s="15"/>
      <c r="I403" s="15"/>
      <c r="J403" s="15">
        <v>1</v>
      </c>
      <c r="K403" s="15"/>
      <c r="L403" s="17"/>
      <c r="M403" s="17"/>
      <c r="N403" s="17"/>
      <c r="O403" s="17"/>
      <c r="P403" s="17"/>
      <c r="Q403" s="17"/>
      <c r="R403" s="17"/>
      <c r="S403" s="15"/>
      <c r="T403" s="26">
        <v>45607</v>
      </c>
      <c r="U403" s="15" t="s">
        <v>146</v>
      </c>
      <c r="V403">
        <v>11</v>
      </c>
    </row>
    <row r="404" spans="1:22" x14ac:dyDescent="0.4">
      <c r="A404" s="135"/>
      <c r="B404" s="141"/>
      <c r="C404" s="86" t="s">
        <v>389</v>
      </c>
      <c r="D404" s="109" t="s">
        <v>387</v>
      </c>
      <c r="E404" s="15" t="s">
        <v>39</v>
      </c>
      <c r="F404" s="16"/>
      <c r="G404" s="15" t="s">
        <v>180</v>
      </c>
      <c r="H404" s="15"/>
      <c r="I404" s="15"/>
      <c r="J404" s="15">
        <v>1</v>
      </c>
      <c r="K404" s="15"/>
      <c r="L404" s="17"/>
      <c r="M404" s="17"/>
      <c r="N404" s="17"/>
      <c r="O404" s="17"/>
      <c r="P404" s="17"/>
      <c r="Q404" s="17"/>
      <c r="R404" s="17"/>
      <c r="S404" s="15"/>
      <c r="T404" s="26">
        <v>45607</v>
      </c>
      <c r="U404" s="15" t="s">
        <v>146</v>
      </c>
      <c r="V404">
        <v>12</v>
      </c>
    </row>
    <row r="405" spans="1:22" x14ac:dyDescent="0.4">
      <c r="A405" s="135"/>
      <c r="B405" s="141"/>
      <c r="C405" s="86" t="s">
        <v>390</v>
      </c>
      <c r="D405" s="109" t="s">
        <v>196</v>
      </c>
      <c r="E405" s="15" t="s">
        <v>40</v>
      </c>
      <c r="F405" s="16"/>
      <c r="G405" s="15" t="s">
        <v>180</v>
      </c>
      <c r="H405" s="15"/>
      <c r="I405" s="15"/>
      <c r="J405" s="15"/>
      <c r="K405" s="15"/>
      <c r="L405" s="17"/>
      <c r="M405" s="17"/>
      <c r="N405" s="17"/>
      <c r="O405" s="17">
        <v>1</v>
      </c>
      <c r="P405" s="17">
        <v>1</v>
      </c>
      <c r="Q405" s="17">
        <v>1</v>
      </c>
      <c r="R405" s="17">
        <v>1</v>
      </c>
      <c r="S405" s="15"/>
      <c r="T405" s="26">
        <v>45602</v>
      </c>
      <c r="U405" s="15" t="s">
        <v>148</v>
      </c>
      <c r="V405">
        <v>13</v>
      </c>
    </row>
    <row r="406" spans="1:22" x14ac:dyDescent="0.4">
      <c r="A406" s="135"/>
      <c r="B406" s="141"/>
      <c r="C406" s="86" t="s">
        <v>391</v>
      </c>
      <c r="D406" s="109" t="s">
        <v>201</v>
      </c>
      <c r="E406" s="15" t="s">
        <v>37</v>
      </c>
      <c r="F406" s="16"/>
      <c r="G406" s="15" t="s">
        <v>180</v>
      </c>
      <c r="H406" s="15"/>
      <c r="I406" s="15"/>
      <c r="J406" s="15">
        <v>1</v>
      </c>
      <c r="K406" s="15"/>
      <c r="L406" s="17"/>
      <c r="M406" s="17"/>
      <c r="N406" s="17"/>
      <c r="O406" s="17"/>
      <c r="P406" s="17"/>
      <c r="Q406" s="17"/>
      <c r="R406" s="17"/>
      <c r="S406" s="15"/>
      <c r="T406" s="26">
        <v>45610</v>
      </c>
      <c r="U406" s="15" t="s">
        <v>146</v>
      </c>
      <c r="V406">
        <v>14</v>
      </c>
    </row>
    <row r="407" spans="1:22" x14ac:dyDescent="0.4">
      <c r="A407" s="135"/>
      <c r="B407" s="14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5"/>
      <c r="B408" s="14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5"/>
      <c r="B409" s="14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5"/>
      <c r="B410" s="14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5"/>
      <c r="B411" s="14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5"/>
      <c r="B412" s="14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5"/>
      <c r="B413" s="14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5"/>
      <c r="B414" s="14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5"/>
      <c r="B415" s="14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5"/>
      <c r="B416" s="14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6"/>
      <c r="B417" s="14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14</v>
      </c>
      <c r="D418" s="112"/>
      <c r="E418" s="29"/>
      <c r="F418" s="29" t="s">
        <v>34</v>
      </c>
      <c r="G418" s="29">
        <f>COUNTIF(G393:G417,"S")</f>
        <v>13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5</v>
      </c>
      <c r="K418" s="29">
        <f t="shared" si="85"/>
        <v>1</v>
      </c>
      <c r="L418" s="29">
        <f t="shared" si="85"/>
        <v>0</v>
      </c>
      <c r="M418" s="29">
        <f t="shared" si="85"/>
        <v>4</v>
      </c>
      <c r="N418" s="29">
        <f t="shared" si="85"/>
        <v>4</v>
      </c>
      <c r="O418" s="29">
        <f t="shared" si="85"/>
        <v>4</v>
      </c>
      <c r="P418" s="29">
        <f t="shared" si="85"/>
        <v>4</v>
      </c>
      <c r="Q418" s="29">
        <f t="shared" si="85"/>
        <v>7</v>
      </c>
      <c r="R418" s="29">
        <f t="shared" si="85"/>
        <v>4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1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33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2" t="s">
        <v>140</v>
      </c>
      <c r="Y422" s="133"/>
    </row>
    <row r="423" spans="1:25" ht="19.5" thickTop="1" x14ac:dyDescent="0.4">
      <c r="A423" s="134">
        <v>15</v>
      </c>
      <c r="B423" s="140">
        <v>17.600000000000001</v>
      </c>
      <c r="C423" s="86" t="s">
        <v>392</v>
      </c>
      <c r="D423" s="109" t="s">
        <v>192</v>
      </c>
      <c r="E423" s="13" t="s">
        <v>74</v>
      </c>
      <c r="F423" s="14"/>
      <c r="G423" s="12" t="s">
        <v>180</v>
      </c>
      <c r="H423" s="13"/>
      <c r="I423" s="13"/>
      <c r="J423" s="13">
        <v>1</v>
      </c>
      <c r="K423" s="13">
        <v>1</v>
      </c>
      <c r="L423" s="13"/>
      <c r="M423" s="13"/>
      <c r="N423" s="13"/>
      <c r="O423" s="13"/>
      <c r="P423" s="13"/>
      <c r="Q423" s="13"/>
      <c r="R423" s="13"/>
      <c r="S423" s="13"/>
      <c r="T423" s="26">
        <v>45584</v>
      </c>
      <c r="U423" s="15" t="s">
        <v>146</v>
      </c>
      <c r="V423">
        <v>1</v>
      </c>
      <c r="X423" s="51" t="s">
        <v>106</v>
      </c>
      <c r="Y423" s="52">
        <f>COUNTIF(U422:U446,"K")</f>
        <v>5</v>
      </c>
    </row>
    <row r="424" spans="1:25" x14ac:dyDescent="0.4">
      <c r="A424" s="135"/>
      <c r="B424" s="141"/>
      <c r="C424" s="86" t="s">
        <v>393</v>
      </c>
      <c r="D424" s="106" t="s">
        <v>179</v>
      </c>
      <c r="E424" s="15" t="s">
        <v>38</v>
      </c>
      <c r="F424" s="16"/>
      <c r="G424" s="15" t="s">
        <v>180</v>
      </c>
      <c r="H424" s="15"/>
      <c r="I424" s="15"/>
      <c r="J424" s="15">
        <v>1</v>
      </c>
      <c r="K424" s="15">
        <v>1</v>
      </c>
      <c r="L424" s="17"/>
      <c r="M424" s="17"/>
      <c r="N424" s="17"/>
      <c r="O424" s="17"/>
      <c r="P424" s="17"/>
      <c r="Q424" s="17"/>
      <c r="R424" s="17"/>
      <c r="S424" s="15"/>
      <c r="T424" s="26">
        <v>45618</v>
      </c>
      <c r="U424" s="15" t="s">
        <v>146</v>
      </c>
      <c r="V424">
        <v>2</v>
      </c>
      <c r="X424" s="51" t="s">
        <v>107</v>
      </c>
      <c r="Y424" s="52">
        <f>COUNTIF(U422:U446,"R")</f>
        <v>8</v>
      </c>
    </row>
    <row r="425" spans="1:25" ht="19.5" thickBot="1" x14ac:dyDescent="0.45">
      <c r="A425" s="135"/>
      <c r="B425" s="141"/>
      <c r="C425" s="86" t="s">
        <v>394</v>
      </c>
      <c r="D425" s="109" t="s">
        <v>185</v>
      </c>
      <c r="E425" s="15" t="s">
        <v>57</v>
      </c>
      <c r="F425" s="16"/>
      <c r="G425" s="15" t="s">
        <v>191</v>
      </c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>
        <v>45607</v>
      </c>
      <c r="U425" s="15" t="s">
        <v>147</v>
      </c>
      <c r="V425">
        <v>3</v>
      </c>
      <c r="X425" s="53" t="s">
        <v>108</v>
      </c>
      <c r="Y425" s="54">
        <f>COUNTIF(U422:U446,"J")</f>
        <v>2</v>
      </c>
    </row>
    <row r="426" spans="1:25" x14ac:dyDescent="0.4">
      <c r="A426" s="135"/>
      <c r="B426" s="141"/>
      <c r="C426" s="86" t="s">
        <v>395</v>
      </c>
      <c r="D426" s="109" t="s">
        <v>179</v>
      </c>
      <c r="E426" s="15" t="s">
        <v>41</v>
      </c>
      <c r="F426" s="16"/>
      <c r="G426" s="15" t="s">
        <v>180</v>
      </c>
      <c r="H426" s="15"/>
      <c r="I426" s="15"/>
      <c r="J426" s="15"/>
      <c r="K426" s="15"/>
      <c r="L426" s="17"/>
      <c r="M426" s="17"/>
      <c r="N426" s="17">
        <v>1</v>
      </c>
      <c r="O426" s="17"/>
      <c r="P426" s="17"/>
      <c r="Q426" s="17">
        <v>1</v>
      </c>
      <c r="R426" s="17"/>
      <c r="S426" s="15"/>
      <c r="T426" s="26">
        <v>45599</v>
      </c>
      <c r="U426" s="15" t="s">
        <v>147</v>
      </c>
      <c r="V426">
        <v>4</v>
      </c>
    </row>
    <row r="427" spans="1:25" x14ac:dyDescent="0.4">
      <c r="A427" s="135"/>
      <c r="B427" s="141"/>
      <c r="C427" s="86" t="s">
        <v>396</v>
      </c>
      <c r="D427" s="109" t="s">
        <v>179</v>
      </c>
      <c r="E427" s="15" t="s">
        <v>36</v>
      </c>
      <c r="F427" s="16"/>
      <c r="G427" s="15" t="s">
        <v>180</v>
      </c>
      <c r="H427" s="15"/>
      <c r="I427" s="15"/>
      <c r="J427" s="15"/>
      <c r="K427" s="15"/>
      <c r="L427" s="17"/>
      <c r="M427" s="17">
        <v>1</v>
      </c>
      <c r="N427" s="17">
        <v>1</v>
      </c>
      <c r="O427" s="17"/>
      <c r="P427" s="17"/>
      <c r="Q427" s="17">
        <v>1</v>
      </c>
      <c r="R427" s="17"/>
      <c r="S427" s="15"/>
      <c r="T427" s="26">
        <v>45599</v>
      </c>
      <c r="U427" s="15" t="s">
        <v>147</v>
      </c>
      <c r="V427">
        <v>5</v>
      </c>
    </row>
    <row r="428" spans="1:25" x14ac:dyDescent="0.4">
      <c r="A428" s="135"/>
      <c r="B428" s="141"/>
      <c r="C428" s="86" t="s">
        <v>397</v>
      </c>
      <c r="D428" s="109" t="s">
        <v>199</v>
      </c>
      <c r="E428" s="15" t="s">
        <v>37</v>
      </c>
      <c r="F428" s="16"/>
      <c r="G428" s="15" t="s">
        <v>180</v>
      </c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>
        <v>45622</v>
      </c>
      <c r="U428" s="15" t="s">
        <v>147</v>
      </c>
      <c r="V428">
        <v>6</v>
      </c>
    </row>
    <row r="429" spans="1:25" x14ac:dyDescent="0.4">
      <c r="A429" s="135"/>
      <c r="B429" s="141"/>
      <c r="C429" s="86" t="s">
        <v>398</v>
      </c>
      <c r="D429" s="109" t="s">
        <v>199</v>
      </c>
      <c r="E429" s="15" t="s">
        <v>37</v>
      </c>
      <c r="F429" s="16"/>
      <c r="G429" s="15" t="s">
        <v>180</v>
      </c>
      <c r="H429" s="15" t="s">
        <v>147</v>
      </c>
      <c r="I429" s="15"/>
      <c r="J429" s="15"/>
      <c r="K429" s="15"/>
      <c r="L429" s="17"/>
      <c r="M429" s="17">
        <v>1</v>
      </c>
      <c r="N429" s="17">
        <v>1</v>
      </c>
      <c r="O429" s="17"/>
      <c r="P429" s="17"/>
      <c r="Q429" s="17"/>
      <c r="R429" s="17"/>
      <c r="S429" s="15"/>
      <c r="T429" s="26">
        <v>45626</v>
      </c>
      <c r="U429" s="15" t="s">
        <v>147</v>
      </c>
      <c r="V429">
        <v>7</v>
      </c>
    </row>
    <row r="430" spans="1:25" x14ac:dyDescent="0.4">
      <c r="A430" s="135"/>
      <c r="B430" s="141"/>
      <c r="C430" s="86" t="s">
        <v>399</v>
      </c>
      <c r="D430" s="109" t="s">
        <v>186</v>
      </c>
      <c r="E430" s="15" t="s">
        <v>75</v>
      </c>
      <c r="F430" s="16"/>
      <c r="G430" s="15" t="s">
        <v>180</v>
      </c>
      <c r="H430" s="15" t="s">
        <v>147</v>
      </c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>
        <v>45602</v>
      </c>
      <c r="U430" s="15" t="s">
        <v>147</v>
      </c>
      <c r="V430">
        <v>8</v>
      </c>
    </row>
    <row r="431" spans="1:25" x14ac:dyDescent="0.4">
      <c r="A431" s="135"/>
      <c r="B431" s="141"/>
      <c r="C431" s="86" t="s">
        <v>400</v>
      </c>
      <c r="D431" s="109" t="s">
        <v>179</v>
      </c>
      <c r="E431" s="15" t="s">
        <v>37</v>
      </c>
      <c r="F431" s="16"/>
      <c r="G431" s="15" t="s">
        <v>180</v>
      </c>
      <c r="H431" s="15"/>
      <c r="I431" s="15"/>
      <c r="J431" s="15">
        <v>1</v>
      </c>
      <c r="K431" s="15">
        <v>1</v>
      </c>
      <c r="L431" s="17"/>
      <c r="M431" s="17"/>
      <c r="N431" s="17"/>
      <c r="O431" s="17"/>
      <c r="P431" s="17"/>
      <c r="Q431" s="17"/>
      <c r="R431" s="17"/>
      <c r="S431" s="15"/>
      <c r="T431" s="26">
        <v>45602</v>
      </c>
      <c r="U431" s="15" t="s">
        <v>146</v>
      </c>
      <c r="V431">
        <v>9</v>
      </c>
    </row>
    <row r="432" spans="1:25" x14ac:dyDescent="0.4">
      <c r="A432" s="135"/>
      <c r="B432" s="141"/>
      <c r="C432" s="86" t="s">
        <v>401</v>
      </c>
      <c r="D432" s="109" t="s">
        <v>195</v>
      </c>
      <c r="E432" s="15" t="s">
        <v>37</v>
      </c>
      <c r="F432" s="16"/>
      <c r="G432" s="15" t="s">
        <v>180</v>
      </c>
      <c r="H432" s="15"/>
      <c r="I432" s="15"/>
      <c r="J432" s="15"/>
      <c r="K432" s="15">
        <v>1</v>
      </c>
      <c r="L432" s="17"/>
      <c r="M432" s="17"/>
      <c r="N432" s="17"/>
      <c r="O432" s="17"/>
      <c r="P432" s="17"/>
      <c r="Q432" s="17"/>
      <c r="R432" s="17"/>
      <c r="S432" s="15"/>
      <c r="T432" s="26">
        <v>45594</v>
      </c>
      <c r="U432" s="15" t="s">
        <v>146</v>
      </c>
      <c r="V432">
        <v>10</v>
      </c>
    </row>
    <row r="433" spans="1:22" x14ac:dyDescent="0.4">
      <c r="A433" s="135"/>
      <c r="B433" s="141"/>
      <c r="C433" s="86" t="s">
        <v>402</v>
      </c>
      <c r="D433" s="109" t="s">
        <v>195</v>
      </c>
      <c r="E433" s="15" t="s">
        <v>36</v>
      </c>
      <c r="F433" s="16"/>
      <c r="G433" s="15" t="s">
        <v>180</v>
      </c>
      <c r="H433" s="15"/>
      <c r="I433" s="15"/>
      <c r="J433" s="15">
        <v>1</v>
      </c>
      <c r="K433" s="15">
        <v>1</v>
      </c>
      <c r="L433" s="17"/>
      <c r="M433" s="17"/>
      <c r="N433" s="17"/>
      <c r="O433" s="17"/>
      <c r="P433" s="17"/>
      <c r="Q433" s="17"/>
      <c r="R433" s="17"/>
      <c r="S433" s="15"/>
      <c r="T433" s="26">
        <v>45594</v>
      </c>
      <c r="U433" s="15" t="s">
        <v>146</v>
      </c>
      <c r="V433">
        <v>11</v>
      </c>
    </row>
    <row r="434" spans="1:22" x14ac:dyDescent="0.4">
      <c r="A434" s="135"/>
      <c r="B434" s="141"/>
      <c r="C434" s="86" t="s">
        <v>403</v>
      </c>
      <c r="D434" s="109" t="s">
        <v>186</v>
      </c>
      <c r="E434" s="15" t="s">
        <v>40</v>
      </c>
      <c r="F434" s="16"/>
      <c r="G434" s="15" t="s">
        <v>180</v>
      </c>
      <c r="H434" s="15"/>
      <c r="I434" s="15"/>
      <c r="J434" s="15"/>
      <c r="K434" s="15"/>
      <c r="L434" s="17"/>
      <c r="M434" s="17"/>
      <c r="N434" s="17"/>
      <c r="O434" s="17">
        <v>1</v>
      </c>
      <c r="P434" s="17">
        <v>1</v>
      </c>
      <c r="Q434" s="17"/>
      <c r="R434" s="17"/>
      <c r="S434" s="15"/>
      <c r="T434" s="26">
        <v>45600</v>
      </c>
      <c r="U434" s="15" t="s">
        <v>148</v>
      </c>
      <c r="V434">
        <v>12</v>
      </c>
    </row>
    <row r="435" spans="1:22" x14ac:dyDescent="0.4">
      <c r="A435" s="135"/>
      <c r="B435" s="141"/>
      <c r="C435" s="86" t="s">
        <v>404</v>
      </c>
      <c r="D435" s="109" t="s">
        <v>179</v>
      </c>
      <c r="E435" s="15" t="s">
        <v>37</v>
      </c>
      <c r="F435" s="16"/>
      <c r="G435" s="15" t="s">
        <v>180</v>
      </c>
      <c r="H435" s="15"/>
      <c r="I435" s="15"/>
      <c r="J435" s="15"/>
      <c r="K435" s="15"/>
      <c r="L435" s="17"/>
      <c r="M435" s="17">
        <v>1</v>
      </c>
      <c r="N435" s="17">
        <v>1</v>
      </c>
      <c r="O435" s="17"/>
      <c r="P435" s="17"/>
      <c r="Q435" s="17">
        <v>1</v>
      </c>
      <c r="R435" s="17"/>
      <c r="S435" s="15"/>
      <c r="T435" s="26">
        <v>45605</v>
      </c>
      <c r="U435" s="15" t="s">
        <v>147</v>
      </c>
      <c r="V435">
        <v>13</v>
      </c>
    </row>
    <row r="436" spans="1:22" x14ac:dyDescent="0.4">
      <c r="A436" s="135"/>
      <c r="B436" s="141"/>
      <c r="C436" s="86" t="s">
        <v>405</v>
      </c>
      <c r="D436" s="109" t="s">
        <v>186</v>
      </c>
      <c r="E436" s="15" t="s">
        <v>75</v>
      </c>
      <c r="F436" s="16"/>
      <c r="G436" s="15" t="s">
        <v>180</v>
      </c>
      <c r="H436" s="15" t="s">
        <v>147</v>
      </c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>
        <v>45602</v>
      </c>
      <c r="U436" s="15" t="s">
        <v>147</v>
      </c>
      <c r="V436">
        <v>14</v>
      </c>
    </row>
    <row r="437" spans="1:22" x14ac:dyDescent="0.4">
      <c r="A437" s="135"/>
      <c r="B437" s="141"/>
      <c r="C437" s="86" t="s">
        <v>406</v>
      </c>
      <c r="D437" s="106" t="s">
        <v>186</v>
      </c>
      <c r="E437" s="15" t="s">
        <v>40</v>
      </c>
      <c r="F437" s="16"/>
      <c r="G437" s="15" t="s">
        <v>187</v>
      </c>
      <c r="H437" s="15"/>
      <c r="I437" s="15"/>
      <c r="J437" s="15"/>
      <c r="K437" s="15"/>
      <c r="L437" s="17"/>
      <c r="M437" s="17"/>
      <c r="N437" s="17"/>
      <c r="O437" s="17">
        <v>1</v>
      </c>
      <c r="P437" s="17">
        <v>1</v>
      </c>
      <c r="Q437" s="17"/>
      <c r="R437" s="17"/>
      <c r="S437" s="15"/>
      <c r="T437" s="26">
        <v>45602</v>
      </c>
      <c r="U437" s="15" t="s">
        <v>148</v>
      </c>
      <c r="V437">
        <v>15</v>
      </c>
    </row>
    <row r="438" spans="1:22" x14ac:dyDescent="0.4">
      <c r="A438" s="135"/>
      <c r="B438" s="14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5"/>
      <c r="B439" s="14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5"/>
      <c r="B440" s="14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5"/>
      <c r="B441" s="14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5"/>
      <c r="B442" s="14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5"/>
      <c r="B443" s="14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5"/>
      <c r="B444" s="14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5"/>
      <c r="B445" s="14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5"/>
      <c r="B446" s="14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6"/>
      <c r="B447" s="14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15</v>
      </c>
      <c r="D448" s="112"/>
      <c r="E448" s="29"/>
      <c r="F448" s="29" t="s">
        <v>34</v>
      </c>
      <c r="G448" s="29">
        <f>COUNTIF(G423:G447,"S")</f>
        <v>13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4</v>
      </c>
      <c r="K448" s="29">
        <f t="shared" si="86"/>
        <v>5</v>
      </c>
      <c r="L448" s="29">
        <f t="shared" si="86"/>
        <v>0</v>
      </c>
      <c r="M448" s="29">
        <f t="shared" si="86"/>
        <v>3</v>
      </c>
      <c r="N448" s="29">
        <f t="shared" si="86"/>
        <v>4</v>
      </c>
      <c r="O448" s="29">
        <f t="shared" si="86"/>
        <v>2</v>
      </c>
      <c r="P448" s="29">
        <f t="shared" si="86"/>
        <v>2</v>
      </c>
      <c r="Q448" s="29">
        <f t="shared" si="86"/>
        <v>3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1</v>
      </c>
      <c r="H449" s="29">
        <f>COUNTIF(H423:H447,"R")</f>
        <v>3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23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2" t="s">
        <v>105</v>
      </c>
      <c r="Y451" s="133"/>
    </row>
    <row r="452" spans="1:25" ht="19.5" thickTop="1" x14ac:dyDescent="0.4">
      <c r="A452" s="134">
        <v>16</v>
      </c>
      <c r="B452" s="137">
        <v>20</v>
      </c>
      <c r="C452" s="85" t="s">
        <v>407</v>
      </c>
      <c r="D452" s="109" t="s">
        <v>195</v>
      </c>
      <c r="E452" s="15" t="s">
        <v>60</v>
      </c>
      <c r="F452" s="14"/>
      <c r="G452" s="12" t="s">
        <v>180</v>
      </c>
      <c r="H452" s="13"/>
      <c r="I452" s="13"/>
      <c r="J452" s="13">
        <v>1</v>
      </c>
      <c r="K452" s="13">
        <v>1</v>
      </c>
      <c r="L452" s="13">
        <v>1</v>
      </c>
      <c r="M452" s="13"/>
      <c r="N452" s="13"/>
      <c r="O452" s="13"/>
      <c r="P452" s="13"/>
      <c r="Q452" s="13"/>
      <c r="R452" s="13"/>
      <c r="S452" s="13"/>
      <c r="T452" s="25">
        <v>45604</v>
      </c>
      <c r="U452" s="13" t="s">
        <v>146</v>
      </c>
      <c r="V452">
        <v>1</v>
      </c>
      <c r="X452" s="51" t="s">
        <v>106</v>
      </c>
      <c r="Y452" s="52">
        <f>COUNTIF(U452:U476,"K")</f>
        <v>9</v>
      </c>
    </row>
    <row r="453" spans="1:25" x14ac:dyDescent="0.4">
      <c r="A453" s="135"/>
      <c r="B453" s="138"/>
      <c r="C453" s="85" t="s">
        <v>408</v>
      </c>
      <c r="D453" s="109" t="s">
        <v>197</v>
      </c>
      <c r="E453" s="15" t="s">
        <v>60</v>
      </c>
      <c r="F453" s="16"/>
      <c r="G453" s="12" t="s">
        <v>180</v>
      </c>
      <c r="H453" s="15"/>
      <c r="I453" s="13"/>
      <c r="J453" s="15">
        <v>1</v>
      </c>
      <c r="K453" s="15"/>
      <c r="L453" s="17">
        <v>1</v>
      </c>
      <c r="M453" s="17"/>
      <c r="N453" s="17"/>
      <c r="O453" s="17"/>
      <c r="P453" s="17"/>
      <c r="Q453" s="17"/>
      <c r="R453" s="17"/>
      <c r="S453" s="15"/>
      <c r="T453" s="25">
        <v>45594</v>
      </c>
      <c r="U453" s="13" t="s">
        <v>146</v>
      </c>
      <c r="V453">
        <v>2</v>
      </c>
      <c r="X453" s="51" t="s">
        <v>107</v>
      </c>
      <c r="Y453" s="52">
        <f>COUNTIF(U452:U476,"R")</f>
        <v>1</v>
      </c>
    </row>
    <row r="454" spans="1:25" ht="19.5" thickBot="1" x14ac:dyDescent="0.45">
      <c r="A454" s="135"/>
      <c r="B454" s="138"/>
      <c r="C454" s="85" t="s">
        <v>409</v>
      </c>
      <c r="D454" s="109" t="s">
        <v>197</v>
      </c>
      <c r="E454" s="15" t="s">
        <v>60</v>
      </c>
      <c r="F454" s="16"/>
      <c r="G454" s="12" t="s">
        <v>180</v>
      </c>
      <c r="H454" s="13"/>
      <c r="I454" s="13"/>
      <c r="J454" s="15">
        <v>1</v>
      </c>
      <c r="K454" s="15"/>
      <c r="L454" s="17">
        <v>1</v>
      </c>
      <c r="M454" s="17"/>
      <c r="N454" s="17"/>
      <c r="O454" s="17"/>
      <c r="P454" s="17"/>
      <c r="Q454" s="17"/>
      <c r="R454" s="17"/>
      <c r="S454" s="15"/>
      <c r="T454" s="25">
        <v>45594</v>
      </c>
      <c r="U454" s="13" t="s">
        <v>146</v>
      </c>
      <c r="V454">
        <v>3</v>
      </c>
      <c r="X454" s="53" t="s">
        <v>108</v>
      </c>
      <c r="Y454" s="54">
        <f>COUNTIF(U452:U476,"J")</f>
        <v>3</v>
      </c>
    </row>
    <row r="455" spans="1:25" x14ac:dyDescent="0.4">
      <c r="A455" s="135"/>
      <c r="B455" s="138"/>
      <c r="C455" s="85" t="s">
        <v>410</v>
      </c>
      <c r="D455" s="109" t="s">
        <v>197</v>
      </c>
      <c r="E455" s="15" t="s">
        <v>60</v>
      </c>
      <c r="F455" s="16"/>
      <c r="G455" s="12" t="s">
        <v>180</v>
      </c>
      <c r="H455" s="15"/>
      <c r="I455" s="13"/>
      <c r="J455" s="13">
        <v>1</v>
      </c>
      <c r="K455" s="15"/>
      <c r="L455" s="17">
        <v>1</v>
      </c>
      <c r="M455" s="17"/>
      <c r="N455" s="17"/>
      <c r="O455" s="17"/>
      <c r="P455" s="17"/>
      <c r="Q455" s="17"/>
      <c r="R455" s="17"/>
      <c r="S455" s="15"/>
      <c r="T455" s="25">
        <v>45602</v>
      </c>
      <c r="U455" s="13" t="s">
        <v>146</v>
      </c>
      <c r="V455">
        <v>4</v>
      </c>
    </row>
    <row r="456" spans="1:25" x14ac:dyDescent="0.4">
      <c r="A456" s="135"/>
      <c r="B456" s="138"/>
      <c r="C456" s="85" t="s">
        <v>411</v>
      </c>
      <c r="D456" s="109" t="s">
        <v>188</v>
      </c>
      <c r="E456" s="15" t="s">
        <v>60</v>
      </c>
      <c r="F456" s="16"/>
      <c r="G456" s="12" t="s">
        <v>180</v>
      </c>
      <c r="H456" s="15"/>
      <c r="I456" s="13"/>
      <c r="J456" s="15">
        <v>1</v>
      </c>
      <c r="K456" s="15"/>
      <c r="L456" s="17">
        <v>1</v>
      </c>
      <c r="M456" s="17"/>
      <c r="N456" s="17"/>
      <c r="O456" s="17"/>
      <c r="P456" s="17"/>
      <c r="Q456" s="17"/>
      <c r="R456" s="17"/>
      <c r="S456" s="15"/>
      <c r="T456" s="25">
        <v>45594</v>
      </c>
      <c r="U456" s="25" t="s">
        <v>146</v>
      </c>
      <c r="V456">
        <v>5</v>
      </c>
    </row>
    <row r="457" spans="1:25" x14ac:dyDescent="0.4">
      <c r="A457" s="135"/>
      <c r="B457" s="138"/>
      <c r="C457" s="85" t="s">
        <v>412</v>
      </c>
      <c r="D457" s="109" t="s">
        <v>188</v>
      </c>
      <c r="E457" s="15" t="s">
        <v>40</v>
      </c>
      <c r="F457" s="16"/>
      <c r="G457" s="12" t="s">
        <v>180</v>
      </c>
      <c r="H457" s="13"/>
      <c r="I457" s="13"/>
      <c r="J457" s="15"/>
      <c r="K457" s="15"/>
      <c r="L457" s="17"/>
      <c r="M457" s="17"/>
      <c r="N457" s="17"/>
      <c r="O457" s="17">
        <v>1</v>
      </c>
      <c r="P457" s="17">
        <v>1</v>
      </c>
      <c r="Q457" s="17"/>
      <c r="R457" s="17">
        <v>1</v>
      </c>
      <c r="S457" s="15"/>
      <c r="T457" s="25">
        <v>45594</v>
      </c>
      <c r="U457" s="25" t="s">
        <v>148</v>
      </c>
      <c r="V457">
        <v>6</v>
      </c>
    </row>
    <row r="458" spans="1:25" x14ac:dyDescent="0.4">
      <c r="A458" s="135"/>
      <c r="B458" s="138"/>
      <c r="C458" s="85" t="s">
        <v>413</v>
      </c>
      <c r="D458" s="109" t="s">
        <v>197</v>
      </c>
      <c r="E458" s="15" t="s">
        <v>60</v>
      </c>
      <c r="F458" s="16"/>
      <c r="G458" s="12" t="s">
        <v>180</v>
      </c>
      <c r="H458" s="15"/>
      <c r="I458" s="13"/>
      <c r="J458" s="15">
        <v>1</v>
      </c>
      <c r="K458" s="15"/>
      <c r="L458" s="17">
        <v>1</v>
      </c>
      <c r="M458" s="17"/>
      <c r="N458" s="17"/>
      <c r="O458" s="17"/>
      <c r="P458" s="17"/>
      <c r="Q458" s="17"/>
      <c r="R458" s="17"/>
      <c r="S458" s="15"/>
      <c r="T458" s="25">
        <v>45602</v>
      </c>
      <c r="U458" s="13" t="s">
        <v>146</v>
      </c>
      <c r="V458">
        <v>7</v>
      </c>
    </row>
    <row r="459" spans="1:25" x14ac:dyDescent="0.4">
      <c r="A459" s="135"/>
      <c r="B459" s="138"/>
      <c r="C459" s="85" t="s">
        <v>414</v>
      </c>
      <c r="D459" s="109" t="s">
        <v>197</v>
      </c>
      <c r="E459" s="15" t="s">
        <v>60</v>
      </c>
      <c r="F459" s="16"/>
      <c r="G459" s="12" t="s">
        <v>180</v>
      </c>
      <c r="H459" s="15"/>
      <c r="I459" s="13"/>
      <c r="J459" s="15">
        <v>1</v>
      </c>
      <c r="K459" s="15"/>
      <c r="L459" s="17">
        <v>1</v>
      </c>
      <c r="M459" s="17"/>
      <c r="N459" s="17"/>
      <c r="O459" s="17"/>
      <c r="P459" s="17"/>
      <c r="Q459" s="17"/>
      <c r="R459" s="17"/>
      <c r="S459" s="15"/>
      <c r="T459" s="25">
        <v>45602</v>
      </c>
      <c r="U459" s="13" t="s">
        <v>146</v>
      </c>
      <c r="V459">
        <v>8</v>
      </c>
    </row>
    <row r="460" spans="1:25" x14ac:dyDescent="0.4">
      <c r="A460" s="135"/>
      <c r="B460" s="138"/>
      <c r="C460" s="85" t="s">
        <v>415</v>
      </c>
      <c r="D460" s="109" t="s">
        <v>182</v>
      </c>
      <c r="E460" s="15" t="s">
        <v>43</v>
      </c>
      <c r="F460" s="16"/>
      <c r="G460" s="12" t="s">
        <v>180</v>
      </c>
      <c r="H460" s="15"/>
      <c r="I460" s="13"/>
      <c r="J460" s="15">
        <v>1</v>
      </c>
      <c r="K460" s="15"/>
      <c r="L460" s="17"/>
      <c r="M460" s="17"/>
      <c r="N460" s="17"/>
      <c r="O460" s="17"/>
      <c r="P460" s="17"/>
      <c r="Q460" s="17"/>
      <c r="R460" s="17"/>
      <c r="S460" s="15"/>
      <c r="T460" s="25">
        <v>45600</v>
      </c>
      <c r="U460" s="13" t="s">
        <v>146</v>
      </c>
      <c r="V460">
        <v>9</v>
      </c>
    </row>
    <row r="461" spans="1:25" x14ac:dyDescent="0.4">
      <c r="A461" s="135"/>
      <c r="B461" s="138"/>
      <c r="C461" s="85" t="s">
        <v>416</v>
      </c>
      <c r="D461" s="109" t="s">
        <v>182</v>
      </c>
      <c r="E461" s="15" t="s">
        <v>45</v>
      </c>
      <c r="F461" s="16"/>
      <c r="G461" s="12" t="s">
        <v>180</v>
      </c>
      <c r="H461" s="15" t="s">
        <v>147</v>
      </c>
      <c r="I461" s="15"/>
      <c r="J461" s="15"/>
      <c r="K461" s="15"/>
      <c r="L461" s="17"/>
      <c r="M461" s="17">
        <v>1</v>
      </c>
      <c r="N461" s="17">
        <v>1</v>
      </c>
      <c r="O461" s="17"/>
      <c r="P461" s="17"/>
      <c r="Q461" s="17"/>
      <c r="R461" s="17"/>
      <c r="S461" s="15"/>
      <c r="T461" s="25">
        <v>45600</v>
      </c>
      <c r="U461" s="13" t="s">
        <v>147</v>
      </c>
      <c r="V461">
        <v>10</v>
      </c>
    </row>
    <row r="462" spans="1:25" x14ac:dyDescent="0.4">
      <c r="A462" s="135"/>
      <c r="B462" s="138"/>
      <c r="C462" s="85" t="s">
        <v>417</v>
      </c>
      <c r="D462" s="109" t="s">
        <v>182</v>
      </c>
      <c r="E462" s="15" t="s">
        <v>40</v>
      </c>
      <c r="F462" s="16"/>
      <c r="G462" s="12" t="s">
        <v>187</v>
      </c>
      <c r="H462" s="15"/>
      <c r="I462" s="15"/>
      <c r="J462" s="15"/>
      <c r="K462" s="15"/>
      <c r="L462" s="17"/>
      <c r="M462" s="17"/>
      <c r="N462" s="17"/>
      <c r="O462" s="17">
        <v>1</v>
      </c>
      <c r="P462" s="17">
        <v>1</v>
      </c>
      <c r="Q462" s="17">
        <v>1</v>
      </c>
      <c r="R462" s="17">
        <v>1</v>
      </c>
      <c r="S462" s="15"/>
      <c r="T462" s="25">
        <v>45600</v>
      </c>
      <c r="U462" s="13" t="s">
        <v>148</v>
      </c>
      <c r="V462">
        <v>11</v>
      </c>
    </row>
    <row r="463" spans="1:25" x14ac:dyDescent="0.4">
      <c r="A463" s="135"/>
      <c r="B463" s="138"/>
      <c r="C463" s="85" t="s">
        <v>418</v>
      </c>
      <c r="D463" s="109" t="s">
        <v>182</v>
      </c>
      <c r="E463" s="15" t="s">
        <v>40</v>
      </c>
      <c r="F463" s="16"/>
      <c r="G463" s="12" t="s">
        <v>187</v>
      </c>
      <c r="H463" s="15"/>
      <c r="I463" s="15"/>
      <c r="J463" s="15"/>
      <c r="K463" s="15"/>
      <c r="L463" s="17"/>
      <c r="M463" s="17"/>
      <c r="N463" s="17"/>
      <c r="O463" s="17">
        <v>1</v>
      </c>
      <c r="P463" s="17">
        <v>1</v>
      </c>
      <c r="Q463" s="17"/>
      <c r="R463" s="17"/>
      <c r="S463" s="15"/>
      <c r="T463" s="25">
        <v>45600</v>
      </c>
      <c r="U463" s="13" t="s">
        <v>148</v>
      </c>
      <c r="V463">
        <v>12</v>
      </c>
    </row>
    <row r="464" spans="1:25" x14ac:dyDescent="0.4">
      <c r="A464" s="135"/>
      <c r="B464" s="138"/>
      <c r="C464" s="85" t="s">
        <v>419</v>
      </c>
      <c r="D464" s="109" t="s">
        <v>197</v>
      </c>
      <c r="E464" s="15" t="s">
        <v>60</v>
      </c>
      <c r="F464" s="16"/>
      <c r="G464" s="12" t="s">
        <v>180</v>
      </c>
      <c r="H464" s="15"/>
      <c r="I464" s="15"/>
      <c r="J464" s="15">
        <v>1</v>
      </c>
      <c r="K464" s="15"/>
      <c r="L464" s="17">
        <v>1</v>
      </c>
      <c r="M464" s="17"/>
      <c r="N464" s="17"/>
      <c r="O464" s="17"/>
      <c r="P464" s="17"/>
      <c r="Q464" s="17"/>
      <c r="R464" s="17"/>
      <c r="S464" s="15"/>
      <c r="T464" s="25">
        <v>45602</v>
      </c>
      <c r="U464" s="13" t="s">
        <v>146</v>
      </c>
      <c r="V464">
        <v>13</v>
      </c>
    </row>
    <row r="465" spans="1:25" x14ac:dyDescent="0.4">
      <c r="A465" s="135"/>
      <c r="B465" s="13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5"/>
      <c r="B466" s="13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5"/>
      <c r="B467" s="13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5"/>
      <c r="B468" s="13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5"/>
      <c r="B469" s="13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5"/>
      <c r="B470" s="13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5"/>
      <c r="B471" s="13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5"/>
      <c r="B472" s="13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5"/>
      <c r="B473" s="13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5"/>
      <c r="B474" s="13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29</v>
      </c>
    </row>
    <row r="475" spans="1:25" x14ac:dyDescent="0.4">
      <c r="A475" s="135"/>
      <c r="B475" s="13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6"/>
      <c r="B476" s="13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13</v>
      </c>
    </row>
    <row r="477" spans="1:25" x14ac:dyDescent="0.4">
      <c r="A477" s="27"/>
      <c r="B477" s="28"/>
      <c r="C477" s="88">
        <f>COUNTA(C452:C476)</f>
        <v>13</v>
      </c>
      <c r="D477" s="112"/>
      <c r="E477" s="29"/>
      <c r="F477" s="29" t="s">
        <v>34</v>
      </c>
      <c r="G477" s="29">
        <f>COUNTIF(G452:G476,"S")</f>
        <v>11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9</v>
      </c>
      <c r="K477" s="29">
        <f t="shared" si="87"/>
        <v>1</v>
      </c>
      <c r="L477" s="29">
        <f t="shared" si="87"/>
        <v>8</v>
      </c>
      <c r="M477" s="29">
        <f t="shared" si="87"/>
        <v>1</v>
      </c>
      <c r="N477" s="29">
        <f t="shared" si="87"/>
        <v>1</v>
      </c>
      <c r="O477" s="29">
        <f t="shared" si="87"/>
        <v>3</v>
      </c>
      <c r="P477" s="29">
        <f t="shared" si="87"/>
        <v>3</v>
      </c>
      <c r="Q477" s="29">
        <f t="shared" si="87"/>
        <v>1</v>
      </c>
      <c r="R477" s="29">
        <f t="shared" si="87"/>
        <v>2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2</v>
      </c>
      <c r="H478" s="29">
        <f>COUNTIF(H452:H476,"R")</f>
        <v>1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29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6" t="s">
        <v>47</v>
      </c>
      <c r="C26" s="15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7"/>
      <c r="C27" s="157"/>
      <c r="D27" s="158">
        <f>SUM(D26:F26)</f>
        <v>116</v>
      </c>
      <c r="E27" s="158"/>
      <c r="F27" s="15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P963"/>
  <sheetViews>
    <sheetView topLeftCell="A5" zoomScaleNormal="100" workbookViewId="0">
      <selection sqref="A1:D3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5" width="16.625" customWidth="1"/>
    <col min="16" max="16" width="11" customWidth="1"/>
    <col min="17" max="17" width="10.5" style="121" customWidth="1"/>
    <col min="18" max="18" width="10.25" style="121" customWidth="1"/>
    <col min="19" max="19" width="10.875" style="121" customWidth="1"/>
    <col min="20" max="33" width="16.625" customWidth="1"/>
    <col min="34" max="34" width="20.5" customWidth="1"/>
    <col min="39" max="39" width="12.375" customWidth="1"/>
    <col min="40" max="40" width="11.25" customWidth="1"/>
    <col min="41" max="41" width="10.5" customWidth="1"/>
    <col min="42" max="42" width="10.25" customWidth="1"/>
  </cols>
  <sheetData>
    <row r="1" spans="1:38" x14ac:dyDescent="0.4">
      <c r="A1" s="120" t="s">
        <v>206</v>
      </c>
      <c r="B1" s="121"/>
      <c r="C1" s="121"/>
      <c r="D1" s="121"/>
      <c r="J1" t="s">
        <v>143</v>
      </c>
      <c r="K1" t="s">
        <v>144</v>
      </c>
      <c r="P1" s="120"/>
      <c r="AH1" t="s">
        <v>143</v>
      </c>
      <c r="AI1" t="s">
        <v>144</v>
      </c>
    </row>
    <row r="2" spans="1:38" ht="19.5" x14ac:dyDescent="0.4">
      <c r="A2" s="116"/>
      <c r="B2" s="123" t="s">
        <v>146</v>
      </c>
      <c r="C2" s="123" t="s">
        <v>147</v>
      </c>
      <c r="D2" s="123" t="s">
        <v>148</v>
      </c>
      <c r="J2" s="25">
        <v>45584</v>
      </c>
      <c r="K2" s="13" t="s">
        <v>146</v>
      </c>
      <c r="P2" s="116"/>
      <c r="Q2" s="123"/>
      <c r="R2" s="123"/>
      <c r="S2" s="123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25">
        <v>45258</v>
      </c>
      <c r="AI2" s="13" t="s">
        <v>162</v>
      </c>
      <c r="AL2" s="114"/>
    </row>
    <row r="3" spans="1:38" ht="19.5" x14ac:dyDescent="0.4">
      <c r="A3" s="117">
        <v>45584</v>
      </c>
      <c r="B3" s="123">
        <v>1</v>
      </c>
      <c r="C3" s="123"/>
      <c r="D3" s="123"/>
      <c r="I3" s="115" t="s">
        <v>202</v>
      </c>
      <c r="J3" s="13">
        <f>SUBTOTAL(3,J2:J2)</f>
        <v>1</v>
      </c>
      <c r="K3" s="13">
        <f>SUBTOTAL(3,K2:K2)</f>
        <v>1</v>
      </c>
      <c r="P3" s="116"/>
      <c r="Q3" s="123"/>
      <c r="R3" s="123"/>
      <c r="S3" s="123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25"/>
      <c r="AI3" s="13"/>
      <c r="AL3" s="114"/>
    </row>
    <row r="4" spans="1:38" ht="19.5" x14ac:dyDescent="0.4">
      <c r="A4" s="117">
        <v>45587</v>
      </c>
      <c r="B4" s="123">
        <v>1</v>
      </c>
      <c r="C4" s="123">
        <v>1</v>
      </c>
      <c r="D4" s="123"/>
      <c r="G4" s="115"/>
      <c r="H4" s="115"/>
      <c r="I4" s="115"/>
      <c r="J4" s="25">
        <v>45587</v>
      </c>
      <c r="K4" s="13" t="s">
        <v>146</v>
      </c>
      <c r="P4" s="116"/>
      <c r="Q4" s="123"/>
      <c r="R4" s="123"/>
      <c r="S4" s="123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25"/>
      <c r="AI4" s="13"/>
      <c r="AL4" s="114"/>
    </row>
    <row r="5" spans="1:38" ht="19.5" x14ac:dyDescent="0.4">
      <c r="A5" s="117">
        <v>45588</v>
      </c>
      <c r="B5" s="123">
        <v>3</v>
      </c>
      <c r="C5" s="123">
        <v>1</v>
      </c>
      <c r="D5" s="123">
        <v>2</v>
      </c>
      <c r="J5" s="25">
        <v>45587</v>
      </c>
      <c r="K5" s="13" t="s">
        <v>147</v>
      </c>
      <c r="P5" s="116"/>
      <c r="Q5" s="123"/>
      <c r="R5" s="123"/>
      <c r="S5" s="123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25"/>
      <c r="AI5" s="13"/>
      <c r="AL5" s="114"/>
    </row>
    <row r="6" spans="1:38" ht="19.5" x14ac:dyDescent="0.4">
      <c r="A6" s="117">
        <v>45592</v>
      </c>
      <c r="B6" s="123"/>
      <c r="C6" s="123">
        <v>2</v>
      </c>
      <c r="D6" s="123"/>
      <c r="I6" s="115" t="s">
        <v>177</v>
      </c>
      <c r="J6" s="13">
        <f>SUBTOTAL(3,J4:J5)</f>
        <v>2</v>
      </c>
      <c r="K6" s="13">
        <f>SUBTOTAL(3,K4:K5)</f>
        <v>2</v>
      </c>
      <c r="P6" s="116"/>
      <c r="Q6" s="123"/>
      <c r="R6" s="123"/>
      <c r="S6" s="123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25"/>
      <c r="AI6" s="13"/>
      <c r="AL6" s="114"/>
    </row>
    <row r="7" spans="1:38" ht="19.5" x14ac:dyDescent="0.4">
      <c r="A7" s="117">
        <v>45593</v>
      </c>
      <c r="B7" s="123">
        <v>2</v>
      </c>
      <c r="C7" s="123">
        <v>1</v>
      </c>
      <c r="D7" s="123">
        <v>1</v>
      </c>
      <c r="F7" s="115"/>
      <c r="G7" s="115"/>
      <c r="H7" s="115"/>
      <c r="I7" s="115"/>
      <c r="J7" s="25">
        <v>45588</v>
      </c>
      <c r="K7" s="13" t="s">
        <v>146</v>
      </c>
      <c r="P7" s="116"/>
      <c r="Q7" s="123"/>
      <c r="R7" s="123"/>
      <c r="S7" s="123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25"/>
      <c r="AI7" s="13"/>
      <c r="AL7" s="114"/>
    </row>
    <row r="8" spans="1:38" ht="19.5" x14ac:dyDescent="0.4">
      <c r="A8" s="117">
        <v>45594</v>
      </c>
      <c r="B8" s="123">
        <v>13</v>
      </c>
      <c r="C8" s="123">
        <v>3</v>
      </c>
      <c r="D8" s="123">
        <v>3</v>
      </c>
      <c r="F8" s="115"/>
      <c r="G8" s="115"/>
      <c r="H8" s="115"/>
      <c r="I8" s="115"/>
      <c r="J8" s="25">
        <v>45588</v>
      </c>
      <c r="K8" s="13" t="s">
        <v>148</v>
      </c>
      <c r="P8" s="116"/>
      <c r="Q8" s="123"/>
      <c r="R8" s="123"/>
      <c r="S8" s="123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25"/>
      <c r="AI8" s="13"/>
      <c r="AL8" s="114"/>
    </row>
    <row r="9" spans="1:38" ht="19.5" x14ac:dyDescent="0.4">
      <c r="A9" s="117">
        <v>45595</v>
      </c>
      <c r="B9" s="123">
        <v>1</v>
      </c>
      <c r="C9" s="123"/>
      <c r="D9" s="123">
        <v>2</v>
      </c>
      <c r="F9" s="115"/>
      <c r="G9" s="115"/>
      <c r="H9" s="115"/>
      <c r="I9" s="115"/>
      <c r="J9" s="25">
        <v>45588</v>
      </c>
      <c r="K9" s="13" t="s">
        <v>142</v>
      </c>
      <c r="P9" s="116"/>
      <c r="Q9" s="123"/>
      <c r="R9" s="123"/>
      <c r="S9" s="123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25"/>
      <c r="AI9" s="13"/>
      <c r="AL9" s="114"/>
    </row>
    <row r="10" spans="1:38" ht="19.5" x14ac:dyDescent="0.4">
      <c r="A10" s="117">
        <v>45596</v>
      </c>
      <c r="B10" s="123"/>
      <c r="C10" s="123">
        <v>1</v>
      </c>
      <c r="D10" s="123"/>
      <c r="F10" s="115"/>
      <c r="G10" s="115"/>
      <c r="H10" s="115"/>
      <c r="I10" s="115"/>
      <c r="J10" s="25">
        <v>45588</v>
      </c>
      <c r="K10" s="13" t="s">
        <v>148</v>
      </c>
      <c r="P10" s="116"/>
      <c r="Q10" s="123"/>
      <c r="R10" s="123"/>
      <c r="S10" s="123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25"/>
      <c r="AI10" s="13"/>
      <c r="AL10" s="114"/>
    </row>
    <row r="11" spans="1:38" ht="19.5" x14ac:dyDescent="0.4">
      <c r="A11" s="117">
        <v>45598</v>
      </c>
      <c r="B11" s="123">
        <v>2</v>
      </c>
      <c r="C11" s="123"/>
      <c r="D11" s="123">
        <v>1</v>
      </c>
      <c r="J11" s="25">
        <v>45588</v>
      </c>
      <c r="K11" s="13" t="s">
        <v>147</v>
      </c>
      <c r="P11" s="117"/>
      <c r="Q11" s="123"/>
      <c r="R11" s="123"/>
      <c r="S11" s="123"/>
      <c r="X11" s="115"/>
      <c r="Y11" s="115"/>
      <c r="Z11" s="115"/>
      <c r="AA11" s="115"/>
      <c r="AB11" s="115"/>
      <c r="AC11" s="115"/>
      <c r="AD11" s="115"/>
      <c r="AE11" s="115"/>
      <c r="AF11" s="115"/>
      <c r="AG11" s="115" t="s">
        <v>149</v>
      </c>
      <c r="AH11" s="13">
        <f>SUBTOTAL(3,AH2:AH2)</f>
        <v>1</v>
      </c>
      <c r="AI11" s="13">
        <f>SUBTOTAL(3,AI2:AI2)</f>
        <v>1</v>
      </c>
      <c r="AL11" s="114"/>
    </row>
    <row r="12" spans="1:38" ht="19.5" x14ac:dyDescent="0.4">
      <c r="A12" s="117">
        <v>45599</v>
      </c>
      <c r="B12" s="123">
        <v>10</v>
      </c>
      <c r="C12" s="123">
        <v>8</v>
      </c>
      <c r="D12" s="123">
        <v>2</v>
      </c>
      <c r="G12" s="115"/>
      <c r="H12" s="115"/>
      <c r="I12" s="115"/>
      <c r="J12" s="25">
        <v>45588</v>
      </c>
      <c r="K12" s="13" t="s">
        <v>146</v>
      </c>
      <c r="P12" s="117"/>
      <c r="Q12" s="123"/>
      <c r="R12" s="123"/>
      <c r="S12" s="123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3"/>
      <c r="AI12" s="13"/>
      <c r="AL12" s="114"/>
    </row>
    <row r="13" spans="1:38" ht="19.5" x14ac:dyDescent="0.4">
      <c r="A13" s="117">
        <v>45600</v>
      </c>
      <c r="B13" s="123">
        <v>10</v>
      </c>
      <c r="C13" s="123">
        <v>9</v>
      </c>
      <c r="D13" s="123">
        <v>4</v>
      </c>
      <c r="G13" s="115"/>
      <c r="H13" s="115"/>
      <c r="I13" s="115" t="s">
        <v>178</v>
      </c>
      <c r="J13" s="13">
        <f>SUBTOTAL(3,J7:J12)</f>
        <v>6</v>
      </c>
      <c r="K13" s="13">
        <f>SUBTOTAL(3,K7:K12)</f>
        <v>6</v>
      </c>
      <c r="P13" s="117"/>
      <c r="Q13" s="123"/>
      <c r="R13" s="123"/>
      <c r="S13" s="123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3"/>
      <c r="AI13" s="13"/>
      <c r="AL13" s="114"/>
    </row>
    <row r="14" spans="1:38" ht="19.5" x14ac:dyDescent="0.4">
      <c r="A14" s="117">
        <v>45601</v>
      </c>
      <c r="B14" s="123">
        <v>7</v>
      </c>
      <c r="C14" s="123">
        <v>8</v>
      </c>
      <c r="D14" s="123">
        <v>1</v>
      </c>
      <c r="J14" s="25">
        <v>45592</v>
      </c>
      <c r="K14" s="13" t="s">
        <v>147</v>
      </c>
      <c r="P14" s="117"/>
      <c r="Q14" s="123"/>
      <c r="R14" s="123"/>
      <c r="S14" s="123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3"/>
      <c r="AI14" s="13"/>
      <c r="AL14" s="114"/>
    </row>
    <row r="15" spans="1:38" ht="19.5" x14ac:dyDescent="0.4">
      <c r="A15" s="117">
        <v>45602</v>
      </c>
      <c r="B15" s="123">
        <v>15</v>
      </c>
      <c r="C15" s="123">
        <v>2</v>
      </c>
      <c r="D15" s="123">
        <v>8</v>
      </c>
      <c r="G15" s="115"/>
      <c r="H15" s="115"/>
      <c r="I15" s="115"/>
      <c r="J15" s="25">
        <v>45592</v>
      </c>
      <c r="K15" s="13" t="s">
        <v>147</v>
      </c>
      <c r="P15" s="117"/>
      <c r="Q15" s="123"/>
      <c r="R15" s="123"/>
      <c r="S15" s="123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3"/>
      <c r="AI15" s="13"/>
      <c r="AL15" s="114"/>
    </row>
    <row r="16" spans="1:38" ht="19.5" x14ac:dyDescent="0.4">
      <c r="A16" s="117">
        <v>45604</v>
      </c>
      <c r="B16" s="123">
        <v>1</v>
      </c>
      <c r="C16" s="123"/>
      <c r="D16" s="123"/>
      <c r="G16" s="115"/>
      <c r="H16" s="115"/>
      <c r="I16" s="115" t="s">
        <v>203</v>
      </c>
      <c r="J16" s="13">
        <f>SUBTOTAL(3,J14:J15)</f>
        <v>2</v>
      </c>
      <c r="K16" s="13">
        <f>SUBTOTAL(3,K14:K15)</f>
        <v>2</v>
      </c>
      <c r="P16" s="117"/>
      <c r="Q16" s="123"/>
      <c r="R16" s="123"/>
      <c r="S16" s="123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3"/>
      <c r="AI16" s="13"/>
      <c r="AL16" s="114"/>
    </row>
    <row r="17" spans="1:38" ht="19.5" x14ac:dyDescent="0.4">
      <c r="A17" s="117">
        <v>45605</v>
      </c>
      <c r="B17" s="123">
        <v>6</v>
      </c>
      <c r="C17" s="123">
        <v>3</v>
      </c>
      <c r="D17" s="123">
        <v>2</v>
      </c>
      <c r="G17" s="115"/>
      <c r="H17" s="115"/>
      <c r="I17" s="115"/>
      <c r="J17" s="25">
        <v>45593</v>
      </c>
      <c r="K17" s="13" t="s">
        <v>146</v>
      </c>
      <c r="P17" s="117"/>
      <c r="Q17" s="123"/>
      <c r="R17" s="123"/>
      <c r="S17" s="123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3"/>
      <c r="AI17" s="13"/>
      <c r="AL17" s="114"/>
    </row>
    <row r="18" spans="1:38" ht="19.5" x14ac:dyDescent="0.4">
      <c r="A18" s="117">
        <v>45606</v>
      </c>
      <c r="B18" s="123">
        <v>22</v>
      </c>
      <c r="C18" s="123"/>
      <c r="D18" s="123">
        <v>1</v>
      </c>
      <c r="F18" s="115"/>
      <c r="G18" s="115"/>
      <c r="H18" s="115"/>
      <c r="I18" s="115"/>
      <c r="J18" s="25">
        <v>45593</v>
      </c>
      <c r="K18" s="13" t="s">
        <v>147</v>
      </c>
      <c r="P18" s="117"/>
      <c r="Q18" s="123"/>
      <c r="R18" s="123"/>
      <c r="S18" s="123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3"/>
      <c r="AI18" s="13"/>
      <c r="AL18" s="114"/>
    </row>
    <row r="19" spans="1:38" ht="19.5" x14ac:dyDescent="0.4">
      <c r="A19" s="117">
        <v>45607</v>
      </c>
      <c r="B19" s="123">
        <v>5</v>
      </c>
      <c r="C19" s="123">
        <v>2</v>
      </c>
      <c r="D19" s="123"/>
      <c r="F19" s="115"/>
      <c r="G19" s="115"/>
      <c r="H19" s="115"/>
      <c r="I19" s="115"/>
      <c r="J19" s="25">
        <v>45593</v>
      </c>
      <c r="K19" s="13" t="s">
        <v>148</v>
      </c>
      <c r="P19" s="117"/>
      <c r="Q19" s="123"/>
      <c r="R19" s="123"/>
      <c r="S19" s="123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3"/>
      <c r="AI19" s="13"/>
      <c r="AL19" s="114"/>
    </row>
    <row r="20" spans="1:38" ht="19.5" x14ac:dyDescent="0.4">
      <c r="A20" s="117">
        <v>45608</v>
      </c>
      <c r="B20" s="123">
        <v>4</v>
      </c>
      <c r="C20" s="123"/>
      <c r="D20" s="123">
        <v>1</v>
      </c>
      <c r="F20" s="115"/>
      <c r="G20" s="115"/>
      <c r="H20" s="115"/>
      <c r="I20" s="115"/>
      <c r="J20" s="25">
        <v>45593</v>
      </c>
      <c r="K20" s="15" t="s">
        <v>146</v>
      </c>
      <c r="P20" s="117"/>
      <c r="Q20" s="123"/>
      <c r="R20" s="123"/>
      <c r="S20" s="123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3"/>
      <c r="AI20" s="13"/>
      <c r="AL20" s="114"/>
    </row>
    <row r="21" spans="1:38" ht="19.5" x14ac:dyDescent="0.4">
      <c r="A21" s="117">
        <v>45609</v>
      </c>
      <c r="B21" s="123">
        <v>6</v>
      </c>
      <c r="C21" s="123">
        <v>2</v>
      </c>
      <c r="D21" s="123">
        <v>3</v>
      </c>
      <c r="F21" s="115"/>
      <c r="G21" s="115"/>
      <c r="H21" s="115"/>
      <c r="I21" s="115" t="s">
        <v>204</v>
      </c>
      <c r="J21" s="13">
        <f>SUBTOTAL(3,J17:J20)</f>
        <v>4</v>
      </c>
      <c r="K21" s="15">
        <f>SUBTOTAL(3,K17:K20)</f>
        <v>4</v>
      </c>
      <c r="P21" s="117"/>
      <c r="Q21" s="123"/>
      <c r="R21" s="123"/>
      <c r="S21" s="123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3"/>
      <c r="AI21" s="13"/>
      <c r="AL21" s="114"/>
    </row>
    <row r="22" spans="1:38" ht="19.5" x14ac:dyDescent="0.4">
      <c r="A22" s="117">
        <v>45610</v>
      </c>
      <c r="B22" s="123">
        <v>1</v>
      </c>
      <c r="C22" s="123"/>
      <c r="D22" s="123"/>
      <c r="J22" s="25">
        <v>45594</v>
      </c>
      <c r="K22" s="15" t="s">
        <v>146</v>
      </c>
      <c r="P22" s="117"/>
      <c r="Q22" s="123"/>
      <c r="R22" s="123"/>
      <c r="S22" s="123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25">
        <v>45263</v>
      </c>
      <c r="AI22" s="13" t="s">
        <v>162</v>
      </c>
      <c r="AL22" s="114"/>
    </row>
    <row r="23" spans="1:38" ht="19.5" x14ac:dyDescent="0.4">
      <c r="A23" s="117">
        <v>45612</v>
      </c>
      <c r="B23" s="123"/>
      <c r="C23" s="123">
        <v>3</v>
      </c>
      <c r="D23" s="123"/>
      <c r="G23" s="115"/>
      <c r="H23" s="115"/>
      <c r="I23" s="115"/>
      <c r="J23" s="25">
        <v>45594</v>
      </c>
      <c r="K23" s="13" t="s">
        <v>146</v>
      </c>
      <c r="P23" s="117"/>
      <c r="Q23" s="123"/>
      <c r="R23" s="123"/>
      <c r="S23" s="123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25"/>
      <c r="AI23" s="13"/>
      <c r="AL23" s="114"/>
    </row>
    <row r="24" spans="1:38" ht="19.5" x14ac:dyDescent="0.4">
      <c r="A24" s="117">
        <v>45614</v>
      </c>
      <c r="B24" s="123">
        <v>1</v>
      </c>
      <c r="C24" s="123"/>
      <c r="D24" s="123">
        <v>1</v>
      </c>
      <c r="J24" s="25">
        <v>45594</v>
      </c>
      <c r="K24" s="13" t="s">
        <v>146</v>
      </c>
      <c r="P24" s="117"/>
      <c r="Q24" s="123"/>
      <c r="R24" s="123"/>
      <c r="S24" s="123"/>
      <c r="X24" s="115"/>
      <c r="Y24" s="115"/>
      <c r="Z24" s="115"/>
      <c r="AA24" s="115"/>
      <c r="AB24" s="115"/>
      <c r="AC24" s="115"/>
      <c r="AD24" s="115"/>
      <c r="AE24" s="115"/>
      <c r="AF24" s="115"/>
      <c r="AG24" s="115" t="s">
        <v>150</v>
      </c>
      <c r="AH24" s="13">
        <f>SUBTOTAL(3,AH22:AH22)</f>
        <v>1</v>
      </c>
      <c r="AI24" s="13">
        <f>SUBTOTAL(3,AI22:AI22)</f>
        <v>1</v>
      </c>
      <c r="AL24" s="114"/>
    </row>
    <row r="25" spans="1:38" ht="19.5" x14ac:dyDescent="0.4">
      <c r="A25" s="117">
        <v>45616</v>
      </c>
      <c r="B25" s="123">
        <v>8</v>
      </c>
      <c r="C25" s="123">
        <v>6</v>
      </c>
      <c r="D25" s="123"/>
      <c r="G25" s="115"/>
      <c r="H25" s="115"/>
      <c r="I25" s="115"/>
      <c r="J25" s="25">
        <v>45594</v>
      </c>
      <c r="K25" s="13" t="s">
        <v>148</v>
      </c>
      <c r="P25" s="117"/>
      <c r="Q25" s="123"/>
      <c r="R25" s="123"/>
      <c r="S25" s="123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3"/>
      <c r="AI25" s="13"/>
      <c r="AL25" s="114"/>
    </row>
    <row r="26" spans="1:38" ht="19.5" x14ac:dyDescent="0.4">
      <c r="A26" s="117">
        <v>45618</v>
      </c>
      <c r="B26" s="123">
        <v>1</v>
      </c>
      <c r="C26" s="123"/>
      <c r="D26" s="123"/>
      <c r="J26" s="25">
        <v>45594</v>
      </c>
      <c r="K26" s="13" t="s">
        <v>146</v>
      </c>
      <c r="P26" s="117"/>
      <c r="Q26" s="123"/>
      <c r="R26" s="123"/>
      <c r="S26" s="123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25">
        <v>45264</v>
      </c>
      <c r="AI26" s="13" t="s">
        <v>162</v>
      </c>
      <c r="AL26" s="114"/>
    </row>
    <row r="27" spans="1:38" ht="19.5" x14ac:dyDescent="0.4">
      <c r="A27" s="117">
        <v>45622</v>
      </c>
      <c r="B27" s="123"/>
      <c r="C27" s="123">
        <v>1</v>
      </c>
      <c r="D27" s="123"/>
      <c r="J27" s="25">
        <v>45594</v>
      </c>
      <c r="K27" s="13" t="s">
        <v>148</v>
      </c>
      <c r="P27" s="117"/>
      <c r="Q27" s="123"/>
      <c r="R27" s="123"/>
      <c r="S27" s="123"/>
      <c r="X27" s="115"/>
      <c r="Y27" s="115"/>
      <c r="Z27" s="115"/>
      <c r="AA27" s="115"/>
      <c r="AB27" s="115"/>
      <c r="AC27" s="115"/>
      <c r="AD27" s="115"/>
      <c r="AE27" s="115"/>
      <c r="AF27" s="115"/>
      <c r="AG27" s="115" t="s">
        <v>154</v>
      </c>
      <c r="AH27" s="13">
        <f>SUBTOTAL(3,AH26:AH26)</f>
        <v>1</v>
      </c>
      <c r="AI27" s="13">
        <f>SUBTOTAL(3,AI26:AI26)</f>
        <v>1</v>
      </c>
      <c r="AL27" s="114"/>
    </row>
    <row r="28" spans="1:38" ht="19.5" x14ac:dyDescent="0.4">
      <c r="A28" s="117">
        <v>45626</v>
      </c>
      <c r="B28" s="123"/>
      <c r="C28" s="123">
        <v>2</v>
      </c>
      <c r="D28" s="123"/>
      <c r="J28" s="25">
        <v>45594</v>
      </c>
      <c r="K28" s="25" t="s">
        <v>146</v>
      </c>
      <c r="P28" s="117"/>
      <c r="Q28" s="123"/>
      <c r="R28" s="123"/>
      <c r="S28" s="123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25">
        <v>45265</v>
      </c>
      <c r="AI28" s="13" t="s">
        <v>162</v>
      </c>
      <c r="AL28" s="114"/>
    </row>
    <row r="29" spans="1:38" ht="19.5" x14ac:dyDescent="0.4">
      <c r="A29" s="117"/>
      <c r="B29" s="123">
        <f>SUM(B3:B28)</f>
        <v>120</v>
      </c>
      <c r="C29" s="123">
        <f>SUM(C3:C28)</f>
        <v>55</v>
      </c>
      <c r="D29" s="123">
        <f>SUM(D4:D28)</f>
        <v>32</v>
      </c>
      <c r="J29" s="25">
        <v>45594</v>
      </c>
      <c r="K29" s="13" t="s">
        <v>147</v>
      </c>
      <c r="P29" s="117"/>
      <c r="Q29" s="123"/>
      <c r="R29" s="123"/>
      <c r="S29" s="123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25">
        <v>45265</v>
      </c>
      <c r="AI29" s="25" t="s">
        <v>162</v>
      </c>
      <c r="AL29" s="114"/>
    </row>
    <row r="30" spans="1:38" ht="19.5" x14ac:dyDescent="0.4">
      <c r="A30" s="117"/>
      <c r="B30" s="123"/>
      <c r="C30" s="123"/>
      <c r="D30" s="123">
        <f>SUM(B29:D29)</f>
        <v>207</v>
      </c>
      <c r="H30" s="115"/>
      <c r="I30" s="115"/>
      <c r="J30" s="25">
        <v>45594</v>
      </c>
      <c r="K30" s="13" t="s">
        <v>146</v>
      </c>
      <c r="P30" s="117"/>
      <c r="Q30" s="123"/>
      <c r="R30" s="123"/>
      <c r="S30" s="123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25"/>
      <c r="AI30" s="25"/>
      <c r="AL30" s="114"/>
    </row>
    <row r="31" spans="1:38" ht="19.5" x14ac:dyDescent="0.4">
      <c r="A31" s="117"/>
      <c r="B31" s="123"/>
      <c r="C31" s="123"/>
      <c r="D31" s="123"/>
      <c r="J31" s="25">
        <v>45594</v>
      </c>
      <c r="K31" s="13" t="s">
        <v>146</v>
      </c>
      <c r="P31" s="117"/>
      <c r="Q31" s="123"/>
      <c r="R31" s="123"/>
      <c r="S31" s="123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25">
        <v>45265</v>
      </c>
      <c r="AI31" s="13" t="s">
        <v>162</v>
      </c>
      <c r="AL31" s="114"/>
    </row>
    <row r="32" spans="1:38" ht="19.5" x14ac:dyDescent="0.4">
      <c r="A32" s="117"/>
      <c r="B32" s="123"/>
      <c r="C32" s="123"/>
      <c r="D32" s="123"/>
      <c r="J32" s="25">
        <v>45594</v>
      </c>
      <c r="K32" s="13" t="s">
        <v>146</v>
      </c>
      <c r="P32" s="117"/>
      <c r="Q32" s="123"/>
      <c r="R32" s="123"/>
      <c r="S32" s="123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25">
        <v>45265</v>
      </c>
      <c r="AI32" s="13" t="s">
        <v>162</v>
      </c>
      <c r="AL32" s="114"/>
    </row>
    <row r="33" spans="1:38" ht="19.5" x14ac:dyDescent="0.4">
      <c r="A33" s="117"/>
      <c r="B33" s="123"/>
      <c r="C33" s="123"/>
      <c r="D33" s="123"/>
      <c r="G33" s="115"/>
      <c r="H33" s="115"/>
      <c r="I33" s="115"/>
      <c r="J33" s="25">
        <v>45594</v>
      </c>
      <c r="K33" s="13" t="s">
        <v>147</v>
      </c>
      <c r="P33" s="117"/>
      <c r="Q33" s="123"/>
      <c r="R33" s="123"/>
      <c r="S33" s="123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25"/>
      <c r="AI33" s="13"/>
      <c r="AL33" s="114"/>
    </row>
    <row r="34" spans="1:38" ht="19.5" x14ac:dyDescent="0.4">
      <c r="A34" s="117"/>
      <c r="B34" s="123"/>
      <c r="C34" s="123"/>
      <c r="D34" s="123"/>
      <c r="J34" s="25">
        <v>45594</v>
      </c>
      <c r="K34" s="13" t="s">
        <v>147</v>
      </c>
      <c r="P34" s="117"/>
      <c r="Q34" s="123"/>
      <c r="R34" s="123"/>
      <c r="S34" s="123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25">
        <v>45265</v>
      </c>
      <c r="AI34" s="13" t="s">
        <v>163</v>
      </c>
      <c r="AL34" s="114"/>
    </row>
    <row r="35" spans="1:38" ht="19.5" x14ac:dyDescent="0.4">
      <c r="A35" s="117"/>
      <c r="B35" s="123"/>
      <c r="C35" s="123"/>
      <c r="D35" s="123"/>
      <c r="J35" s="25">
        <v>45594</v>
      </c>
      <c r="K35" s="13" t="s">
        <v>146</v>
      </c>
      <c r="P35" s="117"/>
      <c r="Q35" s="123"/>
      <c r="R35" s="123"/>
      <c r="S35" s="123"/>
      <c r="X35" s="115"/>
      <c r="Y35" s="115"/>
      <c r="Z35" s="115"/>
      <c r="AA35" s="115"/>
      <c r="AB35" s="115"/>
      <c r="AC35" s="115"/>
      <c r="AD35" s="115"/>
      <c r="AE35" s="115"/>
      <c r="AF35" s="115"/>
      <c r="AG35" s="115" t="s">
        <v>155</v>
      </c>
      <c r="AH35" s="13">
        <f>SUBTOTAL(3,AH28:AH34)</f>
        <v>5</v>
      </c>
      <c r="AI35" s="13">
        <f>SUBTOTAL(3,AI28:AI34)</f>
        <v>5</v>
      </c>
      <c r="AL35" s="114"/>
    </row>
    <row r="36" spans="1:38" ht="19.5" x14ac:dyDescent="0.4">
      <c r="A36" s="117"/>
      <c r="B36" s="123"/>
      <c r="C36" s="123"/>
      <c r="D36" s="123"/>
      <c r="G36" s="115"/>
      <c r="H36" s="115"/>
      <c r="I36" s="115"/>
      <c r="J36" s="25">
        <v>45594</v>
      </c>
      <c r="K36" s="13" t="s">
        <v>146</v>
      </c>
      <c r="P36" s="117"/>
      <c r="Q36" s="123"/>
      <c r="R36" s="123"/>
      <c r="S36" s="123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3"/>
      <c r="AI36" s="13"/>
      <c r="AL36" s="114"/>
    </row>
    <row r="37" spans="1:38" ht="19.5" x14ac:dyDescent="0.4">
      <c r="A37" s="117"/>
      <c r="B37" s="123"/>
      <c r="C37" s="123"/>
      <c r="D37" s="123"/>
      <c r="F37" s="115"/>
      <c r="G37" s="115"/>
      <c r="H37" s="115"/>
      <c r="I37" s="115"/>
      <c r="J37" s="25">
        <v>45594</v>
      </c>
      <c r="K37" s="13" t="s">
        <v>146</v>
      </c>
      <c r="P37" s="117"/>
      <c r="Q37" s="123"/>
      <c r="R37" s="123"/>
      <c r="S37" s="123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3"/>
      <c r="AI37" s="13"/>
      <c r="AL37" s="114"/>
    </row>
    <row r="38" spans="1:38" ht="19.5" x14ac:dyDescent="0.4">
      <c r="A38" s="117"/>
      <c r="B38" s="123"/>
      <c r="C38" s="123"/>
      <c r="D38" s="123"/>
      <c r="F38" s="115"/>
      <c r="G38" s="115"/>
      <c r="H38" s="115"/>
      <c r="I38" s="115"/>
      <c r="J38" s="25">
        <v>45594</v>
      </c>
      <c r="K38" s="13" t="s">
        <v>146</v>
      </c>
      <c r="P38" s="117"/>
      <c r="Q38" s="123"/>
      <c r="R38" s="123"/>
      <c r="S38" s="123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3"/>
      <c r="AI38" s="13"/>
      <c r="AL38" s="114"/>
    </row>
    <row r="39" spans="1:38" ht="19.5" x14ac:dyDescent="0.4">
      <c r="A39" s="117"/>
      <c r="B39" s="123"/>
      <c r="C39" s="123"/>
      <c r="D39" s="123"/>
      <c r="F39" s="115"/>
      <c r="G39" s="115"/>
      <c r="H39" s="115"/>
      <c r="I39" s="115"/>
      <c r="J39" s="25">
        <v>45594</v>
      </c>
      <c r="K39" s="25" t="s">
        <v>146</v>
      </c>
      <c r="P39" s="117"/>
      <c r="Q39" s="123"/>
      <c r="R39" s="123"/>
      <c r="S39" s="123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3"/>
      <c r="AI39" s="13"/>
      <c r="AL39" s="114"/>
    </row>
    <row r="40" spans="1:38" ht="19.5" x14ac:dyDescent="0.4">
      <c r="A40" s="117"/>
      <c r="B40" s="123"/>
      <c r="C40" s="123"/>
      <c r="D40" s="123"/>
      <c r="J40" s="25">
        <v>45594</v>
      </c>
      <c r="K40" s="25" t="s">
        <v>148</v>
      </c>
      <c r="P40" s="117"/>
      <c r="Q40" s="123"/>
      <c r="R40" s="123"/>
      <c r="S40" s="123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25">
        <v>45266</v>
      </c>
      <c r="AI40" s="25" t="s">
        <v>162</v>
      </c>
      <c r="AL40" s="114"/>
    </row>
    <row r="41" spans="1:38" ht="19.5" x14ac:dyDescent="0.4">
      <c r="A41" s="117"/>
      <c r="B41" s="123"/>
      <c r="C41" s="123"/>
      <c r="D41" s="123"/>
      <c r="I41" s="115" t="s">
        <v>205</v>
      </c>
      <c r="J41" s="13">
        <f>SUBTOTAL(3,J22:J40)</f>
        <v>19</v>
      </c>
      <c r="K41" s="13">
        <f>SUBTOTAL(3,K22:K40)</f>
        <v>19</v>
      </c>
      <c r="P41" s="117"/>
      <c r="Q41" s="123"/>
      <c r="R41" s="123"/>
      <c r="S41" s="123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25"/>
      <c r="AI41" s="25"/>
      <c r="AL41" s="114"/>
    </row>
    <row r="42" spans="1:38" ht="19.5" x14ac:dyDescent="0.4">
      <c r="A42" s="117"/>
      <c r="B42" s="123"/>
      <c r="C42" s="123"/>
      <c r="D42" s="123"/>
      <c r="J42" s="25">
        <v>45595</v>
      </c>
      <c r="K42" s="13" t="s">
        <v>146</v>
      </c>
      <c r="P42" s="117"/>
      <c r="Q42" s="123"/>
      <c r="R42" s="123"/>
      <c r="S42" s="123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 t="s">
        <v>156</v>
      </c>
      <c r="AH42" s="13">
        <f>SUBTOTAL(3,AH40:AH40)</f>
        <v>1</v>
      </c>
      <c r="AI42" s="13">
        <f>SUBTOTAL(3,AI40:AI40)</f>
        <v>1</v>
      </c>
      <c r="AL42" s="114"/>
    </row>
    <row r="43" spans="1:38" ht="19.5" x14ac:dyDescent="0.4">
      <c r="A43" s="117"/>
      <c r="B43" s="123"/>
      <c r="C43" s="123"/>
      <c r="D43" s="123"/>
      <c r="H43" s="115"/>
      <c r="I43" s="115"/>
      <c r="J43" s="25">
        <v>45595</v>
      </c>
      <c r="K43" s="13" t="s">
        <v>148</v>
      </c>
      <c r="P43" s="117"/>
      <c r="Q43" s="123"/>
      <c r="R43" s="123"/>
      <c r="S43" s="123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3"/>
      <c r="AI43" s="13"/>
      <c r="AL43" s="114"/>
    </row>
    <row r="44" spans="1:38" ht="19.5" x14ac:dyDescent="0.4">
      <c r="A44" s="117"/>
      <c r="B44" s="123"/>
      <c r="C44" s="123"/>
      <c r="D44" s="123"/>
      <c r="J44" s="25">
        <v>45595</v>
      </c>
      <c r="K44" s="13" t="s">
        <v>148</v>
      </c>
      <c r="P44" s="117"/>
      <c r="Q44" s="123"/>
      <c r="R44" s="123"/>
      <c r="S44" s="123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25">
        <v>45267</v>
      </c>
      <c r="AI44" s="13" t="s">
        <v>142</v>
      </c>
      <c r="AL44" s="114"/>
    </row>
    <row r="45" spans="1:38" ht="19.5" x14ac:dyDescent="0.4">
      <c r="A45" s="117"/>
      <c r="B45" s="123"/>
      <c r="C45" s="123"/>
      <c r="D45" s="123"/>
      <c r="I45" s="115" t="s">
        <v>420</v>
      </c>
      <c r="J45" s="13">
        <f>SUBTOTAL(3,J42:J44)</f>
        <v>3</v>
      </c>
      <c r="K45" s="13">
        <f>SUBTOTAL(3,K42:K44)</f>
        <v>3</v>
      </c>
      <c r="P45" s="117"/>
      <c r="Q45" s="123"/>
      <c r="R45" s="123"/>
      <c r="S45" s="123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25"/>
      <c r="AI45" s="13"/>
      <c r="AL45" s="114"/>
    </row>
    <row r="46" spans="1:38" ht="19.5" x14ac:dyDescent="0.4">
      <c r="A46" s="117"/>
      <c r="B46" s="123"/>
      <c r="C46" s="123"/>
      <c r="D46" s="123"/>
      <c r="J46" s="25">
        <v>45596</v>
      </c>
      <c r="K46" s="13" t="s">
        <v>147</v>
      </c>
      <c r="P46" s="117"/>
      <c r="Q46" s="123"/>
      <c r="R46" s="123"/>
      <c r="S46" s="123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 t="s">
        <v>157</v>
      </c>
      <c r="AH46" s="13">
        <f>SUBTOTAL(3,AH44:AH44)</f>
        <v>1</v>
      </c>
      <c r="AI46" s="13">
        <f>SUBTOTAL(3,AI44:AI44)</f>
        <v>1</v>
      </c>
      <c r="AL46" s="114"/>
    </row>
    <row r="47" spans="1:38" ht="19.5" x14ac:dyDescent="0.4">
      <c r="A47" s="117"/>
      <c r="B47" s="123"/>
      <c r="C47" s="123"/>
      <c r="D47" s="123"/>
      <c r="I47" s="115" t="s">
        <v>421</v>
      </c>
      <c r="J47" s="13">
        <f>SUBTOTAL(3,J46:J46)</f>
        <v>1</v>
      </c>
      <c r="K47" s="13">
        <f>SUBTOTAL(3,K46:K46)</f>
        <v>1</v>
      </c>
      <c r="P47" s="117"/>
      <c r="Q47" s="123"/>
      <c r="R47" s="123"/>
      <c r="S47" s="123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3"/>
      <c r="AI47" s="13"/>
      <c r="AL47" s="114"/>
    </row>
    <row r="48" spans="1:38" ht="19.5" x14ac:dyDescent="0.4">
      <c r="A48" s="117"/>
      <c r="B48" s="123"/>
      <c r="C48" s="123"/>
      <c r="D48" s="123"/>
      <c r="J48" s="25">
        <v>45598</v>
      </c>
      <c r="K48" s="25" t="s">
        <v>146</v>
      </c>
      <c r="P48" s="117"/>
      <c r="Q48" s="123"/>
      <c r="R48" s="123"/>
      <c r="S48" s="123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25">
        <v>45268</v>
      </c>
      <c r="AI48" s="13" t="s">
        <v>162</v>
      </c>
      <c r="AL48" s="114"/>
    </row>
    <row r="49" spans="1:38" ht="19.5" x14ac:dyDescent="0.4">
      <c r="A49" s="117"/>
      <c r="B49" s="123"/>
      <c r="C49" s="123"/>
      <c r="D49" s="123"/>
      <c r="J49" s="25">
        <v>45598</v>
      </c>
      <c r="K49" s="15" t="s">
        <v>146</v>
      </c>
      <c r="P49" s="117"/>
      <c r="Q49" s="123"/>
      <c r="R49" s="123"/>
      <c r="S49" s="123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25">
        <v>45268</v>
      </c>
      <c r="AI49" s="13" t="s">
        <v>162</v>
      </c>
      <c r="AL49" s="114"/>
    </row>
    <row r="50" spans="1:38" ht="19.5" x14ac:dyDescent="0.4">
      <c r="A50" s="117"/>
      <c r="B50" s="123"/>
      <c r="C50" s="123"/>
      <c r="D50" s="123"/>
      <c r="J50" s="25">
        <v>45598</v>
      </c>
      <c r="K50" s="15" t="s">
        <v>148</v>
      </c>
      <c r="P50" s="117"/>
      <c r="Q50" s="123"/>
      <c r="R50" s="123"/>
      <c r="S50" s="123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25">
        <v>45268</v>
      </c>
      <c r="AI50" s="13" t="s">
        <v>163</v>
      </c>
      <c r="AL50" s="114"/>
    </row>
    <row r="51" spans="1:38" ht="19.5" x14ac:dyDescent="0.4">
      <c r="A51" s="117"/>
      <c r="B51" s="123"/>
      <c r="C51" s="123"/>
      <c r="D51" s="123"/>
      <c r="I51" s="115" t="s">
        <v>422</v>
      </c>
      <c r="J51" s="13">
        <f>SUBTOTAL(3,J48:J50)</f>
        <v>3</v>
      </c>
      <c r="K51" s="15">
        <f>SUBTOTAL(3,K48:K50)</f>
        <v>3</v>
      </c>
      <c r="P51" s="117"/>
      <c r="Q51" s="123"/>
      <c r="R51" s="123"/>
      <c r="S51" s="123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25"/>
      <c r="AI51" s="13"/>
      <c r="AL51" s="114"/>
    </row>
    <row r="52" spans="1:38" ht="19.5" x14ac:dyDescent="0.4">
      <c r="A52" s="117"/>
      <c r="B52" s="123"/>
      <c r="C52" s="123"/>
      <c r="D52" s="123"/>
      <c r="J52" s="25">
        <v>45599</v>
      </c>
      <c r="K52" s="15" t="s">
        <v>146</v>
      </c>
      <c r="P52" s="117"/>
      <c r="Q52" s="123"/>
      <c r="R52" s="123"/>
      <c r="S52" s="123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25">
        <v>45268</v>
      </c>
      <c r="AI52" s="13" t="s">
        <v>163</v>
      </c>
      <c r="AL52" s="114"/>
    </row>
    <row r="53" spans="1:38" ht="19.5" x14ac:dyDescent="0.4">
      <c r="A53" s="117"/>
      <c r="B53" s="123"/>
      <c r="C53" s="123"/>
      <c r="D53" s="123"/>
      <c r="J53" s="25">
        <v>45599</v>
      </c>
      <c r="K53" s="15" t="s">
        <v>147</v>
      </c>
      <c r="P53" s="117"/>
      <c r="Q53" s="123"/>
      <c r="R53" s="123"/>
      <c r="S53" s="123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 t="s">
        <v>158</v>
      </c>
      <c r="AH53" s="13">
        <f>SUBTOTAL(3,AH48:AH52)</f>
        <v>4</v>
      </c>
      <c r="AI53" s="13">
        <f>SUBTOTAL(3,AI48:AI52)</f>
        <v>4</v>
      </c>
      <c r="AL53" s="114"/>
    </row>
    <row r="54" spans="1:38" ht="19.5" x14ac:dyDescent="0.4">
      <c r="A54" s="117"/>
      <c r="B54" s="123"/>
      <c r="C54" s="123"/>
      <c r="D54" s="123"/>
      <c r="J54" s="25">
        <v>45599</v>
      </c>
      <c r="K54" s="25" t="s">
        <v>147</v>
      </c>
      <c r="P54" s="117"/>
      <c r="Q54" s="123"/>
      <c r="R54" s="123"/>
      <c r="S54" s="123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25">
        <v>45269</v>
      </c>
      <c r="AI54" s="13" t="s">
        <v>163</v>
      </c>
      <c r="AL54" s="114"/>
    </row>
    <row r="55" spans="1:38" ht="19.5" x14ac:dyDescent="0.4">
      <c r="A55" s="117"/>
      <c r="B55" s="123"/>
      <c r="C55" s="123"/>
      <c r="D55" s="123"/>
      <c r="H55" s="115"/>
      <c r="I55" s="115"/>
      <c r="J55" s="25">
        <v>45599</v>
      </c>
      <c r="K55" s="15" t="s">
        <v>142</v>
      </c>
      <c r="P55" s="117"/>
      <c r="Q55" s="123"/>
      <c r="R55" s="123"/>
      <c r="S55" s="123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25"/>
      <c r="AI55" s="13"/>
      <c r="AL55" s="114"/>
    </row>
    <row r="56" spans="1:38" ht="19.5" x14ac:dyDescent="0.4">
      <c r="A56" s="117"/>
      <c r="B56" s="123"/>
      <c r="C56" s="123"/>
      <c r="D56" s="123"/>
      <c r="J56" s="25">
        <v>45599</v>
      </c>
      <c r="K56" s="15" t="s">
        <v>146</v>
      </c>
      <c r="P56" s="117"/>
      <c r="Q56" s="123"/>
      <c r="R56" s="123"/>
      <c r="S56" s="123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25">
        <v>45269</v>
      </c>
      <c r="AI56" s="13" t="s">
        <v>163</v>
      </c>
      <c r="AL56" s="114"/>
    </row>
    <row r="57" spans="1:38" ht="19.5" x14ac:dyDescent="0.4">
      <c r="A57" s="117"/>
      <c r="B57" s="123"/>
      <c r="C57" s="123"/>
      <c r="D57" s="123"/>
      <c r="J57" s="25">
        <v>45599</v>
      </c>
      <c r="K57" s="15" t="s">
        <v>146</v>
      </c>
      <c r="P57" s="117"/>
      <c r="Q57" s="123"/>
      <c r="R57" s="123"/>
      <c r="S57" s="123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 t="s">
        <v>159</v>
      </c>
      <c r="AH57" s="13">
        <f>SUBTOTAL(3,AH54:AH56)</f>
        <v>2</v>
      </c>
      <c r="AI57" s="13">
        <f>SUBTOTAL(3,AI54:AI56)</f>
        <v>2</v>
      </c>
      <c r="AL57" s="114"/>
    </row>
    <row r="58" spans="1:38" ht="19.5" x14ac:dyDescent="0.4">
      <c r="A58" s="117"/>
      <c r="B58" s="123"/>
      <c r="C58" s="123"/>
      <c r="D58" s="123"/>
      <c r="G58" s="115"/>
      <c r="H58" s="115"/>
      <c r="I58" s="115"/>
      <c r="J58" s="25">
        <v>45599</v>
      </c>
      <c r="K58" s="15" t="s">
        <v>146</v>
      </c>
      <c r="P58" s="117"/>
      <c r="Q58" s="123"/>
      <c r="R58" s="123"/>
      <c r="S58" s="123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3"/>
      <c r="AI58" s="13"/>
      <c r="AL58" s="114"/>
    </row>
    <row r="59" spans="1:38" ht="19.5" x14ac:dyDescent="0.4">
      <c r="A59" s="117"/>
      <c r="B59" s="123"/>
      <c r="C59" s="123"/>
      <c r="D59" s="123"/>
      <c r="F59" s="115"/>
      <c r="G59" s="115"/>
      <c r="H59" s="115"/>
      <c r="I59" s="115"/>
      <c r="J59" s="25">
        <v>45599</v>
      </c>
      <c r="K59" s="13" t="s">
        <v>148</v>
      </c>
      <c r="P59" s="117"/>
      <c r="Q59" s="123"/>
      <c r="R59" s="123"/>
      <c r="S59" s="123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3"/>
      <c r="AI59" s="13"/>
      <c r="AL59" s="114"/>
    </row>
    <row r="60" spans="1:38" ht="19.5" x14ac:dyDescent="0.4">
      <c r="A60" s="117"/>
      <c r="B60" s="123"/>
      <c r="C60" s="123"/>
      <c r="D60" s="123"/>
      <c r="J60" s="25">
        <v>45599</v>
      </c>
      <c r="K60" s="13" t="s">
        <v>147</v>
      </c>
      <c r="P60" s="117"/>
      <c r="Q60" s="123"/>
      <c r="R60" s="123"/>
      <c r="S60" s="123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25">
        <v>45270</v>
      </c>
      <c r="AI60" s="13" t="s">
        <v>164</v>
      </c>
      <c r="AL60" s="114"/>
    </row>
    <row r="61" spans="1:38" ht="19.5" x14ac:dyDescent="0.4">
      <c r="A61" s="117"/>
      <c r="B61" s="123"/>
      <c r="C61" s="123"/>
      <c r="D61" s="123"/>
      <c r="J61" s="25">
        <v>45599</v>
      </c>
      <c r="K61" s="13" t="s">
        <v>146</v>
      </c>
      <c r="P61" s="117"/>
      <c r="Q61" s="123"/>
      <c r="R61" s="123"/>
      <c r="S61" s="123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25"/>
      <c r="AI61" s="13"/>
      <c r="AL61" s="114"/>
    </row>
    <row r="62" spans="1:38" ht="19.5" x14ac:dyDescent="0.4">
      <c r="A62" s="117"/>
      <c r="B62" s="123"/>
      <c r="C62" s="123"/>
      <c r="D62" s="123"/>
      <c r="J62" s="25">
        <v>45599</v>
      </c>
      <c r="K62" s="13" t="s">
        <v>146</v>
      </c>
      <c r="P62" s="117"/>
      <c r="Q62" s="123"/>
      <c r="R62" s="123"/>
      <c r="S62" s="123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25">
        <v>45270</v>
      </c>
      <c r="AI62" s="13" t="s">
        <v>164</v>
      </c>
      <c r="AL62" s="114"/>
    </row>
    <row r="63" spans="1:38" ht="19.5" x14ac:dyDescent="0.4">
      <c r="A63" s="117"/>
      <c r="B63" s="123"/>
      <c r="C63" s="123"/>
      <c r="D63" s="123"/>
      <c r="F63" s="115"/>
      <c r="G63" s="115"/>
      <c r="H63" s="115"/>
      <c r="I63" s="115"/>
      <c r="J63" s="25">
        <v>45599</v>
      </c>
      <c r="K63" s="13" t="s">
        <v>146</v>
      </c>
      <c r="P63" s="117"/>
      <c r="Q63" s="123"/>
      <c r="R63" s="123"/>
      <c r="S63" s="123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25"/>
      <c r="AI63" s="13"/>
      <c r="AL63" s="114"/>
    </row>
    <row r="64" spans="1:38" ht="19.5" x14ac:dyDescent="0.4">
      <c r="A64" s="117"/>
      <c r="B64" s="123"/>
      <c r="C64" s="123"/>
      <c r="D64" s="123"/>
      <c r="J64" s="25">
        <v>45599</v>
      </c>
      <c r="K64" s="13" t="s">
        <v>146</v>
      </c>
      <c r="P64" s="117"/>
      <c r="Q64" s="123"/>
      <c r="R64" s="123"/>
      <c r="S64" s="123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25">
        <v>45270</v>
      </c>
      <c r="AI64" s="13" t="s">
        <v>162</v>
      </c>
      <c r="AL64" s="114"/>
    </row>
    <row r="65" spans="1:38" ht="19.5" x14ac:dyDescent="0.4">
      <c r="A65" s="117"/>
      <c r="B65" s="123"/>
      <c r="C65" s="123"/>
      <c r="D65" s="123"/>
      <c r="J65" s="25">
        <v>45599</v>
      </c>
      <c r="K65" s="15" t="s">
        <v>148</v>
      </c>
      <c r="P65" s="117"/>
      <c r="Q65" s="123"/>
      <c r="R65" s="123"/>
      <c r="S65" s="123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25">
        <v>45270</v>
      </c>
      <c r="AI65" s="13" t="s">
        <v>162</v>
      </c>
      <c r="AL65" s="114"/>
    </row>
    <row r="66" spans="1:38" ht="19.5" x14ac:dyDescent="0.4">
      <c r="A66" s="117"/>
      <c r="B66" s="123"/>
      <c r="C66" s="123"/>
      <c r="D66" s="123"/>
      <c r="G66" s="115"/>
      <c r="H66" s="115"/>
      <c r="I66" s="115"/>
      <c r="J66" s="25">
        <v>45599</v>
      </c>
      <c r="K66" s="15" t="s">
        <v>146</v>
      </c>
      <c r="P66" s="117"/>
      <c r="Q66" s="123"/>
      <c r="R66" s="123"/>
      <c r="S66" s="123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25"/>
      <c r="AI66" s="13"/>
      <c r="AL66" s="114"/>
    </row>
    <row r="67" spans="1:38" ht="19.5" x14ac:dyDescent="0.4">
      <c r="A67" s="117"/>
      <c r="B67" s="123"/>
      <c r="C67" s="123"/>
      <c r="D67" s="123"/>
      <c r="J67" s="25">
        <v>45599</v>
      </c>
      <c r="K67" s="15" t="s">
        <v>147</v>
      </c>
      <c r="P67" s="117"/>
      <c r="Q67" s="123"/>
      <c r="R67" s="123"/>
      <c r="S67" s="123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25"/>
      <c r="AI67" s="13"/>
      <c r="AL67" s="114"/>
    </row>
    <row r="68" spans="1:38" ht="19.5" x14ac:dyDescent="0.4">
      <c r="A68" s="117"/>
      <c r="B68" s="123"/>
      <c r="C68" s="123"/>
      <c r="D68" s="123"/>
      <c r="J68" s="25">
        <v>45599</v>
      </c>
      <c r="K68" s="15" t="s">
        <v>147</v>
      </c>
      <c r="P68" s="117"/>
      <c r="Q68" s="123"/>
      <c r="R68" s="123"/>
      <c r="S68" s="123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25">
        <v>45270</v>
      </c>
      <c r="AI68" s="13" t="s">
        <v>163</v>
      </c>
      <c r="AL68" s="114"/>
    </row>
    <row r="69" spans="1:38" ht="19.5" x14ac:dyDescent="0.4">
      <c r="A69" s="117"/>
      <c r="B69" s="123"/>
      <c r="C69" s="123"/>
      <c r="D69" s="123"/>
      <c r="J69" s="25">
        <v>45599</v>
      </c>
      <c r="K69" s="15" t="s">
        <v>147</v>
      </c>
      <c r="P69" s="117"/>
      <c r="Q69" s="123"/>
      <c r="R69" s="123"/>
      <c r="S69" s="123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 t="s">
        <v>151</v>
      </c>
      <c r="AH69" s="13">
        <f>SUBTOTAL(3,AH60:AH68)</f>
        <v>5</v>
      </c>
      <c r="AI69" s="13">
        <f>SUBTOTAL(3,AI60:AI68)</f>
        <v>5</v>
      </c>
      <c r="AL69" s="114"/>
    </row>
    <row r="70" spans="1:38" ht="19.5" x14ac:dyDescent="0.4">
      <c r="A70" s="117"/>
      <c r="B70" s="123"/>
      <c r="C70" s="123"/>
      <c r="D70" s="123"/>
      <c r="J70" s="25">
        <v>45599</v>
      </c>
      <c r="K70" s="15" t="s">
        <v>147</v>
      </c>
      <c r="P70" s="117"/>
      <c r="Q70" s="123"/>
      <c r="R70" s="123"/>
      <c r="S70" s="123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25">
        <v>45271</v>
      </c>
      <c r="AI70" s="13" t="s">
        <v>162</v>
      </c>
      <c r="AL70" s="114"/>
    </row>
    <row r="71" spans="1:38" ht="19.5" x14ac:dyDescent="0.4">
      <c r="A71" s="117"/>
      <c r="B71" s="123"/>
      <c r="C71" s="123"/>
      <c r="D71" s="123"/>
      <c r="J71" s="25">
        <v>45599</v>
      </c>
      <c r="K71" s="15" t="s">
        <v>147</v>
      </c>
      <c r="P71" s="117"/>
      <c r="Q71" s="123"/>
      <c r="R71" s="123"/>
      <c r="S71" s="123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25">
        <v>45271</v>
      </c>
      <c r="AI71" s="13" t="s">
        <v>163</v>
      </c>
      <c r="AL71" s="114"/>
    </row>
    <row r="72" spans="1:38" ht="19.5" x14ac:dyDescent="0.4">
      <c r="A72" s="117"/>
      <c r="B72" s="123"/>
      <c r="C72" s="123"/>
      <c r="D72" s="123"/>
      <c r="I72" s="115" t="s">
        <v>423</v>
      </c>
      <c r="J72" s="13">
        <f>SUBTOTAL(3,J52:J71)</f>
        <v>20</v>
      </c>
      <c r="K72" s="15">
        <f>SUBTOTAL(3,K52:K71)</f>
        <v>20</v>
      </c>
      <c r="P72" s="117"/>
      <c r="Q72" s="123"/>
      <c r="R72" s="123"/>
      <c r="S72" s="123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25"/>
      <c r="AI72" s="13"/>
      <c r="AL72" s="114"/>
    </row>
    <row r="73" spans="1:38" ht="19.5" x14ac:dyDescent="0.4">
      <c r="A73" s="117"/>
      <c r="B73" s="123"/>
      <c r="C73" s="123"/>
      <c r="D73" s="123"/>
      <c r="J73" s="25">
        <v>45600</v>
      </c>
      <c r="K73" s="15" t="s">
        <v>147</v>
      </c>
      <c r="P73" s="117"/>
      <c r="Q73" s="123"/>
      <c r="R73" s="123"/>
      <c r="S73" s="123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25">
        <v>45271</v>
      </c>
      <c r="AI73" s="13" t="s">
        <v>163</v>
      </c>
      <c r="AL73" s="114"/>
    </row>
    <row r="74" spans="1:38" ht="19.5" x14ac:dyDescent="0.4">
      <c r="A74" s="117"/>
      <c r="B74" s="123"/>
      <c r="C74" s="123"/>
      <c r="D74" s="123"/>
      <c r="J74" s="25">
        <v>45600</v>
      </c>
      <c r="K74" s="13" t="s">
        <v>147</v>
      </c>
      <c r="P74" s="117"/>
      <c r="Q74" s="123"/>
      <c r="R74" s="123"/>
      <c r="S74" s="123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 t="s">
        <v>165</v>
      </c>
      <c r="AH74" s="13">
        <f>SUBTOTAL(3,AH70:AH73)</f>
        <v>3</v>
      </c>
      <c r="AI74" s="13">
        <f>SUBTOTAL(3,AI70:AI73)</f>
        <v>3</v>
      </c>
      <c r="AL74" s="114"/>
    </row>
    <row r="75" spans="1:38" ht="19.5" x14ac:dyDescent="0.4">
      <c r="A75" s="117"/>
      <c r="B75" s="123"/>
      <c r="C75" s="123"/>
      <c r="D75" s="123"/>
      <c r="J75" s="25">
        <v>45600</v>
      </c>
      <c r="K75" s="25" t="s">
        <v>147</v>
      </c>
      <c r="P75" s="117"/>
      <c r="Q75" s="123"/>
      <c r="R75" s="123"/>
      <c r="S75" s="123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25">
        <v>45272</v>
      </c>
      <c r="AI75" s="13" t="s">
        <v>162</v>
      </c>
      <c r="AL75" s="114"/>
    </row>
    <row r="76" spans="1:38" ht="19.5" x14ac:dyDescent="0.4">
      <c r="A76" s="117"/>
      <c r="B76" s="123"/>
      <c r="C76" s="123"/>
      <c r="D76" s="123"/>
      <c r="J76" s="25">
        <v>45600</v>
      </c>
      <c r="K76" s="25" t="s">
        <v>146</v>
      </c>
      <c r="P76" s="117"/>
      <c r="Q76" s="123"/>
      <c r="R76" s="123"/>
      <c r="S76" s="123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25">
        <v>45272</v>
      </c>
      <c r="AI76" s="13" t="s">
        <v>162</v>
      </c>
      <c r="AL76" s="114"/>
    </row>
    <row r="77" spans="1:38" ht="19.5" x14ac:dyDescent="0.4">
      <c r="A77" s="117"/>
      <c r="B77" s="123"/>
      <c r="C77" s="123"/>
      <c r="D77" s="123"/>
      <c r="J77" s="25">
        <v>45600</v>
      </c>
      <c r="K77" s="25" t="s">
        <v>148</v>
      </c>
      <c r="P77" s="117"/>
      <c r="Q77" s="123"/>
      <c r="R77" s="123"/>
      <c r="S77" s="123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25">
        <v>45272</v>
      </c>
      <c r="AI77" s="13" t="s">
        <v>162</v>
      </c>
      <c r="AL77" s="114"/>
    </row>
    <row r="78" spans="1:38" ht="19.5" x14ac:dyDescent="0.4">
      <c r="A78" s="125"/>
      <c r="B78" s="126"/>
      <c r="C78" s="126"/>
      <c r="D78" s="126"/>
      <c r="F78" s="115"/>
      <c r="G78" s="115"/>
      <c r="H78" s="115"/>
      <c r="I78" s="115"/>
      <c r="J78" s="25">
        <v>45600</v>
      </c>
      <c r="K78" s="13" t="s">
        <v>146</v>
      </c>
      <c r="P78" s="117"/>
      <c r="Q78" s="123"/>
      <c r="R78" s="123"/>
      <c r="S78" s="123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25"/>
      <c r="AI78" s="13"/>
      <c r="AL78" s="114"/>
    </row>
    <row r="79" spans="1:38" ht="19.5" x14ac:dyDescent="0.4">
      <c r="A79" s="125"/>
      <c r="B79" s="126"/>
      <c r="C79" s="126"/>
      <c r="D79" s="126"/>
      <c r="F79" s="115"/>
      <c r="G79" s="115"/>
      <c r="H79" s="115"/>
      <c r="I79" s="115"/>
      <c r="J79" s="25">
        <v>45600</v>
      </c>
      <c r="K79" s="13" t="s">
        <v>147</v>
      </c>
      <c r="P79" s="117"/>
      <c r="Q79" s="123"/>
      <c r="R79" s="123"/>
      <c r="S79" s="123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25"/>
      <c r="AI79" s="13"/>
      <c r="AL79" s="114"/>
    </row>
    <row r="80" spans="1:38" ht="19.5" x14ac:dyDescent="0.4">
      <c r="J80" s="25">
        <v>45600</v>
      </c>
      <c r="K80" s="15" t="s">
        <v>146</v>
      </c>
      <c r="P80" s="117"/>
      <c r="Q80" s="123"/>
      <c r="R80" s="123"/>
      <c r="S80" s="123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25">
        <v>45272</v>
      </c>
      <c r="AI80" s="13" t="s">
        <v>162</v>
      </c>
      <c r="AL80" s="114"/>
    </row>
    <row r="81" spans="6:38" ht="19.5" x14ac:dyDescent="0.4">
      <c r="J81" s="25">
        <v>45600</v>
      </c>
      <c r="K81" s="15" t="s">
        <v>146</v>
      </c>
      <c r="P81" s="117"/>
      <c r="Q81" s="123"/>
      <c r="R81" s="123"/>
      <c r="S81" s="123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25"/>
      <c r="AI81" s="13"/>
      <c r="AL81" s="114"/>
    </row>
    <row r="82" spans="6:38" ht="19.5" x14ac:dyDescent="0.4">
      <c r="H82" s="115"/>
      <c r="I82" s="115"/>
      <c r="J82" s="25">
        <v>45600</v>
      </c>
      <c r="K82" s="15" t="s">
        <v>146</v>
      </c>
      <c r="P82" s="117"/>
      <c r="Q82" s="123"/>
      <c r="R82" s="123"/>
      <c r="S82" s="123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25"/>
      <c r="AI82" s="13"/>
      <c r="AL82" s="114"/>
    </row>
    <row r="83" spans="6:38" ht="19.5" x14ac:dyDescent="0.4">
      <c r="J83" s="25">
        <v>45600</v>
      </c>
      <c r="K83" s="15" t="s">
        <v>147</v>
      </c>
      <c r="P83" s="117"/>
      <c r="Q83" s="123"/>
      <c r="R83" s="123"/>
      <c r="S83" s="123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25">
        <v>45272</v>
      </c>
      <c r="AI83" s="13" t="s">
        <v>162</v>
      </c>
      <c r="AL83" s="114"/>
    </row>
    <row r="84" spans="6:38" ht="19.5" x14ac:dyDescent="0.4">
      <c r="J84" s="25">
        <v>45600</v>
      </c>
      <c r="K84" s="15" t="s">
        <v>147</v>
      </c>
      <c r="P84" s="117"/>
      <c r="Q84" s="123"/>
      <c r="R84" s="123"/>
      <c r="S84" s="123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25">
        <v>45272</v>
      </c>
      <c r="AI84" s="15" t="s">
        <v>162</v>
      </c>
      <c r="AL84" s="114"/>
    </row>
    <row r="85" spans="6:38" ht="19.5" x14ac:dyDescent="0.4">
      <c r="J85" s="25">
        <v>45600</v>
      </c>
      <c r="K85" s="15" t="s">
        <v>147</v>
      </c>
      <c r="P85" s="117"/>
      <c r="Q85" s="123"/>
      <c r="R85" s="123"/>
      <c r="S85" s="123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25">
        <v>45272</v>
      </c>
      <c r="AI85" s="15" t="s">
        <v>162</v>
      </c>
      <c r="AL85" s="114"/>
    </row>
    <row r="86" spans="6:38" ht="19.5" x14ac:dyDescent="0.4">
      <c r="H86" s="115"/>
      <c r="I86" s="115"/>
      <c r="J86" s="25">
        <v>45600</v>
      </c>
      <c r="K86" s="15" t="s">
        <v>146</v>
      </c>
      <c r="P86" s="117"/>
      <c r="Q86" s="123"/>
      <c r="R86" s="123"/>
      <c r="S86" s="123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25"/>
      <c r="AI86" s="15"/>
      <c r="AL86" s="114"/>
    </row>
    <row r="87" spans="6:38" ht="19.5" x14ac:dyDescent="0.4">
      <c r="J87" s="25">
        <v>45600</v>
      </c>
      <c r="K87" s="15" t="s">
        <v>146</v>
      </c>
      <c r="P87" s="117"/>
      <c r="Q87" s="123"/>
      <c r="R87" s="123"/>
      <c r="S87" s="123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25">
        <v>45272</v>
      </c>
      <c r="AI87" s="15" t="s">
        <v>162</v>
      </c>
      <c r="AL87" s="114"/>
    </row>
    <row r="88" spans="6:38" ht="19.5" x14ac:dyDescent="0.4">
      <c r="F88" s="115"/>
      <c r="G88" s="115"/>
      <c r="H88" s="115"/>
      <c r="I88" s="115"/>
      <c r="J88" s="25">
        <v>45600</v>
      </c>
      <c r="K88" s="15" t="s">
        <v>146</v>
      </c>
      <c r="P88" s="117"/>
      <c r="Q88" s="123"/>
      <c r="R88" s="123"/>
      <c r="S88" s="123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25"/>
      <c r="AI88" s="15"/>
      <c r="AL88" s="114"/>
    </row>
    <row r="89" spans="6:38" ht="19.5" x14ac:dyDescent="0.4">
      <c r="F89" s="115"/>
      <c r="G89" s="115"/>
      <c r="H89" s="115"/>
      <c r="I89" s="115"/>
      <c r="J89" s="25">
        <v>45600</v>
      </c>
      <c r="K89" s="15" t="s">
        <v>147</v>
      </c>
      <c r="P89" s="117"/>
      <c r="Q89" s="123"/>
      <c r="R89" s="123"/>
      <c r="S89" s="123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25"/>
      <c r="AI89" s="15"/>
      <c r="AL89" s="114"/>
    </row>
    <row r="90" spans="6:38" ht="19.5" x14ac:dyDescent="0.4">
      <c r="F90" s="115"/>
      <c r="G90" s="115"/>
      <c r="H90" s="115"/>
      <c r="I90" s="115"/>
      <c r="J90" s="25">
        <v>45600</v>
      </c>
      <c r="K90" s="15" t="s">
        <v>146</v>
      </c>
      <c r="P90" s="117"/>
      <c r="Q90" s="123"/>
      <c r="R90" s="123"/>
      <c r="S90" s="123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25"/>
      <c r="AI90" s="15"/>
      <c r="AL90" s="114"/>
    </row>
    <row r="91" spans="6:38" ht="19.5" x14ac:dyDescent="0.4">
      <c r="J91" s="25">
        <v>45600</v>
      </c>
      <c r="K91" s="15" t="s">
        <v>148</v>
      </c>
      <c r="P91" s="117"/>
      <c r="Q91" s="123"/>
      <c r="R91" s="123"/>
      <c r="S91" s="123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25">
        <v>45272</v>
      </c>
      <c r="AI91" s="15" t="s">
        <v>162</v>
      </c>
      <c r="AL91" s="114"/>
    </row>
    <row r="92" spans="6:38" ht="19.5" x14ac:dyDescent="0.4">
      <c r="F92" s="115"/>
      <c r="G92" s="115"/>
      <c r="H92" s="115"/>
      <c r="I92" s="115"/>
      <c r="J92" s="25">
        <v>45600</v>
      </c>
      <c r="K92" s="15" t="s">
        <v>146</v>
      </c>
      <c r="P92" s="117"/>
      <c r="Q92" s="123"/>
      <c r="R92" s="123"/>
      <c r="S92" s="123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25"/>
      <c r="AI92" s="15"/>
      <c r="AL92" s="114"/>
    </row>
    <row r="93" spans="6:38" ht="19.5" x14ac:dyDescent="0.4">
      <c r="F93" s="115"/>
      <c r="G93" s="115"/>
      <c r="H93" s="115"/>
      <c r="I93" s="115"/>
      <c r="J93" s="25">
        <v>45600</v>
      </c>
      <c r="K93" s="15" t="s">
        <v>147</v>
      </c>
      <c r="P93" s="117"/>
      <c r="Q93" s="123"/>
      <c r="R93" s="123"/>
      <c r="S93" s="123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25"/>
      <c r="AI93" s="15"/>
      <c r="AL93" s="114"/>
    </row>
    <row r="94" spans="6:38" ht="19.5" x14ac:dyDescent="0.4">
      <c r="J94" s="25">
        <v>45600</v>
      </c>
      <c r="K94" s="15" t="s">
        <v>148</v>
      </c>
      <c r="P94" s="117"/>
      <c r="Q94" s="123"/>
      <c r="R94" s="123"/>
      <c r="S94" s="123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25">
        <v>45272</v>
      </c>
      <c r="AI94" s="15" t="s">
        <v>162</v>
      </c>
      <c r="AL94" s="114"/>
    </row>
    <row r="95" spans="6:38" ht="19.5" x14ac:dyDescent="0.4">
      <c r="H95" s="115"/>
      <c r="I95" s="115"/>
      <c r="J95" s="25">
        <v>45600</v>
      </c>
      <c r="K95" s="15" t="s">
        <v>148</v>
      </c>
      <c r="P95" s="117"/>
      <c r="Q95" s="123"/>
      <c r="R95" s="123"/>
      <c r="S95" s="123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25"/>
      <c r="AI95" s="15"/>
      <c r="AL95" s="114"/>
    </row>
    <row r="96" spans="6:38" ht="19.5" x14ac:dyDescent="0.4">
      <c r="H96" s="115"/>
      <c r="I96" s="115" t="s">
        <v>424</v>
      </c>
      <c r="J96" s="13">
        <f>SUBTOTAL(3,J73:J95)</f>
        <v>23</v>
      </c>
      <c r="K96" s="15">
        <f>SUBTOTAL(3,K73:K95)</f>
        <v>23</v>
      </c>
      <c r="P96" s="117"/>
      <c r="Q96" s="123"/>
      <c r="R96" s="123"/>
      <c r="S96" s="123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25"/>
      <c r="AI96" s="15"/>
      <c r="AL96" s="114"/>
    </row>
    <row r="97" spans="6:38" ht="19.5" x14ac:dyDescent="0.4">
      <c r="F97" s="115"/>
      <c r="G97" s="115"/>
      <c r="H97" s="115"/>
      <c r="I97" s="115"/>
      <c r="J97" s="25">
        <v>45601</v>
      </c>
      <c r="K97" s="15" t="s">
        <v>147</v>
      </c>
      <c r="P97" s="117"/>
      <c r="Q97" s="123"/>
      <c r="R97" s="123"/>
      <c r="S97" s="123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25"/>
      <c r="AI97" s="15"/>
      <c r="AL97" s="114"/>
    </row>
    <row r="98" spans="6:38" ht="19.5" x14ac:dyDescent="0.4">
      <c r="F98" s="115"/>
      <c r="G98" s="115"/>
      <c r="H98" s="115"/>
      <c r="I98" s="115"/>
      <c r="J98" s="25">
        <v>45601</v>
      </c>
      <c r="K98" s="15" t="s">
        <v>147</v>
      </c>
      <c r="P98" s="117"/>
      <c r="Q98" s="123"/>
      <c r="R98" s="123"/>
      <c r="S98" s="123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25"/>
      <c r="AI98" s="15"/>
      <c r="AL98" s="114"/>
    </row>
    <row r="99" spans="6:38" ht="19.5" x14ac:dyDescent="0.4">
      <c r="J99" s="25">
        <v>45601</v>
      </c>
      <c r="K99" s="15" t="s">
        <v>146</v>
      </c>
      <c r="P99" s="117"/>
      <c r="Q99" s="123"/>
      <c r="R99" s="123"/>
      <c r="S99" s="123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25">
        <v>45272</v>
      </c>
      <c r="AI99" s="15" t="s">
        <v>162</v>
      </c>
      <c r="AL99" s="114"/>
    </row>
    <row r="100" spans="6:38" ht="19.5" x14ac:dyDescent="0.4">
      <c r="J100" s="25">
        <v>45601</v>
      </c>
      <c r="K100" s="15" t="s">
        <v>147</v>
      </c>
      <c r="P100" s="117"/>
      <c r="Q100" s="123"/>
      <c r="R100" s="123"/>
      <c r="S100" s="123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25"/>
      <c r="AI100" s="15"/>
      <c r="AL100" s="114"/>
    </row>
    <row r="101" spans="6:38" ht="19.5" x14ac:dyDescent="0.4">
      <c r="G101" s="115"/>
      <c r="H101" s="115"/>
      <c r="I101" s="115"/>
      <c r="J101" s="25">
        <v>45601</v>
      </c>
      <c r="K101" s="15" t="s">
        <v>146</v>
      </c>
      <c r="P101" s="117"/>
      <c r="Q101" s="123"/>
      <c r="R101" s="123"/>
      <c r="S101" s="123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25"/>
      <c r="AI101" s="15"/>
      <c r="AL101" s="114"/>
    </row>
    <row r="102" spans="6:38" ht="19.5" x14ac:dyDescent="0.4">
      <c r="J102" s="26">
        <v>45601</v>
      </c>
      <c r="K102" s="15" t="s">
        <v>148</v>
      </c>
      <c r="P102" s="117"/>
      <c r="Q102" s="123"/>
      <c r="R102" s="123"/>
      <c r="S102" s="123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25">
        <v>45272</v>
      </c>
      <c r="AI102" s="15" t="s">
        <v>162</v>
      </c>
      <c r="AL102" s="114"/>
    </row>
    <row r="103" spans="6:38" ht="19.5" x14ac:dyDescent="0.4">
      <c r="J103" s="26">
        <v>45601</v>
      </c>
      <c r="K103" s="13" t="s">
        <v>147</v>
      </c>
      <c r="P103" s="117"/>
      <c r="Q103" s="123"/>
      <c r="R103" s="123"/>
      <c r="S103" s="123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25"/>
      <c r="AI103" s="15"/>
      <c r="AL103" s="114"/>
    </row>
    <row r="104" spans="6:38" ht="19.5" x14ac:dyDescent="0.4">
      <c r="H104" s="115"/>
      <c r="I104" s="115"/>
      <c r="J104" s="26">
        <v>45601</v>
      </c>
      <c r="K104" s="13" t="s">
        <v>142</v>
      </c>
      <c r="P104" s="117"/>
      <c r="Q104" s="123"/>
      <c r="R104" s="123"/>
      <c r="S104" s="123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25"/>
      <c r="AI104" s="15"/>
      <c r="AL104" s="114"/>
    </row>
    <row r="105" spans="6:38" ht="19.5" x14ac:dyDescent="0.4">
      <c r="J105" s="26">
        <v>45601</v>
      </c>
      <c r="K105" s="13" t="s">
        <v>146</v>
      </c>
      <c r="P105" s="117"/>
      <c r="Q105" s="123"/>
      <c r="R105" s="123"/>
      <c r="S105" s="123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25">
        <v>45272</v>
      </c>
      <c r="AI105" s="15" t="s">
        <v>162</v>
      </c>
      <c r="AL105" s="114"/>
    </row>
    <row r="106" spans="6:38" ht="19.5" x14ac:dyDescent="0.4">
      <c r="J106" s="26">
        <v>45601</v>
      </c>
      <c r="K106" s="13" t="s">
        <v>146</v>
      </c>
      <c r="P106" s="117"/>
      <c r="Q106" s="123"/>
      <c r="R106" s="123"/>
      <c r="S106" s="123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 t="s">
        <v>166</v>
      </c>
      <c r="AH106" s="13">
        <f>SUBTOTAL(3,AH75:AH105)</f>
        <v>13</v>
      </c>
      <c r="AI106" s="15">
        <f>SUBTOTAL(3,AI75:AI105)</f>
        <v>13</v>
      </c>
      <c r="AL106" s="114"/>
    </row>
    <row r="107" spans="6:38" ht="19.5" x14ac:dyDescent="0.4">
      <c r="J107" s="26">
        <v>45601</v>
      </c>
      <c r="K107" s="13" t="s">
        <v>146</v>
      </c>
      <c r="P107" s="117"/>
      <c r="Q107" s="123"/>
      <c r="R107" s="123"/>
      <c r="S107" s="123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25">
        <v>45273</v>
      </c>
      <c r="AI107" s="105" t="s">
        <v>164</v>
      </c>
      <c r="AL107" s="114"/>
    </row>
    <row r="108" spans="6:38" ht="19.5" x14ac:dyDescent="0.4">
      <c r="J108" s="26">
        <v>45601</v>
      </c>
      <c r="K108" s="13" t="s">
        <v>147</v>
      </c>
      <c r="P108" s="117"/>
      <c r="Q108" s="123"/>
      <c r="R108" s="123"/>
      <c r="S108" s="123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25">
        <v>45273</v>
      </c>
      <c r="AI108" s="15" t="s">
        <v>164</v>
      </c>
      <c r="AL108" s="114"/>
    </row>
    <row r="109" spans="6:38" ht="19.5" x14ac:dyDescent="0.4">
      <c r="G109" s="115"/>
      <c r="H109" s="115"/>
      <c r="I109" s="115"/>
      <c r="J109" s="26">
        <v>45601</v>
      </c>
      <c r="K109" s="13" t="s">
        <v>146</v>
      </c>
      <c r="P109" s="117"/>
      <c r="Q109" s="123"/>
      <c r="R109" s="123"/>
      <c r="S109" s="123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25"/>
      <c r="AI109" s="13"/>
      <c r="AL109" s="114"/>
    </row>
    <row r="110" spans="6:38" ht="19.5" x14ac:dyDescent="0.4">
      <c r="J110" s="26">
        <v>45601</v>
      </c>
      <c r="K110" s="13" t="s">
        <v>147</v>
      </c>
      <c r="P110" s="117"/>
      <c r="Q110" s="123"/>
      <c r="R110" s="123"/>
      <c r="S110" s="123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25">
        <v>45273</v>
      </c>
      <c r="AI110" s="13" t="s">
        <v>164</v>
      </c>
      <c r="AL110" s="114"/>
    </row>
    <row r="111" spans="6:38" ht="19.5" x14ac:dyDescent="0.4">
      <c r="J111" s="26">
        <v>45601</v>
      </c>
      <c r="K111" s="13" t="s">
        <v>147</v>
      </c>
      <c r="P111" s="117"/>
      <c r="Q111" s="123"/>
      <c r="R111" s="123"/>
      <c r="S111" s="123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25">
        <v>45273</v>
      </c>
      <c r="AI111" s="15" t="s">
        <v>164</v>
      </c>
      <c r="AL111" s="114"/>
    </row>
    <row r="112" spans="6:38" ht="19.5" x14ac:dyDescent="0.4">
      <c r="J112" s="26">
        <v>45601</v>
      </c>
      <c r="K112" s="13" t="s">
        <v>147</v>
      </c>
      <c r="P112" s="117"/>
      <c r="Q112" s="123"/>
      <c r="R112" s="123"/>
      <c r="S112" s="123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25">
        <v>45273</v>
      </c>
      <c r="AI112" s="15" t="s">
        <v>162</v>
      </c>
      <c r="AL112" s="114"/>
    </row>
    <row r="113" spans="7:38" ht="19.5" x14ac:dyDescent="0.4">
      <c r="I113" s="115" t="s">
        <v>425</v>
      </c>
      <c r="J113" s="17">
        <f>SUBTOTAL(3,J97:J112)</f>
        <v>16</v>
      </c>
      <c r="K113" s="13">
        <f>SUBTOTAL(3,K97:K112)</f>
        <v>16</v>
      </c>
      <c r="P113" s="117"/>
      <c r="Q113" s="123"/>
      <c r="R113" s="123"/>
      <c r="S113" s="123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25"/>
      <c r="AI113" s="15"/>
      <c r="AL113" s="114"/>
    </row>
    <row r="114" spans="7:38" ht="19.5" x14ac:dyDescent="0.4">
      <c r="J114" s="26">
        <v>45602</v>
      </c>
      <c r="K114" s="13" t="s">
        <v>146</v>
      </c>
      <c r="P114" s="117"/>
      <c r="Q114" s="123"/>
      <c r="R114" s="123"/>
      <c r="S114" s="123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25">
        <v>45273</v>
      </c>
      <c r="AI114" s="15" t="s">
        <v>162</v>
      </c>
      <c r="AL114" s="114"/>
    </row>
    <row r="115" spans="7:38" ht="19.5" x14ac:dyDescent="0.4">
      <c r="J115" s="26">
        <v>45602</v>
      </c>
      <c r="K115" s="13" t="s">
        <v>146</v>
      </c>
      <c r="P115" s="117"/>
      <c r="Q115" s="123"/>
      <c r="R115" s="123"/>
      <c r="S115" s="123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25">
        <v>45273</v>
      </c>
      <c r="AI115" s="15" t="s">
        <v>162</v>
      </c>
      <c r="AL115" s="114"/>
    </row>
    <row r="116" spans="7:38" ht="19.5" x14ac:dyDescent="0.4">
      <c r="J116" s="26">
        <v>45602</v>
      </c>
      <c r="K116" s="13" t="s">
        <v>146</v>
      </c>
      <c r="P116" s="117"/>
      <c r="Q116" s="123"/>
      <c r="R116" s="123"/>
      <c r="S116" s="123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25">
        <v>45273</v>
      </c>
      <c r="AI116" s="15" t="s">
        <v>162</v>
      </c>
      <c r="AL116" s="114"/>
    </row>
    <row r="117" spans="7:38" ht="19.5" x14ac:dyDescent="0.4">
      <c r="H117" s="115"/>
      <c r="I117" s="115"/>
      <c r="J117" s="26">
        <v>45602</v>
      </c>
      <c r="K117" s="13" t="s">
        <v>146</v>
      </c>
      <c r="P117" s="117"/>
      <c r="Q117" s="123"/>
      <c r="R117" s="123"/>
      <c r="S117" s="123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25"/>
      <c r="AI117" s="15"/>
      <c r="AL117" s="114"/>
    </row>
    <row r="118" spans="7:38" ht="19.5" x14ac:dyDescent="0.4">
      <c r="J118" s="26">
        <v>45602</v>
      </c>
      <c r="K118" s="13" t="s">
        <v>146</v>
      </c>
      <c r="P118" s="117"/>
      <c r="Q118" s="123"/>
      <c r="R118" s="123"/>
      <c r="S118" s="123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25">
        <v>45273</v>
      </c>
      <c r="AI118" s="15" t="s">
        <v>162</v>
      </c>
      <c r="AL118" s="114"/>
    </row>
    <row r="119" spans="7:38" ht="19.5" x14ac:dyDescent="0.4">
      <c r="J119" s="26">
        <v>45602</v>
      </c>
      <c r="K119" s="13" t="s">
        <v>142</v>
      </c>
      <c r="P119" s="117"/>
      <c r="Q119" s="123"/>
      <c r="R119" s="123"/>
      <c r="S119" s="123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25">
        <v>45273</v>
      </c>
      <c r="AI119" s="15" t="s">
        <v>162</v>
      </c>
      <c r="AL119" s="114"/>
    </row>
    <row r="120" spans="7:38" ht="19.5" x14ac:dyDescent="0.4">
      <c r="J120" s="26">
        <v>45602</v>
      </c>
      <c r="K120" s="13" t="s">
        <v>148</v>
      </c>
      <c r="P120" s="117"/>
      <c r="Q120" s="123"/>
      <c r="R120" s="123"/>
      <c r="S120" s="123"/>
      <c r="T120" s="115"/>
      <c r="U120" s="115"/>
      <c r="V120" s="115"/>
      <c r="W120" s="115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25">
        <v>45273</v>
      </c>
      <c r="AI120" s="15" t="s">
        <v>162</v>
      </c>
      <c r="AL120" s="114"/>
    </row>
    <row r="121" spans="7:38" ht="19.5" x14ac:dyDescent="0.4">
      <c r="J121" s="26">
        <v>45602</v>
      </c>
      <c r="K121" s="13" t="s">
        <v>146</v>
      </c>
      <c r="P121" s="117"/>
      <c r="Q121" s="123"/>
      <c r="R121" s="123"/>
      <c r="S121" s="123"/>
      <c r="T121" s="115"/>
      <c r="U121" s="115"/>
      <c r="V121" s="115"/>
      <c r="W121" s="115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25">
        <v>45273</v>
      </c>
      <c r="AI121" s="15" t="s">
        <v>162</v>
      </c>
      <c r="AL121" s="114"/>
    </row>
    <row r="122" spans="7:38" ht="19.5" x14ac:dyDescent="0.4">
      <c r="J122" s="26">
        <v>45602</v>
      </c>
      <c r="K122" s="13" t="s">
        <v>148</v>
      </c>
      <c r="P122" s="117"/>
      <c r="Q122" s="123"/>
      <c r="R122" s="123"/>
      <c r="S122" s="123"/>
      <c r="T122" s="115"/>
      <c r="U122" s="115"/>
      <c r="V122" s="115"/>
      <c r="W122" s="115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25">
        <v>45273</v>
      </c>
      <c r="AI122" s="15" t="s">
        <v>162</v>
      </c>
      <c r="AL122" s="114"/>
    </row>
    <row r="123" spans="7:38" ht="19.5" x14ac:dyDescent="0.4">
      <c r="J123" s="26">
        <v>45602</v>
      </c>
      <c r="K123" s="13" t="s">
        <v>146</v>
      </c>
      <c r="P123" s="117"/>
      <c r="Q123" s="123"/>
      <c r="R123" s="123"/>
      <c r="S123" s="123"/>
      <c r="T123" s="115"/>
      <c r="U123" s="115"/>
      <c r="V123" s="115"/>
      <c r="W123" s="115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25">
        <v>45273</v>
      </c>
      <c r="AI123" s="15" t="s">
        <v>162</v>
      </c>
      <c r="AL123" s="114"/>
    </row>
    <row r="124" spans="7:38" ht="19.5" x14ac:dyDescent="0.4">
      <c r="J124" s="26">
        <v>45602</v>
      </c>
      <c r="K124" s="13" t="s">
        <v>148</v>
      </c>
      <c r="P124" s="117"/>
      <c r="Q124" s="123"/>
      <c r="R124" s="123"/>
      <c r="S124" s="123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25">
        <v>45273</v>
      </c>
      <c r="AI124" s="13" t="s">
        <v>162</v>
      </c>
      <c r="AL124" s="114"/>
    </row>
    <row r="125" spans="7:38" ht="19.5" x14ac:dyDescent="0.4">
      <c r="J125" s="26">
        <v>45602</v>
      </c>
      <c r="K125" s="13" t="s">
        <v>146</v>
      </c>
      <c r="P125" s="117"/>
      <c r="Q125" s="123"/>
      <c r="R125" s="123"/>
      <c r="S125" s="123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25">
        <v>45273</v>
      </c>
      <c r="AI125" s="15" t="s">
        <v>162</v>
      </c>
      <c r="AL125" s="114"/>
    </row>
    <row r="126" spans="7:38" ht="19.5" x14ac:dyDescent="0.4">
      <c r="J126" s="26">
        <v>45602</v>
      </c>
      <c r="K126" s="13" t="s">
        <v>148</v>
      </c>
      <c r="P126" s="117"/>
      <c r="Q126" s="123"/>
      <c r="R126" s="123"/>
      <c r="S126" s="123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25">
        <v>45273</v>
      </c>
      <c r="AI126" s="15" t="s">
        <v>162</v>
      </c>
      <c r="AL126" s="114"/>
    </row>
    <row r="127" spans="7:38" ht="19.5" x14ac:dyDescent="0.4">
      <c r="G127" s="115"/>
      <c r="H127" s="115"/>
      <c r="I127" s="115"/>
      <c r="J127" s="26">
        <v>45602</v>
      </c>
      <c r="K127" s="13" t="s">
        <v>146</v>
      </c>
      <c r="P127" s="117"/>
      <c r="Q127" s="123"/>
      <c r="R127" s="123"/>
      <c r="S127" s="123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25"/>
      <c r="AI127" s="15"/>
      <c r="AL127" s="114"/>
    </row>
    <row r="128" spans="7:38" ht="19.5" x14ac:dyDescent="0.4">
      <c r="J128" s="26">
        <v>45602</v>
      </c>
      <c r="K128" s="13" t="s">
        <v>148</v>
      </c>
      <c r="P128" s="117"/>
      <c r="Q128" s="123"/>
      <c r="R128" s="123"/>
      <c r="S128" s="123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25">
        <v>45273</v>
      </c>
      <c r="AI128" s="15" t="s">
        <v>162</v>
      </c>
      <c r="AL128" s="114"/>
    </row>
    <row r="129" spans="6:38" ht="19.5" x14ac:dyDescent="0.4">
      <c r="J129" s="26">
        <v>45602</v>
      </c>
      <c r="K129" s="13" t="s">
        <v>148</v>
      </c>
      <c r="P129" s="117"/>
      <c r="Q129" s="123"/>
      <c r="R129" s="123"/>
      <c r="S129" s="123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25">
        <v>45273</v>
      </c>
      <c r="AI129" s="15" t="s">
        <v>162</v>
      </c>
      <c r="AL129" s="114"/>
    </row>
    <row r="130" spans="6:38" ht="19.5" x14ac:dyDescent="0.4">
      <c r="F130" s="115"/>
      <c r="G130" s="115"/>
      <c r="H130" s="115"/>
      <c r="I130" s="115"/>
      <c r="J130" s="26">
        <v>45602</v>
      </c>
      <c r="K130" s="13" t="s">
        <v>148</v>
      </c>
      <c r="P130" s="117"/>
      <c r="Q130" s="123"/>
      <c r="R130" s="123"/>
      <c r="S130" s="123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25"/>
      <c r="AI130" s="15"/>
      <c r="AL130" s="114"/>
    </row>
    <row r="131" spans="6:38" ht="19.5" x14ac:dyDescent="0.4">
      <c r="F131" s="115"/>
      <c r="G131" s="115"/>
      <c r="H131" s="115"/>
      <c r="I131" s="115"/>
      <c r="J131" s="26">
        <v>45602</v>
      </c>
      <c r="K131" s="13" t="s">
        <v>147</v>
      </c>
      <c r="P131" s="117"/>
      <c r="Q131" s="123"/>
      <c r="R131" s="123"/>
      <c r="S131" s="123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25"/>
      <c r="AI131" s="15"/>
      <c r="AL131" s="114"/>
    </row>
    <row r="132" spans="6:38" ht="19.5" x14ac:dyDescent="0.4">
      <c r="J132" s="26">
        <v>45602</v>
      </c>
      <c r="K132" s="15" t="s">
        <v>146</v>
      </c>
      <c r="P132" s="117"/>
      <c r="Q132" s="123"/>
      <c r="R132" s="123"/>
      <c r="S132" s="123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25">
        <v>45273</v>
      </c>
      <c r="AI132" s="15" t="s">
        <v>162</v>
      </c>
      <c r="AL132" s="114"/>
    </row>
    <row r="133" spans="6:38" ht="19.5" x14ac:dyDescent="0.4">
      <c r="J133" s="26">
        <v>45602</v>
      </c>
      <c r="K133" s="13" t="s">
        <v>147</v>
      </c>
      <c r="P133" s="117"/>
      <c r="Q133" s="123"/>
      <c r="R133" s="123"/>
      <c r="S133" s="123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25">
        <v>45273</v>
      </c>
      <c r="AI133" s="15" t="s">
        <v>162</v>
      </c>
      <c r="AL133" s="114"/>
    </row>
    <row r="134" spans="6:38" ht="19.5" x14ac:dyDescent="0.4">
      <c r="J134" s="26">
        <v>45602</v>
      </c>
      <c r="K134" s="13" t="s">
        <v>148</v>
      </c>
      <c r="P134" s="117"/>
      <c r="Q134" s="123"/>
      <c r="R134" s="123"/>
      <c r="S134" s="123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25">
        <v>45273</v>
      </c>
      <c r="AI134" s="13" t="s">
        <v>163</v>
      </c>
      <c r="AL134" s="114"/>
    </row>
    <row r="135" spans="6:38" ht="19.5" x14ac:dyDescent="0.4">
      <c r="J135" s="26">
        <v>45602</v>
      </c>
      <c r="K135" s="13" t="s">
        <v>146</v>
      </c>
      <c r="P135" s="117"/>
      <c r="Q135" s="123"/>
      <c r="R135" s="123"/>
      <c r="S135" s="123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25"/>
      <c r="AI135" s="13"/>
      <c r="AL135" s="114"/>
    </row>
    <row r="136" spans="6:38" ht="19.5" x14ac:dyDescent="0.4">
      <c r="J136" s="26">
        <v>45602</v>
      </c>
      <c r="K136" s="13" t="s">
        <v>146</v>
      </c>
      <c r="P136" s="117"/>
      <c r="Q136" s="123"/>
      <c r="R136" s="123"/>
      <c r="S136" s="123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 t="s">
        <v>152</v>
      </c>
      <c r="AH136" s="13">
        <f>SUBTOTAL(3,AH107:AH134)</f>
        <v>22</v>
      </c>
      <c r="AI136" s="13">
        <f>SUBTOTAL(3,AI107:AI134)</f>
        <v>22</v>
      </c>
      <c r="AL136" s="114"/>
    </row>
    <row r="137" spans="6:38" ht="19.5" x14ac:dyDescent="0.4">
      <c r="J137" s="26">
        <v>45602</v>
      </c>
      <c r="K137" s="13" t="s">
        <v>146</v>
      </c>
      <c r="P137" s="117"/>
      <c r="Q137" s="123"/>
      <c r="R137" s="123"/>
      <c r="S137" s="123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25">
        <v>45274</v>
      </c>
      <c r="AI137" s="15" t="s">
        <v>162</v>
      </c>
      <c r="AL137" s="114"/>
    </row>
    <row r="138" spans="6:38" ht="19.5" x14ac:dyDescent="0.4">
      <c r="H138" s="115"/>
      <c r="I138" s="115"/>
      <c r="J138" s="26">
        <v>45602</v>
      </c>
      <c r="K138" s="13" t="s">
        <v>146</v>
      </c>
      <c r="P138" s="117"/>
      <c r="Q138" s="123"/>
      <c r="R138" s="123"/>
      <c r="S138" s="123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25"/>
      <c r="AI138" s="15"/>
      <c r="AL138" s="114"/>
    </row>
    <row r="139" spans="6:38" ht="19.5" x14ac:dyDescent="0.4">
      <c r="H139" s="115"/>
      <c r="I139" s="115" t="s">
        <v>426</v>
      </c>
      <c r="J139" s="17">
        <f>SUBTOTAL(3,J114:J138)</f>
        <v>25</v>
      </c>
      <c r="K139" s="13">
        <f>SUBTOTAL(3,K114:K138)</f>
        <v>25</v>
      </c>
      <c r="P139" s="117"/>
      <c r="Q139" s="123"/>
      <c r="R139" s="123"/>
      <c r="S139" s="123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25"/>
      <c r="AI139" s="15"/>
      <c r="AL139" s="114"/>
    </row>
    <row r="140" spans="6:38" ht="19.5" x14ac:dyDescent="0.4">
      <c r="J140" s="26">
        <v>45604</v>
      </c>
      <c r="K140" s="13" t="s">
        <v>146</v>
      </c>
      <c r="P140" s="117"/>
      <c r="Q140" s="123"/>
      <c r="R140" s="123"/>
      <c r="S140" s="123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25">
        <v>45274</v>
      </c>
      <c r="AI140" s="15" t="s">
        <v>162</v>
      </c>
      <c r="AL140" s="114"/>
    </row>
    <row r="141" spans="6:38" ht="19.5" x14ac:dyDescent="0.4">
      <c r="I141" s="115" t="s">
        <v>427</v>
      </c>
      <c r="J141" s="17">
        <f>SUBTOTAL(3,J140:J140)</f>
        <v>1</v>
      </c>
      <c r="K141" s="13">
        <f>SUBTOTAL(3,K140:K140)</f>
        <v>1</v>
      </c>
      <c r="P141" s="117"/>
      <c r="Q141" s="123"/>
      <c r="R141" s="123"/>
      <c r="S141" s="123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25"/>
      <c r="AI141" s="15"/>
      <c r="AL141" s="114"/>
    </row>
    <row r="142" spans="6:38" ht="19.5" x14ac:dyDescent="0.4">
      <c r="H142" s="115"/>
      <c r="I142" s="115"/>
      <c r="J142" s="26">
        <v>45605</v>
      </c>
      <c r="K142" s="13" t="s">
        <v>142</v>
      </c>
      <c r="P142" s="117"/>
      <c r="Q142" s="123"/>
      <c r="R142" s="123"/>
      <c r="S142" s="123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25"/>
      <c r="AI142" s="15"/>
      <c r="AL142" s="114"/>
    </row>
    <row r="143" spans="6:38" ht="19.5" x14ac:dyDescent="0.4">
      <c r="F143" s="115"/>
      <c r="G143" s="115"/>
      <c r="H143" s="115"/>
      <c r="I143" s="115"/>
      <c r="J143" s="26">
        <v>45605</v>
      </c>
      <c r="K143" s="13" t="s">
        <v>146</v>
      </c>
      <c r="P143" s="117"/>
      <c r="Q143" s="123"/>
      <c r="R143" s="123"/>
      <c r="S143" s="123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25"/>
      <c r="AI143" s="15"/>
      <c r="AL143" s="114"/>
    </row>
    <row r="144" spans="6:38" ht="19.5" x14ac:dyDescent="0.4">
      <c r="J144" s="26">
        <v>45605</v>
      </c>
      <c r="K144" s="13" t="s">
        <v>146</v>
      </c>
      <c r="P144" s="117"/>
      <c r="Q144" s="123"/>
      <c r="R144" s="123"/>
      <c r="S144" s="123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25">
        <v>45274</v>
      </c>
      <c r="AI144" s="15" t="s">
        <v>162</v>
      </c>
      <c r="AL144" s="114"/>
    </row>
    <row r="145" spans="7:38" ht="19.5" x14ac:dyDescent="0.4">
      <c r="G145" s="115"/>
      <c r="H145" s="115"/>
      <c r="I145" s="115"/>
      <c r="J145" s="26">
        <v>45605</v>
      </c>
      <c r="K145" s="13" t="s">
        <v>146</v>
      </c>
      <c r="P145" s="117"/>
      <c r="Q145" s="123"/>
      <c r="R145" s="123"/>
      <c r="S145" s="123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25"/>
      <c r="AI145" s="15"/>
      <c r="AL145" s="114"/>
    </row>
    <row r="146" spans="7:38" ht="19.5" x14ac:dyDescent="0.4">
      <c r="J146" s="26">
        <v>45605</v>
      </c>
      <c r="K146" s="13" t="s">
        <v>147</v>
      </c>
      <c r="P146" s="117"/>
      <c r="Q146" s="123"/>
      <c r="R146" s="123"/>
      <c r="S146" s="123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25">
        <v>45274</v>
      </c>
      <c r="AI146" s="15" t="s">
        <v>162</v>
      </c>
      <c r="AL146" s="114"/>
    </row>
    <row r="147" spans="7:38" ht="19.5" x14ac:dyDescent="0.4">
      <c r="J147" s="26">
        <v>45605</v>
      </c>
      <c r="K147" s="13" t="s">
        <v>146</v>
      </c>
      <c r="P147" s="117"/>
      <c r="Q147" s="123"/>
      <c r="R147" s="123"/>
      <c r="S147" s="123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25">
        <v>45274</v>
      </c>
      <c r="AI147" s="15" t="s">
        <v>163</v>
      </c>
      <c r="AL147" s="114"/>
    </row>
    <row r="148" spans="7:38" ht="19.5" x14ac:dyDescent="0.4">
      <c r="H148" s="115"/>
      <c r="I148" s="115"/>
      <c r="J148" s="26">
        <v>45605</v>
      </c>
      <c r="K148" s="13" t="s">
        <v>148</v>
      </c>
      <c r="P148" s="117"/>
      <c r="Q148" s="123"/>
      <c r="R148" s="123"/>
      <c r="S148" s="123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25"/>
      <c r="AI148" s="15"/>
      <c r="AL148" s="114"/>
    </row>
    <row r="149" spans="7:38" ht="19.5" x14ac:dyDescent="0.4">
      <c r="J149" s="26">
        <v>45605</v>
      </c>
      <c r="K149" s="13" t="s">
        <v>146</v>
      </c>
      <c r="P149" s="117"/>
      <c r="Q149" s="123"/>
      <c r="R149" s="123"/>
      <c r="S149" s="123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 t="s">
        <v>167</v>
      </c>
      <c r="AH149" s="13">
        <f>SUBTOTAL(3,AH137:AH147)</f>
        <v>5</v>
      </c>
      <c r="AI149" s="15">
        <f>SUBTOTAL(3,AI137:AI147)</f>
        <v>5</v>
      </c>
      <c r="AL149" s="114"/>
    </row>
    <row r="150" spans="7:38" ht="19.5" x14ac:dyDescent="0.4">
      <c r="H150" s="115"/>
      <c r="I150" s="115"/>
      <c r="J150" s="26">
        <v>45605</v>
      </c>
      <c r="K150" s="13" t="s">
        <v>148</v>
      </c>
      <c r="P150" s="117"/>
      <c r="Q150" s="123"/>
      <c r="R150" s="123"/>
      <c r="S150" s="123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3"/>
      <c r="AI150" s="15"/>
      <c r="AL150" s="114"/>
    </row>
    <row r="151" spans="7:38" ht="19.5" x14ac:dyDescent="0.4">
      <c r="J151" s="26">
        <v>45605</v>
      </c>
      <c r="K151" s="15" t="s">
        <v>147</v>
      </c>
      <c r="P151" s="117"/>
      <c r="Q151" s="123"/>
      <c r="R151" s="123"/>
      <c r="S151" s="123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3"/>
      <c r="AI151" s="15"/>
      <c r="AL151" s="114"/>
    </row>
    <row r="152" spans="7:38" ht="19.5" x14ac:dyDescent="0.4">
      <c r="H152" s="115"/>
      <c r="I152" s="115"/>
      <c r="J152" s="26">
        <v>45605</v>
      </c>
      <c r="K152" s="13" t="s">
        <v>147</v>
      </c>
      <c r="P152" s="117"/>
      <c r="Q152" s="123"/>
      <c r="R152" s="123"/>
      <c r="S152" s="123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3"/>
      <c r="AI152" s="15"/>
      <c r="AL152" s="114"/>
    </row>
    <row r="153" spans="7:38" ht="19.5" x14ac:dyDescent="0.4">
      <c r="H153" s="115"/>
      <c r="I153" s="115" t="s">
        <v>428</v>
      </c>
      <c r="J153" s="17">
        <f>SUBTOTAL(3,J142:J152)</f>
        <v>11</v>
      </c>
      <c r="K153" s="13">
        <f>SUBTOTAL(3,K142:K152)</f>
        <v>11</v>
      </c>
      <c r="P153" s="117"/>
      <c r="Q153" s="123"/>
      <c r="R153" s="123"/>
      <c r="S153" s="123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3"/>
      <c r="AI153" s="15"/>
      <c r="AL153" s="114"/>
    </row>
    <row r="154" spans="7:38" ht="19.5" x14ac:dyDescent="0.4">
      <c r="H154" s="115"/>
      <c r="I154" s="115"/>
      <c r="J154" s="26">
        <v>45606</v>
      </c>
      <c r="K154" s="13" t="s">
        <v>146</v>
      </c>
      <c r="P154" s="117"/>
      <c r="Q154" s="123"/>
      <c r="R154" s="123"/>
      <c r="S154" s="123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3"/>
      <c r="AI154" s="15"/>
      <c r="AL154" s="114"/>
    </row>
    <row r="155" spans="7:38" ht="19.5" x14ac:dyDescent="0.4">
      <c r="G155" s="115"/>
      <c r="H155" s="115"/>
      <c r="I155" s="115"/>
      <c r="J155" s="26">
        <v>45606</v>
      </c>
      <c r="K155" s="13" t="s">
        <v>146</v>
      </c>
      <c r="P155" s="117"/>
      <c r="Q155" s="123"/>
      <c r="R155" s="123"/>
      <c r="S155" s="123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3"/>
      <c r="AI155" s="15"/>
      <c r="AL155" s="114"/>
    </row>
    <row r="156" spans="7:38" ht="19.5" x14ac:dyDescent="0.4">
      <c r="J156" s="26">
        <v>45606</v>
      </c>
      <c r="K156" s="13" t="s">
        <v>146</v>
      </c>
      <c r="P156" s="117"/>
      <c r="Q156" s="123"/>
      <c r="R156" s="123"/>
      <c r="S156" s="123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25">
        <v>45275</v>
      </c>
      <c r="AI156" s="15" t="s">
        <v>163</v>
      </c>
      <c r="AL156" s="114"/>
    </row>
    <row r="157" spans="7:38" ht="19.5" x14ac:dyDescent="0.4">
      <c r="J157" s="26">
        <v>45606</v>
      </c>
      <c r="K157" s="13" t="s">
        <v>146</v>
      </c>
      <c r="P157" s="117"/>
      <c r="Q157" s="123"/>
      <c r="R157" s="123"/>
      <c r="S157" s="123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 t="s">
        <v>168</v>
      </c>
      <c r="AH157" s="13">
        <f>SUBTOTAL(3,AH156:AH156)</f>
        <v>1</v>
      </c>
      <c r="AI157" s="15">
        <f>SUBTOTAL(3,AI156:AI156)</f>
        <v>1</v>
      </c>
      <c r="AL157" s="114"/>
    </row>
    <row r="158" spans="7:38" ht="19.5" x14ac:dyDescent="0.4">
      <c r="J158" s="26">
        <v>45606</v>
      </c>
      <c r="K158" s="13" t="s">
        <v>146</v>
      </c>
      <c r="P158" s="117"/>
      <c r="Q158" s="123"/>
      <c r="R158" s="123"/>
      <c r="S158" s="123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25">
        <v>45276</v>
      </c>
      <c r="AI158" s="15" t="s">
        <v>164</v>
      </c>
      <c r="AL158" s="114"/>
    </row>
    <row r="159" spans="7:38" ht="19.5" x14ac:dyDescent="0.4">
      <c r="J159" s="26">
        <v>45606</v>
      </c>
      <c r="K159" s="13" t="s">
        <v>146</v>
      </c>
      <c r="P159" s="117"/>
      <c r="Q159" s="123"/>
      <c r="R159" s="123"/>
      <c r="S159" s="123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25">
        <v>45276</v>
      </c>
      <c r="AI159" s="15" t="s">
        <v>162</v>
      </c>
      <c r="AL159" s="114"/>
    </row>
    <row r="160" spans="7:38" ht="19.5" x14ac:dyDescent="0.4">
      <c r="J160" s="26">
        <v>45606</v>
      </c>
      <c r="K160" s="13" t="s">
        <v>146</v>
      </c>
      <c r="P160" s="117"/>
      <c r="Q160" s="123"/>
      <c r="R160" s="123"/>
      <c r="S160" s="123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25">
        <v>45276</v>
      </c>
      <c r="AI160" s="15" t="s">
        <v>162</v>
      </c>
      <c r="AL160" s="114"/>
    </row>
    <row r="161" spans="6:38" ht="19.5" x14ac:dyDescent="0.4">
      <c r="J161" s="26">
        <v>45606</v>
      </c>
      <c r="K161" s="13" t="s">
        <v>146</v>
      </c>
      <c r="P161" s="117"/>
      <c r="Q161" s="123"/>
      <c r="R161" s="123"/>
      <c r="S161" s="123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25">
        <v>45276</v>
      </c>
      <c r="AI161" s="15" t="s">
        <v>162</v>
      </c>
      <c r="AL161" s="114"/>
    </row>
    <row r="162" spans="6:38" ht="19.5" x14ac:dyDescent="0.4">
      <c r="J162" s="26">
        <v>45606</v>
      </c>
      <c r="K162" s="13" t="s">
        <v>146</v>
      </c>
      <c r="P162" s="117"/>
      <c r="Q162" s="123"/>
      <c r="R162" s="123"/>
      <c r="S162" s="123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25">
        <v>45276</v>
      </c>
      <c r="AI162" s="15" t="s">
        <v>162</v>
      </c>
      <c r="AL162" s="114"/>
    </row>
    <row r="163" spans="6:38" ht="19.5" x14ac:dyDescent="0.4">
      <c r="F163" s="115"/>
      <c r="G163" s="115"/>
      <c r="H163" s="115"/>
      <c r="I163" s="115"/>
      <c r="J163" s="26">
        <v>45606</v>
      </c>
      <c r="K163" s="15" t="s">
        <v>146</v>
      </c>
      <c r="P163" s="117"/>
      <c r="Q163" s="123"/>
      <c r="R163" s="123"/>
      <c r="S163" s="123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25"/>
      <c r="AI163" s="15"/>
      <c r="AL163" s="114"/>
    </row>
    <row r="164" spans="6:38" ht="19.5" x14ac:dyDescent="0.4">
      <c r="J164" s="26">
        <v>45606</v>
      </c>
      <c r="K164" s="15" t="s">
        <v>146</v>
      </c>
      <c r="P164" s="117"/>
      <c r="Q164" s="123"/>
      <c r="R164" s="123"/>
      <c r="S164" s="123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25">
        <v>45276</v>
      </c>
      <c r="AI164" s="15" t="s">
        <v>162</v>
      </c>
      <c r="AL164" s="114"/>
    </row>
    <row r="165" spans="6:38" ht="19.5" x14ac:dyDescent="0.4">
      <c r="J165" s="26">
        <v>45606</v>
      </c>
      <c r="K165" s="15" t="s">
        <v>146</v>
      </c>
      <c r="P165" s="117"/>
      <c r="Q165" s="123"/>
      <c r="R165" s="123"/>
      <c r="S165" s="123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25">
        <v>45276</v>
      </c>
      <c r="AI165" s="15" t="s">
        <v>162</v>
      </c>
      <c r="AL165" s="114"/>
    </row>
    <row r="166" spans="6:38" ht="19.5" x14ac:dyDescent="0.4">
      <c r="F166" s="115"/>
      <c r="G166" s="115"/>
      <c r="H166" s="115"/>
      <c r="I166" s="115"/>
      <c r="J166" s="26">
        <v>45606</v>
      </c>
      <c r="K166" s="15" t="s">
        <v>146</v>
      </c>
      <c r="P166" s="117"/>
      <c r="Q166" s="123"/>
      <c r="R166" s="123"/>
      <c r="S166" s="123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25"/>
      <c r="AI166" s="15"/>
      <c r="AL166" s="114"/>
    </row>
    <row r="167" spans="6:38" ht="19.5" x14ac:dyDescent="0.4">
      <c r="F167" s="115"/>
      <c r="G167" s="115"/>
      <c r="H167" s="115"/>
      <c r="I167" s="115"/>
      <c r="J167" s="26">
        <v>45606</v>
      </c>
      <c r="K167" s="15" t="s">
        <v>146</v>
      </c>
      <c r="P167" s="117"/>
      <c r="Q167" s="123"/>
      <c r="R167" s="123"/>
      <c r="S167" s="123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25"/>
      <c r="AI167" s="15"/>
      <c r="AL167" s="114"/>
    </row>
    <row r="168" spans="6:38" ht="19.5" x14ac:dyDescent="0.4">
      <c r="F168" s="115"/>
      <c r="G168" s="115"/>
      <c r="H168" s="115"/>
      <c r="I168" s="115"/>
      <c r="J168" s="26">
        <v>45606</v>
      </c>
      <c r="K168" s="15" t="s">
        <v>146</v>
      </c>
      <c r="P168" s="117"/>
      <c r="Q168" s="123"/>
      <c r="R168" s="123"/>
      <c r="S168" s="123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25"/>
      <c r="AI168" s="15"/>
      <c r="AL168" s="114"/>
    </row>
    <row r="169" spans="6:38" ht="19.5" x14ac:dyDescent="0.4">
      <c r="J169" s="26">
        <v>45606</v>
      </c>
      <c r="K169" s="15" t="s">
        <v>146</v>
      </c>
      <c r="O169" s="115"/>
      <c r="P169" s="117"/>
      <c r="Q169" s="123"/>
      <c r="R169" s="123"/>
      <c r="S169" s="123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25">
        <v>45276</v>
      </c>
      <c r="AI169" s="15" t="s">
        <v>162</v>
      </c>
      <c r="AL169" s="114"/>
    </row>
    <row r="170" spans="6:38" ht="19.5" x14ac:dyDescent="0.4">
      <c r="J170" s="26">
        <v>45606</v>
      </c>
      <c r="K170" s="15" t="s">
        <v>146</v>
      </c>
      <c r="O170" s="115"/>
      <c r="P170" s="117"/>
      <c r="Q170" s="123"/>
      <c r="R170" s="123"/>
      <c r="S170" s="123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25">
        <v>45276</v>
      </c>
      <c r="AI170" s="15" t="s">
        <v>162</v>
      </c>
      <c r="AL170" s="114"/>
    </row>
    <row r="171" spans="6:38" ht="19.5" x14ac:dyDescent="0.4">
      <c r="J171" s="26">
        <v>45606</v>
      </c>
      <c r="K171" s="15" t="s">
        <v>146</v>
      </c>
      <c r="O171" s="115"/>
      <c r="P171" s="117"/>
      <c r="Q171" s="123"/>
      <c r="R171" s="123"/>
      <c r="S171" s="123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25">
        <v>45276</v>
      </c>
      <c r="AI171" s="15" t="s">
        <v>162</v>
      </c>
      <c r="AL171" s="114"/>
    </row>
    <row r="172" spans="6:38" ht="19.5" x14ac:dyDescent="0.4">
      <c r="G172" s="115"/>
      <c r="H172" s="115"/>
      <c r="I172" s="115"/>
      <c r="J172" s="26">
        <v>45606</v>
      </c>
      <c r="K172" s="15" t="s">
        <v>146</v>
      </c>
      <c r="O172" s="115"/>
      <c r="P172" s="117"/>
      <c r="Q172" s="123"/>
      <c r="R172" s="123"/>
      <c r="S172" s="123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25"/>
      <c r="AI172" s="15"/>
      <c r="AL172" s="114"/>
    </row>
    <row r="173" spans="6:38" ht="19.5" x14ac:dyDescent="0.4">
      <c r="J173" s="26">
        <v>45606</v>
      </c>
      <c r="K173" s="15" t="s">
        <v>146</v>
      </c>
      <c r="O173" s="115"/>
      <c r="P173" s="117"/>
      <c r="Q173" s="123"/>
      <c r="R173" s="123"/>
      <c r="S173" s="123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25"/>
      <c r="AI173" s="15"/>
      <c r="AL173" s="114"/>
    </row>
    <row r="174" spans="6:38" ht="19.5" x14ac:dyDescent="0.4">
      <c r="F174" s="115"/>
      <c r="G174" s="115"/>
      <c r="H174" s="115"/>
      <c r="I174" s="115"/>
      <c r="J174" s="26">
        <v>45606</v>
      </c>
      <c r="K174" s="15" t="s">
        <v>146</v>
      </c>
      <c r="O174" s="115"/>
      <c r="P174" s="117"/>
      <c r="Q174" s="123"/>
      <c r="R174" s="123"/>
      <c r="S174" s="123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25"/>
      <c r="AI174" s="15"/>
      <c r="AL174" s="114"/>
    </row>
    <row r="175" spans="6:38" ht="19.5" x14ac:dyDescent="0.4">
      <c r="J175" s="26">
        <v>45606</v>
      </c>
      <c r="K175" s="15" t="s">
        <v>146</v>
      </c>
      <c r="O175" s="115"/>
      <c r="P175" s="117"/>
      <c r="Q175" s="123"/>
      <c r="R175" s="123"/>
      <c r="S175" s="123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25">
        <v>45276</v>
      </c>
      <c r="AI175" s="15" t="s">
        <v>162</v>
      </c>
      <c r="AL175" s="114"/>
    </row>
    <row r="176" spans="6:38" ht="19.5" x14ac:dyDescent="0.4">
      <c r="J176" s="26">
        <v>45606</v>
      </c>
      <c r="K176" s="15" t="s">
        <v>148</v>
      </c>
      <c r="O176" s="115"/>
      <c r="P176" s="117"/>
      <c r="Q176" s="123"/>
      <c r="R176" s="123"/>
      <c r="S176" s="123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25">
        <v>45276</v>
      </c>
      <c r="AI176" s="15" t="s">
        <v>162</v>
      </c>
      <c r="AL176" s="114"/>
    </row>
    <row r="177" spans="7:38" ht="19.5" x14ac:dyDescent="0.4">
      <c r="I177" s="115" t="s">
        <v>429</v>
      </c>
      <c r="J177" s="17">
        <f>SUBTOTAL(3,J154:J176)</f>
        <v>23</v>
      </c>
      <c r="K177" s="15">
        <f>SUBTOTAL(3,K154:K176)</f>
        <v>23</v>
      </c>
      <c r="O177" s="115"/>
      <c r="P177" s="117"/>
      <c r="Q177" s="123"/>
      <c r="R177" s="123"/>
      <c r="S177" s="123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25"/>
      <c r="AI177" s="15"/>
      <c r="AL177" s="114"/>
    </row>
    <row r="178" spans="7:38" ht="19.5" x14ac:dyDescent="0.4">
      <c r="J178" s="26">
        <v>45607</v>
      </c>
      <c r="K178" s="15" t="s">
        <v>146</v>
      </c>
      <c r="O178" s="115"/>
      <c r="P178" s="117"/>
      <c r="Q178" s="123"/>
      <c r="R178" s="123"/>
      <c r="S178" s="123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25">
        <v>45276</v>
      </c>
      <c r="AI178" s="15" t="s">
        <v>162</v>
      </c>
      <c r="AL178" s="114"/>
    </row>
    <row r="179" spans="7:38" ht="19.5" x14ac:dyDescent="0.4">
      <c r="J179" s="26">
        <v>45607</v>
      </c>
      <c r="K179" s="15" t="s">
        <v>146</v>
      </c>
      <c r="O179" s="115"/>
      <c r="P179" s="117"/>
      <c r="Q179" s="123"/>
      <c r="R179" s="123"/>
      <c r="S179" s="123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25">
        <v>45276</v>
      </c>
      <c r="AI179" s="15" t="s">
        <v>162</v>
      </c>
      <c r="AL179" s="114"/>
    </row>
    <row r="180" spans="7:38" ht="19.5" x14ac:dyDescent="0.4">
      <c r="J180" s="26">
        <v>45607</v>
      </c>
      <c r="K180" s="15" t="s">
        <v>146</v>
      </c>
      <c r="O180" s="115"/>
      <c r="P180" s="117"/>
      <c r="Q180" s="123"/>
      <c r="R180" s="123"/>
      <c r="S180" s="123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25">
        <v>45276</v>
      </c>
      <c r="AI180" s="15" t="s">
        <v>162</v>
      </c>
      <c r="AL180" s="114"/>
    </row>
    <row r="181" spans="7:38" ht="19.5" x14ac:dyDescent="0.4">
      <c r="J181" s="26">
        <v>45607</v>
      </c>
      <c r="K181" s="15" t="s">
        <v>147</v>
      </c>
      <c r="O181" s="115"/>
      <c r="P181" s="117"/>
      <c r="Q181" s="123"/>
      <c r="R181" s="123"/>
      <c r="S181" s="123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25"/>
      <c r="AI181" s="15"/>
      <c r="AL181" s="114"/>
    </row>
    <row r="182" spans="7:38" ht="19.5" x14ac:dyDescent="0.4">
      <c r="J182" s="26">
        <v>45607</v>
      </c>
      <c r="K182" s="15" t="s">
        <v>146</v>
      </c>
      <c r="O182" s="115"/>
      <c r="P182" s="117"/>
      <c r="Q182" s="123"/>
      <c r="R182" s="123"/>
      <c r="S182" s="123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25">
        <v>45276</v>
      </c>
      <c r="AI182" s="15" t="s">
        <v>162</v>
      </c>
      <c r="AL182" s="114"/>
    </row>
    <row r="183" spans="7:38" ht="19.5" x14ac:dyDescent="0.4">
      <c r="J183" s="26">
        <v>45607</v>
      </c>
      <c r="K183" s="15" t="s">
        <v>146</v>
      </c>
      <c r="O183" s="115"/>
      <c r="P183" s="117"/>
      <c r="Q183" s="123"/>
      <c r="R183" s="123"/>
      <c r="S183" s="123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25">
        <v>45276</v>
      </c>
      <c r="AI183" s="15" t="s">
        <v>162</v>
      </c>
      <c r="AL183" s="114"/>
    </row>
    <row r="184" spans="7:38" ht="19.5" x14ac:dyDescent="0.4">
      <c r="G184" s="115"/>
      <c r="H184" s="115"/>
      <c r="I184" s="115"/>
      <c r="J184" s="26">
        <v>45607</v>
      </c>
      <c r="K184" s="15" t="s">
        <v>147</v>
      </c>
      <c r="O184" s="115"/>
      <c r="P184" s="117"/>
      <c r="Q184" s="123"/>
      <c r="R184" s="123"/>
      <c r="S184" s="123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25"/>
      <c r="AI184" s="15"/>
      <c r="AL184" s="114"/>
    </row>
    <row r="185" spans="7:38" ht="19.5" x14ac:dyDescent="0.4">
      <c r="G185" s="115"/>
      <c r="H185" s="115"/>
      <c r="I185" s="115" t="s">
        <v>430</v>
      </c>
      <c r="J185" s="17">
        <f>SUBTOTAL(3,J178:J184)</f>
        <v>7</v>
      </c>
      <c r="K185" s="15">
        <f>SUBTOTAL(3,K178:K184)</f>
        <v>7</v>
      </c>
      <c r="O185" s="115"/>
      <c r="P185" s="117"/>
      <c r="Q185" s="123"/>
      <c r="R185" s="123"/>
      <c r="S185" s="123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25"/>
      <c r="AI185" s="15"/>
      <c r="AL185" s="114"/>
    </row>
    <row r="186" spans="7:38" ht="19.5" x14ac:dyDescent="0.4">
      <c r="J186" s="26">
        <v>45608</v>
      </c>
      <c r="K186" s="15" t="s">
        <v>146</v>
      </c>
      <c r="O186" s="115"/>
      <c r="P186" s="117"/>
      <c r="Q186" s="123"/>
      <c r="R186" s="123"/>
      <c r="S186" s="123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 t="s">
        <v>169</v>
      </c>
      <c r="AH186" s="13">
        <f>SUBTOTAL(3,AH158:AH183)</f>
        <v>17</v>
      </c>
      <c r="AI186" s="15">
        <f>SUBTOTAL(3,AI158:AI183)</f>
        <v>17</v>
      </c>
      <c r="AL186" s="114"/>
    </row>
    <row r="187" spans="7:38" ht="19.5" x14ac:dyDescent="0.4">
      <c r="G187" s="115"/>
      <c r="H187" s="115"/>
      <c r="I187" s="115"/>
      <c r="J187" s="26">
        <v>45608</v>
      </c>
      <c r="K187" s="15" t="s">
        <v>146</v>
      </c>
      <c r="O187" s="115"/>
      <c r="P187" s="117"/>
      <c r="Q187" s="123"/>
      <c r="R187" s="123"/>
      <c r="S187" s="123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3"/>
      <c r="AI187" s="15"/>
      <c r="AL187" s="114"/>
    </row>
    <row r="188" spans="7:38" ht="19.5" x14ac:dyDescent="0.4">
      <c r="J188" s="26">
        <v>45608</v>
      </c>
      <c r="K188" s="15" t="s">
        <v>146</v>
      </c>
      <c r="O188" s="115"/>
      <c r="P188" s="117"/>
      <c r="Q188" s="123"/>
      <c r="R188" s="123"/>
      <c r="S188" s="123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25">
        <v>45277</v>
      </c>
      <c r="AI188" s="15" t="s">
        <v>162</v>
      </c>
      <c r="AL188" s="114"/>
    </row>
    <row r="189" spans="7:38" ht="19.5" x14ac:dyDescent="0.4">
      <c r="G189" s="115"/>
      <c r="H189" s="115"/>
      <c r="I189" s="115"/>
      <c r="J189" s="26">
        <v>45608</v>
      </c>
      <c r="K189" s="15" t="s">
        <v>146</v>
      </c>
      <c r="O189" s="115"/>
      <c r="P189" s="117"/>
      <c r="Q189" s="123"/>
      <c r="R189" s="123"/>
      <c r="S189" s="123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25"/>
      <c r="AI189" s="15"/>
      <c r="AL189" s="114"/>
    </row>
    <row r="190" spans="7:38" ht="19.5" x14ac:dyDescent="0.4">
      <c r="J190" s="26">
        <v>45608</v>
      </c>
      <c r="K190" s="15" t="s">
        <v>148</v>
      </c>
      <c r="O190" s="115"/>
      <c r="P190" s="117"/>
      <c r="Q190" s="123"/>
      <c r="R190" s="123"/>
      <c r="S190" s="123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25">
        <v>45277</v>
      </c>
      <c r="AI190" s="15" t="s">
        <v>162</v>
      </c>
      <c r="AL190" s="114"/>
    </row>
    <row r="191" spans="7:38" ht="19.5" x14ac:dyDescent="0.4">
      <c r="I191" s="115" t="s">
        <v>431</v>
      </c>
      <c r="J191" s="17">
        <f>SUBTOTAL(3,J186:J190)</f>
        <v>5</v>
      </c>
      <c r="K191" s="15">
        <f>SUBTOTAL(3,K186:K190)</f>
        <v>5</v>
      </c>
      <c r="O191" s="115"/>
      <c r="P191" s="117"/>
      <c r="Q191" s="123"/>
      <c r="R191" s="123"/>
      <c r="S191" s="123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31"/>
      <c r="AI191" s="13"/>
      <c r="AL191" s="114"/>
    </row>
    <row r="192" spans="7:38" ht="19.5" x14ac:dyDescent="0.4">
      <c r="J192" s="26">
        <v>45609</v>
      </c>
      <c r="K192" s="15" t="s">
        <v>146</v>
      </c>
      <c r="O192" s="115"/>
      <c r="P192" s="117"/>
      <c r="Q192" s="123"/>
      <c r="R192" s="123"/>
      <c r="S192" s="123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26">
        <v>45277</v>
      </c>
      <c r="AI192" s="13" t="s">
        <v>162</v>
      </c>
      <c r="AL192" s="114"/>
    </row>
    <row r="193" spans="6:38" ht="19.5" x14ac:dyDescent="0.4">
      <c r="J193" s="26">
        <v>45609</v>
      </c>
      <c r="K193" s="15" t="s">
        <v>146</v>
      </c>
      <c r="O193" s="115"/>
      <c r="P193" s="117"/>
      <c r="Q193" s="123"/>
      <c r="R193" s="123"/>
      <c r="S193" s="123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26">
        <v>45277</v>
      </c>
      <c r="AI193" s="15" t="s">
        <v>162</v>
      </c>
      <c r="AL193" s="114"/>
    </row>
    <row r="194" spans="6:38" ht="19.5" x14ac:dyDescent="0.4">
      <c r="F194" s="115"/>
      <c r="G194" s="115"/>
      <c r="H194" s="115"/>
      <c r="I194" s="115"/>
      <c r="J194" s="26">
        <v>45609</v>
      </c>
      <c r="K194" s="15" t="s">
        <v>146</v>
      </c>
      <c r="O194" s="115"/>
      <c r="P194" s="117"/>
      <c r="Q194" s="123"/>
      <c r="R194" s="123"/>
      <c r="S194" s="123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26"/>
      <c r="AI194" s="15"/>
      <c r="AL194" s="114"/>
    </row>
    <row r="195" spans="6:38" ht="19.5" x14ac:dyDescent="0.4">
      <c r="J195" s="26">
        <v>45609</v>
      </c>
      <c r="K195" s="15" t="s">
        <v>146</v>
      </c>
      <c r="O195" s="115"/>
      <c r="P195" s="117"/>
      <c r="Q195" s="123"/>
      <c r="R195" s="123"/>
      <c r="S195" s="123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26">
        <v>45277</v>
      </c>
      <c r="AI195" s="15" t="s">
        <v>162</v>
      </c>
      <c r="AL195" s="114"/>
    </row>
    <row r="196" spans="6:38" ht="19.5" x14ac:dyDescent="0.4">
      <c r="J196" s="26">
        <v>45609</v>
      </c>
      <c r="K196" s="15" t="s">
        <v>142</v>
      </c>
      <c r="O196" s="115"/>
      <c r="P196" s="117"/>
      <c r="Q196" s="123"/>
      <c r="R196" s="123"/>
      <c r="S196" s="123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 t="s">
        <v>160</v>
      </c>
      <c r="AH196" s="17">
        <f>SUBTOTAL(3,AH188:AH195)</f>
        <v>5</v>
      </c>
      <c r="AI196" s="15">
        <f>SUBTOTAL(3,AI188:AI195)</f>
        <v>5</v>
      </c>
      <c r="AL196" s="114"/>
    </row>
    <row r="197" spans="6:38" ht="19.5" x14ac:dyDescent="0.4">
      <c r="F197" s="115"/>
      <c r="G197" s="115"/>
      <c r="H197" s="115"/>
      <c r="I197" s="115"/>
      <c r="J197" s="26">
        <v>45609</v>
      </c>
      <c r="K197" s="15" t="s">
        <v>146</v>
      </c>
      <c r="O197" s="115"/>
      <c r="P197" s="117"/>
      <c r="Q197" s="123"/>
      <c r="R197" s="123"/>
      <c r="S197" s="123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7"/>
      <c r="AI197" s="15"/>
      <c r="AL197" s="114"/>
    </row>
    <row r="198" spans="6:38" ht="19.5" x14ac:dyDescent="0.4">
      <c r="F198" s="115"/>
      <c r="G198" s="115"/>
      <c r="H198" s="115"/>
      <c r="I198" s="115"/>
      <c r="J198" s="26">
        <v>45609</v>
      </c>
      <c r="K198" s="15" t="s">
        <v>148</v>
      </c>
      <c r="O198" s="115"/>
      <c r="P198" s="117"/>
      <c r="Q198" s="123"/>
      <c r="R198" s="123"/>
      <c r="S198" s="123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7"/>
      <c r="AI198" s="15"/>
      <c r="AL198" s="114"/>
    </row>
    <row r="199" spans="6:38" ht="19.5" x14ac:dyDescent="0.4">
      <c r="J199" s="26">
        <v>45609</v>
      </c>
      <c r="K199" s="15" t="s">
        <v>147</v>
      </c>
      <c r="O199" s="115"/>
      <c r="P199" s="117"/>
      <c r="Q199" s="123"/>
      <c r="R199" s="123"/>
      <c r="S199" s="123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26">
        <v>45278</v>
      </c>
      <c r="AI199" s="15" t="s">
        <v>164</v>
      </c>
      <c r="AL199" s="114"/>
    </row>
    <row r="200" spans="6:38" ht="19.5" x14ac:dyDescent="0.4">
      <c r="J200" s="26">
        <v>45609</v>
      </c>
      <c r="K200" s="15" t="s">
        <v>148</v>
      </c>
      <c r="O200" s="115"/>
      <c r="P200" s="117"/>
      <c r="Q200" s="123"/>
      <c r="R200" s="123"/>
      <c r="S200" s="123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26">
        <v>45278</v>
      </c>
      <c r="AI200" s="15" t="s">
        <v>164</v>
      </c>
      <c r="AL200" s="114"/>
    </row>
    <row r="201" spans="6:38" ht="19.5" x14ac:dyDescent="0.4">
      <c r="G201" s="115"/>
      <c r="H201" s="115"/>
      <c r="I201" s="115"/>
      <c r="J201" s="26">
        <v>45609</v>
      </c>
      <c r="K201" s="15" t="s">
        <v>180</v>
      </c>
      <c r="O201" s="115"/>
      <c r="P201" s="117"/>
      <c r="Q201" s="123"/>
      <c r="R201" s="123"/>
      <c r="S201" s="123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26"/>
      <c r="AI201" s="15"/>
      <c r="AL201" s="114"/>
    </row>
    <row r="202" spans="6:38" ht="19.5" x14ac:dyDescent="0.4">
      <c r="J202" s="26">
        <v>45609</v>
      </c>
      <c r="K202" s="15" t="s">
        <v>147</v>
      </c>
      <c r="O202" s="115"/>
      <c r="P202" s="117"/>
      <c r="Q202" s="123"/>
      <c r="R202" s="123"/>
      <c r="S202" s="123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26">
        <v>45278</v>
      </c>
      <c r="AI202" s="15" t="s">
        <v>162</v>
      </c>
      <c r="AL202" s="114"/>
    </row>
    <row r="203" spans="6:38" ht="19.5" x14ac:dyDescent="0.4">
      <c r="I203" s="115" t="s">
        <v>432</v>
      </c>
      <c r="J203" s="17">
        <f>SUBTOTAL(3,J192:J202)</f>
        <v>11</v>
      </c>
      <c r="K203" s="15">
        <f>SUBTOTAL(3,K192:K202)</f>
        <v>11</v>
      </c>
      <c r="O203" s="115"/>
      <c r="P203" s="117"/>
      <c r="Q203" s="123"/>
      <c r="R203" s="123"/>
      <c r="S203" s="123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26"/>
      <c r="AI203" s="15"/>
      <c r="AL203" s="114"/>
    </row>
    <row r="204" spans="6:38" ht="19.5" x14ac:dyDescent="0.4">
      <c r="G204" s="115"/>
      <c r="H204" s="115"/>
      <c r="I204" s="115"/>
      <c r="J204" s="26">
        <v>45610</v>
      </c>
      <c r="K204" s="15" t="s">
        <v>146</v>
      </c>
      <c r="O204" s="115"/>
      <c r="P204" s="117"/>
      <c r="Q204" s="123"/>
      <c r="R204" s="123"/>
      <c r="S204" s="123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26"/>
      <c r="AI204" s="15"/>
      <c r="AL204" s="114"/>
    </row>
    <row r="205" spans="6:38" ht="19.5" x14ac:dyDescent="0.4">
      <c r="G205" s="115"/>
      <c r="H205" s="115"/>
      <c r="I205" s="115" t="s">
        <v>433</v>
      </c>
      <c r="J205" s="17">
        <f>SUBTOTAL(3,J204:J204)</f>
        <v>1</v>
      </c>
      <c r="K205" s="15">
        <f>SUBTOTAL(3,K204:K204)</f>
        <v>1</v>
      </c>
      <c r="O205" s="115"/>
      <c r="P205" s="117"/>
      <c r="Q205" s="123"/>
      <c r="R205" s="123"/>
      <c r="S205" s="123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26"/>
      <c r="AI205" s="15"/>
      <c r="AL205" s="114"/>
    </row>
    <row r="206" spans="6:38" ht="19.5" x14ac:dyDescent="0.4">
      <c r="J206" s="26">
        <v>45612</v>
      </c>
      <c r="K206" s="15" t="s">
        <v>147</v>
      </c>
      <c r="O206" s="115"/>
      <c r="P206" s="117"/>
      <c r="Q206" s="123"/>
      <c r="R206" s="123"/>
      <c r="S206" s="123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26">
        <v>45278</v>
      </c>
      <c r="AI206" s="15" t="s">
        <v>142</v>
      </c>
      <c r="AL206" s="114"/>
    </row>
    <row r="207" spans="6:38" ht="19.5" x14ac:dyDescent="0.4">
      <c r="J207" s="26">
        <v>45612</v>
      </c>
      <c r="K207" s="15" t="s">
        <v>147</v>
      </c>
      <c r="O207" s="115"/>
      <c r="P207" s="117"/>
      <c r="Q207" s="123"/>
      <c r="R207" s="123"/>
      <c r="S207" s="123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26">
        <v>45278</v>
      </c>
      <c r="AI207" s="15" t="s">
        <v>162</v>
      </c>
      <c r="AL207" s="114"/>
    </row>
    <row r="208" spans="6:38" ht="19.5" x14ac:dyDescent="0.4">
      <c r="J208" s="26">
        <v>45612</v>
      </c>
      <c r="K208" s="15" t="s">
        <v>147</v>
      </c>
      <c r="O208" s="115"/>
      <c r="P208" s="117"/>
      <c r="Q208" s="123"/>
      <c r="R208" s="123"/>
      <c r="S208" s="123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26">
        <v>45278</v>
      </c>
      <c r="AI208" s="15" t="s">
        <v>162</v>
      </c>
      <c r="AL208" s="114"/>
    </row>
    <row r="209" spans="6:38" ht="19.5" x14ac:dyDescent="0.4">
      <c r="I209" s="115" t="s">
        <v>434</v>
      </c>
      <c r="J209" s="17">
        <f>SUBTOTAL(3,J206:J208)</f>
        <v>3</v>
      </c>
      <c r="K209" s="15">
        <f>SUBTOTAL(3,K206:K208)</f>
        <v>3</v>
      </c>
      <c r="O209" s="115"/>
      <c r="P209" s="117"/>
      <c r="Q209" s="123"/>
      <c r="R209" s="123"/>
      <c r="S209" s="123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26"/>
      <c r="AI209" s="15"/>
      <c r="AL209" s="114"/>
    </row>
    <row r="210" spans="6:38" ht="19.5" x14ac:dyDescent="0.4">
      <c r="G210" s="115"/>
      <c r="H210" s="115"/>
      <c r="I210" s="115"/>
      <c r="J210" s="26">
        <v>45614</v>
      </c>
      <c r="K210" s="15" t="s">
        <v>146</v>
      </c>
      <c r="O210" s="115"/>
      <c r="P210" s="117"/>
      <c r="Q210" s="123"/>
      <c r="R210" s="123"/>
      <c r="S210" s="123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26"/>
      <c r="AI210" s="15"/>
      <c r="AL210" s="114"/>
    </row>
    <row r="211" spans="6:38" ht="19.5" x14ac:dyDescent="0.4">
      <c r="F211" s="115"/>
      <c r="G211" s="115"/>
      <c r="H211" s="115"/>
      <c r="I211" s="115"/>
      <c r="J211" s="26">
        <v>45614</v>
      </c>
      <c r="K211" s="15" t="s">
        <v>148</v>
      </c>
      <c r="O211" s="115"/>
      <c r="P211" s="117"/>
      <c r="Q211" s="123"/>
      <c r="R211" s="123"/>
      <c r="S211" s="123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26"/>
      <c r="AI211" s="15"/>
      <c r="AL211" s="114"/>
    </row>
    <row r="212" spans="6:38" ht="19.5" x14ac:dyDescent="0.4">
      <c r="F212" s="115"/>
      <c r="G212" s="115"/>
      <c r="H212" s="115"/>
      <c r="I212" s="115" t="s">
        <v>435</v>
      </c>
      <c r="J212" s="17">
        <f>SUBTOTAL(3,J210:J211)</f>
        <v>2</v>
      </c>
      <c r="K212" s="15">
        <f>SUBTOTAL(3,K210:K211)</f>
        <v>2</v>
      </c>
      <c r="O212" s="115"/>
      <c r="P212" s="117"/>
      <c r="Q212" s="123"/>
      <c r="R212" s="123"/>
      <c r="S212" s="123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26"/>
      <c r="AI212" s="15"/>
      <c r="AL212" s="114"/>
    </row>
    <row r="213" spans="6:38" ht="19.5" x14ac:dyDescent="0.4">
      <c r="F213" s="115"/>
      <c r="G213" s="115"/>
      <c r="H213" s="115"/>
      <c r="I213" s="115"/>
      <c r="J213" s="26">
        <v>45616</v>
      </c>
      <c r="K213" s="15" t="s">
        <v>147</v>
      </c>
      <c r="O213" s="115"/>
      <c r="P213" s="117"/>
      <c r="Q213" s="123"/>
      <c r="R213" s="123"/>
      <c r="S213" s="123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26"/>
      <c r="AI213" s="15"/>
      <c r="AL213" s="114"/>
    </row>
    <row r="214" spans="6:38" ht="19.5" x14ac:dyDescent="0.4">
      <c r="J214" s="26">
        <v>45616</v>
      </c>
      <c r="K214" s="15" t="s">
        <v>142</v>
      </c>
      <c r="O214" s="115"/>
      <c r="P214" s="117"/>
      <c r="Q214" s="123"/>
      <c r="R214" s="123"/>
      <c r="S214" s="123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26">
        <v>45278</v>
      </c>
      <c r="AI214" s="15" t="s">
        <v>162</v>
      </c>
      <c r="AL214" s="114"/>
    </row>
    <row r="215" spans="6:38" ht="19.5" x14ac:dyDescent="0.4">
      <c r="G215" s="115"/>
      <c r="H215" s="115"/>
      <c r="I215" s="115"/>
      <c r="J215" s="26">
        <v>45616</v>
      </c>
      <c r="K215" s="15" t="s">
        <v>146</v>
      </c>
      <c r="O215" s="115"/>
      <c r="P215" s="117"/>
      <c r="Q215" s="123"/>
      <c r="R215" s="123"/>
      <c r="S215" s="123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26"/>
      <c r="AI215" s="15"/>
      <c r="AL215" s="114"/>
    </row>
    <row r="216" spans="6:38" ht="19.5" x14ac:dyDescent="0.4">
      <c r="J216" s="26">
        <v>45616</v>
      </c>
      <c r="K216" s="15" t="s">
        <v>147</v>
      </c>
      <c r="O216" s="115"/>
      <c r="P216" s="117"/>
      <c r="Q216" s="123"/>
      <c r="R216" s="123"/>
      <c r="S216" s="123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26">
        <v>45278</v>
      </c>
      <c r="AI216" s="15" t="s">
        <v>163</v>
      </c>
      <c r="AL216" s="114"/>
    </row>
    <row r="217" spans="6:38" ht="19.5" x14ac:dyDescent="0.4">
      <c r="J217" s="26">
        <v>45616</v>
      </c>
      <c r="K217" s="15" t="s">
        <v>147</v>
      </c>
      <c r="O217" s="115"/>
      <c r="P217" s="117"/>
      <c r="Q217" s="123"/>
      <c r="R217" s="123"/>
      <c r="S217" s="123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26">
        <v>45278</v>
      </c>
      <c r="AI217" s="105" t="s">
        <v>163</v>
      </c>
      <c r="AL217" s="114"/>
    </row>
    <row r="218" spans="6:38" ht="19.5" x14ac:dyDescent="0.4">
      <c r="J218" s="25">
        <v>45616</v>
      </c>
      <c r="K218" s="13" t="s">
        <v>147</v>
      </c>
      <c r="O218" s="115"/>
      <c r="P218" s="117"/>
      <c r="Q218" s="123"/>
      <c r="R218" s="123"/>
      <c r="S218" s="123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26">
        <v>45278</v>
      </c>
      <c r="AI218" s="15" t="s">
        <v>163</v>
      </c>
      <c r="AL218" s="114"/>
    </row>
    <row r="219" spans="6:38" ht="19.5" x14ac:dyDescent="0.4">
      <c r="F219" s="115"/>
      <c r="G219" s="115"/>
      <c r="H219" s="115"/>
      <c r="I219" s="115"/>
      <c r="J219" s="25">
        <v>45616</v>
      </c>
      <c r="K219" s="13" t="s">
        <v>147</v>
      </c>
      <c r="O219" s="115"/>
      <c r="P219" s="117"/>
      <c r="Q219" s="123"/>
      <c r="R219" s="123"/>
      <c r="S219" s="123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26"/>
      <c r="AI219" s="15"/>
      <c r="AL219" s="114"/>
    </row>
    <row r="220" spans="6:38" ht="19.5" x14ac:dyDescent="0.4">
      <c r="F220" s="115"/>
      <c r="G220" s="115"/>
      <c r="H220" s="115"/>
      <c r="I220" s="115"/>
      <c r="J220" s="25">
        <v>45616</v>
      </c>
      <c r="K220" s="13" t="s">
        <v>146</v>
      </c>
      <c r="O220" s="115"/>
      <c r="P220" s="117"/>
      <c r="Q220" s="123"/>
      <c r="R220" s="123"/>
      <c r="S220" s="123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26"/>
      <c r="AI220" s="15"/>
      <c r="AL220" s="114"/>
    </row>
    <row r="221" spans="6:38" ht="19.5" x14ac:dyDescent="0.4">
      <c r="F221" s="115"/>
      <c r="G221" s="115"/>
      <c r="H221" s="115"/>
      <c r="I221" s="115"/>
      <c r="J221" s="25">
        <v>45616</v>
      </c>
      <c r="K221" s="13" t="s">
        <v>147</v>
      </c>
      <c r="O221" s="115"/>
      <c r="P221" s="117"/>
      <c r="Q221" s="123"/>
      <c r="R221" s="123"/>
      <c r="S221" s="123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26"/>
      <c r="AI221" s="15"/>
      <c r="AL221" s="114"/>
    </row>
    <row r="222" spans="6:38" ht="19.5" x14ac:dyDescent="0.4">
      <c r="F222" s="115"/>
      <c r="G222" s="115"/>
      <c r="H222" s="115"/>
      <c r="I222" s="115"/>
      <c r="J222" s="25">
        <v>45616</v>
      </c>
      <c r="K222" s="13" t="s">
        <v>146</v>
      </c>
      <c r="O222" s="115"/>
      <c r="P222" s="117"/>
      <c r="Q222" s="123"/>
      <c r="R222" s="123"/>
      <c r="S222" s="123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26"/>
      <c r="AI222" s="15"/>
      <c r="AL222" s="114"/>
    </row>
    <row r="223" spans="6:38" ht="19.5" x14ac:dyDescent="0.4">
      <c r="F223" s="115"/>
      <c r="G223" s="115"/>
      <c r="H223" s="115"/>
      <c r="I223" s="115"/>
      <c r="J223" s="25">
        <v>45616</v>
      </c>
      <c r="K223" s="13" t="s">
        <v>146</v>
      </c>
      <c r="O223" s="115"/>
      <c r="P223" s="117"/>
      <c r="Q223" s="123"/>
      <c r="R223" s="123"/>
      <c r="S223" s="123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26"/>
      <c r="AI223" s="15"/>
      <c r="AL223" s="114"/>
    </row>
    <row r="224" spans="6:38" ht="19.5" x14ac:dyDescent="0.4">
      <c r="F224" s="115"/>
      <c r="G224" s="115"/>
      <c r="H224" s="115"/>
      <c r="I224" s="115"/>
      <c r="J224" s="25">
        <v>45616</v>
      </c>
      <c r="K224" s="13" t="s">
        <v>146</v>
      </c>
      <c r="O224" s="115"/>
      <c r="P224" s="117"/>
      <c r="Q224" s="123"/>
      <c r="R224" s="123"/>
      <c r="S224" s="123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26"/>
      <c r="AI224" s="15"/>
      <c r="AL224" s="114"/>
    </row>
    <row r="225" spans="9:38" ht="19.5" x14ac:dyDescent="0.4">
      <c r="J225" s="25">
        <v>45616</v>
      </c>
      <c r="K225" s="13" t="s">
        <v>146</v>
      </c>
      <c r="O225" s="115"/>
      <c r="P225" s="117"/>
      <c r="Q225" s="123"/>
      <c r="R225" s="123"/>
      <c r="S225" s="123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26">
        <v>45278</v>
      </c>
      <c r="AI225" s="15" t="s">
        <v>163</v>
      </c>
      <c r="AL225" s="114"/>
    </row>
    <row r="226" spans="9:38" ht="19.5" x14ac:dyDescent="0.4">
      <c r="J226" s="25">
        <v>45616</v>
      </c>
      <c r="K226" s="13" t="s">
        <v>146</v>
      </c>
      <c r="O226" s="115"/>
      <c r="P226" s="117"/>
      <c r="Q226" s="123"/>
      <c r="R226" s="123"/>
      <c r="S226" s="123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26"/>
      <c r="AI226" s="15"/>
      <c r="AL226" s="114"/>
    </row>
    <row r="227" spans="9:38" ht="19.5" x14ac:dyDescent="0.4">
      <c r="I227" s="115" t="s">
        <v>436</v>
      </c>
      <c r="J227" s="13">
        <f>SUBTOTAL(3,J213:J226)</f>
        <v>14</v>
      </c>
      <c r="K227" s="13">
        <f>SUBTOTAL(3,K213:K226)</f>
        <v>14</v>
      </c>
      <c r="O227" s="115"/>
      <c r="P227" s="117"/>
      <c r="Q227" s="123"/>
      <c r="R227" s="123"/>
      <c r="S227" s="123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26"/>
      <c r="AI227" s="15"/>
      <c r="AL227" s="114"/>
    </row>
    <row r="228" spans="9:38" ht="19.5" x14ac:dyDescent="0.4">
      <c r="J228" s="25">
        <v>45618</v>
      </c>
      <c r="K228" s="13" t="s">
        <v>146</v>
      </c>
      <c r="O228" s="115"/>
      <c r="P228" s="117"/>
      <c r="Q228" s="123"/>
      <c r="R228" s="123"/>
      <c r="S228" s="123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26">
        <v>45278</v>
      </c>
      <c r="AI228" s="15" t="s">
        <v>163</v>
      </c>
      <c r="AL228" s="114"/>
    </row>
    <row r="229" spans="9:38" ht="19.5" x14ac:dyDescent="0.4">
      <c r="I229" s="115" t="s">
        <v>437</v>
      </c>
      <c r="J229" s="13">
        <f>SUBTOTAL(3,J228:J228)</f>
        <v>1</v>
      </c>
      <c r="K229" s="13">
        <f>SUBTOTAL(3,K228:K228)</f>
        <v>1</v>
      </c>
      <c r="O229" s="115"/>
      <c r="P229" s="117"/>
      <c r="Q229" s="123"/>
      <c r="R229" s="123"/>
      <c r="S229" s="123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26"/>
      <c r="AI229" s="13"/>
      <c r="AL229" s="114"/>
    </row>
    <row r="230" spans="9:38" ht="19.5" x14ac:dyDescent="0.4">
      <c r="J230" s="25">
        <v>45622</v>
      </c>
      <c r="K230" s="13" t="s">
        <v>147</v>
      </c>
      <c r="O230" s="115"/>
      <c r="P230" s="117"/>
      <c r="Q230" s="123"/>
      <c r="R230" s="123"/>
      <c r="S230" s="123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 t="s">
        <v>153</v>
      </c>
      <c r="AH230" s="17">
        <f>SUBTOTAL(3,AH199:AH228)</f>
        <v>12</v>
      </c>
      <c r="AI230" s="13">
        <f>SUBTOTAL(3,AI199:AI228)</f>
        <v>12</v>
      </c>
      <c r="AL230" s="114"/>
    </row>
    <row r="231" spans="9:38" ht="19.5" x14ac:dyDescent="0.4">
      <c r="I231" s="115" t="s">
        <v>438</v>
      </c>
      <c r="J231" s="13">
        <f>SUBTOTAL(3,J230:J230)</f>
        <v>1</v>
      </c>
      <c r="K231" s="13">
        <f>SUBTOTAL(3,K230:K230)</f>
        <v>1</v>
      </c>
      <c r="O231" s="115"/>
      <c r="P231" s="117"/>
      <c r="Q231" s="123"/>
      <c r="R231" s="123"/>
      <c r="S231" s="123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7"/>
      <c r="AI231" s="13"/>
      <c r="AL231" s="114"/>
    </row>
    <row r="232" spans="9:38" ht="19.5" x14ac:dyDescent="0.4">
      <c r="J232" s="25">
        <v>45626</v>
      </c>
      <c r="K232" s="13" t="s">
        <v>147</v>
      </c>
      <c r="O232" s="115"/>
      <c r="P232" s="117"/>
      <c r="Q232" s="123"/>
      <c r="R232" s="123"/>
      <c r="S232" s="123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26">
        <v>45279</v>
      </c>
      <c r="AI232" s="25" t="s">
        <v>162</v>
      </c>
      <c r="AL232" s="114"/>
    </row>
    <row r="233" spans="9:38" ht="19.5" x14ac:dyDescent="0.4">
      <c r="J233" s="25">
        <v>45626</v>
      </c>
      <c r="K233" s="13" t="s">
        <v>147</v>
      </c>
      <c r="O233" s="115"/>
      <c r="P233" s="117"/>
      <c r="Q233" s="123"/>
      <c r="R233" s="123"/>
      <c r="S233" s="123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26">
        <v>45279</v>
      </c>
      <c r="AI233" s="13" t="s">
        <v>162</v>
      </c>
      <c r="AL233" s="114"/>
    </row>
    <row r="234" spans="9:38" ht="19.5" x14ac:dyDescent="0.4">
      <c r="I234" s="115" t="s">
        <v>439</v>
      </c>
      <c r="J234" s="20">
        <f>SUBTOTAL(3,J232:J233)</f>
        <v>2</v>
      </c>
      <c r="K234" s="13">
        <f>SUBTOTAL(3,K232:K233)</f>
        <v>2</v>
      </c>
      <c r="O234" s="115"/>
      <c r="P234" s="117"/>
      <c r="Q234" s="123"/>
      <c r="R234" s="123"/>
      <c r="S234" s="123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26"/>
      <c r="AI234" s="13"/>
      <c r="AL234" s="114"/>
    </row>
    <row r="235" spans="9:38" ht="19.5" x14ac:dyDescent="0.4">
      <c r="I235" s="115" t="s">
        <v>145</v>
      </c>
      <c r="J235" s="20">
        <f>SUBTOTAL(3,J2:J233)</f>
        <v>207</v>
      </c>
      <c r="K235" s="13">
        <f>SUBTOTAL(3,K2:K233)</f>
        <v>207</v>
      </c>
      <c r="O235" s="115"/>
      <c r="P235" s="117"/>
      <c r="Q235" s="123"/>
      <c r="R235" s="123"/>
      <c r="S235" s="123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26"/>
      <c r="AI235" s="13"/>
      <c r="AL235" s="114"/>
    </row>
    <row r="236" spans="9:38" ht="19.5" x14ac:dyDescent="0.4">
      <c r="J236" s="26"/>
      <c r="K236" s="13"/>
      <c r="O236" s="115"/>
      <c r="P236" s="117"/>
      <c r="Q236" s="123"/>
      <c r="R236" s="123"/>
      <c r="S236" s="123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26">
        <v>45279</v>
      </c>
      <c r="AI236" s="13" t="s">
        <v>162</v>
      </c>
      <c r="AL236" s="114"/>
    </row>
    <row r="237" spans="9:38" ht="19.5" x14ac:dyDescent="0.4">
      <c r="J237" s="26"/>
      <c r="K237" s="13"/>
      <c r="O237" s="115"/>
      <c r="P237" s="117"/>
      <c r="Q237" s="123"/>
      <c r="R237" s="123"/>
      <c r="S237" s="123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26">
        <v>45279</v>
      </c>
      <c r="AI237" s="13" t="s">
        <v>162</v>
      </c>
      <c r="AL237" s="114"/>
    </row>
    <row r="238" spans="9:38" ht="19.5" x14ac:dyDescent="0.4">
      <c r="J238" s="129"/>
      <c r="K238" s="13"/>
      <c r="O238" s="115"/>
      <c r="P238" s="117"/>
      <c r="Q238" s="123"/>
      <c r="R238" s="123"/>
      <c r="S238" s="123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26"/>
      <c r="AI238" s="13"/>
      <c r="AL238" s="114"/>
    </row>
    <row r="239" spans="9:38" ht="19.5" x14ac:dyDescent="0.4">
      <c r="J239" s="26"/>
      <c r="K239" s="13"/>
      <c r="O239" s="115"/>
      <c r="P239" s="117"/>
      <c r="Q239" s="123"/>
      <c r="R239" s="123"/>
      <c r="S239" s="123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26">
        <v>45279</v>
      </c>
      <c r="AI239" s="13" t="s">
        <v>162</v>
      </c>
      <c r="AL239" s="114"/>
    </row>
    <row r="240" spans="9:38" ht="19.5" x14ac:dyDescent="0.4">
      <c r="J240" s="26"/>
      <c r="K240" s="13"/>
      <c r="O240" s="115"/>
      <c r="P240" s="117"/>
      <c r="Q240" s="123"/>
      <c r="R240" s="123"/>
      <c r="S240" s="123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26">
        <v>45279</v>
      </c>
      <c r="AI240" s="13" t="s">
        <v>162</v>
      </c>
      <c r="AL240" s="114"/>
    </row>
    <row r="241" spans="10:38" ht="19.5" x14ac:dyDescent="0.4">
      <c r="J241" s="26"/>
      <c r="K241" s="13"/>
      <c r="O241" s="115"/>
      <c r="P241" s="117"/>
      <c r="Q241" s="123"/>
      <c r="R241" s="123"/>
      <c r="S241" s="123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 t="s">
        <v>170</v>
      </c>
      <c r="AH241" s="17">
        <f>SUBTOTAL(3,AH232:AH240)</f>
        <v>6</v>
      </c>
      <c r="AI241" s="13">
        <f>SUBTOTAL(3,AI232:AI240)</f>
        <v>6</v>
      </c>
      <c r="AL241" s="114"/>
    </row>
    <row r="242" spans="10:38" ht="19.5" x14ac:dyDescent="0.4">
      <c r="J242" s="129"/>
      <c r="K242" s="13"/>
      <c r="O242" s="115"/>
      <c r="P242" s="117"/>
      <c r="Q242" s="123"/>
      <c r="R242" s="123"/>
      <c r="S242" s="123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7"/>
      <c r="AI242" s="13"/>
      <c r="AL242" s="114"/>
    </row>
    <row r="243" spans="10:38" ht="19.5" x14ac:dyDescent="0.4">
      <c r="J243" s="26"/>
      <c r="K243" s="13"/>
      <c r="O243" s="115"/>
      <c r="P243" s="117"/>
      <c r="Q243" s="123"/>
      <c r="R243" s="123"/>
      <c r="S243" s="123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26">
        <v>45280</v>
      </c>
      <c r="AI243" s="13" t="s">
        <v>162</v>
      </c>
      <c r="AL243" s="114"/>
    </row>
    <row r="244" spans="10:38" ht="19.5" x14ac:dyDescent="0.4">
      <c r="J244" s="26"/>
      <c r="K244" s="13"/>
      <c r="O244" s="115"/>
      <c r="P244" s="116"/>
      <c r="Q244" s="123"/>
      <c r="R244" s="123"/>
      <c r="S244" s="123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26">
        <v>45280</v>
      </c>
      <c r="AI244" s="13" t="s">
        <v>162</v>
      </c>
      <c r="AL244" s="114"/>
    </row>
    <row r="245" spans="10:38" ht="19.5" x14ac:dyDescent="0.4">
      <c r="J245" s="26"/>
      <c r="K245" s="13"/>
      <c r="O245" s="115"/>
      <c r="P245" s="116"/>
      <c r="Q245" s="123"/>
      <c r="R245" s="123"/>
      <c r="S245" s="123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26">
        <v>45280</v>
      </c>
      <c r="AI245" s="13" t="s">
        <v>162</v>
      </c>
      <c r="AL245" s="114"/>
    </row>
    <row r="246" spans="10:38" ht="19.5" x14ac:dyDescent="0.4">
      <c r="J246" s="26"/>
      <c r="K246" s="13"/>
      <c r="O246" s="115"/>
      <c r="P246" s="116"/>
      <c r="Q246" s="123"/>
      <c r="R246" s="123"/>
      <c r="S246" s="123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26">
        <v>45280</v>
      </c>
      <c r="AI246" s="13" t="s">
        <v>162</v>
      </c>
      <c r="AL246" s="114"/>
    </row>
    <row r="247" spans="10:38" ht="19.5" x14ac:dyDescent="0.4">
      <c r="J247" s="129"/>
      <c r="K247" s="13"/>
      <c r="O247" s="115"/>
      <c r="P247" s="116"/>
      <c r="Q247" s="123"/>
      <c r="R247" s="123"/>
      <c r="S247" s="123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26"/>
      <c r="AI247" s="13"/>
      <c r="AL247" s="114"/>
    </row>
    <row r="248" spans="10:38" ht="19.5" x14ac:dyDescent="0.4">
      <c r="J248" s="26"/>
      <c r="K248" s="13"/>
      <c r="O248" s="115"/>
      <c r="P248" s="116"/>
      <c r="Q248" s="123"/>
      <c r="R248" s="123"/>
      <c r="S248" s="123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26">
        <v>45280</v>
      </c>
      <c r="AI248" s="13" t="s">
        <v>162</v>
      </c>
      <c r="AL248" s="114"/>
    </row>
    <row r="249" spans="10:38" ht="19.5" x14ac:dyDescent="0.4">
      <c r="J249" s="130"/>
      <c r="K249" s="119"/>
      <c r="O249" s="115"/>
      <c r="P249" s="116"/>
      <c r="Q249" s="123"/>
      <c r="R249" s="123"/>
      <c r="S249" s="123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26"/>
      <c r="AI249" s="13"/>
      <c r="AL249" s="114"/>
    </row>
    <row r="250" spans="10:38" ht="19.5" x14ac:dyDescent="0.4">
      <c r="J250" s="130"/>
      <c r="K250" s="119"/>
      <c r="O250" s="115"/>
      <c r="P250" s="116"/>
      <c r="Q250" s="123"/>
      <c r="R250" s="123"/>
      <c r="S250" s="123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26"/>
      <c r="AI250" s="13"/>
      <c r="AL250" s="114"/>
    </row>
    <row r="251" spans="10:38" ht="19.5" x14ac:dyDescent="0.4">
      <c r="O251" s="115"/>
      <c r="P251" s="116"/>
      <c r="Q251" s="123"/>
      <c r="R251" s="123"/>
      <c r="S251" s="123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26">
        <v>45280</v>
      </c>
      <c r="AI251" s="13" t="s">
        <v>162</v>
      </c>
      <c r="AL251" s="114"/>
    </row>
    <row r="252" spans="10:38" ht="19.5" x14ac:dyDescent="0.4">
      <c r="O252" s="115"/>
      <c r="P252" s="116"/>
      <c r="Q252" s="123"/>
      <c r="R252" s="123"/>
      <c r="S252" s="123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26">
        <v>45280</v>
      </c>
      <c r="AI252" s="13" t="s">
        <v>162</v>
      </c>
      <c r="AL252" s="114"/>
    </row>
    <row r="253" spans="10:38" ht="19.5" x14ac:dyDescent="0.4">
      <c r="O253" s="115"/>
      <c r="P253" s="116"/>
      <c r="Q253" s="123"/>
      <c r="R253" s="123"/>
      <c r="S253" s="123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26">
        <v>45280</v>
      </c>
      <c r="AI253" s="13" t="s">
        <v>162</v>
      </c>
      <c r="AL253" s="114"/>
    </row>
    <row r="254" spans="10:38" ht="19.5" x14ac:dyDescent="0.4">
      <c r="N254" s="115"/>
      <c r="O254" s="115"/>
      <c r="P254" s="116"/>
      <c r="Q254" s="123"/>
      <c r="R254" s="123"/>
      <c r="S254" s="123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26">
        <v>45280</v>
      </c>
      <c r="AI254" s="13" t="s">
        <v>162</v>
      </c>
      <c r="AL254" s="114"/>
    </row>
    <row r="255" spans="10:38" ht="19.5" x14ac:dyDescent="0.4">
      <c r="N255" s="115"/>
      <c r="O255" s="115"/>
      <c r="P255" s="116"/>
      <c r="Q255" s="123"/>
      <c r="R255" s="123"/>
      <c r="S255" s="123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26">
        <v>45280</v>
      </c>
      <c r="AI255" s="13" t="s">
        <v>162</v>
      </c>
      <c r="AL255" s="114"/>
    </row>
    <row r="256" spans="10:38" ht="19.5" x14ac:dyDescent="0.4">
      <c r="L256" s="115"/>
      <c r="M256" s="115"/>
      <c r="N256" s="115"/>
      <c r="O256" s="115"/>
      <c r="P256" s="116"/>
      <c r="Q256" s="123"/>
      <c r="R256" s="123"/>
      <c r="S256" s="123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26">
        <v>45280</v>
      </c>
      <c r="AI256" s="13" t="s">
        <v>162</v>
      </c>
      <c r="AL256" s="114"/>
    </row>
    <row r="257" spans="12:38" x14ac:dyDescent="0.4">
      <c r="L257" s="115"/>
      <c r="M257" s="115"/>
      <c r="N257" s="115"/>
      <c r="O257" s="115"/>
      <c r="P257" s="115"/>
      <c r="Q257" s="122"/>
      <c r="R257" s="122"/>
      <c r="S257" s="122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26">
        <v>45280</v>
      </c>
      <c r="AI257" s="13" t="s">
        <v>162</v>
      </c>
      <c r="AL257" s="114"/>
    </row>
    <row r="258" spans="12:38" x14ac:dyDescent="0.4">
      <c r="L258" s="115"/>
      <c r="M258" s="115"/>
      <c r="N258" s="115"/>
      <c r="O258" s="115"/>
      <c r="P258" s="115"/>
      <c r="Q258" s="122"/>
      <c r="R258" s="122"/>
      <c r="S258" s="122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26">
        <v>45280</v>
      </c>
      <c r="AI258" s="13" t="s">
        <v>162</v>
      </c>
      <c r="AL258" s="114"/>
    </row>
    <row r="259" spans="12:38" x14ac:dyDescent="0.4">
      <c r="L259" s="115"/>
      <c r="M259" s="115"/>
      <c r="N259" s="115"/>
      <c r="O259" s="115"/>
      <c r="P259" s="115"/>
      <c r="Q259" s="122"/>
      <c r="R259" s="122"/>
      <c r="S259" s="122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 t="s">
        <v>171</v>
      </c>
      <c r="AH259" s="17">
        <f>SUBTOTAL(3,AH243:AH258)</f>
        <v>13</v>
      </c>
      <c r="AI259" s="13">
        <f>SUBTOTAL(3,AI243:AI258)</f>
        <v>13</v>
      </c>
      <c r="AL259" s="114"/>
    </row>
    <row r="260" spans="12:38" x14ac:dyDescent="0.4">
      <c r="L260" s="115"/>
      <c r="M260" s="115"/>
      <c r="N260" s="115"/>
      <c r="O260" s="115"/>
      <c r="P260" s="115"/>
      <c r="Q260" s="122"/>
      <c r="R260" s="122"/>
      <c r="S260" s="122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26">
        <v>45283</v>
      </c>
      <c r="AI260" s="13" t="s">
        <v>162</v>
      </c>
      <c r="AL260" s="114"/>
    </row>
    <row r="261" spans="12:38" x14ac:dyDescent="0.4">
      <c r="L261" s="115"/>
      <c r="M261" s="115"/>
      <c r="N261" s="115"/>
      <c r="O261" s="115"/>
      <c r="P261" s="115"/>
      <c r="Q261" s="122"/>
      <c r="R261" s="122"/>
      <c r="S261" s="122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26">
        <v>45283</v>
      </c>
      <c r="AI261" s="13" t="s">
        <v>162</v>
      </c>
      <c r="AL261" s="114"/>
    </row>
    <row r="262" spans="12:38" x14ac:dyDescent="0.4">
      <c r="L262" s="115"/>
      <c r="M262" s="115"/>
      <c r="N262" s="115"/>
      <c r="O262" s="115"/>
      <c r="P262" s="115"/>
      <c r="Q262" s="122"/>
      <c r="R262" s="122"/>
      <c r="S262" s="122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26">
        <v>45283</v>
      </c>
      <c r="AI262" s="13" t="s">
        <v>162</v>
      </c>
      <c r="AL262" s="114"/>
    </row>
    <row r="263" spans="12:38" x14ac:dyDescent="0.4">
      <c r="L263" s="115"/>
      <c r="M263" s="115"/>
      <c r="N263" s="115"/>
      <c r="O263" s="115"/>
      <c r="P263" s="115"/>
      <c r="Q263" s="122"/>
      <c r="R263" s="122"/>
      <c r="S263" s="122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26">
        <v>45283</v>
      </c>
      <c r="AI263" s="13" t="s">
        <v>162</v>
      </c>
      <c r="AL263" s="114"/>
    </row>
    <row r="264" spans="12:38" x14ac:dyDescent="0.4">
      <c r="L264" s="115"/>
      <c r="M264" s="115"/>
      <c r="N264" s="115"/>
      <c r="O264" s="115"/>
      <c r="P264" s="115"/>
      <c r="Q264" s="122"/>
      <c r="R264" s="122"/>
      <c r="S264" s="122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26">
        <v>45283</v>
      </c>
      <c r="AI264" s="13" t="s">
        <v>162</v>
      </c>
      <c r="AL264" s="114"/>
    </row>
    <row r="265" spans="12:38" x14ac:dyDescent="0.4">
      <c r="L265" s="115"/>
      <c r="M265" s="115"/>
      <c r="N265" s="115"/>
      <c r="O265" s="115"/>
      <c r="P265" s="115"/>
      <c r="Q265" s="122"/>
      <c r="R265" s="122"/>
      <c r="S265" s="122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26">
        <v>45283</v>
      </c>
      <c r="AI265" s="13" t="s">
        <v>162</v>
      </c>
      <c r="AL265" s="114"/>
    </row>
    <row r="266" spans="12:38" x14ac:dyDescent="0.4">
      <c r="L266" s="115"/>
      <c r="M266" s="115"/>
      <c r="N266" s="115"/>
      <c r="O266" s="115"/>
      <c r="P266" s="115"/>
      <c r="Q266" s="122"/>
      <c r="R266" s="122"/>
      <c r="S266" s="122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26">
        <v>45283</v>
      </c>
      <c r="AI266" s="13" t="s">
        <v>162</v>
      </c>
      <c r="AL266" s="114"/>
    </row>
    <row r="267" spans="12:38" x14ac:dyDescent="0.4">
      <c r="L267" s="115"/>
      <c r="M267" s="115"/>
      <c r="N267" s="115"/>
      <c r="O267" s="115"/>
      <c r="P267" s="115"/>
      <c r="Q267" s="122"/>
      <c r="R267" s="122"/>
      <c r="S267" s="122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26">
        <v>45283</v>
      </c>
      <c r="AI267" s="13" t="s">
        <v>162</v>
      </c>
      <c r="AL267" s="114"/>
    </row>
    <row r="268" spans="12:38" x14ac:dyDescent="0.4">
      <c r="L268" s="115"/>
      <c r="M268" s="115"/>
      <c r="N268" s="115"/>
      <c r="O268" s="115"/>
      <c r="P268" s="115"/>
      <c r="Q268" s="122"/>
      <c r="R268" s="122"/>
      <c r="S268" s="122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26">
        <v>45283</v>
      </c>
      <c r="AI268" s="13" t="s">
        <v>162</v>
      </c>
      <c r="AL268" s="114"/>
    </row>
    <row r="269" spans="12:38" x14ac:dyDescent="0.4">
      <c r="L269" s="115"/>
      <c r="M269" s="115"/>
      <c r="N269" s="115"/>
      <c r="O269" s="115"/>
      <c r="P269" s="115"/>
      <c r="Q269" s="122"/>
      <c r="R269" s="122"/>
      <c r="S269" s="122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26">
        <v>45283</v>
      </c>
      <c r="AI269" s="13" t="s">
        <v>162</v>
      </c>
      <c r="AL269" s="114"/>
    </row>
    <row r="270" spans="12:38" x14ac:dyDescent="0.4">
      <c r="L270" s="115"/>
      <c r="M270" s="115"/>
      <c r="N270" s="115"/>
      <c r="O270" s="115"/>
      <c r="P270" s="115"/>
      <c r="Q270" s="122"/>
      <c r="R270" s="122"/>
      <c r="S270" s="122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26">
        <v>45283</v>
      </c>
      <c r="AI270" s="13" t="s">
        <v>163</v>
      </c>
      <c r="AL270" s="114"/>
    </row>
    <row r="271" spans="12:38" x14ac:dyDescent="0.4">
      <c r="L271" s="115"/>
      <c r="M271" s="115"/>
      <c r="N271" s="115"/>
      <c r="O271" s="115"/>
      <c r="P271" s="115"/>
      <c r="Q271" s="122"/>
      <c r="R271" s="122"/>
      <c r="S271" s="122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26">
        <v>45283</v>
      </c>
      <c r="AI271" s="13" t="s">
        <v>163</v>
      </c>
      <c r="AL271" s="114"/>
    </row>
    <row r="272" spans="12:38" x14ac:dyDescent="0.4">
      <c r="L272" s="115"/>
      <c r="M272" s="115"/>
      <c r="N272" s="115"/>
      <c r="O272" s="115"/>
      <c r="P272" s="115"/>
      <c r="Q272" s="122"/>
      <c r="R272" s="122"/>
      <c r="S272" s="122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26">
        <v>45283</v>
      </c>
      <c r="AI272" s="13" t="s">
        <v>163</v>
      </c>
      <c r="AL272" s="114"/>
    </row>
    <row r="273" spans="12:38" x14ac:dyDescent="0.4">
      <c r="L273" s="115"/>
      <c r="M273" s="115"/>
      <c r="N273" s="115"/>
      <c r="O273" s="115"/>
      <c r="P273" s="115"/>
      <c r="Q273" s="122"/>
      <c r="R273" s="122"/>
      <c r="S273" s="122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 t="s">
        <v>161</v>
      </c>
      <c r="AH273" s="17">
        <f>SUBTOTAL(3,AH260:AH272)</f>
        <v>13</v>
      </c>
      <c r="AI273" s="13">
        <f>SUBTOTAL(3,AI260:AI272)</f>
        <v>13</v>
      </c>
      <c r="AL273" s="114"/>
    </row>
    <row r="274" spans="12:38" x14ac:dyDescent="0.4">
      <c r="L274" s="115"/>
      <c r="M274" s="115"/>
      <c r="N274" s="115"/>
      <c r="O274" s="115"/>
      <c r="P274" s="115"/>
      <c r="Q274" s="122"/>
      <c r="R274" s="122"/>
      <c r="S274" s="122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26">
        <v>45285</v>
      </c>
      <c r="AI274" s="13" t="s">
        <v>163</v>
      </c>
      <c r="AL274" s="114"/>
    </row>
    <row r="275" spans="12:38" x14ac:dyDescent="0.4">
      <c r="L275" s="115"/>
      <c r="M275" s="115"/>
      <c r="N275" s="115"/>
      <c r="O275" s="115"/>
      <c r="P275" s="115"/>
      <c r="Q275" s="122"/>
      <c r="R275" s="122"/>
      <c r="S275" s="122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 t="s">
        <v>172</v>
      </c>
      <c r="AH275" s="17">
        <f>SUBTOTAL(3,AH274:AH274)</f>
        <v>1</v>
      </c>
      <c r="AI275" s="13">
        <f>SUBTOTAL(3,AI274:AI274)</f>
        <v>1</v>
      </c>
      <c r="AL275" s="114"/>
    </row>
    <row r="276" spans="12:38" x14ac:dyDescent="0.4">
      <c r="L276" s="115"/>
      <c r="M276" s="115"/>
      <c r="N276" s="115"/>
      <c r="O276" s="115"/>
      <c r="P276" s="115"/>
      <c r="Q276" s="122"/>
      <c r="R276" s="122"/>
      <c r="S276" s="122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26">
        <v>45299</v>
      </c>
      <c r="AI276" s="13" t="s">
        <v>164</v>
      </c>
      <c r="AL276" s="114"/>
    </row>
    <row r="277" spans="12:38" x14ac:dyDescent="0.4">
      <c r="L277" s="115"/>
      <c r="M277" s="115"/>
      <c r="N277" s="115"/>
      <c r="O277" s="115"/>
      <c r="P277" s="115"/>
      <c r="Q277" s="122"/>
      <c r="R277" s="122"/>
      <c r="S277" s="122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26">
        <v>45299</v>
      </c>
      <c r="AI277" s="13" t="s">
        <v>162</v>
      </c>
      <c r="AL277" s="114"/>
    </row>
    <row r="278" spans="12:38" x14ac:dyDescent="0.4">
      <c r="L278" s="115"/>
      <c r="M278" s="115"/>
      <c r="N278" s="115"/>
      <c r="O278" s="115"/>
      <c r="P278" s="115"/>
      <c r="Q278" s="122"/>
      <c r="R278" s="122"/>
      <c r="S278" s="122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26">
        <v>45299</v>
      </c>
      <c r="AI278" s="13" t="s">
        <v>162</v>
      </c>
      <c r="AL278" s="114"/>
    </row>
    <row r="279" spans="12:38" x14ac:dyDescent="0.4">
      <c r="L279" s="115"/>
      <c r="M279" s="115"/>
      <c r="N279" s="115"/>
      <c r="O279" s="115"/>
      <c r="P279" s="115"/>
      <c r="Q279" s="122"/>
      <c r="R279" s="122"/>
      <c r="S279" s="122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26">
        <v>45299</v>
      </c>
      <c r="AI279" s="15" t="s">
        <v>162</v>
      </c>
      <c r="AL279" s="114"/>
    </row>
    <row r="280" spans="12:38" x14ac:dyDescent="0.4">
      <c r="L280" s="115"/>
      <c r="M280" s="115"/>
      <c r="N280" s="115"/>
      <c r="O280" s="115"/>
      <c r="P280" s="115"/>
      <c r="Q280" s="122"/>
      <c r="R280" s="122"/>
      <c r="S280" s="122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 t="s">
        <v>173</v>
      </c>
      <c r="AH280" s="17">
        <f>SUBTOTAL(3,AH276:AH279)</f>
        <v>4</v>
      </c>
      <c r="AI280" s="13">
        <f>SUBTOTAL(3,AI276:AI279)</f>
        <v>4</v>
      </c>
      <c r="AL280" s="114"/>
    </row>
    <row r="281" spans="12:38" x14ac:dyDescent="0.4">
      <c r="L281" s="115"/>
      <c r="M281" s="115"/>
      <c r="N281" s="115"/>
      <c r="O281" s="115"/>
      <c r="P281" s="115"/>
      <c r="Q281" s="122"/>
      <c r="R281" s="122"/>
      <c r="S281" s="122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 t="s">
        <v>145</v>
      </c>
      <c r="AH281" s="17">
        <f>SUBTOTAL(3,AH2:AH279)</f>
        <v>136</v>
      </c>
      <c r="AI281" s="13">
        <f>SUBTOTAL(3,AI2:AI279)</f>
        <v>136</v>
      </c>
      <c r="AL281" s="114"/>
    </row>
    <row r="282" spans="12:38" x14ac:dyDescent="0.4">
      <c r="L282" s="115"/>
      <c r="M282" s="115"/>
      <c r="N282" s="115"/>
      <c r="O282" s="115"/>
      <c r="P282" s="115"/>
      <c r="Q282" s="122"/>
      <c r="R282" s="122"/>
      <c r="S282" s="122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 t="s">
        <v>145</v>
      </c>
      <c r="AF282" s="115"/>
      <c r="AG282" s="115"/>
      <c r="AH282" s="26"/>
      <c r="AI282" s="13"/>
      <c r="AL282" s="114"/>
    </row>
    <row r="283" spans="12:38" x14ac:dyDescent="0.4">
      <c r="L283" s="115"/>
      <c r="M283" s="115"/>
      <c r="N283" s="115"/>
      <c r="O283" s="115"/>
      <c r="P283" s="115"/>
      <c r="Q283" s="122"/>
      <c r="R283" s="122"/>
      <c r="S283" s="122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7"/>
      <c r="AI283" s="13"/>
      <c r="AL283" s="114"/>
    </row>
    <row r="284" spans="12:38" x14ac:dyDescent="0.4">
      <c r="L284" s="115"/>
      <c r="M284" s="115"/>
      <c r="N284" s="115"/>
      <c r="O284" s="115"/>
      <c r="P284" s="115"/>
      <c r="Q284" s="122"/>
      <c r="R284" s="122"/>
      <c r="S284" s="122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26"/>
      <c r="AI284" s="13"/>
      <c r="AL284" s="114"/>
    </row>
    <row r="285" spans="12:38" x14ac:dyDescent="0.4">
      <c r="L285" s="115"/>
      <c r="M285" s="115"/>
      <c r="N285" s="115"/>
      <c r="O285" s="115"/>
      <c r="P285" s="115"/>
      <c r="Q285" s="122"/>
      <c r="R285" s="122"/>
      <c r="S285" s="122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7"/>
      <c r="AI285" s="13"/>
      <c r="AL285" s="114"/>
    </row>
    <row r="286" spans="12:38" x14ac:dyDescent="0.4">
      <c r="L286" s="115"/>
      <c r="M286" s="115"/>
      <c r="N286" s="115"/>
      <c r="O286" s="115"/>
      <c r="P286" s="115"/>
      <c r="Q286" s="122"/>
      <c r="R286" s="122"/>
      <c r="S286" s="122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26"/>
      <c r="AI286" s="13"/>
      <c r="AL286" s="114"/>
    </row>
    <row r="287" spans="12:38" x14ac:dyDescent="0.4">
      <c r="L287" s="115"/>
      <c r="M287" s="115"/>
      <c r="N287" s="115"/>
      <c r="O287" s="115"/>
      <c r="P287" s="115"/>
      <c r="Q287" s="122"/>
      <c r="R287" s="122"/>
      <c r="S287" s="122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26"/>
      <c r="AI287" s="13"/>
      <c r="AL287" s="114"/>
    </row>
    <row r="288" spans="12:38" x14ac:dyDescent="0.4">
      <c r="L288" s="115"/>
      <c r="M288" s="115"/>
      <c r="N288" s="115"/>
      <c r="O288" s="115"/>
      <c r="P288" s="115"/>
      <c r="Q288" s="122"/>
      <c r="R288" s="122"/>
      <c r="S288" s="122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26"/>
      <c r="AI288" s="13"/>
      <c r="AL288" s="114"/>
    </row>
    <row r="289" spans="12:38" x14ac:dyDescent="0.4">
      <c r="L289" s="115"/>
      <c r="M289" s="115"/>
      <c r="N289" s="115"/>
      <c r="O289" s="115"/>
      <c r="P289" s="115"/>
      <c r="Q289" s="122"/>
      <c r="R289" s="122"/>
      <c r="S289" s="122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7"/>
      <c r="AI289" s="13"/>
      <c r="AL289" s="114"/>
    </row>
    <row r="290" spans="12:38" x14ac:dyDescent="0.4">
      <c r="L290" s="115"/>
      <c r="M290" s="115"/>
      <c r="N290" s="115"/>
      <c r="O290" s="115"/>
      <c r="P290" s="115"/>
      <c r="Q290" s="122"/>
      <c r="R290" s="122"/>
      <c r="S290" s="122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26"/>
      <c r="AI290" s="13"/>
      <c r="AL290" s="114"/>
    </row>
    <row r="291" spans="12:38" x14ac:dyDescent="0.4">
      <c r="L291" s="115"/>
      <c r="M291" s="115"/>
      <c r="N291" s="115"/>
      <c r="O291" s="115"/>
      <c r="P291" s="115"/>
      <c r="Q291" s="122"/>
      <c r="R291" s="122"/>
      <c r="S291" s="122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7"/>
      <c r="AI291" s="13"/>
      <c r="AL291" s="114"/>
    </row>
    <row r="292" spans="12:38" x14ac:dyDescent="0.4">
      <c r="L292" s="115"/>
      <c r="M292" s="115"/>
      <c r="N292" s="115"/>
      <c r="O292" s="115"/>
      <c r="P292" s="115"/>
      <c r="Q292" s="122"/>
      <c r="R292" s="122"/>
      <c r="S292" s="122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26"/>
      <c r="AI292" s="13"/>
      <c r="AL292" s="114"/>
    </row>
    <row r="293" spans="12:38" x14ac:dyDescent="0.4">
      <c r="L293" s="115"/>
      <c r="M293" s="115"/>
      <c r="N293" s="115"/>
      <c r="O293" s="115"/>
      <c r="P293" s="115"/>
      <c r="Q293" s="122"/>
      <c r="R293" s="122"/>
      <c r="S293" s="122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7"/>
      <c r="AI293" s="13"/>
      <c r="AL293" s="114"/>
    </row>
    <row r="294" spans="12:38" x14ac:dyDescent="0.4">
      <c r="L294" s="115"/>
      <c r="M294" s="115"/>
      <c r="N294" s="115"/>
      <c r="O294" s="115"/>
      <c r="P294" s="115"/>
      <c r="Q294" s="122"/>
      <c r="R294" s="122"/>
      <c r="S294" s="122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7"/>
      <c r="AI294" s="13"/>
      <c r="AL294" s="114"/>
    </row>
    <row r="295" spans="12:38" x14ac:dyDescent="0.4">
      <c r="L295" s="115"/>
      <c r="M295" s="115"/>
      <c r="N295" s="115"/>
      <c r="O295" s="115"/>
      <c r="P295" s="115"/>
      <c r="Q295" s="122"/>
      <c r="R295" s="122"/>
      <c r="S295" s="122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7"/>
      <c r="AI295" s="13"/>
      <c r="AL295" s="114"/>
    </row>
    <row r="296" spans="12:38" x14ac:dyDescent="0.4">
      <c r="L296" s="115"/>
      <c r="M296" s="115"/>
      <c r="N296" s="115"/>
      <c r="O296" s="115"/>
      <c r="P296" s="115"/>
      <c r="Q296" s="122"/>
      <c r="R296" s="122"/>
      <c r="S296" s="122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26"/>
      <c r="AI296" s="13"/>
      <c r="AL296" s="114"/>
    </row>
    <row r="297" spans="12:38" x14ac:dyDescent="0.4">
      <c r="L297" s="115"/>
      <c r="M297" s="115"/>
      <c r="N297" s="115"/>
      <c r="O297" s="115"/>
      <c r="P297" s="115"/>
      <c r="Q297" s="122"/>
      <c r="R297" s="122"/>
      <c r="S297" s="122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7"/>
      <c r="AI297" s="13"/>
      <c r="AL297" s="114"/>
    </row>
    <row r="298" spans="12:38" x14ac:dyDescent="0.4">
      <c r="L298" s="115"/>
      <c r="M298" s="115"/>
      <c r="N298" s="115"/>
      <c r="O298" s="115"/>
      <c r="P298" s="115"/>
      <c r="Q298" s="122"/>
      <c r="R298" s="122"/>
      <c r="S298" s="122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26"/>
      <c r="AI298" s="13"/>
      <c r="AL298" s="114"/>
    </row>
    <row r="299" spans="12:38" x14ac:dyDescent="0.4">
      <c r="L299" s="115"/>
      <c r="M299" s="115"/>
      <c r="N299" s="115"/>
      <c r="O299" s="115"/>
      <c r="P299" s="115"/>
      <c r="Q299" s="122"/>
      <c r="R299" s="122"/>
      <c r="S299" s="122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7"/>
      <c r="AI299" s="13"/>
      <c r="AL299" s="114"/>
    </row>
    <row r="300" spans="12:38" x14ac:dyDescent="0.4">
      <c r="L300" s="115"/>
      <c r="M300" s="115"/>
      <c r="N300" s="115"/>
      <c r="O300" s="115"/>
      <c r="P300" s="115"/>
      <c r="Q300" s="122"/>
      <c r="R300" s="122"/>
      <c r="S300" s="122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26"/>
      <c r="AI300" s="25"/>
      <c r="AL300" s="114"/>
    </row>
    <row r="301" spans="12:38" x14ac:dyDescent="0.4">
      <c r="L301" s="115"/>
      <c r="M301" s="115"/>
      <c r="N301" s="115"/>
      <c r="O301" s="115"/>
      <c r="P301" s="115"/>
      <c r="Q301" s="122"/>
      <c r="R301" s="122"/>
      <c r="S301" s="122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7"/>
      <c r="AI301" s="13"/>
      <c r="AL301" s="114"/>
    </row>
    <row r="302" spans="12:38" x14ac:dyDescent="0.4">
      <c r="L302" s="115"/>
      <c r="M302" s="115"/>
      <c r="N302" s="115"/>
      <c r="O302" s="115"/>
      <c r="P302" s="115"/>
      <c r="Q302" s="122"/>
      <c r="R302" s="122"/>
      <c r="S302" s="122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7"/>
      <c r="AI302" s="13"/>
      <c r="AL302" s="114"/>
    </row>
    <row r="303" spans="12:38" x14ac:dyDescent="0.4">
      <c r="L303" s="115"/>
      <c r="M303" s="115"/>
      <c r="N303" s="115"/>
      <c r="O303" s="115"/>
      <c r="P303" s="115"/>
      <c r="Q303" s="122"/>
      <c r="R303" s="122"/>
      <c r="S303" s="122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26"/>
      <c r="AI303" s="15"/>
      <c r="AL303" s="114"/>
    </row>
    <row r="304" spans="12:38" x14ac:dyDescent="0.4">
      <c r="L304" s="115"/>
      <c r="M304" s="115"/>
      <c r="N304" s="115"/>
      <c r="O304" s="115"/>
      <c r="P304" s="115"/>
      <c r="Q304" s="122"/>
      <c r="R304" s="122"/>
      <c r="S304" s="122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26"/>
      <c r="AI304" s="15"/>
      <c r="AL304" s="114"/>
    </row>
    <row r="305" spans="12:38" x14ac:dyDescent="0.4">
      <c r="L305" s="115"/>
      <c r="M305" s="115"/>
      <c r="N305" s="115"/>
      <c r="O305" s="115"/>
      <c r="P305" s="115"/>
      <c r="Q305" s="122"/>
      <c r="R305" s="122"/>
      <c r="S305" s="122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26"/>
      <c r="AI305" s="15"/>
      <c r="AL305" s="114"/>
    </row>
    <row r="306" spans="12:38" x14ac:dyDescent="0.4">
      <c r="L306" s="115"/>
      <c r="M306" s="115"/>
      <c r="N306" s="115"/>
      <c r="O306" s="115"/>
      <c r="P306" s="115"/>
      <c r="Q306" s="122"/>
      <c r="R306" s="122"/>
      <c r="S306" s="122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26"/>
      <c r="AI306" s="15"/>
      <c r="AL306" s="114"/>
    </row>
    <row r="307" spans="12:38" x14ac:dyDescent="0.4">
      <c r="L307" s="115"/>
      <c r="M307" s="115"/>
      <c r="N307" s="115"/>
      <c r="O307" s="115"/>
      <c r="P307" s="115"/>
      <c r="Q307" s="122"/>
      <c r="R307" s="122"/>
      <c r="S307" s="122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26"/>
      <c r="AI307" s="15"/>
      <c r="AL307" s="114"/>
    </row>
    <row r="308" spans="12:38" x14ac:dyDescent="0.4">
      <c r="L308" s="115"/>
      <c r="M308" s="115"/>
      <c r="N308" s="115"/>
      <c r="O308" s="115"/>
      <c r="P308" s="115"/>
      <c r="Q308" s="122"/>
      <c r="R308" s="122"/>
      <c r="S308" s="122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26"/>
      <c r="AI308" s="15"/>
      <c r="AL308" s="114"/>
    </row>
    <row r="309" spans="12:38" x14ac:dyDescent="0.4">
      <c r="L309" s="115"/>
      <c r="M309" s="115"/>
      <c r="N309" s="115"/>
      <c r="O309" s="115"/>
      <c r="P309" s="115"/>
      <c r="Q309" s="122"/>
      <c r="R309" s="122"/>
      <c r="S309" s="122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26"/>
      <c r="AI309" s="15"/>
      <c r="AL309" s="114"/>
    </row>
    <row r="310" spans="12:38" x14ac:dyDescent="0.4">
      <c r="L310" s="115"/>
      <c r="M310" s="115"/>
      <c r="N310" s="115"/>
      <c r="O310" s="115"/>
      <c r="P310" s="115"/>
      <c r="Q310" s="122"/>
      <c r="R310" s="122"/>
      <c r="S310" s="122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26"/>
      <c r="AI310" s="15"/>
      <c r="AL310" s="114"/>
    </row>
    <row r="311" spans="12:38" x14ac:dyDescent="0.4">
      <c r="L311" s="115"/>
      <c r="M311" s="115"/>
      <c r="N311" s="115"/>
      <c r="O311" s="115"/>
      <c r="P311" s="115"/>
      <c r="Q311" s="122"/>
      <c r="R311" s="122"/>
      <c r="S311" s="122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7"/>
      <c r="AI311" s="15"/>
      <c r="AL311" s="114"/>
    </row>
    <row r="312" spans="12:38" x14ac:dyDescent="0.4">
      <c r="L312" s="115"/>
      <c r="M312" s="115"/>
      <c r="N312" s="115"/>
      <c r="O312" s="115"/>
      <c r="P312" s="115"/>
      <c r="Q312" s="122"/>
      <c r="R312" s="122"/>
      <c r="S312" s="122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26"/>
      <c r="AI312" s="15"/>
      <c r="AL312" s="114"/>
    </row>
    <row r="313" spans="12:38" x14ac:dyDescent="0.4">
      <c r="L313" s="115"/>
      <c r="M313" s="115"/>
      <c r="N313" s="115"/>
      <c r="O313" s="115"/>
      <c r="P313" s="115"/>
      <c r="Q313" s="122"/>
      <c r="R313" s="122"/>
      <c r="S313" s="122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26"/>
      <c r="AI313" s="13"/>
      <c r="AL313" s="114"/>
    </row>
    <row r="314" spans="12:38" x14ac:dyDescent="0.4">
      <c r="L314" s="115"/>
      <c r="M314" s="115"/>
      <c r="N314" s="115"/>
      <c r="O314" s="115"/>
      <c r="P314" s="115"/>
      <c r="Q314" s="122"/>
      <c r="R314" s="122"/>
      <c r="S314" s="122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26"/>
      <c r="AI314" s="13"/>
      <c r="AL314" s="114"/>
    </row>
    <row r="315" spans="12:38" x14ac:dyDescent="0.4">
      <c r="L315" s="115"/>
      <c r="M315" s="115"/>
      <c r="N315" s="115"/>
      <c r="O315" s="115"/>
      <c r="P315" s="115"/>
      <c r="Q315" s="122"/>
      <c r="R315" s="122"/>
      <c r="S315" s="122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26"/>
      <c r="AI315" s="13"/>
      <c r="AL315" s="114"/>
    </row>
    <row r="316" spans="12:38" x14ac:dyDescent="0.4">
      <c r="L316" s="115"/>
      <c r="M316" s="115"/>
      <c r="N316" s="115"/>
      <c r="O316" s="115"/>
      <c r="P316" s="115"/>
      <c r="Q316" s="122"/>
      <c r="R316" s="122"/>
      <c r="S316" s="122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26"/>
      <c r="AI316" s="13"/>
      <c r="AL316" s="114"/>
    </row>
    <row r="317" spans="12:38" x14ac:dyDescent="0.4">
      <c r="L317" s="115"/>
      <c r="M317" s="115"/>
      <c r="N317" s="115"/>
      <c r="O317" s="115"/>
      <c r="P317" s="115"/>
      <c r="Q317" s="122"/>
      <c r="R317" s="122"/>
      <c r="S317" s="122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26"/>
      <c r="AI317" s="13"/>
      <c r="AL317" s="114"/>
    </row>
    <row r="318" spans="12:38" x14ac:dyDescent="0.4">
      <c r="L318" s="115"/>
      <c r="M318" s="115"/>
      <c r="N318" s="115"/>
      <c r="O318" s="115"/>
      <c r="P318" s="115"/>
      <c r="Q318" s="122"/>
      <c r="R318" s="122"/>
      <c r="S318" s="122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26"/>
      <c r="AI318" s="13"/>
      <c r="AL318" s="114"/>
    </row>
    <row r="319" spans="12:38" x14ac:dyDescent="0.4">
      <c r="L319" s="115"/>
      <c r="M319" s="115"/>
      <c r="N319" s="115"/>
      <c r="O319" s="115"/>
      <c r="P319" s="115"/>
      <c r="Q319" s="122"/>
      <c r="R319" s="122"/>
      <c r="S319" s="122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26"/>
      <c r="AI319" s="13"/>
      <c r="AL319" s="114"/>
    </row>
    <row r="320" spans="12:38" x14ac:dyDescent="0.4">
      <c r="L320" s="115"/>
      <c r="M320" s="115"/>
      <c r="N320" s="115"/>
      <c r="O320" s="115"/>
      <c r="P320" s="115"/>
      <c r="Q320" s="122"/>
      <c r="R320" s="122"/>
      <c r="S320" s="122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26"/>
      <c r="AI320" s="13"/>
      <c r="AL320" s="114"/>
    </row>
    <row r="321" spans="11:38" x14ac:dyDescent="0.4">
      <c r="L321" s="115"/>
      <c r="M321" s="115"/>
      <c r="N321" s="115"/>
      <c r="O321" s="115"/>
      <c r="P321" s="115"/>
      <c r="Q321" s="122"/>
      <c r="R321" s="122"/>
      <c r="S321" s="122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26"/>
      <c r="AI321" s="13"/>
      <c r="AL321" s="114"/>
    </row>
    <row r="322" spans="11:38" x14ac:dyDescent="0.4">
      <c r="L322" s="115"/>
      <c r="M322" s="115"/>
      <c r="N322" s="115"/>
      <c r="O322" s="115"/>
      <c r="P322" s="115"/>
      <c r="Q322" s="122"/>
      <c r="R322" s="122"/>
      <c r="S322" s="122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26"/>
      <c r="AI322" s="13"/>
      <c r="AL322" s="114"/>
    </row>
    <row r="323" spans="11:38" x14ac:dyDescent="0.4">
      <c r="L323" s="115"/>
      <c r="M323" s="115"/>
      <c r="N323" s="115"/>
      <c r="O323" s="115"/>
      <c r="P323" s="115"/>
      <c r="Q323" s="122"/>
      <c r="R323" s="122"/>
      <c r="S323" s="122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26"/>
      <c r="AI323" s="13"/>
      <c r="AL323" s="114"/>
    </row>
    <row r="324" spans="11:38" x14ac:dyDescent="0.4">
      <c r="L324" s="115"/>
      <c r="M324" s="115"/>
      <c r="N324" s="115"/>
      <c r="O324" s="115"/>
      <c r="P324" s="115"/>
      <c r="Q324" s="122"/>
      <c r="R324" s="122"/>
      <c r="S324" s="122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7"/>
      <c r="AI324" s="13"/>
      <c r="AL324" s="114"/>
    </row>
    <row r="325" spans="11:38" x14ac:dyDescent="0.4">
      <c r="L325" s="115"/>
      <c r="M325" s="115"/>
      <c r="N325" s="115"/>
      <c r="O325" s="115"/>
      <c r="P325" s="115"/>
      <c r="Q325" s="122"/>
      <c r="R325" s="122"/>
      <c r="S325" s="122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26"/>
      <c r="AI325" s="13"/>
      <c r="AL325" s="114"/>
    </row>
    <row r="326" spans="11:38" x14ac:dyDescent="0.4">
      <c r="L326" s="115"/>
      <c r="M326" s="115"/>
      <c r="N326" s="115"/>
      <c r="O326" s="115"/>
      <c r="P326" s="115"/>
      <c r="Q326" s="122"/>
      <c r="R326" s="122"/>
      <c r="S326" s="122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26"/>
      <c r="AI326" s="13"/>
      <c r="AL326" s="114"/>
    </row>
    <row r="327" spans="11:38" x14ac:dyDescent="0.4">
      <c r="L327" s="115"/>
      <c r="M327" s="115"/>
      <c r="N327" s="115"/>
      <c r="O327" s="115"/>
      <c r="P327" s="115"/>
      <c r="Q327" s="122"/>
      <c r="R327" s="122"/>
      <c r="S327" s="122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26"/>
      <c r="AI327" s="13"/>
      <c r="AL327" s="114"/>
    </row>
    <row r="328" spans="11:38" x14ac:dyDescent="0.4">
      <c r="L328" s="115"/>
      <c r="M328" s="115"/>
      <c r="N328" s="115"/>
      <c r="O328" s="115"/>
      <c r="P328" s="115"/>
      <c r="Q328" s="122"/>
      <c r="R328" s="122"/>
      <c r="S328" s="122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7"/>
      <c r="AI328" s="13"/>
      <c r="AL328" s="114"/>
    </row>
    <row r="329" spans="11:38" x14ac:dyDescent="0.4">
      <c r="L329" s="115"/>
      <c r="M329" s="115"/>
      <c r="N329" s="115"/>
      <c r="O329" s="115"/>
      <c r="P329" s="115"/>
      <c r="Q329" s="122"/>
      <c r="R329" s="122"/>
      <c r="S329" s="122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26"/>
      <c r="AI329" s="13"/>
      <c r="AL329" s="114"/>
    </row>
    <row r="330" spans="11:38" x14ac:dyDescent="0.4">
      <c r="L330" s="115"/>
      <c r="M330" s="115"/>
      <c r="N330" s="115"/>
      <c r="O330" s="115"/>
      <c r="P330" s="115"/>
      <c r="Q330" s="122"/>
      <c r="R330" s="122"/>
      <c r="S330" s="122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7"/>
      <c r="AI330" s="13"/>
      <c r="AL330" s="114"/>
    </row>
    <row r="331" spans="11:38" x14ac:dyDescent="0.4">
      <c r="L331" s="115"/>
      <c r="M331" s="115"/>
      <c r="N331" s="115"/>
      <c r="O331" s="115"/>
      <c r="P331" s="115"/>
      <c r="Q331" s="122"/>
      <c r="R331" s="122"/>
      <c r="S331" s="122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26"/>
      <c r="AI331" s="13"/>
      <c r="AL331" s="114"/>
    </row>
    <row r="332" spans="11:38" x14ac:dyDescent="0.4">
      <c r="L332" s="115"/>
      <c r="M332" s="115"/>
      <c r="N332" s="115"/>
      <c r="O332" s="115"/>
      <c r="P332" s="115"/>
      <c r="Q332" s="122"/>
      <c r="R332" s="122"/>
      <c r="S332" s="122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26"/>
      <c r="AI332" s="15"/>
      <c r="AL332" s="114"/>
    </row>
    <row r="333" spans="11:38" x14ac:dyDescent="0.4">
      <c r="L333" s="115"/>
      <c r="M333" s="115"/>
      <c r="N333" s="115"/>
      <c r="O333" s="115"/>
      <c r="P333" s="115"/>
      <c r="Q333" s="122"/>
      <c r="R333" s="122"/>
      <c r="S333" s="122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7"/>
      <c r="AI333" s="15"/>
      <c r="AL333" s="114"/>
    </row>
    <row r="334" spans="11:38" x14ac:dyDescent="0.4">
      <c r="L334" s="115"/>
      <c r="M334" s="115"/>
      <c r="N334" s="115"/>
      <c r="O334" s="115"/>
      <c r="P334" s="115"/>
      <c r="Q334" s="122"/>
      <c r="R334" s="122"/>
      <c r="S334" s="122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7"/>
      <c r="AI334" s="15"/>
      <c r="AL334" s="114"/>
    </row>
    <row r="335" spans="11:38" x14ac:dyDescent="0.4">
      <c r="K335" s="115"/>
      <c r="L335" s="115"/>
      <c r="M335" s="115"/>
      <c r="N335" s="115"/>
      <c r="O335" s="115"/>
      <c r="P335" s="115"/>
      <c r="Q335" s="122"/>
      <c r="R335" s="122"/>
      <c r="S335" s="122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26"/>
      <c r="AI335" s="15"/>
      <c r="AL335" s="114"/>
    </row>
    <row r="336" spans="11:38" x14ac:dyDescent="0.4">
      <c r="K336" s="115"/>
      <c r="L336" s="115"/>
      <c r="M336" s="115"/>
      <c r="N336" s="115"/>
      <c r="O336" s="115"/>
      <c r="P336" s="115"/>
      <c r="Q336" s="122"/>
      <c r="R336" s="122"/>
      <c r="S336" s="122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7"/>
      <c r="AI336" s="15"/>
      <c r="AL336" s="114"/>
    </row>
    <row r="337" spans="11:38" x14ac:dyDescent="0.4">
      <c r="K337" s="115"/>
      <c r="L337" s="115"/>
      <c r="M337" s="115"/>
      <c r="N337" s="115"/>
      <c r="O337" s="115"/>
      <c r="P337" s="115"/>
      <c r="Q337" s="122"/>
      <c r="R337" s="122"/>
      <c r="S337" s="122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26"/>
      <c r="AI337" s="15"/>
      <c r="AL337" s="114"/>
    </row>
    <row r="338" spans="11:38" x14ac:dyDescent="0.4">
      <c r="K338" s="115"/>
      <c r="L338" s="115"/>
      <c r="M338" s="115"/>
      <c r="N338" s="115"/>
      <c r="O338" s="115"/>
      <c r="P338" s="115"/>
      <c r="Q338" s="122"/>
      <c r="R338" s="122"/>
      <c r="S338" s="122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26"/>
      <c r="AI338" s="15"/>
      <c r="AL338" s="114"/>
    </row>
    <row r="339" spans="11:38" x14ac:dyDescent="0.4">
      <c r="K339" s="115"/>
      <c r="L339" s="115"/>
      <c r="M339" s="115"/>
      <c r="N339" s="115"/>
      <c r="O339" s="115"/>
      <c r="P339" s="115"/>
      <c r="Q339" s="122"/>
      <c r="R339" s="122"/>
      <c r="S339" s="122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7"/>
      <c r="AI339" s="15"/>
      <c r="AL339" s="114"/>
    </row>
    <row r="340" spans="11:38" x14ac:dyDescent="0.4">
      <c r="K340" s="115"/>
      <c r="L340" s="115"/>
      <c r="M340" s="115"/>
      <c r="N340" s="115"/>
      <c r="O340" s="115"/>
      <c r="P340" s="115"/>
      <c r="Q340" s="122"/>
      <c r="R340" s="122"/>
      <c r="S340" s="122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26"/>
      <c r="AI340" s="15"/>
      <c r="AL340" s="114"/>
    </row>
    <row r="341" spans="11:38" x14ac:dyDescent="0.4">
      <c r="K341" s="115"/>
      <c r="L341" s="115"/>
      <c r="M341" s="115"/>
      <c r="N341" s="115"/>
      <c r="O341" s="115"/>
      <c r="P341" s="115"/>
      <c r="Q341" s="122"/>
      <c r="R341" s="122"/>
      <c r="S341" s="122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7"/>
      <c r="AI341" s="15"/>
      <c r="AL341" s="114"/>
    </row>
    <row r="342" spans="11:38" x14ac:dyDescent="0.4">
      <c r="K342" s="115"/>
      <c r="L342" s="115"/>
      <c r="M342" s="115"/>
      <c r="N342" s="115"/>
      <c r="O342" s="115"/>
      <c r="P342" s="115"/>
      <c r="Q342" s="122"/>
      <c r="R342" s="122"/>
      <c r="S342" s="122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7"/>
      <c r="AI342" s="15"/>
      <c r="AL342" s="114"/>
    </row>
    <row r="343" spans="11:38" x14ac:dyDescent="0.4">
      <c r="K343" s="115"/>
      <c r="L343" s="115"/>
      <c r="M343" s="115"/>
      <c r="N343" s="115"/>
      <c r="O343" s="115"/>
      <c r="P343" s="115"/>
      <c r="Q343" s="122"/>
      <c r="R343" s="122"/>
      <c r="S343" s="122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26"/>
      <c r="AI343" s="15"/>
      <c r="AL343" s="114"/>
    </row>
    <row r="344" spans="11:38" x14ac:dyDescent="0.4">
      <c r="K344" s="115"/>
      <c r="L344" s="115"/>
      <c r="M344" s="115"/>
      <c r="N344" s="115"/>
      <c r="O344" s="115"/>
      <c r="P344" s="115"/>
      <c r="Q344" s="122"/>
      <c r="R344" s="122"/>
      <c r="S344" s="122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26"/>
      <c r="AI344" s="15"/>
      <c r="AL344" s="114"/>
    </row>
    <row r="345" spans="11:38" x14ac:dyDescent="0.4">
      <c r="K345" s="115"/>
      <c r="L345" s="115"/>
      <c r="M345" s="115"/>
      <c r="N345" s="115"/>
      <c r="O345" s="115"/>
      <c r="P345" s="115"/>
      <c r="Q345" s="122"/>
      <c r="R345" s="122"/>
      <c r="S345" s="122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26"/>
      <c r="AI345" s="15"/>
      <c r="AL345" s="114"/>
    </row>
    <row r="346" spans="11:38" x14ac:dyDescent="0.4">
      <c r="K346" s="115"/>
      <c r="L346" s="115"/>
      <c r="M346" s="115"/>
      <c r="N346" s="115"/>
      <c r="O346" s="115"/>
      <c r="P346" s="115"/>
      <c r="Q346" s="122"/>
      <c r="R346" s="122"/>
      <c r="S346" s="122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26"/>
      <c r="AI346" s="15"/>
      <c r="AL346" s="114"/>
    </row>
    <row r="347" spans="11:38" x14ac:dyDescent="0.4">
      <c r="K347" s="115"/>
      <c r="L347" s="115"/>
      <c r="M347" s="115"/>
      <c r="N347" s="115"/>
      <c r="O347" s="115"/>
      <c r="P347" s="115"/>
      <c r="Q347" s="122"/>
      <c r="R347" s="122"/>
      <c r="S347" s="122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26"/>
      <c r="AI347" s="15"/>
      <c r="AL347" s="114"/>
    </row>
    <row r="348" spans="11:38" x14ac:dyDescent="0.4">
      <c r="K348" s="115"/>
      <c r="L348" s="115"/>
      <c r="M348" s="115"/>
      <c r="N348" s="115"/>
      <c r="O348" s="115"/>
      <c r="P348" s="115"/>
      <c r="Q348" s="122"/>
      <c r="R348" s="122"/>
      <c r="S348" s="122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26"/>
      <c r="AI348" s="15"/>
      <c r="AL348" s="114"/>
    </row>
    <row r="349" spans="11:38" x14ac:dyDescent="0.4">
      <c r="K349" s="115"/>
      <c r="L349" s="115"/>
      <c r="M349" s="115"/>
      <c r="N349" s="115"/>
      <c r="O349" s="115"/>
      <c r="P349" s="115"/>
      <c r="Q349" s="122"/>
      <c r="R349" s="122"/>
      <c r="S349" s="122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26"/>
      <c r="AI349" s="15"/>
      <c r="AL349" s="114"/>
    </row>
    <row r="350" spans="11:38" x14ac:dyDescent="0.4">
      <c r="K350" s="115"/>
      <c r="L350" s="115"/>
      <c r="M350" s="115"/>
      <c r="N350" s="115"/>
      <c r="O350" s="115"/>
      <c r="P350" s="115"/>
      <c r="Q350" s="122"/>
      <c r="R350" s="122"/>
      <c r="S350" s="122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7"/>
      <c r="AI350" s="15"/>
      <c r="AL350" s="114"/>
    </row>
    <row r="351" spans="11:38" x14ac:dyDescent="0.4">
      <c r="K351" s="115"/>
      <c r="L351" s="115"/>
      <c r="M351" s="115"/>
      <c r="N351" s="115"/>
      <c r="O351" s="115"/>
      <c r="P351" s="115"/>
      <c r="Q351" s="122"/>
      <c r="R351" s="122"/>
      <c r="S351" s="122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26"/>
      <c r="AI351" s="15"/>
      <c r="AL351" s="114"/>
    </row>
    <row r="352" spans="11:38" x14ac:dyDescent="0.4">
      <c r="K352" s="115"/>
      <c r="L352" s="115"/>
      <c r="M352" s="115"/>
      <c r="N352" s="115"/>
      <c r="O352" s="115"/>
      <c r="P352" s="115"/>
      <c r="Q352" s="122"/>
      <c r="R352" s="122"/>
      <c r="S352" s="122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26"/>
      <c r="AI352" s="15"/>
      <c r="AL352" s="114"/>
    </row>
    <row r="353" spans="5:38" x14ac:dyDescent="0.4">
      <c r="K353" s="115"/>
      <c r="L353" s="115"/>
      <c r="M353" s="115"/>
      <c r="N353" s="115"/>
      <c r="O353" s="115"/>
      <c r="P353" s="115"/>
      <c r="Q353" s="122"/>
      <c r="R353" s="122"/>
      <c r="S353" s="122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26"/>
      <c r="AI353" s="15"/>
      <c r="AL353" s="114"/>
    </row>
    <row r="354" spans="5:38" x14ac:dyDescent="0.4">
      <c r="K354" s="115"/>
      <c r="L354" s="115"/>
      <c r="M354" s="115"/>
      <c r="N354" s="115"/>
      <c r="O354" s="115"/>
      <c r="P354" s="115"/>
      <c r="Q354" s="122"/>
      <c r="R354" s="122"/>
      <c r="S354" s="122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26"/>
      <c r="AI354" s="13"/>
      <c r="AL354" s="114"/>
    </row>
    <row r="355" spans="5:38" x14ac:dyDescent="0.4">
      <c r="K355" s="115"/>
      <c r="L355" s="115"/>
      <c r="M355" s="115"/>
      <c r="N355" s="115"/>
      <c r="O355" s="115"/>
      <c r="P355" s="115"/>
      <c r="Q355" s="122"/>
      <c r="R355" s="122"/>
      <c r="S355" s="122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7"/>
      <c r="AI355" s="13"/>
      <c r="AL355" s="114"/>
    </row>
    <row r="356" spans="5:38" x14ac:dyDescent="0.4">
      <c r="K356" s="115"/>
      <c r="L356" s="115"/>
      <c r="M356" s="115"/>
      <c r="N356" s="115"/>
      <c r="O356" s="115"/>
      <c r="P356" s="115"/>
      <c r="Q356" s="122"/>
      <c r="R356" s="122"/>
      <c r="S356" s="122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26"/>
      <c r="AI356" s="13"/>
      <c r="AL356" s="114"/>
    </row>
    <row r="357" spans="5:38" x14ac:dyDescent="0.4">
      <c r="K357" s="115"/>
      <c r="L357" s="115"/>
      <c r="M357" s="115"/>
      <c r="N357" s="115"/>
      <c r="O357" s="115"/>
      <c r="P357" s="115"/>
      <c r="Q357" s="122"/>
      <c r="R357" s="122"/>
      <c r="S357" s="122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26"/>
      <c r="AI357" s="13"/>
      <c r="AL357" s="114"/>
    </row>
    <row r="358" spans="5:38" x14ac:dyDescent="0.4">
      <c r="K358" s="115"/>
      <c r="L358" s="115"/>
      <c r="M358" s="115"/>
      <c r="N358" s="115"/>
      <c r="O358" s="115"/>
      <c r="P358" s="115"/>
      <c r="Q358" s="122"/>
      <c r="R358" s="122"/>
      <c r="S358" s="122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26"/>
      <c r="AI358" s="13"/>
      <c r="AL358" s="114"/>
    </row>
    <row r="359" spans="5:38" x14ac:dyDescent="0.4">
      <c r="K359" s="115"/>
      <c r="L359" s="115"/>
      <c r="M359" s="115"/>
      <c r="N359" s="115"/>
      <c r="O359" s="115"/>
      <c r="P359" s="115"/>
      <c r="Q359" s="122"/>
      <c r="R359" s="122"/>
      <c r="S359" s="122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26"/>
      <c r="AI359" s="13"/>
      <c r="AL359" s="114"/>
    </row>
    <row r="360" spans="5:38" x14ac:dyDescent="0.4">
      <c r="K360" s="115"/>
      <c r="L360" s="115"/>
      <c r="M360" s="115"/>
      <c r="N360" s="115"/>
      <c r="O360" s="115"/>
      <c r="P360" s="115"/>
      <c r="Q360" s="122"/>
      <c r="R360" s="122"/>
      <c r="S360" s="122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26"/>
      <c r="AI360" s="13"/>
      <c r="AL360" s="114"/>
    </row>
    <row r="361" spans="5:38" x14ac:dyDescent="0.4">
      <c r="K361" s="115"/>
      <c r="L361" s="115"/>
      <c r="M361" s="115"/>
      <c r="N361" s="115"/>
      <c r="O361" s="115"/>
      <c r="P361" s="115"/>
      <c r="Q361" s="122"/>
      <c r="R361" s="122"/>
      <c r="S361" s="122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26"/>
      <c r="AI361" s="13"/>
      <c r="AL361" s="114"/>
    </row>
    <row r="362" spans="5:38" x14ac:dyDescent="0.4">
      <c r="K362" s="115"/>
      <c r="L362" s="115"/>
      <c r="M362" s="115"/>
      <c r="N362" s="115"/>
      <c r="O362" s="115"/>
      <c r="P362" s="115"/>
      <c r="Q362" s="122"/>
      <c r="R362" s="122"/>
      <c r="S362" s="122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7"/>
      <c r="AI362" s="13"/>
      <c r="AL362" s="114"/>
    </row>
    <row r="363" spans="5:38" x14ac:dyDescent="0.4">
      <c r="K363" s="115"/>
      <c r="L363" s="115"/>
      <c r="M363" s="115"/>
      <c r="N363" s="115"/>
      <c r="O363" s="115"/>
      <c r="P363" s="115"/>
      <c r="Q363" s="122"/>
      <c r="R363" s="122"/>
      <c r="S363" s="122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26"/>
      <c r="AI363" s="13"/>
      <c r="AL363" s="114"/>
    </row>
    <row r="364" spans="5:38" x14ac:dyDescent="0.4">
      <c r="K364" s="115"/>
      <c r="L364" s="115"/>
      <c r="M364" s="115"/>
      <c r="N364" s="115"/>
      <c r="O364" s="115"/>
      <c r="P364" s="115"/>
      <c r="Q364" s="122"/>
      <c r="R364" s="122"/>
      <c r="S364" s="122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26"/>
      <c r="AI364" s="13"/>
      <c r="AL364" s="114"/>
    </row>
    <row r="365" spans="5:38" x14ac:dyDescent="0.4"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22"/>
      <c r="R365" s="122"/>
      <c r="S365" s="122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26"/>
      <c r="AI365" s="13"/>
      <c r="AL365" s="114"/>
    </row>
    <row r="366" spans="5:38" x14ac:dyDescent="0.4"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22"/>
      <c r="R366" s="122"/>
      <c r="S366" s="122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26"/>
      <c r="AI366" s="13"/>
      <c r="AL366" s="114"/>
    </row>
    <row r="367" spans="5:38" x14ac:dyDescent="0.4"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22"/>
      <c r="R367" s="122"/>
      <c r="S367" s="122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26"/>
      <c r="AI367" s="13"/>
      <c r="AL367" s="114"/>
    </row>
    <row r="368" spans="5:38" x14ac:dyDescent="0.4"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22"/>
      <c r="R368" s="122"/>
      <c r="S368" s="122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26"/>
      <c r="AI368" s="13"/>
      <c r="AL368" s="114"/>
    </row>
    <row r="369" spans="4:38" x14ac:dyDescent="0.4"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22"/>
      <c r="R369" s="122"/>
      <c r="S369" s="122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26"/>
      <c r="AI369" s="13"/>
      <c r="AL369" s="114"/>
    </row>
    <row r="370" spans="4:38" x14ac:dyDescent="0.4"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22"/>
      <c r="R370" s="122"/>
      <c r="S370" s="122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26"/>
      <c r="AI370" s="13"/>
      <c r="AL370" s="114"/>
    </row>
    <row r="371" spans="4:38" x14ac:dyDescent="0.4"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22"/>
      <c r="R371" s="122"/>
      <c r="S371" s="122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26"/>
      <c r="AI371" s="13"/>
      <c r="AL371" s="114"/>
    </row>
    <row r="372" spans="4:38" x14ac:dyDescent="0.4"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22"/>
      <c r="R372" s="122"/>
      <c r="S372" s="122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26"/>
      <c r="AI372" s="13"/>
      <c r="AL372" s="114"/>
    </row>
    <row r="373" spans="4:38" x14ac:dyDescent="0.4"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22"/>
      <c r="R373" s="122"/>
      <c r="S373" s="122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26"/>
      <c r="AI373" s="13"/>
      <c r="AL373" s="114"/>
    </row>
    <row r="374" spans="4:38" x14ac:dyDescent="0.4"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22"/>
      <c r="R374" s="122"/>
      <c r="S374" s="122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26"/>
      <c r="AI374" s="13"/>
      <c r="AL374" s="114"/>
    </row>
    <row r="375" spans="4:38" x14ac:dyDescent="0.4"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22"/>
      <c r="R375" s="122"/>
      <c r="S375" s="122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26"/>
      <c r="AI375" s="13"/>
      <c r="AL375" s="114"/>
    </row>
    <row r="376" spans="4:38" x14ac:dyDescent="0.4"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22"/>
      <c r="R376" s="122"/>
      <c r="S376" s="122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26"/>
      <c r="AI376" s="13"/>
      <c r="AL376" s="114"/>
    </row>
    <row r="377" spans="4:38" x14ac:dyDescent="0.4"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22"/>
      <c r="R377" s="122"/>
      <c r="S377" s="122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26"/>
      <c r="AI377" s="13"/>
      <c r="AL377" s="114"/>
    </row>
    <row r="378" spans="4:38" x14ac:dyDescent="0.4"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22"/>
      <c r="R378" s="122"/>
      <c r="S378" s="122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26"/>
      <c r="AI378" s="13"/>
      <c r="AL378" s="114"/>
    </row>
    <row r="379" spans="4:38" x14ac:dyDescent="0.4"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22"/>
      <c r="R379" s="122"/>
      <c r="S379" s="122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26"/>
      <c r="AI379" s="13"/>
      <c r="AL379" s="114"/>
    </row>
    <row r="380" spans="4:38" x14ac:dyDescent="0.4"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22"/>
      <c r="R380" s="122"/>
      <c r="S380" s="122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26"/>
      <c r="AI380" s="13"/>
      <c r="AL380" s="114"/>
    </row>
    <row r="381" spans="4:38" x14ac:dyDescent="0.4"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22"/>
      <c r="R381" s="122"/>
      <c r="S381" s="122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7"/>
      <c r="AI381" s="13"/>
      <c r="AL381" s="114"/>
    </row>
    <row r="382" spans="4:38" x14ac:dyDescent="0.4"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22"/>
      <c r="R382" s="122"/>
      <c r="S382" s="122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26"/>
      <c r="AI382" s="13"/>
      <c r="AL382" s="114"/>
    </row>
    <row r="383" spans="4:38" x14ac:dyDescent="0.4"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22"/>
      <c r="R383" s="122"/>
      <c r="S383" s="122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26"/>
      <c r="AI383" s="13"/>
      <c r="AL383" s="114"/>
    </row>
    <row r="384" spans="4:38" x14ac:dyDescent="0.4"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22"/>
      <c r="R384" s="122"/>
      <c r="S384" s="122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26"/>
      <c r="AI384" s="13"/>
      <c r="AL384" s="114"/>
    </row>
    <row r="385" spans="3:38" x14ac:dyDescent="0.4"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22"/>
      <c r="R385" s="122"/>
      <c r="S385" s="122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26"/>
      <c r="AI385" s="15"/>
      <c r="AL385" s="114"/>
    </row>
    <row r="386" spans="3:38" x14ac:dyDescent="0.4"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22"/>
      <c r="R386" s="122"/>
      <c r="S386" s="122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26"/>
      <c r="AI386" s="15"/>
      <c r="AL386" s="114"/>
    </row>
    <row r="387" spans="3:38" x14ac:dyDescent="0.4"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22"/>
      <c r="R387" s="122"/>
      <c r="S387" s="122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26"/>
      <c r="AI387" s="15"/>
      <c r="AL387" s="114"/>
    </row>
    <row r="388" spans="3:38" x14ac:dyDescent="0.4"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22"/>
      <c r="R388" s="122"/>
      <c r="S388" s="122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26"/>
      <c r="AI388" s="13"/>
      <c r="AL388" s="114"/>
    </row>
    <row r="389" spans="3:38" x14ac:dyDescent="0.4"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22"/>
      <c r="R389" s="122"/>
      <c r="S389" s="122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26"/>
      <c r="AI389" s="13"/>
      <c r="AL389" s="114"/>
    </row>
    <row r="390" spans="3:38" x14ac:dyDescent="0.4"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22"/>
      <c r="R390" s="122"/>
      <c r="S390" s="122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26"/>
      <c r="AI390" s="13"/>
      <c r="AL390" s="114"/>
    </row>
    <row r="391" spans="3:38" x14ac:dyDescent="0.4"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22"/>
      <c r="R391" s="122"/>
      <c r="S391" s="122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7"/>
      <c r="AI391" s="13"/>
      <c r="AL391" s="114"/>
    </row>
    <row r="392" spans="3:38" x14ac:dyDescent="0.4"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22"/>
      <c r="R392" s="122"/>
      <c r="S392" s="122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26"/>
      <c r="AI392" s="13"/>
      <c r="AL392" s="114"/>
    </row>
    <row r="393" spans="3:38" x14ac:dyDescent="0.4"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22"/>
      <c r="R393" s="122"/>
      <c r="S393" s="122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26"/>
      <c r="AI393" s="25"/>
      <c r="AL393" s="114"/>
    </row>
    <row r="394" spans="3:38" x14ac:dyDescent="0.4"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22"/>
      <c r="R394" s="122"/>
      <c r="S394" s="122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26"/>
      <c r="AI394" s="13"/>
      <c r="AL394" s="114"/>
    </row>
    <row r="395" spans="3:38" x14ac:dyDescent="0.4"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22"/>
      <c r="R395" s="122"/>
      <c r="S395" s="122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26"/>
      <c r="AI395" s="13"/>
      <c r="AL395" s="114"/>
    </row>
    <row r="396" spans="3:38" x14ac:dyDescent="0.4"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22"/>
      <c r="R396" s="122"/>
      <c r="S396" s="122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26"/>
      <c r="AI396" s="13"/>
      <c r="AL396" s="114"/>
    </row>
    <row r="397" spans="3:38" x14ac:dyDescent="0.4"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22"/>
      <c r="R397" s="122"/>
      <c r="S397" s="122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26"/>
      <c r="AI397" s="13"/>
      <c r="AL397" s="114"/>
    </row>
    <row r="398" spans="3:38" x14ac:dyDescent="0.4"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22"/>
      <c r="R398" s="122"/>
      <c r="S398" s="122"/>
      <c r="T398" s="115"/>
      <c r="U398" s="115"/>
      <c r="V398" s="115"/>
      <c r="W398" s="115"/>
      <c r="AH398" s="26"/>
      <c r="AI398" s="13"/>
      <c r="AL398" s="114"/>
    </row>
    <row r="399" spans="3:38" x14ac:dyDescent="0.4"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22"/>
      <c r="R399" s="122"/>
      <c r="S399" s="122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26"/>
      <c r="AI399" s="13"/>
      <c r="AL399" s="114"/>
    </row>
    <row r="400" spans="3:38" x14ac:dyDescent="0.4"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22"/>
      <c r="R400" s="122"/>
      <c r="S400" s="122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7"/>
      <c r="AI400" s="13"/>
      <c r="AL400" s="114"/>
    </row>
    <row r="401" spans="1:38" x14ac:dyDescent="0.4"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22"/>
      <c r="R401" s="122"/>
      <c r="S401" s="122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26"/>
      <c r="AI401" s="13"/>
      <c r="AL401" s="114"/>
    </row>
    <row r="402" spans="1:38" x14ac:dyDescent="0.4"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22"/>
      <c r="R402" s="122"/>
      <c r="S402" s="122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26"/>
      <c r="AI402" s="15"/>
      <c r="AL402" s="114"/>
    </row>
    <row r="403" spans="1:38" x14ac:dyDescent="0.4"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22"/>
      <c r="R403" s="122"/>
      <c r="S403" s="122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7"/>
      <c r="AI403" s="15"/>
      <c r="AL403" s="114"/>
    </row>
    <row r="404" spans="1:38" x14ac:dyDescent="0.4"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22"/>
      <c r="R404" s="122"/>
      <c r="S404" s="122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26"/>
      <c r="AI404" s="15"/>
      <c r="AL404" s="114"/>
    </row>
    <row r="405" spans="1:38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22"/>
      <c r="R405" s="122"/>
      <c r="S405" s="122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26"/>
      <c r="AI405" s="15"/>
      <c r="AL405" s="114"/>
    </row>
    <row r="406" spans="1:38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22"/>
      <c r="R406" s="122"/>
      <c r="S406" s="122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7"/>
      <c r="AI406" s="13"/>
      <c r="AL406" s="114"/>
    </row>
    <row r="407" spans="1:38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22"/>
      <c r="R407" s="122"/>
      <c r="S407" s="122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7"/>
      <c r="AI407" s="13"/>
      <c r="AL407" s="114"/>
    </row>
    <row r="408" spans="1:38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22"/>
      <c r="R408" s="122"/>
      <c r="S408" s="122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26"/>
      <c r="AI408" s="13"/>
      <c r="AL408" s="114"/>
    </row>
    <row r="409" spans="1:38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22"/>
      <c r="R409" s="122"/>
      <c r="S409" s="122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26"/>
      <c r="AI409" s="13"/>
      <c r="AL409" s="114"/>
    </row>
    <row r="410" spans="1:38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22"/>
      <c r="R410" s="122"/>
      <c r="S410" s="122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7"/>
      <c r="AI410" s="13"/>
      <c r="AL410" s="114"/>
    </row>
    <row r="411" spans="1:38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22"/>
      <c r="R411" s="122"/>
      <c r="S411" s="122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26"/>
      <c r="AI411" s="15"/>
      <c r="AL411" s="114"/>
    </row>
    <row r="412" spans="1:38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22"/>
      <c r="R412" s="122"/>
      <c r="S412" s="122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26"/>
      <c r="AI412" s="15"/>
      <c r="AL412" s="114"/>
    </row>
    <row r="413" spans="1:38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22"/>
      <c r="R413" s="122"/>
      <c r="S413" s="122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26"/>
      <c r="AI413" s="15"/>
      <c r="AL413" s="114"/>
    </row>
    <row r="414" spans="1:38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22"/>
      <c r="R414" s="122"/>
      <c r="S414" s="122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26"/>
      <c r="AI414" s="13"/>
      <c r="AL414" s="114"/>
    </row>
    <row r="415" spans="1:38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22"/>
      <c r="R415" s="122"/>
      <c r="S415" s="122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26"/>
      <c r="AI415" s="25"/>
      <c r="AL415" s="114"/>
    </row>
    <row r="416" spans="1:38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22"/>
      <c r="R416" s="122"/>
      <c r="S416" s="122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26"/>
      <c r="AI416" s="13"/>
      <c r="AL416" s="114"/>
    </row>
    <row r="417" spans="1:38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22"/>
      <c r="R417" s="122"/>
      <c r="S417" s="122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26"/>
      <c r="AI417" s="13"/>
      <c r="AL417" s="114"/>
    </row>
    <row r="418" spans="1:38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22"/>
      <c r="R418" s="122"/>
      <c r="S418" s="122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26"/>
      <c r="AI418" s="13"/>
      <c r="AL418" s="114"/>
    </row>
    <row r="419" spans="1:38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22"/>
      <c r="R419" s="122"/>
      <c r="S419" s="122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26"/>
      <c r="AI419" s="13"/>
      <c r="AL419" s="114"/>
    </row>
    <row r="420" spans="1:38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22"/>
      <c r="R420" s="122"/>
      <c r="S420" s="122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26"/>
      <c r="AI420" s="13"/>
      <c r="AL420" s="114"/>
    </row>
    <row r="421" spans="1:38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22"/>
      <c r="R421" s="122"/>
      <c r="S421" s="122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26"/>
      <c r="AI421" s="13"/>
      <c r="AL421" s="114"/>
    </row>
    <row r="422" spans="1:38" x14ac:dyDescent="0.4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22"/>
      <c r="R422" s="122"/>
      <c r="S422" s="122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26"/>
      <c r="AI422" s="13"/>
      <c r="AL422" s="114"/>
    </row>
    <row r="423" spans="1:38" x14ac:dyDescent="0.4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22"/>
      <c r="R423" s="122"/>
      <c r="S423" s="122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26"/>
      <c r="AI423" s="13"/>
      <c r="AL423" s="114"/>
    </row>
    <row r="424" spans="1:38" x14ac:dyDescent="0.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22"/>
      <c r="R424" s="122"/>
      <c r="S424" s="122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26"/>
      <c r="AI424" s="13"/>
      <c r="AL424" s="114"/>
    </row>
    <row r="425" spans="1:38" x14ac:dyDescent="0.4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22"/>
      <c r="R425" s="122"/>
      <c r="S425" s="122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26"/>
      <c r="AI425" s="13"/>
      <c r="AL425" s="114"/>
    </row>
    <row r="426" spans="1:38" x14ac:dyDescent="0.4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22"/>
      <c r="R426" s="122"/>
      <c r="S426" s="122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26"/>
      <c r="AI426" s="15"/>
      <c r="AL426" s="114"/>
    </row>
    <row r="427" spans="1:38" x14ac:dyDescent="0.4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22"/>
      <c r="R427" s="122"/>
      <c r="S427" s="122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26"/>
      <c r="AI427" s="15"/>
      <c r="AL427" s="114"/>
    </row>
    <row r="428" spans="1:38" x14ac:dyDescent="0.4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22"/>
      <c r="R428" s="122"/>
      <c r="S428" s="122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26"/>
      <c r="AI428" s="15"/>
      <c r="AL428" s="114"/>
    </row>
    <row r="429" spans="1:38" x14ac:dyDescent="0.4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22"/>
      <c r="R429" s="122"/>
      <c r="S429" s="122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26"/>
      <c r="AI429" s="15"/>
      <c r="AL429" s="114"/>
    </row>
    <row r="430" spans="1:38" x14ac:dyDescent="0.4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22"/>
      <c r="R430" s="122"/>
      <c r="S430" s="122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26"/>
      <c r="AI430" s="13"/>
      <c r="AL430" s="114"/>
    </row>
    <row r="431" spans="1:38" x14ac:dyDescent="0.4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22"/>
      <c r="R431" s="122"/>
      <c r="S431" s="122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26"/>
      <c r="AI431" s="15"/>
      <c r="AL431" s="114"/>
    </row>
    <row r="432" spans="1:38" x14ac:dyDescent="0.4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22"/>
      <c r="R432" s="122"/>
      <c r="S432" s="122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26"/>
      <c r="AI432" s="15"/>
      <c r="AL432" s="114"/>
    </row>
    <row r="433" spans="1:38" x14ac:dyDescent="0.4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22"/>
      <c r="R433" s="122"/>
      <c r="S433" s="122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26"/>
      <c r="AI433" s="15"/>
      <c r="AL433" s="114"/>
    </row>
    <row r="434" spans="1:38" x14ac:dyDescent="0.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22"/>
      <c r="R434" s="122"/>
      <c r="S434" s="122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26"/>
      <c r="AI434" s="15"/>
      <c r="AL434" s="114"/>
    </row>
    <row r="435" spans="1:38" x14ac:dyDescent="0.4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22"/>
      <c r="R435" s="122"/>
      <c r="S435" s="122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26"/>
      <c r="AI435" s="15"/>
      <c r="AL435" s="114"/>
    </row>
    <row r="436" spans="1:38" x14ac:dyDescent="0.4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22"/>
      <c r="R436" s="122"/>
      <c r="S436" s="122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26"/>
      <c r="AI436" s="105"/>
      <c r="AL436" s="114"/>
    </row>
    <row r="437" spans="1:38" x14ac:dyDescent="0.4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22"/>
      <c r="R437" s="122"/>
      <c r="S437" s="122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7"/>
      <c r="AI437" s="15"/>
      <c r="AL437" s="114"/>
    </row>
    <row r="438" spans="1:38" x14ac:dyDescent="0.4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22"/>
      <c r="R438" s="122"/>
      <c r="S438" s="122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26"/>
      <c r="AI438" s="15"/>
      <c r="AL438" s="114"/>
    </row>
    <row r="439" spans="1:38" x14ac:dyDescent="0.4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22"/>
      <c r="R439" s="122"/>
      <c r="S439" s="122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26"/>
      <c r="AI439" s="15"/>
      <c r="AL439" s="114"/>
    </row>
    <row r="440" spans="1:38" x14ac:dyDescent="0.4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22"/>
      <c r="R440" s="122"/>
      <c r="S440" s="122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26"/>
      <c r="AI440" s="105"/>
      <c r="AL440" s="114"/>
    </row>
    <row r="441" spans="1:38" x14ac:dyDescent="0.4">
      <c r="AH441" s="26"/>
      <c r="AI441" s="15"/>
      <c r="AL441" s="114"/>
    </row>
    <row r="442" spans="1:38" x14ac:dyDescent="0.4">
      <c r="R442" s="122"/>
      <c r="S442" s="122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26"/>
      <c r="AI442" s="15"/>
      <c r="AL442" s="114"/>
    </row>
    <row r="443" spans="1:38" x14ac:dyDescent="0.4">
      <c r="N443" s="115"/>
      <c r="O443" s="115"/>
      <c r="P443" s="115"/>
      <c r="Q443" s="122"/>
      <c r="R443" s="122"/>
      <c r="S443" s="122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26"/>
      <c r="AI443" s="15"/>
      <c r="AL443" s="114"/>
    </row>
    <row r="444" spans="1:38" x14ac:dyDescent="0.4"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22"/>
      <c r="R444" s="122"/>
      <c r="S444" s="122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26"/>
      <c r="AI444" s="15"/>
      <c r="AL444" s="114"/>
    </row>
    <row r="445" spans="1:38" x14ac:dyDescent="0.4"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22"/>
      <c r="R445" s="122"/>
      <c r="S445" s="122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7"/>
      <c r="AI445" s="15"/>
      <c r="AL445" s="114"/>
    </row>
    <row r="446" spans="1:38" x14ac:dyDescent="0.4"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22"/>
      <c r="R446" s="122"/>
      <c r="S446" s="122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26"/>
      <c r="AI446" s="15"/>
      <c r="AL446" s="114"/>
    </row>
    <row r="447" spans="1:38" x14ac:dyDescent="0.4"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22"/>
      <c r="R447" s="122"/>
      <c r="S447" s="122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26"/>
      <c r="AI447" s="15"/>
      <c r="AL447" s="114"/>
    </row>
    <row r="448" spans="1:38" x14ac:dyDescent="0.4"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22"/>
      <c r="R448" s="122"/>
      <c r="S448" s="122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26"/>
      <c r="AI448" s="15"/>
      <c r="AL448" s="114"/>
    </row>
    <row r="449" spans="2:38" x14ac:dyDescent="0.4"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22"/>
      <c r="R449" s="122"/>
      <c r="S449" s="122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26"/>
      <c r="AI449" s="15"/>
      <c r="AL449" s="114"/>
    </row>
    <row r="450" spans="2:38" x14ac:dyDescent="0.4"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22"/>
      <c r="R450" s="122"/>
      <c r="S450" s="122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26"/>
      <c r="AI450" s="15"/>
      <c r="AL450" s="114"/>
    </row>
    <row r="451" spans="2:38" x14ac:dyDescent="0.4"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22"/>
      <c r="R451" s="122"/>
      <c r="S451" s="122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26"/>
      <c r="AI451" s="15"/>
      <c r="AL451" s="114"/>
    </row>
    <row r="452" spans="2:38" x14ac:dyDescent="0.4"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22"/>
      <c r="R452" s="122"/>
      <c r="S452" s="122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26"/>
      <c r="AI452" s="15"/>
      <c r="AL452" s="114"/>
    </row>
    <row r="453" spans="2:38" x14ac:dyDescent="0.4"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22"/>
      <c r="R453" s="122"/>
      <c r="S453" s="122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7"/>
      <c r="AI453" s="15"/>
      <c r="AL453" s="114"/>
    </row>
    <row r="454" spans="2:38" x14ac:dyDescent="0.4"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22"/>
      <c r="R454" s="122"/>
      <c r="S454" s="122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26"/>
      <c r="AI454" s="15"/>
      <c r="AL454" s="114"/>
    </row>
    <row r="455" spans="2:38" x14ac:dyDescent="0.4"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22"/>
      <c r="R455" s="122"/>
      <c r="S455" s="122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26"/>
      <c r="AI455" s="15"/>
      <c r="AL455" s="114"/>
    </row>
    <row r="456" spans="2:38" x14ac:dyDescent="0.4"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22"/>
      <c r="R456" s="122"/>
      <c r="S456" s="122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26"/>
      <c r="AI456" s="15"/>
      <c r="AL456" s="114"/>
    </row>
    <row r="457" spans="2:38" x14ac:dyDescent="0.4"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22"/>
      <c r="R457" s="122"/>
      <c r="S457" s="122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26"/>
      <c r="AI457" s="15"/>
      <c r="AL457" s="114"/>
    </row>
    <row r="458" spans="2:38" x14ac:dyDescent="0.4"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22"/>
      <c r="R458" s="122"/>
      <c r="S458" s="122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26"/>
      <c r="AI458" s="15"/>
      <c r="AL458" s="114"/>
    </row>
    <row r="459" spans="2:38" x14ac:dyDescent="0.4"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22"/>
      <c r="R459" s="122"/>
      <c r="S459" s="122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26"/>
      <c r="AI459" s="15"/>
      <c r="AL459" s="114"/>
    </row>
    <row r="460" spans="2:38" x14ac:dyDescent="0.4"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22"/>
      <c r="R460" s="122"/>
      <c r="S460" s="122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26"/>
      <c r="AI460" s="15"/>
      <c r="AL460" s="114"/>
    </row>
    <row r="461" spans="2:38" x14ac:dyDescent="0.4"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22"/>
      <c r="R461" s="122"/>
      <c r="S461" s="122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7"/>
      <c r="AI461" s="15"/>
      <c r="AL461" s="114"/>
    </row>
    <row r="462" spans="2:38" x14ac:dyDescent="0.4"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22"/>
      <c r="R462" s="122"/>
      <c r="S462" s="122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26"/>
      <c r="AI462" s="15"/>
      <c r="AL462" s="114"/>
    </row>
    <row r="463" spans="2:38" x14ac:dyDescent="0.4"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22"/>
      <c r="R463" s="122"/>
      <c r="S463" s="122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26"/>
      <c r="AI463" s="15"/>
      <c r="AL463" s="114"/>
    </row>
    <row r="464" spans="2:38" x14ac:dyDescent="0.4"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22"/>
      <c r="R464" s="122"/>
      <c r="S464" s="122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26"/>
      <c r="AI464" s="15"/>
      <c r="AL464" s="114"/>
    </row>
    <row r="465" spans="1:38" x14ac:dyDescent="0.4"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22"/>
      <c r="R465" s="122"/>
      <c r="S465" s="122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26"/>
      <c r="AI465" s="15"/>
      <c r="AL465" s="114"/>
    </row>
    <row r="466" spans="1:38" x14ac:dyDescent="0.4"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22"/>
      <c r="R466" s="122"/>
      <c r="S466" s="122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26"/>
      <c r="AI466" s="15"/>
      <c r="AL466" s="114"/>
    </row>
    <row r="467" spans="1:38" x14ac:dyDescent="0.4"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22"/>
      <c r="R467" s="122"/>
      <c r="S467" s="122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26"/>
      <c r="AI467" s="15"/>
      <c r="AL467" s="114"/>
    </row>
    <row r="468" spans="1:38" x14ac:dyDescent="0.4"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22"/>
      <c r="R468" s="122"/>
      <c r="S468" s="122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26"/>
      <c r="AI468" s="15"/>
      <c r="AL468" s="114"/>
    </row>
    <row r="469" spans="1:38" x14ac:dyDescent="0.4"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22"/>
      <c r="R469" s="122"/>
      <c r="S469" s="122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26"/>
      <c r="AI469" s="15"/>
      <c r="AL469" s="114"/>
    </row>
    <row r="470" spans="1:38" x14ac:dyDescent="0.4"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22"/>
      <c r="R470" s="122"/>
      <c r="S470" s="122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7"/>
      <c r="AI470" s="15"/>
      <c r="AL470" s="114"/>
    </row>
    <row r="471" spans="1:38" x14ac:dyDescent="0.4"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22"/>
      <c r="R471" s="122"/>
      <c r="S471" s="122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26"/>
      <c r="AI471" s="15"/>
      <c r="AL471" s="114"/>
    </row>
    <row r="472" spans="1:38" x14ac:dyDescent="0.4"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22"/>
      <c r="R472" s="122"/>
      <c r="S472" s="122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7"/>
      <c r="AI472" s="15"/>
      <c r="AL472" s="114"/>
    </row>
    <row r="473" spans="1:38" x14ac:dyDescent="0.4"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22"/>
      <c r="R473" s="122"/>
      <c r="S473" s="122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26"/>
      <c r="AI473" s="15"/>
      <c r="AL473" s="114"/>
    </row>
    <row r="474" spans="1:38" x14ac:dyDescent="0.4"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22"/>
      <c r="R474" s="122"/>
      <c r="S474" s="122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7"/>
      <c r="AI474" s="15"/>
      <c r="AL474" s="114"/>
    </row>
    <row r="475" spans="1:38" x14ac:dyDescent="0.4"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22"/>
      <c r="R475" s="122"/>
      <c r="S475" s="122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26"/>
      <c r="AI475" s="15"/>
      <c r="AL475" s="114"/>
    </row>
    <row r="476" spans="1:38" x14ac:dyDescent="0.4"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22"/>
      <c r="R476" s="122"/>
      <c r="S476" s="122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26"/>
      <c r="AI476" s="15"/>
      <c r="AL476" s="114"/>
    </row>
    <row r="477" spans="1:38" x14ac:dyDescent="0.4"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22"/>
      <c r="R477" s="122"/>
      <c r="S477" s="122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7"/>
      <c r="AI477" s="15"/>
      <c r="AL477" s="114"/>
    </row>
    <row r="478" spans="1:38" x14ac:dyDescent="0.4"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22"/>
      <c r="R478" s="122"/>
      <c r="S478" s="122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26"/>
      <c r="AI478" s="15"/>
      <c r="AL478" s="114"/>
    </row>
    <row r="479" spans="1:38" x14ac:dyDescent="0.4"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22"/>
      <c r="R479" s="122"/>
      <c r="S479" s="122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26"/>
      <c r="AI479" s="15"/>
      <c r="AL479" s="114"/>
    </row>
    <row r="480" spans="1:38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22"/>
      <c r="R480" s="122"/>
      <c r="S480" s="122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26"/>
      <c r="AI480" s="105"/>
      <c r="AL480" s="114"/>
    </row>
    <row r="481" spans="1:38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22"/>
      <c r="R481" s="122"/>
      <c r="S481" s="122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7"/>
      <c r="AI481" s="15"/>
      <c r="AL481" s="114"/>
    </row>
    <row r="482" spans="1:38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22"/>
      <c r="R482" s="122"/>
      <c r="S482" s="122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7"/>
      <c r="AI482" s="15"/>
      <c r="AL482" s="114"/>
    </row>
    <row r="483" spans="1:38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22"/>
      <c r="R483" s="122"/>
      <c r="S483" s="122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26"/>
      <c r="AI483" s="15"/>
      <c r="AL483" s="114"/>
    </row>
    <row r="484" spans="1:38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22"/>
      <c r="R484" s="122"/>
      <c r="S484" s="122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26"/>
      <c r="AI484" s="15"/>
      <c r="AL484" s="114"/>
    </row>
    <row r="485" spans="1:38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22"/>
      <c r="R485" s="122"/>
      <c r="S485" s="122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26"/>
      <c r="AI485" s="15"/>
      <c r="AL485" s="114"/>
    </row>
    <row r="486" spans="1:38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22"/>
      <c r="R486" s="122"/>
      <c r="S486" s="122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26"/>
      <c r="AI486" s="15"/>
      <c r="AL486" s="114"/>
    </row>
    <row r="487" spans="1:38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22"/>
      <c r="R487" s="122"/>
      <c r="S487" s="122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26"/>
      <c r="AI487" s="15"/>
      <c r="AL487" s="114"/>
    </row>
    <row r="488" spans="1:38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22"/>
      <c r="R488" s="122"/>
      <c r="S488" s="122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26"/>
      <c r="AI488" s="15"/>
      <c r="AL488" s="114"/>
    </row>
    <row r="489" spans="1:38" x14ac:dyDescent="0.4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22"/>
      <c r="R489" s="122"/>
      <c r="S489" s="122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26"/>
      <c r="AI489" s="15"/>
      <c r="AL489" s="114"/>
    </row>
    <row r="490" spans="1:38" x14ac:dyDescent="0.4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22"/>
      <c r="R490" s="122"/>
      <c r="S490" s="122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26"/>
      <c r="AI490" s="15"/>
      <c r="AL490" s="114"/>
    </row>
    <row r="491" spans="1:38" x14ac:dyDescent="0.4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22"/>
      <c r="R491" s="122"/>
      <c r="S491" s="122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26"/>
      <c r="AI491" s="105"/>
      <c r="AL491" s="114"/>
    </row>
    <row r="492" spans="1:38" x14ac:dyDescent="0.4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22"/>
      <c r="R492" s="122"/>
      <c r="S492" s="122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26"/>
      <c r="AI492" s="15"/>
      <c r="AL492" s="114"/>
    </row>
    <row r="493" spans="1:38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22"/>
      <c r="R493" s="122"/>
      <c r="S493" s="122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26"/>
      <c r="AI493" s="15"/>
      <c r="AL493" s="114"/>
    </row>
    <row r="494" spans="1:38" x14ac:dyDescent="0.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22"/>
      <c r="R494" s="122"/>
      <c r="S494" s="122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26"/>
      <c r="AI494" s="13"/>
      <c r="AL494" s="114"/>
    </row>
    <row r="495" spans="1:38" x14ac:dyDescent="0.4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22"/>
      <c r="R495" s="122"/>
      <c r="S495" s="122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7"/>
      <c r="AI495" s="13"/>
      <c r="AL495" s="114"/>
    </row>
    <row r="496" spans="1:38" x14ac:dyDescent="0.4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22"/>
      <c r="R496" s="122"/>
      <c r="S496" s="122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26"/>
      <c r="AI496" s="13"/>
      <c r="AL496" s="114"/>
    </row>
    <row r="497" spans="1:38" x14ac:dyDescent="0.4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22"/>
      <c r="R497" s="122"/>
      <c r="S497" s="122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26"/>
      <c r="AI497" s="13"/>
      <c r="AL497" s="114"/>
    </row>
    <row r="498" spans="1:38" x14ac:dyDescent="0.4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22"/>
      <c r="R498" s="122"/>
      <c r="S498" s="122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26"/>
      <c r="AI498" s="13"/>
      <c r="AL498" s="114"/>
    </row>
    <row r="499" spans="1:38" x14ac:dyDescent="0.4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22"/>
      <c r="R499" s="122"/>
      <c r="S499" s="122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26"/>
      <c r="AI499" s="13"/>
      <c r="AL499" s="114"/>
    </row>
    <row r="500" spans="1:38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22"/>
      <c r="R500" s="122"/>
      <c r="S500" s="122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26"/>
      <c r="AI500" s="13"/>
      <c r="AL500" s="114"/>
    </row>
    <row r="501" spans="1:38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22"/>
      <c r="R501" s="122"/>
      <c r="S501" s="122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26"/>
      <c r="AI501" s="13"/>
      <c r="AL501" s="114"/>
    </row>
    <row r="502" spans="1:38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22"/>
      <c r="R502" s="122"/>
      <c r="S502" s="122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7"/>
      <c r="AI502" s="13"/>
      <c r="AL502" s="114"/>
    </row>
    <row r="503" spans="1:38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22"/>
      <c r="R503" s="122"/>
      <c r="S503" s="122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26"/>
      <c r="AI503" s="13"/>
      <c r="AL503" s="114"/>
    </row>
    <row r="504" spans="1:38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22"/>
      <c r="R504" s="122"/>
      <c r="S504" s="122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26"/>
      <c r="AI504" s="13"/>
      <c r="AL504" s="114"/>
    </row>
    <row r="505" spans="1:38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22"/>
      <c r="R505" s="122"/>
      <c r="S505" s="122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26"/>
      <c r="AI505" s="13"/>
      <c r="AL505" s="114"/>
    </row>
    <row r="506" spans="1:38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22"/>
      <c r="R506" s="122"/>
      <c r="S506" s="122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26"/>
      <c r="AI506" s="13"/>
      <c r="AL506" s="114"/>
    </row>
    <row r="507" spans="1:38" x14ac:dyDescent="0.4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22"/>
      <c r="R507" s="122"/>
      <c r="S507" s="122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26"/>
      <c r="AI507" s="25"/>
      <c r="AL507" s="114"/>
    </row>
    <row r="508" spans="1:38" x14ac:dyDescent="0.4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22"/>
      <c r="R508" s="122"/>
      <c r="S508" s="122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7"/>
      <c r="AI508" s="13"/>
      <c r="AL508" s="114"/>
    </row>
    <row r="509" spans="1:38" x14ac:dyDescent="0.4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22"/>
      <c r="R509" s="122"/>
      <c r="S509" s="122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26"/>
      <c r="AI509" s="15"/>
      <c r="AL509" s="114"/>
    </row>
    <row r="510" spans="1:38" x14ac:dyDescent="0.4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22"/>
      <c r="R510" s="122"/>
      <c r="S510" s="122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26"/>
      <c r="AI510" s="15"/>
      <c r="AL510" s="114"/>
    </row>
    <row r="511" spans="1:38" x14ac:dyDescent="0.4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22"/>
      <c r="R511" s="122"/>
      <c r="S511" s="122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7"/>
      <c r="AI511" s="15"/>
      <c r="AL511" s="114"/>
    </row>
    <row r="512" spans="1:38" x14ac:dyDescent="0.4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22"/>
      <c r="R512" s="122"/>
      <c r="S512" s="122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26"/>
      <c r="AI512" s="15"/>
      <c r="AL512" s="114"/>
    </row>
    <row r="513" spans="1:38" x14ac:dyDescent="0.4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22"/>
      <c r="R513" s="122"/>
      <c r="S513" s="122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26"/>
      <c r="AI513" s="15"/>
      <c r="AL513" s="114"/>
    </row>
    <row r="514" spans="1:38" x14ac:dyDescent="0.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22"/>
      <c r="R514" s="122"/>
      <c r="S514" s="122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26"/>
      <c r="AI514" s="13"/>
      <c r="AL514" s="114"/>
    </row>
    <row r="515" spans="1:38" x14ac:dyDescent="0.4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22"/>
      <c r="R515" s="122"/>
      <c r="S515" s="122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26"/>
      <c r="AI515" s="13"/>
      <c r="AL515" s="114"/>
    </row>
    <row r="516" spans="1:38" x14ac:dyDescent="0.4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22"/>
      <c r="R516" s="122"/>
      <c r="S516" s="122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26"/>
      <c r="AI516" s="13"/>
      <c r="AL516" s="114"/>
    </row>
    <row r="517" spans="1:38" x14ac:dyDescent="0.4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22"/>
      <c r="R517" s="122"/>
      <c r="S517" s="122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26"/>
      <c r="AI517" s="13"/>
      <c r="AL517" s="114"/>
    </row>
    <row r="518" spans="1:38" x14ac:dyDescent="0.4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22"/>
      <c r="R518" s="122"/>
      <c r="S518" s="122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26"/>
      <c r="AI518" s="13"/>
      <c r="AL518" s="114"/>
    </row>
    <row r="519" spans="1:38" x14ac:dyDescent="0.4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22"/>
      <c r="R519" s="122"/>
      <c r="S519" s="122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26"/>
      <c r="AI519" s="13"/>
      <c r="AL519" s="114"/>
    </row>
    <row r="520" spans="1:38" x14ac:dyDescent="0.4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22"/>
      <c r="R520" s="122"/>
      <c r="S520" s="122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26"/>
      <c r="AI520" s="13"/>
      <c r="AL520" s="114"/>
    </row>
    <row r="521" spans="1:38" x14ac:dyDescent="0.4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22"/>
      <c r="R521" s="122"/>
      <c r="S521" s="122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26"/>
      <c r="AI521" s="13"/>
      <c r="AL521" s="114"/>
    </row>
    <row r="522" spans="1:38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22"/>
      <c r="R522" s="122"/>
      <c r="S522" s="122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7"/>
      <c r="AI522" s="13"/>
      <c r="AL522" s="114"/>
    </row>
    <row r="523" spans="1:38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22"/>
      <c r="R523" s="122"/>
      <c r="S523" s="122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26"/>
      <c r="AI523" s="13"/>
      <c r="AL523" s="114"/>
    </row>
    <row r="524" spans="1:38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22"/>
      <c r="R524" s="122"/>
      <c r="S524" s="122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7"/>
      <c r="AI524" s="13"/>
      <c r="AL524" s="114"/>
    </row>
    <row r="525" spans="1:38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22"/>
      <c r="R525" s="122"/>
      <c r="S525" s="122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26"/>
      <c r="AI525" s="13"/>
      <c r="AL525" s="114"/>
    </row>
    <row r="526" spans="1:38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22"/>
      <c r="R526" s="122"/>
      <c r="S526" s="122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26"/>
      <c r="AI526" s="13"/>
      <c r="AL526" s="114"/>
    </row>
    <row r="527" spans="1:38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22"/>
      <c r="R527" s="122"/>
      <c r="S527" s="122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26"/>
      <c r="AI527" s="13"/>
      <c r="AL527" s="114"/>
    </row>
    <row r="528" spans="1:38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22"/>
      <c r="R528" s="122"/>
      <c r="S528" s="122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26"/>
      <c r="AI528" s="15"/>
      <c r="AL528" s="114"/>
    </row>
    <row r="529" spans="1:39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22"/>
      <c r="R529" s="122"/>
      <c r="S529" s="122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26"/>
      <c r="AI529" s="15"/>
      <c r="AL529" s="114"/>
    </row>
    <row r="530" spans="1:39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22"/>
      <c r="R530" s="122"/>
      <c r="S530" s="122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26"/>
      <c r="AI530" s="15"/>
      <c r="AL530" s="114"/>
    </row>
    <row r="531" spans="1:39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22"/>
      <c r="R531" s="122"/>
      <c r="S531" s="122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26"/>
      <c r="AI531" s="13"/>
      <c r="AL531" s="114"/>
    </row>
    <row r="532" spans="1:39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22"/>
      <c r="R532" s="122"/>
      <c r="S532" s="122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26"/>
      <c r="AI532" s="15"/>
      <c r="AL532" s="114"/>
    </row>
    <row r="533" spans="1:39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22"/>
      <c r="R533" s="122"/>
      <c r="S533" s="122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26"/>
      <c r="AI533" s="15"/>
      <c r="AL533" s="114"/>
      <c r="AM533" s="120"/>
    </row>
    <row r="534" spans="1:39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22"/>
      <c r="R534" s="122"/>
      <c r="S534" s="122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26"/>
      <c r="AI534" s="15"/>
      <c r="AL534" s="114"/>
      <c r="AM534" s="120"/>
    </row>
    <row r="535" spans="1:39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22"/>
      <c r="R535" s="122"/>
      <c r="S535" s="122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26"/>
      <c r="AI535" s="15"/>
      <c r="AL535" s="114"/>
      <c r="AM535" s="120"/>
    </row>
    <row r="536" spans="1:39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22"/>
      <c r="R536" s="122"/>
      <c r="S536" s="122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26"/>
      <c r="AI536" s="15"/>
      <c r="AL536" s="114"/>
      <c r="AM536" s="120"/>
    </row>
    <row r="537" spans="1:39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22"/>
      <c r="R537" s="122"/>
      <c r="S537" s="122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26"/>
      <c r="AI537" s="15"/>
      <c r="AL537" s="114"/>
      <c r="AM537" s="120"/>
    </row>
    <row r="538" spans="1:39" x14ac:dyDescent="0.4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22"/>
      <c r="R538" s="122"/>
      <c r="S538" s="122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26"/>
      <c r="AI538" s="15"/>
      <c r="AL538" s="114"/>
      <c r="AM538" s="120"/>
    </row>
    <row r="539" spans="1:39" x14ac:dyDescent="0.4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22"/>
      <c r="R539" s="122"/>
      <c r="S539" s="122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26"/>
      <c r="AI539" s="15"/>
      <c r="AL539" s="114"/>
      <c r="AM539" s="120"/>
    </row>
    <row r="540" spans="1:39" x14ac:dyDescent="0.4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22"/>
      <c r="R540" s="122"/>
      <c r="S540" s="122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7"/>
      <c r="AI540" s="15"/>
      <c r="AL540" s="114"/>
      <c r="AM540" s="120"/>
    </row>
    <row r="541" spans="1:39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22"/>
      <c r="R541" s="122"/>
      <c r="S541" s="122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26"/>
      <c r="AI541" s="15"/>
      <c r="AL541" s="114"/>
      <c r="AM541" s="120"/>
    </row>
    <row r="542" spans="1:39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22"/>
      <c r="R542" s="122"/>
      <c r="S542" s="122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26"/>
      <c r="AI542" s="15"/>
      <c r="AL542" s="114"/>
    </row>
    <row r="543" spans="1:39" x14ac:dyDescent="0.4">
      <c r="AH543" s="26"/>
      <c r="AI543" s="15"/>
      <c r="AL543" s="114"/>
    </row>
    <row r="544" spans="1:39" x14ac:dyDescent="0.4"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7"/>
      <c r="AI544" s="15"/>
      <c r="AL544" s="114"/>
    </row>
    <row r="545" spans="4:42" x14ac:dyDescent="0.4"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7"/>
      <c r="AI545" s="15"/>
      <c r="AL545" s="114"/>
    </row>
    <row r="546" spans="4:42" x14ac:dyDescent="0.4">
      <c r="S546" s="122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7"/>
      <c r="AI546" s="15"/>
      <c r="AL546" s="114"/>
    </row>
    <row r="547" spans="4:42" x14ac:dyDescent="0.4">
      <c r="N547" s="115"/>
      <c r="O547" s="115"/>
      <c r="P547" s="115"/>
      <c r="Q547" s="122"/>
      <c r="R547" s="122"/>
      <c r="S547" s="122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26"/>
      <c r="AI547" s="15"/>
      <c r="AL547" s="114"/>
    </row>
    <row r="548" spans="4:42" x14ac:dyDescent="0.4">
      <c r="N548" s="115"/>
      <c r="O548" s="115"/>
      <c r="P548" s="115"/>
      <c r="Q548" s="122"/>
      <c r="R548" s="122"/>
      <c r="S548" s="122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7"/>
      <c r="AI548" s="15"/>
      <c r="AL548" s="114"/>
    </row>
    <row r="549" spans="4:42" x14ac:dyDescent="0.4">
      <c r="M549" s="115"/>
      <c r="N549" s="115"/>
      <c r="O549" s="115"/>
      <c r="P549" s="115"/>
      <c r="Q549" s="122"/>
      <c r="R549" s="122"/>
      <c r="S549" s="122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26"/>
      <c r="AI549" s="15"/>
      <c r="AL549" s="114"/>
    </row>
    <row r="550" spans="4:42" x14ac:dyDescent="0.4">
      <c r="M550" s="115"/>
      <c r="N550" s="115"/>
      <c r="O550" s="115"/>
      <c r="P550" s="115"/>
      <c r="Q550" s="122"/>
      <c r="R550" s="122"/>
      <c r="S550" s="122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7"/>
      <c r="AI550" s="15"/>
      <c r="AL550" s="114"/>
    </row>
    <row r="551" spans="4:42" x14ac:dyDescent="0.4">
      <c r="M551" s="115"/>
      <c r="N551" s="115"/>
      <c r="O551" s="115"/>
      <c r="P551" s="115"/>
      <c r="Q551" s="122"/>
      <c r="R551" s="122"/>
      <c r="S551" s="122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7"/>
      <c r="AI551" s="15"/>
      <c r="AL551" s="114"/>
    </row>
    <row r="552" spans="4:42" x14ac:dyDescent="0.4">
      <c r="M552" s="115"/>
      <c r="N552" s="115"/>
      <c r="O552" s="115"/>
      <c r="P552" s="115"/>
      <c r="Q552" s="122"/>
      <c r="R552" s="122"/>
      <c r="S552" s="122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7"/>
      <c r="AI552" s="15"/>
      <c r="AL552" s="114"/>
    </row>
    <row r="553" spans="4:42" x14ac:dyDescent="0.4">
      <c r="M553" s="115"/>
      <c r="N553" s="115"/>
      <c r="O553" s="115"/>
      <c r="P553" s="115"/>
      <c r="Q553" s="122"/>
      <c r="R553" s="122"/>
      <c r="S553" s="122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26"/>
      <c r="AI553" s="15"/>
      <c r="AL553" s="114"/>
    </row>
    <row r="554" spans="4:42" x14ac:dyDescent="0.4">
      <c r="M554" s="115"/>
      <c r="N554" s="115"/>
      <c r="O554" s="115"/>
      <c r="P554" s="115"/>
      <c r="Q554" s="122"/>
      <c r="R554" s="122"/>
      <c r="S554" s="122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7"/>
      <c r="AI554" s="15"/>
      <c r="AL554" s="114"/>
    </row>
    <row r="555" spans="4:42" ht="19.5" x14ac:dyDescent="0.4">
      <c r="AH555" s="26"/>
      <c r="AI555" s="15"/>
      <c r="AM555" s="116"/>
      <c r="AN555" s="116"/>
      <c r="AO555" s="116"/>
      <c r="AP555" s="116"/>
    </row>
    <row r="556" spans="4:42" ht="19.5" x14ac:dyDescent="0.4">
      <c r="R556" s="122"/>
      <c r="S556" s="122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7"/>
      <c r="AI556" s="15"/>
      <c r="AM556" s="117"/>
      <c r="AN556" s="116"/>
      <c r="AO556" s="116"/>
      <c r="AP556" s="116"/>
    </row>
    <row r="557" spans="4:42" ht="19.5" x14ac:dyDescent="0.4">
      <c r="J557" s="115"/>
      <c r="K557" s="115"/>
      <c r="L557" s="115"/>
      <c r="M557" s="115"/>
      <c r="N557" s="115"/>
      <c r="O557" s="115"/>
      <c r="P557" s="115"/>
      <c r="Q557" s="122"/>
      <c r="R557" s="122"/>
      <c r="S557" s="122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26"/>
      <c r="AI557" s="15"/>
      <c r="AM557" s="117"/>
      <c r="AN557" s="116"/>
      <c r="AO557" s="116"/>
      <c r="AP557" s="116"/>
    </row>
    <row r="558" spans="4:42" ht="19.5" x14ac:dyDescent="0.4"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22"/>
      <c r="R558" s="122"/>
      <c r="S558" s="122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26"/>
      <c r="AI558" s="13"/>
      <c r="AM558" s="117"/>
      <c r="AN558" s="116"/>
      <c r="AO558" s="116"/>
      <c r="AP558" s="116"/>
    </row>
    <row r="559" spans="4:42" ht="19.5" x14ac:dyDescent="0.4"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22"/>
      <c r="R559" s="122"/>
      <c r="S559" s="122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26"/>
      <c r="AI559" s="15"/>
      <c r="AM559" s="117"/>
      <c r="AN559" s="116"/>
      <c r="AO559" s="116"/>
      <c r="AP559" s="116"/>
    </row>
    <row r="560" spans="4:42" ht="19.5" x14ac:dyDescent="0.4"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22"/>
      <c r="R560" s="122"/>
      <c r="S560" s="122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7"/>
      <c r="AI560" s="15"/>
      <c r="AM560" s="117"/>
      <c r="AN560" s="116"/>
      <c r="AO560" s="116"/>
      <c r="AP560" s="116"/>
    </row>
    <row r="561" spans="1:42" ht="19.5" x14ac:dyDescent="0.4"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22"/>
      <c r="R561" s="122"/>
      <c r="S561" s="122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26"/>
      <c r="AI561" s="15"/>
      <c r="AM561" s="117"/>
      <c r="AN561" s="116"/>
      <c r="AO561" s="116"/>
      <c r="AP561" s="116"/>
    </row>
    <row r="562" spans="1:42" ht="19.5" x14ac:dyDescent="0.4"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22"/>
      <c r="R562" s="122"/>
      <c r="S562" s="122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26"/>
      <c r="AI562" s="15"/>
      <c r="AM562" s="117"/>
      <c r="AN562" s="116"/>
      <c r="AO562" s="116"/>
      <c r="AP562" s="116"/>
    </row>
    <row r="563" spans="1:42" ht="19.5" x14ac:dyDescent="0.4"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22"/>
      <c r="R563" s="122"/>
      <c r="S563" s="122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7"/>
      <c r="AI563" s="15"/>
      <c r="AM563" s="117"/>
      <c r="AN563" s="116"/>
      <c r="AO563" s="116"/>
      <c r="AP563" s="116"/>
    </row>
    <row r="564" spans="1:42" ht="19.5" x14ac:dyDescent="0.4"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22"/>
      <c r="R564" s="122"/>
      <c r="S564" s="122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26"/>
      <c r="AI564" s="15"/>
      <c r="AM564" s="117"/>
      <c r="AN564" s="116"/>
      <c r="AO564" s="116"/>
      <c r="AP564" s="116"/>
    </row>
    <row r="565" spans="1:42" ht="19.5" x14ac:dyDescent="0.4">
      <c r="AH565" s="26"/>
      <c r="AI565" s="15"/>
      <c r="AM565" s="117"/>
      <c r="AN565" s="116"/>
      <c r="AO565" s="116"/>
      <c r="AP565" s="116"/>
    </row>
    <row r="566" spans="1:42" ht="19.5" x14ac:dyDescent="0.4">
      <c r="R566" s="122"/>
      <c r="S566" s="122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7"/>
      <c r="AI566" s="15"/>
      <c r="AM566" s="117"/>
      <c r="AN566" s="116"/>
      <c r="AO566" s="116"/>
      <c r="AP566" s="116"/>
    </row>
    <row r="567" spans="1:42" ht="19.5" x14ac:dyDescent="0.4">
      <c r="O567" s="115"/>
      <c r="P567" s="115"/>
      <c r="Q567" s="122"/>
      <c r="R567" s="122"/>
      <c r="S567" s="122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26"/>
      <c r="AI567" s="15"/>
      <c r="AM567" s="117"/>
      <c r="AN567" s="116"/>
      <c r="AO567" s="116"/>
      <c r="AP567" s="116"/>
    </row>
    <row r="568" spans="1:42" ht="19.5" x14ac:dyDescent="0.4">
      <c r="O568" s="115"/>
      <c r="P568" s="115"/>
      <c r="Q568" s="122"/>
      <c r="R568" s="122"/>
      <c r="S568" s="122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7"/>
      <c r="AI568" s="15"/>
      <c r="AM568" s="117"/>
      <c r="AN568" s="116"/>
      <c r="AO568" s="116"/>
      <c r="AP568" s="116"/>
    </row>
    <row r="569" spans="1:42" ht="19.5" x14ac:dyDescent="0.4">
      <c r="N569" s="115"/>
      <c r="O569" s="115"/>
      <c r="P569" s="115"/>
      <c r="Q569" s="122"/>
      <c r="R569" s="122"/>
      <c r="S569" s="122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26"/>
      <c r="AI569" s="15"/>
      <c r="AM569" s="117"/>
      <c r="AN569" s="116"/>
      <c r="AO569" s="116"/>
      <c r="AP569" s="116"/>
    </row>
    <row r="570" spans="1:42" ht="19.5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22"/>
      <c r="R570" s="122"/>
      <c r="S570" s="122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26"/>
      <c r="AI570" s="15"/>
      <c r="AM570" s="117"/>
      <c r="AN570" s="116"/>
      <c r="AO570" s="116"/>
      <c r="AP570" s="116"/>
    </row>
    <row r="571" spans="1:42" ht="19.5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22"/>
      <c r="R571" s="122"/>
      <c r="S571" s="122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26"/>
      <c r="AI571" s="15"/>
      <c r="AM571" s="117"/>
      <c r="AN571" s="116"/>
      <c r="AO571" s="116"/>
      <c r="AP571" s="116"/>
    </row>
    <row r="572" spans="1:42" ht="19.5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22"/>
      <c r="R572" s="122"/>
      <c r="S572" s="122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26"/>
      <c r="AI572" s="15"/>
      <c r="AM572" s="117"/>
      <c r="AN572" s="116"/>
      <c r="AO572" s="116"/>
      <c r="AP572" s="116"/>
    </row>
    <row r="573" spans="1:42" ht="19.5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22"/>
      <c r="R573" s="122"/>
      <c r="S573" s="122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26"/>
      <c r="AI573" s="105"/>
      <c r="AM573" s="117"/>
      <c r="AN573" s="116"/>
      <c r="AO573" s="116"/>
      <c r="AP573" s="116"/>
    </row>
    <row r="574" spans="1:42" ht="19.5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22"/>
      <c r="R574" s="122"/>
      <c r="S574" s="122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26"/>
      <c r="AI574" s="105"/>
      <c r="AM574" s="117"/>
      <c r="AN574" s="116"/>
      <c r="AO574" s="116"/>
      <c r="AP574" s="116"/>
    </row>
    <row r="575" spans="1:42" ht="19.5" x14ac:dyDescent="0.4">
      <c r="AH575" s="26"/>
      <c r="AI575" s="13"/>
      <c r="AM575" s="117"/>
      <c r="AN575" s="116"/>
      <c r="AO575" s="116"/>
      <c r="AP575" s="116"/>
    </row>
    <row r="576" spans="1:42" ht="19.5" x14ac:dyDescent="0.4">
      <c r="O576" s="115"/>
      <c r="P576" s="115"/>
      <c r="Q576" s="122"/>
      <c r="R576" s="122"/>
      <c r="S576" s="122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26"/>
      <c r="AI576" s="13"/>
      <c r="AM576" s="117"/>
      <c r="AN576" s="116"/>
      <c r="AO576" s="116"/>
      <c r="AP576" s="116"/>
    </row>
    <row r="577" spans="3:42" ht="19.5" x14ac:dyDescent="0.4">
      <c r="J577" s="115"/>
      <c r="K577" s="115"/>
      <c r="L577" s="115"/>
      <c r="M577" s="115"/>
      <c r="N577" s="115"/>
      <c r="O577" s="115"/>
      <c r="P577" s="115"/>
      <c r="Q577" s="122"/>
      <c r="R577" s="122"/>
      <c r="S577" s="122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26"/>
      <c r="AI577" s="13"/>
      <c r="AM577" s="117"/>
      <c r="AN577" s="116"/>
      <c r="AO577" s="116"/>
      <c r="AP577" s="116"/>
    </row>
    <row r="578" spans="3:42" ht="19.5" x14ac:dyDescent="0.4">
      <c r="AH578" s="26"/>
      <c r="AI578" s="13"/>
      <c r="AM578" s="117"/>
      <c r="AN578" s="116"/>
      <c r="AO578" s="116"/>
      <c r="AP578" s="116"/>
    </row>
    <row r="579" spans="3:42" ht="19.5" x14ac:dyDescent="0.4"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22"/>
      <c r="R579" s="122"/>
      <c r="S579" s="122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26"/>
      <c r="AI579" s="13"/>
      <c r="AM579" s="117"/>
      <c r="AN579" s="116"/>
      <c r="AO579" s="116"/>
      <c r="AP579" s="116"/>
    </row>
    <row r="580" spans="3:42" ht="19.5" x14ac:dyDescent="0.4"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22"/>
      <c r="R580" s="122"/>
      <c r="S580" s="122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26"/>
      <c r="AI580" s="13"/>
      <c r="AM580" s="117"/>
      <c r="AN580" s="116"/>
      <c r="AO580" s="116"/>
      <c r="AP580" s="116"/>
    </row>
    <row r="581" spans="3:42" ht="19.5" x14ac:dyDescent="0.4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22"/>
      <c r="R581" s="122"/>
      <c r="S581" s="122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26"/>
      <c r="AI581" s="13"/>
      <c r="AM581" s="117"/>
      <c r="AN581" s="116"/>
      <c r="AO581" s="116"/>
      <c r="AP581" s="116"/>
    </row>
    <row r="582" spans="3:42" ht="19.5" x14ac:dyDescent="0.4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22"/>
      <c r="R582" s="122"/>
      <c r="S582" s="122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26"/>
      <c r="AI582" s="13"/>
      <c r="AM582" s="117"/>
      <c r="AN582" s="116"/>
      <c r="AO582" s="116"/>
      <c r="AP582" s="116"/>
    </row>
    <row r="583" spans="3:42" ht="19.5" x14ac:dyDescent="0.4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22"/>
      <c r="R583" s="122"/>
      <c r="S583" s="122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26"/>
      <c r="AI583" s="13"/>
      <c r="AM583" s="117"/>
      <c r="AN583" s="116"/>
      <c r="AO583" s="116"/>
      <c r="AP583" s="116"/>
    </row>
    <row r="584" spans="3:42" ht="19.5" x14ac:dyDescent="0.4"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22"/>
      <c r="R584" s="122"/>
      <c r="S584" s="122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26"/>
      <c r="AI584" s="13"/>
      <c r="AM584" s="117"/>
      <c r="AN584" s="116"/>
      <c r="AO584" s="116"/>
      <c r="AP584" s="116"/>
    </row>
    <row r="585" spans="3:42" ht="19.5" x14ac:dyDescent="0.4"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22"/>
      <c r="R585" s="122"/>
      <c r="S585" s="122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26"/>
      <c r="AI585" s="13"/>
      <c r="AM585" s="117"/>
      <c r="AN585" s="116"/>
      <c r="AO585" s="116"/>
      <c r="AP585" s="116"/>
    </row>
    <row r="586" spans="3:42" ht="19.5" x14ac:dyDescent="0.4"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22"/>
      <c r="R586" s="122"/>
      <c r="S586" s="122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26"/>
      <c r="AI586" s="13"/>
      <c r="AM586" s="117"/>
      <c r="AN586" s="116"/>
      <c r="AO586" s="116"/>
      <c r="AP586" s="116"/>
    </row>
    <row r="587" spans="3:42" ht="19.5" x14ac:dyDescent="0.4">
      <c r="AH587" s="26"/>
      <c r="AI587" s="15"/>
      <c r="AM587" s="117"/>
      <c r="AN587" s="116"/>
      <c r="AO587" s="116"/>
      <c r="AP587" s="116"/>
    </row>
    <row r="588" spans="3:42" ht="19.5" x14ac:dyDescent="0.4"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22"/>
      <c r="R588" s="122"/>
      <c r="S588" s="122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26"/>
      <c r="AI588" s="15"/>
      <c r="AM588" s="117"/>
      <c r="AN588" s="116"/>
      <c r="AO588" s="116"/>
      <c r="AP588" s="116"/>
    </row>
    <row r="589" spans="3:42" ht="19.5" x14ac:dyDescent="0.4"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22"/>
      <c r="R589" s="122"/>
      <c r="S589" s="122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7"/>
      <c r="AI589" s="15"/>
      <c r="AM589" s="117"/>
      <c r="AN589" s="116"/>
      <c r="AO589" s="116"/>
      <c r="AP589" s="116"/>
    </row>
    <row r="590" spans="3:42" ht="19.5" x14ac:dyDescent="0.4">
      <c r="AH590" s="26"/>
      <c r="AI590" s="15"/>
      <c r="AM590" s="117"/>
      <c r="AN590" s="116"/>
      <c r="AO590" s="116"/>
      <c r="AP590" s="116"/>
    </row>
    <row r="591" spans="3:42" ht="19.5" x14ac:dyDescent="0.4">
      <c r="AH591" s="26"/>
      <c r="AI591" s="13"/>
      <c r="AM591" s="117"/>
      <c r="AN591" s="116"/>
      <c r="AO591" s="116"/>
      <c r="AP591" s="116"/>
    </row>
    <row r="592" spans="3:42" ht="19.5" x14ac:dyDescent="0.4">
      <c r="N592" s="115"/>
      <c r="O592" s="115"/>
      <c r="P592" s="115"/>
      <c r="Q592" s="122"/>
      <c r="R592" s="122"/>
      <c r="S592" s="122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26"/>
      <c r="AI592" s="13"/>
      <c r="AM592" s="117"/>
      <c r="AN592" s="116"/>
      <c r="AO592" s="116"/>
      <c r="AP592" s="116"/>
    </row>
    <row r="593" spans="1:42" ht="19.5" x14ac:dyDescent="0.4"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22"/>
      <c r="R593" s="122"/>
      <c r="S593" s="122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26"/>
      <c r="AI593" s="13"/>
      <c r="AM593" s="117"/>
      <c r="AN593" s="116"/>
      <c r="AO593" s="116"/>
      <c r="AP593" s="116"/>
    </row>
    <row r="594" spans="1:42" ht="19.5" x14ac:dyDescent="0.4"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22"/>
      <c r="R594" s="122"/>
      <c r="S594" s="122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7"/>
      <c r="AI594" s="13"/>
      <c r="AM594" s="117"/>
      <c r="AN594" s="116"/>
      <c r="AO594" s="116"/>
      <c r="AP594" s="116"/>
    </row>
    <row r="595" spans="1:42" ht="19.5" x14ac:dyDescent="0.4"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22"/>
      <c r="R595" s="122"/>
      <c r="S595" s="122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26"/>
      <c r="AI595" s="25"/>
      <c r="AM595" s="117"/>
      <c r="AN595" s="116"/>
      <c r="AO595" s="116"/>
      <c r="AP595" s="116"/>
    </row>
    <row r="596" spans="1:42" ht="19.5" x14ac:dyDescent="0.4"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22"/>
      <c r="R596" s="122"/>
      <c r="S596" s="122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7"/>
      <c r="AI596" s="13"/>
      <c r="AM596" s="117"/>
      <c r="AN596" s="116"/>
      <c r="AO596" s="116"/>
      <c r="AP596" s="116"/>
    </row>
    <row r="597" spans="1:42" ht="19.5" x14ac:dyDescent="0.4"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22"/>
      <c r="R597" s="122"/>
      <c r="S597" s="122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26"/>
      <c r="AI597" s="13"/>
      <c r="AM597" s="117"/>
      <c r="AN597" s="116"/>
      <c r="AO597" s="116"/>
      <c r="AP597" s="116"/>
    </row>
    <row r="598" spans="1:42" ht="19.5" x14ac:dyDescent="0.4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22"/>
      <c r="R598" s="122"/>
      <c r="S598" s="122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26"/>
      <c r="AI598" s="13"/>
      <c r="AM598" s="117"/>
      <c r="AN598" s="116"/>
      <c r="AO598" s="116"/>
      <c r="AP598" s="116"/>
    </row>
    <row r="599" spans="1:42" ht="19.5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22"/>
      <c r="R599" s="122"/>
      <c r="S599" s="122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26"/>
      <c r="AI599" s="13"/>
      <c r="AM599" s="117"/>
      <c r="AN599" s="116"/>
      <c r="AO599" s="116"/>
      <c r="AP599" s="116"/>
    </row>
    <row r="600" spans="1:42" ht="19.5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22"/>
      <c r="R600" s="122"/>
      <c r="S600" s="122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26"/>
      <c r="AI600" s="13"/>
      <c r="AM600" s="117"/>
      <c r="AN600" s="116"/>
      <c r="AO600" s="116"/>
      <c r="AP600" s="116"/>
    </row>
    <row r="601" spans="1:42" ht="19.5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22"/>
      <c r="R601" s="122"/>
      <c r="S601" s="122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26"/>
      <c r="AI601" s="13"/>
      <c r="AM601" s="117"/>
      <c r="AN601" s="116"/>
      <c r="AO601" s="116"/>
      <c r="AP601" s="116"/>
    </row>
    <row r="602" spans="1:42" ht="19.5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22"/>
      <c r="R602" s="122"/>
      <c r="S602" s="122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26"/>
      <c r="AI602" s="13"/>
      <c r="AM602" s="117"/>
      <c r="AN602" s="116"/>
      <c r="AO602" s="116"/>
      <c r="AP602" s="116"/>
    </row>
    <row r="603" spans="1:42" ht="19.5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22"/>
      <c r="R603" s="122"/>
      <c r="S603" s="122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26"/>
      <c r="AI603" s="13"/>
      <c r="AM603" s="117"/>
      <c r="AN603" s="116"/>
      <c r="AO603" s="116"/>
      <c r="AP603" s="116"/>
    </row>
    <row r="604" spans="1:42" ht="19.5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22"/>
      <c r="R604" s="122"/>
      <c r="S604" s="122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26"/>
      <c r="AI604" s="13"/>
      <c r="AM604" s="117"/>
      <c r="AN604" s="116"/>
      <c r="AO604" s="116"/>
      <c r="AP604" s="116"/>
    </row>
    <row r="605" spans="1:42" ht="19.5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22"/>
      <c r="R605" s="122"/>
      <c r="S605" s="122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26"/>
      <c r="AI605" s="15"/>
      <c r="AM605" s="117"/>
      <c r="AN605" s="116"/>
      <c r="AO605" s="116"/>
      <c r="AP605" s="116"/>
    </row>
    <row r="606" spans="1:42" ht="19.5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22"/>
      <c r="R606" s="122"/>
      <c r="S606" s="122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26"/>
      <c r="AI606" s="15"/>
      <c r="AM606" s="117"/>
      <c r="AN606" s="116"/>
      <c r="AO606" s="116"/>
      <c r="AP606" s="116"/>
    </row>
    <row r="607" spans="1:42" ht="19.5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22"/>
      <c r="R607" s="122"/>
      <c r="S607" s="122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26"/>
      <c r="AI607" s="15"/>
      <c r="AM607" s="117"/>
      <c r="AN607" s="116"/>
      <c r="AO607" s="116"/>
      <c r="AP607" s="116"/>
    </row>
    <row r="608" spans="1:42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22"/>
      <c r="R608" s="122"/>
      <c r="S608" s="122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26"/>
      <c r="AI608" s="15"/>
      <c r="AM608" s="117"/>
      <c r="AN608" s="116"/>
      <c r="AO608" s="116"/>
      <c r="AP608" s="116"/>
    </row>
    <row r="609" spans="1:42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22"/>
      <c r="R609" s="122"/>
      <c r="S609" s="122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26"/>
      <c r="AI609" s="25"/>
      <c r="AM609" s="117"/>
      <c r="AN609" s="116"/>
      <c r="AO609" s="116"/>
      <c r="AP609" s="116"/>
    </row>
    <row r="610" spans="1:42" ht="19.5" x14ac:dyDescent="0.4">
      <c r="AH610" s="26"/>
      <c r="AI610" s="15"/>
      <c r="AM610" s="117"/>
      <c r="AN610" s="116"/>
      <c r="AO610" s="116"/>
      <c r="AP610" s="116"/>
    </row>
    <row r="611" spans="1:42" ht="19.5" x14ac:dyDescent="0.4">
      <c r="P611" s="115"/>
      <c r="Q611" s="122"/>
      <c r="R611" s="122"/>
      <c r="S611" s="122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26"/>
      <c r="AI611" s="15"/>
      <c r="AM611" s="117"/>
      <c r="AN611" s="116"/>
      <c r="AO611" s="116"/>
      <c r="AP611" s="116"/>
    </row>
    <row r="612" spans="1:42" ht="19.5" x14ac:dyDescent="0.4">
      <c r="N612" s="115"/>
      <c r="O612" s="115"/>
      <c r="P612" s="115"/>
      <c r="Q612" s="122"/>
      <c r="R612" s="122"/>
      <c r="S612" s="122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26"/>
      <c r="AI612" s="15"/>
      <c r="AM612" s="117"/>
      <c r="AN612" s="116"/>
      <c r="AO612" s="116"/>
      <c r="AP612" s="116"/>
    </row>
    <row r="613" spans="1:42" ht="19.5" x14ac:dyDescent="0.4">
      <c r="N613" s="115"/>
      <c r="O613" s="115"/>
      <c r="P613" s="115"/>
      <c r="Q613" s="122"/>
      <c r="R613" s="122"/>
      <c r="S613" s="122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7"/>
      <c r="AI613" s="15"/>
      <c r="AM613" s="117"/>
      <c r="AN613" s="116"/>
      <c r="AO613" s="116"/>
      <c r="AP613" s="116"/>
    </row>
    <row r="614" spans="1:42" ht="19.5" x14ac:dyDescent="0.4">
      <c r="K614" s="115"/>
      <c r="L614" s="115"/>
      <c r="M614" s="115"/>
      <c r="N614" s="115"/>
      <c r="O614" s="115"/>
      <c r="P614" s="115"/>
      <c r="Q614" s="122"/>
      <c r="R614" s="122"/>
      <c r="S614" s="122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26"/>
      <c r="AI614" s="15"/>
      <c r="AM614" s="117"/>
      <c r="AN614" s="116"/>
      <c r="AO614" s="116"/>
      <c r="AP614" s="116"/>
    </row>
    <row r="615" spans="1:42" ht="19.5" x14ac:dyDescent="0.4">
      <c r="K615" s="115"/>
      <c r="L615" s="115"/>
      <c r="M615" s="115"/>
      <c r="N615" s="115"/>
      <c r="O615" s="115"/>
      <c r="P615" s="115"/>
      <c r="Q615" s="122"/>
      <c r="R615" s="122"/>
      <c r="S615" s="122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7"/>
      <c r="AI615" s="15"/>
      <c r="AM615" s="117"/>
      <c r="AN615" s="116"/>
      <c r="AO615" s="116"/>
      <c r="AP615" s="116"/>
    </row>
    <row r="616" spans="1:42" ht="19.5" x14ac:dyDescent="0.4">
      <c r="K616" s="115"/>
      <c r="L616" s="115"/>
      <c r="M616" s="115"/>
      <c r="N616" s="115"/>
      <c r="O616" s="115"/>
      <c r="P616" s="115"/>
      <c r="Q616" s="122"/>
      <c r="R616" s="122"/>
      <c r="S616" s="122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26"/>
      <c r="AI616" s="15"/>
      <c r="AM616" s="117"/>
      <c r="AN616" s="116"/>
      <c r="AO616" s="116"/>
      <c r="AP616" s="116"/>
    </row>
    <row r="617" spans="1:42" ht="19.5" x14ac:dyDescent="0.4">
      <c r="K617" s="115"/>
      <c r="L617" s="115"/>
      <c r="M617" s="115"/>
      <c r="N617" s="115"/>
      <c r="O617" s="115"/>
      <c r="P617" s="115"/>
      <c r="Q617" s="122"/>
      <c r="R617" s="122"/>
      <c r="S617" s="122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7"/>
      <c r="AI617" s="13"/>
      <c r="AM617" s="117"/>
      <c r="AN617" s="116"/>
      <c r="AO617" s="116"/>
      <c r="AP617" s="116"/>
    </row>
    <row r="618" spans="1:42" ht="19.5" x14ac:dyDescent="0.4">
      <c r="K618" s="115"/>
      <c r="L618" s="115"/>
      <c r="M618" s="115"/>
      <c r="N618" s="115"/>
      <c r="O618" s="115"/>
      <c r="P618" s="115"/>
      <c r="Q618" s="122"/>
      <c r="R618" s="122"/>
      <c r="S618" s="122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7"/>
      <c r="AI618" s="13"/>
      <c r="AM618" s="117"/>
      <c r="AN618" s="116"/>
      <c r="AO618" s="116"/>
      <c r="AP618" s="116"/>
    </row>
    <row r="619" spans="1:42" ht="19.5" x14ac:dyDescent="0.4">
      <c r="AH619" s="26"/>
      <c r="AI619" s="13"/>
      <c r="AM619" s="117"/>
      <c r="AN619" s="116"/>
      <c r="AO619" s="116"/>
      <c r="AP619" s="116"/>
    </row>
    <row r="620" spans="1:42" ht="19.5" x14ac:dyDescent="0.4">
      <c r="P620" s="115"/>
      <c r="Q620" s="122"/>
      <c r="R620" s="122"/>
      <c r="S620" s="122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7"/>
      <c r="AI620" s="13"/>
      <c r="AM620" s="117"/>
      <c r="AN620" s="116"/>
      <c r="AO620" s="116"/>
      <c r="AP620" s="116"/>
    </row>
    <row r="621" spans="1:42" ht="19.5" x14ac:dyDescent="0.4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22"/>
      <c r="R621" s="122"/>
      <c r="S621" s="122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26"/>
      <c r="AI621" s="13"/>
      <c r="AM621" s="117"/>
      <c r="AN621" s="116"/>
      <c r="AO621" s="116"/>
      <c r="AP621" s="116"/>
    </row>
    <row r="622" spans="1:42" ht="19.5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22"/>
      <c r="R622" s="122"/>
      <c r="S622" s="122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26"/>
      <c r="AI622" s="13"/>
      <c r="AM622" s="117"/>
      <c r="AN622" s="116"/>
      <c r="AO622" s="116"/>
      <c r="AP622" s="116"/>
    </row>
    <row r="623" spans="1:42" ht="19.5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22"/>
      <c r="R623" s="122"/>
      <c r="S623" s="122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26"/>
      <c r="AI623" s="13"/>
      <c r="AM623" s="117"/>
      <c r="AN623" s="116"/>
      <c r="AO623" s="116"/>
      <c r="AP623" s="116"/>
    </row>
    <row r="624" spans="1:42" ht="19.5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22"/>
      <c r="R624" s="122"/>
      <c r="S624" s="122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26"/>
      <c r="AI624" s="13"/>
      <c r="AM624" s="117"/>
      <c r="AN624" s="116"/>
      <c r="AO624" s="116"/>
      <c r="AP624" s="116"/>
    </row>
    <row r="625" spans="1:42" ht="19.5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22"/>
      <c r="R625" s="122"/>
      <c r="S625" s="122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7"/>
      <c r="AI625" s="13"/>
      <c r="AM625" s="117"/>
      <c r="AN625" s="116"/>
      <c r="AO625" s="116"/>
      <c r="AP625" s="116"/>
    </row>
    <row r="626" spans="1:42" ht="19.5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22"/>
      <c r="R626" s="122"/>
      <c r="S626" s="122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26"/>
      <c r="AI626" s="13"/>
      <c r="AM626" s="117"/>
      <c r="AN626" s="116"/>
      <c r="AO626" s="116"/>
      <c r="AP626" s="116"/>
    </row>
    <row r="627" spans="1:42" ht="19.5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22"/>
      <c r="R627" s="122"/>
      <c r="S627" s="122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26"/>
      <c r="AI627" s="15"/>
      <c r="AM627" s="117"/>
      <c r="AN627" s="116"/>
      <c r="AO627" s="116"/>
      <c r="AP627" s="116"/>
    </row>
    <row r="628" spans="1:42" ht="19.5" x14ac:dyDescent="0.4">
      <c r="AH628" s="26"/>
      <c r="AI628" s="15"/>
      <c r="AM628" s="117"/>
      <c r="AN628" s="116"/>
      <c r="AO628" s="116"/>
      <c r="AP628" s="116"/>
    </row>
    <row r="629" spans="1:42" ht="19.5" x14ac:dyDescent="0.4">
      <c r="O629" s="115"/>
      <c r="P629" s="115"/>
      <c r="Q629" s="122"/>
      <c r="R629" s="122"/>
      <c r="S629" s="122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26"/>
      <c r="AI629" s="13"/>
      <c r="AM629" s="117"/>
      <c r="AN629" s="116"/>
      <c r="AO629" s="116"/>
      <c r="AP629" s="116"/>
    </row>
    <row r="630" spans="1:42" ht="19.5" x14ac:dyDescent="0.4">
      <c r="M630" s="115"/>
      <c r="N630" s="115"/>
      <c r="O630" s="115"/>
      <c r="P630" s="115"/>
      <c r="Q630" s="122"/>
      <c r="R630" s="122"/>
      <c r="S630" s="122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26"/>
      <c r="AI630" s="15"/>
      <c r="AM630" s="117"/>
      <c r="AN630" s="116"/>
      <c r="AO630" s="116"/>
      <c r="AP630" s="116"/>
    </row>
    <row r="631" spans="1:42" ht="19.5" x14ac:dyDescent="0.4">
      <c r="M631" s="115"/>
      <c r="N631" s="115"/>
      <c r="O631" s="115"/>
      <c r="P631" s="115"/>
      <c r="Q631" s="122"/>
      <c r="R631" s="122"/>
      <c r="S631" s="122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26"/>
      <c r="AI631" s="15"/>
      <c r="AM631" s="117"/>
      <c r="AN631" s="116"/>
      <c r="AO631" s="116"/>
      <c r="AP631" s="116"/>
    </row>
    <row r="632" spans="1:42" ht="19.5" x14ac:dyDescent="0.4">
      <c r="M632" s="115"/>
      <c r="N632" s="115"/>
      <c r="O632" s="115"/>
      <c r="P632" s="115"/>
      <c r="Q632" s="122"/>
      <c r="R632" s="122"/>
      <c r="S632" s="122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7"/>
      <c r="AI632" s="15"/>
      <c r="AM632" s="117"/>
      <c r="AN632" s="116"/>
      <c r="AO632" s="116"/>
      <c r="AP632" s="116"/>
    </row>
    <row r="633" spans="1:42" ht="19.5" x14ac:dyDescent="0.4">
      <c r="L633" s="115"/>
      <c r="M633" s="115"/>
      <c r="N633" s="115"/>
      <c r="O633" s="115"/>
      <c r="P633" s="115"/>
      <c r="Q633" s="122"/>
      <c r="R633" s="122"/>
      <c r="S633" s="122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26"/>
      <c r="AI633" s="15"/>
      <c r="AM633" s="117"/>
      <c r="AN633" s="116"/>
      <c r="AO633" s="116"/>
      <c r="AP633" s="116"/>
    </row>
    <row r="634" spans="1:42" ht="19.5" x14ac:dyDescent="0.4">
      <c r="L634" s="115"/>
      <c r="M634" s="115"/>
      <c r="N634" s="115"/>
      <c r="O634" s="115"/>
      <c r="P634" s="115"/>
      <c r="Q634" s="122"/>
      <c r="R634" s="122"/>
      <c r="S634" s="122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26"/>
      <c r="AI634" s="15"/>
      <c r="AM634" s="117"/>
      <c r="AN634" s="116"/>
      <c r="AO634" s="116"/>
      <c r="AP634" s="116"/>
    </row>
    <row r="635" spans="1:42" ht="19.5" x14ac:dyDescent="0.4">
      <c r="L635" s="115"/>
      <c r="M635" s="115"/>
      <c r="N635" s="115"/>
      <c r="O635" s="115"/>
      <c r="P635" s="115"/>
      <c r="Q635" s="122"/>
      <c r="R635" s="122"/>
      <c r="S635" s="122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26"/>
      <c r="AI635" s="105"/>
      <c r="AM635" s="117"/>
      <c r="AN635" s="116"/>
      <c r="AO635" s="116"/>
      <c r="AP635" s="116"/>
    </row>
    <row r="636" spans="1:42" ht="19.5" x14ac:dyDescent="0.4">
      <c r="L636" s="115"/>
      <c r="M636" s="115"/>
      <c r="N636" s="115"/>
      <c r="O636" s="115"/>
      <c r="P636" s="115"/>
      <c r="Q636" s="122"/>
      <c r="R636" s="122"/>
      <c r="S636" s="122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7"/>
      <c r="AI636" s="15"/>
      <c r="AM636" s="117"/>
      <c r="AN636" s="116"/>
      <c r="AO636" s="116"/>
      <c r="AP636" s="116"/>
    </row>
    <row r="637" spans="1:42" ht="19.5" x14ac:dyDescent="0.4">
      <c r="L637" s="115"/>
      <c r="M637" s="115"/>
      <c r="N637" s="115"/>
      <c r="O637" s="115"/>
      <c r="P637" s="115"/>
      <c r="Q637" s="122"/>
      <c r="R637" s="122"/>
      <c r="S637" s="122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26"/>
      <c r="AI637" s="15"/>
      <c r="AM637" s="117"/>
      <c r="AN637" s="116"/>
      <c r="AO637" s="116"/>
      <c r="AP637" s="116"/>
    </row>
    <row r="638" spans="1:42" ht="19.5" x14ac:dyDescent="0.4">
      <c r="L638" s="115"/>
      <c r="M638" s="115"/>
      <c r="N638" s="115"/>
      <c r="O638" s="115"/>
      <c r="P638" s="115"/>
      <c r="Q638" s="122"/>
      <c r="R638" s="122"/>
      <c r="S638" s="122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7"/>
      <c r="AI638" s="15"/>
      <c r="AM638" s="117"/>
      <c r="AN638" s="116"/>
      <c r="AO638" s="116"/>
      <c r="AP638" s="116"/>
    </row>
    <row r="639" spans="1:42" ht="19.5" x14ac:dyDescent="0.4"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22"/>
      <c r="R639" s="122"/>
      <c r="S639" s="122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26"/>
      <c r="AI639" s="15"/>
      <c r="AM639" s="117"/>
      <c r="AN639" s="116"/>
      <c r="AO639" s="116"/>
      <c r="AP639" s="116"/>
    </row>
    <row r="640" spans="1:42" ht="19.5" x14ac:dyDescent="0.4"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22"/>
      <c r="R640" s="122"/>
      <c r="S640" s="122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7"/>
      <c r="AI640" s="15"/>
      <c r="AM640" s="117"/>
      <c r="AN640" s="116"/>
      <c r="AO640" s="116"/>
      <c r="AP640" s="116"/>
    </row>
    <row r="641" spans="1:42" ht="19.5" x14ac:dyDescent="0.4"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22"/>
      <c r="R641" s="122"/>
      <c r="S641" s="122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26"/>
      <c r="AI641" s="15"/>
      <c r="AM641" s="117"/>
      <c r="AN641" s="116"/>
      <c r="AO641" s="116"/>
      <c r="AP641" s="116"/>
    </row>
    <row r="642" spans="1:42" ht="19.5" x14ac:dyDescent="0.4"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22"/>
      <c r="R642" s="122"/>
      <c r="S642" s="122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7"/>
      <c r="AI642" s="15"/>
      <c r="AM642" s="117"/>
      <c r="AN642" s="116"/>
      <c r="AO642" s="116"/>
      <c r="AP642" s="116"/>
    </row>
    <row r="643" spans="1:42" ht="19.5" x14ac:dyDescent="0.4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22"/>
      <c r="R643" s="122"/>
      <c r="S643" s="122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26"/>
      <c r="AI643" s="15"/>
      <c r="AM643" s="117"/>
      <c r="AN643" s="116"/>
      <c r="AO643" s="116"/>
      <c r="AP643" s="116"/>
    </row>
    <row r="644" spans="1:42" ht="19.5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22"/>
      <c r="R644" s="122"/>
      <c r="S644" s="122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26"/>
      <c r="AI644" s="15"/>
      <c r="AM644" s="117"/>
      <c r="AN644" s="116"/>
      <c r="AO644" s="116"/>
      <c r="AP644" s="116"/>
    </row>
    <row r="645" spans="1:42" ht="19.5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22"/>
      <c r="R645" s="122"/>
      <c r="S645" s="122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26"/>
      <c r="AI645" s="15"/>
      <c r="AM645" s="117"/>
      <c r="AN645" s="116"/>
      <c r="AO645" s="116"/>
      <c r="AP645" s="116"/>
    </row>
    <row r="646" spans="1:42" ht="19.5" x14ac:dyDescent="0.4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22"/>
      <c r="R646" s="122"/>
      <c r="S646" s="122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26"/>
      <c r="AI646" s="15"/>
      <c r="AM646" s="117"/>
      <c r="AN646" s="116"/>
      <c r="AO646" s="116"/>
      <c r="AP646" s="116"/>
    </row>
    <row r="647" spans="1:42" ht="19.5" x14ac:dyDescent="0.4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22"/>
      <c r="R647" s="122"/>
      <c r="S647" s="122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26"/>
      <c r="AI647" s="15"/>
      <c r="AM647" s="117"/>
      <c r="AN647" s="116"/>
      <c r="AO647" s="116"/>
      <c r="AP647" s="116"/>
    </row>
    <row r="648" spans="1:42" ht="19.5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22"/>
      <c r="R648" s="122"/>
      <c r="S648" s="122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26"/>
      <c r="AI648" s="15"/>
      <c r="AM648" s="117"/>
      <c r="AN648" s="116"/>
      <c r="AO648" s="116"/>
      <c r="AP648" s="116"/>
    </row>
    <row r="649" spans="1:42" ht="19.5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22"/>
      <c r="R649" s="122"/>
      <c r="S649" s="122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7"/>
      <c r="AI649" s="15"/>
      <c r="AM649" s="117"/>
      <c r="AN649" s="116"/>
      <c r="AO649" s="116"/>
      <c r="AP649" s="116"/>
    </row>
    <row r="650" spans="1:42" ht="19.5" x14ac:dyDescent="0.4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22"/>
      <c r="R650" s="122"/>
      <c r="S650" s="122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26"/>
      <c r="AI650" s="15"/>
      <c r="AM650" s="117"/>
      <c r="AN650" s="116"/>
      <c r="AO650" s="116"/>
      <c r="AP650" s="116"/>
    </row>
    <row r="651" spans="1:42" ht="19.5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22"/>
      <c r="R651" s="122"/>
      <c r="S651" s="122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7"/>
      <c r="AI651" s="15"/>
      <c r="AM651" s="117"/>
      <c r="AN651" s="116"/>
      <c r="AO651" s="116"/>
      <c r="AP651" s="116"/>
    </row>
    <row r="652" spans="1:42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22"/>
      <c r="R652" s="122"/>
      <c r="S652" s="122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26"/>
      <c r="AI652" s="15"/>
      <c r="AM652" s="117"/>
      <c r="AN652" s="116"/>
      <c r="AO652" s="116"/>
      <c r="AP652" s="116"/>
    </row>
    <row r="653" spans="1:42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22"/>
      <c r="R653" s="122"/>
      <c r="S653" s="122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20"/>
      <c r="AI653" s="15"/>
      <c r="AM653" s="117"/>
      <c r="AN653" s="116"/>
      <c r="AO653" s="116"/>
      <c r="AP653" s="116"/>
    </row>
    <row r="654" spans="1:42" ht="19.5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22"/>
      <c r="R654" s="122"/>
      <c r="S654" s="122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20"/>
      <c r="AI654" s="15"/>
      <c r="AM654" s="117"/>
      <c r="AN654" s="116"/>
      <c r="AO654" s="116"/>
      <c r="AP654" s="116"/>
    </row>
    <row r="655" spans="1:42" ht="19.5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22"/>
      <c r="R655" s="122"/>
      <c r="S655" s="122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20"/>
      <c r="AI655" s="15"/>
      <c r="AM655" s="117"/>
      <c r="AN655" s="116"/>
      <c r="AO655" s="116"/>
      <c r="AP655" s="116"/>
    </row>
    <row r="656" spans="1:42" ht="19.5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22"/>
      <c r="R656" s="122"/>
      <c r="S656" s="122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20"/>
      <c r="AI656" s="15"/>
      <c r="AM656" s="117"/>
      <c r="AN656" s="116"/>
      <c r="AO656" s="116"/>
      <c r="AP656" s="116"/>
    </row>
    <row r="657" spans="1:42" ht="19.5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22"/>
      <c r="R657" s="122"/>
      <c r="S657" s="122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25"/>
      <c r="AI657" s="15"/>
      <c r="AM657" s="117"/>
      <c r="AN657" s="116"/>
      <c r="AO657" s="116"/>
      <c r="AP657" s="116"/>
    </row>
    <row r="658" spans="1:42" ht="19.5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22"/>
      <c r="R658" s="122"/>
      <c r="S658" s="122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3"/>
      <c r="AI658" s="15"/>
      <c r="AM658" s="117"/>
      <c r="AN658" s="116"/>
      <c r="AO658" s="116"/>
      <c r="AP658" s="116"/>
    </row>
    <row r="659" spans="1:42" ht="19.5" x14ac:dyDescent="0.4">
      <c r="AH659" s="25"/>
      <c r="AI659" s="15"/>
      <c r="AM659" s="117"/>
      <c r="AN659" s="116"/>
      <c r="AO659" s="116"/>
      <c r="AP659" s="116"/>
    </row>
    <row r="660" spans="1:42" ht="19.5" x14ac:dyDescent="0.4">
      <c r="N660" s="115"/>
      <c r="O660" s="115"/>
      <c r="P660" s="115"/>
      <c r="Q660" s="122"/>
      <c r="R660" s="122"/>
      <c r="S660" s="122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3"/>
      <c r="AI660" s="15"/>
      <c r="AM660" s="117"/>
      <c r="AN660" s="116"/>
      <c r="AO660" s="116"/>
      <c r="AP660" s="116"/>
    </row>
    <row r="661" spans="1:42" ht="19.5" x14ac:dyDescent="0.4"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22"/>
      <c r="R661" s="122"/>
      <c r="S661" s="122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25"/>
      <c r="AI661" s="15"/>
      <c r="AM661" s="117"/>
      <c r="AN661" s="116"/>
      <c r="AO661" s="116"/>
      <c r="AP661" s="116"/>
    </row>
    <row r="662" spans="1:42" ht="19.5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22"/>
      <c r="R662" s="122"/>
      <c r="S662" s="122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25"/>
      <c r="AI662" s="15"/>
      <c r="AM662" s="117"/>
      <c r="AN662" s="116"/>
      <c r="AO662" s="116"/>
      <c r="AP662" s="116"/>
    </row>
    <row r="663" spans="1:42" ht="19.5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22"/>
      <c r="R663" s="122"/>
      <c r="S663" s="122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3"/>
      <c r="AI663" s="15"/>
      <c r="AM663" s="117"/>
      <c r="AN663" s="116"/>
      <c r="AO663" s="116"/>
      <c r="AP663" s="116"/>
    </row>
    <row r="664" spans="1:42" ht="19.5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22"/>
      <c r="R664" s="122"/>
      <c r="S664" s="122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25"/>
      <c r="AI664" s="15"/>
      <c r="AM664" s="117"/>
      <c r="AN664" s="116"/>
      <c r="AO664" s="116"/>
      <c r="AP664" s="116"/>
    </row>
    <row r="665" spans="1:42" ht="19.5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22"/>
      <c r="R665" s="122"/>
      <c r="S665" s="122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3"/>
      <c r="AI665" s="15"/>
      <c r="AM665" s="117"/>
      <c r="AN665" s="116"/>
      <c r="AO665" s="116"/>
      <c r="AP665" s="116"/>
    </row>
    <row r="666" spans="1:42" ht="19.5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22"/>
      <c r="R666" s="122"/>
      <c r="S666" s="122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25"/>
      <c r="AI666" s="15"/>
      <c r="AM666" s="117"/>
      <c r="AN666" s="116"/>
      <c r="AO666" s="116"/>
      <c r="AP666" s="116"/>
    </row>
    <row r="667" spans="1:42" ht="19.5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22"/>
      <c r="R667" s="122"/>
      <c r="S667" s="122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26"/>
      <c r="AI667" s="15"/>
      <c r="AM667" s="117"/>
      <c r="AN667" s="116"/>
      <c r="AO667" s="116"/>
      <c r="AP667" s="116"/>
    </row>
    <row r="668" spans="1:42" ht="19.5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22"/>
      <c r="R668" s="122"/>
      <c r="S668" s="122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7"/>
      <c r="AI668" s="13"/>
      <c r="AM668" s="117"/>
      <c r="AN668" s="116"/>
      <c r="AO668" s="116"/>
      <c r="AP668" s="116"/>
    </row>
    <row r="669" spans="1:42" ht="19.5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22"/>
      <c r="R669" s="122"/>
      <c r="S669" s="122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26"/>
      <c r="AI669" s="13"/>
      <c r="AM669" s="117"/>
      <c r="AN669" s="116"/>
      <c r="AO669" s="116"/>
      <c r="AP669" s="116"/>
    </row>
    <row r="670" spans="1:42" ht="19.5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22"/>
      <c r="R670" s="122"/>
      <c r="S670" s="122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7"/>
      <c r="AI670" s="13"/>
      <c r="AM670" s="117"/>
      <c r="AN670" s="116"/>
      <c r="AO670" s="116"/>
      <c r="AP670" s="116"/>
    </row>
    <row r="671" spans="1:42" ht="19.5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22"/>
      <c r="R671" s="122"/>
      <c r="S671" s="122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26"/>
      <c r="AI671" s="15"/>
      <c r="AM671" s="117"/>
      <c r="AN671" s="116"/>
      <c r="AO671" s="116"/>
      <c r="AP671" s="116"/>
    </row>
    <row r="672" spans="1:42" ht="19.5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22"/>
      <c r="R672" s="122"/>
      <c r="S672" s="122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7"/>
      <c r="AI672" s="15"/>
      <c r="AM672" s="117"/>
      <c r="AN672" s="116"/>
      <c r="AO672" s="116"/>
      <c r="AP672" s="116"/>
    </row>
    <row r="673" spans="1:42" ht="19.5" x14ac:dyDescent="0.4">
      <c r="AH673" s="26"/>
      <c r="AI673" s="105"/>
      <c r="AM673" s="117"/>
      <c r="AN673" s="116"/>
      <c r="AO673" s="116"/>
      <c r="AP673" s="116"/>
    </row>
    <row r="674" spans="1:42" ht="19.5" x14ac:dyDescent="0.4">
      <c r="N674" s="115"/>
      <c r="O674" s="115"/>
      <c r="P674" s="115"/>
      <c r="Q674" s="122"/>
      <c r="R674" s="122"/>
      <c r="S674" s="122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7"/>
      <c r="AI674" s="15"/>
      <c r="AM674" s="117"/>
      <c r="AN674" s="116"/>
      <c r="AO674" s="116"/>
      <c r="AP674" s="116"/>
    </row>
    <row r="675" spans="1:42" ht="19.5" x14ac:dyDescent="0.4">
      <c r="K675" s="115"/>
      <c r="L675" s="115"/>
      <c r="M675" s="115"/>
      <c r="N675" s="115"/>
      <c r="O675" s="115"/>
      <c r="P675" s="115"/>
      <c r="Q675" s="122"/>
      <c r="R675" s="122"/>
      <c r="S675" s="122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26"/>
      <c r="AI675" s="15"/>
      <c r="AM675" s="117"/>
      <c r="AN675" s="116"/>
      <c r="AO675" s="116"/>
      <c r="AP675" s="116"/>
    </row>
    <row r="676" spans="1:42" ht="19.5" x14ac:dyDescent="0.4">
      <c r="K676" s="115"/>
      <c r="L676" s="115"/>
      <c r="M676" s="115"/>
      <c r="N676" s="115"/>
      <c r="O676" s="115"/>
      <c r="P676" s="115"/>
      <c r="Q676" s="122"/>
      <c r="R676" s="122"/>
      <c r="S676" s="122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7"/>
      <c r="AI676" s="15"/>
      <c r="AM676" s="117"/>
      <c r="AN676" s="116"/>
      <c r="AO676" s="116"/>
      <c r="AP676" s="116"/>
    </row>
    <row r="677" spans="1:42" ht="19.5" x14ac:dyDescent="0.4"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22"/>
      <c r="R677" s="122"/>
      <c r="S677" s="122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26"/>
      <c r="AI677" s="15"/>
      <c r="AM677" s="117"/>
      <c r="AN677" s="116"/>
      <c r="AO677" s="116"/>
      <c r="AP677" s="116"/>
    </row>
    <row r="678" spans="1:42" ht="19.5" x14ac:dyDescent="0.4"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22"/>
      <c r="R678" s="122"/>
      <c r="S678" s="122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7"/>
      <c r="AI678" s="15"/>
      <c r="AM678" s="117"/>
      <c r="AN678" s="116"/>
      <c r="AO678" s="116"/>
      <c r="AP678" s="116"/>
    </row>
    <row r="679" spans="1:42" ht="19.5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22"/>
      <c r="R679" s="122"/>
      <c r="S679" s="122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26"/>
      <c r="AI679" s="15"/>
      <c r="AM679" s="117"/>
      <c r="AN679" s="116"/>
      <c r="AO679" s="116"/>
      <c r="AP679" s="116"/>
    </row>
    <row r="680" spans="1:42" ht="19.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22"/>
      <c r="R680" s="122"/>
      <c r="S680" s="122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26"/>
      <c r="AI680" s="15"/>
      <c r="AM680" s="117"/>
      <c r="AN680" s="116"/>
      <c r="AO680" s="116"/>
      <c r="AP680" s="116"/>
    </row>
    <row r="681" spans="1:42" ht="19.5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22"/>
      <c r="R681" s="122"/>
      <c r="S681" s="122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7"/>
      <c r="AI681" s="15"/>
      <c r="AM681" s="117"/>
      <c r="AN681" s="116"/>
      <c r="AO681" s="116"/>
      <c r="AP681" s="116"/>
    </row>
    <row r="682" spans="1:42" ht="19.5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22"/>
      <c r="R682" s="122"/>
      <c r="S682" s="122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26"/>
      <c r="AI682" s="15"/>
      <c r="AM682" s="117"/>
      <c r="AN682" s="116"/>
      <c r="AO682" s="116"/>
      <c r="AP682" s="116"/>
    </row>
    <row r="683" spans="1:42" ht="19.5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22"/>
      <c r="R683" s="122"/>
      <c r="S683" s="122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7"/>
      <c r="AI683" s="15"/>
      <c r="AM683" s="117"/>
      <c r="AN683" s="116"/>
      <c r="AO683" s="116"/>
      <c r="AP683" s="116"/>
    </row>
    <row r="684" spans="1:42" ht="19.5" x14ac:dyDescent="0.4">
      <c r="AH684" s="26"/>
      <c r="AI684" s="15"/>
      <c r="AM684" s="117"/>
      <c r="AN684" s="116"/>
      <c r="AO684" s="116"/>
      <c r="AP684" s="116"/>
    </row>
    <row r="685" spans="1:42" ht="19.5" x14ac:dyDescent="0.4">
      <c r="N685" s="115"/>
      <c r="O685" s="115"/>
      <c r="P685" s="115"/>
      <c r="Q685" s="122"/>
      <c r="R685" s="122"/>
      <c r="S685" s="122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7"/>
      <c r="AI685" s="15"/>
      <c r="AM685" s="117"/>
      <c r="AN685" s="116"/>
      <c r="AO685" s="116"/>
      <c r="AP685" s="116"/>
    </row>
    <row r="686" spans="1:42" ht="19.5" x14ac:dyDescent="0.4">
      <c r="AH686" s="26"/>
      <c r="AI686" s="15"/>
      <c r="AM686" s="117"/>
      <c r="AN686" s="116"/>
      <c r="AO686" s="116"/>
      <c r="AP686" s="116"/>
    </row>
    <row r="687" spans="1:42" ht="19.5" x14ac:dyDescent="0.4">
      <c r="N687" s="115"/>
      <c r="O687" s="115"/>
      <c r="P687" s="115"/>
      <c r="Q687" s="122"/>
      <c r="R687" s="122"/>
      <c r="S687" s="122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7"/>
      <c r="AI687" s="15"/>
      <c r="AM687" s="117"/>
      <c r="AN687" s="116"/>
      <c r="AO687" s="116"/>
      <c r="AP687" s="116"/>
    </row>
    <row r="688" spans="1:42" ht="19.5" x14ac:dyDescent="0.4">
      <c r="AH688" s="26"/>
      <c r="AI688" s="15"/>
      <c r="AM688" s="117"/>
      <c r="AN688" s="116"/>
      <c r="AO688" s="116"/>
      <c r="AP688" s="116"/>
    </row>
    <row r="689" spans="2:42" ht="19.5" x14ac:dyDescent="0.4">
      <c r="N689" s="115"/>
      <c r="O689" s="115"/>
      <c r="P689" s="115"/>
      <c r="Q689" s="122"/>
      <c r="R689" s="122"/>
      <c r="S689" s="122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7"/>
      <c r="AI689" s="15"/>
      <c r="AM689" s="117"/>
      <c r="AN689" s="116"/>
      <c r="AO689" s="116"/>
      <c r="AP689" s="116"/>
    </row>
    <row r="690" spans="2:42" ht="19.5" x14ac:dyDescent="0.4"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22"/>
      <c r="R690" s="122"/>
      <c r="S690" s="122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26"/>
      <c r="AI690" s="15"/>
      <c r="AM690" s="117"/>
      <c r="AN690" s="116"/>
      <c r="AO690" s="116"/>
      <c r="AP690" s="116"/>
    </row>
    <row r="691" spans="2:42" ht="19.5" x14ac:dyDescent="0.4"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22"/>
      <c r="R691" s="122"/>
      <c r="S691" s="122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7"/>
      <c r="AI691" s="15"/>
      <c r="AM691" s="117"/>
      <c r="AN691" s="116"/>
      <c r="AO691" s="116"/>
      <c r="AP691" s="116"/>
    </row>
    <row r="692" spans="2:42" ht="19.5" x14ac:dyDescent="0.4"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22"/>
      <c r="R692" s="122"/>
      <c r="S692" s="122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26"/>
      <c r="AI692" s="15"/>
      <c r="AM692" s="117"/>
      <c r="AN692" s="116"/>
      <c r="AO692" s="116"/>
      <c r="AP692" s="116"/>
    </row>
    <row r="693" spans="2:42" ht="19.5" x14ac:dyDescent="0.4">
      <c r="AH693" s="26"/>
      <c r="AI693" s="15"/>
      <c r="AM693" s="117"/>
      <c r="AN693" s="116"/>
      <c r="AO693" s="116"/>
      <c r="AP693" s="116"/>
    </row>
    <row r="694" spans="2:42" ht="19.5" x14ac:dyDescent="0.4">
      <c r="N694" s="115"/>
      <c r="O694" s="115"/>
      <c r="P694" s="115"/>
      <c r="Q694" s="122"/>
      <c r="R694" s="122"/>
      <c r="S694" s="122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7"/>
      <c r="AI694" s="15"/>
      <c r="AM694" s="117"/>
      <c r="AN694" s="116"/>
      <c r="AO694" s="116"/>
      <c r="AP694" s="116"/>
    </row>
    <row r="695" spans="2:42" ht="19.5" x14ac:dyDescent="0.4">
      <c r="L695" s="115"/>
      <c r="M695" s="115"/>
      <c r="N695" s="115"/>
      <c r="O695" s="115"/>
      <c r="P695" s="115"/>
      <c r="Q695" s="122"/>
      <c r="R695" s="122"/>
      <c r="S695" s="122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26"/>
      <c r="AI695" s="15"/>
      <c r="AM695" s="117"/>
      <c r="AN695" s="116"/>
      <c r="AO695" s="116"/>
      <c r="AP695" s="116"/>
    </row>
    <row r="696" spans="2:42" ht="19.5" x14ac:dyDescent="0.4">
      <c r="L696" s="115"/>
      <c r="M696" s="115"/>
      <c r="N696" s="115"/>
      <c r="O696" s="115"/>
      <c r="P696" s="115"/>
      <c r="Q696" s="122"/>
      <c r="R696" s="122"/>
      <c r="S696" s="122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7"/>
      <c r="AI696" s="13"/>
      <c r="AM696" s="117"/>
      <c r="AN696" s="116"/>
      <c r="AO696" s="116"/>
      <c r="AP696" s="116"/>
    </row>
    <row r="697" spans="2:42" ht="19.5" x14ac:dyDescent="0.4">
      <c r="K697" s="115"/>
      <c r="L697" s="115"/>
      <c r="M697" s="115"/>
      <c r="N697" s="115"/>
      <c r="O697" s="115"/>
      <c r="P697" s="115"/>
      <c r="Q697" s="122"/>
      <c r="R697" s="122"/>
      <c r="S697" s="122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26"/>
      <c r="AI697" s="13"/>
      <c r="AM697" s="117"/>
      <c r="AN697" s="116"/>
      <c r="AO697" s="116"/>
      <c r="AP697" s="116"/>
    </row>
    <row r="698" spans="2:42" ht="19.5" x14ac:dyDescent="0.4">
      <c r="K698" s="115"/>
      <c r="L698" s="115"/>
      <c r="M698" s="115"/>
      <c r="N698" s="115"/>
      <c r="O698" s="115"/>
      <c r="P698" s="115"/>
      <c r="Q698" s="122"/>
      <c r="R698" s="122"/>
      <c r="S698" s="122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7"/>
      <c r="AI698" s="13"/>
      <c r="AM698" s="117"/>
      <c r="AN698" s="116"/>
      <c r="AO698" s="116"/>
      <c r="AP698" s="116"/>
    </row>
    <row r="699" spans="2:42" ht="19.5" x14ac:dyDescent="0.4"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22"/>
      <c r="R699" s="122"/>
      <c r="S699" s="122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26"/>
      <c r="AI699" s="15"/>
      <c r="AM699" s="117"/>
      <c r="AN699" s="116"/>
      <c r="AO699" s="116"/>
      <c r="AP699" s="116"/>
    </row>
    <row r="700" spans="2:42" ht="19.5" x14ac:dyDescent="0.4"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22"/>
      <c r="R700" s="122"/>
      <c r="S700" s="122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7"/>
      <c r="AI700" s="15"/>
      <c r="AM700" s="117"/>
      <c r="AN700" s="116"/>
      <c r="AO700" s="116"/>
      <c r="AP700" s="116"/>
    </row>
    <row r="701" spans="2:42" ht="19.5" x14ac:dyDescent="0.4"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22"/>
      <c r="R701" s="122"/>
      <c r="S701" s="122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26"/>
      <c r="AI701" s="105"/>
      <c r="AM701" s="117"/>
      <c r="AN701" s="116"/>
      <c r="AO701" s="116"/>
      <c r="AP701" s="116"/>
    </row>
    <row r="702" spans="2:42" ht="19.5" x14ac:dyDescent="0.4"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22"/>
      <c r="R702" s="122"/>
      <c r="S702" s="122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7"/>
      <c r="AI702" s="15"/>
      <c r="AM702" s="117"/>
      <c r="AN702" s="116"/>
      <c r="AO702" s="116"/>
      <c r="AP702" s="116"/>
    </row>
    <row r="703" spans="2:42" ht="19.5" x14ac:dyDescent="0.4"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22"/>
      <c r="R703" s="122"/>
      <c r="S703" s="122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26"/>
      <c r="AI703" s="15"/>
      <c r="AM703" s="117"/>
      <c r="AN703" s="116"/>
      <c r="AO703" s="116"/>
      <c r="AP703" s="116"/>
    </row>
    <row r="704" spans="2:42" ht="19.5" x14ac:dyDescent="0.4"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22"/>
      <c r="R704" s="122"/>
      <c r="S704" s="122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26"/>
      <c r="AI704" s="15"/>
      <c r="AM704" s="117"/>
      <c r="AN704" s="116"/>
      <c r="AO704" s="116"/>
      <c r="AP704" s="116"/>
    </row>
    <row r="705" spans="1:42" ht="19.5" x14ac:dyDescent="0.4">
      <c r="AH705" s="26"/>
      <c r="AI705" s="15"/>
      <c r="AM705" s="117"/>
      <c r="AN705" s="116"/>
      <c r="AO705" s="116"/>
      <c r="AP705" s="116"/>
    </row>
    <row r="706" spans="1:42" ht="19.5" x14ac:dyDescent="0.4">
      <c r="M706" s="115"/>
      <c r="N706" s="115"/>
      <c r="O706" s="115"/>
      <c r="P706" s="115"/>
      <c r="Q706" s="122"/>
      <c r="R706" s="122"/>
      <c r="S706" s="122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26"/>
      <c r="AI706" s="15"/>
      <c r="AM706" s="117"/>
      <c r="AN706" s="116"/>
      <c r="AO706" s="116"/>
      <c r="AP706" s="116"/>
    </row>
    <row r="707" spans="1:42" ht="19.5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22"/>
      <c r="R707" s="122"/>
      <c r="S707" s="122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26"/>
      <c r="AI707" s="15"/>
      <c r="AM707" s="117"/>
      <c r="AN707" s="116"/>
      <c r="AO707" s="116"/>
      <c r="AP707" s="116"/>
    </row>
    <row r="708" spans="1:42" ht="19.5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22"/>
      <c r="R708" s="122"/>
      <c r="S708" s="122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26"/>
      <c r="AI708" s="15"/>
      <c r="AM708" s="117"/>
      <c r="AN708" s="116"/>
      <c r="AO708" s="116"/>
      <c r="AP708" s="116"/>
    </row>
    <row r="709" spans="1:42" ht="19.5" x14ac:dyDescent="0.4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22"/>
      <c r="R709" s="122"/>
      <c r="S709" s="122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7"/>
      <c r="AI709" s="15"/>
      <c r="AM709" s="117"/>
      <c r="AN709" s="116"/>
      <c r="AO709" s="116"/>
      <c r="AP709" s="116"/>
    </row>
    <row r="710" spans="1:42" ht="19.5" x14ac:dyDescent="0.4">
      <c r="AH710" s="26"/>
      <c r="AI710" s="15"/>
      <c r="AM710" s="117"/>
      <c r="AN710" s="116"/>
      <c r="AO710" s="116"/>
      <c r="AP710" s="116"/>
    </row>
    <row r="711" spans="1:42" ht="19.5" x14ac:dyDescent="0.4">
      <c r="N711" s="115"/>
      <c r="O711" s="115"/>
      <c r="P711" s="115"/>
      <c r="Q711" s="122"/>
      <c r="R711" s="122"/>
      <c r="S711" s="122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7"/>
      <c r="AI711" s="15"/>
      <c r="AM711" s="117"/>
      <c r="AN711" s="116"/>
      <c r="AO711" s="116"/>
      <c r="AP711" s="116"/>
    </row>
    <row r="712" spans="1:42" ht="19.5" x14ac:dyDescent="0.4">
      <c r="M712" s="115"/>
      <c r="N712" s="115"/>
      <c r="O712" s="115"/>
      <c r="P712" s="115"/>
      <c r="Q712" s="122"/>
      <c r="R712" s="122"/>
      <c r="S712" s="122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26"/>
      <c r="AI712" s="15"/>
      <c r="AM712" s="117"/>
      <c r="AN712" s="116"/>
      <c r="AO712" s="116"/>
      <c r="AP712" s="116"/>
    </row>
    <row r="713" spans="1:42" ht="19.5" x14ac:dyDescent="0.4"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22"/>
      <c r="R713" s="122"/>
      <c r="S713" s="122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26"/>
      <c r="AI713" s="15"/>
      <c r="AM713" s="117"/>
      <c r="AN713" s="116"/>
      <c r="AO713" s="116"/>
      <c r="AP713" s="116"/>
    </row>
    <row r="714" spans="1:42" ht="19.5" x14ac:dyDescent="0.4"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22"/>
      <c r="R714" s="122"/>
      <c r="S714" s="122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26"/>
      <c r="AI714" s="15"/>
      <c r="AM714" s="117"/>
      <c r="AN714" s="116"/>
      <c r="AO714" s="116"/>
      <c r="AP714" s="116"/>
    </row>
    <row r="715" spans="1:42" ht="19.5" x14ac:dyDescent="0.4"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22"/>
      <c r="R715" s="122"/>
      <c r="S715" s="122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26"/>
      <c r="AI715" s="15"/>
      <c r="AM715" s="117"/>
      <c r="AN715" s="116"/>
      <c r="AO715" s="116"/>
      <c r="AP715" s="116"/>
    </row>
    <row r="716" spans="1:42" ht="19.5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22"/>
      <c r="R716" s="122"/>
      <c r="S716" s="122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26"/>
      <c r="AI716" s="15"/>
      <c r="AM716" s="117"/>
      <c r="AN716" s="116"/>
      <c r="AO716" s="116"/>
      <c r="AP716" s="116"/>
    </row>
    <row r="717" spans="1:42" ht="19.5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22"/>
      <c r="R717" s="122"/>
      <c r="S717" s="122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26"/>
      <c r="AI717" s="15"/>
      <c r="AM717" s="117"/>
      <c r="AN717" s="116"/>
      <c r="AO717" s="116"/>
      <c r="AP717" s="116"/>
    </row>
    <row r="718" spans="1:42" ht="19.5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22"/>
      <c r="R718" s="122"/>
      <c r="S718" s="122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7"/>
      <c r="AI718" s="15"/>
      <c r="AM718" s="117"/>
      <c r="AN718" s="116"/>
      <c r="AO718" s="116"/>
      <c r="AP718" s="116"/>
    </row>
    <row r="719" spans="1:42" ht="19.5" x14ac:dyDescent="0.4">
      <c r="AH719" s="26"/>
      <c r="AI719" s="15"/>
      <c r="AM719" s="117"/>
      <c r="AN719" s="116"/>
      <c r="AO719" s="116"/>
      <c r="AP719" s="116"/>
    </row>
    <row r="720" spans="1:42" ht="19.5" x14ac:dyDescent="0.4">
      <c r="N720" s="115"/>
      <c r="O720" s="115"/>
      <c r="P720" s="115"/>
      <c r="Q720" s="122"/>
      <c r="R720" s="122"/>
      <c r="S720" s="122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7"/>
      <c r="AI720" s="13"/>
      <c r="AM720" s="117"/>
      <c r="AN720" s="116"/>
      <c r="AO720" s="116"/>
      <c r="AP720" s="116"/>
    </row>
    <row r="721" spans="1:42" ht="19.5" x14ac:dyDescent="0.4">
      <c r="N721" s="115"/>
      <c r="O721" s="115"/>
      <c r="P721" s="115"/>
      <c r="Q721" s="122"/>
      <c r="R721" s="122"/>
      <c r="S721" s="122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7"/>
      <c r="AI721" s="13"/>
      <c r="AM721" s="117"/>
      <c r="AN721" s="116"/>
      <c r="AO721" s="116"/>
      <c r="AP721" s="116"/>
    </row>
    <row r="722" spans="1:42" ht="19.5" x14ac:dyDescent="0.4">
      <c r="AH722" s="26"/>
      <c r="AI722" s="13"/>
      <c r="AM722" s="117"/>
      <c r="AN722" s="116"/>
      <c r="AO722" s="116"/>
      <c r="AP722" s="116"/>
    </row>
    <row r="723" spans="1:42" ht="19.5" x14ac:dyDescent="0.4">
      <c r="AH723" s="26"/>
      <c r="AI723" s="13"/>
      <c r="AM723" s="116"/>
      <c r="AN723" s="116"/>
      <c r="AO723" s="116"/>
      <c r="AP723" s="116"/>
    </row>
    <row r="724" spans="1:42" ht="19.5" x14ac:dyDescent="0.4"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22"/>
      <c r="R724" s="122"/>
      <c r="S724" s="122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26"/>
      <c r="AI724" s="13"/>
      <c r="AM724" s="118"/>
      <c r="AN724" s="118"/>
      <c r="AO724" s="118"/>
      <c r="AP724" s="118"/>
    </row>
    <row r="725" spans="1:42" ht="19.5" x14ac:dyDescent="0.4"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22"/>
      <c r="R725" s="122"/>
      <c r="S725" s="122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26"/>
      <c r="AI725" s="13"/>
      <c r="AM725" s="118"/>
      <c r="AN725" s="118"/>
      <c r="AO725" s="118"/>
      <c r="AP725" s="118"/>
    </row>
    <row r="726" spans="1:42" ht="19.5" x14ac:dyDescent="0.4"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22"/>
      <c r="R726" s="122"/>
      <c r="S726" s="122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26"/>
      <c r="AI726" s="13"/>
      <c r="AM726" s="118"/>
      <c r="AN726" s="118"/>
      <c r="AO726" s="118"/>
      <c r="AP726" s="118"/>
    </row>
    <row r="727" spans="1:42" ht="19.5" x14ac:dyDescent="0.4"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22"/>
      <c r="R727" s="122"/>
      <c r="S727" s="122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26"/>
      <c r="AI727" s="15"/>
      <c r="AM727" s="118"/>
      <c r="AN727" s="118"/>
      <c r="AO727" s="118"/>
      <c r="AP727" s="118"/>
    </row>
    <row r="728" spans="1:42" ht="19.5" x14ac:dyDescent="0.4"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22"/>
      <c r="R728" s="122"/>
      <c r="S728" s="122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26"/>
      <c r="AI728" s="15"/>
      <c r="AM728" s="118"/>
      <c r="AN728" s="118"/>
      <c r="AO728" s="118"/>
      <c r="AP728" s="118"/>
    </row>
    <row r="729" spans="1:42" ht="19.5" x14ac:dyDescent="0.4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22"/>
      <c r="R729" s="122"/>
      <c r="S729" s="122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26"/>
      <c r="AI729" s="15"/>
      <c r="AM729" s="118"/>
      <c r="AN729" s="118"/>
      <c r="AO729" s="118"/>
      <c r="AP729" s="118"/>
    </row>
    <row r="730" spans="1:42" ht="19.5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22"/>
      <c r="R730" s="122"/>
      <c r="S730" s="122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26"/>
      <c r="AI730" s="15"/>
      <c r="AM730" s="118"/>
      <c r="AN730" s="118"/>
      <c r="AO730" s="118"/>
      <c r="AP730" s="118"/>
    </row>
    <row r="731" spans="1:42" ht="20.25" customHeight="1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22"/>
      <c r="R731" s="122"/>
      <c r="S731" s="122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26"/>
      <c r="AI731" s="15"/>
      <c r="AM731" s="118"/>
      <c r="AN731" s="118"/>
      <c r="AO731" s="118"/>
      <c r="AP731" s="118"/>
    </row>
    <row r="732" spans="1:42" x14ac:dyDescent="0.4">
      <c r="AH732" s="26"/>
      <c r="AI732" s="15"/>
    </row>
    <row r="733" spans="1:42" x14ac:dyDescent="0.4">
      <c r="AH733" s="26"/>
      <c r="AI733" s="13"/>
    </row>
    <row r="734" spans="1:42" x14ac:dyDescent="0.4">
      <c r="L734" s="115"/>
      <c r="M734" s="115"/>
      <c r="N734" s="115"/>
      <c r="O734" s="115"/>
      <c r="P734" s="115"/>
      <c r="Q734" s="122"/>
      <c r="R734" s="122"/>
      <c r="S734" s="122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26"/>
      <c r="AI734" s="13"/>
    </row>
    <row r="735" spans="1:42" x14ac:dyDescent="0.4">
      <c r="L735" s="115"/>
      <c r="M735" s="115"/>
      <c r="N735" s="115"/>
      <c r="O735" s="115"/>
      <c r="P735" s="115"/>
      <c r="Q735" s="122"/>
      <c r="R735" s="122"/>
      <c r="S735" s="122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7"/>
      <c r="AI735" s="13"/>
    </row>
    <row r="736" spans="1:42" x14ac:dyDescent="0.4"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22"/>
      <c r="R736" s="122"/>
      <c r="S736" s="122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26"/>
      <c r="AI736" s="13"/>
    </row>
    <row r="737" spans="1:35" x14ac:dyDescent="0.4"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22"/>
      <c r="R737" s="122"/>
      <c r="S737" s="122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26"/>
      <c r="AI737" s="13"/>
    </row>
    <row r="738" spans="1:35" x14ac:dyDescent="0.4">
      <c r="AH738" s="26"/>
      <c r="AI738" s="13"/>
    </row>
    <row r="739" spans="1:35" x14ac:dyDescent="0.4"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22"/>
      <c r="R739" s="122"/>
      <c r="S739" s="122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26"/>
      <c r="AI739" s="13"/>
    </row>
    <row r="740" spans="1:35" x14ac:dyDescent="0.4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22"/>
      <c r="R740" s="122"/>
      <c r="S740" s="122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26"/>
      <c r="AI740" s="13"/>
    </row>
    <row r="741" spans="1:35" x14ac:dyDescent="0.4">
      <c r="AH741" s="26"/>
      <c r="AI741" s="13"/>
    </row>
    <row r="742" spans="1:35" x14ac:dyDescent="0.4"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22"/>
      <c r="R742" s="122"/>
      <c r="S742" s="122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26"/>
      <c r="AI742" s="13"/>
    </row>
    <row r="743" spans="1:35" x14ac:dyDescent="0.4">
      <c r="AH743" s="26"/>
      <c r="AI743" s="13"/>
    </row>
    <row r="744" spans="1:35" x14ac:dyDescent="0.4">
      <c r="K744" s="115"/>
      <c r="L744" s="115"/>
      <c r="M744" s="115"/>
      <c r="N744" s="115"/>
      <c r="O744" s="115"/>
      <c r="P744" s="115"/>
      <c r="Q744" s="122"/>
      <c r="R744" s="122"/>
      <c r="S744" s="122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26"/>
      <c r="AI744" s="13"/>
    </row>
    <row r="745" spans="1:35" x14ac:dyDescent="0.4">
      <c r="AH745" s="26"/>
      <c r="AI745" s="13"/>
    </row>
    <row r="746" spans="1:35" x14ac:dyDescent="0.4"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22"/>
      <c r="R746" s="122"/>
      <c r="S746" s="122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26"/>
      <c r="AI746" s="15"/>
    </row>
    <row r="747" spans="1:35" x14ac:dyDescent="0.4"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22"/>
      <c r="R747" s="122"/>
      <c r="S747" s="122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26"/>
      <c r="AI747" s="15"/>
    </row>
    <row r="748" spans="1:35" x14ac:dyDescent="0.4"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22"/>
      <c r="R748" s="122"/>
      <c r="S748" s="122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26"/>
      <c r="AI748" s="15"/>
    </row>
    <row r="749" spans="1:35" x14ac:dyDescent="0.4">
      <c r="AH749" s="26"/>
      <c r="AI749" s="13"/>
    </row>
    <row r="750" spans="1:35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22"/>
      <c r="R750" s="122"/>
      <c r="S750" s="122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26"/>
      <c r="AI750" s="15"/>
    </row>
    <row r="751" spans="1:35" x14ac:dyDescent="0.4">
      <c r="AH751" s="26"/>
      <c r="AI751" s="15"/>
    </row>
    <row r="752" spans="1:35" x14ac:dyDescent="0.4">
      <c r="AH752" s="26"/>
      <c r="AI752" s="15"/>
    </row>
    <row r="753" spans="3:35" x14ac:dyDescent="0.4"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22"/>
      <c r="R753" s="122"/>
      <c r="S753" s="122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26"/>
      <c r="AI753" s="15"/>
    </row>
    <row r="754" spans="3:35" x14ac:dyDescent="0.4"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22"/>
      <c r="R754" s="122"/>
      <c r="S754" s="122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26"/>
      <c r="AI754" s="15"/>
    </row>
    <row r="755" spans="3:35" x14ac:dyDescent="0.4">
      <c r="AH755" s="26"/>
      <c r="AI755" s="15"/>
    </row>
    <row r="756" spans="3:35" x14ac:dyDescent="0.4">
      <c r="J756" s="115"/>
      <c r="K756" s="115"/>
      <c r="L756" s="115"/>
      <c r="M756" s="115"/>
      <c r="N756" s="115"/>
      <c r="O756" s="115"/>
      <c r="P756" s="115"/>
      <c r="Q756" s="122"/>
      <c r="R756" s="122"/>
      <c r="S756" s="122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26"/>
      <c r="AI756" s="15"/>
    </row>
    <row r="757" spans="3:35" x14ac:dyDescent="0.4"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22"/>
      <c r="R757" s="122"/>
      <c r="S757" s="122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26"/>
      <c r="AI757" s="15"/>
    </row>
    <row r="758" spans="3:35" x14ac:dyDescent="0.4"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22"/>
      <c r="R758" s="122"/>
      <c r="S758" s="122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26"/>
      <c r="AI758" s="15"/>
    </row>
    <row r="759" spans="3:35" x14ac:dyDescent="0.4"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22"/>
      <c r="R759" s="122"/>
      <c r="S759" s="122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26"/>
      <c r="AI759" s="15"/>
    </row>
    <row r="760" spans="3:35" x14ac:dyDescent="0.4"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22"/>
      <c r="R760" s="122"/>
      <c r="S760" s="122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26"/>
      <c r="AI760" s="15"/>
    </row>
    <row r="761" spans="3:35" x14ac:dyDescent="0.4">
      <c r="AH761" s="26"/>
      <c r="AI761" s="15"/>
    </row>
    <row r="762" spans="3:35" x14ac:dyDescent="0.4">
      <c r="M762" s="115"/>
      <c r="N762" s="115"/>
      <c r="O762" s="115"/>
      <c r="P762" s="115"/>
      <c r="Q762" s="122"/>
      <c r="R762" s="122"/>
      <c r="S762" s="122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7"/>
      <c r="AI762" s="15"/>
    </row>
    <row r="763" spans="3:35" x14ac:dyDescent="0.4">
      <c r="AH763" s="26"/>
      <c r="AI763" s="15"/>
    </row>
    <row r="764" spans="3:35" x14ac:dyDescent="0.4">
      <c r="K764" s="115"/>
      <c r="L764" s="115"/>
      <c r="M764" s="115"/>
      <c r="N764" s="115"/>
      <c r="O764" s="115"/>
      <c r="P764" s="115"/>
      <c r="Q764" s="122"/>
      <c r="R764" s="122"/>
      <c r="S764" s="122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26"/>
      <c r="AI764" s="15"/>
    </row>
    <row r="765" spans="3:35" x14ac:dyDescent="0.4">
      <c r="AH765" s="26"/>
      <c r="AI765" s="15"/>
    </row>
    <row r="766" spans="3:35" x14ac:dyDescent="0.4">
      <c r="AH766" s="26"/>
      <c r="AI766" s="15"/>
    </row>
    <row r="767" spans="3:35" x14ac:dyDescent="0.4"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22"/>
      <c r="R767" s="122"/>
      <c r="S767" s="122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26"/>
      <c r="AI767" s="15"/>
    </row>
    <row r="768" spans="3:35" x14ac:dyDescent="0.4"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22"/>
      <c r="R768" s="122"/>
      <c r="S768" s="122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26"/>
      <c r="AI768" s="15"/>
    </row>
    <row r="769" spans="1:35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22"/>
      <c r="R769" s="122"/>
      <c r="S769" s="122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26"/>
      <c r="AI769" s="15"/>
    </row>
    <row r="770" spans="1:3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22"/>
      <c r="R770" s="122"/>
      <c r="S770" s="122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26"/>
      <c r="AI770" s="15"/>
    </row>
    <row r="771" spans="1:35" x14ac:dyDescent="0.4">
      <c r="AH771" s="26"/>
      <c r="AI771" s="15"/>
    </row>
    <row r="772" spans="1:35" x14ac:dyDescent="0.4">
      <c r="M772" s="115"/>
      <c r="N772" s="115"/>
      <c r="O772" s="115"/>
      <c r="P772" s="115"/>
      <c r="Q772" s="122"/>
      <c r="R772" s="122"/>
      <c r="S772" s="122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7"/>
      <c r="AI772" s="15"/>
    </row>
    <row r="773" spans="1:35" x14ac:dyDescent="0.4">
      <c r="AH773" s="26"/>
      <c r="AI773" s="15"/>
    </row>
    <row r="774" spans="1:35" x14ac:dyDescent="0.4"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22"/>
      <c r="R774" s="122"/>
      <c r="S774" s="122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26"/>
      <c r="AI774" s="15"/>
    </row>
    <row r="775" spans="1:35" x14ac:dyDescent="0.4"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22"/>
      <c r="R775" s="122"/>
      <c r="S775" s="122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26"/>
      <c r="AI775" s="15"/>
    </row>
    <row r="776" spans="1:35" x14ac:dyDescent="0.4"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22"/>
      <c r="R776" s="122"/>
      <c r="S776" s="122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7"/>
      <c r="AI776" s="15"/>
    </row>
    <row r="777" spans="1:35" x14ac:dyDescent="0.4">
      <c r="AH777" s="26"/>
      <c r="AI777" s="15"/>
    </row>
    <row r="778" spans="1:35" x14ac:dyDescent="0.4"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22"/>
      <c r="R778" s="122"/>
      <c r="S778" s="122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26"/>
      <c r="AI778" s="15"/>
    </row>
    <row r="779" spans="1:35" x14ac:dyDescent="0.4"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22"/>
      <c r="R779" s="122"/>
      <c r="S779" s="122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7"/>
      <c r="AI779" s="15"/>
    </row>
    <row r="780" spans="1:35" x14ac:dyDescent="0.4">
      <c r="AH780" s="26"/>
      <c r="AI780" s="15"/>
    </row>
    <row r="781" spans="1:35" x14ac:dyDescent="0.4">
      <c r="M781" s="115"/>
      <c r="N781" s="115"/>
      <c r="O781" s="115"/>
      <c r="P781" s="115"/>
      <c r="Q781" s="122"/>
      <c r="R781" s="122"/>
      <c r="S781" s="122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7"/>
      <c r="AI781" s="15"/>
    </row>
    <row r="782" spans="1:35" x14ac:dyDescent="0.4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22"/>
      <c r="R782" s="122"/>
      <c r="S782" s="122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26"/>
      <c r="AI782" s="15"/>
    </row>
    <row r="783" spans="1:35" x14ac:dyDescent="0.4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22"/>
      <c r="R783" s="122"/>
      <c r="S783" s="122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7"/>
      <c r="AI783" s="15"/>
    </row>
    <row r="784" spans="1:35" x14ac:dyDescent="0.4">
      <c r="AH784" s="26"/>
      <c r="AI784" s="15"/>
    </row>
    <row r="785" spans="3:35" x14ac:dyDescent="0.4">
      <c r="AH785" s="26"/>
      <c r="AI785" s="15"/>
    </row>
    <row r="786" spans="3:35" x14ac:dyDescent="0.4">
      <c r="L786" s="115"/>
      <c r="M786" s="115"/>
      <c r="N786" s="115"/>
      <c r="O786" s="115"/>
      <c r="P786" s="115"/>
      <c r="Q786" s="122"/>
      <c r="R786" s="122"/>
      <c r="S786" s="122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26"/>
      <c r="AI786" s="15"/>
    </row>
    <row r="787" spans="3:35" x14ac:dyDescent="0.4">
      <c r="J787" s="115"/>
      <c r="K787" s="115"/>
      <c r="L787" s="115"/>
      <c r="M787" s="115"/>
      <c r="N787" s="115"/>
      <c r="O787" s="115"/>
      <c r="P787" s="115"/>
      <c r="Q787" s="122"/>
      <c r="R787" s="122"/>
      <c r="S787" s="122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26"/>
      <c r="AI787" s="15"/>
    </row>
    <row r="788" spans="3:35" x14ac:dyDescent="0.4">
      <c r="J788" s="115"/>
      <c r="K788" s="115"/>
      <c r="L788" s="115"/>
      <c r="M788" s="115"/>
      <c r="N788" s="115"/>
      <c r="O788" s="115"/>
      <c r="P788" s="115"/>
      <c r="Q788" s="122"/>
      <c r="R788" s="122"/>
      <c r="S788" s="122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26"/>
      <c r="AI788" s="15"/>
    </row>
    <row r="789" spans="3:35" x14ac:dyDescent="0.4"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22"/>
      <c r="R789" s="122"/>
      <c r="S789" s="122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26"/>
      <c r="AI789" s="15"/>
    </row>
    <row r="790" spans="3:35" x14ac:dyDescent="0.4"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22"/>
      <c r="R790" s="122"/>
      <c r="S790" s="122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26"/>
      <c r="AI790" s="15"/>
    </row>
    <row r="791" spans="3:35" x14ac:dyDescent="0.4">
      <c r="AH791" s="26"/>
      <c r="AI791" s="15"/>
    </row>
    <row r="792" spans="3:35" x14ac:dyDescent="0.4">
      <c r="L792" s="115"/>
      <c r="M792" s="115"/>
      <c r="N792" s="115"/>
      <c r="O792" s="115"/>
      <c r="P792" s="115"/>
      <c r="Q792" s="122"/>
      <c r="R792" s="122"/>
      <c r="S792" s="122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26"/>
      <c r="AI792" s="15"/>
    </row>
    <row r="793" spans="3:35" x14ac:dyDescent="0.4">
      <c r="AH793" s="26"/>
      <c r="AI793" s="15"/>
    </row>
    <row r="794" spans="3:35" x14ac:dyDescent="0.4">
      <c r="M794" s="115"/>
      <c r="N794" s="115"/>
      <c r="O794" s="115"/>
      <c r="P794" s="115"/>
      <c r="Q794" s="122"/>
      <c r="R794" s="122"/>
      <c r="S794" s="122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7"/>
      <c r="AI794" s="15"/>
    </row>
    <row r="795" spans="3:35" x14ac:dyDescent="0.4">
      <c r="L795" s="115"/>
      <c r="M795" s="115"/>
      <c r="N795" s="115"/>
      <c r="O795" s="115"/>
      <c r="P795" s="115"/>
      <c r="Q795" s="122"/>
      <c r="R795" s="122"/>
      <c r="S795" s="122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26"/>
      <c r="AI795" s="15"/>
    </row>
    <row r="796" spans="3:35" x14ac:dyDescent="0.4"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22"/>
      <c r="R796" s="122"/>
      <c r="S796" s="122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26"/>
      <c r="AI796" s="15"/>
    </row>
    <row r="797" spans="3:35" x14ac:dyDescent="0.4"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22"/>
      <c r="R797" s="122"/>
      <c r="S797" s="122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7"/>
      <c r="AI797" s="15"/>
    </row>
    <row r="798" spans="3:35" x14ac:dyDescent="0.4">
      <c r="AH798" s="26"/>
      <c r="AI798" s="15"/>
    </row>
    <row r="799" spans="3:35" x14ac:dyDescent="0.4">
      <c r="M799" s="115"/>
      <c r="N799" s="115"/>
      <c r="O799" s="115"/>
      <c r="P799" s="115"/>
      <c r="Q799" s="122"/>
      <c r="R799" s="122"/>
      <c r="S799" s="122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7"/>
      <c r="AI799" s="15"/>
    </row>
    <row r="800" spans="3:35" x14ac:dyDescent="0.4">
      <c r="L800" s="115"/>
      <c r="M800" s="115"/>
      <c r="N800" s="115"/>
      <c r="O800" s="115"/>
      <c r="P800" s="115"/>
      <c r="Q800" s="122"/>
      <c r="R800" s="122"/>
      <c r="S800" s="122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26"/>
      <c r="AI800" s="15"/>
    </row>
    <row r="801" spans="4:35" x14ac:dyDescent="0.4">
      <c r="L801" s="115"/>
      <c r="M801" s="115"/>
      <c r="N801" s="115"/>
      <c r="O801" s="115"/>
      <c r="P801" s="115"/>
      <c r="Q801" s="122"/>
      <c r="R801" s="122"/>
      <c r="S801" s="122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7"/>
      <c r="AI801" s="15"/>
    </row>
    <row r="802" spans="4:35" x14ac:dyDescent="0.4">
      <c r="L802" s="115"/>
      <c r="M802" s="115"/>
      <c r="N802" s="115"/>
      <c r="O802" s="115"/>
      <c r="P802" s="115"/>
      <c r="Q802" s="122"/>
      <c r="R802" s="122"/>
      <c r="S802" s="122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7"/>
      <c r="AI802" s="15"/>
    </row>
    <row r="803" spans="4:35" x14ac:dyDescent="0.4"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22"/>
      <c r="R803" s="122"/>
      <c r="S803" s="122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26"/>
      <c r="AI803" s="15"/>
    </row>
    <row r="804" spans="4:35" x14ac:dyDescent="0.4"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22"/>
      <c r="R804" s="122"/>
      <c r="S804" s="122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26"/>
      <c r="AI804" s="15"/>
    </row>
    <row r="805" spans="4:35" x14ac:dyDescent="0.4"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22"/>
      <c r="R805" s="122"/>
      <c r="S805" s="122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26"/>
      <c r="AI805" s="15"/>
    </row>
    <row r="806" spans="4:35" x14ac:dyDescent="0.4"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22"/>
      <c r="R806" s="122"/>
      <c r="S806" s="122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26"/>
      <c r="AI806" s="15"/>
    </row>
    <row r="807" spans="4:35" x14ac:dyDescent="0.4"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22"/>
      <c r="R807" s="122"/>
      <c r="S807" s="122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26"/>
      <c r="AI807" s="15"/>
    </row>
    <row r="808" spans="4:35" x14ac:dyDescent="0.4"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22"/>
      <c r="R808" s="122"/>
      <c r="S808" s="122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7"/>
      <c r="AI808" s="15"/>
    </row>
    <row r="809" spans="4:35" x14ac:dyDescent="0.4">
      <c r="AH809" s="26"/>
      <c r="AI809" s="15"/>
    </row>
    <row r="810" spans="4:35" x14ac:dyDescent="0.4">
      <c r="L810" s="115"/>
      <c r="M810" s="115"/>
      <c r="N810" s="115"/>
      <c r="O810" s="115"/>
      <c r="P810" s="115"/>
      <c r="Q810" s="122"/>
      <c r="R810" s="122"/>
      <c r="S810" s="122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7"/>
      <c r="AI810" s="13"/>
    </row>
    <row r="811" spans="4:35" x14ac:dyDescent="0.4">
      <c r="L811" s="115"/>
      <c r="M811" s="115"/>
      <c r="N811" s="115"/>
      <c r="O811" s="115"/>
      <c r="P811" s="115"/>
      <c r="Q811" s="122"/>
      <c r="R811" s="122"/>
      <c r="S811" s="122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7"/>
      <c r="AI811" s="13"/>
    </row>
    <row r="812" spans="4:35" x14ac:dyDescent="0.4">
      <c r="J812" s="115"/>
      <c r="K812" s="115"/>
      <c r="L812" s="115"/>
      <c r="M812" s="115"/>
      <c r="N812" s="115"/>
      <c r="O812" s="115"/>
      <c r="P812" s="115"/>
      <c r="Q812" s="122"/>
      <c r="R812" s="122"/>
      <c r="S812" s="122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26"/>
      <c r="AI812" s="13"/>
    </row>
    <row r="813" spans="4:35" x14ac:dyDescent="0.4">
      <c r="J813" s="115"/>
      <c r="K813" s="115"/>
      <c r="L813" s="115"/>
      <c r="M813" s="115"/>
      <c r="N813" s="115"/>
      <c r="O813" s="115"/>
      <c r="P813" s="115"/>
      <c r="Q813" s="122"/>
      <c r="R813" s="122"/>
      <c r="S813" s="122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7"/>
      <c r="AI813" s="13"/>
    </row>
    <row r="814" spans="4:35" x14ac:dyDescent="0.4">
      <c r="AH814" s="26"/>
      <c r="AI814" s="13"/>
    </row>
    <row r="815" spans="4:35" x14ac:dyDescent="0.4">
      <c r="K815" s="115"/>
      <c r="L815" s="115"/>
      <c r="M815" s="115"/>
      <c r="N815" s="115"/>
      <c r="O815" s="115"/>
      <c r="P815" s="115"/>
      <c r="Q815" s="122"/>
      <c r="R815" s="122"/>
      <c r="S815" s="122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7"/>
      <c r="AI815" s="13"/>
    </row>
    <row r="816" spans="4:35" x14ac:dyDescent="0.4">
      <c r="AH816" s="26"/>
      <c r="AI816" s="13"/>
    </row>
    <row r="817" spans="3:35" x14ac:dyDescent="0.4">
      <c r="AH817" s="26"/>
      <c r="AI817" s="13"/>
    </row>
    <row r="818" spans="3:35" x14ac:dyDescent="0.4"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22"/>
      <c r="R818" s="122"/>
      <c r="S818" s="122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26"/>
      <c r="AI818" s="13"/>
    </row>
    <row r="819" spans="3:35" x14ac:dyDescent="0.4"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22"/>
      <c r="R819" s="122"/>
      <c r="S819" s="122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26"/>
      <c r="AI819" s="13"/>
    </row>
    <row r="820" spans="3:35" x14ac:dyDescent="0.4">
      <c r="AH820" s="26"/>
      <c r="AI820" s="13"/>
    </row>
    <row r="821" spans="3:35" x14ac:dyDescent="0.4">
      <c r="AH821" s="26"/>
      <c r="AI821" s="13"/>
    </row>
    <row r="822" spans="3:35" x14ac:dyDescent="0.4"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22"/>
      <c r="R822" s="122"/>
      <c r="S822" s="122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26"/>
      <c r="AI822" s="13"/>
    </row>
    <row r="823" spans="3:35" x14ac:dyDescent="0.4">
      <c r="AH823" s="26"/>
      <c r="AI823" s="105"/>
    </row>
    <row r="824" spans="3:35" x14ac:dyDescent="0.4"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22"/>
      <c r="R824" s="122"/>
      <c r="S824" s="122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26"/>
      <c r="AI824" s="15"/>
    </row>
    <row r="825" spans="3:35" x14ac:dyDescent="0.4"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22"/>
      <c r="R825" s="122"/>
      <c r="S825" s="122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7"/>
      <c r="AI825" s="15"/>
    </row>
    <row r="826" spans="3:35" x14ac:dyDescent="0.4">
      <c r="AH826" s="26"/>
      <c r="AI826" s="15"/>
    </row>
    <row r="827" spans="3:35" x14ac:dyDescent="0.4"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22"/>
      <c r="R827" s="122"/>
      <c r="S827" s="122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26"/>
      <c r="AI827" s="15"/>
    </row>
    <row r="828" spans="3:35" x14ac:dyDescent="0.4"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22"/>
      <c r="R828" s="122"/>
      <c r="S828" s="122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26"/>
      <c r="AI828" s="15"/>
    </row>
    <row r="829" spans="3:35" x14ac:dyDescent="0.4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22"/>
      <c r="R829" s="122"/>
      <c r="S829" s="122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26"/>
      <c r="AI829" s="13"/>
    </row>
    <row r="830" spans="3:35" x14ac:dyDescent="0.4">
      <c r="AH830" s="26"/>
      <c r="AI830" s="15"/>
    </row>
    <row r="831" spans="3:35" x14ac:dyDescent="0.4"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22"/>
      <c r="R831" s="122"/>
      <c r="S831" s="122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26"/>
      <c r="AI831" s="15"/>
    </row>
    <row r="832" spans="3:35" x14ac:dyDescent="0.4"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22"/>
      <c r="R832" s="122"/>
      <c r="S832" s="122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26"/>
      <c r="AI832" s="15"/>
    </row>
    <row r="833" spans="2:35" x14ac:dyDescent="0.4"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22"/>
      <c r="R833" s="122"/>
      <c r="S833" s="122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26"/>
      <c r="AI833" s="15"/>
    </row>
    <row r="834" spans="2:35" x14ac:dyDescent="0.4"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22"/>
      <c r="R834" s="122"/>
      <c r="S834" s="122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26"/>
      <c r="AI834" s="15"/>
    </row>
    <row r="835" spans="2:35" x14ac:dyDescent="0.4"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22"/>
      <c r="R835" s="122"/>
      <c r="S835" s="122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26"/>
      <c r="AI835" s="15"/>
    </row>
    <row r="836" spans="2:35" x14ac:dyDescent="0.4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22"/>
      <c r="R836" s="122"/>
      <c r="S836" s="122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26"/>
      <c r="AI836" s="15"/>
    </row>
    <row r="837" spans="2:35" ht="19.5" customHeight="1" x14ac:dyDescent="0.4"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22"/>
      <c r="R837" s="122"/>
      <c r="S837" s="122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26"/>
      <c r="AI837" s="15"/>
    </row>
    <row r="838" spans="2:35" ht="19.5" customHeight="1" x14ac:dyDescent="0.4"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22"/>
      <c r="R838" s="122"/>
      <c r="S838" s="122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26"/>
      <c r="AI838" s="15"/>
    </row>
    <row r="839" spans="2:35" x14ac:dyDescent="0.4">
      <c r="AH839" s="26"/>
      <c r="AI839" s="15"/>
    </row>
    <row r="840" spans="2:35" x14ac:dyDescent="0.4"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22"/>
      <c r="R840" s="122"/>
      <c r="S840" s="122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26"/>
      <c r="AI840" s="15"/>
    </row>
    <row r="841" spans="2:35" x14ac:dyDescent="0.4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22"/>
      <c r="R841" s="122"/>
      <c r="S841" s="122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26"/>
      <c r="AI841" s="15"/>
    </row>
    <row r="842" spans="2:35" x14ac:dyDescent="0.4"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22"/>
      <c r="R842" s="122"/>
      <c r="S842" s="122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7"/>
      <c r="AI842" s="15"/>
    </row>
    <row r="843" spans="2:35" x14ac:dyDescent="0.4">
      <c r="AH843" s="26"/>
      <c r="AI843" s="15"/>
    </row>
    <row r="844" spans="2:35" x14ac:dyDescent="0.4">
      <c r="K844" s="115"/>
      <c r="L844" s="115"/>
      <c r="M844" s="115"/>
      <c r="N844" s="115"/>
      <c r="O844" s="115"/>
      <c r="P844" s="115"/>
      <c r="Q844" s="122"/>
      <c r="R844" s="122"/>
      <c r="S844" s="122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7"/>
      <c r="AI844" s="15"/>
    </row>
    <row r="845" spans="2:35" x14ac:dyDescent="0.4"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22"/>
      <c r="R845" s="122"/>
      <c r="S845" s="122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26"/>
      <c r="AI845" s="15"/>
    </row>
    <row r="846" spans="2:35" x14ac:dyDescent="0.4">
      <c r="AH846" s="26"/>
      <c r="AI846" s="15"/>
    </row>
    <row r="847" spans="2:35" x14ac:dyDescent="0.4">
      <c r="AH847" s="26"/>
      <c r="AI847" s="15"/>
    </row>
    <row r="848" spans="2:35" x14ac:dyDescent="0.4">
      <c r="J848" s="115"/>
      <c r="K848" s="115"/>
      <c r="L848" s="115"/>
      <c r="M848" s="115"/>
      <c r="N848" s="115"/>
      <c r="O848" s="115"/>
      <c r="P848" s="115"/>
      <c r="Q848" s="122"/>
      <c r="R848" s="122"/>
      <c r="S848" s="122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26"/>
      <c r="AI848" s="15"/>
    </row>
    <row r="849" spans="1:35" x14ac:dyDescent="0.4">
      <c r="AH849" s="26"/>
      <c r="AI849" s="15"/>
    </row>
    <row r="850" spans="1:35" x14ac:dyDescent="0.4">
      <c r="K850" s="115"/>
      <c r="L850" s="115"/>
      <c r="M850" s="115"/>
      <c r="N850" s="115"/>
      <c r="O850" s="115"/>
      <c r="P850" s="115"/>
      <c r="Q850" s="122"/>
      <c r="R850" s="122"/>
      <c r="S850" s="122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7"/>
      <c r="AI850" s="15"/>
    </row>
    <row r="851" spans="1:35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22"/>
      <c r="R851" s="122"/>
      <c r="S851" s="122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26"/>
      <c r="AI851" s="15"/>
    </row>
    <row r="852" spans="1:35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22"/>
      <c r="R852" s="122"/>
      <c r="S852" s="122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7"/>
      <c r="AI852" s="13"/>
    </row>
    <row r="853" spans="1:35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22"/>
      <c r="R853" s="122"/>
      <c r="S853" s="122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7"/>
      <c r="AI853" s="13"/>
    </row>
    <row r="854" spans="1:35" x14ac:dyDescent="0.4">
      <c r="AH854" s="26"/>
      <c r="AI854" s="13"/>
    </row>
    <row r="855" spans="1:35" x14ac:dyDescent="0.4"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22"/>
      <c r="R855" s="122"/>
      <c r="S855" s="122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26"/>
      <c r="AI855" s="15"/>
    </row>
    <row r="856" spans="1:35" x14ac:dyDescent="0.4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22"/>
      <c r="R856" s="122"/>
      <c r="S856" s="122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26"/>
      <c r="AI856" s="15"/>
    </row>
    <row r="857" spans="1:35" x14ac:dyDescent="0.4">
      <c r="AH857" s="26"/>
      <c r="AI857" s="15"/>
    </row>
    <row r="858" spans="1:35" x14ac:dyDescent="0.4"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22"/>
      <c r="R858" s="122"/>
      <c r="S858" s="122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26"/>
      <c r="AI858" s="15"/>
    </row>
    <row r="859" spans="1:35" x14ac:dyDescent="0.4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22"/>
      <c r="R859" s="122"/>
      <c r="S859" s="122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26"/>
      <c r="AI859" s="15"/>
    </row>
    <row r="860" spans="1:35" x14ac:dyDescent="0.4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22"/>
      <c r="R860" s="122"/>
      <c r="S860" s="122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26"/>
      <c r="AI860" s="15"/>
    </row>
    <row r="861" spans="1:35" x14ac:dyDescent="0.4"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22"/>
      <c r="R861" s="122"/>
      <c r="S861" s="122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26"/>
      <c r="AI861" s="15"/>
    </row>
    <row r="862" spans="1:35" x14ac:dyDescent="0.4">
      <c r="AH862" s="26"/>
      <c r="AI862" s="15"/>
    </row>
    <row r="863" spans="1:35" x14ac:dyDescent="0.4"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22"/>
      <c r="R863" s="122"/>
      <c r="S863" s="122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26"/>
      <c r="AI863" s="15"/>
    </row>
    <row r="864" spans="1:35" x14ac:dyDescent="0.4">
      <c r="AH864" s="26"/>
      <c r="AI864" s="15"/>
    </row>
    <row r="865" spans="1:35" x14ac:dyDescent="0.4"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22"/>
      <c r="R865" s="122"/>
      <c r="S865" s="122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26"/>
      <c r="AI865" s="15"/>
    </row>
    <row r="866" spans="1:35" x14ac:dyDescent="0.4"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22"/>
      <c r="R866" s="122"/>
      <c r="S866" s="122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26"/>
      <c r="AI866" s="15"/>
    </row>
    <row r="867" spans="1:35" x14ac:dyDescent="0.4"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22"/>
      <c r="R867" s="122"/>
      <c r="S867" s="122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7"/>
      <c r="AI867" s="15"/>
    </row>
    <row r="868" spans="1:35" x14ac:dyDescent="0.4">
      <c r="AH868" s="26"/>
      <c r="AI868" s="15"/>
    </row>
    <row r="869" spans="1:35" x14ac:dyDescent="0.4">
      <c r="AH869" s="26"/>
      <c r="AI869" s="15"/>
    </row>
    <row r="870" spans="1:35" x14ac:dyDescent="0.4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22"/>
      <c r="R870" s="122"/>
      <c r="S870" s="122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26"/>
      <c r="AI870" s="15"/>
    </row>
    <row r="871" spans="1:35" x14ac:dyDescent="0.4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22"/>
      <c r="R871" s="122"/>
      <c r="S871" s="122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7"/>
      <c r="AI871" s="15"/>
    </row>
    <row r="872" spans="1:35" x14ac:dyDescent="0.4">
      <c r="AH872" s="26"/>
      <c r="AI872" s="15"/>
    </row>
    <row r="873" spans="1:35" ht="17.25" customHeight="1" x14ac:dyDescent="0.4"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22"/>
      <c r="R873" s="122"/>
      <c r="S873" s="122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26"/>
      <c r="AI873" s="15"/>
    </row>
    <row r="874" spans="1:35" x14ac:dyDescent="0.4">
      <c r="AH874" s="26"/>
      <c r="AI874" s="15"/>
    </row>
    <row r="875" spans="1:35" x14ac:dyDescent="0.4">
      <c r="J875" s="115"/>
      <c r="K875" s="115"/>
      <c r="L875" s="115"/>
      <c r="M875" s="115"/>
      <c r="N875" s="115"/>
      <c r="O875" s="115"/>
      <c r="P875" s="115"/>
      <c r="Q875" s="122"/>
      <c r="R875" s="122"/>
      <c r="S875" s="122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7"/>
      <c r="AI875" s="15"/>
    </row>
    <row r="876" spans="1:35" ht="16.5" customHeight="1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22"/>
      <c r="R876" s="122"/>
      <c r="S876" s="122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26"/>
      <c r="AI876" s="15"/>
    </row>
    <row r="877" spans="1:35" ht="22.5" customHeight="1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22"/>
      <c r="R877" s="122"/>
      <c r="S877" s="122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26"/>
      <c r="AI877" s="15"/>
    </row>
    <row r="878" spans="1:35" x14ac:dyDescent="0.4">
      <c r="AH878" s="26"/>
      <c r="AI878" s="15"/>
    </row>
    <row r="879" spans="1:35" x14ac:dyDescent="0.4">
      <c r="AH879" s="26"/>
      <c r="AI879" s="105"/>
    </row>
    <row r="880" spans="1:35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22"/>
      <c r="R880" s="122"/>
      <c r="S880" s="122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26"/>
      <c r="AI880" s="15"/>
    </row>
    <row r="881" spans="1:35" x14ac:dyDescent="0.4">
      <c r="AH881" s="26"/>
      <c r="AI881" s="15"/>
    </row>
    <row r="882" spans="1:35" x14ac:dyDescent="0.4">
      <c r="AH882" s="26"/>
      <c r="AI882" s="15"/>
    </row>
    <row r="883" spans="1:35" x14ac:dyDescent="0.4">
      <c r="AH883" s="26"/>
      <c r="AI883" s="15"/>
    </row>
    <row r="884" spans="1:35" x14ac:dyDescent="0.4">
      <c r="AH884" s="26"/>
      <c r="AI884" s="15"/>
    </row>
    <row r="885" spans="1:35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22"/>
      <c r="R885" s="122"/>
      <c r="S885" s="122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26"/>
      <c r="AI885" s="15"/>
    </row>
    <row r="886" spans="1:35" x14ac:dyDescent="0.4">
      <c r="AH886" s="26"/>
      <c r="AI886" s="15"/>
    </row>
    <row r="887" spans="1:35" x14ac:dyDescent="0.4">
      <c r="AH887" s="26"/>
      <c r="AI887" s="15"/>
    </row>
    <row r="888" spans="1:35" x14ac:dyDescent="0.4">
      <c r="AH888" s="26"/>
      <c r="AI888" s="15"/>
    </row>
    <row r="889" spans="1:35" x14ac:dyDescent="0.4">
      <c r="AH889" s="26"/>
      <c r="AI889" s="15"/>
    </row>
    <row r="890" spans="1:35" ht="18.75" customHeight="1" x14ac:dyDescent="0.4"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22"/>
      <c r="R890" s="122"/>
      <c r="S890" s="122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26"/>
      <c r="AI890" s="15"/>
    </row>
    <row r="891" spans="1:35" x14ac:dyDescent="0.4">
      <c r="AH891" s="26"/>
      <c r="AI891" s="15"/>
    </row>
    <row r="892" spans="1:35" x14ac:dyDescent="0.4">
      <c r="AH892" s="26"/>
      <c r="AI892" s="15"/>
    </row>
    <row r="893" spans="1:35" x14ac:dyDescent="0.4"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22"/>
      <c r="R893" s="122"/>
      <c r="S893" s="122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26"/>
      <c r="AI893" s="15"/>
    </row>
    <row r="894" spans="1:35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22"/>
      <c r="R894" s="122"/>
      <c r="S894" s="122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26"/>
      <c r="AI894" s="15"/>
    </row>
    <row r="895" spans="1:35" x14ac:dyDescent="0.4">
      <c r="AH895" s="26"/>
      <c r="AI895" s="15"/>
    </row>
    <row r="896" spans="1:35" x14ac:dyDescent="0.4">
      <c r="J896" s="115"/>
      <c r="K896" s="115"/>
      <c r="L896" s="115"/>
      <c r="M896" s="115"/>
      <c r="N896" s="115"/>
      <c r="O896" s="115"/>
      <c r="P896" s="115"/>
      <c r="Q896" s="122"/>
      <c r="R896" s="122"/>
      <c r="S896" s="122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7"/>
      <c r="AI896" s="15"/>
    </row>
    <row r="897" spans="1:35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22"/>
      <c r="R897" s="122"/>
      <c r="S897" s="122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26"/>
      <c r="AI897" s="15"/>
    </row>
    <row r="898" spans="1:35" x14ac:dyDescent="0.4">
      <c r="AH898" s="26"/>
      <c r="AI898" s="15"/>
    </row>
    <row r="899" spans="1:35" x14ac:dyDescent="0.4">
      <c r="J899" s="115"/>
      <c r="K899" s="115"/>
      <c r="L899" s="115"/>
      <c r="M899" s="115"/>
      <c r="N899" s="115"/>
      <c r="O899" s="115"/>
      <c r="P899" s="115"/>
      <c r="Q899" s="122"/>
      <c r="R899" s="122"/>
      <c r="S899" s="122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7"/>
      <c r="AI899" s="15"/>
    </row>
    <row r="900" spans="1:35" x14ac:dyDescent="0.4">
      <c r="AH900" s="26"/>
      <c r="AI900" s="15"/>
    </row>
    <row r="901" spans="1:35" x14ac:dyDescent="0.4"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22"/>
      <c r="R901" s="122"/>
      <c r="S901" s="122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26"/>
      <c r="AI901" s="15"/>
    </row>
    <row r="902" spans="1:35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22"/>
      <c r="R902" s="122"/>
      <c r="S902" s="122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26"/>
      <c r="AI902" s="15"/>
    </row>
    <row r="903" spans="1:35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22"/>
      <c r="R903" s="122"/>
      <c r="S903" s="122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26"/>
      <c r="AI903" s="15"/>
    </row>
    <row r="904" spans="1:35" x14ac:dyDescent="0.4">
      <c r="AH904" s="26"/>
      <c r="AI904" s="15"/>
    </row>
    <row r="905" spans="1:35" x14ac:dyDescent="0.4"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22"/>
      <c r="R905" s="122"/>
      <c r="S905" s="122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26"/>
      <c r="AI905" s="15"/>
    </row>
    <row r="906" spans="1:35" x14ac:dyDescent="0.4">
      <c r="AH906" s="26"/>
      <c r="AI906" s="15"/>
    </row>
    <row r="907" spans="1:35" x14ac:dyDescent="0.4"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22"/>
      <c r="R907" s="122"/>
      <c r="S907" s="122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26"/>
      <c r="AI907" s="15"/>
    </row>
    <row r="908" spans="1:35" x14ac:dyDescent="0.4">
      <c r="AH908" s="26"/>
      <c r="AI908" s="15"/>
    </row>
    <row r="909" spans="1:35" x14ac:dyDescent="0.4">
      <c r="AH909" s="26"/>
      <c r="AI909" s="15"/>
    </row>
    <row r="910" spans="1:35" x14ac:dyDescent="0.4">
      <c r="AH910" s="26"/>
      <c r="AI910" s="15"/>
    </row>
    <row r="911" spans="1:35" x14ac:dyDescent="0.4">
      <c r="AH911" s="26"/>
      <c r="AI911" s="15"/>
    </row>
    <row r="912" spans="1:35" x14ac:dyDescent="0.4">
      <c r="AH912" s="26"/>
      <c r="AI912" s="15"/>
    </row>
    <row r="913" spans="1:35" x14ac:dyDescent="0.4">
      <c r="AH913" s="26"/>
      <c r="AI913" s="15"/>
    </row>
    <row r="914" spans="1:35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22"/>
      <c r="R914" s="122"/>
      <c r="S914" s="122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26"/>
      <c r="AI914" s="15"/>
    </row>
    <row r="915" spans="1:35" x14ac:dyDescent="0.4">
      <c r="AH915" s="26"/>
      <c r="AI915" s="15"/>
    </row>
    <row r="916" spans="1:35" x14ac:dyDescent="0.4">
      <c r="AH916" s="26"/>
      <c r="AI916" s="15"/>
    </row>
    <row r="917" spans="1:35" x14ac:dyDescent="0.4">
      <c r="AH917" s="26"/>
      <c r="AI917" s="15"/>
    </row>
    <row r="918" spans="1:35" x14ac:dyDescent="0.4">
      <c r="AH918" s="26"/>
      <c r="AI918" s="15"/>
    </row>
    <row r="919" spans="1:35" x14ac:dyDescent="0.4">
      <c r="AH919" s="26"/>
      <c r="AI919" s="15"/>
    </row>
    <row r="920" spans="1:35" x14ac:dyDescent="0.4">
      <c r="J920" s="115"/>
      <c r="K920" s="115"/>
      <c r="L920" s="115"/>
      <c r="M920" s="115"/>
      <c r="N920" s="115"/>
      <c r="O920" s="115"/>
      <c r="P920" s="115"/>
      <c r="Q920" s="122"/>
      <c r="R920" s="122"/>
      <c r="S920" s="122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7"/>
      <c r="AI920" s="15"/>
    </row>
    <row r="921" spans="1:35" x14ac:dyDescent="0.4">
      <c r="J921" s="115"/>
      <c r="K921" s="115"/>
      <c r="L921" s="115"/>
      <c r="M921" s="115"/>
      <c r="N921" s="115"/>
      <c r="O921" s="115"/>
      <c r="P921" s="115"/>
      <c r="Q921" s="122"/>
      <c r="R921" s="122"/>
      <c r="S921" s="122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7"/>
      <c r="AI921" s="15"/>
    </row>
    <row r="922" spans="1:35" x14ac:dyDescent="0.4">
      <c r="AH922" s="26"/>
      <c r="AI922" s="15"/>
    </row>
    <row r="923" spans="1:35" x14ac:dyDescent="0.4">
      <c r="AH923" s="26"/>
      <c r="AI923" s="15"/>
    </row>
    <row r="924" spans="1:35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22"/>
      <c r="R924" s="122"/>
      <c r="S924" s="122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26"/>
      <c r="AI924" s="15"/>
    </row>
    <row r="925" spans="1:35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22"/>
      <c r="R925" s="122"/>
      <c r="S925" s="122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26"/>
      <c r="AI925" s="13"/>
    </row>
    <row r="926" spans="1:35" x14ac:dyDescent="0.4">
      <c r="AH926" s="26"/>
      <c r="AI926" s="15"/>
    </row>
    <row r="927" spans="1:35" x14ac:dyDescent="0.4"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22"/>
      <c r="R927" s="122"/>
      <c r="S927" s="122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26"/>
      <c r="AI927" s="15"/>
    </row>
    <row r="928" spans="1:35" x14ac:dyDescent="0.4">
      <c r="AH928" s="26"/>
      <c r="AI928" s="15"/>
    </row>
    <row r="929" spans="1:35" x14ac:dyDescent="0.4">
      <c r="AH929" s="26"/>
      <c r="AI929" s="15"/>
    </row>
    <row r="930" spans="1:35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22"/>
      <c r="R930" s="122"/>
      <c r="S930" s="122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26"/>
      <c r="AI930" s="15"/>
    </row>
    <row r="931" spans="1:35" x14ac:dyDescent="0.4">
      <c r="AH931" s="26"/>
      <c r="AI931" s="13"/>
    </row>
    <row r="932" spans="1:35" x14ac:dyDescent="0.4">
      <c r="AH932" s="26"/>
      <c r="AI932" s="13"/>
    </row>
    <row r="933" spans="1:35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22"/>
      <c r="R933" s="122"/>
      <c r="S933" s="122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26"/>
      <c r="AI933" s="13"/>
    </row>
    <row r="934" spans="1:35" x14ac:dyDescent="0.4">
      <c r="AH934" s="26"/>
      <c r="AI934" s="13"/>
    </row>
    <row r="935" spans="1:35" x14ac:dyDescent="0.4">
      <c r="AH935" s="26"/>
      <c r="AI935" s="13"/>
    </row>
    <row r="936" spans="1:35" x14ac:dyDescent="0.4">
      <c r="AH936" s="26"/>
      <c r="AI936" s="13"/>
    </row>
    <row r="937" spans="1:35" x14ac:dyDescent="0.4">
      <c r="AH937" s="26"/>
      <c r="AI937" s="13"/>
    </row>
    <row r="938" spans="1:35" x14ac:dyDescent="0.4">
      <c r="AH938" s="26"/>
      <c r="AI938" s="13"/>
    </row>
    <row r="939" spans="1:35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22"/>
      <c r="R939" s="122"/>
      <c r="S939" s="122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26"/>
      <c r="AI939" s="25"/>
    </row>
    <row r="940" spans="1:35" x14ac:dyDescent="0.4">
      <c r="AH940" s="26"/>
      <c r="AI940" s="13"/>
    </row>
    <row r="941" spans="1:35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22"/>
      <c r="R941" s="122"/>
      <c r="S941" s="122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26"/>
      <c r="AI941" s="13"/>
    </row>
    <row r="942" spans="1:35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22"/>
      <c r="R942" s="122"/>
      <c r="S942" s="122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26"/>
      <c r="AI942" s="13"/>
    </row>
    <row r="943" spans="1:35" x14ac:dyDescent="0.4">
      <c r="AH943" s="26"/>
      <c r="AI943" s="15"/>
    </row>
    <row r="944" spans="1:35" x14ac:dyDescent="0.4">
      <c r="AH944" s="26"/>
      <c r="AI944" s="15"/>
    </row>
    <row r="945" spans="2:35" x14ac:dyDescent="0.4">
      <c r="AH945" s="26"/>
      <c r="AI945" s="15"/>
    </row>
    <row r="946" spans="2:35" x14ac:dyDescent="0.4">
      <c r="AH946" s="26"/>
      <c r="AI946" s="13"/>
    </row>
    <row r="947" spans="2:35" x14ac:dyDescent="0.4">
      <c r="AH947" s="26"/>
      <c r="AI947" s="15"/>
    </row>
    <row r="948" spans="2:35" x14ac:dyDescent="0.4"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22"/>
      <c r="R948" s="122"/>
      <c r="S948" s="122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7"/>
      <c r="AI948" s="15"/>
    </row>
    <row r="949" spans="2:35" x14ac:dyDescent="0.4">
      <c r="AH949" s="26"/>
      <c r="AI949" s="15"/>
    </row>
    <row r="950" spans="2:35" x14ac:dyDescent="0.4"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22"/>
      <c r="R950" s="122"/>
      <c r="S950" s="122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7"/>
      <c r="AI950" s="15"/>
    </row>
    <row r="951" spans="2:35" x14ac:dyDescent="0.4">
      <c r="AH951" s="26"/>
      <c r="AI951" s="15"/>
    </row>
    <row r="952" spans="2:35" x14ac:dyDescent="0.4">
      <c r="AH952" s="26"/>
      <c r="AI952" s="15"/>
    </row>
    <row r="953" spans="2:35" x14ac:dyDescent="0.4"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22"/>
      <c r="R953" s="122"/>
      <c r="S953" s="122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7"/>
      <c r="AI953" s="15"/>
    </row>
    <row r="954" spans="2:35" x14ac:dyDescent="0.4">
      <c r="AH954" s="26"/>
      <c r="AI954" s="15"/>
    </row>
    <row r="955" spans="2:35" x14ac:dyDescent="0.4">
      <c r="AH955" s="26"/>
      <c r="AI955" s="15"/>
    </row>
    <row r="956" spans="2:35" x14ac:dyDescent="0.4">
      <c r="AH956" s="26"/>
      <c r="AI956" s="105"/>
    </row>
    <row r="957" spans="2:35" x14ac:dyDescent="0.4">
      <c r="AH957" s="26"/>
      <c r="AI957" s="15"/>
    </row>
    <row r="958" spans="2:35" x14ac:dyDescent="0.4">
      <c r="AH958" s="26"/>
      <c r="AI958" s="15"/>
    </row>
    <row r="959" spans="2:35" x14ac:dyDescent="0.4">
      <c r="AH959" s="26"/>
      <c r="AI959" s="15"/>
    </row>
    <row r="960" spans="2:35" x14ac:dyDescent="0.4">
      <c r="AH960" s="26"/>
      <c r="AI960" s="15"/>
    </row>
    <row r="961" spans="2:35" x14ac:dyDescent="0.4">
      <c r="AH961" s="26"/>
      <c r="AI961" s="15"/>
    </row>
    <row r="962" spans="2:35" x14ac:dyDescent="0.4"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22"/>
      <c r="R962" s="122"/>
      <c r="S962" s="122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9"/>
      <c r="AI962" s="119"/>
    </row>
    <row r="963" spans="2:35" x14ac:dyDescent="0.4"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22"/>
      <c r="R963" s="122"/>
      <c r="S963" s="122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9"/>
      <c r="AI963" s="119"/>
    </row>
  </sheetData>
  <sortState xmlns:xlrd2="http://schemas.microsoft.com/office/spreadsheetml/2017/richdata2" ref="J2:K233">
    <sortCondition ref="J2:J233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2024-10-09T08:48:55Z</cp:lastPrinted>
  <dcterms:created xsi:type="dcterms:W3CDTF">2020-05-08T06:29:04Z</dcterms:created>
  <dcterms:modified xsi:type="dcterms:W3CDTF">2024-10-10T01:38:59Z</dcterms:modified>
</cp:coreProperties>
</file>